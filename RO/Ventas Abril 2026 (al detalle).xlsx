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RO/"/>
    </mc:Choice>
  </mc:AlternateContent>
  <xr:revisionPtr revIDLastSave="20" documentId="8_{C500C9FC-616E-4180-AC8E-B1DFFCBC8568}" xr6:coauthVersionLast="47" xr6:coauthVersionMax="47" xr10:uidLastSave="{6B2D775F-6875-4501-AC6D-B94639EEDF34}"/>
  <bookViews>
    <workbookView xWindow="20525" yWindow="-107" windowWidth="20848" windowHeight="11111" activeTab="1" xr2:uid="{DA318561-0A69-4070-B799-F5DACDA1C3EA}"/>
  </bookViews>
  <sheets>
    <sheet name="Hoja1" sheetId="1" r:id="rId1"/>
    <sheet name="Hoja2" sheetId="2" r:id="rId2"/>
  </sheets>
  <definedNames>
    <definedName name="_xlnm._FilterDatabase" localSheetId="0" hidden="1">Hoja1!$A$4:$S$6901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39" i="2" l="1"/>
  <c r="H439" i="2"/>
  <c r="F439" i="2"/>
  <c r="G3" i="2"/>
  <c r="H3" i="2" s="1"/>
  <c r="G4" i="2"/>
  <c r="H4" i="2" s="1"/>
  <c r="G5" i="2"/>
  <c r="H5" i="2" s="1"/>
  <c r="G6" i="2"/>
  <c r="H6" i="2" s="1"/>
  <c r="G7" i="2"/>
  <c r="H7" i="2"/>
  <c r="G8" i="2"/>
  <c r="H8" i="2"/>
  <c r="G9" i="2"/>
  <c r="H9" i="2"/>
  <c r="G10" i="2"/>
  <c r="H10" i="2" s="1"/>
  <c r="G11" i="2"/>
  <c r="H11" i="2" s="1"/>
  <c r="G12" i="2"/>
  <c r="H12" i="2"/>
  <c r="G13" i="2"/>
  <c r="H13" i="2"/>
  <c r="G14" i="2"/>
  <c r="H14" i="2"/>
  <c r="G15" i="2"/>
  <c r="H15" i="2"/>
  <c r="G16" i="2"/>
  <c r="H16" i="2" s="1"/>
  <c r="G17" i="2"/>
  <c r="H17" i="2" s="1"/>
  <c r="G18" i="2"/>
  <c r="H18" i="2"/>
  <c r="G19" i="2"/>
  <c r="H19" i="2" s="1"/>
  <c r="G20" i="2"/>
  <c r="H20" i="2"/>
  <c r="G21" i="2"/>
  <c r="H21" i="2"/>
  <c r="G22" i="2"/>
  <c r="H22" i="2"/>
  <c r="G23" i="2"/>
  <c r="H23" i="2" s="1"/>
  <c r="G24" i="2"/>
  <c r="H24" i="2" s="1"/>
  <c r="G25" i="2"/>
  <c r="H25" i="2"/>
  <c r="G26" i="2"/>
  <c r="H26" i="2"/>
  <c r="G27" i="2"/>
  <c r="H27" i="2"/>
  <c r="G28" i="2"/>
  <c r="H28" i="2"/>
  <c r="G29" i="2"/>
  <c r="H29" i="2" s="1"/>
  <c r="G30" i="2"/>
  <c r="H30" i="2"/>
  <c r="G31" i="2"/>
  <c r="H31" i="2"/>
  <c r="G32" i="2"/>
  <c r="H32" i="2" s="1"/>
  <c r="G33" i="2"/>
  <c r="H33" i="2"/>
  <c r="G34" i="2"/>
  <c r="H34" i="2"/>
  <c r="G35" i="2"/>
  <c r="H35" i="2" s="1"/>
  <c r="G36" i="2"/>
  <c r="H36" i="2" s="1"/>
  <c r="G37" i="2"/>
  <c r="H37" i="2" s="1"/>
  <c r="G38" i="2"/>
  <c r="H38" i="2"/>
  <c r="G39" i="2"/>
  <c r="H39" i="2"/>
  <c r="G40" i="2"/>
  <c r="H40" i="2"/>
  <c r="G41" i="2"/>
  <c r="H41" i="2" s="1"/>
  <c r="G42" i="2"/>
  <c r="H42" i="2"/>
  <c r="G43" i="2"/>
  <c r="H43" i="2" s="1"/>
  <c r="G44" i="2"/>
  <c r="H44" i="2" s="1"/>
  <c r="G45" i="2"/>
  <c r="H45" i="2" s="1"/>
  <c r="G46" i="2"/>
  <c r="H46" i="2"/>
  <c r="G47" i="2"/>
  <c r="H47" i="2" s="1"/>
  <c r="G48" i="2"/>
  <c r="H48" i="2"/>
  <c r="G49" i="2"/>
  <c r="H49" i="2" s="1"/>
  <c r="G50" i="2"/>
  <c r="H50" i="2" s="1"/>
  <c r="G51" i="2"/>
  <c r="H51" i="2"/>
  <c r="G52" i="2"/>
  <c r="H52" i="2"/>
  <c r="G53" i="2"/>
  <c r="H53" i="2" s="1"/>
  <c r="G54" i="2"/>
  <c r="H54" i="2"/>
  <c r="G55" i="2"/>
  <c r="H55" i="2"/>
  <c r="G56" i="2"/>
  <c r="H56" i="2" s="1"/>
  <c r="G57" i="2"/>
  <c r="H57" i="2" s="1"/>
  <c r="G58" i="2"/>
  <c r="H58" i="2" s="1"/>
  <c r="G59" i="2"/>
  <c r="H59" i="2" s="1"/>
  <c r="G60" i="2"/>
  <c r="H60" i="2"/>
  <c r="G61" i="2"/>
  <c r="H61" i="2"/>
  <c r="G62" i="2"/>
  <c r="H62" i="2" s="1"/>
  <c r="G63" i="2"/>
  <c r="H63" i="2" s="1"/>
  <c r="G64" i="2"/>
  <c r="H64" i="2"/>
  <c r="G65" i="2"/>
  <c r="H65" i="2" s="1"/>
  <c r="G66" i="2"/>
  <c r="H66" i="2"/>
  <c r="G67" i="2"/>
  <c r="H67" i="2"/>
  <c r="G68" i="2"/>
  <c r="H68" i="2"/>
  <c r="G69" i="2"/>
  <c r="H69" i="2" s="1"/>
  <c r="G70" i="2"/>
  <c r="H70" i="2" s="1"/>
  <c r="G71" i="2"/>
  <c r="H71" i="2" s="1"/>
  <c r="G72" i="2"/>
  <c r="H72" i="2"/>
  <c r="G73" i="2"/>
  <c r="H73" i="2"/>
  <c r="G74" i="2"/>
  <c r="H74" i="2"/>
  <c r="G75" i="2"/>
  <c r="H75" i="2" s="1"/>
  <c r="G76" i="2"/>
  <c r="H76" i="2" s="1"/>
  <c r="G77" i="2"/>
  <c r="H77" i="2" s="1"/>
  <c r="G78" i="2"/>
  <c r="H78" i="2" s="1"/>
  <c r="G79" i="2"/>
  <c r="H79" i="2"/>
  <c r="G80" i="2"/>
  <c r="H80" i="2"/>
  <c r="G81" i="2"/>
  <c r="H81" i="2"/>
  <c r="G82" i="2"/>
  <c r="H82" i="2" s="1"/>
  <c r="G83" i="2"/>
  <c r="H83" i="2" s="1"/>
  <c r="G84" i="2"/>
  <c r="H84" i="2"/>
  <c r="G85" i="2"/>
  <c r="H85" i="2"/>
  <c r="G86" i="2"/>
  <c r="H86" i="2"/>
  <c r="G87" i="2"/>
  <c r="H87" i="2"/>
  <c r="G88" i="2"/>
  <c r="H88" i="2" s="1"/>
  <c r="G89" i="2"/>
  <c r="H89" i="2" s="1"/>
  <c r="G90" i="2"/>
  <c r="H90" i="2" s="1"/>
  <c r="G91" i="2"/>
  <c r="H91" i="2" s="1"/>
  <c r="G92" i="2"/>
  <c r="H92" i="2"/>
  <c r="G93" i="2"/>
  <c r="H93" i="2"/>
  <c r="G94" i="2"/>
  <c r="H94" i="2"/>
  <c r="G95" i="2"/>
  <c r="H95" i="2" s="1"/>
  <c r="G96" i="2"/>
  <c r="H96" i="2" s="1"/>
  <c r="G97" i="2"/>
  <c r="H97" i="2"/>
  <c r="G98" i="2"/>
  <c r="H98" i="2"/>
  <c r="G99" i="2"/>
  <c r="H99" i="2"/>
  <c r="G100" i="2"/>
  <c r="H100" i="2"/>
  <c r="G101" i="2"/>
  <c r="H101" i="2" s="1"/>
  <c r="G102" i="2"/>
  <c r="H102" i="2"/>
  <c r="G103" i="2"/>
  <c r="H103" i="2" s="1"/>
  <c r="G104" i="2"/>
  <c r="H104" i="2" s="1"/>
  <c r="G105" i="2"/>
  <c r="H105" i="2"/>
  <c r="G106" i="2"/>
  <c r="H106" i="2"/>
  <c r="G107" i="2"/>
  <c r="H107" i="2" s="1"/>
  <c r="G108" i="2"/>
  <c r="H108" i="2" s="1"/>
  <c r="G109" i="2"/>
  <c r="H109" i="2" s="1"/>
  <c r="G110" i="2"/>
  <c r="H110" i="2"/>
  <c r="G111" i="2"/>
  <c r="H111" i="2"/>
  <c r="G112" i="2"/>
  <c r="H112" i="2"/>
  <c r="G113" i="2"/>
  <c r="H113" i="2" s="1"/>
  <c r="G114" i="2"/>
  <c r="H114" i="2"/>
  <c r="G115" i="2"/>
  <c r="H115" i="2" s="1"/>
  <c r="G116" i="2"/>
  <c r="H116" i="2" s="1"/>
  <c r="G117" i="2"/>
  <c r="H117" i="2" s="1"/>
  <c r="G118" i="2"/>
  <c r="H118" i="2"/>
  <c r="G119" i="2"/>
  <c r="H119" i="2" s="1"/>
  <c r="G120" i="2"/>
  <c r="H120" i="2"/>
  <c r="G121" i="2"/>
  <c r="H121" i="2" s="1"/>
  <c r="G122" i="2"/>
  <c r="H122" i="2"/>
  <c r="G123" i="2"/>
  <c r="H123" i="2"/>
  <c r="G124" i="2"/>
  <c r="H124" i="2"/>
  <c r="G125" i="2"/>
  <c r="H125" i="2" s="1"/>
  <c r="G126" i="2"/>
  <c r="H126" i="2"/>
  <c r="G127" i="2"/>
  <c r="H127" i="2"/>
  <c r="G128" i="2"/>
  <c r="H128" i="2" s="1"/>
  <c r="G129" i="2"/>
  <c r="H129" i="2" s="1"/>
  <c r="G130" i="2"/>
  <c r="H130" i="2" s="1"/>
  <c r="G131" i="2"/>
  <c r="H131" i="2" s="1"/>
  <c r="G132" i="2"/>
  <c r="H132" i="2"/>
  <c r="G133" i="2"/>
  <c r="H133" i="2"/>
  <c r="G134" i="2"/>
  <c r="H134" i="2" s="1"/>
  <c r="G135" i="2"/>
  <c r="H135" i="2" s="1"/>
  <c r="G136" i="2"/>
  <c r="H136" i="2"/>
  <c r="G137" i="2"/>
  <c r="H137" i="2" s="1"/>
  <c r="G138" i="2"/>
  <c r="H138" i="2"/>
  <c r="G139" i="2"/>
  <c r="H139" i="2"/>
  <c r="G140" i="2"/>
  <c r="H140" i="2"/>
  <c r="G141" i="2"/>
  <c r="H141" i="2" s="1"/>
  <c r="G142" i="2"/>
  <c r="H142" i="2" s="1"/>
  <c r="G143" i="2"/>
  <c r="H143" i="2" s="1"/>
  <c r="G144" i="2"/>
  <c r="H144" i="2"/>
  <c r="G145" i="2"/>
  <c r="H145" i="2"/>
  <c r="G146" i="2"/>
  <c r="H146" i="2"/>
  <c r="G147" i="2"/>
  <c r="H147" i="2" s="1"/>
  <c r="G148" i="2"/>
  <c r="H148" i="2" s="1"/>
  <c r="G149" i="2"/>
  <c r="H149" i="2" s="1"/>
  <c r="G150" i="2"/>
  <c r="H150" i="2" s="1"/>
  <c r="G151" i="2"/>
  <c r="H151" i="2"/>
  <c r="G152" i="2"/>
  <c r="H152" i="2"/>
  <c r="G153" i="2"/>
  <c r="H153" i="2"/>
  <c r="G154" i="2"/>
  <c r="H154" i="2" s="1"/>
  <c r="G155" i="2"/>
  <c r="H155" i="2" s="1"/>
  <c r="G156" i="2"/>
  <c r="H156" i="2" s="1"/>
  <c r="G157" i="2"/>
  <c r="H157" i="2"/>
  <c r="G158" i="2"/>
  <c r="H158" i="2"/>
  <c r="G159" i="2"/>
  <c r="H159" i="2"/>
  <c r="G160" i="2"/>
  <c r="H160" i="2" s="1"/>
  <c r="G161" i="2"/>
  <c r="H161" i="2" s="1"/>
  <c r="G162" i="2"/>
  <c r="H162" i="2" s="1"/>
  <c r="G163" i="2"/>
  <c r="H163" i="2" s="1"/>
  <c r="G164" i="2"/>
  <c r="H164" i="2"/>
  <c r="G165" i="2"/>
  <c r="H165" i="2"/>
  <c r="G166" i="2"/>
  <c r="H166" i="2"/>
  <c r="G167" i="2"/>
  <c r="H167" i="2" s="1"/>
  <c r="G168" i="2"/>
  <c r="H168" i="2" s="1"/>
  <c r="G169" i="2"/>
  <c r="H169" i="2"/>
  <c r="G170" i="2"/>
  <c r="H170" i="2"/>
  <c r="G171" i="2"/>
  <c r="H171" i="2"/>
  <c r="G172" i="2"/>
  <c r="H172" i="2"/>
  <c r="G173" i="2"/>
  <c r="H173" i="2" s="1"/>
  <c r="G174" i="2"/>
  <c r="H174" i="2" s="1"/>
  <c r="G175" i="2"/>
  <c r="H175" i="2" s="1"/>
  <c r="G176" i="2"/>
  <c r="H176" i="2"/>
  <c r="G177" i="2"/>
  <c r="H177" i="2"/>
  <c r="G178" i="2"/>
  <c r="H178" i="2"/>
  <c r="G179" i="2"/>
  <c r="H179" i="2" s="1"/>
  <c r="G180" i="2"/>
  <c r="H180" i="2" s="1"/>
  <c r="G181" i="2"/>
  <c r="H181" i="2" s="1"/>
  <c r="G182" i="2"/>
  <c r="H182" i="2" s="1"/>
  <c r="G183" i="2"/>
  <c r="H183" i="2"/>
  <c r="G184" i="2"/>
  <c r="H184" i="2"/>
  <c r="G185" i="2"/>
  <c r="H185" i="2" s="1"/>
  <c r="G186" i="2"/>
  <c r="H186" i="2"/>
  <c r="G187" i="2"/>
  <c r="H187" i="2" s="1"/>
  <c r="G188" i="2"/>
  <c r="H188" i="2" s="1"/>
  <c r="G189" i="2"/>
  <c r="H189" i="2" s="1"/>
  <c r="G190" i="2"/>
  <c r="H190" i="2"/>
  <c r="G191" i="2"/>
  <c r="H191" i="2" s="1"/>
  <c r="G192" i="2"/>
  <c r="H192" i="2"/>
  <c r="G193" i="2"/>
  <c r="H193" i="2" s="1"/>
  <c r="G194" i="2"/>
  <c r="H194" i="2" s="1"/>
  <c r="G195" i="2"/>
  <c r="H195" i="2" s="1"/>
  <c r="G196" i="2"/>
  <c r="H196" i="2"/>
  <c r="G197" i="2"/>
  <c r="H197" i="2" s="1"/>
  <c r="G198" i="2"/>
  <c r="H198" i="2"/>
  <c r="G199" i="2"/>
  <c r="H199" i="2"/>
  <c r="G200" i="2"/>
  <c r="H200" i="2" s="1"/>
  <c r="G201" i="2"/>
  <c r="H201" i="2" s="1"/>
  <c r="G202" i="2"/>
  <c r="H202" i="2" s="1"/>
  <c r="G203" i="2"/>
  <c r="H203" i="2" s="1"/>
  <c r="G204" i="2"/>
  <c r="H204" i="2"/>
  <c r="G205" i="2"/>
  <c r="H205" i="2"/>
  <c r="G206" i="2"/>
  <c r="H206" i="2" s="1"/>
  <c r="G207" i="2"/>
  <c r="H207" i="2" s="1"/>
  <c r="G208" i="2"/>
  <c r="H208" i="2" s="1"/>
  <c r="G209" i="2"/>
  <c r="H209" i="2" s="1"/>
  <c r="G210" i="2"/>
  <c r="H210" i="2"/>
  <c r="G211" i="2"/>
  <c r="H211" i="2"/>
  <c r="G212" i="2"/>
  <c r="H212" i="2"/>
  <c r="G213" i="2"/>
  <c r="H213" i="2" s="1"/>
  <c r="G214" i="2"/>
  <c r="H214" i="2" s="1"/>
  <c r="G215" i="2"/>
  <c r="H215" i="2" s="1"/>
  <c r="G216" i="2"/>
  <c r="H216" i="2"/>
  <c r="G217" i="2"/>
  <c r="H217" i="2"/>
  <c r="G218" i="2"/>
  <c r="H218" i="2"/>
  <c r="G219" i="2"/>
  <c r="H219" i="2" s="1"/>
  <c r="G220" i="2"/>
  <c r="H220" i="2" s="1"/>
  <c r="G221" i="2"/>
  <c r="H221" i="2" s="1"/>
  <c r="G222" i="2"/>
  <c r="H222" i="2"/>
  <c r="G223" i="2"/>
  <c r="H223" i="2"/>
  <c r="G224" i="2"/>
  <c r="H224" i="2"/>
  <c r="G225" i="2"/>
  <c r="H225" i="2"/>
  <c r="G226" i="2"/>
  <c r="H226" i="2" s="1"/>
  <c r="G227" i="2"/>
  <c r="H227" i="2" s="1"/>
  <c r="G228" i="2"/>
  <c r="H228" i="2" s="1"/>
  <c r="G229" i="2"/>
  <c r="H229" i="2"/>
  <c r="G230" i="2"/>
  <c r="H230" i="2"/>
  <c r="G231" i="2"/>
  <c r="H231" i="2"/>
  <c r="G232" i="2"/>
  <c r="H232" i="2" s="1"/>
  <c r="G233" i="2"/>
  <c r="H233" i="2" s="1"/>
  <c r="G234" i="2"/>
  <c r="H234" i="2" s="1"/>
  <c r="G235" i="2"/>
  <c r="H235" i="2" s="1"/>
  <c r="G236" i="2"/>
  <c r="H236" i="2"/>
  <c r="G237" i="2"/>
  <c r="H237" i="2"/>
  <c r="G238" i="2"/>
  <c r="H238" i="2"/>
  <c r="G239" i="2"/>
  <c r="H239" i="2" s="1"/>
  <c r="G240" i="2"/>
  <c r="H240" i="2" s="1"/>
  <c r="G241" i="2"/>
  <c r="H241" i="2" s="1"/>
  <c r="G242" i="2"/>
  <c r="H242" i="2"/>
  <c r="G243" i="2"/>
  <c r="H243" i="2" s="1"/>
  <c r="G244" i="2"/>
  <c r="H244" i="2"/>
  <c r="G245" i="2"/>
  <c r="H245" i="2" s="1"/>
  <c r="G246" i="2"/>
  <c r="H246" i="2" s="1"/>
  <c r="G247" i="2"/>
  <c r="H247" i="2" s="1"/>
  <c r="G248" i="2"/>
  <c r="H248" i="2" s="1"/>
  <c r="G249" i="2"/>
  <c r="H249" i="2"/>
  <c r="G250" i="2"/>
  <c r="H250" i="2"/>
  <c r="G251" i="2"/>
  <c r="H251" i="2" s="1"/>
  <c r="G252" i="2"/>
  <c r="H252" i="2"/>
  <c r="G253" i="2"/>
  <c r="H253" i="2" s="1"/>
  <c r="G254" i="2"/>
  <c r="H254" i="2" s="1"/>
  <c r="G255" i="2"/>
  <c r="H255" i="2" s="1"/>
  <c r="G256" i="2"/>
  <c r="H256" i="2"/>
  <c r="G257" i="2"/>
  <c r="H257" i="2" s="1"/>
  <c r="G258" i="2"/>
  <c r="H258" i="2"/>
  <c r="G259" i="2"/>
  <c r="H259" i="2" s="1"/>
  <c r="G260" i="2"/>
  <c r="H260" i="2" s="1"/>
  <c r="G261" i="2"/>
  <c r="H261" i="2" s="1"/>
  <c r="G262" i="2"/>
  <c r="H262" i="2"/>
  <c r="G263" i="2"/>
  <c r="H263" i="2" s="1"/>
  <c r="G264" i="2"/>
  <c r="H264" i="2"/>
  <c r="G265" i="2"/>
  <c r="H265" i="2"/>
  <c r="G266" i="2"/>
  <c r="H266" i="2" s="1"/>
  <c r="G267" i="2"/>
  <c r="H267" i="2" s="1"/>
  <c r="G268" i="2"/>
  <c r="H268" i="2" s="1"/>
  <c r="G269" i="2"/>
  <c r="H269" i="2" s="1"/>
  <c r="G270" i="2"/>
  <c r="H270" i="2"/>
  <c r="G271" i="2"/>
  <c r="H271" i="2"/>
  <c r="G272" i="2"/>
  <c r="H272" i="2" s="1"/>
  <c r="G273" i="2"/>
  <c r="H273" i="2" s="1"/>
  <c r="G274" i="2"/>
  <c r="H274" i="2"/>
  <c r="G275" i="2"/>
  <c r="H275" i="2" s="1"/>
  <c r="G276" i="2"/>
  <c r="H276" i="2"/>
  <c r="G277" i="2"/>
  <c r="H277" i="2"/>
  <c r="G278" i="2"/>
  <c r="H278" i="2"/>
  <c r="G279" i="2"/>
  <c r="H279" i="2" s="1"/>
  <c r="G280" i="2"/>
  <c r="H280" i="2" s="1"/>
  <c r="G281" i="2"/>
  <c r="H281" i="2" s="1"/>
  <c r="G282" i="2"/>
  <c r="H282" i="2"/>
  <c r="G283" i="2"/>
  <c r="H283" i="2"/>
  <c r="G284" i="2"/>
  <c r="H284" i="2"/>
  <c r="G285" i="2"/>
  <c r="H285" i="2" s="1"/>
  <c r="G286" i="2"/>
  <c r="H286" i="2" s="1"/>
  <c r="G287" i="2"/>
  <c r="H287" i="2" s="1"/>
  <c r="G288" i="2"/>
  <c r="H288" i="2"/>
  <c r="G289" i="2"/>
  <c r="H289" i="2"/>
  <c r="G290" i="2"/>
  <c r="H290" i="2"/>
  <c r="G291" i="2"/>
  <c r="H291" i="2"/>
  <c r="G292" i="2"/>
  <c r="H292" i="2" s="1"/>
  <c r="G293" i="2"/>
  <c r="H293" i="2" s="1"/>
  <c r="G294" i="2"/>
  <c r="H294" i="2" s="1"/>
  <c r="G295" i="2"/>
  <c r="H295" i="2"/>
  <c r="G296" i="2"/>
  <c r="H296" i="2"/>
  <c r="G297" i="2"/>
  <c r="H297" i="2"/>
  <c r="G298" i="2"/>
  <c r="H298" i="2" s="1"/>
  <c r="G299" i="2"/>
  <c r="H299" i="2" s="1"/>
  <c r="G300" i="2"/>
  <c r="H300" i="2" s="1"/>
  <c r="G301" i="2"/>
  <c r="H301" i="2"/>
  <c r="G302" i="2"/>
  <c r="H302" i="2"/>
  <c r="G303" i="2"/>
  <c r="H303" i="2"/>
  <c r="G304" i="2"/>
  <c r="H304" i="2"/>
  <c r="G305" i="2"/>
  <c r="H305" i="2" s="1"/>
  <c r="G306" i="2"/>
  <c r="H306" i="2" s="1"/>
  <c r="G307" i="2"/>
  <c r="H307" i="2" s="1"/>
  <c r="G308" i="2"/>
  <c r="H308" i="2"/>
  <c r="G309" i="2"/>
  <c r="H309" i="2"/>
  <c r="G310" i="2"/>
  <c r="H310" i="2"/>
  <c r="G311" i="2"/>
  <c r="H311" i="2" s="1"/>
  <c r="G312" i="2"/>
  <c r="H312" i="2" s="1"/>
  <c r="G313" i="2"/>
  <c r="H313" i="2" s="1"/>
  <c r="G314" i="2"/>
  <c r="H314" i="2" s="1"/>
  <c r="G315" i="2"/>
  <c r="H315" i="2"/>
  <c r="G316" i="2"/>
  <c r="H316" i="2"/>
  <c r="G317" i="2"/>
  <c r="H317" i="2" s="1"/>
  <c r="G318" i="2"/>
  <c r="H318" i="2" s="1"/>
  <c r="G319" i="2"/>
  <c r="H319" i="2" s="1"/>
  <c r="G320" i="2"/>
  <c r="H320" i="2"/>
  <c r="G321" i="2"/>
  <c r="H321" i="2" s="1"/>
  <c r="G322" i="2"/>
  <c r="H322" i="2"/>
  <c r="G323" i="2"/>
  <c r="H323" i="2" s="1"/>
  <c r="G324" i="2"/>
  <c r="H324" i="2"/>
  <c r="G325" i="2"/>
  <c r="H325" i="2" s="1"/>
  <c r="G326" i="2"/>
  <c r="H326" i="2" s="1"/>
  <c r="G327" i="2"/>
  <c r="H327" i="2"/>
  <c r="G328" i="2"/>
  <c r="H328" i="2"/>
  <c r="G329" i="2"/>
  <c r="H329" i="2" s="1"/>
  <c r="G330" i="2"/>
  <c r="H330" i="2"/>
  <c r="G331" i="2"/>
  <c r="H331" i="2"/>
  <c r="G332" i="2"/>
  <c r="H332" i="2" s="1"/>
  <c r="G333" i="2"/>
  <c r="H333" i="2" s="1"/>
  <c r="G334" i="2"/>
  <c r="H334" i="2" s="1"/>
  <c r="G335" i="2"/>
  <c r="H335" i="2" s="1"/>
  <c r="G336" i="2"/>
  <c r="H336" i="2"/>
  <c r="G337" i="2"/>
  <c r="H337" i="2"/>
  <c r="G338" i="2"/>
  <c r="H338" i="2" s="1"/>
  <c r="G339" i="2"/>
  <c r="H339" i="2" s="1"/>
  <c r="G340" i="2"/>
  <c r="H340" i="2"/>
  <c r="G341" i="2"/>
  <c r="H341" i="2" s="1"/>
  <c r="G342" i="2"/>
  <c r="H342" i="2"/>
  <c r="G343" i="2"/>
  <c r="H343" i="2"/>
  <c r="G344" i="2"/>
  <c r="H344" i="2"/>
  <c r="G345" i="2"/>
  <c r="H345" i="2" s="1"/>
  <c r="G346" i="2"/>
  <c r="H346" i="2" s="1"/>
  <c r="G347" i="2"/>
  <c r="H347" i="2" s="1"/>
  <c r="G348" i="2"/>
  <c r="H348" i="2"/>
  <c r="G349" i="2"/>
  <c r="H349" i="2"/>
  <c r="G350" i="2"/>
  <c r="H350" i="2"/>
  <c r="G351" i="2"/>
  <c r="H351" i="2" s="1"/>
  <c r="G352" i="2"/>
  <c r="H352" i="2" s="1"/>
  <c r="G353" i="2"/>
  <c r="H353" i="2" s="1"/>
  <c r="G354" i="2"/>
  <c r="H354" i="2"/>
  <c r="G355" i="2"/>
  <c r="H355" i="2"/>
  <c r="G356" i="2"/>
  <c r="H356" i="2"/>
  <c r="G357" i="2"/>
  <c r="H357" i="2" s="1"/>
  <c r="G358" i="2"/>
  <c r="H358" i="2" s="1"/>
  <c r="G359" i="2"/>
  <c r="H359" i="2" s="1"/>
  <c r="G360" i="2"/>
  <c r="H360" i="2" s="1"/>
  <c r="G361" i="2"/>
  <c r="H361" i="2" s="1"/>
  <c r="G362" i="2"/>
  <c r="H362" i="2"/>
  <c r="G363" i="2"/>
  <c r="H363" i="2" s="1"/>
  <c r="G364" i="2"/>
  <c r="H364" i="2"/>
  <c r="G365" i="2"/>
  <c r="H365" i="2" s="1"/>
  <c r="G366" i="2"/>
  <c r="H366" i="2" s="1"/>
  <c r="G367" i="2"/>
  <c r="H367" i="2" s="1"/>
  <c r="G368" i="2"/>
  <c r="H368" i="2"/>
  <c r="G369" i="2"/>
  <c r="H369" i="2" s="1"/>
  <c r="G370" i="2"/>
  <c r="H370" i="2"/>
  <c r="G371" i="2"/>
  <c r="H371" i="2" s="1"/>
  <c r="G372" i="2"/>
  <c r="H372" i="2"/>
  <c r="G373" i="2"/>
  <c r="H373" i="2" s="1"/>
  <c r="G374" i="2"/>
  <c r="H374" i="2" s="1"/>
  <c r="G375" i="2"/>
  <c r="H375" i="2" s="1"/>
  <c r="G376" i="2"/>
  <c r="H376" i="2"/>
  <c r="G377" i="2"/>
  <c r="H377" i="2" s="1"/>
  <c r="G378" i="2"/>
  <c r="H378" i="2"/>
  <c r="G379" i="2"/>
  <c r="H379" i="2"/>
  <c r="G380" i="2"/>
  <c r="H380" i="2" s="1"/>
  <c r="G381" i="2"/>
  <c r="H381" i="2" s="1"/>
  <c r="G382" i="2"/>
  <c r="H382" i="2" s="1"/>
  <c r="G383" i="2"/>
  <c r="H383" i="2" s="1"/>
  <c r="G384" i="2"/>
  <c r="H384" i="2"/>
  <c r="G385" i="2"/>
  <c r="H385" i="2"/>
  <c r="G386" i="2"/>
  <c r="H386" i="2" s="1"/>
  <c r="G387" i="2"/>
  <c r="H387" i="2"/>
  <c r="G388" i="2"/>
  <c r="H388" i="2" s="1"/>
  <c r="G389" i="2"/>
  <c r="H389" i="2" s="1"/>
  <c r="G390" i="2"/>
  <c r="H390" i="2"/>
  <c r="G391" i="2"/>
  <c r="H391" i="2"/>
  <c r="G392" i="2"/>
  <c r="H392" i="2"/>
  <c r="G393" i="2"/>
  <c r="H393" i="2" s="1"/>
  <c r="G394" i="2"/>
  <c r="H394" i="2" s="1"/>
  <c r="G395" i="2"/>
  <c r="H395" i="2" s="1"/>
  <c r="G396" i="2"/>
  <c r="H396" i="2"/>
  <c r="G397" i="2"/>
  <c r="H397" i="2"/>
  <c r="G398" i="2"/>
  <c r="H398" i="2"/>
  <c r="G399" i="2"/>
  <c r="H399" i="2" s="1"/>
  <c r="G400" i="2"/>
  <c r="H400" i="2" s="1"/>
  <c r="G401" i="2"/>
  <c r="H401" i="2" s="1"/>
  <c r="G402" i="2"/>
  <c r="H402" i="2" s="1"/>
  <c r="G403" i="2"/>
  <c r="H403" i="2"/>
  <c r="G404" i="2"/>
  <c r="H404" i="2"/>
  <c r="G405" i="2"/>
  <c r="H405" i="2"/>
  <c r="G406" i="2"/>
  <c r="H406" i="2" s="1"/>
  <c r="G407" i="2"/>
  <c r="H407" i="2" s="1"/>
  <c r="G408" i="2"/>
  <c r="H408" i="2" s="1"/>
  <c r="G409" i="2"/>
  <c r="H409" i="2"/>
  <c r="G410" i="2"/>
  <c r="H410" i="2"/>
  <c r="G411" i="2"/>
  <c r="H411" i="2"/>
  <c r="G412" i="2"/>
  <c r="H412" i="2" s="1"/>
  <c r="G413" i="2"/>
  <c r="H413" i="2" s="1"/>
  <c r="G414" i="2"/>
  <c r="H414" i="2" s="1"/>
  <c r="G415" i="2"/>
  <c r="H415" i="2"/>
  <c r="G416" i="2"/>
  <c r="H416" i="2"/>
  <c r="G417" i="2"/>
  <c r="H417" i="2"/>
  <c r="G418" i="2"/>
  <c r="H418" i="2"/>
  <c r="G419" i="2"/>
  <c r="H419" i="2" s="1"/>
  <c r="G420" i="2"/>
  <c r="H420" i="2"/>
  <c r="G421" i="2"/>
  <c r="H421" i="2" s="1"/>
  <c r="G422" i="2"/>
  <c r="H422" i="2"/>
  <c r="G423" i="2"/>
  <c r="H423" i="2"/>
  <c r="G424" i="2"/>
  <c r="H424" i="2"/>
  <c r="G425" i="2"/>
  <c r="H425" i="2" s="1"/>
  <c r="G426" i="2"/>
  <c r="H426" i="2"/>
  <c r="G427" i="2"/>
  <c r="H427" i="2" s="1"/>
  <c r="G428" i="2"/>
  <c r="H428" i="2"/>
  <c r="G429" i="2"/>
  <c r="H429" i="2"/>
  <c r="G430" i="2"/>
  <c r="H430" i="2"/>
  <c r="G431" i="2"/>
  <c r="H431" i="2" s="1"/>
  <c r="G432" i="2"/>
  <c r="H432" i="2" s="1"/>
  <c r="G433" i="2"/>
  <c r="H433" i="2" s="1"/>
  <c r="G434" i="2"/>
  <c r="H434" i="2" s="1"/>
  <c r="G435" i="2"/>
  <c r="H435" i="2"/>
  <c r="G436" i="2"/>
  <c r="H436" i="2"/>
  <c r="G437" i="2"/>
  <c r="H437" i="2" s="1"/>
  <c r="G438" i="2"/>
  <c r="H438" i="2"/>
  <c r="G2" i="2"/>
  <c r="H2" i="2" s="1"/>
  <c r="S3896" i="1"/>
  <c r="S2420" i="1"/>
  <c r="S2408" i="1"/>
  <c r="S2376" i="1"/>
  <c r="S2240" i="1"/>
  <c r="S2228" i="1"/>
  <c r="S2088" i="1"/>
  <c r="S2073" i="1"/>
  <c r="S1928" i="1"/>
  <c r="S1784" i="1"/>
  <c r="S1773" i="1"/>
  <c r="S1748" i="1"/>
  <c r="S1628" i="1"/>
  <c r="S1460" i="1"/>
  <c r="S1448" i="1"/>
  <c r="S1428" i="1"/>
  <c r="S1424" i="1"/>
  <c r="S1113" i="1"/>
  <c r="S1112" i="1"/>
  <c r="S1088" i="1"/>
  <c r="S1065" i="1"/>
  <c r="S944" i="1"/>
  <c r="S840" i="1"/>
  <c r="S824" i="1"/>
  <c r="S817" i="1"/>
  <c r="S801" i="1"/>
  <c r="S800" i="1"/>
  <c r="S489" i="1"/>
  <c r="S488" i="1"/>
  <c r="S464" i="1"/>
  <c r="S456" i="1"/>
  <c r="S179" i="1"/>
  <c r="S164" i="1"/>
  <c r="S155" i="1"/>
  <c r="S143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S6283" i="1" s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S6211" i="1" s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S6079" i="1" s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S5983" i="1" s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S5887" i="1" s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S5767" i="1" s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S5695" i="1" s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S5527" i="1" s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S5359" i="1" s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S5311" i="1" s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S5119" i="1" s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S5083" i="1" s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S5023" i="1" s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S4975" i="1" s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S4867" i="1" s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S4831" i="1" s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S4735" i="1" s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S4687" i="1" s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S4495" i="1" s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S4411" i="1" s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S4363" i="1" s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S4351" i="1" s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S4219" i="1" s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S4075" i="1" s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S4039" i="1" s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S4009" i="1" s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S3943" i="1" s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S3842" i="1" s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S3811" i="1" s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S3722" i="1" s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S3703" i="1" s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S3530" i="1" s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S3511" i="1" s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S3379" i="1" s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S3295" i="1" s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S3259" i="1" s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S3175" i="1" s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S3127" i="1" s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S2887" i="1" s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S2869" i="1" s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S2839" i="1" s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S2767" i="1" s="1"/>
  <c r="R2766" i="1"/>
  <c r="R2765" i="1"/>
  <c r="R2764" i="1"/>
  <c r="R2763" i="1"/>
  <c r="R2762" i="1"/>
  <c r="R2761" i="1"/>
  <c r="S2761" i="1" s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S2743" i="1" s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S2695" i="1" s="1"/>
  <c r="R2694" i="1"/>
  <c r="R2693" i="1"/>
  <c r="R2692" i="1"/>
  <c r="R2691" i="1"/>
  <c r="R2690" i="1"/>
  <c r="R2689" i="1"/>
  <c r="S2689" i="1" s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S2671" i="1" s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S2653" i="1" s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S2623" i="1" s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S2551" i="1" s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S2527" i="1" s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S2479" i="1" s="1"/>
  <c r="R2478" i="1"/>
  <c r="R2477" i="1"/>
  <c r="R2476" i="1"/>
  <c r="R2475" i="1"/>
  <c r="R2474" i="1"/>
  <c r="R2473" i="1"/>
  <c r="S2473" i="1" s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S2455" i="1" s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S2407" i="1" s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S2389" i="1" s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S2335" i="1" s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S2263" i="1" s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S2215" i="1" s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S2197" i="1" s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S2149" i="1" s="1"/>
  <c r="R2148" i="1"/>
  <c r="R2147" i="1"/>
  <c r="R2146" i="1"/>
  <c r="R2145" i="1"/>
  <c r="R2144" i="1"/>
  <c r="R2143" i="1"/>
  <c r="S2143" i="1" s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S2029" i="1" s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S1999" i="1" s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S1975" i="1" s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S1957" i="1" s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S1831" i="1" s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S1765" i="1" s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S1711" i="1" s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S1698" i="1" s="1"/>
  <c r="R1697" i="1"/>
  <c r="R1696" i="1"/>
  <c r="R1695" i="1"/>
  <c r="R1694" i="1"/>
  <c r="R1693" i="1"/>
  <c r="R1692" i="1"/>
  <c r="R1691" i="1"/>
  <c r="R1690" i="1"/>
  <c r="R1689" i="1"/>
  <c r="R1688" i="1"/>
  <c r="R1687" i="1"/>
  <c r="S1687" i="1" s="1"/>
  <c r="R1686" i="1"/>
  <c r="S1686" i="1" s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S1669" i="1" s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S1639" i="1" s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S1614" i="1" s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S1602" i="1" s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S1573" i="1" s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S1554" i="1" s="1"/>
  <c r="R1553" i="1"/>
  <c r="R1552" i="1"/>
  <c r="R1551" i="1"/>
  <c r="R1550" i="1"/>
  <c r="R1549" i="1"/>
  <c r="R1548" i="1"/>
  <c r="R1547" i="1"/>
  <c r="R1546" i="1"/>
  <c r="R1545" i="1"/>
  <c r="R1544" i="1"/>
  <c r="R1543" i="1"/>
  <c r="S1543" i="1" s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S1518" i="1" s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S1506" i="1" s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S1482" i="1" s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S1458" i="1" s="1"/>
  <c r="R1457" i="1"/>
  <c r="R1456" i="1"/>
  <c r="R1455" i="1"/>
  <c r="R1454" i="1"/>
  <c r="R1453" i="1"/>
  <c r="S1453" i="1" s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S1423" i="1" s="1"/>
  <c r="R1422" i="1"/>
  <c r="S1422" i="1" s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S1410" i="1" s="1"/>
  <c r="R1409" i="1"/>
  <c r="R1408" i="1"/>
  <c r="R1407" i="1"/>
  <c r="R1406" i="1"/>
  <c r="R1405" i="1"/>
  <c r="R1404" i="1"/>
  <c r="R1403" i="1"/>
  <c r="R1402" i="1"/>
  <c r="R1401" i="1"/>
  <c r="R1400" i="1"/>
  <c r="R1399" i="1"/>
  <c r="S1399" i="1" s="1"/>
  <c r="R1398" i="1"/>
  <c r="S1398" i="1" s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S1327" i="1" s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S1314" i="1" s="1"/>
  <c r="R1313" i="1"/>
  <c r="R1312" i="1"/>
  <c r="R1311" i="1"/>
  <c r="R1310" i="1"/>
  <c r="R1309" i="1"/>
  <c r="S1309" i="1" s="1"/>
  <c r="R1308" i="1"/>
  <c r="R1307" i="1"/>
  <c r="R1306" i="1"/>
  <c r="R1305" i="1"/>
  <c r="R1304" i="1"/>
  <c r="R1303" i="1"/>
  <c r="R1302" i="1"/>
  <c r="S1302" i="1" s="1"/>
  <c r="R1301" i="1"/>
  <c r="R1300" i="1"/>
  <c r="R1299" i="1"/>
  <c r="R1298" i="1"/>
  <c r="R1297" i="1"/>
  <c r="R1296" i="1"/>
  <c r="R1295" i="1"/>
  <c r="R1294" i="1"/>
  <c r="R1293" i="1"/>
  <c r="R1292" i="1"/>
  <c r="R1291" i="1"/>
  <c r="S1291" i="1" s="1"/>
  <c r="R1290" i="1"/>
  <c r="S1290" i="1" s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S1266" i="1" s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S1242" i="1" s="1"/>
  <c r="R1241" i="1"/>
  <c r="R1240" i="1"/>
  <c r="R1239" i="1"/>
  <c r="R1238" i="1"/>
  <c r="R1237" i="1"/>
  <c r="S1237" i="1" s="1"/>
  <c r="R1236" i="1"/>
  <c r="R1235" i="1"/>
  <c r="R1234" i="1"/>
  <c r="R1233" i="1"/>
  <c r="R1232" i="1"/>
  <c r="R1231" i="1"/>
  <c r="S1231" i="1" s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S1207" i="1" s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S1195" i="1" s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S1170" i="1" s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S1158" i="1" s="1"/>
  <c r="R1157" i="1"/>
  <c r="R1156" i="1"/>
  <c r="R1155" i="1"/>
  <c r="R1154" i="1"/>
  <c r="R1153" i="1"/>
  <c r="S1153" i="1" s="1"/>
  <c r="R1152" i="1"/>
  <c r="R1151" i="1"/>
  <c r="R1150" i="1"/>
  <c r="R1149" i="1"/>
  <c r="R1148" i="1"/>
  <c r="R1147" i="1"/>
  <c r="R1146" i="1"/>
  <c r="S1146" i="1" s="1"/>
  <c r="R1145" i="1"/>
  <c r="R1144" i="1"/>
  <c r="R1143" i="1"/>
  <c r="R1142" i="1"/>
  <c r="R1141" i="1"/>
  <c r="R1140" i="1"/>
  <c r="R1139" i="1"/>
  <c r="R1138" i="1"/>
  <c r="R1137" i="1"/>
  <c r="R1136" i="1"/>
  <c r="R1135" i="1"/>
  <c r="S1135" i="1" s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S1123" i="1" s="1"/>
  <c r="R1122" i="1"/>
  <c r="S1122" i="1" s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S1110" i="1" s="1"/>
  <c r="R1109" i="1"/>
  <c r="R1108" i="1"/>
  <c r="R1107" i="1"/>
  <c r="R1106" i="1"/>
  <c r="R1105" i="1"/>
  <c r="S1105" i="1" s="1"/>
  <c r="R1104" i="1"/>
  <c r="R1103" i="1"/>
  <c r="R1102" i="1"/>
  <c r="R1101" i="1"/>
  <c r="R1100" i="1"/>
  <c r="R1099" i="1"/>
  <c r="R1098" i="1"/>
  <c r="S1098" i="1" s="1"/>
  <c r="R1097" i="1"/>
  <c r="R1096" i="1"/>
  <c r="R1095" i="1"/>
  <c r="R1094" i="1"/>
  <c r="R1093" i="1"/>
  <c r="R1092" i="1"/>
  <c r="R1091" i="1"/>
  <c r="R1090" i="1"/>
  <c r="R1089" i="1"/>
  <c r="R1088" i="1"/>
  <c r="R1087" i="1"/>
  <c r="S1087" i="1" s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S1075" i="1" s="1"/>
  <c r="R1074" i="1"/>
  <c r="S1074" i="1" s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S1062" i="1" s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S1050" i="1" s="1"/>
  <c r="R1049" i="1"/>
  <c r="R1048" i="1"/>
  <c r="R1047" i="1"/>
  <c r="R1046" i="1"/>
  <c r="R1045" i="1"/>
  <c r="R1044" i="1"/>
  <c r="R1043" i="1"/>
  <c r="R1042" i="1"/>
  <c r="R1041" i="1"/>
  <c r="R1040" i="1"/>
  <c r="R1039" i="1"/>
  <c r="S1039" i="1" s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S1027" i="1" s="1"/>
  <c r="R1026" i="1"/>
  <c r="S1026" i="1" s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S1014" i="1" s="1"/>
  <c r="R1013" i="1"/>
  <c r="R1012" i="1"/>
  <c r="R1011" i="1"/>
  <c r="R1010" i="1"/>
  <c r="R1009" i="1"/>
  <c r="S1009" i="1" s="1"/>
  <c r="R1008" i="1"/>
  <c r="R1007" i="1"/>
  <c r="R1006" i="1"/>
  <c r="R1005" i="1"/>
  <c r="R1004" i="1"/>
  <c r="R1003" i="1"/>
  <c r="R1002" i="1"/>
  <c r="S1002" i="1" s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S979" i="1" s="1"/>
  <c r="R978" i="1"/>
  <c r="S978" i="1" s="1"/>
  <c r="R977" i="1"/>
  <c r="R976" i="1"/>
  <c r="R975" i="1"/>
  <c r="R974" i="1"/>
  <c r="R973" i="1"/>
  <c r="R972" i="1"/>
  <c r="R971" i="1"/>
  <c r="R970" i="1"/>
  <c r="R969" i="1"/>
  <c r="R968" i="1"/>
  <c r="R967" i="1"/>
  <c r="R966" i="1"/>
  <c r="S966" i="1" s="1"/>
  <c r="R965" i="1"/>
  <c r="R964" i="1"/>
  <c r="R963" i="1"/>
  <c r="R962" i="1"/>
  <c r="R961" i="1"/>
  <c r="S961" i="1" s="1"/>
  <c r="R960" i="1"/>
  <c r="R959" i="1"/>
  <c r="R958" i="1"/>
  <c r="R957" i="1"/>
  <c r="R956" i="1"/>
  <c r="R955" i="1"/>
  <c r="R954" i="1"/>
  <c r="S954" i="1" s="1"/>
  <c r="R953" i="1"/>
  <c r="R952" i="1"/>
  <c r="R951" i="1"/>
  <c r="R950" i="1"/>
  <c r="R949" i="1"/>
  <c r="R948" i="1"/>
  <c r="R947" i="1"/>
  <c r="R946" i="1"/>
  <c r="R945" i="1"/>
  <c r="R944" i="1"/>
  <c r="R943" i="1"/>
  <c r="S943" i="1" s="1"/>
  <c r="R942" i="1"/>
  <c r="R941" i="1"/>
  <c r="R940" i="1"/>
  <c r="R939" i="1"/>
  <c r="R938" i="1"/>
  <c r="R937" i="1"/>
  <c r="R936" i="1"/>
  <c r="R935" i="1"/>
  <c r="R934" i="1"/>
  <c r="R933" i="1"/>
  <c r="R932" i="1"/>
  <c r="R931" i="1"/>
  <c r="S931" i="1" s="1"/>
  <c r="R930" i="1"/>
  <c r="S930" i="1" s="1"/>
  <c r="R929" i="1"/>
  <c r="R928" i="1"/>
  <c r="R927" i="1"/>
  <c r="R926" i="1"/>
  <c r="R925" i="1"/>
  <c r="R924" i="1"/>
  <c r="R923" i="1"/>
  <c r="R922" i="1"/>
  <c r="R921" i="1"/>
  <c r="R920" i="1"/>
  <c r="R919" i="1"/>
  <c r="R918" i="1"/>
  <c r="S918" i="1" s="1"/>
  <c r="R917" i="1"/>
  <c r="R916" i="1"/>
  <c r="R915" i="1"/>
  <c r="R914" i="1"/>
  <c r="R913" i="1"/>
  <c r="S913" i="1" s="1"/>
  <c r="R912" i="1"/>
  <c r="R911" i="1"/>
  <c r="R910" i="1"/>
  <c r="R909" i="1"/>
  <c r="R908" i="1"/>
  <c r="R907" i="1"/>
  <c r="R906" i="1"/>
  <c r="S906" i="1" s="1"/>
  <c r="R905" i="1"/>
  <c r="R904" i="1"/>
  <c r="R903" i="1"/>
  <c r="R902" i="1"/>
  <c r="R901" i="1"/>
  <c r="R900" i="1"/>
  <c r="R899" i="1"/>
  <c r="R898" i="1"/>
  <c r="R897" i="1"/>
  <c r="R896" i="1"/>
  <c r="R895" i="1"/>
  <c r="S895" i="1" s="1"/>
  <c r="R894" i="1"/>
  <c r="R893" i="1"/>
  <c r="R892" i="1"/>
  <c r="R891" i="1"/>
  <c r="R890" i="1"/>
  <c r="R889" i="1"/>
  <c r="R888" i="1"/>
  <c r="R887" i="1"/>
  <c r="R886" i="1"/>
  <c r="R885" i="1"/>
  <c r="R884" i="1"/>
  <c r="R883" i="1"/>
  <c r="S883" i="1" s="1"/>
  <c r="R882" i="1"/>
  <c r="S882" i="1" s="1"/>
  <c r="R881" i="1"/>
  <c r="R880" i="1"/>
  <c r="R879" i="1"/>
  <c r="R878" i="1"/>
  <c r="R877" i="1"/>
  <c r="R876" i="1"/>
  <c r="R875" i="1"/>
  <c r="R874" i="1"/>
  <c r="R873" i="1"/>
  <c r="R872" i="1"/>
  <c r="R871" i="1"/>
  <c r="R870" i="1"/>
  <c r="S870" i="1" s="1"/>
  <c r="R869" i="1"/>
  <c r="R868" i="1"/>
  <c r="R867" i="1"/>
  <c r="R866" i="1"/>
  <c r="R865" i="1"/>
  <c r="R864" i="1"/>
  <c r="R863" i="1"/>
  <c r="R862" i="1"/>
  <c r="R861" i="1"/>
  <c r="R860" i="1"/>
  <c r="R859" i="1"/>
  <c r="R858" i="1"/>
  <c r="S858" i="1" s="1"/>
  <c r="R857" i="1"/>
  <c r="R856" i="1"/>
  <c r="R855" i="1"/>
  <c r="R854" i="1"/>
  <c r="R853" i="1"/>
  <c r="R852" i="1"/>
  <c r="R851" i="1"/>
  <c r="R850" i="1"/>
  <c r="R849" i="1"/>
  <c r="R848" i="1"/>
  <c r="R847" i="1"/>
  <c r="S847" i="1" s="1"/>
  <c r="R846" i="1"/>
  <c r="R845" i="1"/>
  <c r="R844" i="1"/>
  <c r="R843" i="1"/>
  <c r="R842" i="1"/>
  <c r="R841" i="1"/>
  <c r="R840" i="1"/>
  <c r="R839" i="1"/>
  <c r="R838" i="1"/>
  <c r="R837" i="1"/>
  <c r="R836" i="1"/>
  <c r="R835" i="1"/>
  <c r="S835" i="1" s="1"/>
  <c r="R834" i="1"/>
  <c r="S834" i="1" s="1"/>
  <c r="R833" i="1"/>
  <c r="R832" i="1"/>
  <c r="R831" i="1"/>
  <c r="R830" i="1"/>
  <c r="R829" i="1"/>
  <c r="R828" i="1"/>
  <c r="R827" i="1"/>
  <c r="R826" i="1"/>
  <c r="R825" i="1"/>
  <c r="R824" i="1"/>
  <c r="R823" i="1"/>
  <c r="R822" i="1"/>
  <c r="S822" i="1" s="1"/>
  <c r="R821" i="1"/>
  <c r="R820" i="1"/>
  <c r="R819" i="1"/>
  <c r="R818" i="1"/>
  <c r="R817" i="1"/>
  <c r="R816" i="1"/>
  <c r="R815" i="1"/>
  <c r="R814" i="1"/>
  <c r="R813" i="1"/>
  <c r="R812" i="1"/>
  <c r="R811" i="1"/>
  <c r="R810" i="1"/>
  <c r="S810" i="1" s="1"/>
  <c r="R809" i="1"/>
  <c r="R808" i="1"/>
  <c r="R807" i="1"/>
  <c r="R806" i="1"/>
  <c r="R805" i="1"/>
  <c r="R804" i="1"/>
  <c r="R803" i="1"/>
  <c r="R802" i="1"/>
  <c r="R801" i="1"/>
  <c r="R800" i="1"/>
  <c r="R799" i="1"/>
  <c r="S799" i="1" s="1"/>
  <c r="R798" i="1"/>
  <c r="R797" i="1"/>
  <c r="R796" i="1"/>
  <c r="R795" i="1"/>
  <c r="R794" i="1"/>
  <c r="R793" i="1"/>
  <c r="R792" i="1"/>
  <c r="R791" i="1"/>
  <c r="R790" i="1"/>
  <c r="R789" i="1"/>
  <c r="R788" i="1"/>
  <c r="R787" i="1"/>
  <c r="S787" i="1" s="1"/>
  <c r="R786" i="1"/>
  <c r="S786" i="1" s="1"/>
  <c r="R785" i="1"/>
  <c r="R784" i="1"/>
  <c r="R783" i="1"/>
  <c r="R782" i="1"/>
  <c r="R781" i="1"/>
  <c r="R780" i="1"/>
  <c r="R779" i="1"/>
  <c r="R778" i="1"/>
  <c r="R777" i="1"/>
  <c r="R776" i="1"/>
  <c r="R775" i="1"/>
  <c r="R774" i="1"/>
  <c r="S774" i="1" s="1"/>
  <c r="R773" i="1"/>
  <c r="R772" i="1"/>
  <c r="R771" i="1"/>
  <c r="R770" i="1"/>
  <c r="R769" i="1"/>
  <c r="R768" i="1"/>
  <c r="R767" i="1"/>
  <c r="R766" i="1"/>
  <c r="R765" i="1"/>
  <c r="R764" i="1"/>
  <c r="R763" i="1"/>
  <c r="R762" i="1"/>
  <c r="S762" i="1" s="1"/>
  <c r="R761" i="1"/>
  <c r="R760" i="1"/>
  <c r="R759" i="1"/>
  <c r="R758" i="1"/>
  <c r="R757" i="1"/>
  <c r="R756" i="1"/>
  <c r="R755" i="1"/>
  <c r="R754" i="1"/>
  <c r="R753" i="1"/>
  <c r="R752" i="1"/>
  <c r="R751" i="1"/>
  <c r="S751" i="1" s="1"/>
  <c r="R750" i="1"/>
  <c r="R749" i="1"/>
  <c r="R748" i="1"/>
  <c r="R747" i="1"/>
  <c r="R746" i="1"/>
  <c r="R745" i="1"/>
  <c r="R744" i="1"/>
  <c r="R743" i="1"/>
  <c r="R742" i="1"/>
  <c r="R741" i="1"/>
  <c r="R740" i="1"/>
  <c r="R739" i="1"/>
  <c r="S739" i="1" s="1"/>
  <c r="R738" i="1"/>
  <c r="S738" i="1" s="1"/>
  <c r="R737" i="1"/>
  <c r="R736" i="1"/>
  <c r="R735" i="1"/>
  <c r="R734" i="1"/>
  <c r="R733" i="1"/>
  <c r="R732" i="1"/>
  <c r="R731" i="1"/>
  <c r="R730" i="1"/>
  <c r="R729" i="1"/>
  <c r="R728" i="1"/>
  <c r="R727" i="1"/>
  <c r="R726" i="1"/>
  <c r="S726" i="1" s="1"/>
  <c r="R725" i="1"/>
  <c r="R724" i="1"/>
  <c r="R723" i="1"/>
  <c r="R722" i="1"/>
  <c r="R721" i="1"/>
  <c r="S721" i="1" s="1"/>
  <c r="R720" i="1"/>
  <c r="R719" i="1"/>
  <c r="R718" i="1"/>
  <c r="R717" i="1"/>
  <c r="R716" i="1"/>
  <c r="R715" i="1"/>
  <c r="R714" i="1"/>
  <c r="S714" i="1" s="1"/>
  <c r="R713" i="1"/>
  <c r="R712" i="1"/>
  <c r="R711" i="1"/>
  <c r="R710" i="1"/>
  <c r="R709" i="1"/>
  <c r="R708" i="1"/>
  <c r="R707" i="1"/>
  <c r="R706" i="1"/>
  <c r="R705" i="1"/>
  <c r="R704" i="1"/>
  <c r="R703" i="1"/>
  <c r="S703" i="1" s="1"/>
  <c r="R702" i="1"/>
  <c r="R701" i="1"/>
  <c r="R700" i="1"/>
  <c r="R699" i="1"/>
  <c r="R698" i="1"/>
  <c r="R697" i="1"/>
  <c r="R696" i="1"/>
  <c r="R695" i="1"/>
  <c r="R694" i="1"/>
  <c r="R693" i="1"/>
  <c r="R692" i="1"/>
  <c r="R691" i="1"/>
  <c r="S691" i="1" s="1"/>
  <c r="R690" i="1"/>
  <c r="S690" i="1" s="1"/>
  <c r="R689" i="1"/>
  <c r="R688" i="1"/>
  <c r="R687" i="1"/>
  <c r="R686" i="1"/>
  <c r="R685" i="1"/>
  <c r="R684" i="1"/>
  <c r="R683" i="1"/>
  <c r="R682" i="1"/>
  <c r="R681" i="1"/>
  <c r="R680" i="1"/>
  <c r="R679" i="1"/>
  <c r="R678" i="1"/>
  <c r="S678" i="1" s="1"/>
  <c r="R677" i="1"/>
  <c r="R676" i="1"/>
  <c r="R675" i="1"/>
  <c r="R674" i="1"/>
  <c r="R673" i="1"/>
  <c r="R672" i="1"/>
  <c r="R671" i="1"/>
  <c r="R670" i="1"/>
  <c r="R669" i="1"/>
  <c r="R668" i="1"/>
  <c r="R667" i="1"/>
  <c r="R666" i="1"/>
  <c r="S666" i="1" s="1"/>
  <c r="R665" i="1"/>
  <c r="R664" i="1"/>
  <c r="R663" i="1"/>
  <c r="R662" i="1"/>
  <c r="R661" i="1"/>
  <c r="R660" i="1"/>
  <c r="R659" i="1"/>
  <c r="R658" i="1"/>
  <c r="R657" i="1"/>
  <c r="R656" i="1"/>
  <c r="R655" i="1"/>
  <c r="S655" i="1" s="1"/>
  <c r="R654" i="1"/>
  <c r="R653" i="1"/>
  <c r="R652" i="1"/>
  <c r="R651" i="1"/>
  <c r="R650" i="1"/>
  <c r="R649" i="1"/>
  <c r="R648" i="1"/>
  <c r="R647" i="1"/>
  <c r="R646" i="1"/>
  <c r="R645" i="1"/>
  <c r="R644" i="1"/>
  <c r="R643" i="1"/>
  <c r="S643" i="1" s="1"/>
  <c r="R642" i="1"/>
  <c r="S642" i="1" s="1"/>
  <c r="R641" i="1"/>
  <c r="R640" i="1"/>
  <c r="R639" i="1"/>
  <c r="R638" i="1"/>
  <c r="R637" i="1"/>
  <c r="R636" i="1"/>
  <c r="R635" i="1"/>
  <c r="R634" i="1"/>
  <c r="R633" i="1"/>
  <c r="R632" i="1"/>
  <c r="S632" i="1" s="1"/>
  <c r="R631" i="1"/>
  <c r="R630" i="1"/>
  <c r="S630" i="1" s="1"/>
  <c r="R629" i="1"/>
  <c r="R628" i="1"/>
  <c r="R627" i="1"/>
  <c r="R626" i="1"/>
  <c r="R625" i="1"/>
  <c r="S625" i="1" s="1"/>
  <c r="R624" i="1"/>
  <c r="R623" i="1"/>
  <c r="R622" i="1"/>
  <c r="R621" i="1"/>
  <c r="R620" i="1"/>
  <c r="R619" i="1"/>
  <c r="R618" i="1"/>
  <c r="S618" i="1" s="1"/>
  <c r="R617" i="1"/>
  <c r="R616" i="1"/>
  <c r="R615" i="1"/>
  <c r="R614" i="1"/>
  <c r="R613" i="1"/>
  <c r="R612" i="1"/>
  <c r="R611" i="1"/>
  <c r="R610" i="1"/>
  <c r="R609" i="1"/>
  <c r="R608" i="1"/>
  <c r="R607" i="1"/>
  <c r="S607" i="1" s="1"/>
  <c r="R606" i="1"/>
  <c r="R605" i="1"/>
  <c r="R604" i="1"/>
  <c r="R603" i="1"/>
  <c r="R602" i="1"/>
  <c r="R601" i="1"/>
  <c r="R600" i="1"/>
  <c r="R599" i="1"/>
  <c r="R598" i="1"/>
  <c r="R597" i="1"/>
  <c r="R596" i="1"/>
  <c r="R595" i="1"/>
  <c r="S595" i="1" s="1"/>
  <c r="R594" i="1"/>
  <c r="S594" i="1" s="1"/>
  <c r="R593" i="1"/>
  <c r="R592" i="1"/>
  <c r="R591" i="1"/>
  <c r="R590" i="1"/>
  <c r="R589" i="1"/>
  <c r="R588" i="1"/>
  <c r="R587" i="1"/>
  <c r="R586" i="1"/>
  <c r="R585" i="1"/>
  <c r="R584" i="1"/>
  <c r="R583" i="1"/>
  <c r="R582" i="1"/>
  <c r="S582" i="1" s="1"/>
  <c r="R581" i="1"/>
  <c r="R580" i="1"/>
  <c r="R579" i="1"/>
  <c r="R578" i="1"/>
  <c r="R577" i="1"/>
  <c r="S577" i="1" s="1"/>
  <c r="R576" i="1"/>
  <c r="R575" i="1"/>
  <c r="R574" i="1"/>
  <c r="R573" i="1"/>
  <c r="R572" i="1"/>
  <c r="R571" i="1"/>
  <c r="R570" i="1"/>
  <c r="S570" i="1" s="1"/>
  <c r="R569" i="1"/>
  <c r="R568" i="1"/>
  <c r="R567" i="1"/>
  <c r="R566" i="1"/>
  <c r="R565" i="1"/>
  <c r="R564" i="1"/>
  <c r="R563" i="1"/>
  <c r="R562" i="1"/>
  <c r="R561" i="1"/>
  <c r="R560" i="1"/>
  <c r="R559" i="1"/>
  <c r="S559" i="1" s="1"/>
  <c r="R558" i="1"/>
  <c r="R557" i="1"/>
  <c r="R556" i="1"/>
  <c r="R555" i="1"/>
  <c r="R554" i="1"/>
  <c r="R553" i="1"/>
  <c r="R552" i="1"/>
  <c r="R551" i="1"/>
  <c r="R550" i="1"/>
  <c r="R549" i="1"/>
  <c r="R548" i="1"/>
  <c r="R547" i="1"/>
  <c r="S547" i="1" s="1"/>
  <c r="R546" i="1"/>
  <c r="S546" i="1" s="1"/>
  <c r="R545" i="1"/>
  <c r="R544" i="1"/>
  <c r="R543" i="1"/>
  <c r="R542" i="1"/>
  <c r="R541" i="1"/>
  <c r="R540" i="1"/>
  <c r="R539" i="1"/>
  <c r="R538" i="1"/>
  <c r="R537" i="1"/>
  <c r="R536" i="1"/>
  <c r="R535" i="1"/>
  <c r="R534" i="1"/>
  <c r="S534" i="1" s="1"/>
  <c r="R533" i="1"/>
  <c r="R532" i="1"/>
  <c r="R531" i="1"/>
  <c r="R530" i="1"/>
  <c r="R529" i="1"/>
  <c r="S529" i="1" s="1"/>
  <c r="R528" i="1"/>
  <c r="R527" i="1"/>
  <c r="R526" i="1"/>
  <c r="R525" i="1"/>
  <c r="R524" i="1"/>
  <c r="R523" i="1"/>
  <c r="R522" i="1"/>
  <c r="S522" i="1" s="1"/>
  <c r="R521" i="1"/>
  <c r="R520" i="1"/>
  <c r="R519" i="1"/>
  <c r="R518" i="1"/>
  <c r="R517" i="1"/>
  <c r="R516" i="1"/>
  <c r="R515" i="1"/>
  <c r="R514" i="1"/>
  <c r="R513" i="1"/>
  <c r="R512" i="1"/>
  <c r="S512" i="1" s="1"/>
  <c r="R511" i="1"/>
  <c r="S511" i="1" s="1"/>
  <c r="R510" i="1"/>
  <c r="R509" i="1"/>
  <c r="R508" i="1"/>
  <c r="R507" i="1"/>
  <c r="R506" i="1"/>
  <c r="R505" i="1"/>
  <c r="R504" i="1"/>
  <c r="R503" i="1"/>
  <c r="R502" i="1"/>
  <c r="R501" i="1"/>
  <c r="R500" i="1"/>
  <c r="R499" i="1"/>
  <c r="S499" i="1" s="1"/>
  <c r="R498" i="1"/>
  <c r="S498" i="1" s="1"/>
  <c r="R497" i="1"/>
  <c r="R496" i="1"/>
  <c r="R495" i="1"/>
  <c r="R494" i="1"/>
  <c r="R493" i="1"/>
  <c r="R492" i="1"/>
  <c r="R491" i="1"/>
  <c r="R490" i="1"/>
  <c r="R489" i="1"/>
  <c r="R488" i="1"/>
  <c r="R487" i="1"/>
  <c r="R486" i="1"/>
  <c r="S486" i="1" s="1"/>
  <c r="R485" i="1"/>
  <c r="R484" i="1"/>
  <c r="R483" i="1"/>
  <c r="R482" i="1"/>
  <c r="R481" i="1"/>
  <c r="R480" i="1"/>
  <c r="R479" i="1"/>
  <c r="R478" i="1"/>
  <c r="R477" i="1"/>
  <c r="R476" i="1"/>
  <c r="R475" i="1"/>
  <c r="R474" i="1"/>
  <c r="S474" i="1" s="1"/>
  <c r="R473" i="1"/>
  <c r="R472" i="1"/>
  <c r="R471" i="1"/>
  <c r="R470" i="1"/>
  <c r="R469" i="1"/>
  <c r="R468" i="1"/>
  <c r="R467" i="1"/>
  <c r="R466" i="1"/>
  <c r="R465" i="1"/>
  <c r="R464" i="1"/>
  <c r="R463" i="1"/>
  <c r="S463" i="1" s="1"/>
  <c r="R462" i="1"/>
  <c r="R461" i="1"/>
  <c r="R460" i="1"/>
  <c r="R459" i="1"/>
  <c r="R458" i="1"/>
  <c r="R457" i="1"/>
  <c r="R456" i="1"/>
  <c r="R455" i="1"/>
  <c r="R454" i="1"/>
  <c r="R453" i="1"/>
  <c r="R452" i="1"/>
  <c r="R451" i="1"/>
  <c r="S451" i="1" s="1"/>
  <c r="R450" i="1"/>
  <c r="S450" i="1" s="1"/>
  <c r="R449" i="1"/>
  <c r="R448" i="1"/>
  <c r="R447" i="1"/>
  <c r="R446" i="1"/>
  <c r="R445" i="1"/>
  <c r="R444" i="1"/>
  <c r="R443" i="1"/>
  <c r="R442" i="1"/>
  <c r="R441" i="1"/>
  <c r="R440" i="1"/>
  <c r="R439" i="1"/>
  <c r="R438" i="1"/>
  <c r="S438" i="1" s="1"/>
  <c r="R437" i="1"/>
  <c r="R436" i="1"/>
  <c r="R435" i="1"/>
  <c r="R434" i="1"/>
  <c r="R433" i="1"/>
  <c r="R432" i="1"/>
  <c r="R431" i="1"/>
  <c r="R430" i="1"/>
  <c r="R429" i="1"/>
  <c r="R428" i="1"/>
  <c r="R427" i="1"/>
  <c r="R426" i="1"/>
  <c r="S426" i="1" s="1"/>
  <c r="R425" i="1"/>
  <c r="R424" i="1"/>
  <c r="R423" i="1"/>
  <c r="R422" i="1"/>
  <c r="R421" i="1"/>
  <c r="R420" i="1"/>
  <c r="R419" i="1"/>
  <c r="R418" i="1"/>
  <c r="R417" i="1"/>
  <c r="R416" i="1"/>
  <c r="R415" i="1"/>
  <c r="S415" i="1" s="1"/>
  <c r="R414" i="1"/>
  <c r="R413" i="1"/>
  <c r="R412" i="1"/>
  <c r="R411" i="1"/>
  <c r="R410" i="1"/>
  <c r="R409" i="1"/>
  <c r="R408" i="1"/>
  <c r="R407" i="1"/>
  <c r="R406" i="1"/>
  <c r="R405" i="1"/>
  <c r="R404" i="1"/>
  <c r="R403" i="1"/>
  <c r="S403" i="1" s="1"/>
  <c r="R402" i="1"/>
  <c r="S402" i="1" s="1"/>
  <c r="R401" i="1"/>
  <c r="R400" i="1"/>
  <c r="R399" i="1"/>
  <c r="R398" i="1"/>
  <c r="R397" i="1"/>
  <c r="R396" i="1"/>
  <c r="R395" i="1"/>
  <c r="R394" i="1"/>
  <c r="R393" i="1"/>
  <c r="R392" i="1"/>
  <c r="R391" i="1"/>
  <c r="R390" i="1"/>
  <c r="S390" i="1" s="1"/>
  <c r="R389" i="1"/>
  <c r="R388" i="1"/>
  <c r="R387" i="1"/>
  <c r="R386" i="1"/>
  <c r="R385" i="1"/>
  <c r="R384" i="1"/>
  <c r="R383" i="1"/>
  <c r="R382" i="1"/>
  <c r="R381" i="1"/>
  <c r="R380" i="1"/>
  <c r="R379" i="1"/>
  <c r="R378" i="1"/>
  <c r="S378" i="1" s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S355" i="1" s="1"/>
  <c r="R354" i="1"/>
  <c r="S354" i="1" s="1"/>
  <c r="R353" i="1"/>
  <c r="R352" i="1"/>
  <c r="R351" i="1"/>
  <c r="R350" i="1"/>
  <c r="R349" i="1"/>
  <c r="R348" i="1"/>
  <c r="R347" i="1"/>
  <c r="R346" i="1"/>
  <c r="R345" i="1"/>
  <c r="R344" i="1"/>
  <c r="R343" i="1"/>
  <c r="R342" i="1"/>
  <c r="S342" i="1" s="1"/>
  <c r="R341" i="1"/>
  <c r="R340" i="1"/>
  <c r="R339" i="1"/>
  <c r="R338" i="1"/>
  <c r="R337" i="1"/>
  <c r="S337" i="1" s="1"/>
  <c r="R336" i="1"/>
  <c r="R335" i="1"/>
  <c r="R334" i="1"/>
  <c r="R333" i="1"/>
  <c r="R332" i="1"/>
  <c r="R331" i="1"/>
  <c r="R330" i="1"/>
  <c r="S330" i="1" s="1"/>
  <c r="R329" i="1"/>
  <c r="R328" i="1"/>
  <c r="R327" i="1"/>
  <c r="R326" i="1"/>
  <c r="R325" i="1"/>
  <c r="R324" i="1"/>
  <c r="R323" i="1"/>
  <c r="R322" i="1"/>
  <c r="R321" i="1"/>
  <c r="R320" i="1"/>
  <c r="S320" i="1" s="1"/>
  <c r="R319" i="1"/>
  <c r="S319" i="1" s="1"/>
  <c r="R318" i="1"/>
  <c r="R317" i="1"/>
  <c r="R316" i="1"/>
  <c r="R315" i="1"/>
  <c r="R314" i="1"/>
  <c r="R313" i="1"/>
  <c r="R312" i="1"/>
  <c r="R311" i="1"/>
  <c r="R310" i="1"/>
  <c r="R309" i="1"/>
  <c r="R308" i="1"/>
  <c r="R307" i="1"/>
  <c r="S307" i="1" s="1"/>
  <c r="R306" i="1"/>
  <c r="S306" i="1" s="1"/>
  <c r="R305" i="1"/>
  <c r="R304" i="1"/>
  <c r="R303" i="1"/>
  <c r="R302" i="1"/>
  <c r="R301" i="1"/>
  <c r="R300" i="1"/>
  <c r="R299" i="1"/>
  <c r="R298" i="1"/>
  <c r="R297" i="1"/>
  <c r="R296" i="1"/>
  <c r="R295" i="1"/>
  <c r="R294" i="1"/>
  <c r="S294" i="1" s="1"/>
  <c r="R293" i="1"/>
  <c r="R292" i="1"/>
  <c r="R291" i="1"/>
  <c r="R290" i="1"/>
  <c r="R289" i="1"/>
  <c r="S289" i="1" s="1"/>
  <c r="R288" i="1"/>
  <c r="R287" i="1"/>
  <c r="R286" i="1"/>
  <c r="R285" i="1"/>
  <c r="R284" i="1"/>
  <c r="R283" i="1"/>
  <c r="R282" i="1"/>
  <c r="S282" i="1" s="1"/>
  <c r="R281" i="1"/>
  <c r="R280" i="1"/>
  <c r="R279" i="1"/>
  <c r="R278" i="1"/>
  <c r="R277" i="1"/>
  <c r="R276" i="1"/>
  <c r="R275" i="1"/>
  <c r="R274" i="1"/>
  <c r="R273" i="1"/>
  <c r="R272" i="1"/>
  <c r="R271" i="1"/>
  <c r="S271" i="1" s="1"/>
  <c r="R270" i="1"/>
  <c r="R269" i="1"/>
  <c r="R268" i="1"/>
  <c r="R267" i="1"/>
  <c r="R266" i="1"/>
  <c r="R265" i="1"/>
  <c r="R264" i="1"/>
  <c r="R263" i="1"/>
  <c r="R262" i="1"/>
  <c r="R261" i="1"/>
  <c r="R260" i="1"/>
  <c r="R259" i="1"/>
  <c r="S259" i="1" s="1"/>
  <c r="R258" i="1"/>
  <c r="S258" i="1" s="1"/>
  <c r="R257" i="1"/>
  <c r="R256" i="1"/>
  <c r="R255" i="1"/>
  <c r="R254" i="1"/>
  <c r="R253" i="1"/>
  <c r="R252" i="1"/>
  <c r="R251" i="1"/>
  <c r="R250" i="1"/>
  <c r="R249" i="1"/>
  <c r="R248" i="1"/>
  <c r="R247" i="1"/>
  <c r="R246" i="1"/>
  <c r="S246" i="1" s="1"/>
  <c r="R245" i="1"/>
  <c r="R244" i="1"/>
  <c r="R243" i="1"/>
  <c r="R242" i="1"/>
  <c r="R241" i="1"/>
  <c r="R240" i="1"/>
  <c r="R239" i="1"/>
  <c r="R238" i="1"/>
  <c r="R237" i="1"/>
  <c r="R236" i="1"/>
  <c r="R235" i="1"/>
  <c r="R234" i="1"/>
  <c r="S234" i="1" s="1"/>
  <c r="R233" i="1"/>
  <c r="R232" i="1"/>
  <c r="R231" i="1"/>
  <c r="R230" i="1"/>
  <c r="R229" i="1"/>
  <c r="R228" i="1"/>
  <c r="R227" i="1"/>
  <c r="R226" i="1"/>
  <c r="R225" i="1"/>
  <c r="R224" i="1"/>
  <c r="R223" i="1"/>
  <c r="S223" i="1" s="1"/>
  <c r="R222" i="1"/>
  <c r="R221" i="1"/>
  <c r="R220" i="1"/>
  <c r="R219" i="1"/>
  <c r="R218" i="1"/>
  <c r="R217" i="1"/>
  <c r="R216" i="1"/>
  <c r="R215" i="1"/>
  <c r="R214" i="1"/>
  <c r="R213" i="1"/>
  <c r="R212" i="1"/>
  <c r="R211" i="1"/>
  <c r="S211" i="1" s="1"/>
  <c r="R210" i="1"/>
  <c r="S210" i="1" s="1"/>
  <c r="R209" i="1"/>
  <c r="R208" i="1"/>
  <c r="R207" i="1"/>
  <c r="R206" i="1"/>
  <c r="R205" i="1"/>
  <c r="R204" i="1"/>
  <c r="R203" i="1"/>
  <c r="R202" i="1"/>
  <c r="R201" i="1"/>
  <c r="R200" i="1"/>
  <c r="S200" i="1" s="1"/>
  <c r="R199" i="1"/>
  <c r="S199" i="1" s="1"/>
  <c r="R198" i="1"/>
  <c r="S198" i="1" s="1"/>
  <c r="R197" i="1"/>
  <c r="R196" i="1"/>
  <c r="R195" i="1"/>
  <c r="R194" i="1"/>
  <c r="R193" i="1"/>
  <c r="R192" i="1"/>
  <c r="R191" i="1"/>
  <c r="R190" i="1"/>
  <c r="R189" i="1"/>
  <c r="R188" i="1"/>
  <c r="R187" i="1"/>
  <c r="R186" i="1"/>
  <c r="S186" i="1" s="1"/>
  <c r="R185" i="1"/>
  <c r="R184" i="1"/>
  <c r="R183" i="1"/>
  <c r="R182" i="1"/>
  <c r="R181" i="1"/>
  <c r="R180" i="1"/>
  <c r="R179" i="1"/>
  <c r="R178" i="1"/>
  <c r="R177" i="1"/>
  <c r="R176" i="1"/>
  <c r="R175" i="1"/>
  <c r="R174" i="1"/>
  <c r="S174" i="1" s="1"/>
  <c r="R173" i="1"/>
  <c r="R172" i="1"/>
  <c r="R171" i="1"/>
  <c r="R170" i="1"/>
  <c r="R169" i="1"/>
  <c r="R168" i="1"/>
  <c r="R167" i="1"/>
  <c r="R166" i="1"/>
  <c r="R165" i="1"/>
  <c r="R164" i="1"/>
  <c r="R163" i="1"/>
  <c r="S163" i="1" s="1"/>
  <c r="R162" i="1"/>
  <c r="S162" i="1" s="1"/>
  <c r="R161" i="1"/>
  <c r="R160" i="1"/>
  <c r="R159" i="1"/>
  <c r="R158" i="1"/>
  <c r="R157" i="1"/>
  <c r="R156" i="1"/>
  <c r="R155" i="1"/>
  <c r="R154" i="1"/>
  <c r="R153" i="1"/>
  <c r="R152" i="1"/>
  <c r="R151" i="1"/>
  <c r="R150" i="1"/>
  <c r="S150" i="1" s="1"/>
  <c r="R149" i="1"/>
  <c r="R148" i="1"/>
  <c r="R147" i="1"/>
  <c r="R146" i="1"/>
  <c r="R145" i="1"/>
  <c r="R144" i="1"/>
  <c r="R143" i="1"/>
  <c r="R142" i="1"/>
  <c r="R141" i="1"/>
  <c r="R140" i="1"/>
  <c r="R139" i="1"/>
  <c r="R138" i="1"/>
  <c r="S138" i="1" s="1"/>
  <c r="R137" i="1"/>
  <c r="R136" i="1"/>
  <c r="R135" i="1"/>
  <c r="R134" i="1"/>
  <c r="R133" i="1"/>
  <c r="R132" i="1"/>
  <c r="R131" i="1"/>
  <c r="R130" i="1"/>
  <c r="R129" i="1"/>
  <c r="R128" i="1"/>
  <c r="R127" i="1"/>
  <c r="R126" i="1"/>
  <c r="S126" i="1" s="1"/>
  <c r="R125" i="1"/>
  <c r="R124" i="1"/>
  <c r="R123" i="1"/>
  <c r="R122" i="1"/>
  <c r="R121" i="1"/>
  <c r="R120" i="1"/>
  <c r="R119" i="1"/>
  <c r="R118" i="1"/>
  <c r="R117" i="1"/>
  <c r="R116" i="1"/>
  <c r="R115" i="1"/>
  <c r="R114" i="1"/>
  <c r="S114" i="1" s="1"/>
  <c r="R113" i="1"/>
  <c r="R112" i="1"/>
  <c r="R111" i="1"/>
  <c r="R110" i="1"/>
  <c r="R109" i="1"/>
  <c r="R108" i="1"/>
  <c r="R107" i="1"/>
  <c r="R106" i="1"/>
  <c r="R105" i="1"/>
  <c r="R104" i="1"/>
  <c r="R103" i="1"/>
  <c r="R102" i="1"/>
  <c r="S102" i="1" s="1"/>
  <c r="R101" i="1"/>
  <c r="R100" i="1"/>
  <c r="R99" i="1"/>
  <c r="R98" i="1"/>
  <c r="R97" i="1"/>
  <c r="R96" i="1"/>
  <c r="R95" i="1"/>
  <c r="R94" i="1"/>
  <c r="R93" i="1"/>
  <c r="R92" i="1"/>
  <c r="R91" i="1"/>
  <c r="S91" i="1" s="1"/>
  <c r="R90" i="1"/>
  <c r="S90" i="1" s="1"/>
  <c r="R89" i="1"/>
  <c r="R88" i="1"/>
  <c r="R87" i="1"/>
  <c r="R86" i="1"/>
  <c r="R85" i="1"/>
  <c r="R84" i="1"/>
  <c r="R83" i="1"/>
  <c r="R82" i="1"/>
  <c r="R81" i="1"/>
  <c r="R80" i="1"/>
  <c r="R79" i="1"/>
  <c r="R78" i="1"/>
  <c r="S78" i="1" s="1"/>
  <c r="R77" i="1"/>
  <c r="R76" i="1"/>
  <c r="R75" i="1"/>
  <c r="R74" i="1"/>
  <c r="R73" i="1"/>
  <c r="R72" i="1"/>
  <c r="R71" i="1"/>
  <c r="R70" i="1"/>
  <c r="R69" i="1"/>
  <c r="R68" i="1"/>
  <c r="R67" i="1"/>
  <c r="R66" i="1"/>
  <c r="S66" i="1" s="1"/>
  <c r="R65" i="1"/>
  <c r="R64" i="1"/>
  <c r="R63" i="1"/>
  <c r="R62" i="1"/>
  <c r="R61" i="1"/>
  <c r="R60" i="1"/>
  <c r="R59" i="1"/>
  <c r="R58" i="1"/>
  <c r="R57" i="1"/>
  <c r="R56" i="1"/>
  <c r="R55" i="1"/>
  <c r="S55" i="1" s="1"/>
  <c r="R54" i="1"/>
  <c r="S54" i="1" s="1"/>
  <c r="R53" i="1"/>
  <c r="R52" i="1"/>
  <c r="R51" i="1"/>
  <c r="R50" i="1"/>
  <c r="R49" i="1"/>
  <c r="R48" i="1"/>
  <c r="R47" i="1"/>
  <c r="R46" i="1"/>
  <c r="R45" i="1"/>
  <c r="R44" i="1"/>
  <c r="R43" i="1"/>
  <c r="R42" i="1"/>
  <c r="S42" i="1" s="1"/>
  <c r="R41" i="1"/>
  <c r="R40" i="1"/>
  <c r="R39" i="1"/>
  <c r="R38" i="1"/>
  <c r="R37" i="1"/>
  <c r="R36" i="1"/>
  <c r="R35" i="1"/>
  <c r="R34" i="1"/>
  <c r="R33" i="1"/>
  <c r="R32" i="1"/>
  <c r="R31" i="1"/>
  <c r="R30" i="1"/>
  <c r="S30" i="1" s="1"/>
  <c r="R29" i="1"/>
  <c r="R28" i="1"/>
  <c r="R27" i="1"/>
  <c r="R26" i="1"/>
  <c r="R25" i="1"/>
  <c r="R24" i="1"/>
  <c r="R23" i="1"/>
  <c r="R22" i="1"/>
  <c r="R21" i="1"/>
  <c r="R20" i="1"/>
  <c r="R19" i="1"/>
  <c r="S19" i="1" s="1"/>
  <c r="R18" i="1"/>
  <c r="S18" i="1" s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Q6901" i="1"/>
  <c r="Q6900" i="1"/>
  <c r="S6900" i="1" s="1"/>
  <c r="Q6899" i="1"/>
  <c r="S6899" i="1" s="1"/>
  <c r="Q6898" i="1"/>
  <c r="S6898" i="1" s="1"/>
  <c r="Q6897" i="1"/>
  <c r="S6897" i="1" s="1"/>
  <c r="Q6896" i="1"/>
  <c r="Q6895" i="1"/>
  <c r="Q6894" i="1"/>
  <c r="S6894" i="1" s="1"/>
  <c r="Q6893" i="1"/>
  <c r="S6893" i="1" s="1"/>
  <c r="Q6892" i="1"/>
  <c r="S6892" i="1" s="1"/>
  <c r="Q6891" i="1"/>
  <c r="Q6890" i="1"/>
  <c r="Q6889" i="1"/>
  <c r="Q6888" i="1"/>
  <c r="S6888" i="1" s="1"/>
  <c r="Q6887" i="1"/>
  <c r="S6887" i="1" s="1"/>
  <c r="Q6886" i="1"/>
  <c r="S6886" i="1" s="1"/>
  <c r="Q6885" i="1"/>
  <c r="S6885" i="1" s="1"/>
  <c r="Q6884" i="1"/>
  <c r="Q6883" i="1"/>
  <c r="Q6882" i="1"/>
  <c r="S6882" i="1" s="1"/>
  <c r="Q6881" i="1"/>
  <c r="S6881" i="1" s="1"/>
  <c r="Q6880" i="1"/>
  <c r="S6880" i="1" s="1"/>
  <c r="Q6879" i="1"/>
  <c r="Q6878" i="1"/>
  <c r="Q6877" i="1"/>
  <c r="Q6876" i="1"/>
  <c r="S6876" i="1" s="1"/>
  <c r="Q6875" i="1"/>
  <c r="S6875" i="1" s="1"/>
  <c r="Q6874" i="1"/>
  <c r="S6874" i="1" s="1"/>
  <c r="Q6873" i="1"/>
  <c r="S6873" i="1" s="1"/>
  <c r="Q6872" i="1"/>
  <c r="Q6871" i="1"/>
  <c r="Q6870" i="1"/>
  <c r="S6870" i="1" s="1"/>
  <c r="Q6869" i="1"/>
  <c r="S6869" i="1" s="1"/>
  <c r="Q6868" i="1"/>
  <c r="S6868" i="1" s="1"/>
  <c r="Q6867" i="1"/>
  <c r="Q6866" i="1"/>
  <c r="Q6865" i="1"/>
  <c r="Q6864" i="1"/>
  <c r="S6864" i="1" s="1"/>
  <c r="Q6863" i="1"/>
  <c r="S6863" i="1" s="1"/>
  <c r="Q6862" i="1"/>
  <c r="S6862" i="1" s="1"/>
  <c r="Q6861" i="1"/>
  <c r="S6861" i="1" s="1"/>
  <c r="Q6860" i="1"/>
  <c r="Q6859" i="1"/>
  <c r="Q6858" i="1"/>
  <c r="S6858" i="1" s="1"/>
  <c r="Q6857" i="1"/>
  <c r="S6857" i="1" s="1"/>
  <c r="Q6856" i="1"/>
  <c r="S6856" i="1" s="1"/>
  <c r="Q6855" i="1"/>
  <c r="Q6854" i="1"/>
  <c r="Q6853" i="1"/>
  <c r="Q6852" i="1"/>
  <c r="S6852" i="1" s="1"/>
  <c r="Q6851" i="1"/>
  <c r="S6851" i="1" s="1"/>
  <c r="Q6850" i="1"/>
  <c r="S6850" i="1" s="1"/>
  <c r="Q6849" i="1"/>
  <c r="S6849" i="1" s="1"/>
  <c r="Q6848" i="1"/>
  <c r="Q6847" i="1"/>
  <c r="Q6846" i="1"/>
  <c r="S6846" i="1" s="1"/>
  <c r="Q6845" i="1"/>
  <c r="S6845" i="1" s="1"/>
  <c r="Q6844" i="1"/>
  <c r="S6844" i="1" s="1"/>
  <c r="Q6843" i="1"/>
  <c r="Q6842" i="1"/>
  <c r="Q6841" i="1"/>
  <c r="Q6840" i="1"/>
  <c r="S6840" i="1" s="1"/>
  <c r="Q6839" i="1"/>
  <c r="S6839" i="1" s="1"/>
  <c r="Q6838" i="1"/>
  <c r="S6838" i="1" s="1"/>
  <c r="Q6837" i="1"/>
  <c r="S6837" i="1" s="1"/>
  <c r="Q6836" i="1"/>
  <c r="Q6835" i="1"/>
  <c r="Q6834" i="1"/>
  <c r="S6834" i="1" s="1"/>
  <c r="Q6833" i="1"/>
  <c r="S6833" i="1" s="1"/>
  <c r="Q6832" i="1"/>
  <c r="S6832" i="1" s="1"/>
  <c r="Q6831" i="1"/>
  <c r="Q6830" i="1"/>
  <c r="Q6829" i="1"/>
  <c r="Q6828" i="1"/>
  <c r="S6828" i="1" s="1"/>
  <c r="Q6827" i="1"/>
  <c r="S6827" i="1" s="1"/>
  <c r="Q6826" i="1"/>
  <c r="S6826" i="1" s="1"/>
  <c r="Q6825" i="1"/>
  <c r="S6825" i="1" s="1"/>
  <c r="Q6824" i="1"/>
  <c r="Q6823" i="1"/>
  <c r="Q6822" i="1"/>
  <c r="S6822" i="1" s="1"/>
  <c r="Q6821" i="1"/>
  <c r="S6821" i="1" s="1"/>
  <c r="Q6820" i="1"/>
  <c r="S6820" i="1" s="1"/>
  <c r="Q6819" i="1"/>
  <c r="Q6818" i="1"/>
  <c r="Q6817" i="1"/>
  <c r="Q6816" i="1"/>
  <c r="S6816" i="1" s="1"/>
  <c r="Q6815" i="1"/>
  <c r="S6815" i="1" s="1"/>
  <c r="Q6814" i="1"/>
  <c r="S6814" i="1" s="1"/>
  <c r="Q6813" i="1"/>
  <c r="S6813" i="1" s="1"/>
  <c r="Q6812" i="1"/>
  <c r="Q6811" i="1"/>
  <c r="Q6810" i="1"/>
  <c r="S6810" i="1" s="1"/>
  <c r="Q6809" i="1"/>
  <c r="S6809" i="1" s="1"/>
  <c r="Q6808" i="1"/>
  <c r="S6808" i="1" s="1"/>
  <c r="Q6807" i="1"/>
  <c r="Q6806" i="1"/>
  <c r="Q6805" i="1"/>
  <c r="Q6804" i="1"/>
  <c r="S6804" i="1" s="1"/>
  <c r="Q6803" i="1"/>
  <c r="S6803" i="1" s="1"/>
  <c r="Q6802" i="1"/>
  <c r="S6802" i="1" s="1"/>
  <c r="Q6801" i="1"/>
  <c r="S6801" i="1" s="1"/>
  <c r="Q6800" i="1"/>
  <c r="Q6799" i="1"/>
  <c r="Q6798" i="1"/>
  <c r="S6798" i="1" s="1"/>
  <c r="Q6797" i="1"/>
  <c r="S6797" i="1" s="1"/>
  <c r="Q6796" i="1"/>
  <c r="S6796" i="1" s="1"/>
  <c r="Q6795" i="1"/>
  <c r="Q6794" i="1"/>
  <c r="Q6793" i="1"/>
  <c r="Q6792" i="1"/>
  <c r="S6792" i="1" s="1"/>
  <c r="Q6791" i="1"/>
  <c r="S6791" i="1" s="1"/>
  <c r="Q6790" i="1"/>
  <c r="S6790" i="1" s="1"/>
  <c r="Q6789" i="1"/>
  <c r="S6789" i="1" s="1"/>
  <c r="Q6788" i="1"/>
  <c r="Q6787" i="1"/>
  <c r="Q6786" i="1"/>
  <c r="S6786" i="1" s="1"/>
  <c r="Q6785" i="1"/>
  <c r="S6785" i="1" s="1"/>
  <c r="Q6784" i="1"/>
  <c r="S6784" i="1" s="1"/>
  <c r="Q6783" i="1"/>
  <c r="Q6782" i="1"/>
  <c r="Q6781" i="1"/>
  <c r="Q6780" i="1"/>
  <c r="S6780" i="1" s="1"/>
  <c r="Q6779" i="1"/>
  <c r="S6779" i="1" s="1"/>
  <c r="Q6778" i="1"/>
  <c r="S6778" i="1" s="1"/>
  <c r="Q6777" i="1"/>
  <c r="S6777" i="1" s="1"/>
  <c r="Q6776" i="1"/>
  <c r="Q6775" i="1"/>
  <c r="Q6774" i="1"/>
  <c r="S6774" i="1" s="1"/>
  <c r="Q6773" i="1"/>
  <c r="S6773" i="1" s="1"/>
  <c r="Q6772" i="1"/>
  <c r="S6772" i="1" s="1"/>
  <c r="Q6771" i="1"/>
  <c r="Q6770" i="1"/>
  <c r="Q6769" i="1"/>
  <c r="Q6768" i="1"/>
  <c r="S6768" i="1" s="1"/>
  <c r="Q6767" i="1"/>
  <c r="S6767" i="1" s="1"/>
  <c r="Q6766" i="1"/>
  <c r="S6766" i="1" s="1"/>
  <c r="Q6765" i="1"/>
  <c r="S6765" i="1" s="1"/>
  <c r="Q6764" i="1"/>
  <c r="Q6763" i="1"/>
  <c r="Q6762" i="1"/>
  <c r="S6762" i="1" s="1"/>
  <c r="Q6761" i="1"/>
  <c r="S6761" i="1" s="1"/>
  <c r="Q6760" i="1"/>
  <c r="S6760" i="1" s="1"/>
  <c r="Q6759" i="1"/>
  <c r="Q6758" i="1"/>
  <c r="Q6757" i="1"/>
  <c r="Q6756" i="1"/>
  <c r="S6756" i="1" s="1"/>
  <c r="Q6755" i="1"/>
  <c r="S6755" i="1" s="1"/>
  <c r="Q6754" i="1"/>
  <c r="S6754" i="1" s="1"/>
  <c r="Q6753" i="1"/>
  <c r="S6753" i="1" s="1"/>
  <c r="Q6752" i="1"/>
  <c r="Q6751" i="1"/>
  <c r="Q6750" i="1"/>
  <c r="S6750" i="1" s="1"/>
  <c r="Q6749" i="1"/>
  <c r="S6749" i="1" s="1"/>
  <c r="Q6748" i="1"/>
  <c r="S6748" i="1" s="1"/>
  <c r="Q6747" i="1"/>
  <c r="Q6746" i="1"/>
  <c r="Q6745" i="1"/>
  <c r="Q6744" i="1"/>
  <c r="S6744" i="1" s="1"/>
  <c r="Q6743" i="1"/>
  <c r="S6743" i="1" s="1"/>
  <c r="Q6742" i="1"/>
  <c r="S6742" i="1" s="1"/>
  <c r="Q6741" i="1"/>
  <c r="S6741" i="1" s="1"/>
  <c r="Q6740" i="1"/>
  <c r="Q6739" i="1"/>
  <c r="Q6738" i="1"/>
  <c r="S6738" i="1" s="1"/>
  <c r="Q6737" i="1"/>
  <c r="S6737" i="1" s="1"/>
  <c r="Q6736" i="1"/>
  <c r="S6736" i="1" s="1"/>
  <c r="Q6735" i="1"/>
  <c r="Q6734" i="1"/>
  <c r="Q6733" i="1"/>
  <c r="Q6732" i="1"/>
  <c r="S6732" i="1" s="1"/>
  <c r="Q6731" i="1"/>
  <c r="S6731" i="1" s="1"/>
  <c r="Q6730" i="1"/>
  <c r="S6730" i="1" s="1"/>
  <c r="Q6729" i="1"/>
  <c r="S6729" i="1" s="1"/>
  <c r="Q6728" i="1"/>
  <c r="Q6727" i="1"/>
  <c r="Q6726" i="1"/>
  <c r="S6726" i="1" s="1"/>
  <c r="Q6725" i="1"/>
  <c r="S6725" i="1" s="1"/>
  <c r="Q6724" i="1"/>
  <c r="S6724" i="1" s="1"/>
  <c r="Q6723" i="1"/>
  <c r="Q6722" i="1"/>
  <c r="Q6721" i="1"/>
  <c r="Q6720" i="1"/>
  <c r="S6720" i="1" s="1"/>
  <c r="Q6719" i="1"/>
  <c r="S6719" i="1" s="1"/>
  <c r="Q6718" i="1"/>
  <c r="S6718" i="1" s="1"/>
  <c r="Q6717" i="1"/>
  <c r="S6717" i="1" s="1"/>
  <c r="Q6716" i="1"/>
  <c r="Q6715" i="1"/>
  <c r="Q6714" i="1"/>
  <c r="S6714" i="1" s="1"/>
  <c r="Q6713" i="1"/>
  <c r="S6713" i="1" s="1"/>
  <c r="Q6712" i="1"/>
  <c r="S6712" i="1" s="1"/>
  <c r="Q6711" i="1"/>
  <c r="Q6710" i="1"/>
  <c r="Q6709" i="1"/>
  <c r="Q6708" i="1"/>
  <c r="S6708" i="1" s="1"/>
  <c r="Q6707" i="1"/>
  <c r="S6707" i="1" s="1"/>
  <c r="Q6706" i="1"/>
  <c r="S6706" i="1" s="1"/>
  <c r="Q6705" i="1"/>
  <c r="S6705" i="1" s="1"/>
  <c r="Q6704" i="1"/>
  <c r="Q6703" i="1"/>
  <c r="Q6702" i="1"/>
  <c r="S6702" i="1" s="1"/>
  <c r="Q6701" i="1"/>
  <c r="S6701" i="1" s="1"/>
  <c r="Q6700" i="1"/>
  <c r="S6700" i="1" s="1"/>
  <c r="Q6699" i="1"/>
  <c r="Q6698" i="1"/>
  <c r="Q6697" i="1"/>
  <c r="Q6696" i="1"/>
  <c r="S6696" i="1" s="1"/>
  <c r="Q6695" i="1"/>
  <c r="S6695" i="1" s="1"/>
  <c r="Q6694" i="1"/>
  <c r="S6694" i="1" s="1"/>
  <c r="Q6693" i="1"/>
  <c r="S6693" i="1" s="1"/>
  <c r="Q6692" i="1"/>
  <c r="Q6691" i="1"/>
  <c r="Q6690" i="1"/>
  <c r="S6690" i="1" s="1"/>
  <c r="Q6689" i="1"/>
  <c r="S6689" i="1" s="1"/>
  <c r="Q6688" i="1"/>
  <c r="S6688" i="1" s="1"/>
  <c r="Q6687" i="1"/>
  <c r="Q6686" i="1"/>
  <c r="Q6685" i="1"/>
  <c r="Q6684" i="1"/>
  <c r="S6684" i="1" s="1"/>
  <c r="Q6683" i="1"/>
  <c r="S6683" i="1" s="1"/>
  <c r="Q6682" i="1"/>
  <c r="S6682" i="1" s="1"/>
  <c r="Q6681" i="1"/>
  <c r="S6681" i="1" s="1"/>
  <c r="Q6680" i="1"/>
  <c r="Q6679" i="1"/>
  <c r="Q6678" i="1"/>
  <c r="S6678" i="1" s="1"/>
  <c r="Q6677" i="1"/>
  <c r="S6677" i="1" s="1"/>
  <c r="Q6676" i="1"/>
  <c r="S6676" i="1" s="1"/>
  <c r="Q6675" i="1"/>
  <c r="Q6674" i="1"/>
  <c r="Q6673" i="1"/>
  <c r="Q6672" i="1"/>
  <c r="S6672" i="1" s="1"/>
  <c r="Q6671" i="1"/>
  <c r="S6671" i="1" s="1"/>
  <c r="Q6670" i="1"/>
  <c r="S6670" i="1" s="1"/>
  <c r="Q6669" i="1"/>
  <c r="S6669" i="1" s="1"/>
  <c r="Q6668" i="1"/>
  <c r="Q6667" i="1"/>
  <c r="Q6666" i="1"/>
  <c r="S6666" i="1" s="1"/>
  <c r="Q6665" i="1"/>
  <c r="S6665" i="1" s="1"/>
  <c r="Q6664" i="1"/>
  <c r="S6664" i="1" s="1"/>
  <c r="Q6663" i="1"/>
  <c r="Q6662" i="1"/>
  <c r="Q6661" i="1"/>
  <c r="Q6660" i="1"/>
  <c r="S6660" i="1" s="1"/>
  <c r="Q6659" i="1"/>
  <c r="S6659" i="1" s="1"/>
  <c r="Q6658" i="1"/>
  <c r="S6658" i="1" s="1"/>
  <c r="Q6657" i="1"/>
  <c r="S6657" i="1" s="1"/>
  <c r="Q6656" i="1"/>
  <c r="Q6655" i="1"/>
  <c r="Q6654" i="1"/>
  <c r="Q6653" i="1"/>
  <c r="S6653" i="1" s="1"/>
  <c r="Q6652" i="1"/>
  <c r="S6652" i="1" s="1"/>
  <c r="Q6651" i="1"/>
  <c r="Q6650" i="1"/>
  <c r="Q6649" i="1"/>
  <c r="Q6648" i="1"/>
  <c r="S6648" i="1" s="1"/>
  <c r="Q6647" i="1"/>
  <c r="S6647" i="1" s="1"/>
  <c r="Q6646" i="1"/>
  <c r="S6646" i="1" s="1"/>
  <c r="Q6645" i="1"/>
  <c r="S6645" i="1" s="1"/>
  <c r="Q6644" i="1"/>
  <c r="Q6643" i="1"/>
  <c r="Q6642" i="1"/>
  <c r="Q6641" i="1"/>
  <c r="S6641" i="1" s="1"/>
  <c r="Q6640" i="1"/>
  <c r="S6640" i="1" s="1"/>
  <c r="Q6639" i="1"/>
  <c r="Q6638" i="1"/>
  <c r="Q6637" i="1"/>
  <c r="Q6636" i="1"/>
  <c r="S6636" i="1" s="1"/>
  <c r="Q6635" i="1"/>
  <c r="S6635" i="1" s="1"/>
  <c r="Q6634" i="1"/>
  <c r="S6634" i="1" s="1"/>
  <c r="Q6633" i="1"/>
  <c r="S6633" i="1" s="1"/>
  <c r="Q6632" i="1"/>
  <c r="Q6631" i="1"/>
  <c r="Q6630" i="1"/>
  <c r="Q6629" i="1"/>
  <c r="S6629" i="1" s="1"/>
  <c r="Q6628" i="1"/>
  <c r="S6628" i="1" s="1"/>
  <c r="Q6627" i="1"/>
  <c r="Q6626" i="1"/>
  <c r="Q6625" i="1"/>
  <c r="Q6624" i="1"/>
  <c r="S6624" i="1" s="1"/>
  <c r="Q6623" i="1"/>
  <c r="S6623" i="1" s="1"/>
  <c r="Q6622" i="1"/>
  <c r="S6622" i="1" s="1"/>
  <c r="Q6621" i="1"/>
  <c r="S6621" i="1" s="1"/>
  <c r="Q6620" i="1"/>
  <c r="Q6619" i="1"/>
  <c r="Q6618" i="1"/>
  <c r="Q6617" i="1"/>
  <c r="S6617" i="1" s="1"/>
  <c r="Q6616" i="1"/>
  <c r="S6616" i="1" s="1"/>
  <c r="Q6615" i="1"/>
  <c r="Q6614" i="1"/>
  <c r="Q6613" i="1"/>
  <c r="Q6612" i="1"/>
  <c r="S6612" i="1" s="1"/>
  <c r="Q6611" i="1"/>
  <c r="S6611" i="1" s="1"/>
  <c r="Q6610" i="1"/>
  <c r="S6610" i="1" s="1"/>
  <c r="Q6609" i="1"/>
  <c r="S6609" i="1" s="1"/>
  <c r="Q6608" i="1"/>
  <c r="Q6607" i="1"/>
  <c r="Q6606" i="1"/>
  <c r="Q6605" i="1"/>
  <c r="S6605" i="1" s="1"/>
  <c r="Q6604" i="1"/>
  <c r="S6604" i="1" s="1"/>
  <c r="Q6603" i="1"/>
  <c r="Q6602" i="1"/>
  <c r="Q6601" i="1"/>
  <c r="Q6600" i="1"/>
  <c r="S6600" i="1" s="1"/>
  <c r="Q6599" i="1"/>
  <c r="S6599" i="1" s="1"/>
  <c r="Q6598" i="1"/>
  <c r="S6598" i="1" s="1"/>
  <c r="Q6597" i="1"/>
  <c r="S6597" i="1" s="1"/>
  <c r="Q6596" i="1"/>
  <c r="Q6595" i="1"/>
  <c r="Q6594" i="1"/>
  <c r="Q6593" i="1"/>
  <c r="S6593" i="1" s="1"/>
  <c r="Q6592" i="1"/>
  <c r="S6592" i="1" s="1"/>
  <c r="Q6591" i="1"/>
  <c r="Q6590" i="1"/>
  <c r="Q6589" i="1"/>
  <c r="Q6588" i="1"/>
  <c r="S6588" i="1" s="1"/>
  <c r="Q6587" i="1"/>
  <c r="S6587" i="1" s="1"/>
  <c r="Q6586" i="1"/>
  <c r="S6586" i="1" s="1"/>
  <c r="Q6585" i="1"/>
  <c r="S6585" i="1" s="1"/>
  <c r="Q6584" i="1"/>
  <c r="Q6583" i="1"/>
  <c r="Q6582" i="1"/>
  <c r="Q6581" i="1"/>
  <c r="S6581" i="1" s="1"/>
  <c r="Q6580" i="1"/>
  <c r="S6580" i="1" s="1"/>
  <c r="Q6579" i="1"/>
  <c r="Q6578" i="1"/>
  <c r="Q6577" i="1"/>
  <c r="Q6576" i="1"/>
  <c r="S6576" i="1" s="1"/>
  <c r="Q6575" i="1"/>
  <c r="S6575" i="1" s="1"/>
  <c r="Q6574" i="1"/>
  <c r="S6574" i="1" s="1"/>
  <c r="Q6573" i="1"/>
  <c r="S6573" i="1" s="1"/>
  <c r="Q6572" i="1"/>
  <c r="Q6571" i="1"/>
  <c r="Q6570" i="1"/>
  <c r="Q6569" i="1"/>
  <c r="S6569" i="1" s="1"/>
  <c r="Q6568" i="1"/>
  <c r="S6568" i="1" s="1"/>
  <c r="Q6567" i="1"/>
  <c r="Q6566" i="1"/>
  <c r="Q6565" i="1"/>
  <c r="Q6564" i="1"/>
  <c r="S6564" i="1" s="1"/>
  <c r="Q6563" i="1"/>
  <c r="S6563" i="1" s="1"/>
  <c r="Q6562" i="1"/>
  <c r="S6562" i="1" s="1"/>
  <c r="Q6561" i="1"/>
  <c r="S6561" i="1" s="1"/>
  <c r="Q6560" i="1"/>
  <c r="Q6559" i="1"/>
  <c r="Q6558" i="1"/>
  <c r="Q6557" i="1"/>
  <c r="S6557" i="1" s="1"/>
  <c r="Q6556" i="1"/>
  <c r="S6556" i="1" s="1"/>
  <c r="Q6555" i="1"/>
  <c r="Q6554" i="1"/>
  <c r="Q6553" i="1"/>
  <c r="Q6552" i="1"/>
  <c r="S6552" i="1" s="1"/>
  <c r="Q6551" i="1"/>
  <c r="S6551" i="1" s="1"/>
  <c r="Q6550" i="1"/>
  <c r="S6550" i="1" s="1"/>
  <c r="Q6549" i="1"/>
  <c r="S6549" i="1" s="1"/>
  <c r="Q6548" i="1"/>
  <c r="Q6547" i="1"/>
  <c r="Q6546" i="1"/>
  <c r="Q6545" i="1"/>
  <c r="S6545" i="1" s="1"/>
  <c r="Q6544" i="1"/>
  <c r="S6544" i="1" s="1"/>
  <c r="Q6543" i="1"/>
  <c r="Q6542" i="1"/>
  <c r="Q6541" i="1"/>
  <c r="Q6540" i="1"/>
  <c r="S6540" i="1" s="1"/>
  <c r="Q6539" i="1"/>
  <c r="S6539" i="1" s="1"/>
  <c r="Q6538" i="1"/>
  <c r="S6538" i="1" s="1"/>
  <c r="Q6537" i="1"/>
  <c r="S6537" i="1" s="1"/>
  <c r="Q6536" i="1"/>
  <c r="Q6535" i="1"/>
  <c r="Q6534" i="1"/>
  <c r="Q6533" i="1"/>
  <c r="S6533" i="1" s="1"/>
  <c r="Q6532" i="1"/>
  <c r="S6532" i="1" s="1"/>
  <c r="Q6531" i="1"/>
  <c r="Q6530" i="1"/>
  <c r="Q6529" i="1"/>
  <c r="Q6528" i="1"/>
  <c r="S6528" i="1" s="1"/>
  <c r="Q6527" i="1"/>
  <c r="S6527" i="1" s="1"/>
  <c r="Q6526" i="1"/>
  <c r="S6526" i="1" s="1"/>
  <c r="Q6525" i="1"/>
  <c r="S6525" i="1" s="1"/>
  <c r="Q6524" i="1"/>
  <c r="Q6523" i="1"/>
  <c r="Q6522" i="1"/>
  <c r="Q6521" i="1"/>
  <c r="S6521" i="1" s="1"/>
  <c r="Q6520" i="1"/>
  <c r="S6520" i="1" s="1"/>
  <c r="Q6519" i="1"/>
  <c r="Q6518" i="1"/>
  <c r="Q6517" i="1"/>
  <c r="Q6516" i="1"/>
  <c r="S6516" i="1" s="1"/>
  <c r="Q6515" i="1"/>
  <c r="S6515" i="1" s="1"/>
  <c r="Q6514" i="1"/>
  <c r="S6514" i="1" s="1"/>
  <c r="Q6513" i="1"/>
  <c r="S6513" i="1" s="1"/>
  <c r="Q6512" i="1"/>
  <c r="Q6511" i="1"/>
  <c r="Q6510" i="1"/>
  <c r="Q6509" i="1"/>
  <c r="S6509" i="1" s="1"/>
  <c r="Q6508" i="1"/>
  <c r="S6508" i="1" s="1"/>
  <c r="Q6507" i="1"/>
  <c r="Q6506" i="1"/>
  <c r="Q6505" i="1"/>
  <c r="Q6504" i="1"/>
  <c r="S6504" i="1" s="1"/>
  <c r="Q6503" i="1"/>
  <c r="S6503" i="1" s="1"/>
  <c r="Q6502" i="1"/>
  <c r="S6502" i="1" s="1"/>
  <c r="Q6501" i="1"/>
  <c r="S6501" i="1" s="1"/>
  <c r="Q6500" i="1"/>
  <c r="Q6499" i="1"/>
  <c r="Q6498" i="1"/>
  <c r="Q6497" i="1"/>
  <c r="S6497" i="1" s="1"/>
  <c r="Q6496" i="1"/>
  <c r="S6496" i="1" s="1"/>
  <c r="Q6495" i="1"/>
  <c r="Q6494" i="1"/>
  <c r="Q6493" i="1"/>
  <c r="Q6492" i="1"/>
  <c r="S6492" i="1" s="1"/>
  <c r="Q6491" i="1"/>
  <c r="S6491" i="1" s="1"/>
  <c r="Q6490" i="1"/>
  <c r="S6490" i="1" s="1"/>
  <c r="Q6489" i="1"/>
  <c r="S6489" i="1" s="1"/>
  <c r="Q6488" i="1"/>
  <c r="Q6487" i="1"/>
  <c r="Q6486" i="1"/>
  <c r="Q6485" i="1"/>
  <c r="S6485" i="1" s="1"/>
  <c r="Q6484" i="1"/>
  <c r="S6484" i="1" s="1"/>
  <c r="Q6483" i="1"/>
  <c r="Q6482" i="1"/>
  <c r="Q6481" i="1"/>
  <c r="Q6480" i="1"/>
  <c r="S6480" i="1" s="1"/>
  <c r="Q6479" i="1"/>
  <c r="S6479" i="1" s="1"/>
  <c r="Q6478" i="1"/>
  <c r="S6478" i="1" s="1"/>
  <c r="Q6477" i="1"/>
  <c r="S6477" i="1" s="1"/>
  <c r="Q6476" i="1"/>
  <c r="Q6475" i="1"/>
  <c r="Q6474" i="1"/>
  <c r="Q6473" i="1"/>
  <c r="S6473" i="1" s="1"/>
  <c r="Q6472" i="1"/>
  <c r="S6472" i="1" s="1"/>
  <c r="Q6471" i="1"/>
  <c r="Q6470" i="1"/>
  <c r="Q6469" i="1"/>
  <c r="Q6468" i="1"/>
  <c r="S6468" i="1" s="1"/>
  <c r="Q6467" i="1"/>
  <c r="S6467" i="1" s="1"/>
  <c r="Q6466" i="1"/>
  <c r="S6466" i="1" s="1"/>
  <c r="Q6465" i="1"/>
  <c r="S6465" i="1" s="1"/>
  <c r="Q6464" i="1"/>
  <c r="Q6463" i="1"/>
  <c r="Q6462" i="1"/>
  <c r="Q6461" i="1"/>
  <c r="S6461" i="1" s="1"/>
  <c r="Q6460" i="1"/>
  <c r="S6460" i="1" s="1"/>
  <c r="Q6459" i="1"/>
  <c r="Q6458" i="1"/>
  <c r="Q6457" i="1"/>
  <c r="Q6456" i="1"/>
  <c r="S6456" i="1" s="1"/>
  <c r="Q6455" i="1"/>
  <c r="S6455" i="1" s="1"/>
  <c r="Q6454" i="1"/>
  <c r="S6454" i="1" s="1"/>
  <c r="Q6453" i="1"/>
  <c r="S6453" i="1" s="1"/>
  <c r="Q6452" i="1"/>
  <c r="Q6451" i="1"/>
  <c r="Q6450" i="1"/>
  <c r="Q6449" i="1"/>
  <c r="S6449" i="1" s="1"/>
  <c r="Q6448" i="1"/>
  <c r="S6448" i="1" s="1"/>
  <c r="Q6447" i="1"/>
  <c r="Q6446" i="1"/>
  <c r="Q6445" i="1"/>
  <c r="Q6444" i="1"/>
  <c r="S6444" i="1" s="1"/>
  <c r="Q6443" i="1"/>
  <c r="S6443" i="1" s="1"/>
  <c r="Q6442" i="1"/>
  <c r="S6442" i="1" s="1"/>
  <c r="Q6441" i="1"/>
  <c r="S6441" i="1" s="1"/>
  <c r="Q6440" i="1"/>
  <c r="Q6439" i="1"/>
  <c r="Q6438" i="1"/>
  <c r="Q6437" i="1"/>
  <c r="S6437" i="1" s="1"/>
  <c r="Q6436" i="1"/>
  <c r="S6436" i="1" s="1"/>
  <c r="Q6435" i="1"/>
  <c r="Q6434" i="1"/>
  <c r="Q6433" i="1"/>
  <c r="Q6432" i="1"/>
  <c r="S6432" i="1" s="1"/>
  <c r="Q6431" i="1"/>
  <c r="S6431" i="1" s="1"/>
  <c r="Q6430" i="1"/>
  <c r="S6430" i="1" s="1"/>
  <c r="Q6429" i="1"/>
  <c r="S6429" i="1" s="1"/>
  <c r="Q6428" i="1"/>
  <c r="Q6427" i="1"/>
  <c r="Q6426" i="1"/>
  <c r="Q6425" i="1"/>
  <c r="S6425" i="1" s="1"/>
  <c r="Q6424" i="1"/>
  <c r="S6424" i="1" s="1"/>
  <c r="Q6423" i="1"/>
  <c r="Q6422" i="1"/>
  <c r="Q6421" i="1"/>
  <c r="Q6420" i="1"/>
  <c r="S6420" i="1" s="1"/>
  <c r="Q6419" i="1"/>
  <c r="S6419" i="1" s="1"/>
  <c r="Q6418" i="1"/>
  <c r="S6418" i="1" s="1"/>
  <c r="Q6417" i="1"/>
  <c r="S6417" i="1" s="1"/>
  <c r="Q6416" i="1"/>
  <c r="Q6415" i="1"/>
  <c r="Q6414" i="1"/>
  <c r="Q6413" i="1"/>
  <c r="S6413" i="1" s="1"/>
  <c r="Q6412" i="1"/>
  <c r="S6412" i="1" s="1"/>
  <c r="Q6411" i="1"/>
  <c r="Q6410" i="1"/>
  <c r="Q6409" i="1"/>
  <c r="Q6408" i="1"/>
  <c r="S6408" i="1" s="1"/>
  <c r="Q6407" i="1"/>
  <c r="S6407" i="1" s="1"/>
  <c r="Q6406" i="1"/>
  <c r="S6406" i="1" s="1"/>
  <c r="Q6405" i="1"/>
  <c r="S6405" i="1" s="1"/>
  <c r="Q6404" i="1"/>
  <c r="Q6403" i="1"/>
  <c r="Q6402" i="1"/>
  <c r="Q6401" i="1"/>
  <c r="S6401" i="1" s="1"/>
  <c r="Q6400" i="1"/>
  <c r="S6400" i="1" s="1"/>
  <c r="Q6399" i="1"/>
  <c r="Q6398" i="1"/>
  <c r="Q6397" i="1"/>
  <c r="Q6396" i="1"/>
  <c r="S6396" i="1" s="1"/>
  <c r="Q6395" i="1"/>
  <c r="S6395" i="1" s="1"/>
  <c r="Q6394" i="1"/>
  <c r="S6394" i="1" s="1"/>
  <c r="Q6393" i="1"/>
  <c r="S6393" i="1" s="1"/>
  <c r="Q6392" i="1"/>
  <c r="Q6391" i="1"/>
  <c r="Q6390" i="1"/>
  <c r="Q6389" i="1"/>
  <c r="S6389" i="1" s="1"/>
  <c r="Q6388" i="1"/>
  <c r="S6388" i="1" s="1"/>
  <c r="Q6387" i="1"/>
  <c r="Q6386" i="1"/>
  <c r="Q6385" i="1"/>
  <c r="Q6384" i="1"/>
  <c r="S6384" i="1" s="1"/>
  <c r="Q6383" i="1"/>
  <c r="S6383" i="1" s="1"/>
  <c r="Q6382" i="1"/>
  <c r="S6382" i="1" s="1"/>
  <c r="Q6381" i="1"/>
  <c r="S6381" i="1" s="1"/>
  <c r="Q6380" i="1"/>
  <c r="Q6379" i="1"/>
  <c r="Q6378" i="1"/>
  <c r="Q6377" i="1"/>
  <c r="S6377" i="1" s="1"/>
  <c r="Q6376" i="1"/>
  <c r="S6376" i="1" s="1"/>
  <c r="Q6375" i="1"/>
  <c r="Q6374" i="1"/>
  <c r="Q6373" i="1"/>
  <c r="Q6372" i="1"/>
  <c r="S6372" i="1" s="1"/>
  <c r="Q6371" i="1"/>
  <c r="S6371" i="1" s="1"/>
  <c r="Q6370" i="1"/>
  <c r="S6370" i="1" s="1"/>
  <c r="Q6369" i="1"/>
  <c r="S6369" i="1" s="1"/>
  <c r="Q6368" i="1"/>
  <c r="Q6367" i="1"/>
  <c r="Q6366" i="1"/>
  <c r="Q6365" i="1"/>
  <c r="S6365" i="1" s="1"/>
  <c r="Q6364" i="1"/>
  <c r="S6364" i="1" s="1"/>
  <c r="Q6363" i="1"/>
  <c r="Q6362" i="1"/>
  <c r="Q6361" i="1"/>
  <c r="Q6360" i="1"/>
  <c r="S6360" i="1" s="1"/>
  <c r="Q6359" i="1"/>
  <c r="S6359" i="1" s="1"/>
  <c r="Q6358" i="1"/>
  <c r="S6358" i="1" s="1"/>
  <c r="Q6357" i="1"/>
  <c r="S6357" i="1" s="1"/>
  <c r="Q6356" i="1"/>
  <c r="Q6355" i="1"/>
  <c r="Q6354" i="1"/>
  <c r="Q6353" i="1"/>
  <c r="S6353" i="1" s="1"/>
  <c r="Q6352" i="1"/>
  <c r="S6352" i="1" s="1"/>
  <c r="Q6351" i="1"/>
  <c r="Q6350" i="1"/>
  <c r="Q6349" i="1"/>
  <c r="Q6348" i="1"/>
  <c r="S6348" i="1" s="1"/>
  <c r="Q6347" i="1"/>
  <c r="S6347" i="1" s="1"/>
  <c r="Q6346" i="1"/>
  <c r="S6346" i="1" s="1"/>
  <c r="Q6345" i="1"/>
  <c r="S6345" i="1" s="1"/>
  <c r="Q6344" i="1"/>
  <c r="Q6343" i="1"/>
  <c r="Q6342" i="1"/>
  <c r="Q6341" i="1"/>
  <c r="S6341" i="1" s="1"/>
  <c r="Q6340" i="1"/>
  <c r="S6340" i="1" s="1"/>
  <c r="Q6339" i="1"/>
  <c r="Q6338" i="1"/>
  <c r="Q6337" i="1"/>
  <c r="Q6336" i="1"/>
  <c r="S6336" i="1" s="1"/>
  <c r="Q6335" i="1"/>
  <c r="S6335" i="1" s="1"/>
  <c r="Q6334" i="1"/>
  <c r="S6334" i="1" s="1"/>
  <c r="Q6333" i="1"/>
  <c r="S6333" i="1" s="1"/>
  <c r="Q6332" i="1"/>
  <c r="Q6331" i="1"/>
  <c r="Q6330" i="1"/>
  <c r="Q6329" i="1"/>
  <c r="S6329" i="1" s="1"/>
  <c r="Q6328" i="1"/>
  <c r="S6328" i="1" s="1"/>
  <c r="Q6327" i="1"/>
  <c r="Q6326" i="1"/>
  <c r="Q6325" i="1"/>
  <c r="Q6324" i="1"/>
  <c r="S6324" i="1" s="1"/>
  <c r="Q6323" i="1"/>
  <c r="S6323" i="1" s="1"/>
  <c r="Q6322" i="1"/>
  <c r="S6322" i="1" s="1"/>
  <c r="Q6321" i="1"/>
  <c r="S6321" i="1" s="1"/>
  <c r="Q6320" i="1"/>
  <c r="Q6319" i="1"/>
  <c r="Q6318" i="1"/>
  <c r="Q6317" i="1"/>
  <c r="S6317" i="1" s="1"/>
  <c r="Q6316" i="1"/>
  <c r="S6316" i="1" s="1"/>
  <c r="Q6315" i="1"/>
  <c r="Q6314" i="1"/>
  <c r="Q6313" i="1"/>
  <c r="Q6312" i="1"/>
  <c r="S6312" i="1" s="1"/>
  <c r="Q6311" i="1"/>
  <c r="S6311" i="1" s="1"/>
  <c r="Q6310" i="1"/>
  <c r="S6310" i="1" s="1"/>
  <c r="Q6309" i="1"/>
  <c r="S6309" i="1" s="1"/>
  <c r="Q6308" i="1"/>
  <c r="Q6307" i="1"/>
  <c r="Q6306" i="1"/>
  <c r="Q6305" i="1"/>
  <c r="S6305" i="1" s="1"/>
  <c r="Q6304" i="1"/>
  <c r="S6304" i="1" s="1"/>
  <c r="Q6303" i="1"/>
  <c r="Q6302" i="1"/>
  <c r="Q6301" i="1"/>
  <c r="Q6300" i="1"/>
  <c r="S6300" i="1" s="1"/>
  <c r="Q6299" i="1"/>
  <c r="S6299" i="1" s="1"/>
  <c r="Q6298" i="1"/>
  <c r="S6298" i="1" s="1"/>
  <c r="Q6297" i="1"/>
  <c r="S6297" i="1" s="1"/>
  <c r="Q6296" i="1"/>
  <c r="Q6295" i="1"/>
  <c r="Q6294" i="1"/>
  <c r="Q6293" i="1"/>
  <c r="S6293" i="1" s="1"/>
  <c r="Q6292" i="1"/>
  <c r="S6292" i="1" s="1"/>
  <c r="Q6291" i="1"/>
  <c r="Q6290" i="1"/>
  <c r="Q6289" i="1"/>
  <c r="Q6288" i="1"/>
  <c r="S6288" i="1" s="1"/>
  <c r="Q6287" i="1"/>
  <c r="S6287" i="1" s="1"/>
  <c r="Q6286" i="1"/>
  <c r="S6286" i="1" s="1"/>
  <c r="Q6285" i="1"/>
  <c r="S6285" i="1" s="1"/>
  <c r="Q6284" i="1"/>
  <c r="Q6283" i="1"/>
  <c r="Q6282" i="1"/>
  <c r="Q6281" i="1"/>
  <c r="S6281" i="1" s="1"/>
  <c r="Q6280" i="1"/>
  <c r="S6280" i="1" s="1"/>
  <c r="Q6279" i="1"/>
  <c r="Q6278" i="1"/>
  <c r="Q6277" i="1"/>
  <c r="Q6276" i="1"/>
  <c r="S6276" i="1" s="1"/>
  <c r="Q6275" i="1"/>
  <c r="S6275" i="1" s="1"/>
  <c r="Q6274" i="1"/>
  <c r="S6274" i="1" s="1"/>
  <c r="Q6273" i="1"/>
  <c r="S6273" i="1" s="1"/>
  <c r="Q6272" i="1"/>
  <c r="Q6271" i="1"/>
  <c r="Q6270" i="1"/>
  <c r="Q6269" i="1"/>
  <c r="S6269" i="1" s="1"/>
  <c r="Q6268" i="1"/>
  <c r="S6268" i="1" s="1"/>
  <c r="Q6267" i="1"/>
  <c r="Q6266" i="1"/>
  <c r="Q6265" i="1"/>
  <c r="Q6264" i="1"/>
  <c r="S6264" i="1" s="1"/>
  <c r="Q6263" i="1"/>
  <c r="S6263" i="1" s="1"/>
  <c r="Q6262" i="1"/>
  <c r="S6262" i="1" s="1"/>
  <c r="Q6261" i="1"/>
  <c r="S6261" i="1" s="1"/>
  <c r="Q6260" i="1"/>
  <c r="Q6259" i="1"/>
  <c r="Q6258" i="1"/>
  <c r="Q6257" i="1"/>
  <c r="S6257" i="1" s="1"/>
  <c r="Q6256" i="1"/>
  <c r="S6256" i="1" s="1"/>
  <c r="Q6255" i="1"/>
  <c r="Q6254" i="1"/>
  <c r="Q6253" i="1"/>
  <c r="Q6252" i="1"/>
  <c r="S6252" i="1" s="1"/>
  <c r="Q6251" i="1"/>
  <c r="S6251" i="1" s="1"/>
  <c r="Q6250" i="1"/>
  <c r="S6250" i="1" s="1"/>
  <c r="Q6249" i="1"/>
  <c r="S6249" i="1" s="1"/>
  <c r="Q6248" i="1"/>
  <c r="Q6247" i="1"/>
  <c r="Q6246" i="1"/>
  <c r="Q6245" i="1"/>
  <c r="S6245" i="1" s="1"/>
  <c r="Q6244" i="1"/>
  <c r="S6244" i="1" s="1"/>
  <c r="Q6243" i="1"/>
  <c r="Q6242" i="1"/>
  <c r="Q6241" i="1"/>
  <c r="Q6240" i="1"/>
  <c r="S6240" i="1" s="1"/>
  <c r="Q6239" i="1"/>
  <c r="S6239" i="1" s="1"/>
  <c r="Q6238" i="1"/>
  <c r="S6238" i="1" s="1"/>
  <c r="Q6237" i="1"/>
  <c r="S6237" i="1" s="1"/>
  <c r="Q6236" i="1"/>
  <c r="Q6235" i="1"/>
  <c r="Q6234" i="1"/>
  <c r="Q6233" i="1"/>
  <c r="S6233" i="1" s="1"/>
  <c r="Q6232" i="1"/>
  <c r="S6232" i="1" s="1"/>
  <c r="Q6231" i="1"/>
  <c r="Q6230" i="1"/>
  <c r="Q6229" i="1"/>
  <c r="Q6228" i="1"/>
  <c r="S6228" i="1" s="1"/>
  <c r="Q6227" i="1"/>
  <c r="S6227" i="1" s="1"/>
  <c r="Q6226" i="1"/>
  <c r="S6226" i="1" s="1"/>
  <c r="Q6225" i="1"/>
  <c r="S6225" i="1" s="1"/>
  <c r="Q6224" i="1"/>
  <c r="Q6223" i="1"/>
  <c r="Q6222" i="1"/>
  <c r="Q6221" i="1"/>
  <c r="S6221" i="1" s="1"/>
  <c r="Q6220" i="1"/>
  <c r="S6220" i="1" s="1"/>
  <c r="Q6219" i="1"/>
  <c r="Q6218" i="1"/>
  <c r="Q6217" i="1"/>
  <c r="Q6216" i="1"/>
  <c r="S6216" i="1" s="1"/>
  <c r="Q6215" i="1"/>
  <c r="S6215" i="1" s="1"/>
  <c r="Q6214" i="1"/>
  <c r="S6214" i="1" s="1"/>
  <c r="Q6213" i="1"/>
  <c r="S6213" i="1" s="1"/>
  <c r="Q6212" i="1"/>
  <c r="Q6211" i="1"/>
  <c r="Q6210" i="1"/>
  <c r="Q6209" i="1"/>
  <c r="S6209" i="1" s="1"/>
  <c r="Q6208" i="1"/>
  <c r="S6208" i="1" s="1"/>
  <c r="Q6207" i="1"/>
  <c r="Q6206" i="1"/>
  <c r="Q6205" i="1"/>
  <c r="Q6204" i="1"/>
  <c r="S6204" i="1" s="1"/>
  <c r="Q6203" i="1"/>
  <c r="S6203" i="1" s="1"/>
  <c r="Q6202" i="1"/>
  <c r="S6202" i="1" s="1"/>
  <c r="Q6201" i="1"/>
  <c r="S6201" i="1" s="1"/>
  <c r="Q6200" i="1"/>
  <c r="Q6199" i="1"/>
  <c r="Q6198" i="1"/>
  <c r="Q6197" i="1"/>
  <c r="S6197" i="1" s="1"/>
  <c r="Q6196" i="1"/>
  <c r="S6196" i="1" s="1"/>
  <c r="Q6195" i="1"/>
  <c r="Q6194" i="1"/>
  <c r="Q6193" i="1"/>
  <c r="Q6192" i="1"/>
  <c r="S6192" i="1" s="1"/>
  <c r="Q6191" i="1"/>
  <c r="S6191" i="1" s="1"/>
  <c r="Q6190" i="1"/>
  <c r="S6190" i="1" s="1"/>
  <c r="Q6189" i="1"/>
  <c r="S6189" i="1" s="1"/>
  <c r="Q6188" i="1"/>
  <c r="Q6187" i="1"/>
  <c r="Q6186" i="1"/>
  <c r="Q6185" i="1"/>
  <c r="S6185" i="1" s="1"/>
  <c r="Q6184" i="1"/>
  <c r="S6184" i="1" s="1"/>
  <c r="Q6183" i="1"/>
  <c r="Q6182" i="1"/>
  <c r="Q6181" i="1"/>
  <c r="Q6180" i="1"/>
  <c r="S6180" i="1" s="1"/>
  <c r="Q6179" i="1"/>
  <c r="S6179" i="1" s="1"/>
  <c r="Q6178" i="1"/>
  <c r="S6178" i="1" s="1"/>
  <c r="Q6177" i="1"/>
  <c r="S6177" i="1" s="1"/>
  <c r="Q6176" i="1"/>
  <c r="Q6175" i="1"/>
  <c r="Q6174" i="1"/>
  <c r="Q6173" i="1"/>
  <c r="S6173" i="1" s="1"/>
  <c r="Q6172" i="1"/>
  <c r="S6172" i="1" s="1"/>
  <c r="Q6171" i="1"/>
  <c r="Q6170" i="1"/>
  <c r="Q6169" i="1"/>
  <c r="Q6168" i="1"/>
  <c r="S6168" i="1" s="1"/>
  <c r="Q6167" i="1"/>
  <c r="S6167" i="1" s="1"/>
  <c r="Q6166" i="1"/>
  <c r="S6166" i="1" s="1"/>
  <c r="Q6165" i="1"/>
  <c r="S6165" i="1" s="1"/>
  <c r="Q6164" i="1"/>
  <c r="Q6163" i="1"/>
  <c r="Q6162" i="1"/>
  <c r="Q6161" i="1"/>
  <c r="S6161" i="1" s="1"/>
  <c r="Q6160" i="1"/>
  <c r="S6160" i="1" s="1"/>
  <c r="Q6159" i="1"/>
  <c r="Q6158" i="1"/>
  <c r="Q6157" i="1"/>
  <c r="Q6156" i="1"/>
  <c r="S6156" i="1" s="1"/>
  <c r="Q6155" i="1"/>
  <c r="S6155" i="1" s="1"/>
  <c r="Q6154" i="1"/>
  <c r="S6154" i="1" s="1"/>
  <c r="Q6153" i="1"/>
  <c r="S6153" i="1" s="1"/>
  <c r="Q6152" i="1"/>
  <c r="Q6151" i="1"/>
  <c r="Q6150" i="1"/>
  <c r="Q6149" i="1"/>
  <c r="S6149" i="1" s="1"/>
  <c r="Q6148" i="1"/>
  <c r="S6148" i="1" s="1"/>
  <c r="Q6147" i="1"/>
  <c r="Q6146" i="1"/>
  <c r="Q6145" i="1"/>
  <c r="Q6144" i="1"/>
  <c r="S6144" i="1" s="1"/>
  <c r="Q6143" i="1"/>
  <c r="S6143" i="1" s="1"/>
  <c r="Q6142" i="1"/>
  <c r="S6142" i="1" s="1"/>
  <c r="Q6141" i="1"/>
  <c r="S6141" i="1" s="1"/>
  <c r="Q6140" i="1"/>
  <c r="Q6139" i="1"/>
  <c r="Q6138" i="1"/>
  <c r="Q6137" i="1"/>
  <c r="S6137" i="1" s="1"/>
  <c r="Q6136" i="1"/>
  <c r="S6136" i="1" s="1"/>
  <c r="Q6135" i="1"/>
  <c r="Q6134" i="1"/>
  <c r="Q6133" i="1"/>
  <c r="Q6132" i="1"/>
  <c r="S6132" i="1" s="1"/>
  <c r="Q6131" i="1"/>
  <c r="S6131" i="1" s="1"/>
  <c r="Q6130" i="1"/>
  <c r="S6130" i="1" s="1"/>
  <c r="Q6129" i="1"/>
  <c r="S6129" i="1" s="1"/>
  <c r="Q6128" i="1"/>
  <c r="Q6127" i="1"/>
  <c r="Q6126" i="1"/>
  <c r="Q6125" i="1"/>
  <c r="S6125" i="1" s="1"/>
  <c r="Q6124" i="1"/>
  <c r="S6124" i="1" s="1"/>
  <c r="Q6123" i="1"/>
  <c r="Q6122" i="1"/>
  <c r="Q6121" i="1"/>
  <c r="Q6120" i="1"/>
  <c r="S6120" i="1" s="1"/>
  <c r="Q6119" i="1"/>
  <c r="S6119" i="1" s="1"/>
  <c r="Q6118" i="1"/>
  <c r="S6118" i="1" s="1"/>
  <c r="Q6117" i="1"/>
  <c r="S6117" i="1" s="1"/>
  <c r="Q6116" i="1"/>
  <c r="Q6115" i="1"/>
  <c r="Q6114" i="1"/>
  <c r="Q6113" i="1"/>
  <c r="S6113" i="1" s="1"/>
  <c r="Q6112" i="1"/>
  <c r="S6112" i="1" s="1"/>
  <c r="Q6111" i="1"/>
  <c r="Q6110" i="1"/>
  <c r="Q6109" i="1"/>
  <c r="Q6108" i="1"/>
  <c r="S6108" i="1" s="1"/>
  <c r="Q6107" i="1"/>
  <c r="S6107" i="1" s="1"/>
  <c r="Q6106" i="1"/>
  <c r="S6106" i="1" s="1"/>
  <c r="Q6105" i="1"/>
  <c r="S6105" i="1" s="1"/>
  <c r="Q6104" i="1"/>
  <c r="Q6103" i="1"/>
  <c r="Q6102" i="1"/>
  <c r="Q6101" i="1"/>
  <c r="S6101" i="1" s="1"/>
  <c r="Q6100" i="1"/>
  <c r="S6100" i="1" s="1"/>
  <c r="Q6099" i="1"/>
  <c r="Q6098" i="1"/>
  <c r="Q6097" i="1"/>
  <c r="Q6096" i="1"/>
  <c r="S6096" i="1" s="1"/>
  <c r="Q6095" i="1"/>
  <c r="S6095" i="1" s="1"/>
  <c r="Q6094" i="1"/>
  <c r="S6094" i="1" s="1"/>
  <c r="Q6093" i="1"/>
  <c r="S6093" i="1" s="1"/>
  <c r="Q6092" i="1"/>
  <c r="Q6091" i="1"/>
  <c r="Q6090" i="1"/>
  <c r="Q6089" i="1"/>
  <c r="S6089" i="1" s="1"/>
  <c r="Q6088" i="1"/>
  <c r="S6088" i="1" s="1"/>
  <c r="Q6087" i="1"/>
  <c r="Q6086" i="1"/>
  <c r="Q6085" i="1"/>
  <c r="Q6084" i="1"/>
  <c r="S6084" i="1" s="1"/>
  <c r="Q6083" i="1"/>
  <c r="S6083" i="1" s="1"/>
  <c r="Q6082" i="1"/>
  <c r="S6082" i="1" s="1"/>
  <c r="Q6081" i="1"/>
  <c r="S6081" i="1" s="1"/>
  <c r="Q6080" i="1"/>
  <c r="Q6079" i="1"/>
  <c r="Q6078" i="1"/>
  <c r="Q6077" i="1"/>
  <c r="S6077" i="1" s="1"/>
  <c r="Q6076" i="1"/>
  <c r="S6076" i="1" s="1"/>
  <c r="Q6075" i="1"/>
  <c r="Q6074" i="1"/>
  <c r="Q6073" i="1"/>
  <c r="Q6072" i="1"/>
  <c r="S6072" i="1" s="1"/>
  <c r="Q6071" i="1"/>
  <c r="S6071" i="1" s="1"/>
  <c r="Q6070" i="1"/>
  <c r="S6070" i="1" s="1"/>
  <c r="Q6069" i="1"/>
  <c r="S6069" i="1" s="1"/>
  <c r="Q6068" i="1"/>
  <c r="Q6067" i="1"/>
  <c r="Q6066" i="1"/>
  <c r="Q6065" i="1"/>
  <c r="S6065" i="1" s="1"/>
  <c r="Q6064" i="1"/>
  <c r="S6064" i="1" s="1"/>
  <c r="Q6063" i="1"/>
  <c r="Q6062" i="1"/>
  <c r="Q6061" i="1"/>
  <c r="Q6060" i="1"/>
  <c r="S6060" i="1" s="1"/>
  <c r="Q6059" i="1"/>
  <c r="S6059" i="1" s="1"/>
  <c r="Q6058" i="1"/>
  <c r="S6058" i="1" s="1"/>
  <c r="Q6057" i="1"/>
  <c r="S6057" i="1" s="1"/>
  <c r="Q6056" i="1"/>
  <c r="Q6055" i="1"/>
  <c r="Q6054" i="1"/>
  <c r="Q6053" i="1"/>
  <c r="S6053" i="1" s="1"/>
  <c r="Q6052" i="1"/>
  <c r="S6052" i="1" s="1"/>
  <c r="Q6051" i="1"/>
  <c r="Q6050" i="1"/>
  <c r="Q6049" i="1"/>
  <c r="Q6048" i="1"/>
  <c r="S6048" i="1" s="1"/>
  <c r="Q6047" i="1"/>
  <c r="S6047" i="1" s="1"/>
  <c r="Q6046" i="1"/>
  <c r="S6046" i="1" s="1"/>
  <c r="Q6045" i="1"/>
  <c r="S6045" i="1" s="1"/>
  <c r="Q6044" i="1"/>
  <c r="Q6043" i="1"/>
  <c r="Q6042" i="1"/>
  <c r="Q6041" i="1"/>
  <c r="S6041" i="1" s="1"/>
  <c r="Q6040" i="1"/>
  <c r="S6040" i="1" s="1"/>
  <c r="Q6039" i="1"/>
  <c r="Q6038" i="1"/>
  <c r="Q6037" i="1"/>
  <c r="Q6036" i="1"/>
  <c r="S6036" i="1" s="1"/>
  <c r="Q6035" i="1"/>
  <c r="S6035" i="1" s="1"/>
  <c r="Q6034" i="1"/>
  <c r="S6034" i="1" s="1"/>
  <c r="Q6033" i="1"/>
  <c r="S6033" i="1" s="1"/>
  <c r="Q6032" i="1"/>
  <c r="Q6031" i="1"/>
  <c r="Q6030" i="1"/>
  <c r="Q6029" i="1"/>
  <c r="S6029" i="1" s="1"/>
  <c r="Q6028" i="1"/>
  <c r="S6028" i="1" s="1"/>
  <c r="Q6027" i="1"/>
  <c r="Q6026" i="1"/>
  <c r="Q6025" i="1"/>
  <c r="Q6024" i="1"/>
  <c r="S6024" i="1" s="1"/>
  <c r="Q6023" i="1"/>
  <c r="S6023" i="1" s="1"/>
  <c r="Q6022" i="1"/>
  <c r="S6022" i="1" s="1"/>
  <c r="Q6021" i="1"/>
  <c r="S6021" i="1" s="1"/>
  <c r="Q6020" i="1"/>
  <c r="Q6019" i="1"/>
  <c r="Q6018" i="1"/>
  <c r="Q6017" i="1"/>
  <c r="S6017" i="1" s="1"/>
  <c r="Q6016" i="1"/>
  <c r="S6016" i="1" s="1"/>
  <c r="Q6015" i="1"/>
  <c r="Q6014" i="1"/>
  <c r="Q6013" i="1"/>
  <c r="Q6012" i="1"/>
  <c r="S6012" i="1" s="1"/>
  <c r="Q6011" i="1"/>
  <c r="S6011" i="1" s="1"/>
  <c r="Q6010" i="1"/>
  <c r="S6010" i="1" s="1"/>
  <c r="Q6009" i="1"/>
  <c r="S6009" i="1" s="1"/>
  <c r="Q6008" i="1"/>
  <c r="Q6007" i="1"/>
  <c r="Q6006" i="1"/>
  <c r="Q6005" i="1"/>
  <c r="S6005" i="1" s="1"/>
  <c r="Q6004" i="1"/>
  <c r="S6004" i="1" s="1"/>
  <c r="Q6003" i="1"/>
  <c r="Q6002" i="1"/>
  <c r="Q6001" i="1"/>
  <c r="Q6000" i="1"/>
  <c r="S6000" i="1" s="1"/>
  <c r="Q5999" i="1"/>
  <c r="S5999" i="1" s="1"/>
  <c r="Q5998" i="1"/>
  <c r="S5998" i="1" s="1"/>
  <c r="Q5997" i="1"/>
  <c r="S5997" i="1" s="1"/>
  <c r="Q5996" i="1"/>
  <c r="Q5995" i="1"/>
  <c r="Q5994" i="1"/>
  <c r="Q5993" i="1"/>
  <c r="S5993" i="1" s="1"/>
  <c r="Q5992" i="1"/>
  <c r="S5992" i="1" s="1"/>
  <c r="Q5991" i="1"/>
  <c r="Q5990" i="1"/>
  <c r="Q5989" i="1"/>
  <c r="Q5988" i="1"/>
  <c r="S5988" i="1" s="1"/>
  <c r="Q5987" i="1"/>
  <c r="S5987" i="1" s="1"/>
  <c r="Q5986" i="1"/>
  <c r="S5986" i="1" s="1"/>
  <c r="Q5985" i="1"/>
  <c r="S5985" i="1" s="1"/>
  <c r="Q5984" i="1"/>
  <c r="Q5983" i="1"/>
  <c r="Q5982" i="1"/>
  <c r="Q5981" i="1"/>
  <c r="S5981" i="1" s="1"/>
  <c r="Q5980" i="1"/>
  <c r="S5980" i="1" s="1"/>
  <c r="Q5979" i="1"/>
  <c r="Q5978" i="1"/>
  <c r="Q5977" i="1"/>
  <c r="Q5976" i="1"/>
  <c r="S5976" i="1" s="1"/>
  <c r="Q5975" i="1"/>
  <c r="S5975" i="1" s="1"/>
  <c r="Q5974" i="1"/>
  <c r="S5974" i="1" s="1"/>
  <c r="Q5973" i="1"/>
  <c r="S5973" i="1" s="1"/>
  <c r="Q5972" i="1"/>
  <c r="Q5971" i="1"/>
  <c r="Q5970" i="1"/>
  <c r="Q5969" i="1"/>
  <c r="S5969" i="1" s="1"/>
  <c r="Q5968" i="1"/>
  <c r="S5968" i="1" s="1"/>
  <c r="Q5967" i="1"/>
  <c r="Q5966" i="1"/>
  <c r="Q5965" i="1"/>
  <c r="Q5964" i="1"/>
  <c r="S5964" i="1" s="1"/>
  <c r="Q5963" i="1"/>
  <c r="S5963" i="1" s="1"/>
  <c r="Q5962" i="1"/>
  <c r="S5962" i="1" s="1"/>
  <c r="Q5961" i="1"/>
  <c r="S5961" i="1" s="1"/>
  <c r="Q5960" i="1"/>
  <c r="Q5959" i="1"/>
  <c r="Q5958" i="1"/>
  <c r="Q5957" i="1"/>
  <c r="S5957" i="1" s="1"/>
  <c r="Q5956" i="1"/>
  <c r="S5956" i="1" s="1"/>
  <c r="Q5955" i="1"/>
  <c r="Q5954" i="1"/>
  <c r="Q5953" i="1"/>
  <c r="Q5952" i="1"/>
  <c r="S5952" i="1" s="1"/>
  <c r="Q5951" i="1"/>
  <c r="S5951" i="1" s="1"/>
  <c r="Q5950" i="1"/>
  <c r="S5950" i="1" s="1"/>
  <c r="Q5949" i="1"/>
  <c r="S5949" i="1" s="1"/>
  <c r="Q5948" i="1"/>
  <c r="Q5947" i="1"/>
  <c r="Q5946" i="1"/>
  <c r="Q5945" i="1"/>
  <c r="S5945" i="1" s="1"/>
  <c r="Q5944" i="1"/>
  <c r="S5944" i="1" s="1"/>
  <c r="Q5943" i="1"/>
  <c r="Q5942" i="1"/>
  <c r="Q5941" i="1"/>
  <c r="Q5940" i="1"/>
  <c r="S5940" i="1" s="1"/>
  <c r="Q5939" i="1"/>
  <c r="S5939" i="1" s="1"/>
  <c r="Q5938" i="1"/>
  <c r="S5938" i="1" s="1"/>
  <c r="Q5937" i="1"/>
  <c r="S5937" i="1" s="1"/>
  <c r="Q5936" i="1"/>
  <c r="Q5935" i="1"/>
  <c r="Q5934" i="1"/>
  <c r="Q5933" i="1"/>
  <c r="S5933" i="1" s="1"/>
  <c r="Q5932" i="1"/>
  <c r="S5932" i="1" s="1"/>
  <c r="Q5931" i="1"/>
  <c r="Q5930" i="1"/>
  <c r="Q5929" i="1"/>
  <c r="Q5928" i="1"/>
  <c r="S5928" i="1" s="1"/>
  <c r="Q5927" i="1"/>
  <c r="S5927" i="1" s="1"/>
  <c r="Q5926" i="1"/>
  <c r="S5926" i="1" s="1"/>
  <c r="Q5925" i="1"/>
  <c r="S5925" i="1" s="1"/>
  <c r="Q5924" i="1"/>
  <c r="Q5923" i="1"/>
  <c r="Q5922" i="1"/>
  <c r="Q5921" i="1"/>
  <c r="S5921" i="1" s="1"/>
  <c r="Q5920" i="1"/>
  <c r="S5920" i="1" s="1"/>
  <c r="Q5919" i="1"/>
  <c r="Q5918" i="1"/>
  <c r="Q5917" i="1"/>
  <c r="Q5916" i="1"/>
  <c r="S5916" i="1" s="1"/>
  <c r="Q5915" i="1"/>
  <c r="S5915" i="1" s="1"/>
  <c r="Q5914" i="1"/>
  <c r="S5914" i="1" s="1"/>
  <c r="Q5913" i="1"/>
  <c r="S5913" i="1" s="1"/>
  <c r="Q5912" i="1"/>
  <c r="Q5911" i="1"/>
  <c r="Q5910" i="1"/>
  <c r="Q5909" i="1"/>
  <c r="S5909" i="1" s="1"/>
  <c r="Q5908" i="1"/>
  <c r="S5908" i="1" s="1"/>
  <c r="Q5907" i="1"/>
  <c r="Q5906" i="1"/>
  <c r="Q5905" i="1"/>
  <c r="Q5904" i="1"/>
  <c r="S5904" i="1" s="1"/>
  <c r="Q5903" i="1"/>
  <c r="S5903" i="1" s="1"/>
  <c r="Q5902" i="1"/>
  <c r="S5902" i="1" s="1"/>
  <c r="Q5901" i="1"/>
  <c r="S5901" i="1" s="1"/>
  <c r="Q5900" i="1"/>
  <c r="Q5899" i="1"/>
  <c r="Q5898" i="1"/>
  <c r="Q5897" i="1"/>
  <c r="S5897" i="1" s="1"/>
  <c r="Q5896" i="1"/>
  <c r="S5896" i="1" s="1"/>
  <c r="Q5895" i="1"/>
  <c r="Q5894" i="1"/>
  <c r="Q5893" i="1"/>
  <c r="Q5892" i="1"/>
  <c r="S5892" i="1" s="1"/>
  <c r="Q5891" i="1"/>
  <c r="S5891" i="1" s="1"/>
  <c r="Q5890" i="1"/>
  <c r="S5890" i="1" s="1"/>
  <c r="Q5889" i="1"/>
  <c r="S5889" i="1" s="1"/>
  <c r="Q5888" i="1"/>
  <c r="Q5887" i="1"/>
  <c r="Q5886" i="1"/>
  <c r="Q5885" i="1"/>
  <c r="S5885" i="1" s="1"/>
  <c r="Q5884" i="1"/>
  <c r="S5884" i="1" s="1"/>
  <c r="Q5883" i="1"/>
  <c r="Q5882" i="1"/>
  <c r="Q5881" i="1"/>
  <c r="Q5880" i="1"/>
  <c r="S5880" i="1" s="1"/>
  <c r="Q5879" i="1"/>
  <c r="S5879" i="1" s="1"/>
  <c r="Q5878" i="1"/>
  <c r="S5878" i="1" s="1"/>
  <c r="Q5877" i="1"/>
  <c r="S5877" i="1" s="1"/>
  <c r="Q5876" i="1"/>
  <c r="Q5875" i="1"/>
  <c r="Q5874" i="1"/>
  <c r="Q5873" i="1"/>
  <c r="S5873" i="1" s="1"/>
  <c r="Q5872" i="1"/>
  <c r="S5872" i="1" s="1"/>
  <c r="Q5871" i="1"/>
  <c r="Q5870" i="1"/>
  <c r="Q5869" i="1"/>
  <c r="Q5868" i="1"/>
  <c r="S5868" i="1" s="1"/>
  <c r="Q5867" i="1"/>
  <c r="S5867" i="1" s="1"/>
  <c r="Q5866" i="1"/>
  <c r="S5866" i="1" s="1"/>
  <c r="Q5865" i="1"/>
  <c r="S5865" i="1" s="1"/>
  <c r="Q5864" i="1"/>
  <c r="Q5863" i="1"/>
  <c r="Q5862" i="1"/>
  <c r="Q5861" i="1"/>
  <c r="S5861" i="1" s="1"/>
  <c r="Q5860" i="1"/>
  <c r="S5860" i="1" s="1"/>
  <c r="Q5859" i="1"/>
  <c r="Q5858" i="1"/>
  <c r="Q5857" i="1"/>
  <c r="Q5856" i="1"/>
  <c r="S5856" i="1" s="1"/>
  <c r="Q5855" i="1"/>
  <c r="S5855" i="1" s="1"/>
  <c r="Q5854" i="1"/>
  <c r="S5854" i="1" s="1"/>
  <c r="Q5853" i="1"/>
  <c r="S5853" i="1" s="1"/>
  <c r="Q5852" i="1"/>
  <c r="Q5851" i="1"/>
  <c r="Q5850" i="1"/>
  <c r="Q5849" i="1"/>
  <c r="S5849" i="1" s="1"/>
  <c r="Q5848" i="1"/>
  <c r="S5848" i="1" s="1"/>
  <c r="Q5847" i="1"/>
  <c r="Q5846" i="1"/>
  <c r="Q5845" i="1"/>
  <c r="Q5844" i="1"/>
  <c r="S5844" i="1" s="1"/>
  <c r="Q5843" i="1"/>
  <c r="S5843" i="1" s="1"/>
  <c r="Q5842" i="1"/>
  <c r="S5842" i="1" s="1"/>
  <c r="Q5841" i="1"/>
  <c r="S5841" i="1" s="1"/>
  <c r="Q5840" i="1"/>
  <c r="Q5839" i="1"/>
  <c r="Q5838" i="1"/>
  <c r="Q5837" i="1"/>
  <c r="S5837" i="1" s="1"/>
  <c r="Q5836" i="1"/>
  <c r="S5836" i="1" s="1"/>
  <c r="Q5835" i="1"/>
  <c r="Q5834" i="1"/>
  <c r="Q5833" i="1"/>
  <c r="Q5832" i="1"/>
  <c r="S5832" i="1" s="1"/>
  <c r="Q5831" i="1"/>
  <c r="S5831" i="1" s="1"/>
  <c r="Q5830" i="1"/>
  <c r="S5830" i="1" s="1"/>
  <c r="Q5829" i="1"/>
  <c r="S5829" i="1" s="1"/>
  <c r="Q5828" i="1"/>
  <c r="Q5827" i="1"/>
  <c r="Q5826" i="1"/>
  <c r="Q5825" i="1"/>
  <c r="S5825" i="1" s="1"/>
  <c r="Q5824" i="1"/>
  <c r="S5824" i="1" s="1"/>
  <c r="Q5823" i="1"/>
  <c r="Q5822" i="1"/>
  <c r="Q5821" i="1"/>
  <c r="Q5820" i="1"/>
  <c r="S5820" i="1" s="1"/>
  <c r="Q5819" i="1"/>
  <c r="S5819" i="1" s="1"/>
  <c r="Q5818" i="1"/>
  <c r="S5818" i="1" s="1"/>
  <c r="Q5817" i="1"/>
  <c r="S5817" i="1" s="1"/>
  <c r="Q5816" i="1"/>
  <c r="Q5815" i="1"/>
  <c r="Q5814" i="1"/>
  <c r="Q5813" i="1"/>
  <c r="S5813" i="1" s="1"/>
  <c r="Q5812" i="1"/>
  <c r="S5812" i="1" s="1"/>
  <c r="Q5811" i="1"/>
  <c r="Q5810" i="1"/>
  <c r="Q5809" i="1"/>
  <c r="Q5808" i="1"/>
  <c r="S5808" i="1" s="1"/>
  <c r="Q5807" i="1"/>
  <c r="S5807" i="1" s="1"/>
  <c r="Q5806" i="1"/>
  <c r="S5806" i="1" s="1"/>
  <c r="Q5805" i="1"/>
  <c r="S5805" i="1" s="1"/>
  <c r="Q5804" i="1"/>
  <c r="Q5803" i="1"/>
  <c r="Q5802" i="1"/>
  <c r="Q5801" i="1"/>
  <c r="S5801" i="1" s="1"/>
  <c r="Q5800" i="1"/>
  <c r="S5800" i="1" s="1"/>
  <c r="Q5799" i="1"/>
  <c r="Q5798" i="1"/>
  <c r="Q5797" i="1"/>
  <c r="Q5796" i="1"/>
  <c r="S5796" i="1" s="1"/>
  <c r="Q5795" i="1"/>
  <c r="S5795" i="1" s="1"/>
  <c r="Q5794" i="1"/>
  <c r="S5794" i="1" s="1"/>
  <c r="Q5793" i="1"/>
  <c r="S5793" i="1" s="1"/>
  <c r="Q5792" i="1"/>
  <c r="Q5791" i="1"/>
  <c r="Q5790" i="1"/>
  <c r="Q5789" i="1"/>
  <c r="S5789" i="1" s="1"/>
  <c r="Q5788" i="1"/>
  <c r="S5788" i="1" s="1"/>
  <c r="Q5787" i="1"/>
  <c r="Q5786" i="1"/>
  <c r="Q5785" i="1"/>
  <c r="Q5784" i="1"/>
  <c r="S5784" i="1" s="1"/>
  <c r="Q5783" i="1"/>
  <c r="S5783" i="1" s="1"/>
  <c r="Q5782" i="1"/>
  <c r="S5782" i="1" s="1"/>
  <c r="Q5781" i="1"/>
  <c r="S5781" i="1" s="1"/>
  <c r="Q5780" i="1"/>
  <c r="Q5779" i="1"/>
  <c r="Q5778" i="1"/>
  <c r="Q5777" i="1"/>
  <c r="S5777" i="1" s="1"/>
  <c r="Q5776" i="1"/>
  <c r="S5776" i="1" s="1"/>
  <c r="Q5775" i="1"/>
  <c r="Q5774" i="1"/>
  <c r="Q5773" i="1"/>
  <c r="Q5772" i="1"/>
  <c r="S5772" i="1" s="1"/>
  <c r="Q5771" i="1"/>
  <c r="S5771" i="1" s="1"/>
  <c r="Q5770" i="1"/>
  <c r="S5770" i="1" s="1"/>
  <c r="Q5769" i="1"/>
  <c r="S5769" i="1" s="1"/>
  <c r="Q5768" i="1"/>
  <c r="Q5767" i="1"/>
  <c r="Q5766" i="1"/>
  <c r="Q5765" i="1"/>
  <c r="S5765" i="1" s="1"/>
  <c r="Q5764" i="1"/>
  <c r="S5764" i="1" s="1"/>
  <c r="Q5763" i="1"/>
  <c r="Q5762" i="1"/>
  <c r="Q5761" i="1"/>
  <c r="Q5760" i="1"/>
  <c r="S5760" i="1" s="1"/>
  <c r="Q5759" i="1"/>
  <c r="S5759" i="1" s="1"/>
  <c r="Q5758" i="1"/>
  <c r="S5758" i="1" s="1"/>
  <c r="Q5757" i="1"/>
  <c r="S5757" i="1" s="1"/>
  <c r="Q5756" i="1"/>
  <c r="Q5755" i="1"/>
  <c r="Q5754" i="1"/>
  <c r="Q5753" i="1"/>
  <c r="S5753" i="1" s="1"/>
  <c r="Q5752" i="1"/>
  <c r="S5752" i="1" s="1"/>
  <c r="Q5751" i="1"/>
  <c r="Q5750" i="1"/>
  <c r="Q5749" i="1"/>
  <c r="Q5748" i="1"/>
  <c r="S5748" i="1" s="1"/>
  <c r="Q5747" i="1"/>
  <c r="S5747" i="1" s="1"/>
  <c r="Q5746" i="1"/>
  <c r="S5746" i="1" s="1"/>
  <c r="Q5745" i="1"/>
  <c r="S5745" i="1" s="1"/>
  <c r="Q5744" i="1"/>
  <c r="Q5743" i="1"/>
  <c r="Q5742" i="1"/>
  <c r="Q5741" i="1"/>
  <c r="S5741" i="1" s="1"/>
  <c r="Q5740" i="1"/>
  <c r="S5740" i="1" s="1"/>
  <c r="Q5739" i="1"/>
  <c r="Q5738" i="1"/>
  <c r="Q5737" i="1"/>
  <c r="Q5736" i="1"/>
  <c r="S5736" i="1" s="1"/>
  <c r="Q5735" i="1"/>
  <c r="S5735" i="1" s="1"/>
  <c r="Q5734" i="1"/>
  <c r="S5734" i="1" s="1"/>
  <c r="Q5733" i="1"/>
  <c r="S5733" i="1" s="1"/>
  <c r="Q5732" i="1"/>
  <c r="Q5731" i="1"/>
  <c r="Q5730" i="1"/>
  <c r="Q5729" i="1"/>
  <c r="S5729" i="1" s="1"/>
  <c r="Q5728" i="1"/>
  <c r="S5728" i="1" s="1"/>
  <c r="Q5727" i="1"/>
  <c r="Q5726" i="1"/>
  <c r="Q5725" i="1"/>
  <c r="Q5724" i="1"/>
  <c r="S5724" i="1" s="1"/>
  <c r="Q5723" i="1"/>
  <c r="S5723" i="1" s="1"/>
  <c r="Q5722" i="1"/>
  <c r="S5722" i="1" s="1"/>
  <c r="Q5721" i="1"/>
  <c r="S5721" i="1" s="1"/>
  <c r="Q5720" i="1"/>
  <c r="Q5719" i="1"/>
  <c r="Q5718" i="1"/>
  <c r="Q5717" i="1"/>
  <c r="S5717" i="1" s="1"/>
  <c r="Q5716" i="1"/>
  <c r="S5716" i="1" s="1"/>
  <c r="Q5715" i="1"/>
  <c r="Q5714" i="1"/>
  <c r="Q5713" i="1"/>
  <c r="Q5712" i="1"/>
  <c r="S5712" i="1" s="1"/>
  <c r="Q5711" i="1"/>
  <c r="S5711" i="1" s="1"/>
  <c r="Q5710" i="1"/>
  <c r="S5710" i="1" s="1"/>
  <c r="Q5709" i="1"/>
  <c r="S5709" i="1" s="1"/>
  <c r="Q5708" i="1"/>
  <c r="Q5707" i="1"/>
  <c r="Q5706" i="1"/>
  <c r="Q5705" i="1"/>
  <c r="S5705" i="1" s="1"/>
  <c r="Q5704" i="1"/>
  <c r="S5704" i="1" s="1"/>
  <c r="Q5703" i="1"/>
  <c r="Q5702" i="1"/>
  <c r="Q5701" i="1"/>
  <c r="Q5700" i="1"/>
  <c r="S5700" i="1" s="1"/>
  <c r="Q5699" i="1"/>
  <c r="S5699" i="1" s="1"/>
  <c r="Q5698" i="1"/>
  <c r="S5698" i="1" s="1"/>
  <c r="Q5697" i="1"/>
  <c r="S5697" i="1" s="1"/>
  <c r="Q5696" i="1"/>
  <c r="Q5695" i="1"/>
  <c r="Q5694" i="1"/>
  <c r="Q5693" i="1"/>
  <c r="S5693" i="1" s="1"/>
  <c r="Q5692" i="1"/>
  <c r="S5692" i="1" s="1"/>
  <c r="Q5691" i="1"/>
  <c r="Q5690" i="1"/>
  <c r="Q5689" i="1"/>
  <c r="Q5688" i="1"/>
  <c r="S5688" i="1" s="1"/>
  <c r="Q5687" i="1"/>
  <c r="S5687" i="1" s="1"/>
  <c r="Q5686" i="1"/>
  <c r="S5686" i="1" s="1"/>
  <c r="Q5685" i="1"/>
  <c r="S5685" i="1" s="1"/>
  <c r="Q5684" i="1"/>
  <c r="S5684" i="1" s="1"/>
  <c r="Q5683" i="1"/>
  <c r="Q5682" i="1"/>
  <c r="Q5681" i="1"/>
  <c r="S5681" i="1" s="1"/>
  <c r="Q5680" i="1"/>
  <c r="S5680" i="1" s="1"/>
  <c r="Q5679" i="1"/>
  <c r="Q5678" i="1"/>
  <c r="Q5677" i="1"/>
  <c r="Q5676" i="1"/>
  <c r="S5676" i="1" s="1"/>
  <c r="Q5675" i="1"/>
  <c r="S5675" i="1" s="1"/>
  <c r="Q5674" i="1"/>
  <c r="S5674" i="1" s="1"/>
  <c r="Q5673" i="1"/>
  <c r="S5673" i="1" s="1"/>
  <c r="Q5672" i="1"/>
  <c r="Q5671" i="1"/>
  <c r="Q5670" i="1"/>
  <c r="Q5669" i="1"/>
  <c r="S5669" i="1" s="1"/>
  <c r="Q5668" i="1"/>
  <c r="S5668" i="1" s="1"/>
  <c r="Q5667" i="1"/>
  <c r="Q5666" i="1"/>
  <c r="Q5665" i="1"/>
  <c r="Q5664" i="1"/>
  <c r="S5664" i="1" s="1"/>
  <c r="Q5663" i="1"/>
  <c r="S5663" i="1" s="1"/>
  <c r="Q5662" i="1"/>
  <c r="S5662" i="1" s="1"/>
  <c r="Q5661" i="1"/>
  <c r="S5661" i="1" s="1"/>
  <c r="Q5660" i="1"/>
  <c r="Q5659" i="1"/>
  <c r="Q5658" i="1"/>
  <c r="Q5657" i="1"/>
  <c r="S5657" i="1" s="1"/>
  <c r="Q5656" i="1"/>
  <c r="S5656" i="1" s="1"/>
  <c r="Q5655" i="1"/>
  <c r="Q5654" i="1"/>
  <c r="Q5653" i="1"/>
  <c r="Q5652" i="1"/>
  <c r="S5652" i="1" s="1"/>
  <c r="Q5651" i="1"/>
  <c r="S5651" i="1" s="1"/>
  <c r="Q5650" i="1"/>
  <c r="S5650" i="1" s="1"/>
  <c r="Q5649" i="1"/>
  <c r="S5649" i="1" s="1"/>
  <c r="Q5648" i="1"/>
  <c r="Q5647" i="1"/>
  <c r="Q5646" i="1"/>
  <c r="Q5645" i="1"/>
  <c r="S5645" i="1" s="1"/>
  <c r="Q5644" i="1"/>
  <c r="S5644" i="1" s="1"/>
  <c r="Q5643" i="1"/>
  <c r="Q5642" i="1"/>
  <c r="Q5641" i="1"/>
  <c r="Q5640" i="1"/>
  <c r="S5640" i="1" s="1"/>
  <c r="Q5639" i="1"/>
  <c r="S5639" i="1" s="1"/>
  <c r="Q5638" i="1"/>
  <c r="S5638" i="1" s="1"/>
  <c r="Q5637" i="1"/>
  <c r="S5637" i="1" s="1"/>
  <c r="Q5636" i="1"/>
  <c r="Q5635" i="1"/>
  <c r="Q5634" i="1"/>
  <c r="Q5633" i="1"/>
  <c r="S5633" i="1" s="1"/>
  <c r="Q5632" i="1"/>
  <c r="S5632" i="1" s="1"/>
  <c r="Q5631" i="1"/>
  <c r="Q5630" i="1"/>
  <c r="Q5629" i="1"/>
  <c r="Q5628" i="1"/>
  <c r="S5628" i="1" s="1"/>
  <c r="Q5627" i="1"/>
  <c r="S5627" i="1" s="1"/>
  <c r="Q5626" i="1"/>
  <c r="S5626" i="1" s="1"/>
  <c r="Q5625" i="1"/>
  <c r="S5625" i="1" s="1"/>
  <c r="Q5624" i="1"/>
  <c r="Q5623" i="1"/>
  <c r="Q5622" i="1"/>
  <c r="Q5621" i="1"/>
  <c r="S5621" i="1" s="1"/>
  <c r="Q5620" i="1"/>
  <c r="S5620" i="1" s="1"/>
  <c r="Q5619" i="1"/>
  <c r="Q5618" i="1"/>
  <c r="Q5617" i="1"/>
  <c r="Q5616" i="1"/>
  <c r="S5616" i="1" s="1"/>
  <c r="Q5615" i="1"/>
  <c r="S5615" i="1" s="1"/>
  <c r="Q5614" i="1"/>
  <c r="S5614" i="1" s="1"/>
  <c r="Q5613" i="1"/>
  <c r="S5613" i="1" s="1"/>
  <c r="Q5612" i="1"/>
  <c r="Q5611" i="1"/>
  <c r="Q5610" i="1"/>
  <c r="Q5609" i="1"/>
  <c r="S5609" i="1" s="1"/>
  <c r="Q5608" i="1"/>
  <c r="S5608" i="1" s="1"/>
  <c r="Q5607" i="1"/>
  <c r="Q5606" i="1"/>
  <c r="Q5605" i="1"/>
  <c r="Q5604" i="1"/>
  <c r="S5604" i="1" s="1"/>
  <c r="Q5603" i="1"/>
  <c r="S5603" i="1" s="1"/>
  <c r="Q5602" i="1"/>
  <c r="S5602" i="1" s="1"/>
  <c r="Q5601" i="1"/>
  <c r="S5601" i="1" s="1"/>
  <c r="Q5600" i="1"/>
  <c r="Q5599" i="1"/>
  <c r="Q5598" i="1"/>
  <c r="Q5597" i="1"/>
  <c r="S5597" i="1" s="1"/>
  <c r="Q5596" i="1"/>
  <c r="S5596" i="1" s="1"/>
  <c r="Q5595" i="1"/>
  <c r="Q5594" i="1"/>
  <c r="Q5593" i="1"/>
  <c r="Q5592" i="1"/>
  <c r="S5592" i="1" s="1"/>
  <c r="Q5591" i="1"/>
  <c r="S5591" i="1" s="1"/>
  <c r="Q5590" i="1"/>
  <c r="S5590" i="1" s="1"/>
  <c r="Q5589" i="1"/>
  <c r="S5589" i="1" s="1"/>
  <c r="Q5588" i="1"/>
  <c r="Q5587" i="1"/>
  <c r="Q5586" i="1"/>
  <c r="Q5585" i="1"/>
  <c r="S5585" i="1" s="1"/>
  <c r="Q5584" i="1"/>
  <c r="S5584" i="1" s="1"/>
  <c r="Q5583" i="1"/>
  <c r="Q5582" i="1"/>
  <c r="Q5581" i="1"/>
  <c r="Q5580" i="1"/>
  <c r="S5580" i="1" s="1"/>
  <c r="Q5579" i="1"/>
  <c r="S5579" i="1" s="1"/>
  <c r="Q5578" i="1"/>
  <c r="S5578" i="1" s="1"/>
  <c r="Q5577" i="1"/>
  <c r="S5577" i="1" s="1"/>
  <c r="Q5576" i="1"/>
  <c r="Q5575" i="1"/>
  <c r="Q5574" i="1"/>
  <c r="Q5573" i="1"/>
  <c r="S5573" i="1" s="1"/>
  <c r="Q5572" i="1"/>
  <c r="S5572" i="1" s="1"/>
  <c r="Q5571" i="1"/>
  <c r="Q5570" i="1"/>
  <c r="Q5569" i="1"/>
  <c r="Q5568" i="1"/>
  <c r="S5568" i="1" s="1"/>
  <c r="Q5567" i="1"/>
  <c r="S5567" i="1" s="1"/>
  <c r="Q5566" i="1"/>
  <c r="S5566" i="1" s="1"/>
  <c r="Q5565" i="1"/>
  <c r="S5565" i="1" s="1"/>
  <c r="Q5564" i="1"/>
  <c r="Q5563" i="1"/>
  <c r="Q5562" i="1"/>
  <c r="Q5561" i="1"/>
  <c r="S5561" i="1" s="1"/>
  <c r="Q5560" i="1"/>
  <c r="S5560" i="1" s="1"/>
  <c r="Q5559" i="1"/>
  <c r="Q5558" i="1"/>
  <c r="Q5557" i="1"/>
  <c r="Q5556" i="1"/>
  <c r="S5556" i="1" s="1"/>
  <c r="Q5555" i="1"/>
  <c r="S5555" i="1" s="1"/>
  <c r="Q5554" i="1"/>
  <c r="S5554" i="1" s="1"/>
  <c r="Q5553" i="1"/>
  <c r="S5553" i="1" s="1"/>
  <c r="Q5552" i="1"/>
  <c r="Q5551" i="1"/>
  <c r="Q5550" i="1"/>
  <c r="Q5549" i="1"/>
  <c r="S5549" i="1" s="1"/>
  <c r="Q5548" i="1"/>
  <c r="S5548" i="1" s="1"/>
  <c r="Q5547" i="1"/>
  <c r="Q5546" i="1"/>
  <c r="Q5545" i="1"/>
  <c r="Q5544" i="1"/>
  <c r="S5544" i="1" s="1"/>
  <c r="Q5543" i="1"/>
  <c r="S5543" i="1" s="1"/>
  <c r="Q5542" i="1"/>
  <c r="S5542" i="1" s="1"/>
  <c r="Q5541" i="1"/>
  <c r="S5541" i="1" s="1"/>
  <c r="Q5540" i="1"/>
  <c r="S5540" i="1" s="1"/>
  <c r="Q5539" i="1"/>
  <c r="Q5538" i="1"/>
  <c r="Q5537" i="1"/>
  <c r="S5537" i="1" s="1"/>
  <c r="Q5536" i="1"/>
  <c r="S5536" i="1" s="1"/>
  <c r="Q5535" i="1"/>
  <c r="Q5534" i="1"/>
  <c r="Q5533" i="1"/>
  <c r="Q5532" i="1"/>
  <c r="S5532" i="1" s="1"/>
  <c r="Q5531" i="1"/>
  <c r="S5531" i="1" s="1"/>
  <c r="Q5530" i="1"/>
  <c r="S5530" i="1" s="1"/>
  <c r="Q5529" i="1"/>
  <c r="S5529" i="1" s="1"/>
  <c r="Q5528" i="1"/>
  <c r="Q5527" i="1"/>
  <c r="Q5526" i="1"/>
  <c r="Q5525" i="1"/>
  <c r="S5525" i="1" s="1"/>
  <c r="Q5524" i="1"/>
  <c r="S5524" i="1" s="1"/>
  <c r="Q5523" i="1"/>
  <c r="Q5522" i="1"/>
  <c r="Q5521" i="1"/>
  <c r="Q5520" i="1"/>
  <c r="S5520" i="1" s="1"/>
  <c r="Q5519" i="1"/>
  <c r="S5519" i="1" s="1"/>
  <c r="Q5518" i="1"/>
  <c r="S5518" i="1" s="1"/>
  <c r="Q5517" i="1"/>
  <c r="S5517" i="1" s="1"/>
  <c r="Q5516" i="1"/>
  <c r="Q5515" i="1"/>
  <c r="Q5514" i="1"/>
  <c r="Q5513" i="1"/>
  <c r="S5513" i="1" s="1"/>
  <c r="Q5512" i="1"/>
  <c r="S5512" i="1" s="1"/>
  <c r="Q5511" i="1"/>
  <c r="Q5510" i="1"/>
  <c r="Q5509" i="1"/>
  <c r="Q5508" i="1"/>
  <c r="S5508" i="1" s="1"/>
  <c r="Q5507" i="1"/>
  <c r="S5507" i="1" s="1"/>
  <c r="Q5506" i="1"/>
  <c r="S5506" i="1" s="1"/>
  <c r="Q5505" i="1"/>
  <c r="S5505" i="1" s="1"/>
  <c r="Q5504" i="1"/>
  <c r="Q5503" i="1"/>
  <c r="Q5502" i="1"/>
  <c r="Q5501" i="1"/>
  <c r="S5501" i="1" s="1"/>
  <c r="Q5500" i="1"/>
  <c r="S5500" i="1" s="1"/>
  <c r="Q5499" i="1"/>
  <c r="Q5498" i="1"/>
  <c r="Q5497" i="1"/>
  <c r="Q5496" i="1"/>
  <c r="S5496" i="1" s="1"/>
  <c r="Q5495" i="1"/>
  <c r="S5495" i="1" s="1"/>
  <c r="Q5494" i="1"/>
  <c r="S5494" i="1" s="1"/>
  <c r="Q5493" i="1"/>
  <c r="S5493" i="1" s="1"/>
  <c r="Q5492" i="1"/>
  <c r="Q5491" i="1"/>
  <c r="Q5490" i="1"/>
  <c r="Q5489" i="1"/>
  <c r="S5489" i="1" s="1"/>
  <c r="Q5488" i="1"/>
  <c r="S5488" i="1" s="1"/>
  <c r="Q5487" i="1"/>
  <c r="Q5486" i="1"/>
  <c r="Q5485" i="1"/>
  <c r="Q5484" i="1"/>
  <c r="S5484" i="1" s="1"/>
  <c r="Q5483" i="1"/>
  <c r="S5483" i="1" s="1"/>
  <c r="Q5482" i="1"/>
  <c r="S5482" i="1" s="1"/>
  <c r="Q5481" i="1"/>
  <c r="S5481" i="1" s="1"/>
  <c r="Q5480" i="1"/>
  <c r="Q5479" i="1"/>
  <c r="Q5478" i="1"/>
  <c r="Q5477" i="1"/>
  <c r="S5477" i="1" s="1"/>
  <c r="Q5476" i="1"/>
  <c r="S5476" i="1" s="1"/>
  <c r="Q5475" i="1"/>
  <c r="Q5474" i="1"/>
  <c r="Q5473" i="1"/>
  <c r="Q5472" i="1"/>
  <c r="S5472" i="1" s="1"/>
  <c r="Q5471" i="1"/>
  <c r="S5471" i="1" s="1"/>
  <c r="Q5470" i="1"/>
  <c r="S5470" i="1" s="1"/>
  <c r="Q5469" i="1"/>
  <c r="S5469" i="1" s="1"/>
  <c r="Q5468" i="1"/>
  <c r="Q5467" i="1"/>
  <c r="Q5466" i="1"/>
  <c r="Q5465" i="1"/>
  <c r="S5465" i="1" s="1"/>
  <c r="Q5464" i="1"/>
  <c r="S5464" i="1" s="1"/>
  <c r="Q5463" i="1"/>
  <c r="Q5462" i="1"/>
  <c r="Q5461" i="1"/>
  <c r="Q5460" i="1"/>
  <c r="S5460" i="1" s="1"/>
  <c r="Q5459" i="1"/>
  <c r="S5459" i="1" s="1"/>
  <c r="Q5458" i="1"/>
  <c r="S5458" i="1" s="1"/>
  <c r="Q5457" i="1"/>
  <c r="S5457" i="1" s="1"/>
  <c r="Q5456" i="1"/>
  <c r="Q5455" i="1"/>
  <c r="Q5454" i="1"/>
  <c r="Q5453" i="1"/>
  <c r="S5453" i="1" s="1"/>
  <c r="Q5452" i="1"/>
  <c r="S5452" i="1" s="1"/>
  <c r="Q5451" i="1"/>
  <c r="Q5450" i="1"/>
  <c r="Q5449" i="1"/>
  <c r="Q5448" i="1"/>
  <c r="S5448" i="1" s="1"/>
  <c r="Q5447" i="1"/>
  <c r="S5447" i="1" s="1"/>
  <c r="Q5446" i="1"/>
  <c r="S5446" i="1" s="1"/>
  <c r="Q5445" i="1"/>
  <c r="S5445" i="1" s="1"/>
  <c r="Q5444" i="1"/>
  <c r="Q5443" i="1"/>
  <c r="Q5442" i="1"/>
  <c r="Q5441" i="1"/>
  <c r="S5441" i="1" s="1"/>
  <c r="Q5440" i="1"/>
  <c r="S5440" i="1" s="1"/>
  <c r="Q5439" i="1"/>
  <c r="Q5438" i="1"/>
  <c r="Q5437" i="1"/>
  <c r="Q5436" i="1"/>
  <c r="S5436" i="1" s="1"/>
  <c r="Q5435" i="1"/>
  <c r="S5435" i="1" s="1"/>
  <c r="Q5434" i="1"/>
  <c r="S5434" i="1" s="1"/>
  <c r="Q5433" i="1"/>
  <c r="S5433" i="1" s="1"/>
  <c r="Q5432" i="1"/>
  <c r="Q5431" i="1"/>
  <c r="Q5430" i="1"/>
  <c r="Q5429" i="1"/>
  <c r="S5429" i="1" s="1"/>
  <c r="Q5428" i="1"/>
  <c r="S5428" i="1" s="1"/>
  <c r="Q5427" i="1"/>
  <c r="Q5426" i="1"/>
  <c r="Q5425" i="1"/>
  <c r="Q5424" i="1"/>
  <c r="S5424" i="1" s="1"/>
  <c r="Q5423" i="1"/>
  <c r="S5423" i="1" s="1"/>
  <c r="Q5422" i="1"/>
  <c r="S5422" i="1" s="1"/>
  <c r="Q5421" i="1"/>
  <c r="S5421" i="1" s="1"/>
  <c r="Q5420" i="1"/>
  <c r="Q5419" i="1"/>
  <c r="Q5418" i="1"/>
  <c r="Q5417" i="1"/>
  <c r="S5417" i="1" s="1"/>
  <c r="Q5416" i="1"/>
  <c r="S5416" i="1" s="1"/>
  <c r="Q5415" i="1"/>
  <c r="Q5414" i="1"/>
  <c r="Q5413" i="1"/>
  <c r="Q5412" i="1"/>
  <c r="S5412" i="1" s="1"/>
  <c r="Q5411" i="1"/>
  <c r="S5411" i="1" s="1"/>
  <c r="Q5410" i="1"/>
  <c r="S5410" i="1" s="1"/>
  <c r="Q5409" i="1"/>
  <c r="S5409" i="1" s="1"/>
  <c r="Q5408" i="1"/>
  <c r="Q5407" i="1"/>
  <c r="Q5406" i="1"/>
  <c r="Q5405" i="1"/>
  <c r="S5405" i="1" s="1"/>
  <c r="Q5404" i="1"/>
  <c r="S5404" i="1" s="1"/>
  <c r="Q5403" i="1"/>
  <c r="Q5402" i="1"/>
  <c r="Q5401" i="1"/>
  <c r="Q5400" i="1"/>
  <c r="S5400" i="1" s="1"/>
  <c r="Q5399" i="1"/>
  <c r="S5399" i="1" s="1"/>
  <c r="Q5398" i="1"/>
  <c r="S5398" i="1" s="1"/>
  <c r="Q5397" i="1"/>
  <c r="S5397" i="1" s="1"/>
  <c r="Q5396" i="1"/>
  <c r="Q5395" i="1"/>
  <c r="Q5394" i="1"/>
  <c r="Q5393" i="1"/>
  <c r="S5393" i="1" s="1"/>
  <c r="Q5392" i="1"/>
  <c r="S5392" i="1" s="1"/>
  <c r="Q5391" i="1"/>
  <c r="Q5390" i="1"/>
  <c r="Q5389" i="1"/>
  <c r="Q5388" i="1"/>
  <c r="S5388" i="1" s="1"/>
  <c r="Q5387" i="1"/>
  <c r="S5387" i="1" s="1"/>
  <c r="Q5386" i="1"/>
  <c r="S5386" i="1" s="1"/>
  <c r="Q5385" i="1"/>
  <c r="S5385" i="1" s="1"/>
  <c r="Q5384" i="1"/>
  <c r="Q5383" i="1"/>
  <c r="Q5382" i="1"/>
  <c r="Q5381" i="1"/>
  <c r="S5381" i="1" s="1"/>
  <c r="Q5380" i="1"/>
  <c r="S5380" i="1" s="1"/>
  <c r="Q5379" i="1"/>
  <c r="Q5378" i="1"/>
  <c r="Q5377" i="1"/>
  <c r="Q5376" i="1"/>
  <c r="S5376" i="1" s="1"/>
  <c r="Q5375" i="1"/>
  <c r="S5375" i="1" s="1"/>
  <c r="Q5374" i="1"/>
  <c r="S5374" i="1" s="1"/>
  <c r="Q5373" i="1"/>
  <c r="S5373" i="1" s="1"/>
  <c r="Q5372" i="1"/>
  <c r="Q5371" i="1"/>
  <c r="Q5370" i="1"/>
  <c r="Q5369" i="1"/>
  <c r="S5369" i="1" s="1"/>
  <c r="Q5368" i="1"/>
  <c r="S5368" i="1" s="1"/>
  <c r="Q5367" i="1"/>
  <c r="Q5366" i="1"/>
  <c r="Q5365" i="1"/>
  <c r="Q5364" i="1"/>
  <c r="S5364" i="1" s="1"/>
  <c r="Q5363" i="1"/>
  <c r="S5363" i="1" s="1"/>
  <c r="Q5362" i="1"/>
  <c r="S5362" i="1" s="1"/>
  <c r="Q5361" i="1"/>
  <c r="S5361" i="1" s="1"/>
  <c r="Q5360" i="1"/>
  <c r="Q5359" i="1"/>
  <c r="Q5358" i="1"/>
  <c r="Q5357" i="1"/>
  <c r="S5357" i="1" s="1"/>
  <c r="Q5356" i="1"/>
  <c r="S5356" i="1" s="1"/>
  <c r="Q5355" i="1"/>
  <c r="Q5354" i="1"/>
  <c r="Q5353" i="1"/>
  <c r="Q5352" i="1"/>
  <c r="S5352" i="1" s="1"/>
  <c r="Q5351" i="1"/>
  <c r="S5351" i="1" s="1"/>
  <c r="Q5350" i="1"/>
  <c r="S5350" i="1" s="1"/>
  <c r="Q5349" i="1"/>
  <c r="S5349" i="1" s="1"/>
  <c r="Q5348" i="1"/>
  <c r="Q5347" i="1"/>
  <c r="Q5346" i="1"/>
  <c r="Q5345" i="1"/>
  <c r="S5345" i="1" s="1"/>
  <c r="Q5344" i="1"/>
  <c r="S5344" i="1" s="1"/>
  <c r="Q5343" i="1"/>
  <c r="Q5342" i="1"/>
  <c r="Q5341" i="1"/>
  <c r="Q5340" i="1"/>
  <c r="S5340" i="1" s="1"/>
  <c r="Q5339" i="1"/>
  <c r="S5339" i="1" s="1"/>
  <c r="Q5338" i="1"/>
  <c r="S5338" i="1" s="1"/>
  <c r="Q5337" i="1"/>
  <c r="S5337" i="1" s="1"/>
  <c r="Q5336" i="1"/>
  <c r="Q5335" i="1"/>
  <c r="Q5334" i="1"/>
  <c r="Q5333" i="1"/>
  <c r="S5333" i="1" s="1"/>
  <c r="Q5332" i="1"/>
  <c r="S5332" i="1" s="1"/>
  <c r="Q5331" i="1"/>
  <c r="Q5330" i="1"/>
  <c r="Q5329" i="1"/>
  <c r="Q5328" i="1"/>
  <c r="S5328" i="1" s="1"/>
  <c r="Q5327" i="1"/>
  <c r="S5327" i="1" s="1"/>
  <c r="Q5326" i="1"/>
  <c r="S5326" i="1" s="1"/>
  <c r="Q5325" i="1"/>
  <c r="S5325" i="1" s="1"/>
  <c r="Q5324" i="1"/>
  <c r="Q5323" i="1"/>
  <c r="Q5322" i="1"/>
  <c r="Q5321" i="1"/>
  <c r="S5321" i="1" s="1"/>
  <c r="Q5320" i="1"/>
  <c r="S5320" i="1" s="1"/>
  <c r="Q5319" i="1"/>
  <c r="Q5318" i="1"/>
  <c r="Q5317" i="1"/>
  <c r="Q5316" i="1"/>
  <c r="S5316" i="1" s="1"/>
  <c r="Q5315" i="1"/>
  <c r="S5315" i="1" s="1"/>
  <c r="Q5314" i="1"/>
  <c r="S5314" i="1" s="1"/>
  <c r="Q5313" i="1"/>
  <c r="S5313" i="1" s="1"/>
  <c r="Q5312" i="1"/>
  <c r="Q5311" i="1"/>
  <c r="Q5310" i="1"/>
  <c r="Q5309" i="1"/>
  <c r="S5309" i="1" s="1"/>
  <c r="Q5308" i="1"/>
  <c r="S5308" i="1" s="1"/>
  <c r="Q5307" i="1"/>
  <c r="Q5306" i="1"/>
  <c r="Q5305" i="1"/>
  <c r="Q5304" i="1"/>
  <c r="S5304" i="1" s="1"/>
  <c r="Q5303" i="1"/>
  <c r="S5303" i="1" s="1"/>
  <c r="Q5302" i="1"/>
  <c r="S5302" i="1" s="1"/>
  <c r="Q5301" i="1"/>
  <c r="S5301" i="1" s="1"/>
  <c r="Q5300" i="1"/>
  <c r="Q5299" i="1"/>
  <c r="Q5298" i="1"/>
  <c r="Q5297" i="1"/>
  <c r="S5297" i="1" s="1"/>
  <c r="Q5296" i="1"/>
  <c r="S5296" i="1" s="1"/>
  <c r="Q5295" i="1"/>
  <c r="Q5294" i="1"/>
  <c r="Q5293" i="1"/>
  <c r="Q5292" i="1"/>
  <c r="S5292" i="1" s="1"/>
  <c r="Q5291" i="1"/>
  <c r="S5291" i="1" s="1"/>
  <c r="Q5290" i="1"/>
  <c r="S5290" i="1" s="1"/>
  <c r="Q5289" i="1"/>
  <c r="S5289" i="1" s="1"/>
  <c r="Q5288" i="1"/>
  <c r="Q5287" i="1"/>
  <c r="Q5286" i="1"/>
  <c r="Q5285" i="1"/>
  <c r="S5285" i="1" s="1"/>
  <c r="Q5284" i="1"/>
  <c r="S5284" i="1" s="1"/>
  <c r="Q5283" i="1"/>
  <c r="Q5282" i="1"/>
  <c r="Q5281" i="1"/>
  <c r="Q5280" i="1"/>
  <c r="S5280" i="1" s="1"/>
  <c r="Q5279" i="1"/>
  <c r="S5279" i="1" s="1"/>
  <c r="Q5278" i="1"/>
  <c r="S5278" i="1" s="1"/>
  <c r="Q5277" i="1"/>
  <c r="S5277" i="1" s="1"/>
  <c r="Q5276" i="1"/>
  <c r="Q5275" i="1"/>
  <c r="Q5274" i="1"/>
  <c r="Q5273" i="1"/>
  <c r="S5273" i="1" s="1"/>
  <c r="Q5272" i="1"/>
  <c r="S5272" i="1" s="1"/>
  <c r="Q5271" i="1"/>
  <c r="S5271" i="1" s="1"/>
  <c r="Q5270" i="1"/>
  <c r="Q5269" i="1"/>
  <c r="Q5268" i="1"/>
  <c r="S5268" i="1" s="1"/>
  <c r="Q5267" i="1"/>
  <c r="S5267" i="1" s="1"/>
  <c r="Q5266" i="1"/>
  <c r="S5266" i="1" s="1"/>
  <c r="Q5265" i="1"/>
  <c r="S5265" i="1" s="1"/>
  <c r="Q5264" i="1"/>
  <c r="Q5263" i="1"/>
  <c r="Q5262" i="1"/>
  <c r="Q5261" i="1"/>
  <c r="S5261" i="1" s="1"/>
  <c r="Q5260" i="1"/>
  <c r="S5260" i="1" s="1"/>
  <c r="Q5259" i="1"/>
  <c r="Q5258" i="1"/>
  <c r="Q5257" i="1"/>
  <c r="Q5256" i="1"/>
  <c r="S5256" i="1" s="1"/>
  <c r="Q5255" i="1"/>
  <c r="S5255" i="1" s="1"/>
  <c r="Q5254" i="1"/>
  <c r="S5254" i="1" s="1"/>
  <c r="Q5253" i="1"/>
  <c r="S5253" i="1" s="1"/>
  <c r="Q5252" i="1"/>
  <c r="Q5251" i="1"/>
  <c r="Q5250" i="1"/>
  <c r="Q5249" i="1"/>
  <c r="S5249" i="1" s="1"/>
  <c r="Q5248" i="1"/>
  <c r="S5248" i="1" s="1"/>
  <c r="Q5247" i="1"/>
  <c r="Q5246" i="1"/>
  <c r="Q5245" i="1"/>
  <c r="Q5244" i="1"/>
  <c r="S5244" i="1" s="1"/>
  <c r="Q5243" i="1"/>
  <c r="S5243" i="1" s="1"/>
  <c r="Q5242" i="1"/>
  <c r="S5242" i="1" s="1"/>
  <c r="Q5241" i="1"/>
  <c r="S5241" i="1" s="1"/>
  <c r="Q5240" i="1"/>
  <c r="Q5239" i="1"/>
  <c r="Q5238" i="1"/>
  <c r="Q5237" i="1"/>
  <c r="S5237" i="1" s="1"/>
  <c r="Q5236" i="1"/>
  <c r="S5236" i="1" s="1"/>
  <c r="Q5235" i="1"/>
  <c r="Q5234" i="1"/>
  <c r="Q5233" i="1"/>
  <c r="Q5232" i="1"/>
  <c r="S5232" i="1" s="1"/>
  <c r="Q5231" i="1"/>
  <c r="S5231" i="1" s="1"/>
  <c r="Q5230" i="1"/>
  <c r="S5230" i="1" s="1"/>
  <c r="Q5229" i="1"/>
  <c r="S5229" i="1" s="1"/>
  <c r="Q5228" i="1"/>
  <c r="Q5227" i="1"/>
  <c r="Q5226" i="1"/>
  <c r="Q5225" i="1"/>
  <c r="S5225" i="1" s="1"/>
  <c r="Q5224" i="1"/>
  <c r="S5224" i="1" s="1"/>
  <c r="Q5223" i="1"/>
  <c r="Q5222" i="1"/>
  <c r="Q5221" i="1"/>
  <c r="Q5220" i="1"/>
  <c r="S5220" i="1" s="1"/>
  <c r="Q5219" i="1"/>
  <c r="S5219" i="1" s="1"/>
  <c r="Q5218" i="1"/>
  <c r="S5218" i="1" s="1"/>
  <c r="Q5217" i="1"/>
  <c r="S5217" i="1" s="1"/>
  <c r="Q5216" i="1"/>
  <c r="Q5215" i="1"/>
  <c r="Q5214" i="1"/>
  <c r="Q5213" i="1"/>
  <c r="S5213" i="1" s="1"/>
  <c r="Q5212" i="1"/>
  <c r="S5212" i="1" s="1"/>
  <c r="Q5211" i="1"/>
  <c r="Q5210" i="1"/>
  <c r="Q5209" i="1"/>
  <c r="Q5208" i="1"/>
  <c r="S5208" i="1" s="1"/>
  <c r="Q5207" i="1"/>
  <c r="S5207" i="1" s="1"/>
  <c r="Q5206" i="1"/>
  <c r="S5206" i="1" s="1"/>
  <c r="Q5205" i="1"/>
  <c r="S5205" i="1" s="1"/>
  <c r="Q5204" i="1"/>
  <c r="Q5203" i="1"/>
  <c r="Q5202" i="1"/>
  <c r="Q5201" i="1"/>
  <c r="S5201" i="1" s="1"/>
  <c r="Q5200" i="1"/>
  <c r="S5200" i="1" s="1"/>
  <c r="Q5199" i="1"/>
  <c r="Q5198" i="1"/>
  <c r="Q5197" i="1"/>
  <c r="Q5196" i="1"/>
  <c r="S5196" i="1" s="1"/>
  <c r="Q5195" i="1"/>
  <c r="S5195" i="1" s="1"/>
  <c r="Q5194" i="1"/>
  <c r="S5194" i="1" s="1"/>
  <c r="Q5193" i="1"/>
  <c r="S5193" i="1" s="1"/>
  <c r="Q5192" i="1"/>
  <c r="Q5191" i="1"/>
  <c r="Q5190" i="1"/>
  <c r="Q5189" i="1"/>
  <c r="S5189" i="1" s="1"/>
  <c r="Q5188" i="1"/>
  <c r="S5188" i="1" s="1"/>
  <c r="Q5187" i="1"/>
  <c r="Q5186" i="1"/>
  <c r="Q5185" i="1"/>
  <c r="Q5184" i="1"/>
  <c r="S5184" i="1" s="1"/>
  <c r="Q5183" i="1"/>
  <c r="S5183" i="1" s="1"/>
  <c r="Q5182" i="1"/>
  <c r="S5182" i="1" s="1"/>
  <c r="Q5181" i="1"/>
  <c r="S5181" i="1" s="1"/>
  <c r="Q5180" i="1"/>
  <c r="Q5179" i="1"/>
  <c r="Q5178" i="1"/>
  <c r="Q5177" i="1"/>
  <c r="S5177" i="1" s="1"/>
  <c r="Q5176" i="1"/>
  <c r="S5176" i="1" s="1"/>
  <c r="Q5175" i="1"/>
  <c r="Q5174" i="1"/>
  <c r="Q5173" i="1"/>
  <c r="Q5172" i="1"/>
  <c r="S5172" i="1" s="1"/>
  <c r="Q5171" i="1"/>
  <c r="S5171" i="1" s="1"/>
  <c r="Q5170" i="1"/>
  <c r="S5170" i="1" s="1"/>
  <c r="Q5169" i="1"/>
  <c r="S5169" i="1" s="1"/>
  <c r="Q5168" i="1"/>
  <c r="Q5167" i="1"/>
  <c r="Q5166" i="1"/>
  <c r="Q5165" i="1"/>
  <c r="S5165" i="1" s="1"/>
  <c r="Q5164" i="1"/>
  <c r="S5164" i="1" s="1"/>
  <c r="Q5163" i="1"/>
  <c r="Q5162" i="1"/>
  <c r="Q5161" i="1"/>
  <c r="Q5160" i="1"/>
  <c r="S5160" i="1" s="1"/>
  <c r="Q5159" i="1"/>
  <c r="S5159" i="1" s="1"/>
  <c r="Q5158" i="1"/>
  <c r="S5158" i="1" s="1"/>
  <c r="Q5157" i="1"/>
  <c r="S5157" i="1" s="1"/>
  <c r="Q5156" i="1"/>
  <c r="Q5155" i="1"/>
  <c r="Q5154" i="1"/>
  <c r="Q5153" i="1"/>
  <c r="S5153" i="1" s="1"/>
  <c r="Q5152" i="1"/>
  <c r="S5152" i="1" s="1"/>
  <c r="Q5151" i="1"/>
  <c r="Q5150" i="1"/>
  <c r="Q5149" i="1"/>
  <c r="Q5148" i="1"/>
  <c r="S5148" i="1" s="1"/>
  <c r="Q5147" i="1"/>
  <c r="S5147" i="1" s="1"/>
  <c r="Q5146" i="1"/>
  <c r="S5146" i="1" s="1"/>
  <c r="Q5145" i="1"/>
  <c r="S5145" i="1" s="1"/>
  <c r="Q5144" i="1"/>
  <c r="Q5143" i="1"/>
  <c r="Q5142" i="1"/>
  <c r="Q5141" i="1"/>
  <c r="S5141" i="1" s="1"/>
  <c r="Q5140" i="1"/>
  <c r="S5140" i="1" s="1"/>
  <c r="Q5139" i="1"/>
  <c r="Q5138" i="1"/>
  <c r="Q5137" i="1"/>
  <c r="Q5136" i="1"/>
  <c r="S5136" i="1" s="1"/>
  <c r="Q5135" i="1"/>
  <c r="S5135" i="1" s="1"/>
  <c r="Q5134" i="1"/>
  <c r="S5134" i="1" s="1"/>
  <c r="Q5133" i="1"/>
  <c r="S5133" i="1" s="1"/>
  <c r="Q5132" i="1"/>
  <c r="Q5131" i="1"/>
  <c r="Q5130" i="1"/>
  <c r="Q5129" i="1"/>
  <c r="S5129" i="1" s="1"/>
  <c r="Q5128" i="1"/>
  <c r="S5128" i="1" s="1"/>
  <c r="Q5127" i="1"/>
  <c r="Q5126" i="1"/>
  <c r="Q5125" i="1"/>
  <c r="Q5124" i="1"/>
  <c r="S5124" i="1" s="1"/>
  <c r="Q5123" i="1"/>
  <c r="S5123" i="1" s="1"/>
  <c r="Q5122" i="1"/>
  <c r="S5122" i="1" s="1"/>
  <c r="Q5121" i="1"/>
  <c r="S5121" i="1" s="1"/>
  <c r="Q5120" i="1"/>
  <c r="Q5119" i="1"/>
  <c r="Q5118" i="1"/>
  <c r="Q5117" i="1"/>
  <c r="S5117" i="1" s="1"/>
  <c r="Q5116" i="1"/>
  <c r="S5116" i="1" s="1"/>
  <c r="Q5115" i="1"/>
  <c r="Q5114" i="1"/>
  <c r="Q5113" i="1"/>
  <c r="Q5112" i="1"/>
  <c r="S5112" i="1" s="1"/>
  <c r="Q5111" i="1"/>
  <c r="S5111" i="1" s="1"/>
  <c r="Q5110" i="1"/>
  <c r="S5110" i="1" s="1"/>
  <c r="Q5109" i="1"/>
  <c r="S5109" i="1" s="1"/>
  <c r="Q5108" i="1"/>
  <c r="Q5107" i="1"/>
  <c r="Q5106" i="1"/>
  <c r="Q5105" i="1"/>
  <c r="S5105" i="1" s="1"/>
  <c r="Q5104" i="1"/>
  <c r="S5104" i="1" s="1"/>
  <c r="Q5103" i="1"/>
  <c r="Q5102" i="1"/>
  <c r="Q5101" i="1"/>
  <c r="Q5100" i="1"/>
  <c r="S5100" i="1" s="1"/>
  <c r="Q5099" i="1"/>
  <c r="S5099" i="1" s="1"/>
  <c r="Q5098" i="1"/>
  <c r="S5098" i="1" s="1"/>
  <c r="Q5097" i="1"/>
  <c r="S5097" i="1" s="1"/>
  <c r="Q5096" i="1"/>
  <c r="Q5095" i="1"/>
  <c r="Q5094" i="1"/>
  <c r="Q5093" i="1"/>
  <c r="S5093" i="1" s="1"/>
  <c r="Q5092" i="1"/>
  <c r="S5092" i="1" s="1"/>
  <c r="Q5091" i="1"/>
  <c r="Q5090" i="1"/>
  <c r="Q5089" i="1"/>
  <c r="Q5088" i="1"/>
  <c r="S5088" i="1" s="1"/>
  <c r="Q5087" i="1"/>
  <c r="S5087" i="1" s="1"/>
  <c r="Q5086" i="1"/>
  <c r="S5086" i="1" s="1"/>
  <c r="Q5085" i="1"/>
  <c r="S5085" i="1" s="1"/>
  <c r="Q5084" i="1"/>
  <c r="Q5083" i="1"/>
  <c r="Q5082" i="1"/>
  <c r="Q5081" i="1"/>
  <c r="S5081" i="1" s="1"/>
  <c r="Q5080" i="1"/>
  <c r="S5080" i="1" s="1"/>
  <c r="Q5079" i="1"/>
  <c r="Q5078" i="1"/>
  <c r="Q5077" i="1"/>
  <c r="Q5076" i="1"/>
  <c r="S5076" i="1" s="1"/>
  <c r="Q5075" i="1"/>
  <c r="S5075" i="1" s="1"/>
  <c r="Q5074" i="1"/>
  <c r="S5074" i="1" s="1"/>
  <c r="Q5073" i="1"/>
  <c r="S5073" i="1" s="1"/>
  <c r="Q5072" i="1"/>
  <c r="Q5071" i="1"/>
  <c r="Q5070" i="1"/>
  <c r="Q5069" i="1"/>
  <c r="S5069" i="1" s="1"/>
  <c r="Q5068" i="1"/>
  <c r="S5068" i="1" s="1"/>
  <c r="Q5067" i="1"/>
  <c r="Q5066" i="1"/>
  <c r="Q5065" i="1"/>
  <c r="Q5064" i="1"/>
  <c r="S5064" i="1" s="1"/>
  <c r="Q5063" i="1"/>
  <c r="S5063" i="1" s="1"/>
  <c r="Q5062" i="1"/>
  <c r="S5062" i="1" s="1"/>
  <c r="Q5061" i="1"/>
  <c r="S5061" i="1" s="1"/>
  <c r="Q5060" i="1"/>
  <c r="Q5059" i="1"/>
  <c r="Q5058" i="1"/>
  <c r="Q5057" i="1"/>
  <c r="S5057" i="1" s="1"/>
  <c r="Q5056" i="1"/>
  <c r="S5056" i="1" s="1"/>
  <c r="Q5055" i="1"/>
  <c r="Q5054" i="1"/>
  <c r="Q5053" i="1"/>
  <c r="Q5052" i="1"/>
  <c r="S5052" i="1" s="1"/>
  <c r="Q5051" i="1"/>
  <c r="S5051" i="1" s="1"/>
  <c r="Q5050" i="1"/>
  <c r="S5050" i="1" s="1"/>
  <c r="Q5049" i="1"/>
  <c r="S5049" i="1" s="1"/>
  <c r="Q5048" i="1"/>
  <c r="Q5047" i="1"/>
  <c r="Q5046" i="1"/>
  <c r="Q5045" i="1"/>
  <c r="S5045" i="1" s="1"/>
  <c r="Q5044" i="1"/>
  <c r="S5044" i="1" s="1"/>
  <c r="Q5043" i="1"/>
  <c r="Q5042" i="1"/>
  <c r="Q5041" i="1"/>
  <c r="Q5040" i="1"/>
  <c r="S5040" i="1" s="1"/>
  <c r="Q5039" i="1"/>
  <c r="S5039" i="1" s="1"/>
  <c r="Q5038" i="1"/>
  <c r="S5038" i="1" s="1"/>
  <c r="Q5037" i="1"/>
  <c r="S5037" i="1" s="1"/>
  <c r="Q5036" i="1"/>
  <c r="Q5035" i="1"/>
  <c r="Q5034" i="1"/>
  <c r="Q5033" i="1"/>
  <c r="S5033" i="1" s="1"/>
  <c r="Q5032" i="1"/>
  <c r="S5032" i="1" s="1"/>
  <c r="Q5031" i="1"/>
  <c r="Q5030" i="1"/>
  <c r="Q5029" i="1"/>
  <c r="Q5028" i="1"/>
  <c r="S5028" i="1" s="1"/>
  <c r="Q5027" i="1"/>
  <c r="S5027" i="1" s="1"/>
  <c r="Q5026" i="1"/>
  <c r="S5026" i="1" s="1"/>
  <c r="Q5025" i="1"/>
  <c r="S5025" i="1" s="1"/>
  <c r="Q5024" i="1"/>
  <c r="S5024" i="1" s="1"/>
  <c r="Q5023" i="1"/>
  <c r="Q5022" i="1"/>
  <c r="Q5021" i="1"/>
  <c r="S5021" i="1" s="1"/>
  <c r="Q5020" i="1"/>
  <c r="S5020" i="1" s="1"/>
  <c r="Q5019" i="1"/>
  <c r="Q5018" i="1"/>
  <c r="Q5017" i="1"/>
  <c r="Q5016" i="1"/>
  <c r="S5016" i="1" s="1"/>
  <c r="Q5015" i="1"/>
  <c r="S5015" i="1" s="1"/>
  <c r="Q5014" i="1"/>
  <c r="S5014" i="1" s="1"/>
  <c r="Q5013" i="1"/>
  <c r="S5013" i="1" s="1"/>
  <c r="Q5012" i="1"/>
  <c r="Q5011" i="1"/>
  <c r="Q5010" i="1"/>
  <c r="Q5009" i="1"/>
  <c r="S5009" i="1" s="1"/>
  <c r="Q5008" i="1"/>
  <c r="S5008" i="1" s="1"/>
  <c r="Q5007" i="1"/>
  <c r="Q5006" i="1"/>
  <c r="Q5005" i="1"/>
  <c r="Q5004" i="1"/>
  <c r="S5004" i="1" s="1"/>
  <c r="Q5003" i="1"/>
  <c r="S5003" i="1" s="1"/>
  <c r="Q5002" i="1"/>
  <c r="S5002" i="1" s="1"/>
  <c r="Q5001" i="1"/>
  <c r="S5001" i="1" s="1"/>
  <c r="Q5000" i="1"/>
  <c r="Q4999" i="1"/>
  <c r="Q4998" i="1"/>
  <c r="Q4997" i="1"/>
  <c r="S4997" i="1" s="1"/>
  <c r="Q4996" i="1"/>
  <c r="S4996" i="1" s="1"/>
  <c r="Q4995" i="1"/>
  <c r="Q4994" i="1"/>
  <c r="Q4993" i="1"/>
  <c r="Q4992" i="1"/>
  <c r="S4992" i="1" s="1"/>
  <c r="Q4991" i="1"/>
  <c r="S4991" i="1" s="1"/>
  <c r="Q4990" i="1"/>
  <c r="S4990" i="1" s="1"/>
  <c r="Q4989" i="1"/>
  <c r="S4989" i="1" s="1"/>
  <c r="Q4988" i="1"/>
  <c r="Q4987" i="1"/>
  <c r="Q4986" i="1"/>
  <c r="Q4985" i="1"/>
  <c r="S4985" i="1" s="1"/>
  <c r="Q4984" i="1"/>
  <c r="S4984" i="1" s="1"/>
  <c r="Q4983" i="1"/>
  <c r="Q4982" i="1"/>
  <c r="Q4981" i="1"/>
  <c r="Q4980" i="1"/>
  <c r="S4980" i="1" s="1"/>
  <c r="Q4979" i="1"/>
  <c r="S4979" i="1" s="1"/>
  <c r="Q4978" i="1"/>
  <c r="S4978" i="1" s="1"/>
  <c r="Q4977" i="1"/>
  <c r="S4977" i="1" s="1"/>
  <c r="Q4976" i="1"/>
  <c r="Q4975" i="1"/>
  <c r="Q4974" i="1"/>
  <c r="Q4973" i="1"/>
  <c r="S4973" i="1" s="1"/>
  <c r="Q4972" i="1"/>
  <c r="S4972" i="1" s="1"/>
  <c r="Q4971" i="1"/>
  <c r="Q4970" i="1"/>
  <c r="Q4969" i="1"/>
  <c r="Q4968" i="1"/>
  <c r="S4968" i="1" s="1"/>
  <c r="Q4967" i="1"/>
  <c r="S4967" i="1" s="1"/>
  <c r="Q4966" i="1"/>
  <c r="S4966" i="1" s="1"/>
  <c r="Q4965" i="1"/>
  <c r="S4965" i="1" s="1"/>
  <c r="Q4964" i="1"/>
  <c r="Q4963" i="1"/>
  <c r="Q4962" i="1"/>
  <c r="Q4961" i="1"/>
  <c r="S4961" i="1" s="1"/>
  <c r="Q4960" i="1"/>
  <c r="S4960" i="1" s="1"/>
  <c r="Q4959" i="1"/>
  <c r="Q4958" i="1"/>
  <c r="Q4957" i="1"/>
  <c r="Q4956" i="1"/>
  <c r="S4956" i="1" s="1"/>
  <c r="Q4955" i="1"/>
  <c r="S4955" i="1" s="1"/>
  <c r="Q4954" i="1"/>
  <c r="S4954" i="1" s="1"/>
  <c r="Q4953" i="1"/>
  <c r="S4953" i="1" s="1"/>
  <c r="Q4952" i="1"/>
  <c r="Q4951" i="1"/>
  <c r="Q4950" i="1"/>
  <c r="Q4949" i="1"/>
  <c r="S4949" i="1" s="1"/>
  <c r="Q4948" i="1"/>
  <c r="S4948" i="1" s="1"/>
  <c r="Q4947" i="1"/>
  <c r="Q4946" i="1"/>
  <c r="Q4945" i="1"/>
  <c r="Q4944" i="1"/>
  <c r="S4944" i="1" s="1"/>
  <c r="Q4943" i="1"/>
  <c r="S4943" i="1" s="1"/>
  <c r="Q4942" i="1"/>
  <c r="S4942" i="1" s="1"/>
  <c r="Q4941" i="1"/>
  <c r="S4941" i="1" s="1"/>
  <c r="Q4940" i="1"/>
  <c r="Q4939" i="1"/>
  <c r="Q4938" i="1"/>
  <c r="Q4937" i="1"/>
  <c r="S4937" i="1" s="1"/>
  <c r="Q4936" i="1"/>
  <c r="S4936" i="1" s="1"/>
  <c r="Q4935" i="1"/>
  <c r="Q4934" i="1"/>
  <c r="Q4933" i="1"/>
  <c r="Q4932" i="1"/>
  <c r="S4932" i="1" s="1"/>
  <c r="Q4931" i="1"/>
  <c r="S4931" i="1" s="1"/>
  <c r="Q4930" i="1"/>
  <c r="S4930" i="1" s="1"/>
  <c r="Q4929" i="1"/>
  <c r="S4929" i="1" s="1"/>
  <c r="Q4928" i="1"/>
  <c r="Q4927" i="1"/>
  <c r="Q4926" i="1"/>
  <c r="Q4925" i="1"/>
  <c r="S4925" i="1" s="1"/>
  <c r="Q4924" i="1"/>
  <c r="S4924" i="1" s="1"/>
  <c r="Q4923" i="1"/>
  <c r="Q4922" i="1"/>
  <c r="Q4921" i="1"/>
  <c r="Q4920" i="1"/>
  <c r="S4920" i="1" s="1"/>
  <c r="Q4919" i="1"/>
  <c r="S4919" i="1" s="1"/>
  <c r="Q4918" i="1"/>
  <c r="S4918" i="1" s="1"/>
  <c r="Q4917" i="1"/>
  <c r="S4917" i="1" s="1"/>
  <c r="Q4916" i="1"/>
  <c r="S4916" i="1" s="1"/>
  <c r="Q4915" i="1"/>
  <c r="Q4914" i="1"/>
  <c r="Q4913" i="1"/>
  <c r="S4913" i="1" s="1"/>
  <c r="Q4912" i="1"/>
  <c r="S4912" i="1" s="1"/>
  <c r="Q4911" i="1"/>
  <c r="Q4910" i="1"/>
  <c r="Q4909" i="1"/>
  <c r="Q4908" i="1"/>
  <c r="S4908" i="1" s="1"/>
  <c r="Q4907" i="1"/>
  <c r="S4907" i="1" s="1"/>
  <c r="Q4906" i="1"/>
  <c r="S4906" i="1" s="1"/>
  <c r="Q4905" i="1"/>
  <c r="S4905" i="1" s="1"/>
  <c r="Q4904" i="1"/>
  <c r="Q4903" i="1"/>
  <c r="Q4902" i="1"/>
  <c r="Q4901" i="1"/>
  <c r="S4901" i="1" s="1"/>
  <c r="Q4900" i="1"/>
  <c r="S4900" i="1" s="1"/>
  <c r="Q4899" i="1"/>
  <c r="Q4898" i="1"/>
  <c r="Q4897" i="1"/>
  <c r="Q4896" i="1"/>
  <c r="S4896" i="1" s="1"/>
  <c r="Q4895" i="1"/>
  <c r="S4895" i="1" s="1"/>
  <c r="Q4894" i="1"/>
  <c r="S4894" i="1" s="1"/>
  <c r="Q4893" i="1"/>
  <c r="S4893" i="1" s="1"/>
  <c r="Q4892" i="1"/>
  <c r="Q4891" i="1"/>
  <c r="Q4890" i="1"/>
  <c r="Q4889" i="1"/>
  <c r="S4889" i="1" s="1"/>
  <c r="Q4888" i="1"/>
  <c r="S4888" i="1" s="1"/>
  <c r="Q4887" i="1"/>
  <c r="Q4886" i="1"/>
  <c r="Q4885" i="1"/>
  <c r="Q4884" i="1"/>
  <c r="S4884" i="1" s="1"/>
  <c r="Q4883" i="1"/>
  <c r="S4883" i="1" s="1"/>
  <c r="Q4882" i="1"/>
  <c r="S4882" i="1" s="1"/>
  <c r="Q4881" i="1"/>
  <c r="S4881" i="1" s="1"/>
  <c r="Q4880" i="1"/>
  <c r="Q4879" i="1"/>
  <c r="Q4878" i="1"/>
  <c r="Q4877" i="1"/>
  <c r="S4877" i="1" s="1"/>
  <c r="Q4876" i="1"/>
  <c r="S4876" i="1" s="1"/>
  <c r="Q4875" i="1"/>
  <c r="Q4874" i="1"/>
  <c r="Q4873" i="1"/>
  <c r="Q4872" i="1"/>
  <c r="S4872" i="1" s="1"/>
  <c r="Q4871" i="1"/>
  <c r="S4871" i="1" s="1"/>
  <c r="Q4870" i="1"/>
  <c r="S4870" i="1" s="1"/>
  <c r="Q4869" i="1"/>
  <c r="S4869" i="1" s="1"/>
  <c r="Q4868" i="1"/>
  <c r="Q4867" i="1"/>
  <c r="Q4866" i="1"/>
  <c r="Q4865" i="1"/>
  <c r="S4865" i="1" s="1"/>
  <c r="Q4864" i="1"/>
  <c r="S4864" i="1" s="1"/>
  <c r="Q4863" i="1"/>
  <c r="Q4862" i="1"/>
  <c r="Q4861" i="1"/>
  <c r="Q4860" i="1"/>
  <c r="S4860" i="1" s="1"/>
  <c r="Q4859" i="1"/>
  <c r="S4859" i="1" s="1"/>
  <c r="Q4858" i="1"/>
  <c r="S4858" i="1" s="1"/>
  <c r="Q4857" i="1"/>
  <c r="S4857" i="1" s="1"/>
  <c r="Q4856" i="1"/>
  <c r="Q4855" i="1"/>
  <c r="Q4854" i="1"/>
  <c r="Q4853" i="1"/>
  <c r="S4853" i="1" s="1"/>
  <c r="Q4852" i="1"/>
  <c r="S4852" i="1" s="1"/>
  <c r="Q4851" i="1"/>
  <c r="Q4850" i="1"/>
  <c r="Q4849" i="1"/>
  <c r="Q4848" i="1"/>
  <c r="S4848" i="1" s="1"/>
  <c r="Q4847" i="1"/>
  <c r="S4847" i="1" s="1"/>
  <c r="Q4846" i="1"/>
  <c r="S4846" i="1" s="1"/>
  <c r="Q4845" i="1"/>
  <c r="S4845" i="1" s="1"/>
  <c r="Q4844" i="1"/>
  <c r="Q4843" i="1"/>
  <c r="Q4842" i="1"/>
  <c r="Q4841" i="1"/>
  <c r="S4841" i="1" s="1"/>
  <c r="Q4840" i="1"/>
  <c r="S4840" i="1" s="1"/>
  <c r="Q4839" i="1"/>
  <c r="Q4838" i="1"/>
  <c r="Q4837" i="1"/>
  <c r="Q4836" i="1"/>
  <c r="S4836" i="1" s="1"/>
  <c r="Q4835" i="1"/>
  <c r="S4835" i="1" s="1"/>
  <c r="Q4834" i="1"/>
  <c r="S4834" i="1" s="1"/>
  <c r="Q4833" i="1"/>
  <c r="S4833" i="1" s="1"/>
  <c r="Q4832" i="1"/>
  <c r="Q4831" i="1"/>
  <c r="Q4830" i="1"/>
  <c r="Q4829" i="1"/>
  <c r="S4829" i="1" s="1"/>
  <c r="Q4828" i="1"/>
  <c r="S4828" i="1" s="1"/>
  <c r="Q4827" i="1"/>
  <c r="Q4826" i="1"/>
  <c r="Q4825" i="1"/>
  <c r="Q4824" i="1"/>
  <c r="S4824" i="1" s="1"/>
  <c r="Q4823" i="1"/>
  <c r="S4823" i="1" s="1"/>
  <c r="Q4822" i="1"/>
  <c r="S4822" i="1" s="1"/>
  <c r="Q4821" i="1"/>
  <c r="S4821" i="1" s="1"/>
  <c r="Q4820" i="1"/>
  <c r="Q4819" i="1"/>
  <c r="Q4818" i="1"/>
  <c r="Q4817" i="1"/>
  <c r="S4817" i="1" s="1"/>
  <c r="Q4816" i="1"/>
  <c r="S4816" i="1" s="1"/>
  <c r="Q4815" i="1"/>
  <c r="Q4814" i="1"/>
  <c r="Q4813" i="1"/>
  <c r="Q4812" i="1"/>
  <c r="S4812" i="1" s="1"/>
  <c r="Q4811" i="1"/>
  <c r="S4811" i="1" s="1"/>
  <c r="Q4810" i="1"/>
  <c r="S4810" i="1" s="1"/>
  <c r="Q4809" i="1"/>
  <c r="S4809" i="1" s="1"/>
  <c r="Q4808" i="1"/>
  <c r="Q4807" i="1"/>
  <c r="Q4806" i="1"/>
  <c r="Q4805" i="1"/>
  <c r="S4805" i="1" s="1"/>
  <c r="Q4804" i="1"/>
  <c r="S4804" i="1" s="1"/>
  <c r="Q4803" i="1"/>
  <c r="Q4802" i="1"/>
  <c r="Q4801" i="1"/>
  <c r="Q4800" i="1"/>
  <c r="S4800" i="1" s="1"/>
  <c r="Q4799" i="1"/>
  <c r="S4799" i="1" s="1"/>
  <c r="Q4798" i="1"/>
  <c r="S4798" i="1" s="1"/>
  <c r="Q4797" i="1"/>
  <c r="S4797" i="1" s="1"/>
  <c r="Q4796" i="1"/>
  <c r="Q4795" i="1"/>
  <c r="Q4794" i="1"/>
  <c r="Q4793" i="1"/>
  <c r="S4793" i="1" s="1"/>
  <c r="Q4792" i="1"/>
  <c r="S4792" i="1" s="1"/>
  <c r="Q4791" i="1"/>
  <c r="Q4790" i="1"/>
  <c r="Q4789" i="1"/>
  <c r="Q4788" i="1"/>
  <c r="S4788" i="1" s="1"/>
  <c r="Q4787" i="1"/>
  <c r="S4787" i="1" s="1"/>
  <c r="Q4786" i="1"/>
  <c r="S4786" i="1" s="1"/>
  <c r="Q4785" i="1"/>
  <c r="S4785" i="1" s="1"/>
  <c r="Q4784" i="1"/>
  <c r="Q4783" i="1"/>
  <c r="Q4782" i="1"/>
  <c r="Q4781" i="1"/>
  <c r="S4781" i="1" s="1"/>
  <c r="Q4780" i="1"/>
  <c r="S4780" i="1" s="1"/>
  <c r="Q4779" i="1"/>
  <c r="Q4778" i="1"/>
  <c r="Q4777" i="1"/>
  <c r="Q4776" i="1"/>
  <c r="S4776" i="1" s="1"/>
  <c r="Q4775" i="1"/>
  <c r="S4775" i="1" s="1"/>
  <c r="Q4774" i="1"/>
  <c r="S4774" i="1" s="1"/>
  <c r="Q4773" i="1"/>
  <c r="S4773" i="1" s="1"/>
  <c r="Q4772" i="1"/>
  <c r="Q4771" i="1"/>
  <c r="Q4770" i="1"/>
  <c r="Q4769" i="1"/>
  <c r="S4769" i="1" s="1"/>
  <c r="Q4768" i="1"/>
  <c r="S4768" i="1" s="1"/>
  <c r="Q4767" i="1"/>
  <c r="Q4766" i="1"/>
  <c r="Q4765" i="1"/>
  <c r="Q4764" i="1"/>
  <c r="S4764" i="1" s="1"/>
  <c r="Q4763" i="1"/>
  <c r="S4763" i="1" s="1"/>
  <c r="Q4762" i="1"/>
  <c r="S4762" i="1" s="1"/>
  <c r="Q4761" i="1"/>
  <c r="S4761" i="1" s="1"/>
  <c r="Q4760" i="1"/>
  <c r="S4760" i="1" s="1"/>
  <c r="Q4759" i="1"/>
  <c r="Q4758" i="1"/>
  <c r="Q4757" i="1"/>
  <c r="S4757" i="1" s="1"/>
  <c r="Q4756" i="1"/>
  <c r="S4756" i="1" s="1"/>
  <c r="Q4755" i="1"/>
  <c r="Q4754" i="1"/>
  <c r="Q4753" i="1"/>
  <c r="Q4752" i="1"/>
  <c r="S4752" i="1" s="1"/>
  <c r="Q4751" i="1"/>
  <c r="S4751" i="1" s="1"/>
  <c r="Q4750" i="1"/>
  <c r="S4750" i="1" s="1"/>
  <c r="Q4749" i="1"/>
  <c r="S4749" i="1" s="1"/>
  <c r="Q4748" i="1"/>
  <c r="Q4747" i="1"/>
  <c r="Q4746" i="1"/>
  <c r="Q4745" i="1"/>
  <c r="S4745" i="1" s="1"/>
  <c r="Q4744" i="1"/>
  <c r="S4744" i="1" s="1"/>
  <c r="Q4743" i="1"/>
  <c r="Q4742" i="1"/>
  <c r="Q4741" i="1"/>
  <c r="Q4740" i="1"/>
  <c r="S4740" i="1" s="1"/>
  <c r="Q4739" i="1"/>
  <c r="S4739" i="1" s="1"/>
  <c r="Q4738" i="1"/>
  <c r="S4738" i="1" s="1"/>
  <c r="Q4737" i="1"/>
  <c r="S4737" i="1" s="1"/>
  <c r="Q4736" i="1"/>
  <c r="Q4735" i="1"/>
  <c r="Q4734" i="1"/>
  <c r="Q4733" i="1"/>
  <c r="S4733" i="1" s="1"/>
  <c r="Q4732" i="1"/>
  <c r="S4732" i="1" s="1"/>
  <c r="Q4731" i="1"/>
  <c r="Q4730" i="1"/>
  <c r="Q4729" i="1"/>
  <c r="Q4728" i="1"/>
  <c r="S4728" i="1" s="1"/>
  <c r="Q4727" i="1"/>
  <c r="S4727" i="1" s="1"/>
  <c r="Q4726" i="1"/>
  <c r="S4726" i="1" s="1"/>
  <c r="Q4725" i="1"/>
  <c r="S4725" i="1" s="1"/>
  <c r="Q4724" i="1"/>
  <c r="Q4723" i="1"/>
  <c r="Q4722" i="1"/>
  <c r="Q4721" i="1"/>
  <c r="S4721" i="1" s="1"/>
  <c r="Q4720" i="1"/>
  <c r="S4720" i="1" s="1"/>
  <c r="Q4719" i="1"/>
  <c r="Q4718" i="1"/>
  <c r="Q4717" i="1"/>
  <c r="Q4716" i="1"/>
  <c r="S4716" i="1" s="1"/>
  <c r="Q4715" i="1"/>
  <c r="S4715" i="1" s="1"/>
  <c r="Q4714" i="1"/>
  <c r="S4714" i="1" s="1"/>
  <c r="Q4713" i="1"/>
  <c r="S4713" i="1" s="1"/>
  <c r="Q4712" i="1"/>
  <c r="Q4711" i="1"/>
  <c r="Q4710" i="1"/>
  <c r="Q4709" i="1"/>
  <c r="S4709" i="1" s="1"/>
  <c r="Q4708" i="1"/>
  <c r="S4708" i="1" s="1"/>
  <c r="Q4707" i="1"/>
  <c r="Q4706" i="1"/>
  <c r="Q4705" i="1"/>
  <c r="Q4704" i="1"/>
  <c r="S4704" i="1" s="1"/>
  <c r="Q4703" i="1"/>
  <c r="S4703" i="1" s="1"/>
  <c r="Q4702" i="1"/>
  <c r="S4702" i="1" s="1"/>
  <c r="Q4701" i="1"/>
  <c r="S4701" i="1" s="1"/>
  <c r="Q4700" i="1"/>
  <c r="Q4699" i="1"/>
  <c r="Q4698" i="1"/>
  <c r="Q4697" i="1"/>
  <c r="S4697" i="1" s="1"/>
  <c r="Q4696" i="1"/>
  <c r="S4696" i="1" s="1"/>
  <c r="Q4695" i="1"/>
  <c r="Q4694" i="1"/>
  <c r="Q4693" i="1"/>
  <c r="Q4692" i="1"/>
  <c r="S4692" i="1" s="1"/>
  <c r="Q4691" i="1"/>
  <c r="S4691" i="1" s="1"/>
  <c r="Q4690" i="1"/>
  <c r="S4690" i="1" s="1"/>
  <c r="Q4689" i="1"/>
  <c r="S4689" i="1" s="1"/>
  <c r="Q4688" i="1"/>
  <c r="Q4687" i="1"/>
  <c r="Q4686" i="1"/>
  <c r="Q4685" i="1"/>
  <c r="S4685" i="1" s="1"/>
  <c r="Q4684" i="1"/>
  <c r="S4684" i="1" s="1"/>
  <c r="Q4683" i="1"/>
  <c r="Q4682" i="1"/>
  <c r="Q4681" i="1"/>
  <c r="Q4680" i="1"/>
  <c r="S4680" i="1" s="1"/>
  <c r="Q4679" i="1"/>
  <c r="S4679" i="1" s="1"/>
  <c r="Q4678" i="1"/>
  <c r="S4678" i="1" s="1"/>
  <c r="Q4677" i="1"/>
  <c r="S4677" i="1" s="1"/>
  <c r="Q4676" i="1"/>
  <c r="Q4675" i="1"/>
  <c r="Q4674" i="1"/>
  <c r="Q4673" i="1"/>
  <c r="S4673" i="1" s="1"/>
  <c r="Q4672" i="1"/>
  <c r="S4672" i="1" s="1"/>
  <c r="Q4671" i="1"/>
  <c r="Q4670" i="1"/>
  <c r="Q4669" i="1"/>
  <c r="Q4668" i="1"/>
  <c r="S4668" i="1" s="1"/>
  <c r="Q4667" i="1"/>
  <c r="S4667" i="1" s="1"/>
  <c r="Q4666" i="1"/>
  <c r="S4666" i="1" s="1"/>
  <c r="Q4665" i="1"/>
  <c r="S4665" i="1" s="1"/>
  <c r="Q4664" i="1"/>
  <c r="Q4663" i="1"/>
  <c r="Q4662" i="1"/>
  <c r="Q4661" i="1"/>
  <c r="S4661" i="1" s="1"/>
  <c r="Q4660" i="1"/>
  <c r="S4660" i="1" s="1"/>
  <c r="Q4659" i="1"/>
  <c r="Q4658" i="1"/>
  <c r="Q4657" i="1"/>
  <c r="Q4656" i="1"/>
  <c r="S4656" i="1" s="1"/>
  <c r="Q4655" i="1"/>
  <c r="S4655" i="1" s="1"/>
  <c r="Q4654" i="1"/>
  <c r="S4654" i="1" s="1"/>
  <c r="Q4653" i="1"/>
  <c r="S4653" i="1" s="1"/>
  <c r="Q4652" i="1"/>
  <c r="Q4651" i="1"/>
  <c r="Q4650" i="1"/>
  <c r="Q4649" i="1"/>
  <c r="S4649" i="1" s="1"/>
  <c r="Q4648" i="1"/>
  <c r="S4648" i="1" s="1"/>
  <c r="Q4647" i="1"/>
  <c r="Q4646" i="1"/>
  <c r="Q4645" i="1"/>
  <c r="Q4644" i="1"/>
  <c r="S4644" i="1" s="1"/>
  <c r="Q4643" i="1"/>
  <c r="S4643" i="1" s="1"/>
  <c r="Q4642" i="1"/>
  <c r="S4642" i="1" s="1"/>
  <c r="Q4641" i="1"/>
  <c r="S4641" i="1" s="1"/>
  <c r="Q4640" i="1"/>
  <c r="Q4639" i="1"/>
  <c r="Q4638" i="1"/>
  <c r="Q4637" i="1"/>
  <c r="S4637" i="1" s="1"/>
  <c r="Q4636" i="1"/>
  <c r="S4636" i="1" s="1"/>
  <c r="Q4635" i="1"/>
  <c r="Q4634" i="1"/>
  <c r="Q4633" i="1"/>
  <c r="Q4632" i="1"/>
  <c r="S4632" i="1" s="1"/>
  <c r="Q4631" i="1"/>
  <c r="S4631" i="1" s="1"/>
  <c r="Q4630" i="1"/>
  <c r="S4630" i="1" s="1"/>
  <c r="Q4629" i="1"/>
  <c r="S4629" i="1" s="1"/>
  <c r="Q4628" i="1"/>
  <c r="Q4627" i="1"/>
  <c r="Q4626" i="1"/>
  <c r="Q4625" i="1"/>
  <c r="S4625" i="1" s="1"/>
  <c r="Q4624" i="1"/>
  <c r="S4624" i="1" s="1"/>
  <c r="Q4623" i="1"/>
  <c r="Q4622" i="1"/>
  <c r="Q4621" i="1"/>
  <c r="Q4620" i="1"/>
  <c r="S4620" i="1" s="1"/>
  <c r="Q4619" i="1"/>
  <c r="S4619" i="1" s="1"/>
  <c r="Q4618" i="1"/>
  <c r="S4618" i="1" s="1"/>
  <c r="Q4617" i="1"/>
  <c r="S4617" i="1" s="1"/>
  <c r="Q4616" i="1"/>
  <c r="Q4615" i="1"/>
  <c r="Q4614" i="1"/>
  <c r="Q4613" i="1"/>
  <c r="S4613" i="1" s="1"/>
  <c r="Q4612" i="1"/>
  <c r="S4612" i="1" s="1"/>
  <c r="Q4611" i="1"/>
  <c r="Q4610" i="1"/>
  <c r="Q4609" i="1"/>
  <c r="Q4608" i="1"/>
  <c r="S4608" i="1" s="1"/>
  <c r="Q4607" i="1"/>
  <c r="S4607" i="1" s="1"/>
  <c r="Q4606" i="1"/>
  <c r="S4606" i="1" s="1"/>
  <c r="Q4605" i="1"/>
  <c r="S4605" i="1" s="1"/>
  <c r="Q4604" i="1"/>
  <c r="Q4603" i="1"/>
  <c r="Q4602" i="1"/>
  <c r="Q4601" i="1"/>
  <c r="S4601" i="1" s="1"/>
  <c r="Q4600" i="1"/>
  <c r="S4600" i="1" s="1"/>
  <c r="Q4599" i="1"/>
  <c r="Q4598" i="1"/>
  <c r="Q4597" i="1"/>
  <c r="Q4596" i="1"/>
  <c r="S4596" i="1" s="1"/>
  <c r="Q4595" i="1"/>
  <c r="S4595" i="1" s="1"/>
  <c r="Q4594" i="1"/>
  <c r="S4594" i="1" s="1"/>
  <c r="Q4593" i="1"/>
  <c r="S4593" i="1" s="1"/>
  <c r="Q4592" i="1"/>
  <c r="S4592" i="1" s="1"/>
  <c r="Q4591" i="1"/>
  <c r="Q4590" i="1"/>
  <c r="Q4589" i="1"/>
  <c r="S4589" i="1" s="1"/>
  <c r="Q4588" i="1"/>
  <c r="S4588" i="1" s="1"/>
  <c r="Q4587" i="1"/>
  <c r="Q4586" i="1"/>
  <c r="Q4585" i="1"/>
  <c r="Q4584" i="1"/>
  <c r="S4584" i="1" s="1"/>
  <c r="Q4583" i="1"/>
  <c r="S4583" i="1" s="1"/>
  <c r="Q4582" i="1"/>
  <c r="S4582" i="1" s="1"/>
  <c r="Q4581" i="1"/>
  <c r="S4581" i="1" s="1"/>
  <c r="Q4580" i="1"/>
  <c r="Q4579" i="1"/>
  <c r="Q4578" i="1"/>
  <c r="Q4577" i="1"/>
  <c r="S4577" i="1" s="1"/>
  <c r="Q4576" i="1"/>
  <c r="S4576" i="1" s="1"/>
  <c r="Q4575" i="1"/>
  <c r="Q4574" i="1"/>
  <c r="Q4573" i="1"/>
  <c r="Q4572" i="1"/>
  <c r="S4572" i="1" s="1"/>
  <c r="Q4571" i="1"/>
  <c r="S4571" i="1" s="1"/>
  <c r="Q4570" i="1"/>
  <c r="S4570" i="1" s="1"/>
  <c r="Q4569" i="1"/>
  <c r="S4569" i="1" s="1"/>
  <c r="Q4568" i="1"/>
  <c r="Q4567" i="1"/>
  <c r="Q4566" i="1"/>
  <c r="Q4565" i="1"/>
  <c r="S4565" i="1" s="1"/>
  <c r="Q4564" i="1"/>
  <c r="S4564" i="1" s="1"/>
  <c r="Q4563" i="1"/>
  <c r="Q4562" i="1"/>
  <c r="Q4561" i="1"/>
  <c r="Q4560" i="1"/>
  <c r="S4560" i="1" s="1"/>
  <c r="Q4559" i="1"/>
  <c r="S4559" i="1" s="1"/>
  <c r="Q4558" i="1"/>
  <c r="S4558" i="1" s="1"/>
  <c r="Q4557" i="1"/>
  <c r="S4557" i="1" s="1"/>
  <c r="Q4556" i="1"/>
  <c r="Q4555" i="1"/>
  <c r="Q4554" i="1"/>
  <c r="Q4553" i="1"/>
  <c r="S4553" i="1" s="1"/>
  <c r="Q4552" i="1"/>
  <c r="S4552" i="1" s="1"/>
  <c r="Q4551" i="1"/>
  <c r="Q4550" i="1"/>
  <c r="Q4549" i="1"/>
  <c r="Q4548" i="1"/>
  <c r="S4548" i="1" s="1"/>
  <c r="Q4547" i="1"/>
  <c r="S4547" i="1" s="1"/>
  <c r="Q4546" i="1"/>
  <c r="S4546" i="1" s="1"/>
  <c r="Q4545" i="1"/>
  <c r="S4545" i="1" s="1"/>
  <c r="Q4544" i="1"/>
  <c r="Q4543" i="1"/>
  <c r="Q4542" i="1"/>
  <c r="Q4541" i="1"/>
  <c r="S4541" i="1" s="1"/>
  <c r="Q4540" i="1"/>
  <c r="S4540" i="1" s="1"/>
  <c r="Q4539" i="1"/>
  <c r="Q4538" i="1"/>
  <c r="Q4537" i="1"/>
  <c r="Q4536" i="1"/>
  <c r="S4536" i="1" s="1"/>
  <c r="Q4535" i="1"/>
  <c r="S4535" i="1" s="1"/>
  <c r="Q4534" i="1"/>
  <c r="S4534" i="1" s="1"/>
  <c r="Q4533" i="1"/>
  <c r="S4533" i="1" s="1"/>
  <c r="Q4532" i="1"/>
  <c r="Q4531" i="1"/>
  <c r="Q4530" i="1"/>
  <c r="Q4529" i="1"/>
  <c r="S4529" i="1" s="1"/>
  <c r="Q4528" i="1"/>
  <c r="S4528" i="1" s="1"/>
  <c r="Q4527" i="1"/>
  <c r="Q4526" i="1"/>
  <c r="Q4525" i="1"/>
  <c r="Q4524" i="1"/>
  <c r="S4524" i="1" s="1"/>
  <c r="Q4523" i="1"/>
  <c r="S4523" i="1" s="1"/>
  <c r="Q4522" i="1"/>
  <c r="S4522" i="1" s="1"/>
  <c r="Q4521" i="1"/>
  <c r="S4521" i="1" s="1"/>
  <c r="Q4520" i="1"/>
  <c r="Q4519" i="1"/>
  <c r="Q4518" i="1"/>
  <c r="Q4517" i="1"/>
  <c r="S4517" i="1" s="1"/>
  <c r="Q4516" i="1"/>
  <c r="S4516" i="1" s="1"/>
  <c r="Q4515" i="1"/>
  <c r="Q4514" i="1"/>
  <c r="Q4513" i="1"/>
  <c r="Q4512" i="1"/>
  <c r="S4512" i="1" s="1"/>
  <c r="Q4511" i="1"/>
  <c r="S4511" i="1" s="1"/>
  <c r="Q4510" i="1"/>
  <c r="S4510" i="1" s="1"/>
  <c r="Q4509" i="1"/>
  <c r="S4509" i="1" s="1"/>
  <c r="Q4508" i="1"/>
  <c r="Q4507" i="1"/>
  <c r="Q4506" i="1"/>
  <c r="Q4505" i="1"/>
  <c r="S4505" i="1" s="1"/>
  <c r="Q4504" i="1"/>
  <c r="S4504" i="1" s="1"/>
  <c r="Q4503" i="1"/>
  <c r="Q4502" i="1"/>
  <c r="Q4501" i="1"/>
  <c r="Q4500" i="1"/>
  <c r="S4500" i="1" s="1"/>
  <c r="Q4499" i="1"/>
  <c r="S4499" i="1" s="1"/>
  <c r="Q4498" i="1"/>
  <c r="S4498" i="1" s="1"/>
  <c r="Q4497" i="1"/>
  <c r="S4497" i="1" s="1"/>
  <c r="Q4496" i="1"/>
  <c r="Q4495" i="1"/>
  <c r="Q4494" i="1"/>
  <c r="Q4493" i="1"/>
  <c r="S4493" i="1" s="1"/>
  <c r="Q4492" i="1"/>
  <c r="S4492" i="1" s="1"/>
  <c r="Q4491" i="1"/>
  <c r="Q4490" i="1"/>
  <c r="Q4489" i="1"/>
  <c r="Q4488" i="1"/>
  <c r="S4488" i="1" s="1"/>
  <c r="Q4487" i="1"/>
  <c r="S4487" i="1" s="1"/>
  <c r="Q4486" i="1"/>
  <c r="S4486" i="1" s="1"/>
  <c r="Q4485" i="1"/>
  <c r="S4485" i="1" s="1"/>
  <c r="Q4484" i="1"/>
  <c r="S4484" i="1" s="1"/>
  <c r="Q4483" i="1"/>
  <c r="Q4482" i="1"/>
  <c r="Q4481" i="1"/>
  <c r="S4481" i="1" s="1"/>
  <c r="Q4480" i="1"/>
  <c r="S4480" i="1" s="1"/>
  <c r="Q4479" i="1"/>
  <c r="Q4478" i="1"/>
  <c r="Q4477" i="1"/>
  <c r="Q4476" i="1"/>
  <c r="S4476" i="1" s="1"/>
  <c r="Q4475" i="1"/>
  <c r="S4475" i="1" s="1"/>
  <c r="Q4474" i="1"/>
  <c r="S4474" i="1" s="1"/>
  <c r="Q4473" i="1"/>
  <c r="S4473" i="1" s="1"/>
  <c r="Q4472" i="1"/>
  <c r="Q4471" i="1"/>
  <c r="Q4470" i="1"/>
  <c r="Q4469" i="1"/>
  <c r="S4469" i="1" s="1"/>
  <c r="Q4468" i="1"/>
  <c r="S4468" i="1" s="1"/>
  <c r="Q4467" i="1"/>
  <c r="Q4466" i="1"/>
  <c r="Q4465" i="1"/>
  <c r="Q4464" i="1"/>
  <c r="S4464" i="1" s="1"/>
  <c r="Q4463" i="1"/>
  <c r="S4463" i="1" s="1"/>
  <c r="Q4462" i="1"/>
  <c r="S4462" i="1" s="1"/>
  <c r="Q4461" i="1"/>
  <c r="S4461" i="1" s="1"/>
  <c r="Q4460" i="1"/>
  <c r="Q4459" i="1"/>
  <c r="Q4458" i="1"/>
  <c r="Q4457" i="1"/>
  <c r="S4457" i="1" s="1"/>
  <c r="Q4456" i="1"/>
  <c r="S4456" i="1" s="1"/>
  <c r="Q4455" i="1"/>
  <c r="Q4454" i="1"/>
  <c r="Q4453" i="1"/>
  <c r="Q4452" i="1"/>
  <c r="S4452" i="1" s="1"/>
  <c r="Q4451" i="1"/>
  <c r="S4451" i="1" s="1"/>
  <c r="Q4450" i="1"/>
  <c r="S4450" i="1" s="1"/>
  <c r="Q4449" i="1"/>
  <c r="S4449" i="1" s="1"/>
  <c r="Q4448" i="1"/>
  <c r="Q4447" i="1"/>
  <c r="Q4446" i="1"/>
  <c r="Q4445" i="1"/>
  <c r="S4445" i="1" s="1"/>
  <c r="Q4444" i="1"/>
  <c r="S4444" i="1" s="1"/>
  <c r="Q4443" i="1"/>
  <c r="Q4442" i="1"/>
  <c r="Q4441" i="1"/>
  <c r="Q4440" i="1"/>
  <c r="S4440" i="1" s="1"/>
  <c r="Q4439" i="1"/>
  <c r="S4439" i="1" s="1"/>
  <c r="Q4438" i="1"/>
  <c r="S4438" i="1" s="1"/>
  <c r="Q4437" i="1"/>
  <c r="S4437" i="1" s="1"/>
  <c r="Q4436" i="1"/>
  <c r="Q4435" i="1"/>
  <c r="Q4434" i="1"/>
  <c r="Q4433" i="1"/>
  <c r="S4433" i="1" s="1"/>
  <c r="Q4432" i="1"/>
  <c r="S4432" i="1" s="1"/>
  <c r="Q4431" i="1"/>
  <c r="Q4430" i="1"/>
  <c r="Q4429" i="1"/>
  <c r="Q4428" i="1"/>
  <c r="S4428" i="1" s="1"/>
  <c r="Q4427" i="1"/>
  <c r="S4427" i="1" s="1"/>
  <c r="Q4426" i="1"/>
  <c r="S4426" i="1" s="1"/>
  <c r="Q4425" i="1"/>
  <c r="S4425" i="1" s="1"/>
  <c r="Q4424" i="1"/>
  <c r="Q4423" i="1"/>
  <c r="Q4422" i="1"/>
  <c r="Q4421" i="1"/>
  <c r="S4421" i="1" s="1"/>
  <c r="Q4420" i="1"/>
  <c r="S4420" i="1" s="1"/>
  <c r="Q4419" i="1"/>
  <c r="Q4418" i="1"/>
  <c r="Q4417" i="1"/>
  <c r="Q4416" i="1"/>
  <c r="S4416" i="1" s="1"/>
  <c r="Q4415" i="1"/>
  <c r="S4415" i="1" s="1"/>
  <c r="Q4414" i="1"/>
  <c r="S4414" i="1" s="1"/>
  <c r="Q4413" i="1"/>
  <c r="S4413" i="1" s="1"/>
  <c r="Q4412" i="1"/>
  <c r="Q4411" i="1"/>
  <c r="Q4410" i="1"/>
  <c r="Q4409" i="1"/>
  <c r="S4409" i="1" s="1"/>
  <c r="Q4408" i="1"/>
  <c r="S4408" i="1" s="1"/>
  <c r="Q4407" i="1"/>
  <c r="Q4406" i="1"/>
  <c r="Q4405" i="1"/>
  <c r="Q4404" i="1"/>
  <c r="S4404" i="1" s="1"/>
  <c r="Q4403" i="1"/>
  <c r="S4403" i="1" s="1"/>
  <c r="Q4402" i="1"/>
  <c r="S4402" i="1" s="1"/>
  <c r="Q4401" i="1"/>
  <c r="S4401" i="1" s="1"/>
  <c r="Q4400" i="1"/>
  <c r="Q4399" i="1"/>
  <c r="Q4398" i="1"/>
  <c r="Q4397" i="1"/>
  <c r="S4397" i="1" s="1"/>
  <c r="Q4396" i="1"/>
  <c r="S4396" i="1" s="1"/>
  <c r="Q4395" i="1"/>
  <c r="S4395" i="1" s="1"/>
  <c r="Q4394" i="1"/>
  <c r="Q4393" i="1"/>
  <c r="Q4392" i="1"/>
  <c r="S4392" i="1" s="1"/>
  <c r="Q4391" i="1"/>
  <c r="S4391" i="1" s="1"/>
  <c r="Q4390" i="1"/>
  <c r="S4390" i="1" s="1"/>
  <c r="Q4389" i="1"/>
  <c r="S4389" i="1" s="1"/>
  <c r="Q4388" i="1"/>
  <c r="Q4387" i="1"/>
  <c r="Q4386" i="1"/>
  <c r="Q4385" i="1"/>
  <c r="S4385" i="1" s="1"/>
  <c r="Q4384" i="1"/>
  <c r="S4384" i="1" s="1"/>
  <c r="Q4383" i="1"/>
  <c r="S4383" i="1" s="1"/>
  <c r="Q4382" i="1"/>
  <c r="Q4381" i="1"/>
  <c r="Q4380" i="1"/>
  <c r="S4380" i="1" s="1"/>
  <c r="Q4379" i="1"/>
  <c r="S4379" i="1" s="1"/>
  <c r="Q4378" i="1"/>
  <c r="S4378" i="1" s="1"/>
  <c r="Q4377" i="1"/>
  <c r="S4377" i="1" s="1"/>
  <c r="Q4376" i="1"/>
  <c r="Q4375" i="1"/>
  <c r="Q4374" i="1"/>
  <c r="Q4373" i="1"/>
  <c r="S4373" i="1" s="1"/>
  <c r="Q4372" i="1"/>
  <c r="S4372" i="1" s="1"/>
  <c r="Q4371" i="1"/>
  <c r="S4371" i="1" s="1"/>
  <c r="Q4370" i="1"/>
  <c r="Q4369" i="1"/>
  <c r="Q4368" i="1"/>
  <c r="S4368" i="1" s="1"/>
  <c r="Q4367" i="1"/>
  <c r="S4367" i="1" s="1"/>
  <c r="Q4366" i="1"/>
  <c r="S4366" i="1" s="1"/>
  <c r="Q4365" i="1"/>
  <c r="S4365" i="1" s="1"/>
  <c r="Q4364" i="1"/>
  <c r="Q4363" i="1"/>
  <c r="Q4362" i="1"/>
  <c r="Q4361" i="1"/>
  <c r="S4361" i="1" s="1"/>
  <c r="Q4360" i="1"/>
  <c r="S4360" i="1" s="1"/>
  <c r="Q4359" i="1"/>
  <c r="S4359" i="1" s="1"/>
  <c r="Q4358" i="1"/>
  <c r="Q4357" i="1"/>
  <c r="Q4356" i="1"/>
  <c r="S4356" i="1" s="1"/>
  <c r="Q4355" i="1"/>
  <c r="S4355" i="1" s="1"/>
  <c r="Q4354" i="1"/>
  <c r="S4354" i="1" s="1"/>
  <c r="Q4353" i="1"/>
  <c r="S4353" i="1" s="1"/>
  <c r="Q4352" i="1"/>
  <c r="Q4351" i="1"/>
  <c r="Q4350" i="1"/>
  <c r="Q4349" i="1"/>
  <c r="S4349" i="1" s="1"/>
  <c r="Q4348" i="1"/>
  <c r="S4348" i="1" s="1"/>
  <c r="Q4347" i="1"/>
  <c r="S4347" i="1" s="1"/>
  <c r="Q4346" i="1"/>
  <c r="Q4345" i="1"/>
  <c r="Q4344" i="1"/>
  <c r="S4344" i="1" s="1"/>
  <c r="Q4343" i="1"/>
  <c r="S4343" i="1" s="1"/>
  <c r="Q4342" i="1"/>
  <c r="S4342" i="1" s="1"/>
  <c r="Q4341" i="1"/>
  <c r="S4341" i="1" s="1"/>
  <c r="Q4340" i="1"/>
  <c r="Q4339" i="1"/>
  <c r="Q4338" i="1"/>
  <c r="Q4337" i="1"/>
  <c r="S4337" i="1" s="1"/>
  <c r="Q4336" i="1"/>
  <c r="S4336" i="1" s="1"/>
  <c r="Q4335" i="1"/>
  <c r="S4335" i="1" s="1"/>
  <c r="Q4334" i="1"/>
  <c r="Q4333" i="1"/>
  <c r="Q4332" i="1"/>
  <c r="S4332" i="1" s="1"/>
  <c r="Q4331" i="1"/>
  <c r="S4331" i="1" s="1"/>
  <c r="Q4330" i="1"/>
  <c r="S4330" i="1" s="1"/>
  <c r="Q4329" i="1"/>
  <c r="S4329" i="1" s="1"/>
  <c r="Q4328" i="1"/>
  <c r="Q4327" i="1"/>
  <c r="Q4326" i="1"/>
  <c r="Q4325" i="1"/>
  <c r="S4325" i="1" s="1"/>
  <c r="Q4324" i="1"/>
  <c r="S4324" i="1" s="1"/>
  <c r="Q4323" i="1"/>
  <c r="S4323" i="1" s="1"/>
  <c r="Q4322" i="1"/>
  <c r="Q4321" i="1"/>
  <c r="Q4320" i="1"/>
  <c r="S4320" i="1" s="1"/>
  <c r="Q4319" i="1"/>
  <c r="S4319" i="1" s="1"/>
  <c r="Q4318" i="1"/>
  <c r="S4318" i="1" s="1"/>
  <c r="Q4317" i="1"/>
  <c r="S4317" i="1" s="1"/>
  <c r="Q4316" i="1"/>
  <c r="Q4315" i="1"/>
  <c r="Q4314" i="1"/>
  <c r="Q4313" i="1"/>
  <c r="S4313" i="1" s="1"/>
  <c r="Q4312" i="1"/>
  <c r="S4312" i="1" s="1"/>
  <c r="Q4311" i="1"/>
  <c r="S4311" i="1" s="1"/>
  <c r="Q4310" i="1"/>
  <c r="Q4309" i="1"/>
  <c r="Q4308" i="1"/>
  <c r="S4308" i="1" s="1"/>
  <c r="Q4307" i="1"/>
  <c r="S4307" i="1" s="1"/>
  <c r="Q4306" i="1"/>
  <c r="S4306" i="1" s="1"/>
  <c r="Q4305" i="1"/>
  <c r="S4305" i="1" s="1"/>
  <c r="Q4304" i="1"/>
  <c r="Q4303" i="1"/>
  <c r="Q4302" i="1"/>
  <c r="Q4301" i="1"/>
  <c r="S4301" i="1" s="1"/>
  <c r="Q4300" i="1"/>
  <c r="S4300" i="1" s="1"/>
  <c r="Q4299" i="1"/>
  <c r="S4299" i="1" s="1"/>
  <c r="Q4298" i="1"/>
  <c r="Q4297" i="1"/>
  <c r="Q4296" i="1"/>
  <c r="S4296" i="1" s="1"/>
  <c r="Q4295" i="1"/>
  <c r="S4295" i="1" s="1"/>
  <c r="Q4294" i="1"/>
  <c r="S4294" i="1" s="1"/>
  <c r="Q4293" i="1"/>
  <c r="S4293" i="1" s="1"/>
  <c r="Q4292" i="1"/>
  <c r="S4292" i="1" s="1"/>
  <c r="Q4291" i="1"/>
  <c r="Q4290" i="1"/>
  <c r="Q4289" i="1"/>
  <c r="S4289" i="1" s="1"/>
  <c r="Q4288" i="1"/>
  <c r="S4288" i="1" s="1"/>
  <c r="Q4287" i="1"/>
  <c r="S4287" i="1" s="1"/>
  <c r="Q4286" i="1"/>
  <c r="Q4285" i="1"/>
  <c r="Q4284" i="1"/>
  <c r="S4284" i="1" s="1"/>
  <c r="Q4283" i="1"/>
  <c r="S4283" i="1" s="1"/>
  <c r="Q4282" i="1"/>
  <c r="S4282" i="1" s="1"/>
  <c r="Q4281" i="1"/>
  <c r="S4281" i="1" s="1"/>
  <c r="Q4280" i="1"/>
  <c r="Q4279" i="1"/>
  <c r="Q4278" i="1"/>
  <c r="Q4277" i="1"/>
  <c r="S4277" i="1" s="1"/>
  <c r="Q4276" i="1"/>
  <c r="S4276" i="1" s="1"/>
  <c r="Q4275" i="1"/>
  <c r="S4275" i="1" s="1"/>
  <c r="Q4274" i="1"/>
  <c r="Q4273" i="1"/>
  <c r="Q4272" i="1"/>
  <c r="S4272" i="1" s="1"/>
  <c r="Q4271" i="1"/>
  <c r="S4271" i="1" s="1"/>
  <c r="Q4270" i="1"/>
  <c r="S4270" i="1" s="1"/>
  <c r="Q4269" i="1"/>
  <c r="S4269" i="1" s="1"/>
  <c r="Q4268" i="1"/>
  <c r="Q4267" i="1"/>
  <c r="Q4266" i="1"/>
  <c r="Q4265" i="1"/>
  <c r="S4265" i="1" s="1"/>
  <c r="Q4264" i="1"/>
  <c r="S4264" i="1" s="1"/>
  <c r="Q4263" i="1"/>
  <c r="S4263" i="1" s="1"/>
  <c r="Q4262" i="1"/>
  <c r="Q4261" i="1"/>
  <c r="Q4260" i="1"/>
  <c r="S4260" i="1" s="1"/>
  <c r="Q4259" i="1"/>
  <c r="S4259" i="1" s="1"/>
  <c r="Q4258" i="1"/>
  <c r="S4258" i="1" s="1"/>
  <c r="Q4257" i="1"/>
  <c r="S4257" i="1" s="1"/>
  <c r="Q4256" i="1"/>
  <c r="Q4255" i="1"/>
  <c r="Q4254" i="1"/>
  <c r="Q4253" i="1"/>
  <c r="S4253" i="1" s="1"/>
  <c r="Q4252" i="1"/>
  <c r="S4252" i="1" s="1"/>
  <c r="Q4251" i="1"/>
  <c r="S4251" i="1" s="1"/>
  <c r="Q4250" i="1"/>
  <c r="Q4249" i="1"/>
  <c r="Q4248" i="1"/>
  <c r="S4248" i="1" s="1"/>
  <c r="Q4247" i="1"/>
  <c r="S4247" i="1" s="1"/>
  <c r="Q4246" i="1"/>
  <c r="S4246" i="1" s="1"/>
  <c r="Q4245" i="1"/>
  <c r="S4245" i="1" s="1"/>
  <c r="Q4244" i="1"/>
  <c r="S4244" i="1" s="1"/>
  <c r="Q4243" i="1"/>
  <c r="Q4242" i="1"/>
  <c r="Q4241" i="1"/>
  <c r="S4241" i="1" s="1"/>
  <c r="Q4240" i="1"/>
  <c r="S4240" i="1" s="1"/>
  <c r="Q4239" i="1"/>
  <c r="S4239" i="1" s="1"/>
  <c r="Q4238" i="1"/>
  <c r="Q4237" i="1"/>
  <c r="Q4236" i="1"/>
  <c r="S4236" i="1" s="1"/>
  <c r="Q4235" i="1"/>
  <c r="S4235" i="1" s="1"/>
  <c r="Q4234" i="1"/>
  <c r="S4234" i="1" s="1"/>
  <c r="Q4233" i="1"/>
  <c r="S4233" i="1" s="1"/>
  <c r="Q4232" i="1"/>
  <c r="Q4231" i="1"/>
  <c r="Q4230" i="1"/>
  <c r="Q4229" i="1"/>
  <c r="S4229" i="1" s="1"/>
  <c r="Q4228" i="1"/>
  <c r="S4228" i="1" s="1"/>
  <c r="Q4227" i="1"/>
  <c r="S4227" i="1" s="1"/>
  <c r="Q4226" i="1"/>
  <c r="Q4225" i="1"/>
  <c r="Q4224" i="1"/>
  <c r="S4224" i="1" s="1"/>
  <c r="Q4223" i="1"/>
  <c r="S4223" i="1" s="1"/>
  <c r="Q4222" i="1"/>
  <c r="S4222" i="1" s="1"/>
  <c r="Q4221" i="1"/>
  <c r="S4221" i="1" s="1"/>
  <c r="Q4220" i="1"/>
  <c r="Q4219" i="1"/>
  <c r="Q4218" i="1"/>
  <c r="Q4217" i="1"/>
  <c r="S4217" i="1" s="1"/>
  <c r="Q4216" i="1"/>
  <c r="S4216" i="1" s="1"/>
  <c r="Q4215" i="1"/>
  <c r="S4215" i="1" s="1"/>
  <c r="Q4214" i="1"/>
  <c r="Q4213" i="1"/>
  <c r="Q4212" i="1"/>
  <c r="S4212" i="1" s="1"/>
  <c r="Q4211" i="1"/>
  <c r="S4211" i="1" s="1"/>
  <c r="Q4210" i="1"/>
  <c r="S4210" i="1" s="1"/>
  <c r="Q4209" i="1"/>
  <c r="S4209" i="1" s="1"/>
  <c r="Q4208" i="1"/>
  <c r="Q4207" i="1"/>
  <c r="Q4206" i="1"/>
  <c r="Q4205" i="1"/>
  <c r="S4205" i="1" s="1"/>
  <c r="Q4204" i="1"/>
  <c r="S4204" i="1" s="1"/>
  <c r="Q4203" i="1"/>
  <c r="S4203" i="1" s="1"/>
  <c r="Q4202" i="1"/>
  <c r="Q4201" i="1"/>
  <c r="Q4200" i="1"/>
  <c r="S4200" i="1" s="1"/>
  <c r="Q4199" i="1"/>
  <c r="S4199" i="1" s="1"/>
  <c r="Q4198" i="1"/>
  <c r="S4198" i="1" s="1"/>
  <c r="Q4197" i="1"/>
  <c r="S4197" i="1" s="1"/>
  <c r="Q4196" i="1"/>
  <c r="Q4195" i="1"/>
  <c r="Q4194" i="1"/>
  <c r="Q4193" i="1"/>
  <c r="S4193" i="1" s="1"/>
  <c r="Q4192" i="1"/>
  <c r="S4192" i="1" s="1"/>
  <c r="Q4191" i="1"/>
  <c r="S4191" i="1" s="1"/>
  <c r="Q4190" i="1"/>
  <c r="Q4189" i="1"/>
  <c r="Q4188" i="1"/>
  <c r="S4188" i="1" s="1"/>
  <c r="Q4187" i="1"/>
  <c r="S4187" i="1" s="1"/>
  <c r="Q4186" i="1"/>
  <c r="S4186" i="1" s="1"/>
  <c r="Q4185" i="1"/>
  <c r="S4185" i="1" s="1"/>
  <c r="Q4184" i="1"/>
  <c r="Q4183" i="1"/>
  <c r="Q4182" i="1"/>
  <c r="Q4181" i="1"/>
  <c r="S4181" i="1" s="1"/>
  <c r="Q4180" i="1"/>
  <c r="S4180" i="1" s="1"/>
  <c r="Q4179" i="1"/>
  <c r="S4179" i="1" s="1"/>
  <c r="Q4178" i="1"/>
  <c r="Q4177" i="1"/>
  <c r="Q4176" i="1"/>
  <c r="S4176" i="1" s="1"/>
  <c r="Q4175" i="1"/>
  <c r="S4175" i="1" s="1"/>
  <c r="Q4174" i="1"/>
  <c r="S4174" i="1" s="1"/>
  <c r="Q4173" i="1"/>
  <c r="S4173" i="1" s="1"/>
  <c r="Q4172" i="1"/>
  <c r="Q4171" i="1"/>
  <c r="Q4170" i="1"/>
  <c r="Q4169" i="1"/>
  <c r="S4169" i="1" s="1"/>
  <c r="Q4168" i="1"/>
  <c r="S4168" i="1" s="1"/>
  <c r="Q4167" i="1"/>
  <c r="S4167" i="1" s="1"/>
  <c r="Q4166" i="1"/>
  <c r="Q4165" i="1"/>
  <c r="Q4164" i="1"/>
  <c r="S4164" i="1" s="1"/>
  <c r="Q4163" i="1"/>
  <c r="S4163" i="1" s="1"/>
  <c r="Q4162" i="1"/>
  <c r="S4162" i="1" s="1"/>
  <c r="Q4161" i="1"/>
  <c r="S4161" i="1" s="1"/>
  <c r="Q4160" i="1"/>
  <c r="Q4159" i="1"/>
  <c r="Q4158" i="1"/>
  <c r="Q4157" i="1"/>
  <c r="S4157" i="1" s="1"/>
  <c r="Q4156" i="1"/>
  <c r="S4156" i="1" s="1"/>
  <c r="Q4155" i="1"/>
  <c r="S4155" i="1" s="1"/>
  <c r="Q4154" i="1"/>
  <c r="Q4153" i="1"/>
  <c r="Q4152" i="1"/>
  <c r="S4152" i="1" s="1"/>
  <c r="Q4151" i="1"/>
  <c r="S4151" i="1" s="1"/>
  <c r="Q4150" i="1"/>
  <c r="S4150" i="1" s="1"/>
  <c r="Q4149" i="1"/>
  <c r="S4149" i="1" s="1"/>
  <c r="Q4148" i="1"/>
  <c r="Q4147" i="1"/>
  <c r="Q4146" i="1"/>
  <c r="Q4145" i="1"/>
  <c r="S4145" i="1" s="1"/>
  <c r="Q4144" i="1"/>
  <c r="S4144" i="1" s="1"/>
  <c r="Q4143" i="1"/>
  <c r="S4143" i="1" s="1"/>
  <c r="Q4142" i="1"/>
  <c r="Q4141" i="1"/>
  <c r="Q4140" i="1"/>
  <c r="S4140" i="1" s="1"/>
  <c r="Q4139" i="1"/>
  <c r="S4139" i="1" s="1"/>
  <c r="Q4138" i="1"/>
  <c r="S4138" i="1" s="1"/>
  <c r="Q4137" i="1"/>
  <c r="S4137" i="1" s="1"/>
  <c r="Q4136" i="1"/>
  <c r="Q4135" i="1"/>
  <c r="Q4134" i="1"/>
  <c r="Q4133" i="1"/>
  <c r="S4133" i="1" s="1"/>
  <c r="Q4132" i="1"/>
  <c r="S4132" i="1" s="1"/>
  <c r="Q4131" i="1"/>
  <c r="S4131" i="1" s="1"/>
  <c r="Q4130" i="1"/>
  <c r="Q4129" i="1"/>
  <c r="Q4128" i="1"/>
  <c r="S4128" i="1" s="1"/>
  <c r="Q4127" i="1"/>
  <c r="S4127" i="1" s="1"/>
  <c r="Q4126" i="1"/>
  <c r="S4126" i="1" s="1"/>
  <c r="Q4125" i="1"/>
  <c r="S4125" i="1" s="1"/>
  <c r="Q4124" i="1"/>
  <c r="Q4123" i="1"/>
  <c r="Q4122" i="1"/>
  <c r="Q4121" i="1"/>
  <c r="S4121" i="1" s="1"/>
  <c r="Q4120" i="1"/>
  <c r="S4120" i="1" s="1"/>
  <c r="Q4119" i="1"/>
  <c r="S4119" i="1" s="1"/>
  <c r="Q4118" i="1"/>
  <c r="Q4117" i="1"/>
  <c r="Q4116" i="1"/>
  <c r="S4116" i="1" s="1"/>
  <c r="Q4115" i="1"/>
  <c r="S4115" i="1" s="1"/>
  <c r="Q4114" i="1"/>
  <c r="S4114" i="1" s="1"/>
  <c r="Q4113" i="1"/>
  <c r="S4113" i="1" s="1"/>
  <c r="Q4112" i="1"/>
  <c r="Q4111" i="1"/>
  <c r="Q4110" i="1"/>
  <c r="Q4109" i="1"/>
  <c r="S4109" i="1" s="1"/>
  <c r="Q4108" i="1"/>
  <c r="S4108" i="1" s="1"/>
  <c r="Q4107" i="1"/>
  <c r="S4107" i="1" s="1"/>
  <c r="Q4106" i="1"/>
  <c r="Q4105" i="1"/>
  <c r="Q4104" i="1"/>
  <c r="S4104" i="1" s="1"/>
  <c r="Q4103" i="1"/>
  <c r="S4103" i="1" s="1"/>
  <c r="Q4102" i="1"/>
  <c r="S4102" i="1" s="1"/>
  <c r="Q4101" i="1"/>
  <c r="S4101" i="1" s="1"/>
  <c r="Q4100" i="1"/>
  <c r="Q4099" i="1"/>
  <c r="Q4098" i="1"/>
  <c r="Q4097" i="1"/>
  <c r="S4097" i="1" s="1"/>
  <c r="Q4096" i="1"/>
  <c r="S4096" i="1" s="1"/>
  <c r="Q4095" i="1"/>
  <c r="S4095" i="1" s="1"/>
  <c r="Q4094" i="1"/>
  <c r="Q4093" i="1"/>
  <c r="Q4092" i="1"/>
  <c r="S4092" i="1" s="1"/>
  <c r="Q4091" i="1"/>
  <c r="S4091" i="1" s="1"/>
  <c r="Q4090" i="1"/>
  <c r="S4090" i="1" s="1"/>
  <c r="Q4089" i="1"/>
  <c r="S4089" i="1" s="1"/>
  <c r="Q4088" i="1"/>
  <c r="Q4087" i="1"/>
  <c r="Q4086" i="1"/>
  <c r="Q4085" i="1"/>
  <c r="S4085" i="1" s="1"/>
  <c r="Q4084" i="1"/>
  <c r="S4084" i="1" s="1"/>
  <c r="Q4083" i="1"/>
  <c r="S4083" i="1" s="1"/>
  <c r="Q4082" i="1"/>
  <c r="Q4081" i="1"/>
  <c r="Q4080" i="1"/>
  <c r="S4080" i="1" s="1"/>
  <c r="Q4079" i="1"/>
  <c r="S4079" i="1" s="1"/>
  <c r="Q4078" i="1"/>
  <c r="S4078" i="1" s="1"/>
  <c r="Q4077" i="1"/>
  <c r="S4077" i="1" s="1"/>
  <c r="Q4076" i="1"/>
  <c r="Q4075" i="1"/>
  <c r="Q4074" i="1"/>
  <c r="Q4073" i="1"/>
  <c r="S4073" i="1" s="1"/>
  <c r="Q4072" i="1"/>
  <c r="S4072" i="1" s="1"/>
  <c r="Q4071" i="1"/>
  <c r="S4071" i="1" s="1"/>
  <c r="Q4070" i="1"/>
  <c r="Q4069" i="1"/>
  <c r="Q4068" i="1"/>
  <c r="S4068" i="1" s="1"/>
  <c r="Q4067" i="1"/>
  <c r="S4067" i="1" s="1"/>
  <c r="Q4066" i="1"/>
  <c r="S4066" i="1" s="1"/>
  <c r="Q4065" i="1"/>
  <c r="S4065" i="1" s="1"/>
  <c r="Q4064" i="1"/>
  <c r="Q4063" i="1"/>
  <c r="Q4062" i="1"/>
  <c r="Q4061" i="1"/>
  <c r="S4061" i="1" s="1"/>
  <c r="Q4060" i="1"/>
  <c r="S4060" i="1" s="1"/>
  <c r="Q4059" i="1"/>
  <c r="S4059" i="1" s="1"/>
  <c r="Q4058" i="1"/>
  <c r="Q4057" i="1"/>
  <c r="Q4056" i="1"/>
  <c r="S4056" i="1" s="1"/>
  <c r="Q4055" i="1"/>
  <c r="S4055" i="1" s="1"/>
  <c r="Q4054" i="1"/>
  <c r="S4054" i="1" s="1"/>
  <c r="Q4053" i="1"/>
  <c r="S4053" i="1" s="1"/>
  <c r="Q4052" i="1"/>
  <c r="Q4051" i="1"/>
  <c r="Q4050" i="1"/>
  <c r="Q4049" i="1"/>
  <c r="S4049" i="1" s="1"/>
  <c r="Q4048" i="1"/>
  <c r="S4048" i="1" s="1"/>
  <c r="Q4047" i="1"/>
  <c r="S4047" i="1" s="1"/>
  <c r="Q4046" i="1"/>
  <c r="Q4045" i="1"/>
  <c r="Q4044" i="1"/>
  <c r="S4044" i="1" s="1"/>
  <c r="Q4043" i="1"/>
  <c r="S4043" i="1" s="1"/>
  <c r="Q4042" i="1"/>
  <c r="S4042" i="1" s="1"/>
  <c r="Q4041" i="1"/>
  <c r="S4041" i="1" s="1"/>
  <c r="Q4040" i="1"/>
  <c r="Q4039" i="1"/>
  <c r="Q4038" i="1"/>
  <c r="Q4037" i="1"/>
  <c r="S4037" i="1" s="1"/>
  <c r="Q4036" i="1"/>
  <c r="S4036" i="1" s="1"/>
  <c r="Q4035" i="1"/>
  <c r="S4035" i="1" s="1"/>
  <c r="Q4034" i="1"/>
  <c r="Q4033" i="1"/>
  <c r="Q4032" i="1"/>
  <c r="S4032" i="1" s="1"/>
  <c r="Q4031" i="1"/>
  <c r="S4031" i="1" s="1"/>
  <c r="Q4030" i="1"/>
  <c r="S4030" i="1" s="1"/>
  <c r="Q4029" i="1"/>
  <c r="S4029" i="1" s="1"/>
  <c r="Q4028" i="1"/>
  <c r="Q4027" i="1"/>
  <c r="Q4026" i="1"/>
  <c r="Q4025" i="1"/>
  <c r="S4025" i="1" s="1"/>
  <c r="Q4024" i="1"/>
  <c r="S4024" i="1" s="1"/>
  <c r="Q4023" i="1"/>
  <c r="S4023" i="1" s="1"/>
  <c r="Q4022" i="1"/>
  <c r="Q4021" i="1"/>
  <c r="Q4020" i="1"/>
  <c r="S4020" i="1" s="1"/>
  <c r="Q4019" i="1"/>
  <c r="S4019" i="1" s="1"/>
  <c r="Q4018" i="1"/>
  <c r="S4018" i="1" s="1"/>
  <c r="Q4017" i="1"/>
  <c r="S4017" i="1" s="1"/>
  <c r="Q4016" i="1"/>
  <c r="Q4015" i="1"/>
  <c r="Q4014" i="1"/>
  <c r="Q4013" i="1"/>
  <c r="S4013" i="1" s="1"/>
  <c r="Q4012" i="1"/>
  <c r="S4012" i="1" s="1"/>
  <c r="Q4011" i="1"/>
  <c r="S4011" i="1" s="1"/>
  <c r="Q4010" i="1"/>
  <c r="Q4009" i="1"/>
  <c r="Q4008" i="1"/>
  <c r="S4008" i="1" s="1"/>
  <c r="Q4007" i="1"/>
  <c r="S4007" i="1" s="1"/>
  <c r="Q4006" i="1"/>
  <c r="S4006" i="1" s="1"/>
  <c r="Q4005" i="1"/>
  <c r="S4005" i="1" s="1"/>
  <c r="Q4004" i="1"/>
  <c r="Q4003" i="1"/>
  <c r="Q4002" i="1"/>
  <c r="Q4001" i="1"/>
  <c r="S4001" i="1" s="1"/>
  <c r="Q4000" i="1"/>
  <c r="S4000" i="1" s="1"/>
  <c r="Q3999" i="1"/>
  <c r="S3999" i="1" s="1"/>
  <c r="Q3998" i="1"/>
  <c r="Q3997" i="1"/>
  <c r="Q3996" i="1"/>
  <c r="S3996" i="1" s="1"/>
  <c r="Q3995" i="1"/>
  <c r="S3995" i="1" s="1"/>
  <c r="Q3994" i="1"/>
  <c r="S3994" i="1" s="1"/>
  <c r="Q3993" i="1"/>
  <c r="S3993" i="1" s="1"/>
  <c r="Q3992" i="1"/>
  <c r="Q3991" i="1"/>
  <c r="Q3990" i="1"/>
  <c r="Q3989" i="1"/>
  <c r="S3989" i="1" s="1"/>
  <c r="Q3988" i="1"/>
  <c r="S3988" i="1" s="1"/>
  <c r="Q3987" i="1"/>
  <c r="S3987" i="1" s="1"/>
  <c r="Q3986" i="1"/>
  <c r="Q3985" i="1"/>
  <c r="Q3984" i="1"/>
  <c r="S3984" i="1" s="1"/>
  <c r="Q3983" i="1"/>
  <c r="S3983" i="1" s="1"/>
  <c r="Q3982" i="1"/>
  <c r="S3982" i="1" s="1"/>
  <c r="Q3981" i="1"/>
  <c r="S3981" i="1" s="1"/>
  <c r="Q3980" i="1"/>
  <c r="Q3979" i="1"/>
  <c r="Q3978" i="1"/>
  <c r="Q3977" i="1"/>
  <c r="S3977" i="1" s="1"/>
  <c r="Q3976" i="1"/>
  <c r="S3976" i="1" s="1"/>
  <c r="Q3975" i="1"/>
  <c r="S3975" i="1" s="1"/>
  <c r="Q3974" i="1"/>
  <c r="Q3973" i="1"/>
  <c r="Q3972" i="1"/>
  <c r="S3972" i="1" s="1"/>
  <c r="Q3971" i="1"/>
  <c r="S3971" i="1" s="1"/>
  <c r="Q3970" i="1"/>
  <c r="S3970" i="1" s="1"/>
  <c r="Q3969" i="1"/>
  <c r="S3969" i="1" s="1"/>
  <c r="Q3968" i="1"/>
  <c r="Q3967" i="1"/>
  <c r="Q3966" i="1"/>
  <c r="Q3965" i="1"/>
  <c r="S3965" i="1" s="1"/>
  <c r="Q3964" i="1"/>
  <c r="S3964" i="1" s="1"/>
  <c r="Q3963" i="1"/>
  <c r="S3963" i="1" s="1"/>
  <c r="Q3962" i="1"/>
  <c r="Q3961" i="1"/>
  <c r="Q3960" i="1"/>
  <c r="S3960" i="1" s="1"/>
  <c r="Q3959" i="1"/>
  <c r="S3959" i="1" s="1"/>
  <c r="Q3958" i="1"/>
  <c r="S3958" i="1" s="1"/>
  <c r="Q3957" i="1"/>
  <c r="S3957" i="1" s="1"/>
  <c r="Q3956" i="1"/>
  <c r="Q3955" i="1"/>
  <c r="Q3954" i="1"/>
  <c r="Q3953" i="1"/>
  <c r="S3953" i="1" s="1"/>
  <c r="Q3952" i="1"/>
  <c r="S3952" i="1" s="1"/>
  <c r="Q3951" i="1"/>
  <c r="S3951" i="1" s="1"/>
  <c r="Q3950" i="1"/>
  <c r="Q3949" i="1"/>
  <c r="Q3948" i="1"/>
  <c r="S3948" i="1" s="1"/>
  <c r="Q3947" i="1"/>
  <c r="S3947" i="1" s="1"/>
  <c r="Q3946" i="1"/>
  <c r="S3946" i="1" s="1"/>
  <c r="Q3945" i="1"/>
  <c r="S3945" i="1" s="1"/>
  <c r="Q3944" i="1"/>
  <c r="Q3943" i="1"/>
  <c r="Q3942" i="1"/>
  <c r="Q3941" i="1"/>
  <c r="S3941" i="1" s="1"/>
  <c r="Q3940" i="1"/>
  <c r="S3940" i="1" s="1"/>
  <c r="Q3939" i="1"/>
  <c r="S3939" i="1" s="1"/>
  <c r="Q3938" i="1"/>
  <c r="Q3937" i="1"/>
  <c r="Q3936" i="1"/>
  <c r="S3936" i="1" s="1"/>
  <c r="Q3935" i="1"/>
  <c r="S3935" i="1" s="1"/>
  <c r="Q3934" i="1"/>
  <c r="S3934" i="1" s="1"/>
  <c r="Q3933" i="1"/>
  <c r="S3933" i="1" s="1"/>
  <c r="Q3932" i="1"/>
  <c r="Q3931" i="1"/>
  <c r="Q3930" i="1"/>
  <c r="Q3929" i="1"/>
  <c r="S3929" i="1" s="1"/>
  <c r="Q3928" i="1"/>
  <c r="S3928" i="1" s="1"/>
  <c r="Q3927" i="1"/>
  <c r="S3927" i="1" s="1"/>
  <c r="Q3926" i="1"/>
  <c r="Q3925" i="1"/>
  <c r="Q3924" i="1"/>
  <c r="S3924" i="1" s="1"/>
  <c r="Q3923" i="1"/>
  <c r="S3923" i="1" s="1"/>
  <c r="Q3922" i="1"/>
  <c r="S3922" i="1" s="1"/>
  <c r="Q3921" i="1"/>
  <c r="S3921" i="1" s="1"/>
  <c r="Q3920" i="1"/>
  <c r="Q3919" i="1"/>
  <c r="Q3918" i="1"/>
  <c r="Q3917" i="1"/>
  <c r="S3917" i="1" s="1"/>
  <c r="Q3916" i="1"/>
  <c r="S3916" i="1" s="1"/>
  <c r="Q3915" i="1"/>
  <c r="S3915" i="1" s="1"/>
  <c r="Q3914" i="1"/>
  <c r="Q3913" i="1"/>
  <c r="Q3912" i="1"/>
  <c r="S3912" i="1" s="1"/>
  <c r="Q3911" i="1"/>
  <c r="S3911" i="1" s="1"/>
  <c r="Q3910" i="1"/>
  <c r="S3910" i="1" s="1"/>
  <c r="Q3909" i="1"/>
  <c r="S3909" i="1" s="1"/>
  <c r="Q3908" i="1"/>
  <c r="Q3907" i="1"/>
  <c r="Q3906" i="1"/>
  <c r="Q3905" i="1"/>
  <c r="S3905" i="1" s="1"/>
  <c r="Q3904" i="1"/>
  <c r="S3904" i="1" s="1"/>
  <c r="Q3903" i="1"/>
  <c r="S3903" i="1" s="1"/>
  <c r="Q3902" i="1"/>
  <c r="Q3901" i="1"/>
  <c r="Q3900" i="1"/>
  <c r="S3900" i="1" s="1"/>
  <c r="Q3899" i="1"/>
  <c r="S3899" i="1" s="1"/>
  <c r="Q3898" i="1"/>
  <c r="S3898" i="1" s="1"/>
  <c r="Q3897" i="1"/>
  <c r="S3897" i="1" s="1"/>
  <c r="Q3896" i="1"/>
  <c r="Q3895" i="1"/>
  <c r="Q3894" i="1"/>
  <c r="Q3893" i="1"/>
  <c r="S3893" i="1" s="1"/>
  <c r="Q3892" i="1"/>
  <c r="S3892" i="1" s="1"/>
  <c r="Q3891" i="1"/>
  <c r="S3891" i="1" s="1"/>
  <c r="Q3890" i="1"/>
  <c r="Q3889" i="1"/>
  <c r="Q3888" i="1"/>
  <c r="S3888" i="1" s="1"/>
  <c r="Q3887" i="1"/>
  <c r="S3887" i="1" s="1"/>
  <c r="Q3886" i="1"/>
  <c r="S3886" i="1" s="1"/>
  <c r="Q3885" i="1"/>
  <c r="S3885" i="1" s="1"/>
  <c r="Q3884" i="1"/>
  <c r="Q3883" i="1"/>
  <c r="Q3882" i="1"/>
  <c r="Q3881" i="1"/>
  <c r="S3881" i="1" s="1"/>
  <c r="Q3880" i="1"/>
  <c r="S3880" i="1" s="1"/>
  <c r="Q3879" i="1"/>
  <c r="S3879" i="1" s="1"/>
  <c r="Q3878" i="1"/>
  <c r="Q3877" i="1"/>
  <c r="Q3876" i="1"/>
  <c r="S3876" i="1" s="1"/>
  <c r="Q3875" i="1"/>
  <c r="S3875" i="1" s="1"/>
  <c r="Q3874" i="1"/>
  <c r="S3874" i="1" s="1"/>
  <c r="Q3873" i="1"/>
  <c r="S3873" i="1" s="1"/>
  <c r="Q3872" i="1"/>
  <c r="Q3871" i="1"/>
  <c r="Q3870" i="1"/>
  <c r="Q3869" i="1"/>
  <c r="S3869" i="1" s="1"/>
  <c r="Q3868" i="1"/>
  <c r="S3868" i="1" s="1"/>
  <c r="Q3867" i="1"/>
  <c r="S3867" i="1" s="1"/>
  <c r="Q3866" i="1"/>
  <c r="Q3865" i="1"/>
  <c r="Q3864" i="1"/>
  <c r="S3864" i="1" s="1"/>
  <c r="Q3863" i="1"/>
  <c r="S3863" i="1" s="1"/>
  <c r="Q3862" i="1"/>
  <c r="S3862" i="1" s="1"/>
  <c r="Q3861" i="1"/>
  <c r="S3861" i="1" s="1"/>
  <c r="Q3860" i="1"/>
  <c r="Q3859" i="1"/>
  <c r="Q3858" i="1"/>
  <c r="Q3857" i="1"/>
  <c r="S3857" i="1" s="1"/>
  <c r="Q3856" i="1"/>
  <c r="S3856" i="1" s="1"/>
  <c r="Q3855" i="1"/>
  <c r="S3855" i="1" s="1"/>
  <c r="Q3854" i="1"/>
  <c r="Q3853" i="1"/>
  <c r="Q3852" i="1"/>
  <c r="S3852" i="1" s="1"/>
  <c r="Q3851" i="1"/>
  <c r="S3851" i="1" s="1"/>
  <c r="Q3850" i="1"/>
  <c r="S3850" i="1" s="1"/>
  <c r="Q3849" i="1"/>
  <c r="S3849" i="1" s="1"/>
  <c r="Q3848" i="1"/>
  <c r="Q3847" i="1"/>
  <c r="Q3846" i="1"/>
  <c r="Q3845" i="1"/>
  <c r="S3845" i="1" s="1"/>
  <c r="Q3844" i="1"/>
  <c r="S3844" i="1" s="1"/>
  <c r="Q3843" i="1"/>
  <c r="S3843" i="1" s="1"/>
  <c r="Q3842" i="1"/>
  <c r="Q3841" i="1"/>
  <c r="Q3840" i="1"/>
  <c r="S3840" i="1" s="1"/>
  <c r="Q3839" i="1"/>
  <c r="S3839" i="1" s="1"/>
  <c r="Q3838" i="1"/>
  <c r="S3838" i="1" s="1"/>
  <c r="Q3837" i="1"/>
  <c r="S3837" i="1" s="1"/>
  <c r="Q3836" i="1"/>
  <c r="Q3835" i="1"/>
  <c r="Q3834" i="1"/>
  <c r="Q3833" i="1"/>
  <c r="S3833" i="1" s="1"/>
  <c r="Q3832" i="1"/>
  <c r="S3832" i="1" s="1"/>
  <c r="Q3831" i="1"/>
  <c r="S3831" i="1" s="1"/>
  <c r="Q3830" i="1"/>
  <c r="Q3829" i="1"/>
  <c r="Q3828" i="1"/>
  <c r="S3828" i="1" s="1"/>
  <c r="Q3827" i="1"/>
  <c r="S3827" i="1" s="1"/>
  <c r="Q3826" i="1"/>
  <c r="S3826" i="1" s="1"/>
  <c r="Q3825" i="1"/>
  <c r="S3825" i="1" s="1"/>
  <c r="Q3824" i="1"/>
  <c r="Q3823" i="1"/>
  <c r="Q3822" i="1"/>
  <c r="Q3821" i="1"/>
  <c r="S3821" i="1" s="1"/>
  <c r="Q3820" i="1"/>
  <c r="S3820" i="1" s="1"/>
  <c r="Q3819" i="1"/>
  <c r="S3819" i="1" s="1"/>
  <c r="Q3818" i="1"/>
  <c r="Q3817" i="1"/>
  <c r="Q3816" i="1"/>
  <c r="S3816" i="1" s="1"/>
  <c r="Q3815" i="1"/>
  <c r="S3815" i="1" s="1"/>
  <c r="Q3814" i="1"/>
  <c r="S3814" i="1" s="1"/>
  <c r="Q3813" i="1"/>
  <c r="S3813" i="1" s="1"/>
  <c r="Q3812" i="1"/>
  <c r="Q3811" i="1"/>
  <c r="Q3810" i="1"/>
  <c r="Q3809" i="1"/>
  <c r="S3809" i="1" s="1"/>
  <c r="Q3808" i="1"/>
  <c r="S3808" i="1" s="1"/>
  <c r="Q3807" i="1"/>
  <c r="S3807" i="1" s="1"/>
  <c r="Q3806" i="1"/>
  <c r="Q3805" i="1"/>
  <c r="Q3804" i="1"/>
  <c r="S3804" i="1" s="1"/>
  <c r="Q3803" i="1"/>
  <c r="S3803" i="1" s="1"/>
  <c r="Q3802" i="1"/>
  <c r="S3802" i="1" s="1"/>
  <c r="Q3801" i="1"/>
  <c r="S3801" i="1" s="1"/>
  <c r="Q3800" i="1"/>
  <c r="Q3799" i="1"/>
  <c r="Q3798" i="1"/>
  <c r="Q3797" i="1"/>
  <c r="S3797" i="1" s="1"/>
  <c r="Q3796" i="1"/>
  <c r="S3796" i="1" s="1"/>
  <c r="Q3795" i="1"/>
  <c r="S3795" i="1" s="1"/>
  <c r="Q3794" i="1"/>
  <c r="Q3793" i="1"/>
  <c r="Q3792" i="1"/>
  <c r="S3792" i="1" s="1"/>
  <c r="Q3791" i="1"/>
  <c r="S3791" i="1" s="1"/>
  <c r="Q3790" i="1"/>
  <c r="S3790" i="1" s="1"/>
  <c r="Q3789" i="1"/>
  <c r="S3789" i="1" s="1"/>
  <c r="Q3788" i="1"/>
  <c r="Q3787" i="1"/>
  <c r="Q3786" i="1"/>
  <c r="Q3785" i="1"/>
  <c r="S3785" i="1" s="1"/>
  <c r="Q3784" i="1"/>
  <c r="S3784" i="1" s="1"/>
  <c r="Q3783" i="1"/>
  <c r="S3783" i="1" s="1"/>
  <c r="Q3782" i="1"/>
  <c r="Q3781" i="1"/>
  <c r="Q3780" i="1"/>
  <c r="S3780" i="1" s="1"/>
  <c r="Q3779" i="1"/>
  <c r="S3779" i="1" s="1"/>
  <c r="Q3778" i="1"/>
  <c r="S3778" i="1" s="1"/>
  <c r="Q3777" i="1"/>
  <c r="S3777" i="1" s="1"/>
  <c r="Q3776" i="1"/>
  <c r="Q3775" i="1"/>
  <c r="Q3774" i="1"/>
  <c r="Q3773" i="1"/>
  <c r="S3773" i="1" s="1"/>
  <c r="Q3772" i="1"/>
  <c r="S3772" i="1" s="1"/>
  <c r="Q3771" i="1"/>
  <c r="S3771" i="1" s="1"/>
  <c r="Q3770" i="1"/>
  <c r="Q3769" i="1"/>
  <c r="Q3768" i="1"/>
  <c r="S3768" i="1" s="1"/>
  <c r="Q3767" i="1"/>
  <c r="S3767" i="1" s="1"/>
  <c r="Q3766" i="1"/>
  <c r="S3766" i="1" s="1"/>
  <c r="Q3765" i="1"/>
  <c r="S3765" i="1" s="1"/>
  <c r="Q3764" i="1"/>
  <c r="Q3763" i="1"/>
  <c r="Q3762" i="1"/>
  <c r="Q3761" i="1"/>
  <c r="S3761" i="1" s="1"/>
  <c r="Q3760" i="1"/>
  <c r="S3760" i="1" s="1"/>
  <c r="Q3759" i="1"/>
  <c r="S3759" i="1" s="1"/>
  <c r="Q3758" i="1"/>
  <c r="Q3757" i="1"/>
  <c r="Q3756" i="1"/>
  <c r="S3756" i="1" s="1"/>
  <c r="Q3755" i="1"/>
  <c r="S3755" i="1" s="1"/>
  <c r="Q3754" i="1"/>
  <c r="S3754" i="1" s="1"/>
  <c r="Q3753" i="1"/>
  <c r="S3753" i="1" s="1"/>
  <c r="Q3752" i="1"/>
  <c r="Q3751" i="1"/>
  <c r="Q3750" i="1"/>
  <c r="Q3749" i="1"/>
  <c r="S3749" i="1" s="1"/>
  <c r="Q3748" i="1"/>
  <c r="S3748" i="1" s="1"/>
  <c r="Q3747" i="1"/>
  <c r="S3747" i="1" s="1"/>
  <c r="Q3746" i="1"/>
  <c r="Q3745" i="1"/>
  <c r="Q3744" i="1"/>
  <c r="S3744" i="1" s="1"/>
  <c r="Q3743" i="1"/>
  <c r="S3743" i="1" s="1"/>
  <c r="Q3742" i="1"/>
  <c r="S3742" i="1" s="1"/>
  <c r="Q3741" i="1"/>
  <c r="S3741" i="1" s="1"/>
  <c r="Q3740" i="1"/>
  <c r="Q3739" i="1"/>
  <c r="Q3738" i="1"/>
  <c r="Q3737" i="1"/>
  <c r="S3737" i="1" s="1"/>
  <c r="Q3736" i="1"/>
  <c r="S3736" i="1" s="1"/>
  <c r="Q3735" i="1"/>
  <c r="S3735" i="1" s="1"/>
  <c r="Q3734" i="1"/>
  <c r="Q3733" i="1"/>
  <c r="Q3732" i="1"/>
  <c r="S3732" i="1" s="1"/>
  <c r="Q3731" i="1"/>
  <c r="S3731" i="1" s="1"/>
  <c r="Q3730" i="1"/>
  <c r="S3730" i="1" s="1"/>
  <c r="Q3729" i="1"/>
  <c r="S3729" i="1" s="1"/>
  <c r="Q3728" i="1"/>
  <c r="Q3727" i="1"/>
  <c r="Q3726" i="1"/>
  <c r="Q3725" i="1"/>
  <c r="S3725" i="1" s="1"/>
  <c r="Q3724" i="1"/>
  <c r="S3724" i="1" s="1"/>
  <c r="Q3723" i="1"/>
  <c r="S3723" i="1" s="1"/>
  <c r="Q3722" i="1"/>
  <c r="Q3721" i="1"/>
  <c r="Q3720" i="1"/>
  <c r="S3720" i="1" s="1"/>
  <c r="Q3719" i="1"/>
  <c r="S3719" i="1" s="1"/>
  <c r="Q3718" i="1"/>
  <c r="S3718" i="1" s="1"/>
  <c r="Q3717" i="1"/>
  <c r="S3717" i="1" s="1"/>
  <c r="Q3716" i="1"/>
  <c r="Q3715" i="1"/>
  <c r="Q3714" i="1"/>
  <c r="Q3713" i="1"/>
  <c r="S3713" i="1" s="1"/>
  <c r="Q3712" i="1"/>
  <c r="S3712" i="1" s="1"/>
  <c r="Q3711" i="1"/>
  <c r="S3711" i="1" s="1"/>
  <c r="Q3710" i="1"/>
  <c r="Q3709" i="1"/>
  <c r="Q3708" i="1"/>
  <c r="S3708" i="1" s="1"/>
  <c r="Q3707" i="1"/>
  <c r="S3707" i="1" s="1"/>
  <c r="Q3706" i="1"/>
  <c r="S3706" i="1" s="1"/>
  <c r="Q3705" i="1"/>
  <c r="S3705" i="1" s="1"/>
  <c r="Q3704" i="1"/>
  <c r="Q3703" i="1"/>
  <c r="Q3702" i="1"/>
  <c r="Q3701" i="1"/>
  <c r="S3701" i="1" s="1"/>
  <c r="Q3700" i="1"/>
  <c r="S3700" i="1" s="1"/>
  <c r="Q3699" i="1"/>
  <c r="S3699" i="1" s="1"/>
  <c r="Q3698" i="1"/>
  <c r="Q3697" i="1"/>
  <c r="Q3696" i="1"/>
  <c r="S3696" i="1" s="1"/>
  <c r="Q3695" i="1"/>
  <c r="S3695" i="1" s="1"/>
  <c r="Q3694" i="1"/>
  <c r="S3694" i="1" s="1"/>
  <c r="Q3693" i="1"/>
  <c r="S3693" i="1" s="1"/>
  <c r="Q3692" i="1"/>
  <c r="Q3691" i="1"/>
  <c r="Q3690" i="1"/>
  <c r="Q3689" i="1"/>
  <c r="S3689" i="1" s="1"/>
  <c r="Q3688" i="1"/>
  <c r="S3688" i="1" s="1"/>
  <c r="Q3687" i="1"/>
  <c r="S3687" i="1" s="1"/>
  <c r="Q3686" i="1"/>
  <c r="Q3685" i="1"/>
  <c r="Q3684" i="1"/>
  <c r="S3684" i="1" s="1"/>
  <c r="Q3683" i="1"/>
  <c r="S3683" i="1" s="1"/>
  <c r="Q3682" i="1"/>
  <c r="S3682" i="1" s="1"/>
  <c r="Q3681" i="1"/>
  <c r="S3681" i="1" s="1"/>
  <c r="Q3680" i="1"/>
  <c r="Q3679" i="1"/>
  <c r="Q3678" i="1"/>
  <c r="Q3677" i="1"/>
  <c r="S3677" i="1" s="1"/>
  <c r="Q3676" i="1"/>
  <c r="S3676" i="1" s="1"/>
  <c r="Q3675" i="1"/>
  <c r="S3675" i="1" s="1"/>
  <c r="Q3674" i="1"/>
  <c r="Q3673" i="1"/>
  <c r="Q3672" i="1"/>
  <c r="S3672" i="1" s="1"/>
  <c r="Q3671" i="1"/>
  <c r="S3671" i="1" s="1"/>
  <c r="Q3670" i="1"/>
  <c r="S3670" i="1" s="1"/>
  <c r="Q3669" i="1"/>
  <c r="S3669" i="1" s="1"/>
  <c r="Q3668" i="1"/>
  <c r="Q3667" i="1"/>
  <c r="Q3666" i="1"/>
  <c r="Q3665" i="1"/>
  <c r="S3665" i="1" s="1"/>
  <c r="Q3664" i="1"/>
  <c r="S3664" i="1" s="1"/>
  <c r="Q3663" i="1"/>
  <c r="S3663" i="1" s="1"/>
  <c r="Q3662" i="1"/>
  <c r="Q3661" i="1"/>
  <c r="Q3660" i="1"/>
  <c r="S3660" i="1" s="1"/>
  <c r="Q3659" i="1"/>
  <c r="S3659" i="1" s="1"/>
  <c r="Q3658" i="1"/>
  <c r="S3658" i="1" s="1"/>
  <c r="Q3657" i="1"/>
  <c r="S3657" i="1" s="1"/>
  <c r="Q3656" i="1"/>
  <c r="Q3655" i="1"/>
  <c r="Q3654" i="1"/>
  <c r="Q3653" i="1"/>
  <c r="S3653" i="1" s="1"/>
  <c r="Q3652" i="1"/>
  <c r="S3652" i="1" s="1"/>
  <c r="Q3651" i="1"/>
  <c r="S3651" i="1" s="1"/>
  <c r="Q3650" i="1"/>
  <c r="Q3649" i="1"/>
  <c r="Q3648" i="1"/>
  <c r="S3648" i="1" s="1"/>
  <c r="Q3647" i="1"/>
  <c r="S3647" i="1" s="1"/>
  <c r="Q3646" i="1"/>
  <c r="S3646" i="1" s="1"/>
  <c r="Q3645" i="1"/>
  <c r="S3645" i="1" s="1"/>
  <c r="Q3644" i="1"/>
  <c r="Q3643" i="1"/>
  <c r="Q3642" i="1"/>
  <c r="Q3641" i="1"/>
  <c r="S3641" i="1" s="1"/>
  <c r="Q3640" i="1"/>
  <c r="S3640" i="1" s="1"/>
  <c r="Q3639" i="1"/>
  <c r="S3639" i="1" s="1"/>
  <c r="Q3638" i="1"/>
  <c r="Q3637" i="1"/>
  <c r="Q3636" i="1"/>
  <c r="S3636" i="1" s="1"/>
  <c r="Q3635" i="1"/>
  <c r="S3635" i="1" s="1"/>
  <c r="Q3634" i="1"/>
  <c r="S3634" i="1" s="1"/>
  <c r="Q3633" i="1"/>
  <c r="S3633" i="1" s="1"/>
  <c r="Q3632" i="1"/>
  <c r="Q3631" i="1"/>
  <c r="Q3630" i="1"/>
  <c r="Q3629" i="1"/>
  <c r="S3629" i="1" s="1"/>
  <c r="Q3628" i="1"/>
  <c r="S3628" i="1" s="1"/>
  <c r="Q3627" i="1"/>
  <c r="S3627" i="1" s="1"/>
  <c r="Q3626" i="1"/>
  <c r="Q3625" i="1"/>
  <c r="Q3624" i="1"/>
  <c r="S3624" i="1" s="1"/>
  <c r="Q3623" i="1"/>
  <c r="S3623" i="1" s="1"/>
  <c r="Q3622" i="1"/>
  <c r="S3622" i="1" s="1"/>
  <c r="Q3621" i="1"/>
  <c r="S3621" i="1" s="1"/>
  <c r="Q3620" i="1"/>
  <c r="Q3619" i="1"/>
  <c r="Q3618" i="1"/>
  <c r="Q3617" i="1"/>
  <c r="S3617" i="1" s="1"/>
  <c r="Q3616" i="1"/>
  <c r="S3616" i="1" s="1"/>
  <c r="Q3615" i="1"/>
  <c r="S3615" i="1" s="1"/>
  <c r="Q3614" i="1"/>
  <c r="Q3613" i="1"/>
  <c r="Q3612" i="1"/>
  <c r="S3612" i="1" s="1"/>
  <c r="Q3611" i="1"/>
  <c r="S3611" i="1" s="1"/>
  <c r="Q3610" i="1"/>
  <c r="S3610" i="1" s="1"/>
  <c r="Q3609" i="1"/>
  <c r="S3609" i="1" s="1"/>
  <c r="Q3608" i="1"/>
  <c r="Q3607" i="1"/>
  <c r="Q3606" i="1"/>
  <c r="Q3605" i="1"/>
  <c r="S3605" i="1" s="1"/>
  <c r="Q3604" i="1"/>
  <c r="S3604" i="1" s="1"/>
  <c r="Q3603" i="1"/>
  <c r="S3603" i="1" s="1"/>
  <c r="Q3602" i="1"/>
  <c r="Q3601" i="1"/>
  <c r="Q3600" i="1"/>
  <c r="S3600" i="1" s="1"/>
  <c r="Q3599" i="1"/>
  <c r="S3599" i="1" s="1"/>
  <c r="Q3598" i="1"/>
  <c r="S3598" i="1" s="1"/>
  <c r="Q3597" i="1"/>
  <c r="S3597" i="1" s="1"/>
  <c r="Q3596" i="1"/>
  <c r="Q3595" i="1"/>
  <c r="Q3594" i="1"/>
  <c r="Q3593" i="1"/>
  <c r="S3593" i="1" s="1"/>
  <c r="Q3592" i="1"/>
  <c r="S3592" i="1" s="1"/>
  <c r="Q3591" i="1"/>
  <c r="S3591" i="1" s="1"/>
  <c r="Q3590" i="1"/>
  <c r="Q3589" i="1"/>
  <c r="Q3588" i="1"/>
  <c r="S3588" i="1" s="1"/>
  <c r="Q3587" i="1"/>
  <c r="S3587" i="1" s="1"/>
  <c r="Q3586" i="1"/>
  <c r="S3586" i="1" s="1"/>
  <c r="Q3585" i="1"/>
  <c r="S3585" i="1" s="1"/>
  <c r="Q3584" i="1"/>
  <c r="Q3583" i="1"/>
  <c r="Q3582" i="1"/>
  <c r="Q3581" i="1"/>
  <c r="S3581" i="1" s="1"/>
  <c r="Q3580" i="1"/>
  <c r="S3580" i="1" s="1"/>
  <c r="Q3579" i="1"/>
  <c r="S3579" i="1" s="1"/>
  <c r="Q3578" i="1"/>
  <c r="Q3577" i="1"/>
  <c r="Q3576" i="1"/>
  <c r="S3576" i="1" s="1"/>
  <c r="Q3575" i="1"/>
  <c r="S3575" i="1" s="1"/>
  <c r="Q3574" i="1"/>
  <c r="S3574" i="1" s="1"/>
  <c r="Q3573" i="1"/>
  <c r="S3573" i="1" s="1"/>
  <c r="Q3572" i="1"/>
  <c r="Q3571" i="1"/>
  <c r="Q3570" i="1"/>
  <c r="Q3569" i="1"/>
  <c r="S3569" i="1" s="1"/>
  <c r="Q3568" i="1"/>
  <c r="S3568" i="1" s="1"/>
  <c r="Q3567" i="1"/>
  <c r="S3567" i="1" s="1"/>
  <c r="Q3566" i="1"/>
  <c r="Q3565" i="1"/>
  <c r="Q3564" i="1"/>
  <c r="S3564" i="1" s="1"/>
  <c r="Q3563" i="1"/>
  <c r="S3563" i="1" s="1"/>
  <c r="Q3562" i="1"/>
  <c r="S3562" i="1" s="1"/>
  <c r="Q3561" i="1"/>
  <c r="S3561" i="1" s="1"/>
  <c r="Q3560" i="1"/>
  <c r="Q3559" i="1"/>
  <c r="Q3558" i="1"/>
  <c r="Q3557" i="1"/>
  <c r="S3557" i="1" s="1"/>
  <c r="Q3556" i="1"/>
  <c r="S3556" i="1" s="1"/>
  <c r="Q3555" i="1"/>
  <c r="S3555" i="1" s="1"/>
  <c r="Q3554" i="1"/>
  <c r="Q3553" i="1"/>
  <c r="Q3552" i="1"/>
  <c r="S3552" i="1" s="1"/>
  <c r="Q3551" i="1"/>
  <c r="S3551" i="1" s="1"/>
  <c r="Q3550" i="1"/>
  <c r="S3550" i="1" s="1"/>
  <c r="Q3549" i="1"/>
  <c r="S3549" i="1" s="1"/>
  <c r="Q3548" i="1"/>
  <c r="Q3547" i="1"/>
  <c r="Q3546" i="1"/>
  <c r="Q3545" i="1"/>
  <c r="S3545" i="1" s="1"/>
  <c r="Q3544" i="1"/>
  <c r="S3544" i="1" s="1"/>
  <c r="Q3543" i="1"/>
  <c r="S3543" i="1" s="1"/>
  <c r="Q3542" i="1"/>
  <c r="Q3541" i="1"/>
  <c r="Q3540" i="1"/>
  <c r="S3540" i="1" s="1"/>
  <c r="Q3539" i="1"/>
  <c r="S3539" i="1" s="1"/>
  <c r="Q3538" i="1"/>
  <c r="S3538" i="1" s="1"/>
  <c r="Q3537" i="1"/>
  <c r="S3537" i="1" s="1"/>
  <c r="Q3536" i="1"/>
  <c r="Q3535" i="1"/>
  <c r="Q3534" i="1"/>
  <c r="Q3533" i="1"/>
  <c r="S3533" i="1" s="1"/>
  <c r="Q3532" i="1"/>
  <c r="S3532" i="1" s="1"/>
  <c r="Q3531" i="1"/>
  <c r="S3531" i="1" s="1"/>
  <c r="Q3530" i="1"/>
  <c r="Q3529" i="1"/>
  <c r="Q3528" i="1"/>
  <c r="S3528" i="1" s="1"/>
  <c r="Q3527" i="1"/>
  <c r="S3527" i="1" s="1"/>
  <c r="Q3526" i="1"/>
  <c r="S3526" i="1" s="1"/>
  <c r="Q3525" i="1"/>
  <c r="S3525" i="1" s="1"/>
  <c r="Q3524" i="1"/>
  <c r="Q3523" i="1"/>
  <c r="Q3522" i="1"/>
  <c r="Q3521" i="1"/>
  <c r="S3521" i="1" s="1"/>
  <c r="Q3520" i="1"/>
  <c r="S3520" i="1" s="1"/>
  <c r="Q3519" i="1"/>
  <c r="S3519" i="1" s="1"/>
  <c r="Q3518" i="1"/>
  <c r="Q3517" i="1"/>
  <c r="Q3516" i="1"/>
  <c r="S3516" i="1" s="1"/>
  <c r="Q3515" i="1"/>
  <c r="S3515" i="1" s="1"/>
  <c r="Q3514" i="1"/>
  <c r="S3514" i="1" s="1"/>
  <c r="Q3513" i="1"/>
  <c r="S3513" i="1" s="1"/>
  <c r="Q3512" i="1"/>
  <c r="Q3511" i="1"/>
  <c r="Q3510" i="1"/>
  <c r="Q3509" i="1"/>
  <c r="S3509" i="1" s="1"/>
  <c r="Q3508" i="1"/>
  <c r="S3508" i="1" s="1"/>
  <c r="Q3507" i="1"/>
  <c r="S3507" i="1" s="1"/>
  <c r="Q3506" i="1"/>
  <c r="Q3505" i="1"/>
  <c r="Q3504" i="1"/>
  <c r="S3504" i="1" s="1"/>
  <c r="Q3503" i="1"/>
  <c r="S3503" i="1" s="1"/>
  <c r="Q3502" i="1"/>
  <c r="S3502" i="1" s="1"/>
  <c r="Q3501" i="1"/>
  <c r="S3501" i="1" s="1"/>
  <c r="Q3500" i="1"/>
  <c r="Q3499" i="1"/>
  <c r="Q3498" i="1"/>
  <c r="Q3497" i="1"/>
  <c r="S3497" i="1" s="1"/>
  <c r="Q3496" i="1"/>
  <c r="S3496" i="1" s="1"/>
  <c r="Q3495" i="1"/>
  <c r="S3495" i="1" s="1"/>
  <c r="Q3494" i="1"/>
  <c r="Q3493" i="1"/>
  <c r="Q3492" i="1"/>
  <c r="S3492" i="1" s="1"/>
  <c r="Q3491" i="1"/>
  <c r="S3491" i="1" s="1"/>
  <c r="Q3490" i="1"/>
  <c r="S3490" i="1" s="1"/>
  <c r="Q3489" i="1"/>
  <c r="S3489" i="1" s="1"/>
  <c r="Q3488" i="1"/>
  <c r="Q3487" i="1"/>
  <c r="Q3486" i="1"/>
  <c r="Q3485" i="1"/>
  <c r="S3485" i="1" s="1"/>
  <c r="Q3484" i="1"/>
  <c r="S3484" i="1" s="1"/>
  <c r="Q3483" i="1"/>
  <c r="S3483" i="1" s="1"/>
  <c r="Q3482" i="1"/>
  <c r="Q3481" i="1"/>
  <c r="Q3480" i="1"/>
  <c r="S3480" i="1" s="1"/>
  <c r="Q3479" i="1"/>
  <c r="S3479" i="1" s="1"/>
  <c r="Q3478" i="1"/>
  <c r="S3478" i="1" s="1"/>
  <c r="Q3477" i="1"/>
  <c r="S3477" i="1" s="1"/>
  <c r="Q3476" i="1"/>
  <c r="Q3475" i="1"/>
  <c r="Q3474" i="1"/>
  <c r="Q3473" i="1"/>
  <c r="S3473" i="1" s="1"/>
  <c r="Q3472" i="1"/>
  <c r="S3472" i="1" s="1"/>
  <c r="Q3471" i="1"/>
  <c r="S3471" i="1" s="1"/>
  <c r="Q3470" i="1"/>
  <c r="Q3469" i="1"/>
  <c r="Q3468" i="1"/>
  <c r="S3468" i="1" s="1"/>
  <c r="Q3467" i="1"/>
  <c r="S3467" i="1" s="1"/>
  <c r="Q3466" i="1"/>
  <c r="S3466" i="1" s="1"/>
  <c r="Q3465" i="1"/>
  <c r="S3465" i="1" s="1"/>
  <c r="Q3464" i="1"/>
  <c r="Q3463" i="1"/>
  <c r="Q3462" i="1"/>
  <c r="Q3461" i="1"/>
  <c r="S3461" i="1" s="1"/>
  <c r="Q3460" i="1"/>
  <c r="S3460" i="1" s="1"/>
  <c r="Q3459" i="1"/>
  <c r="S3459" i="1" s="1"/>
  <c r="Q3458" i="1"/>
  <c r="Q3457" i="1"/>
  <c r="Q3456" i="1"/>
  <c r="S3456" i="1" s="1"/>
  <c r="Q3455" i="1"/>
  <c r="S3455" i="1" s="1"/>
  <c r="Q3454" i="1"/>
  <c r="S3454" i="1" s="1"/>
  <c r="Q3453" i="1"/>
  <c r="S3453" i="1" s="1"/>
  <c r="Q3452" i="1"/>
  <c r="Q3451" i="1"/>
  <c r="Q3450" i="1"/>
  <c r="Q3449" i="1"/>
  <c r="S3449" i="1" s="1"/>
  <c r="Q3448" i="1"/>
  <c r="S3448" i="1" s="1"/>
  <c r="Q3447" i="1"/>
  <c r="S3447" i="1" s="1"/>
  <c r="Q3446" i="1"/>
  <c r="Q3445" i="1"/>
  <c r="Q3444" i="1"/>
  <c r="S3444" i="1" s="1"/>
  <c r="Q3443" i="1"/>
  <c r="S3443" i="1" s="1"/>
  <c r="Q3442" i="1"/>
  <c r="S3442" i="1" s="1"/>
  <c r="Q3441" i="1"/>
  <c r="S3441" i="1" s="1"/>
  <c r="Q3440" i="1"/>
  <c r="Q3439" i="1"/>
  <c r="Q3438" i="1"/>
  <c r="Q3437" i="1"/>
  <c r="S3437" i="1" s="1"/>
  <c r="Q3436" i="1"/>
  <c r="S3436" i="1" s="1"/>
  <c r="Q3435" i="1"/>
  <c r="S3435" i="1" s="1"/>
  <c r="Q3434" i="1"/>
  <c r="Q3433" i="1"/>
  <c r="Q3432" i="1"/>
  <c r="S3432" i="1" s="1"/>
  <c r="Q3431" i="1"/>
  <c r="S3431" i="1" s="1"/>
  <c r="Q3430" i="1"/>
  <c r="S3430" i="1" s="1"/>
  <c r="Q3429" i="1"/>
  <c r="S3429" i="1" s="1"/>
  <c r="Q3428" i="1"/>
  <c r="Q3427" i="1"/>
  <c r="Q3426" i="1"/>
  <c r="Q3425" i="1"/>
  <c r="S3425" i="1" s="1"/>
  <c r="Q3424" i="1"/>
  <c r="S3424" i="1" s="1"/>
  <c r="Q3423" i="1"/>
  <c r="S3423" i="1" s="1"/>
  <c r="Q3422" i="1"/>
  <c r="Q3421" i="1"/>
  <c r="Q3420" i="1"/>
  <c r="S3420" i="1" s="1"/>
  <c r="Q3419" i="1"/>
  <c r="S3419" i="1" s="1"/>
  <c r="Q3418" i="1"/>
  <c r="S3418" i="1" s="1"/>
  <c r="Q3417" i="1"/>
  <c r="S3417" i="1" s="1"/>
  <c r="Q3416" i="1"/>
  <c r="Q3415" i="1"/>
  <c r="Q3414" i="1"/>
  <c r="Q3413" i="1"/>
  <c r="S3413" i="1" s="1"/>
  <c r="Q3412" i="1"/>
  <c r="S3412" i="1" s="1"/>
  <c r="Q3411" i="1"/>
  <c r="S3411" i="1" s="1"/>
  <c r="Q3410" i="1"/>
  <c r="Q3409" i="1"/>
  <c r="Q3408" i="1"/>
  <c r="S3408" i="1" s="1"/>
  <c r="Q3407" i="1"/>
  <c r="S3407" i="1" s="1"/>
  <c r="Q3406" i="1"/>
  <c r="S3406" i="1" s="1"/>
  <c r="Q3405" i="1"/>
  <c r="S3405" i="1" s="1"/>
  <c r="Q3404" i="1"/>
  <c r="Q3403" i="1"/>
  <c r="Q3402" i="1"/>
  <c r="Q3401" i="1"/>
  <c r="S3401" i="1" s="1"/>
  <c r="Q3400" i="1"/>
  <c r="S3400" i="1" s="1"/>
  <c r="Q3399" i="1"/>
  <c r="S3399" i="1" s="1"/>
  <c r="Q3398" i="1"/>
  <c r="Q3397" i="1"/>
  <c r="Q3396" i="1"/>
  <c r="S3396" i="1" s="1"/>
  <c r="Q3395" i="1"/>
  <c r="S3395" i="1" s="1"/>
  <c r="Q3394" i="1"/>
  <c r="S3394" i="1" s="1"/>
  <c r="Q3393" i="1"/>
  <c r="S3393" i="1" s="1"/>
  <c r="Q3392" i="1"/>
  <c r="Q3391" i="1"/>
  <c r="Q3390" i="1"/>
  <c r="Q3389" i="1"/>
  <c r="S3389" i="1" s="1"/>
  <c r="Q3388" i="1"/>
  <c r="S3388" i="1" s="1"/>
  <c r="Q3387" i="1"/>
  <c r="S3387" i="1" s="1"/>
  <c r="Q3386" i="1"/>
  <c r="Q3385" i="1"/>
  <c r="Q3384" i="1"/>
  <c r="S3384" i="1" s="1"/>
  <c r="Q3383" i="1"/>
  <c r="S3383" i="1" s="1"/>
  <c r="Q3382" i="1"/>
  <c r="S3382" i="1" s="1"/>
  <c r="Q3381" i="1"/>
  <c r="S3381" i="1" s="1"/>
  <c r="Q3380" i="1"/>
  <c r="Q3379" i="1"/>
  <c r="Q3378" i="1"/>
  <c r="Q3377" i="1"/>
  <c r="S3377" i="1" s="1"/>
  <c r="Q3376" i="1"/>
  <c r="S3376" i="1" s="1"/>
  <c r="Q3375" i="1"/>
  <c r="S3375" i="1" s="1"/>
  <c r="Q3374" i="1"/>
  <c r="Q3373" i="1"/>
  <c r="Q3372" i="1"/>
  <c r="S3372" i="1" s="1"/>
  <c r="Q3371" i="1"/>
  <c r="S3371" i="1" s="1"/>
  <c r="Q3370" i="1"/>
  <c r="S3370" i="1" s="1"/>
  <c r="Q3369" i="1"/>
  <c r="S3369" i="1" s="1"/>
  <c r="Q3368" i="1"/>
  <c r="Q3367" i="1"/>
  <c r="Q3366" i="1"/>
  <c r="Q3365" i="1"/>
  <c r="S3365" i="1" s="1"/>
  <c r="Q3364" i="1"/>
  <c r="S3364" i="1" s="1"/>
  <c r="Q3363" i="1"/>
  <c r="S3363" i="1" s="1"/>
  <c r="Q3362" i="1"/>
  <c r="Q3361" i="1"/>
  <c r="Q3360" i="1"/>
  <c r="S3360" i="1" s="1"/>
  <c r="Q3359" i="1"/>
  <c r="S3359" i="1" s="1"/>
  <c r="Q3358" i="1"/>
  <c r="S3358" i="1" s="1"/>
  <c r="Q3357" i="1"/>
  <c r="S3357" i="1" s="1"/>
  <c r="Q3356" i="1"/>
  <c r="Q3355" i="1"/>
  <c r="Q3354" i="1"/>
  <c r="Q3353" i="1"/>
  <c r="S3353" i="1" s="1"/>
  <c r="Q3352" i="1"/>
  <c r="S3352" i="1" s="1"/>
  <c r="Q3351" i="1"/>
  <c r="S3351" i="1" s="1"/>
  <c r="Q3350" i="1"/>
  <c r="Q3349" i="1"/>
  <c r="Q3348" i="1"/>
  <c r="S3348" i="1" s="1"/>
  <c r="Q3347" i="1"/>
  <c r="S3347" i="1" s="1"/>
  <c r="Q3346" i="1"/>
  <c r="S3346" i="1" s="1"/>
  <c r="Q3345" i="1"/>
  <c r="S3345" i="1" s="1"/>
  <c r="Q3344" i="1"/>
  <c r="Q3343" i="1"/>
  <c r="Q3342" i="1"/>
  <c r="Q3341" i="1"/>
  <c r="S3341" i="1" s="1"/>
  <c r="Q3340" i="1"/>
  <c r="S3340" i="1" s="1"/>
  <c r="Q3339" i="1"/>
  <c r="S3339" i="1" s="1"/>
  <c r="Q3338" i="1"/>
  <c r="Q3337" i="1"/>
  <c r="Q3336" i="1"/>
  <c r="S3336" i="1" s="1"/>
  <c r="Q3335" i="1"/>
  <c r="S3335" i="1" s="1"/>
  <c r="Q3334" i="1"/>
  <c r="S3334" i="1" s="1"/>
  <c r="Q3333" i="1"/>
  <c r="S3333" i="1" s="1"/>
  <c r="Q3332" i="1"/>
  <c r="Q3331" i="1"/>
  <c r="Q3330" i="1"/>
  <c r="Q3329" i="1"/>
  <c r="S3329" i="1" s="1"/>
  <c r="Q3328" i="1"/>
  <c r="S3328" i="1" s="1"/>
  <c r="Q3327" i="1"/>
  <c r="S3327" i="1" s="1"/>
  <c r="Q3326" i="1"/>
  <c r="Q3325" i="1"/>
  <c r="Q3324" i="1"/>
  <c r="S3324" i="1" s="1"/>
  <c r="Q3323" i="1"/>
  <c r="S3323" i="1" s="1"/>
  <c r="Q3322" i="1"/>
  <c r="S3322" i="1" s="1"/>
  <c r="Q3321" i="1"/>
  <c r="S3321" i="1" s="1"/>
  <c r="Q3320" i="1"/>
  <c r="Q3319" i="1"/>
  <c r="Q3318" i="1"/>
  <c r="Q3317" i="1"/>
  <c r="S3317" i="1" s="1"/>
  <c r="Q3316" i="1"/>
  <c r="S3316" i="1" s="1"/>
  <c r="Q3315" i="1"/>
  <c r="S3315" i="1" s="1"/>
  <c r="Q3314" i="1"/>
  <c r="Q3313" i="1"/>
  <c r="Q3312" i="1"/>
  <c r="S3312" i="1" s="1"/>
  <c r="Q3311" i="1"/>
  <c r="S3311" i="1" s="1"/>
  <c r="Q3310" i="1"/>
  <c r="S3310" i="1" s="1"/>
  <c r="Q3309" i="1"/>
  <c r="S3309" i="1" s="1"/>
  <c r="Q3308" i="1"/>
  <c r="Q3307" i="1"/>
  <c r="Q3306" i="1"/>
  <c r="Q3305" i="1"/>
  <c r="S3305" i="1" s="1"/>
  <c r="Q3304" i="1"/>
  <c r="S3304" i="1" s="1"/>
  <c r="Q3303" i="1"/>
  <c r="S3303" i="1" s="1"/>
  <c r="Q3302" i="1"/>
  <c r="Q3301" i="1"/>
  <c r="Q3300" i="1"/>
  <c r="S3300" i="1" s="1"/>
  <c r="Q3299" i="1"/>
  <c r="S3299" i="1" s="1"/>
  <c r="Q3298" i="1"/>
  <c r="S3298" i="1" s="1"/>
  <c r="Q3297" i="1"/>
  <c r="S3297" i="1" s="1"/>
  <c r="Q3296" i="1"/>
  <c r="Q3295" i="1"/>
  <c r="Q3294" i="1"/>
  <c r="Q3293" i="1"/>
  <c r="S3293" i="1" s="1"/>
  <c r="Q3292" i="1"/>
  <c r="S3292" i="1" s="1"/>
  <c r="Q3291" i="1"/>
  <c r="S3291" i="1" s="1"/>
  <c r="Q3290" i="1"/>
  <c r="Q3289" i="1"/>
  <c r="Q3288" i="1"/>
  <c r="S3288" i="1" s="1"/>
  <c r="Q3287" i="1"/>
  <c r="S3287" i="1" s="1"/>
  <c r="Q3286" i="1"/>
  <c r="S3286" i="1" s="1"/>
  <c r="Q3285" i="1"/>
  <c r="S3285" i="1" s="1"/>
  <c r="Q3284" i="1"/>
  <c r="Q3283" i="1"/>
  <c r="Q3282" i="1"/>
  <c r="Q3281" i="1"/>
  <c r="S3281" i="1" s="1"/>
  <c r="Q3280" i="1"/>
  <c r="S3280" i="1" s="1"/>
  <c r="Q3279" i="1"/>
  <c r="S3279" i="1" s="1"/>
  <c r="Q3278" i="1"/>
  <c r="Q3277" i="1"/>
  <c r="Q3276" i="1"/>
  <c r="S3276" i="1" s="1"/>
  <c r="Q3275" i="1"/>
  <c r="S3275" i="1" s="1"/>
  <c r="Q3274" i="1"/>
  <c r="S3274" i="1" s="1"/>
  <c r="Q3273" i="1"/>
  <c r="S3273" i="1" s="1"/>
  <c r="Q3272" i="1"/>
  <c r="Q3271" i="1"/>
  <c r="Q3270" i="1"/>
  <c r="Q3269" i="1"/>
  <c r="S3269" i="1" s="1"/>
  <c r="Q3268" i="1"/>
  <c r="S3268" i="1" s="1"/>
  <c r="Q3267" i="1"/>
  <c r="S3267" i="1" s="1"/>
  <c r="Q3266" i="1"/>
  <c r="Q3265" i="1"/>
  <c r="Q3264" i="1"/>
  <c r="S3264" i="1" s="1"/>
  <c r="Q3263" i="1"/>
  <c r="S3263" i="1" s="1"/>
  <c r="Q3262" i="1"/>
  <c r="S3262" i="1" s="1"/>
  <c r="Q3261" i="1"/>
  <c r="S3261" i="1" s="1"/>
  <c r="Q3260" i="1"/>
  <c r="Q3259" i="1"/>
  <c r="Q3258" i="1"/>
  <c r="Q3257" i="1"/>
  <c r="S3257" i="1" s="1"/>
  <c r="Q3256" i="1"/>
  <c r="S3256" i="1" s="1"/>
  <c r="Q3255" i="1"/>
  <c r="S3255" i="1" s="1"/>
  <c r="Q3254" i="1"/>
  <c r="Q3253" i="1"/>
  <c r="Q3252" i="1"/>
  <c r="S3252" i="1" s="1"/>
  <c r="Q3251" i="1"/>
  <c r="S3251" i="1" s="1"/>
  <c r="Q3250" i="1"/>
  <c r="S3250" i="1" s="1"/>
  <c r="Q3249" i="1"/>
  <c r="S3249" i="1" s="1"/>
  <c r="Q3248" i="1"/>
  <c r="Q3247" i="1"/>
  <c r="Q3246" i="1"/>
  <c r="S3246" i="1" s="1"/>
  <c r="Q3245" i="1"/>
  <c r="S3245" i="1" s="1"/>
  <c r="Q3244" i="1"/>
  <c r="S3244" i="1" s="1"/>
  <c r="Q3243" i="1"/>
  <c r="S3243" i="1" s="1"/>
  <c r="Q3242" i="1"/>
  <c r="S3242" i="1" s="1"/>
  <c r="Q3241" i="1"/>
  <c r="Q3240" i="1"/>
  <c r="S3240" i="1" s="1"/>
  <c r="Q3239" i="1"/>
  <c r="S3239" i="1" s="1"/>
  <c r="Q3238" i="1"/>
  <c r="S3238" i="1" s="1"/>
  <c r="Q3237" i="1"/>
  <c r="S3237" i="1" s="1"/>
  <c r="Q3236" i="1"/>
  <c r="Q3235" i="1"/>
  <c r="Q3234" i="1"/>
  <c r="Q3233" i="1"/>
  <c r="S3233" i="1" s="1"/>
  <c r="Q3232" i="1"/>
  <c r="S3232" i="1" s="1"/>
  <c r="Q3231" i="1"/>
  <c r="S3231" i="1" s="1"/>
  <c r="Q3230" i="1"/>
  <c r="Q3229" i="1"/>
  <c r="Q3228" i="1"/>
  <c r="S3228" i="1" s="1"/>
  <c r="Q3227" i="1"/>
  <c r="S3227" i="1" s="1"/>
  <c r="Q3226" i="1"/>
  <c r="S3226" i="1" s="1"/>
  <c r="Q3225" i="1"/>
  <c r="S3225" i="1" s="1"/>
  <c r="Q3224" i="1"/>
  <c r="Q3223" i="1"/>
  <c r="Q3222" i="1"/>
  <c r="Q3221" i="1"/>
  <c r="S3221" i="1" s="1"/>
  <c r="Q3220" i="1"/>
  <c r="S3220" i="1" s="1"/>
  <c r="Q3219" i="1"/>
  <c r="S3219" i="1" s="1"/>
  <c r="Q3218" i="1"/>
  <c r="Q3217" i="1"/>
  <c r="Q3216" i="1"/>
  <c r="S3216" i="1" s="1"/>
  <c r="Q3215" i="1"/>
  <c r="S3215" i="1" s="1"/>
  <c r="Q3214" i="1"/>
  <c r="S3214" i="1" s="1"/>
  <c r="Q3213" i="1"/>
  <c r="S3213" i="1" s="1"/>
  <c r="Q3212" i="1"/>
  <c r="Q3211" i="1"/>
  <c r="Q3210" i="1"/>
  <c r="Q3209" i="1"/>
  <c r="S3209" i="1" s="1"/>
  <c r="Q3208" i="1"/>
  <c r="S3208" i="1" s="1"/>
  <c r="Q3207" i="1"/>
  <c r="S3207" i="1" s="1"/>
  <c r="Q3206" i="1"/>
  <c r="Q3205" i="1"/>
  <c r="Q3204" i="1"/>
  <c r="S3204" i="1" s="1"/>
  <c r="Q3203" i="1"/>
  <c r="S3203" i="1" s="1"/>
  <c r="Q3202" i="1"/>
  <c r="S3202" i="1" s="1"/>
  <c r="Q3201" i="1"/>
  <c r="S3201" i="1" s="1"/>
  <c r="Q3200" i="1"/>
  <c r="Q3199" i="1"/>
  <c r="Q3198" i="1"/>
  <c r="Q3197" i="1"/>
  <c r="S3197" i="1" s="1"/>
  <c r="Q3196" i="1"/>
  <c r="S3196" i="1" s="1"/>
  <c r="Q3195" i="1"/>
  <c r="S3195" i="1" s="1"/>
  <c r="Q3194" i="1"/>
  <c r="Q3193" i="1"/>
  <c r="Q3192" i="1"/>
  <c r="S3192" i="1" s="1"/>
  <c r="Q3191" i="1"/>
  <c r="S3191" i="1" s="1"/>
  <c r="Q3190" i="1"/>
  <c r="S3190" i="1" s="1"/>
  <c r="Q3189" i="1"/>
  <c r="S3189" i="1" s="1"/>
  <c r="Q3188" i="1"/>
  <c r="Q3187" i="1"/>
  <c r="Q3186" i="1"/>
  <c r="Q3185" i="1"/>
  <c r="S3185" i="1" s="1"/>
  <c r="Q3184" i="1"/>
  <c r="S3184" i="1" s="1"/>
  <c r="Q3183" i="1"/>
  <c r="S3183" i="1" s="1"/>
  <c r="Q3182" i="1"/>
  <c r="Q3181" i="1"/>
  <c r="Q3180" i="1"/>
  <c r="S3180" i="1" s="1"/>
  <c r="Q3179" i="1"/>
  <c r="S3179" i="1" s="1"/>
  <c r="Q3178" i="1"/>
  <c r="S3178" i="1" s="1"/>
  <c r="Q3177" i="1"/>
  <c r="S3177" i="1" s="1"/>
  <c r="Q3176" i="1"/>
  <c r="Q3175" i="1"/>
  <c r="Q3174" i="1"/>
  <c r="Q3173" i="1"/>
  <c r="S3173" i="1" s="1"/>
  <c r="Q3172" i="1"/>
  <c r="S3172" i="1" s="1"/>
  <c r="Q3171" i="1"/>
  <c r="S3171" i="1" s="1"/>
  <c r="Q3170" i="1"/>
  <c r="Q3169" i="1"/>
  <c r="Q3168" i="1"/>
  <c r="S3168" i="1" s="1"/>
  <c r="Q3167" i="1"/>
  <c r="S3167" i="1" s="1"/>
  <c r="Q3166" i="1"/>
  <c r="S3166" i="1" s="1"/>
  <c r="Q3165" i="1"/>
  <c r="S3165" i="1" s="1"/>
  <c r="Q3164" i="1"/>
  <c r="Q3163" i="1"/>
  <c r="Q3162" i="1"/>
  <c r="Q3161" i="1"/>
  <c r="S3161" i="1" s="1"/>
  <c r="Q3160" i="1"/>
  <c r="S3160" i="1" s="1"/>
  <c r="Q3159" i="1"/>
  <c r="S3159" i="1" s="1"/>
  <c r="Q3158" i="1"/>
  <c r="Q3157" i="1"/>
  <c r="Q3156" i="1"/>
  <c r="S3156" i="1" s="1"/>
  <c r="Q3155" i="1"/>
  <c r="S3155" i="1" s="1"/>
  <c r="Q3154" i="1"/>
  <c r="S3154" i="1" s="1"/>
  <c r="Q3153" i="1"/>
  <c r="S3153" i="1" s="1"/>
  <c r="Q3152" i="1"/>
  <c r="Q3151" i="1"/>
  <c r="Q3150" i="1"/>
  <c r="Q3149" i="1"/>
  <c r="S3149" i="1" s="1"/>
  <c r="Q3148" i="1"/>
  <c r="S3148" i="1" s="1"/>
  <c r="Q3147" i="1"/>
  <c r="S3147" i="1" s="1"/>
  <c r="Q3146" i="1"/>
  <c r="Q3145" i="1"/>
  <c r="Q3144" i="1"/>
  <c r="S3144" i="1" s="1"/>
  <c r="Q3143" i="1"/>
  <c r="S3143" i="1" s="1"/>
  <c r="Q3142" i="1"/>
  <c r="S3142" i="1" s="1"/>
  <c r="Q3141" i="1"/>
  <c r="S3141" i="1" s="1"/>
  <c r="Q3140" i="1"/>
  <c r="Q3139" i="1"/>
  <c r="Q3138" i="1"/>
  <c r="Q3137" i="1"/>
  <c r="S3137" i="1" s="1"/>
  <c r="Q3136" i="1"/>
  <c r="S3136" i="1" s="1"/>
  <c r="Q3135" i="1"/>
  <c r="S3135" i="1" s="1"/>
  <c r="Q3134" i="1"/>
  <c r="S3134" i="1" s="1"/>
  <c r="Q3133" i="1"/>
  <c r="Q3132" i="1"/>
  <c r="S3132" i="1" s="1"/>
  <c r="Q3131" i="1"/>
  <c r="S3131" i="1" s="1"/>
  <c r="Q3130" i="1"/>
  <c r="S3130" i="1" s="1"/>
  <c r="Q3129" i="1"/>
  <c r="S3129" i="1" s="1"/>
  <c r="Q3128" i="1"/>
  <c r="Q3127" i="1"/>
  <c r="Q3126" i="1"/>
  <c r="Q3125" i="1"/>
  <c r="S3125" i="1" s="1"/>
  <c r="Q3124" i="1"/>
  <c r="S3124" i="1" s="1"/>
  <c r="Q3123" i="1"/>
  <c r="S3123" i="1" s="1"/>
  <c r="Q3122" i="1"/>
  <c r="Q3121" i="1"/>
  <c r="Q3120" i="1"/>
  <c r="S3120" i="1" s="1"/>
  <c r="Q3119" i="1"/>
  <c r="S3119" i="1" s="1"/>
  <c r="Q3118" i="1"/>
  <c r="S3118" i="1" s="1"/>
  <c r="Q3117" i="1"/>
  <c r="S3117" i="1" s="1"/>
  <c r="Q3116" i="1"/>
  <c r="Q3115" i="1"/>
  <c r="Q3114" i="1"/>
  <c r="Q3113" i="1"/>
  <c r="S3113" i="1" s="1"/>
  <c r="Q3112" i="1"/>
  <c r="S3112" i="1" s="1"/>
  <c r="Q3111" i="1"/>
  <c r="S3111" i="1" s="1"/>
  <c r="Q3110" i="1"/>
  <c r="Q3109" i="1"/>
  <c r="Q3108" i="1"/>
  <c r="S3108" i="1" s="1"/>
  <c r="Q3107" i="1"/>
  <c r="S3107" i="1" s="1"/>
  <c r="Q3106" i="1"/>
  <c r="S3106" i="1" s="1"/>
  <c r="Q3105" i="1"/>
  <c r="S3105" i="1" s="1"/>
  <c r="Q3104" i="1"/>
  <c r="Q3103" i="1"/>
  <c r="Q3102" i="1"/>
  <c r="Q3101" i="1"/>
  <c r="S3101" i="1" s="1"/>
  <c r="Q3100" i="1"/>
  <c r="S3100" i="1" s="1"/>
  <c r="Q3099" i="1"/>
  <c r="S3099" i="1" s="1"/>
  <c r="Q3098" i="1"/>
  <c r="Q3097" i="1"/>
  <c r="Q3096" i="1"/>
  <c r="S3096" i="1" s="1"/>
  <c r="Q3095" i="1"/>
  <c r="S3095" i="1" s="1"/>
  <c r="Q3094" i="1"/>
  <c r="S3094" i="1" s="1"/>
  <c r="Q3093" i="1"/>
  <c r="S3093" i="1" s="1"/>
  <c r="Q3092" i="1"/>
  <c r="Q3091" i="1"/>
  <c r="Q3090" i="1"/>
  <c r="Q3089" i="1"/>
  <c r="S3089" i="1" s="1"/>
  <c r="Q3088" i="1"/>
  <c r="S3088" i="1" s="1"/>
  <c r="Q3087" i="1"/>
  <c r="S3087" i="1" s="1"/>
  <c r="Q3086" i="1"/>
  <c r="Q3085" i="1"/>
  <c r="Q3084" i="1"/>
  <c r="S3084" i="1" s="1"/>
  <c r="Q3083" i="1"/>
  <c r="S3083" i="1" s="1"/>
  <c r="Q3082" i="1"/>
  <c r="S3082" i="1" s="1"/>
  <c r="Q3081" i="1"/>
  <c r="S3081" i="1" s="1"/>
  <c r="Q3080" i="1"/>
  <c r="Q3079" i="1"/>
  <c r="Q3078" i="1"/>
  <c r="Q3077" i="1"/>
  <c r="S3077" i="1" s="1"/>
  <c r="Q3076" i="1"/>
  <c r="S3076" i="1" s="1"/>
  <c r="Q3075" i="1"/>
  <c r="S3075" i="1" s="1"/>
  <c r="Q3074" i="1"/>
  <c r="S3074" i="1" s="1"/>
  <c r="Q3073" i="1"/>
  <c r="Q3072" i="1"/>
  <c r="S3072" i="1" s="1"/>
  <c r="Q3071" i="1"/>
  <c r="S3071" i="1" s="1"/>
  <c r="Q3070" i="1"/>
  <c r="S3070" i="1" s="1"/>
  <c r="Q3069" i="1"/>
  <c r="S3069" i="1" s="1"/>
  <c r="Q3068" i="1"/>
  <c r="Q3067" i="1"/>
  <c r="Q3066" i="1"/>
  <c r="Q3065" i="1"/>
  <c r="S3065" i="1" s="1"/>
  <c r="Q3064" i="1"/>
  <c r="S3064" i="1" s="1"/>
  <c r="Q3063" i="1"/>
  <c r="S3063" i="1" s="1"/>
  <c r="Q3062" i="1"/>
  <c r="S3062" i="1" s="1"/>
  <c r="Q3061" i="1"/>
  <c r="Q3060" i="1"/>
  <c r="S3060" i="1" s="1"/>
  <c r="Q3059" i="1"/>
  <c r="S3059" i="1" s="1"/>
  <c r="Q3058" i="1"/>
  <c r="S3058" i="1" s="1"/>
  <c r="Q3057" i="1"/>
  <c r="S3057" i="1" s="1"/>
  <c r="Q3056" i="1"/>
  <c r="Q3055" i="1"/>
  <c r="Q3054" i="1"/>
  <c r="Q3053" i="1"/>
  <c r="S3053" i="1" s="1"/>
  <c r="Q3052" i="1"/>
  <c r="S3052" i="1" s="1"/>
  <c r="Q3051" i="1"/>
  <c r="S3051" i="1" s="1"/>
  <c r="Q3050" i="1"/>
  <c r="S3050" i="1" s="1"/>
  <c r="Q3049" i="1"/>
  <c r="Q3048" i="1"/>
  <c r="S3048" i="1" s="1"/>
  <c r="Q3047" i="1"/>
  <c r="S3047" i="1" s="1"/>
  <c r="Q3046" i="1"/>
  <c r="S3046" i="1" s="1"/>
  <c r="Q3045" i="1"/>
  <c r="S3045" i="1" s="1"/>
  <c r="Q3044" i="1"/>
  <c r="Q3043" i="1"/>
  <c r="Q3042" i="1"/>
  <c r="Q3041" i="1"/>
  <c r="S3041" i="1" s="1"/>
  <c r="Q3040" i="1"/>
  <c r="S3040" i="1" s="1"/>
  <c r="Q3039" i="1"/>
  <c r="S3039" i="1" s="1"/>
  <c r="Q3038" i="1"/>
  <c r="S3038" i="1" s="1"/>
  <c r="Q3037" i="1"/>
  <c r="Q3036" i="1"/>
  <c r="S3036" i="1" s="1"/>
  <c r="Q3035" i="1"/>
  <c r="S3035" i="1" s="1"/>
  <c r="Q3034" i="1"/>
  <c r="S3034" i="1" s="1"/>
  <c r="Q3033" i="1"/>
  <c r="S3033" i="1" s="1"/>
  <c r="Q3032" i="1"/>
  <c r="Q3031" i="1"/>
  <c r="Q3030" i="1"/>
  <c r="Q3029" i="1"/>
  <c r="S3029" i="1" s="1"/>
  <c r="Q3028" i="1"/>
  <c r="S3028" i="1" s="1"/>
  <c r="Q3027" i="1"/>
  <c r="S3027" i="1" s="1"/>
  <c r="Q3026" i="1"/>
  <c r="S3026" i="1" s="1"/>
  <c r="Q3025" i="1"/>
  <c r="Q3024" i="1"/>
  <c r="S3024" i="1" s="1"/>
  <c r="Q3023" i="1"/>
  <c r="S3023" i="1" s="1"/>
  <c r="Q3022" i="1"/>
  <c r="S3022" i="1" s="1"/>
  <c r="Q3021" i="1"/>
  <c r="S3021" i="1" s="1"/>
  <c r="Q3020" i="1"/>
  <c r="Q3019" i="1"/>
  <c r="Q3018" i="1"/>
  <c r="Q3017" i="1"/>
  <c r="S3017" i="1" s="1"/>
  <c r="Q3016" i="1"/>
  <c r="S3016" i="1" s="1"/>
  <c r="Q3015" i="1"/>
  <c r="S3015" i="1" s="1"/>
  <c r="Q3014" i="1"/>
  <c r="S3014" i="1" s="1"/>
  <c r="Q3013" i="1"/>
  <c r="Q3012" i="1"/>
  <c r="S3012" i="1" s="1"/>
  <c r="Q3011" i="1"/>
  <c r="S3011" i="1" s="1"/>
  <c r="Q3010" i="1"/>
  <c r="S3010" i="1" s="1"/>
  <c r="Q3009" i="1"/>
  <c r="S3009" i="1" s="1"/>
  <c r="Q3008" i="1"/>
  <c r="Q3007" i="1"/>
  <c r="Q3006" i="1"/>
  <c r="Q3005" i="1"/>
  <c r="S3005" i="1" s="1"/>
  <c r="Q3004" i="1"/>
  <c r="S3004" i="1" s="1"/>
  <c r="Q3003" i="1"/>
  <c r="S3003" i="1" s="1"/>
  <c r="Q3002" i="1"/>
  <c r="S3002" i="1" s="1"/>
  <c r="Q3001" i="1"/>
  <c r="Q3000" i="1"/>
  <c r="S3000" i="1" s="1"/>
  <c r="Q2999" i="1"/>
  <c r="S2999" i="1" s="1"/>
  <c r="Q2998" i="1"/>
  <c r="S2998" i="1" s="1"/>
  <c r="Q2997" i="1"/>
  <c r="S2997" i="1" s="1"/>
  <c r="Q2996" i="1"/>
  <c r="Q2995" i="1"/>
  <c r="Q2994" i="1"/>
  <c r="Q2993" i="1"/>
  <c r="S2993" i="1" s="1"/>
  <c r="Q2992" i="1"/>
  <c r="S2992" i="1" s="1"/>
  <c r="Q2991" i="1"/>
  <c r="S2991" i="1" s="1"/>
  <c r="Q2990" i="1"/>
  <c r="S2990" i="1" s="1"/>
  <c r="Q2989" i="1"/>
  <c r="Q2988" i="1"/>
  <c r="S2988" i="1" s="1"/>
  <c r="Q2987" i="1"/>
  <c r="S2987" i="1" s="1"/>
  <c r="Q2986" i="1"/>
  <c r="S2986" i="1" s="1"/>
  <c r="Q2985" i="1"/>
  <c r="S2985" i="1" s="1"/>
  <c r="Q2984" i="1"/>
  <c r="Q2983" i="1"/>
  <c r="Q2982" i="1"/>
  <c r="Q2981" i="1"/>
  <c r="S2981" i="1" s="1"/>
  <c r="Q2980" i="1"/>
  <c r="S2980" i="1" s="1"/>
  <c r="Q2979" i="1"/>
  <c r="S2979" i="1" s="1"/>
  <c r="Q2978" i="1"/>
  <c r="S2978" i="1" s="1"/>
  <c r="Q2977" i="1"/>
  <c r="Q2976" i="1"/>
  <c r="S2976" i="1" s="1"/>
  <c r="Q2975" i="1"/>
  <c r="S2975" i="1" s="1"/>
  <c r="Q2974" i="1"/>
  <c r="S2974" i="1" s="1"/>
  <c r="Q2973" i="1"/>
  <c r="S2973" i="1" s="1"/>
  <c r="Q2972" i="1"/>
  <c r="Q2971" i="1"/>
  <c r="Q2970" i="1"/>
  <c r="Q2969" i="1"/>
  <c r="S2969" i="1" s="1"/>
  <c r="Q2968" i="1"/>
  <c r="S2968" i="1" s="1"/>
  <c r="Q2967" i="1"/>
  <c r="S2967" i="1" s="1"/>
  <c r="Q2966" i="1"/>
  <c r="S2966" i="1" s="1"/>
  <c r="Q2965" i="1"/>
  <c r="Q2964" i="1"/>
  <c r="S2964" i="1" s="1"/>
  <c r="Q2963" i="1"/>
  <c r="S2963" i="1" s="1"/>
  <c r="Q2962" i="1"/>
  <c r="S2962" i="1" s="1"/>
  <c r="Q2961" i="1"/>
  <c r="S2961" i="1" s="1"/>
  <c r="Q2960" i="1"/>
  <c r="Q2959" i="1"/>
  <c r="Q2958" i="1"/>
  <c r="Q2957" i="1"/>
  <c r="S2957" i="1" s="1"/>
  <c r="Q2956" i="1"/>
  <c r="S2956" i="1" s="1"/>
  <c r="Q2955" i="1"/>
  <c r="S2955" i="1" s="1"/>
  <c r="Q2954" i="1"/>
  <c r="S2954" i="1" s="1"/>
  <c r="Q2953" i="1"/>
  <c r="Q2952" i="1"/>
  <c r="S2952" i="1" s="1"/>
  <c r="Q2951" i="1"/>
  <c r="S2951" i="1" s="1"/>
  <c r="Q2950" i="1"/>
  <c r="S2950" i="1" s="1"/>
  <c r="Q2949" i="1"/>
  <c r="S2949" i="1" s="1"/>
  <c r="Q2948" i="1"/>
  <c r="Q2947" i="1"/>
  <c r="Q2946" i="1"/>
  <c r="Q2945" i="1"/>
  <c r="S2945" i="1" s="1"/>
  <c r="Q2944" i="1"/>
  <c r="S2944" i="1" s="1"/>
  <c r="Q2943" i="1"/>
  <c r="S2943" i="1" s="1"/>
  <c r="Q2942" i="1"/>
  <c r="S2942" i="1" s="1"/>
  <c r="Q2941" i="1"/>
  <c r="Q2940" i="1"/>
  <c r="S2940" i="1" s="1"/>
  <c r="Q2939" i="1"/>
  <c r="S2939" i="1" s="1"/>
  <c r="Q2938" i="1"/>
  <c r="S2938" i="1" s="1"/>
  <c r="Q2937" i="1"/>
  <c r="S2937" i="1" s="1"/>
  <c r="Q2936" i="1"/>
  <c r="Q2935" i="1"/>
  <c r="Q2934" i="1"/>
  <c r="Q2933" i="1"/>
  <c r="S2933" i="1" s="1"/>
  <c r="Q2932" i="1"/>
  <c r="S2932" i="1" s="1"/>
  <c r="Q2931" i="1"/>
  <c r="S2931" i="1" s="1"/>
  <c r="Q2930" i="1"/>
  <c r="S2930" i="1" s="1"/>
  <c r="Q2929" i="1"/>
  <c r="Q2928" i="1"/>
  <c r="S2928" i="1" s="1"/>
  <c r="Q2927" i="1"/>
  <c r="S2927" i="1" s="1"/>
  <c r="Q2926" i="1"/>
  <c r="S2926" i="1" s="1"/>
  <c r="Q2925" i="1"/>
  <c r="S2925" i="1" s="1"/>
  <c r="Q2924" i="1"/>
  <c r="Q2923" i="1"/>
  <c r="Q2922" i="1"/>
  <c r="Q2921" i="1"/>
  <c r="S2921" i="1" s="1"/>
  <c r="Q2920" i="1"/>
  <c r="S2920" i="1" s="1"/>
  <c r="Q2919" i="1"/>
  <c r="S2919" i="1" s="1"/>
  <c r="Q2918" i="1"/>
  <c r="S2918" i="1" s="1"/>
  <c r="Q2917" i="1"/>
  <c r="Q2916" i="1"/>
  <c r="S2916" i="1" s="1"/>
  <c r="Q2915" i="1"/>
  <c r="S2915" i="1" s="1"/>
  <c r="Q2914" i="1"/>
  <c r="S2914" i="1" s="1"/>
  <c r="Q2913" i="1"/>
  <c r="S2913" i="1" s="1"/>
  <c r="Q2912" i="1"/>
  <c r="Q2911" i="1"/>
  <c r="Q2910" i="1"/>
  <c r="Q2909" i="1"/>
  <c r="S2909" i="1" s="1"/>
  <c r="Q2908" i="1"/>
  <c r="S2908" i="1" s="1"/>
  <c r="Q2907" i="1"/>
  <c r="S2907" i="1" s="1"/>
  <c r="Q2906" i="1"/>
  <c r="S2906" i="1" s="1"/>
  <c r="Q2905" i="1"/>
  <c r="Q2904" i="1"/>
  <c r="S2904" i="1" s="1"/>
  <c r="Q2903" i="1"/>
  <c r="S2903" i="1" s="1"/>
  <c r="Q2902" i="1"/>
  <c r="S2902" i="1" s="1"/>
  <c r="Q2901" i="1"/>
  <c r="S2901" i="1" s="1"/>
  <c r="Q2900" i="1"/>
  <c r="Q2899" i="1"/>
  <c r="Q2898" i="1"/>
  <c r="Q2897" i="1"/>
  <c r="S2897" i="1" s="1"/>
  <c r="Q2896" i="1"/>
  <c r="S2896" i="1" s="1"/>
  <c r="Q2895" i="1"/>
  <c r="S2895" i="1" s="1"/>
  <c r="Q2894" i="1"/>
  <c r="S2894" i="1" s="1"/>
  <c r="Q2893" i="1"/>
  <c r="Q2892" i="1"/>
  <c r="S2892" i="1" s="1"/>
  <c r="Q2891" i="1"/>
  <c r="S2891" i="1" s="1"/>
  <c r="Q2890" i="1"/>
  <c r="S2890" i="1" s="1"/>
  <c r="Q2889" i="1"/>
  <c r="S2889" i="1" s="1"/>
  <c r="Q2888" i="1"/>
  <c r="S2888" i="1" s="1"/>
  <c r="Q2887" i="1"/>
  <c r="Q2886" i="1"/>
  <c r="Q2885" i="1"/>
  <c r="S2885" i="1" s="1"/>
  <c r="Q2884" i="1"/>
  <c r="S2884" i="1" s="1"/>
  <c r="Q2883" i="1"/>
  <c r="S2883" i="1" s="1"/>
  <c r="Q2882" i="1"/>
  <c r="S2882" i="1" s="1"/>
  <c r="Q2881" i="1"/>
  <c r="Q2880" i="1"/>
  <c r="S2880" i="1" s="1"/>
  <c r="Q2879" i="1"/>
  <c r="S2879" i="1" s="1"/>
  <c r="Q2878" i="1"/>
  <c r="S2878" i="1" s="1"/>
  <c r="Q2877" i="1"/>
  <c r="S2877" i="1" s="1"/>
  <c r="Q2876" i="1"/>
  <c r="Q2875" i="1"/>
  <c r="Q2874" i="1"/>
  <c r="Q2873" i="1"/>
  <c r="S2873" i="1" s="1"/>
  <c r="Q2872" i="1"/>
  <c r="S2872" i="1" s="1"/>
  <c r="Q2871" i="1"/>
  <c r="S2871" i="1" s="1"/>
  <c r="Q2870" i="1"/>
  <c r="S2870" i="1" s="1"/>
  <c r="Q2869" i="1"/>
  <c r="Q2868" i="1"/>
  <c r="S2868" i="1" s="1"/>
  <c r="Q2867" i="1"/>
  <c r="S2867" i="1" s="1"/>
  <c r="Q2866" i="1"/>
  <c r="S2866" i="1" s="1"/>
  <c r="Q2865" i="1"/>
  <c r="S2865" i="1" s="1"/>
  <c r="Q2864" i="1"/>
  <c r="Q2863" i="1"/>
  <c r="Q2862" i="1"/>
  <c r="Q2861" i="1"/>
  <c r="S2861" i="1" s="1"/>
  <c r="Q2860" i="1"/>
  <c r="S2860" i="1" s="1"/>
  <c r="Q2859" i="1"/>
  <c r="S2859" i="1" s="1"/>
  <c r="Q2858" i="1"/>
  <c r="S2858" i="1" s="1"/>
  <c r="Q2857" i="1"/>
  <c r="Q2856" i="1"/>
  <c r="S2856" i="1" s="1"/>
  <c r="Q2855" i="1"/>
  <c r="S2855" i="1" s="1"/>
  <c r="Q2854" i="1"/>
  <c r="S2854" i="1" s="1"/>
  <c r="Q2853" i="1"/>
  <c r="S2853" i="1" s="1"/>
  <c r="Q2852" i="1"/>
  <c r="Q2851" i="1"/>
  <c r="Q2850" i="1"/>
  <c r="Q2849" i="1"/>
  <c r="S2849" i="1" s="1"/>
  <c r="Q2848" i="1"/>
  <c r="S2848" i="1" s="1"/>
  <c r="Q2847" i="1"/>
  <c r="S2847" i="1" s="1"/>
  <c r="Q2846" i="1"/>
  <c r="S2846" i="1" s="1"/>
  <c r="Q2845" i="1"/>
  <c r="Q2844" i="1"/>
  <c r="S2844" i="1" s="1"/>
  <c r="Q2843" i="1"/>
  <c r="S2843" i="1" s="1"/>
  <c r="Q2842" i="1"/>
  <c r="S2842" i="1" s="1"/>
  <c r="Q2841" i="1"/>
  <c r="S2841" i="1" s="1"/>
  <c r="Q2840" i="1"/>
  <c r="Q2839" i="1"/>
  <c r="Q2838" i="1"/>
  <c r="Q2837" i="1"/>
  <c r="S2837" i="1" s="1"/>
  <c r="Q2836" i="1"/>
  <c r="S2836" i="1" s="1"/>
  <c r="Q2835" i="1"/>
  <c r="S2835" i="1" s="1"/>
  <c r="Q2834" i="1"/>
  <c r="S2834" i="1" s="1"/>
  <c r="Q2833" i="1"/>
  <c r="Q2832" i="1"/>
  <c r="S2832" i="1" s="1"/>
  <c r="Q2831" i="1"/>
  <c r="S2831" i="1" s="1"/>
  <c r="Q2830" i="1"/>
  <c r="S2830" i="1" s="1"/>
  <c r="Q2829" i="1"/>
  <c r="S2829" i="1" s="1"/>
  <c r="Q2828" i="1"/>
  <c r="Q2827" i="1"/>
  <c r="Q2826" i="1"/>
  <c r="Q2825" i="1"/>
  <c r="S2825" i="1" s="1"/>
  <c r="Q2824" i="1"/>
  <c r="S2824" i="1" s="1"/>
  <c r="Q2823" i="1"/>
  <c r="S2823" i="1" s="1"/>
  <c r="Q2822" i="1"/>
  <c r="S2822" i="1" s="1"/>
  <c r="Q2821" i="1"/>
  <c r="Q2820" i="1"/>
  <c r="S2820" i="1" s="1"/>
  <c r="Q2819" i="1"/>
  <c r="S2819" i="1" s="1"/>
  <c r="Q2818" i="1"/>
  <c r="S2818" i="1" s="1"/>
  <c r="Q2817" i="1"/>
  <c r="S2817" i="1" s="1"/>
  <c r="Q2816" i="1"/>
  <c r="Q2815" i="1"/>
  <c r="S2815" i="1" s="1"/>
  <c r="Q2814" i="1"/>
  <c r="Q2813" i="1"/>
  <c r="S2813" i="1" s="1"/>
  <c r="Q2812" i="1"/>
  <c r="S2812" i="1" s="1"/>
  <c r="Q2811" i="1"/>
  <c r="S2811" i="1" s="1"/>
  <c r="Q2810" i="1"/>
  <c r="S2810" i="1" s="1"/>
  <c r="Q2809" i="1"/>
  <c r="Q2808" i="1"/>
  <c r="S2808" i="1" s="1"/>
  <c r="Q2807" i="1"/>
  <c r="S2807" i="1" s="1"/>
  <c r="Q2806" i="1"/>
  <c r="S2806" i="1" s="1"/>
  <c r="Q2805" i="1"/>
  <c r="S2805" i="1" s="1"/>
  <c r="Q2804" i="1"/>
  <c r="Q2803" i="1"/>
  <c r="Q2802" i="1"/>
  <c r="Q2801" i="1"/>
  <c r="S2801" i="1" s="1"/>
  <c r="Q2800" i="1"/>
  <c r="S2800" i="1" s="1"/>
  <c r="Q2799" i="1"/>
  <c r="S2799" i="1" s="1"/>
  <c r="Q2798" i="1"/>
  <c r="S2798" i="1" s="1"/>
  <c r="Q2797" i="1"/>
  <c r="Q2796" i="1"/>
  <c r="S2796" i="1" s="1"/>
  <c r="Q2795" i="1"/>
  <c r="S2795" i="1" s="1"/>
  <c r="Q2794" i="1"/>
  <c r="S2794" i="1" s="1"/>
  <c r="Q2793" i="1"/>
  <c r="S2793" i="1" s="1"/>
  <c r="Q2792" i="1"/>
  <c r="Q2791" i="1"/>
  <c r="Q2790" i="1"/>
  <c r="Q2789" i="1"/>
  <c r="S2789" i="1" s="1"/>
  <c r="Q2788" i="1"/>
  <c r="S2788" i="1" s="1"/>
  <c r="Q2787" i="1"/>
  <c r="S2787" i="1" s="1"/>
  <c r="Q2786" i="1"/>
  <c r="S2786" i="1" s="1"/>
  <c r="Q2785" i="1"/>
  <c r="Q2784" i="1"/>
  <c r="S2784" i="1" s="1"/>
  <c r="Q2783" i="1"/>
  <c r="S2783" i="1" s="1"/>
  <c r="Q2782" i="1"/>
  <c r="S2782" i="1" s="1"/>
  <c r="Q2781" i="1"/>
  <c r="S2781" i="1" s="1"/>
  <c r="Q2780" i="1"/>
  <c r="Q2779" i="1"/>
  <c r="Q2778" i="1"/>
  <c r="Q2777" i="1"/>
  <c r="S2777" i="1" s="1"/>
  <c r="Q2776" i="1"/>
  <c r="S2776" i="1" s="1"/>
  <c r="Q2775" i="1"/>
  <c r="S2775" i="1" s="1"/>
  <c r="Q2774" i="1"/>
  <c r="S2774" i="1" s="1"/>
  <c r="Q2773" i="1"/>
  <c r="Q2772" i="1"/>
  <c r="S2772" i="1" s="1"/>
  <c r="Q2771" i="1"/>
  <c r="S2771" i="1" s="1"/>
  <c r="Q2770" i="1"/>
  <c r="S2770" i="1" s="1"/>
  <c r="Q2769" i="1"/>
  <c r="S2769" i="1" s="1"/>
  <c r="Q2768" i="1"/>
  <c r="Q2767" i="1"/>
  <c r="Q2766" i="1"/>
  <c r="Q2765" i="1"/>
  <c r="S2765" i="1" s="1"/>
  <c r="Q2764" i="1"/>
  <c r="S2764" i="1" s="1"/>
  <c r="Q2763" i="1"/>
  <c r="S2763" i="1" s="1"/>
  <c r="Q2762" i="1"/>
  <c r="S2762" i="1" s="1"/>
  <c r="Q2761" i="1"/>
  <c r="Q2760" i="1"/>
  <c r="S2760" i="1" s="1"/>
  <c r="Q2759" i="1"/>
  <c r="S2759" i="1" s="1"/>
  <c r="Q2758" i="1"/>
  <c r="S2758" i="1" s="1"/>
  <c r="Q2757" i="1"/>
  <c r="S2757" i="1" s="1"/>
  <c r="Q2756" i="1"/>
  <c r="Q2755" i="1"/>
  <c r="Q2754" i="1"/>
  <c r="Q2753" i="1"/>
  <c r="S2753" i="1" s="1"/>
  <c r="Q2752" i="1"/>
  <c r="S2752" i="1" s="1"/>
  <c r="Q2751" i="1"/>
  <c r="S2751" i="1" s="1"/>
  <c r="Q2750" i="1"/>
  <c r="S2750" i="1" s="1"/>
  <c r="Q2749" i="1"/>
  <c r="Q2748" i="1"/>
  <c r="S2748" i="1" s="1"/>
  <c r="Q2747" i="1"/>
  <c r="S2747" i="1" s="1"/>
  <c r="Q2746" i="1"/>
  <c r="S2746" i="1" s="1"/>
  <c r="Q2745" i="1"/>
  <c r="S2745" i="1" s="1"/>
  <c r="Q2744" i="1"/>
  <c r="Q2743" i="1"/>
  <c r="Q2742" i="1"/>
  <c r="Q2741" i="1"/>
  <c r="S2741" i="1" s="1"/>
  <c r="Q2740" i="1"/>
  <c r="S2740" i="1" s="1"/>
  <c r="Q2739" i="1"/>
  <c r="S2739" i="1" s="1"/>
  <c r="Q2738" i="1"/>
  <c r="S2738" i="1" s="1"/>
  <c r="Q2737" i="1"/>
  <c r="Q2736" i="1"/>
  <c r="S2736" i="1" s="1"/>
  <c r="Q2735" i="1"/>
  <c r="S2735" i="1" s="1"/>
  <c r="Q2734" i="1"/>
  <c r="S2734" i="1" s="1"/>
  <c r="Q2733" i="1"/>
  <c r="S2733" i="1" s="1"/>
  <c r="Q2732" i="1"/>
  <c r="Q2731" i="1"/>
  <c r="Q2730" i="1"/>
  <c r="Q2729" i="1"/>
  <c r="S2729" i="1" s="1"/>
  <c r="Q2728" i="1"/>
  <c r="S2728" i="1" s="1"/>
  <c r="Q2727" i="1"/>
  <c r="S2727" i="1" s="1"/>
  <c r="Q2726" i="1"/>
  <c r="S2726" i="1" s="1"/>
  <c r="Q2725" i="1"/>
  <c r="Q2724" i="1"/>
  <c r="S2724" i="1" s="1"/>
  <c r="Q2723" i="1"/>
  <c r="S2723" i="1" s="1"/>
  <c r="Q2722" i="1"/>
  <c r="S2722" i="1" s="1"/>
  <c r="Q2721" i="1"/>
  <c r="S2721" i="1" s="1"/>
  <c r="Q2720" i="1"/>
  <c r="Q2719" i="1"/>
  <c r="Q2718" i="1"/>
  <c r="Q2717" i="1"/>
  <c r="S2717" i="1" s="1"/>
  <c r="Q2716" i="1"/>
  <c r="S2716" i="1" s="1"/>
  <c r="Q2715" i="1"/>
  <c r="S2715" i="1" s="1"/>
  <c r="Q2714" i="1"/>
  <c r="S2714" i="1" s="1"/>
  <c r="Q2713" i="1"/>
  <c r="Q2712" i="1"/>
  <c r="S2712" i="1" s="1"/>
  <c r="Q2711" i="1"/>
  <c r="S2711" i="1" s="1"/>
  <c r="Q2710" i="1"/>
  <c r="S2710" i="1" s="1"/>
  <c r="Q2709" i="1"/>
  <c r="S2709" i="1" s="1"/>
  <c r="Q2708" i="1"/>
  <c r="Q2707" i="1"/>
  <c r="Q2706" i="1"/>
  <c r="Q2705" i="1"/>
  <c r="S2705" i="1" s="1"/>
  <c r="Q2704" i="1"/>
  <c r="S2704" i="1" s="1"/>
  <c r="Q2703" i="1"/>
  <c r="S2703" i="1" s="1"/>
  <c r="Q2702" i="1"/>
  <c r="S2702" i="1" s="1"/>
  <c r="Q2701" i="1"/>
  <c r="Q2700" i="1"/>
  <c r="S2700" i="1" s="1"/>
  <c r="Q2699" i="1"/>
  <c r="S2699" i="1" s="1"/>
  <c r="Q2698" i="1"/>
  <c r="S2698" i="1" s="1"/>
  <c r="Q2697" i="1"/>
  <c r="S2697" i="1" s="1"/>
  <c r="Q2696" i="1"/>
  <c r="Q2695" i="1"/>
  <c r="Q2694" i="1"/>
  <c r="Q2693" i="1"/>
  <c r="S2693" i="1" s="1"/>
  <c r="Q2692" i="1"/>
  <c r="S2692" i="1" s="1"/>
  <c r="Q2691" i="1"/>
  <c r="S2691" i="1" s="1"/>
  <c r="Q2690" i="1"/>
  <c r="S2690" i="1" s="1"/>
  <c r="Q2689" i="1"/>
  <c r="Q2688" i="1"/>
  <c r="S2688" i="1" s="1"/>
  <c r="Q2687" i="1"/>
  <c r="S2687" i="1" s="1"/>
  <c r="Q2686" i="1"/>
  <c r="S2686" i="1" s="1"/>
  <c r="Q2685" i="1"/>
  <c r="S2685" i="1" s="1"/>
  <c r="Q2684" i="1"/>
  <c r="Q2683" i="1"/>
  <c r="Q2682" i="1"/>
  <c r="Q2681" i="1"/>
  <c r="S2681" i="1" s="1"/>
  <c r="Q2680" i="1"/>
  <c r="S2680" i="1" s="1"/>
  <c r="Q2679" i="1"/>
  <c r="S2679" i="1" s="1"/>
  <c r="Q2678" i="1"/>
  <c r="S2678" i="1" s="1"/>
  <c r="Q2677" i="1"/>
  <c r="Q2676" i="1"/>
  <c r="S2676" i="1" s="1"/>
  <c r="Q2675" i="1"/>
  <c r="S2675" i="1" s="1"/>
  <c r="Q2674" i="1"/>
  <c r="S2674" i="1" s="1"/>
  <c r="Q2673" i="1"/>
  <c r="S2673" i="1" s="1"/>
  <c r="Q2672" i="1"/>
  <c r="Q2671" i="1"/>
  <c r="Q2670" i="1"/>
  <c r="Q2669" i="1"/>
  <c r="S2669" i="1" s="1"/>
  <c r="Q2668" i="1"/>
  <c r="S2668" i="1" s="1"/>
  <c r="Q2667" i="1"/>
  <c r="S2667" i="1" s="1"/>
  <c r="Q2666" i="1"/>
  <c r="S2666" i="1" s="1"/>
  <c r="Q2665" i="1"/>
  <c r="Q2664" i="1"/>
  <c r="S2664" i="1" s="1"/>
  <c r="Q2663" i="1"/>
  <c r="S2663" i="1" s="1"/>
  <c r="Q2662" i="1"/>
  <c r="S2662" i="1" s="1"/>
  <c r="Q2661" i="1"/>
  <c r="S2661" i="1" s="1"/>
  <c r="Q2660" i="1"/>
  <c r="Q2659" i="1"/>
  <c r="Q2658" i="1"/>
  <c r="Q2657" i="1"/>
  <c r="S2657" i="1" s="1"/>
  <c r="Q2656" i="1"/>
  <c r="S2656" i="1" s="1"/>
  <c r="Q2655" i="1"/>
  <c r="S2655" i="1" s="1"/>
  <c r="Q2654" i="1"/>
  <c r="S2654" i="1" s="1"/>
  <c r="Q2653" i="1"/>
  <c r="Q2652" i="1"/>
  <c r="S2652" i="1" s="1"/>
  <c r="Q2651" i="1"/>
  <c r="S2651" i="1" s="1"/>
  <c r="Q2650" i="1"/>
  <c r="S2650" i="1" s="1"/>
  <c r="Q2649" i="1"/>
  <c r="S2649" i="1" s="1"/>
  <c r="Q2648" i="1"/>
  <c r="Q2647" i="1"/>
  <c r="Q2646" i="1"/>
  <c r="Q2645" i="1"/>
  <c r="S2645" i="1" s="1"/>
  <c r="Q2644" i="1"/>
  <c r="S2644" i="1" s="1"/>
  <c r="Q2643" i="1"/>
  <c r="S2643" i="1" s="1"/>
  <c r="Q2642" i="1"/>
  <c r="S2642" i="1" s="1"/>
  <c r="Q2641" i="1"/>
  <c r="Q2640" i="1"/>
  <c r="S2640" i="1" s="1"/>
  <c r="Q2639" i="1"/>
  <c r="S2639" i="1" s="1"/>
  <c r="Q2638" i="1"/>
  <c r="S2638" i="1" s="1"/>
  <c r="Q2637" i="1"/>
  <c r="S2637" i="1" s="1"/>
  <c r="Q2636" i="1"/>
  <c r="Q2635" i="1"/>
  <c r="Q2634" i="1"/>
  <c r="Q2633" i="1"/>
  <c r="S2633" i="1" s="1"/>
  <c r="Q2632" i="1"/>
  <c r="S2632" i="1" s="1"/>
  <c r="Q2631" i="1"/>
  <c r="S2631" i="1" s="1"/>
  <c r="Q2630" i="1"/>
  <c r="S2630" i="1" s="1"/>
  <c r="Q2629" i="1"/>
  <c r="Q2628" i="1"/>
  <c r="S2628" i="1" s="1"/>
  <c r="Q2627" i="1"/>
  <c r="S2627" i="1" s="1"/>
  <c r="Q2626" i="1"/>
  <c r="S2626" i="1" s="1"/>
  <c r="Q2625" i="1"/>
  <c r="S2625" i="1" s="1"/>
  <c r="Q2624" i="1"/>
  <c r="Q2623" i="1"/>
  <c r="Q2622" i="1"/>
  <c r="Q2621" i="1"/>
  <c r="S2621" i="1" s="1"/>
  <c r="Q2620" i="1"/>
  <c r="S2620" i="1" s="1"/>
  <c r="Q2619" i="1"/>
  <c r="S2619" i="1" s="1"/>
  <c r="Q2618" i="1"/>
  <c r="S2618" i="1" s="1"/>
  <c r="Q2617" i="1"/>
  <c r="Q2616" i="1"/>
  <c r="S2616" i="1" s="1"/>
  <c r="Q2615" i="1"/>
  <c r="S2615" i="1" s="1"/>
  <c r="Q2614" i="1"/>
  <c r="S2614" i="1" s="1"/>
  <c r="Q2613" i="1"/>
  <c r="S2613" i="1" s="1"/>
  <c r="Q2612" i="1"/>
  <c r="Q2611" i="1"/>
  <c r="Q2610" i="1"/>
  <c r="Q2609" i="1"/>
  <c r="S2609" i="1" s="1"/>
  <c r="Q2608" i="1"/>
  <c r="S2608" i="1" s="1"/>
  <c r="Q2607" i="1"/>
  <c r="S2607" i="1" s="1"/>
  <c r="Q2606" i="1"/>
  <c r="S2606" i="1" s="1"/>
  <c r="Q2605" i="1"/>
  <c r="Q2604" i="1"/>
  <c r="S2604" i="1" s="1"/>
  <c r="Q2603" i="1"/>
  <c r="S2603" i="1" s="1"/>
  <c r="Q2602" i="1"/>
  <c r="S2602" i="1" s="1"/>
  <c r="Q2601" i="1"/>
  <c r="S2601" i="1" s="1"/>
  <c r="Q2600" i="1"/>
  <c r="Q2599" i="1"/>
  <c r="Q2598" i="1"/>
  <c r="Q2597" i="1"/>
  <c r="S2597" i="1" s="1"/>
  <c r="Q2596" i="1"/>
  <c r="S2596" i="1" s="1"/>
  <c r="Q2595" i="1"/>
  <c r="S2595" i="1" s="1"/>
  <c r="Q2594" i="1"/>
  <c r="S2594" i="1" s="1"/>
  <c r="Q2593" i="1"/>
  <c r="Q2592" i="1"/>
  <c r="S2592" i="1" s="1"/>
  <c r="Q2591" i="1"/>
  <c r="S2591" i="1" s="1"/>
  <c r="Q2590" i="1"/>
  <c r="S2590" i="1" s="1"/>
  <c r="Q2589" i="1"/>
  <c r="S2589" i="1" s="1"/>
  <c r="Q2588" i="1"/>
  <c r="Q2587" i="1"/>
  <c r="Q2586" i="1"/>
  <c r="Q2585" i="1"/>
  <c r="S2585" i="1" s="1"/>
  <c r="Q2584" i="1"/>
  <c r="S2584" i="1" s="1"/>
  <c r="Q2583" i="1"/>
  <c r="S2583" i="1" s="1"/>
  <c r="Q2582" i="1"/>
  <c r="S2582" i="1" s="1"/>
  <c r="Q2581" i="1"/>
  <c r="Q2580" i="1"/>
  <c r="S2580" i="1" s="1"/>
  <c r="Q2579" i="1"/>
  <c r="S2579" i="1" s="1"/>
  <c r="Q2578" i="1"/>
  <c r="S2578" i="1" s="1"/>
  <c r="Q2577" i="1"/>
  <c r="S2577" i="1" s="1"/>
  <c r="Q2576" i="1"/>
  <c r="Q2575" i="1"/>
  <c r="Q2574" i="1"/>
  <c r="Q2573" i="1"/>
  <c r="S2573" i="1" s="1"/>
  <c r="Q2572" i="1"/>
  <c r="S2572" i="1" s="1"/>
  <c r="Q2571" i="1"/>
  <c r="S2571" i="1" s="1"/>
  <c r="Q2570" i="1"/>
  <c r="S2570" i="1" s="1"/>
  <c r="Q2569" i="1"/>
  <c r="Q2568" i="1"/>
  <c r="S2568" i="1" s="1"/>
  <c r="Q2567" i="1"/>
  <c r="S2567" i="1" s="1"/>
  <c r="Q2566" i="1"/>
  <c r="S2566" i="1" s="1"/>
  <c r="Q2565" i="1"/>
  <c r="S2565" i="1" s="1"/>
  <c r="Q2564" i="1"/>
  <c r="Q2563" i="1"/>
  <c r="Q2562" i="1"/>
  <c r="Q2561" i="1"/>
  <c r="S2561" i="1" s="1"/>
  <c r="Q2560" i="1"/>
  <c r="S2560" i="1" s="1"/>
  <c r="Q2559" i="1"/>
  <c r="S2559" i="1" s="1"/>
  <c r="Q2558" i="1"/>
  <c r="S2558" i="1" s="1"/>
  <c r="Q2557" i="1"/>
  <c r="Q2556" i="1"/>
  <c r="S2556" i="1" s="1"/>
  <c r="Q2555" i="1"/>
  <c r="S2555" i="1" s="1"/>
  <c r="Q2554" i="1"/>
  <c r="S2554" i="1" s="1"/>
  <c r="Q2553" i="1"/>
  <c r="S2553" i="1" s="1"/>
  <c r="Q2552" i="1"/>
  <c r="Q2551" i="1"/>
  <c r="Q2550" i="1"/>
  <c r="Q2549" i="1"/>
  <c r="S2549" i="1" s="1"/>
  <c r="Q2548" i="1"/>
  <c r="S2548" i="1" s="1"/>
  <c r="Q2547" i="1"/>
  <c r="S2547" i="1" s="1"/>
  <c r="Q2546" i="1"/>
  <c r="S2546" i="1" s="1"/>
  <c r="Q2545" i="1"/>
  <c r="Q2544" i="1"/>
  <c r="S2544" i="1" s="1"/>
  <c r="Q2543" i="1"/>
  <c r="S2543" i="1" s="1"/>
  <c r="Q2542" i="1"/>
  <c r="S2542" i="1" s="1"/>
  <c r="Q2541" i="1"/>
  <c r="S2541" i="1" s="1"/>
  <c r="Q2540" i="1"/>
  <c r="Q2539" i="1"/>
  <c r="Q2538" i="1"/>
  <c r="Q2537" i="1"/>
  <c r="S2537" i="1" s="1"/>
  <c r="Q2536" i="1"/>
  <c r="S2536" i="1" s="1"/>
  <c r="Q2535" i="1"/>
  <c r="S2535" i="1" s="1"/>
  <c r="Q2534" i="1"/>
  <c r="S2534" i="1" s="1"/>
  <c r="Q2533" i="1"/>
  <c r="Q2532" i="1"/>
  <c r="S2532" i="1" s="1"/>
  <c r="Q2531" i="1"/>
  <c r="S2531" i="1" s="1"/>
  <c r="Q2530" i="1"/>
  <c r="S2530" i="1" s="1"/>
  <c r="Q2529" i="1"/>
  <c r="S2529" i="1" s="1"/>
  <c r="Q2528" i="1"/>
  <c r="Q2527" i="1"/>
  <c r="Q2526" i="1"/>
  <c r="Q2525" i="1"/>
  <c r="S2525" i="1" s="1"/>
  <c r="Q2524" i="1"/>
  <c r="S2524" i="1" s="1"/>
  <c r="Q2523" i="1"/>
  <c r="S2523" i="1" s="1"/>
  <c r="Q2522" i="1"/>
  <c r="S2522" i="1" s="1"/>
  <c r="Q2521" i="1"/>
  <c r="Q2520" i="1"/>
  <c r="S2520" i="1" s="1"/>
  <c r="Q2519" i="1"/>
  <c r="S2519" i="1" s="1"/>
  <c r="Q2518" i="1"/>
  <c r="S2518" i="1" s="1"/>
  <c r="Q2517" i="1"/>
  <c r="S2517" i="1" s="1"/>
  <c r="Q2516" i="1"/>
  <c r="Q2515" i="1"/>
  <c r="Q2514" i="1"/>
  <c r="Q2513" i="1"/>
  <c r="S2513" i="1" s="1"/>
  <c r="Q2512" i="1"/>
  <c r="S2512" i="1" s="1"/>
  <c r="Q2511" i="1"/>
  <c r="S2511" i="1" s="1"/>
  <c r="Q2510" i="1"/>
  <c r="S2510" i="1" s="1"/>
  <c r="Q2509" i="1"/>
  <c r="Q2508" i="1"/>
  <c r="S2508" i="1" s="1"/>
  <c r="Q2507" i="1"/>
  <c r="S2507" i="1" s="1"/>
  <c r="Q2506" i="1"/>
  <c r="S2506" i="1" s="1"/>
  <c r="Q2505" i="1"/>
  <c r="S2505" i="1" s="1"/>
  <c r="Q2504" i="1"/>
  <c r="Q2503" i="1"/>
  <c r="Q2502" i="1"/>
  <c r="Q2501" i="1"/>
  <c r="S2501" i="1" s="1"/>
  <c r="Q2500" i="1"/>
  <c r="S2500" i="1" s="1"/>
  <c r="Q2499" i="1"/>
  <c r="S2499" i="1" s="1"/>
  <c r="Q2498" i="1"/>
  <c r="S2498" i="1" s="1"/>
  <c r="Q2497" i="1"/>
  <c r="Q2496" i="1"/>
  <c r="S2496" i="1" s="1"/>
  <c r="Q2495" i="1"/>
  <c r="S2495" i="1" s="1"/>
  <c r="Q2494" i="1"/>
  <c r="S2494" i="1" s="1"/>
  <c r="Q2493" i="1"/>
  <c r="S2493" i="1" s="1"/>
  <c r="Q2492" i="1"/>
  <c r="Q2491" i="1"/>
  <c r="Q2490" i="1"/>
  <c r="Q2489" i="1"/>
  <c r="S2489" i="1" s="1"/>
  <c r="Q2488" i="1"/>
  <c r="S2488" i="1" s="1"/>
  <c r="Q2487" i="1"/>
  <c r="S2487" i="1" s="1"/>
  <c r="Q2486" i="1"/>
  <c r="S2486" i="1" s="1"/>
  <c r="Q2485" i="1"/>
  <c r="Q2484" i="1"/>
  <c r="S2484" i="1" s="1"/>
  <c r="Q2483" i="1"/>
  <c r="S2483" i="1" s="1"/>
  <c r="Q2482" i="1"/>
  <c r="S2482" i="1" s="1"/>
  <c r="Q2481" i="1"/>
  <c r="S2481" i="1" s="1"/>
  <c r="Q2480" i="1"/>
  <c r="Q2479" i="1"/>
  <c r="Q2478" i="1"/>
  <c r="Q2477" i="1"/>
  <c r="S2477" i="1" s="1"/>
  <c r="Q2476" i="1"/>
  <c r="S2476" i="1" s="1"/>
  <c r="Q2475" i="1"/>
  <c r="S2475" i="1" s="1"/>
  <c r="Q2474" i="1"/>
  <c r="S2474" i="1" s="1"/>
  <c r="Q2473" i="1"/>
  <c r="Q2472" i="1"/>
  <c r="S2472" i="1" s="1"/>
  <c r="Q2471" i="1"/>
  <c r="S2471" i="1" s="1"/>
  <c r="Q2470" i="1"/>
  <c r="S2470" i="1" s="1"/>
  <c r="Q2469" i="1"/>
  <c r="S2469" i="1" s="1"/>
  <c r="Q2468" i="1"/>
  <c r="Q2467" i="1"/>
  <c r="Q2466" i="1"/>
  <c r="Q2465" i="1"/>
  <c r="S2465" i="1" s="1"/>
  <c r="Q2464" i="1"/>
  <c r="S2464" i="1" s="1"/>
  <c r="Q2463" i="1"/>
  <c r="S2463" i="1" s="1"/>
  <c r="Q2462" i="1"/>
  <c r="S2462" i="1" s="1"/>
  <c r="Q2461" i="1"/>
  <c r="Q2460" i="1"/>
  <c r="S2460" i="1" s="1"/>
  <c r="Q2459" i="1"/>
  <c r="S2459" i="1" s="1"/>
  <c r="Q2458" i="1"/>
  <c r="S2458" i="1" s="1"/>
  <c r="Q2457" i="1"/>
  <c r="S2457" i="1" s="1"/>
  <c r="Q2456" i="1"/>
  <c r="Q2455" i="1"/>
  <c r="Q2454" i="1"/>
  <c r="Q2453" i="1"/>
  <c r="S2453" i="1" s="1"/>
  <c r="Q2452" i="1"/>
  <c r="S2452" i="1" s="1"/>
  <c r="Q2451" i="1"/>
  <c r="S2451" i="1" s="1"/>
  <c r="Q2450" i="1"/>
  <c r="S2450" i="1" s="1"/>
  <c r="Q2449" i="1"/>
  <c r="Q2448" i="1"/>
  <c r="S2448" i="1" s="1"/>
  <c r="Q2447" i="1"/>
  <c r="S2447" i="1" s="1"/>
  <c r="Q2446" i="1"/>
  <c r="S2446" i="1" s="1"/>
  <c r="Q2445" i="1"/>
  <c r="S2445" i="1" s="1"/>
  <c r="Q2444" i="1"/>
  <c r="Q2443" i="1"/>
  <c r="Q2442" i="1"/>
  <c r="Q2441" i="1"/>
  <c r="S2441" i="1" s="1"/>
  <c r="Q2440" i="1"/>
  <c r="S2440" i="1" s="1"/>
  <c r="Q2439" i="1"/>
  <c r="S2439" i="1" s="1"/>
  <c r="Q2438" i="1"/>
  <c r="S2438" i="1" s="1"/>
  <c r="Q2437" i="1"/>
  <c r="Q2436" i="1"/>
  <c r="S2436" i="1" s="1"/>
  <c r="Q2435" i="1"/>
  <c r="S2435" i="1" s="1"/>
  <c r="Q2434" i="1"/>
  <c r="S2434" i="1" s="1"/>
  <c r="Q2433" i="1"/>
  <c r="S2433" i="1" s="1"/>
  <c r="Q2432" i="1"/>
  <c r="S2432" i="1" s="1"/>
  <c r="Q2431" i="1"/>
  <c r="Q2430" i="1"/>
  <c r="Q2429" i="1"/>
  <c r="S2429" i="1" s="1"/>
  <c r="Q2428" i="1"/>
  <c r="S2428" i="1" s="1"/>
  <c r="Q2427" i="1"/>
  <c r="S2427" i="1" s="1"/>
  <c r="Q2426" i="1"/>
  <c r="S2426" i="1" s="1"/>
  <c r="Q2425" i="1"/>
  <c r="Q2424" i="1"/>
  <c r="S2424" i="1" s="1"/>
  <c r="Q2423" i="1"/>
  <c r="S2423" i="1" s="1"/>
  <c r="Q2422" i="1"/>
  <c r="S2422" i="1" s="1"/>
  <c r="Q2421" i="1"/>
  <c r="S2421" i="1" s="1"/>
  <c r="Q2420" i="1"/>
  <c r="Q2419" i="1"/>
  <c r="Q2418" i="1"/>
  <c r="Q2417" i="1"/>
  <c r="S2417" i="1" s="1"/>
  <c r="Q2416" i="1"/>
  <c r="S2416" i="1" s="1"/>
  <c r="Q2415" i="1"/>
  <c r="S2415" i="1" s="1"/>
  <c r="Q2414" i="1"/>
  <c r="S2414" i="1" s="1"/>
  <c r="Q2413" i="1"/>
  <c r="Q2412" i="1"/>
  <c r="S2412" i="1" s="1"/>
  <c r="Q2411" i="1"/>
  <c r="S2411" i="1" s="1"/>
  <c r="Q2410" i="1"/>
  <c r="S2410" i="1" s="1"/>
  <c r="Q2409" i="1"/>
  <c r="S2409" i="1" s="1"/>
  <c r="Q2408" i="1"/>
  <c r="Q2407" i="1"/>
  <c r="Q2406" i="1"/>
  <c r="Q2405" i="1"/>
  <c r="S2405" i="1" s="1"/>
  <c r="Q2404" i="1"/>
  <c r="S2404" i="1" s="1"/>
  <c r="Q2403" i="1"/>
  <c r="S2403" i="1" s="1"/>
  <c r="Q2402" i="1"/>
  <c r="S2402" i="1" s="1"/>
  <c r="Q2401" i="1"/>
  <c r="Q2400" i="1"/>
  <c r="S2400" i="1" s="1"/>
  <c r="Q2399" i="1"/>
  <c r="S2399" i="1" s="1"/>
  <c r="Q2398" i="1"/>
  <c r="S2398" i="1" s="1"/>
  <c r="Q2397" i="1"/>
  <c r="S2397" i="1" s="1"/>
  <c r="Q2396" i="1"/>
  <c r="Q2395" i="1"/>
  <c r="Q2394" i="1"/>
  <c r="Q2393" i="1"/>
  <c r="S2393" i="1" s="1"/>
  <c r="Q2392" i="1"/>
  <c r="S2392" i="1" s="1"/>
  <c r="Q2391" i="1"/>
  <c r="S2391" i="1" s="1"/>
  <c r="Q2390" i="1"/>
  <c r="S2390" i="1" s="1"/>
  <c r="Q2389" i="1"/>
  <c r="Q2388" i="1"/>
  <c r="S2388" i="1" s="1"/>
  <c r="Q2387" i="1"/>
  <c r="S2387" i="1" s="1"/>
  <c r="Q2386" i="1"/>
  <c r="S2386" i="1" s="1"/>
  <c r="Q2385" i="1"/>
  <c r="S2385" i="1" s="1"/>
  <c r="Q2384" i="1"/>
  <c r="Q2383" i="1"/>
  <c r="Q2382" i="1"/>
  <c r="Q2381" i="1"/>
  <c r="S2381" i="1" s="1"/>
  <c r="Q2380" i="1"/>
  <c r="S2380" i="1" s="1"/>
  <c r="Q2379" i="1"/>
  <c r="S2379" i="1" s="1"/>
  <c r="Q2378" i="1"/>
  <c r="S2378" i="1" s="1"/>
  <c r="Q2377" i="1"/>
  <c r="Q2376" i="1"/>
  <c r="Q2375" i="1"/>
  <c r="S2375" i="1" s="1"/>
  <c r="Q2374" i="1"/>
  <c r="S2374" i="1" s="1"/>
  <c r="Q2373" i="1"/>
  <c r="S2373" i="1" s="1"/>
  <c r="Q2372" i="1"/>
  <c r="S2372" i="1" s="1"/>
  <c r="Q2371" i="1"/>
  <c r="Q2370" i="1"/>
  <c r="Q2369" i="1"/>
  <c r="S2369" i="1" s="1"/>
  <c r="Q2368" i="1"/>
  <c r="S2368" i="1" s="1"/>
  <c r="Q2367" i="1"/>
  <c r="S2367" i="1" s="1"/>
  <c r="Q2366" i="1"/>
  <c r="S2366" i="1" s="1"/>
  <c r="Q2365" i="1"/>
  <c r="Q2364" i="1"/>
  <c r="S2364" i="1" s="1"/>
  <c r="Q2363" i="1"/>
  <c r="S2363" i="1" s="1"/>
  <c r="Q2362" i="1"/>
  <c r="S2362" i="1" s="1"/>
  <c r="Q2361" i="1"/>
  <c r="S2361" i="1" s="1"/>
  <c r="Q2360" i="1"/>
  <c r="Q2359" i="1"/>
  <c r="Q2358" i="1"/>
  <c r="Q2357" i="1"/>
  <c r="S2357" i="1" s="1"/>
  <c r="Q2356" i="1"/>
  <c r="S2356" i="1" s="1"/>
  <c r="Q2355" i="1"/>
  <c r="S2355" i="1" s="1"/>
  <c r="Q2354" i="1"/>
  <c r="S2354" i="1" s="1"/>
  <c r="Q2353" i="1"/>
  <c r="Q2352" i="1"/>
  <c r="S2352" i="1" s="1"/>
  <c r="Q2351" i="1"/>
  <c r="S2351" i="1" s="1"/>
  <c r="Q2350" i="1"/>
  <c r="S2350" i="1" s="1"/>
  <c r="Q2349" i="1"/>
  <c r="S2349" i="1" s="1"/>
  <c r="Q2348" i="1"/>
  <c r="S2348" i="1" s="1"/>
  <c r="Q2347" i="1"/>
  <c r="Q2346" i="1"/>
  <c r="Q2345" i="1"/>
  <c r="S2345" i="1" s="1"/>
  <c r="Q2344" i="1"/>
  <c r="S2344" i="1" s="1"/>
  <c r="Q2343" i="1"/>
  <c r="S2343" i="1" s="1"/>
  <c r="Q2342" i="1"/>
  <c r="S2342" i="1" s="1"/>
  <c r="Q2341" i="1"/>
  <c r="Q2340" i="1"/>
  <c r="S2340" i="1" s="1"/>
  <c r="Q2339" i="1"/>
  <c r="S2339" i="1" s="1"/>
  <c r="Q2338" i="1"/>
  <c r="S2338" i="1" s="1"/>
  <c r="Q2337" i="1"/>
  <c r="S2337" i="1" s="1"/>
  <c r="Q2336" i="1"/>
  <c r="Q2335" i="1"/>
  <c r="Q2334" i="1"/>
  <c r="Q2333" i="1"/>
  <c r="S2333" i="1" s="1"/>
  <c r="Q2332" i="1"/>
  <c r="S2332" i="1" s="1"/>
  <c r="Q2331" i="1"/>
  <c r="S2331" i="1" s="1"/>
  <c r="Q2330" i="1"/>
  <c r="S2330" i="1" s="1"/>
  <c r="Q2329" i="1"/>
  <c r="Q2328" i="1"/>
  <c r="S2328" i="1" s="1"/>
  <c r="Q2327" i="1"/>
  <c r="S2327" i="1" s="1"/>
  <c r="Q2326" i="1"/>
  <c r="S2326" i="1" s="1"/>
  <c r="Q2325" i="1"/>
  <c r="S2325" i="1" s="1"/>
  <c r="Q2324" i="1"/>
  <c r="Q2323" i="1"/>
  <c r="Q2322" i="1"/>
  <c r="Q2321" i="1"/>
  <c r="S2321" i="1" s="1"/>
  <c r="Q2320" i="1"/>
  <c r="S2320" i="1" s="1"/>
  <c r="Q2319" i="1"/>
  <c r="S2319" i="1" s="1"/>
  <c r="Q2318" i="1"/>
  <c r="S2318" i="1" s="1"/>
  <c r="Q2317" i="1"/>
  <c r="Q2316" i="1"/>
  <c r="S2316" i="1" s="1"/>
  <c r="Q2315" i="1"/>
  <c r="S2315" i="1" s="1"/>
  <c r="Q2314" i="1"/>
  <c r="S2314" i="1" s="1"/>
  <c r="Q2313" i="1"/>
  <c r="S2313" i="1" s="1"/>
  <c r="Q2312" i="1"/>
  <c r="S2312" i="1" s="1"/>
  <c r="Q2311" i="1"/>
  <c r="Q2310" i="1"/>
  <c r="Q2309" i="1"/>
  <c r="S2309" i="1" s="1"/>
  <c r="Q2308" i="1"/>
  <c r="S2308" i="1" s="1"/>
  <c r="Q2307" i="1"/>
  <c r="S2307" i="1" s="1"/>
  <c r="Q2306" i="1"/>
  <c r="S2306" i="1" s="1"/>
  <c r="Q2305" i="1"/>
  <c r="Q2304" i="1"/>
  <c r="S2304" i="1" s="1"/>
  <c r="Q2303" i="1"/>
  <c r="S2303" i="1" s="1"/>
  <c r="Q2302" i="1"/>
  <c r="S2302" i="1" s="1"/>
  <c r="Q2301" i="1"/>
  <c r="S2301" i="1" s="1"/>
  <c r="Q2300" i="1"/>
  <c r="Q2299" i="1"/>
  <c r="Q2298" i="1"/>
  <c r="Q2297" i="1"/>
  <c r="S2297" i="1" s="1"/>
  <c r="Q2296" i="1"/>
  <c r="S2296" i="1" s="1"/>
  <c r="Q2295" i="1"/>
  <c r="S2295" i="1" s="1"/>
  <c r="Q2294" i="1"/>
  <c r="S2294" i="1" s="1"/>
  <c r="Q2293" i="1"/>
  <c r="Q2292" i="1"/>
  <c r="S2292" i="1" s="1"/>
  <c r="Q2291" i="1"/>
  <c r="S2291" i="1" s="1"/>
  <c r="Q2290" i="1"/>
  <c r="S2290" i="1" s="1"/>
  <c r="Q2289" i="1"/>
  <c r="S2289" i="1" s="1"/>
  <c r="Q2288" i="1"/>
  <c r="Q2287" i="1"/>
  <c r="Q2286" i="1"/>
  <c r="Q2285" i="1"/>
  <c r="S2285" i="1" s="1"/>
  <c r="Q2284" i="1"/>
  <c r="S2284" i="1" s="1"/>
  <c r="Q2283" i="1"/>
  <c r="S2283" i="1" s="1"/>
  <c r="Q2282" i="1"/>
  <c r="S2282" i="1" s="1"/>
  <c r="Q2281" i="1"/>
  <c r="Q2280" i="1"/>
  <c r="S2280" i="1" s="1"/>
  <c r="Q2279" i="1"/>
  <c r="S2279" i="1" s="1"/>
  <c r="Q2278" i="1"/>
  <c r="S2278" i="1" s="1"/>
  <c r="Q2277" i="1"/>
  <c r="S2277" i="1" s="1"/>
  <c r="Q2276" i="1"/>
  <c r="Q2275" i="1"/>
  <c r="Q2274" i="1"/>
  <c r="Q2273" i="1"/>
  <c r="S2273" i="1" s="1"/>
  <c r="Q2272" i="1"/>
  <c r="S2272" i="1" s="1"/>
  <c r="Q2271" i="1"/>
  <c r="S2271" i="1" s="1"/>
  <c r="Q2270" i="1"/>
  <c r="S2270" i="1" s="1"/>
  <c r="Q2269" i="1"/>
  <c r="Q2268" i="1"/>
  <c r="S2268" i="1" s="1"/>
  <c r="Q2267" i="1"/>
  <c r="S2267" i="1" s="1"/>
  <c r="Q2266" i="1"/>
  <c r="S2266" i="1" s="1"/>
  <c r="Q2265" i="1"/>
  <c r="S2265" i="1" s="1"/>
  <c r="Q2264" i="1"/>
  <c r="Q2263" i="1"/>
  <c r="Q2262" i="1"/>
  <c r="Q2261" i="1"/>
  <c r="S2261" i="1" s="1"/>
  <c r="Q2260" i="1"/>
  <c r="S2260" i="1" s="1"/>
  <c r="Q2259" i="1"/>
  <c r="S2259" i="1" s="1"/>
  <c r="Q2258" i="1"/>
  <c r="S2258" i="1" s="1"/>
  <c r="Q2257" i="1"/>
  <c r="Q2256" i="1"/>
  <c r="S2256" i="1" s="1"/>
  <c r="Q2255" i="1"/>
  <c r="S2255" i="1" s="1"/>
  <c r="Q2254" i="1"/>
  <c r="S2254" i="1" s="1"/>
  <c r="Q2253" i="1"/>
  <c r="S2253" i="1" s="1"/>
  <c r="Q2252" i="1"/>
  <c r="Q2251" i="1"/>
  <c r="Q2250" i="1"/>
  <c r="Q2249" i="1"/>
  <c r="S2249" i="1" s="1"/>
  <c r="Q2248" i="1"/>
  <c r="S2248" i="1" s="1"/>
  <c r="Q2247" i="1"/>
  <c r="S2247" i="1" s="1"/>
  <c r="Q2246" i="1"/>
  <c r="S2246" i="1" s="1"/>
  <c r="Q2245" i="1"/>
  <c r="Q2244" i="1"/>
  <c r="S2244" i="1" s="1"/>
  <c r="Q2243" i="1"/>
  <c r="S2243" i="1" s="1"/>
  <c r="Q2242" i="1"/>
  <c r="S2242" i="1" s="1"/>
  <c r="Q2241" i="1"/>
  <c r="S2241" i="1" s="1"/>
  <c r="Q2240" i="1"/>
  <c r="Q2239" i="1"/>
  <c r="Q2238" i="1"/>
  <c r="Q2237" i="1"/>
  <c r="S2237" i="1" s="1"/>
  <c r="Q2236" i="1"/>
  <c r="S2236" i="1" s="1"/>
  <c r="Q2235" i="1"/>
  <c r="S2235" i="1" s="1"/>
  <c r="Q2234" i="1"/>
  <c r="S2234" i="1" s="1"/>
  <c r="Q2233" i="1"/>
  <c r="Q2232" i="1"/>
  <c r="S2232" i="1" s="1"/>
  <c r="Q2231" i="1"/>
  <c r="S2231" i="1" s="1"/>
  <c r="Q2230" i="1"/>
  <c r="S2230" i="1" s="1"/>
  <c r="Q2229" i="1"/>
  <c r="S2229" i="1" s="1"/>
  <c r="Q2228" i="1"/>
  <c r="Q2227" i="1"/>
  <c r="Q2226" i="1"/>
  <c r="Q2225" i="1"/>
  <c r="S2225" i="1" s="1"/>
  <c r="Q2224" i="1"/>
  <c r="S2224" i="1" s="1"/>
  <c r="Q2223" i="1"/>
  <c r="S2223" i="1" s="1"/>
  <c r="Q2222" i="1"/>
  <c r="S2222" i="1" s="1"/>
  <c r="Q2221" i="1"/>
  <c r="Q2220" i="1"/>
  <c r="S2220" i="1" s="1"/>
  <c r="Q2219" i="1"/>
  <c r="S2219" i="1" s="1"/>
  <c r="Q2218" i="1"/>
  <c r="S2218" i="1" s="1"/>
  <c r="Q2217" i="1"/>
  <c r="S2217" i="1" s="1"/>
  <c r="Q2216" i="1"/>
  <c r="S2216" i="1" s="1"/>
  <c r="Q2215" i="1"/>
  <c r="Q2214" i="1"/>
  <c r="Q2213" i="1"/>
  <c r="S2213" i="1" s="1"/>
  <c r="Q2212" i="1"/>
  <c r="S2212" i="1" s="1"/>
  <c r="Q2211" i="1"/>
  <c r="S2211" i="1" s="1"/>
  <c r="Q2210" i="1"/>
  <c r="S2210" i="1" s="1"/>
  <c r="Q2209" i="1"/>
  <c r="Q2208" i="1"/>
  <c r="S2208" i="1" s="1"/>
  <c r="Q2207" i="1"/>
  <c r="S2207" i="1" s="1"/>
  <c r="Q2206" i="1"/>
  <c r="S2206" i="1" s="1"/>
  <c r="Q2205" i="1"/>
  <c r="S2205" i="1" s="1"/>
  <c r="Q2204" i="1"/>
  <c r="Q2203" i="1"/>
  <c r="Q2202" i="1"/>
  <c r="Q2201" i="1"/>
  <c r="S2201" i="1" s="1"/>
  <c r="Q2200" i="1"/>
  <c r="S2200" i="1" s="1"/>
  <c r="Q2199" i="1"/>
  <c r="S2199" i="1" s="1"/>
  <c r="Q2198" i="1"/>
  <c r="S2198" i="1" s="1"/>
  <c r="Q2197" i="1"/>
  <c r="Q2196" i="1"/>
  <c r="S2196" i="1" s="1"/>
  <c r="Q2195" i="1"/>
  <c r="S2195" i="1" s="1"/>
  <c r="Q2194" i="1"/>
  <c r="S2194" i="1" s="1"/>
  <c r="Q2193" i="1"/>
  <c r="S2193" i="1" s="1"/>
  <c r="Q2192" i="1"/>
  <c r="Q2191" i="1"/>
  <c r="Q2190" i="1"/>
  <c r="Q2189" i="1"/>
  <c r="S2189" i="1" s="1"/>
  <c r="Q2188" i="1"/>
  <c r="S2188" i="1" s="1"/>
  <c r="Q2187" i="1"/>
  <c r="S2187" i="1" s="1"/>
  <c r="Q2186" i="1"/>
  <c r="S2186" i="1" s="1"/>
  <c r="Q2185" i="1"/>
  <c r="Q2184" i="1"/>
  <c r="S2184" i="1" s="1"/>
  <c r="Q2183" i="1"/>
  <c r="S2183" i="1" s="1"/>
  <c r="Q2182" i="1"/>
  <c r="S2182" i="1" s="1"/>
  <c r="Q2181" i="1"/>
  <c r="S2181" i="1" s="1"/>
  <c r="Q2180" i="1"/>
  <c r="S2180" i="1" s="1"/>
  <c r="Q2179" i="1"/>
  <c r="Q2178" i="1"/>
  <c r="Q2177" i="1"/>
  <c r="S2177" i="1" s="1"/>
  <c r="Q2176" i="1"/>
  <c r="S2176" i="1" s="1"/>
  <c r="Q2175" i="1"/>
  <c r="S2175" i="1" s="1"/>
  <c r="Q2174" i="1"/>
  <c r="S2174" i="1" s="1"/>
  <c r="Q2173" i="1"/>
  <c r="Q2172" i="1"/>
  <c r="S2172" i="1" s="1"/>
  <c r="Q2171" i="1"/>
  <c r="S2171" i="1" s="1"/>
  <c r="Q2170" i="1"/>
  <c r="S2170" i="1" s="1"/>
  <c r="Q2169" i="1"/>
  <c r="S2169" i="1" s="1"/>
  <c r="Q2168" i="1"/>
  <c r="Q2167" i="1"/>
  <c r="Q2166" i="1"/>
  <c r="Q2165" i="1"/>
  <c r="S2165" i="1" s="1"/>
  <c r="Q2164" i="1"/>
  <c r="S2164" i="1" s="1"/>
  <c r="Q2163" i="1"/>
  <c r="S2163" i="1" s="1"/>
  <c r="Q2162" i="1"/>
  <c r="S2162" i="1" s="1"/>
  <c r="Q2161" i="1"/>
  <c r="Q2160" i="1"/>
  <c r="S2160" i="1" s="1"/>
  <c r="Q2159" i="1"/>
  <c r="S2159" i="1" s="1"/>
  <c r="Q2158" i="1"/>
  <c r="S2158" i="1" s="1"/>
  <c r="Q2157" i="1"/>
  <c r="S2157" i="1" s="1"/>
  <c r="Q2156" i="1"/>
  <c r="S2156" i="1" s="1"/>
  <c r="Q2155" i="1"/>
  <c r="Q2154" i="1"/>
  <c r="Q2153" i="1"/>
  <c r="S2153" i="1" s="1"/>
  <c r="Q2152" i="1"/>
  <c r="S2152" i="1" s="1"/>
  <c r="Q2151" i="1"/>
  <c r="S2151" i="1" s="1"/>
  <c r="Q2150" i="1"/>
  <c r="S2150" i="1" s="1"/>
  <c r="Q2149" i="1"/>
  <c r="Q2148" i="1"/>
  <c r="S2148" i="1" s="1"/>
  <c r="Q2147" i="1"/>
  <c r="S2147" i="1" s="1"/>
  <c r="Q2146" i="1"/>
  <c r="S2146" i="1" s="1"/>
  <c r="Q2145" i="1"/>
  <c r="S2145" i="1" s="1"/>
  <c r="Q2144" i="1"/>
  <c r="Q2143" i="1"/>
  <c r="Q2142" i="1"/>
  <c r="Q2141" i="1"/>
  <c r="S2141" i="1" s="1"/>
  <c r="Q2140" i="1"/>
  <c r="S2140" i="1" s="1"/>
  <c r="Q2139" i="1"/>
  <c r="S2139" i="1" s="1"/>
  <c r="Q2138" i="1"/>
  <c r="S2138" i="1" s="1"/>
  <c r="Q2137" i="1"/>
  <c r="Q2136" i="1"/>
  <c r="S2136" i="1" s="1"/>
  <c r="Q2135" i="1"/>
  <c r="S2135" i="1" s="1"/>
  <c r="Q2134" i="1"/>
  <c r="S2134" i="1" s="1"/>
  <c r="Q2133" i="1"/>
  <c r="S2133" i="1" s="1"/>
  <c r="Q2132" i="1"/>
  <c r="Q2131" i="1"/>
  <c r="Q2130" i="1"/>
  <c r="Q2129" i="1"/>
  <c r="S2129" i="1" s="1"/>
  <c r="Q2128" i="1"/>
  <c r="S2128" i="1" s="1"/>
  <c r="Q2127" i="1"/>
  <c r="S2127" i="1" s="1"/>
  <c r="Q2126" i="1"/>
  <c r="S2126" i="1" s="1"/>
  <c r="Q2125" i="1"/>
  <c r="Q2124" i="1"/>
  <c r="S2124" i="1" s="1"/>
  <c r="Q2123" i="1"/>
  <c r="S2123" i="1" s="1"/>
  <c r="Q2122" i="1"/>
  <c r="S2122" i="1" s="1"/>
  <c r="Q2121" i="1"/>
  <c r="S2121" i="1" s="1"/>
  <c r="Q2120" i="1"/>
  <c r="S2120" i="1" s="1"/>
  <c r="Q2119" i="1"/>
  <c r="Q2118" i="1"/>
  <c r="Q2117" i="1"/>
  <c r="S2117" i="1" s="1"/>
  <c r="Q2116" i="1"/>
  <c r="S2116" i="1" s="1"/>
  <c r="Q2115" i="1"/>
  <c r="S2115" i="1" s="1"/>
  <c r="Q2114" i="1"/>
  <c r="S2114" i="1" s="1"/>
  <c r="Q2113" i="1"/>
  <c r="Q2112" i="1"/>
  <c r="S2112" i="1" s="1"/>
  <c r="Q2111" i="1"/>
  <c r="S2111" i="1" s="1"/>
  <c r="Q2110" i="1"/>
  <c r="S2110" i="1" s="1"/>
  <c r="Q2109" i="1"/>
  <c r="S2109" i="1" s="1"/>
  <c r="Q2108" i="1"/>
  <c r="Q2107" i="1"/>
  <c r="Q2106" i="1"/>
  <c r="Q2105" i="1"/>
  <c r="S2105" i="1" s="1"/>
  <c r="Q2104" i="1"/>
  <c r="S2104" i="1" s="1"/>
  <c r="Q2103" i="1"/>
  <c r="S2103" i="1" s="1"/>
  <c r="Q2102" i="1"/>
  <c r="S2102" i="1" s="1"/>
  <c r="Q2101" i="1"/>
  <c r="Q2100" i="1"/>
  <c r="S2100" i="1" s="1"/>
  <c r="Q2099" i="1"/>
  <c r="S2099" i="1" s="1"/>
  <c r="Q2098" i="1"/>
  <c r="S2098" i="1" s="1"/>
  <c r="Q2097" i="1"/>
  <c r="S2097" i="1" s="1"/>
  <c r="Q2096" i="1"/>
  <c r="Q2095" i="1"/>
  <c r="Q2094" i="1"/>
  <c r="Q2093" i="1"/>
  <c r="S2093" i="1" s="1"/>
  <c r="Q2092" i="1"/>
  <c r="S2092" i="1" s="1"/>
  <c r="Q2091" i="1"/>
  <c r="S2091" i="1" s="1"/>
  <c r="Q2090" i="1"/>
  <c r="S2090" i="1" s="1"/>
  <c r="Q2089" i="1"/>
  <c r="Q2088" i="1"/>
  <c r="Q2087" i="1"/>
  <c r="S2087" i="1" s="1"/>
  <c r="Q2086" i="1"/>
  <c r="S2086" i="1" s="1"/>
  <c r="Q2085" i="1"/>
  <c r="S2085" i="1" s="1"/>
  <c r="Q2084" i="1"/>
  <c r="Q2083" i="1"/>
  <c r="Q2082" i="1"/>
  <c r="Q2081" i="1"/>
  <c r="S2081" i="1" s="1"/>
  <c r="Q2080" i="1"/>
  <c r="S2080" i="1" s="1"/>
  <c r="Q2079" i="1"/>
  <c r="S2079" i="1" s="1"/>
  <c r="Q2078" i="1"/>
  <c r="S2078" i="1" s="1"/>
  <c r="Q2077" i="1"/>
  <c r="Q2076" i="1"/>
  <c r="S2076" i="1" s="1"/>
  <c r="Q2075" i="1"/>
  <c r="S2075" i="1" s="1"/>
  <c r="Q2074" i="1"/>
  <c r="S2074" i="1" s="1"/>
  <c r="Q2073" i="1"/>
  <c r="Q2072" i="1"/>
  <c r="S2072" i="1" s="1"/>
  <c r="Q2071" i="1"/>
  <c r="Q2070" i="1"/>
  <c r="Q2069" i="1"/>
  <c r="S2069" i="1" s="1"/>
  <c r="Q2068" i="1"/>
  <c r="S2068" i="1" s="1"/>
  <c r="Q2067" i="1"/>
  <c r="S2067" i="1" s="1"/>
  <c r="Q2066" i="1"/>
  <c r="S2066" i="1" s="1"/>
  <c r="Q2065" i="1"/>
  <c r="Q2064" i="1"/>
  <c r="S2064" i="1" s="1"/>
  <c r="Q2063" i="1"/>
  <c r="S2063" i="1" s="1"/>
  <c r="Q2062" i="1"/>
  <c r="S2062" i="1" s="1"/>
  <c r="Q2061" i="1"/>
  <c r="S2061" i="1" s="1"/>
  <c r="Q2060" i="1"/>
  <c r="Q2059" i="1"/>
  <c r="Q2058" i="1"/>
  <c r="Q2057" i="1"/>
  <c r="S2057" i="1" s="1"/>
  <c r="Q2056" i="1"/>
  <c r="S2056" i="1" s="1"/>
  <c r="Q2055" i="1"/>
  <c r="S2055" i="1" s="1"/>
  <c r="Q2054" i="1"/>
  <c r="S2054" i="1" s="1"/>
  <c r="Q2053" i="1"/>
  <c r="Q2052" i="1"/>
  <c r="S2052" i="1" s="1"/>
  <c r="Q2051" i="1"/>
  <c r="S2051" i="1" s="1"/>
  <c r="Q2050" i="1"/>
  <c r="S2050" i="1" s="1"/>
  <c r="Q2049" i="1"/>
  <c r="S2049" i="1" s="1"/>
  <c r="Q2048" i="1"/>
  <c r="Q2047" i="1"/>
  <c r="Q2046" i="1"/>
  <c r="Q2045" i="1"/>
  <c r="S2045" i="1" s="1"/>
  <c r="Q2044" i="1"/>
  <c r="S2044" i="1" s="1"/>
  <c r="Q2043" i="1"/>
  <c r="S2043" i="1" s="1"/>
  <c r="Q2042" i="1"/>
  <c r="S2042" i="1" s="1"/>
  <c r="Q2041" i="1"/>
  <c r="Q2040" i="1"/>
  <c r="S2040" i="1" s="1"/>
  <c r="Q2039" i="1"/>
  <c r="S2039" i="1" s="1"/>
  <c r="Q2038" i="1"/>
  <c r="S2038" i="1" s="1"/>
  <c r="Q2037" i="1"/>
  <c r="S2037" i="1" s="1"/>
  <c r="Q2036" i="1"/>
  <c r="S2036" i="1" s="1"/>
  <c r="Q2035" i="1"/>
  <c r="Q2034" i="1"/>
  <c r="Q2033" i="1"/>
  <c r="S2033" i="1" s="1"/>
  <c r="Q2032" i="1"/>
  <c r="S2032" i="1" s="1"/>
  <c r="Q2031" i="1"/>
  <c r="S2031" i="1" s="1"/>
  <c r="Q2030" i="1"/>
  <c r="S2030" i="1" s="1"/>
  <c r="Q2029" i="1"/>
  <c r="Q2028" i="1"/>
  <c r="S2028" i="1" s="1"/>
  <c r="Q2027" i="1"/>
  <c r="S2027" i="1" s="1"/>
  <c r="Q2026" i="1"/>
  <c r="S2026" i="1" s="1"/>
  <c r="Q2025" i="1"/>
  <c r="S2025" i="1" s="1"/>
  <c r="Q2024" i="1"/>
  <c r="S2024" i="1" s="1"/>
  <c r="Q2023" i="1"/>
  <c r="Q2022" i="1"/>
  <c r="Q2021" i="1"/>
  <c r="S2021" i="1" s="1"/>
  <c r="Q2020" i="1"/>
  <c r="S2020" i="1" s="1"/>
  <c r="Q2019" i="1"/>
  <c r="S2019" i="1" s="1"/>
  <c r="Q2018" i="1"/>
  <c r="S2018" i="1" s="1"/>
  <c r="Q2017" i="1"/>
  <c r="Q2016" i="1"/>
  <c r="S2016" i="1" s="1"/>
  <c r="Q2015" i="1"/>
  <c r="S2015" i="1" s="1"/>
  <c r="Q2014" i="1"/>
  <c r="S2014" i="1" s="1"/>
  <c r="Q2013" i="1"/>
  <c r="S2013" i="1" s="1"/>
  <c r="Q2012" i="1"/>
  <c r="Q2011" i="1"/>
  <c r="Q2010" i="1"/>
  <c r="Q2009" i="1"/>
  <c r="S2009" i="1" s="1"/>
  <c r="Q2008" i="1"/>
  <c r="S2008" i="1" s="1"/>
  <c r="Q2007" i="1"/>
  <c r="S2007" i="1" s="1"/>
  <c r="Q2006" i="1"/>
  <c r="S2006" i="1" s="1"/>
  <c r="Q2005" i="1"/>
  <c r="Q2004" i="1"/>
  <c r="S2004" i="1" s="1"/>
  <c r="Q2003" i="1"/>
  <c r="S2003" i="1" s="1"/>
  <c r="Q2002" i="1"/>
  <c r="S2002" i="1" s="1"/>
  <c r="Q2001" i="1"/>
  <c r="S2001" i="1" s="1"/>
  <c r="Q2000" i="1"/>
  <c r="S2000" i="1" s="1"/>
  <c r="Q1999" i="1"/>
  <c r="Q1998" i="1"/>
  <c r="Q1997" i="1"/>
  <c r="S1997" i="1" s="1"/>
  <c r="Q1996" i="1"/>
  <c r="S1996" i="1" s="1"/>
  <c r="Q1995" i="1"/>
  <c r="S1995" i="1" s="1"/>
  <c r="Q1994" i="1"/>
  <c r="S1994" i="1" s="1"/>
  <c r="Q1993" i="1"/>
  <c r="Q1992" i="1"/>
  <c r="S1992" i="1" s="1"/>
  <c r="Q1991" i="1"/>
  <c r="S1991" i="1" s="1"/>
  <c r="Q1990" i="1"/>
  <c r="S1990" i="1" s="1"/>
  <c r="Q1989" i="1"/>
  <c r="S1989" i="1" s="1"/>
  <c r="Q1988" i="1"/>
  <c r="Q1987" i="1"/>
  <c r="Q1986" i="1"/>
  <c r="Q1985" i="1"/>
  <c r="S1985" i="1" s="1"/>
  <c r="Q1984" i="1"/>
  <c r="S1984" i="1" s="1"/>
  <c r="Q1983" i="1"/>
  <c r="S1983" i="1" s="1"/>
  <c r="Q1982" i="1"/>
  <c r="S1982" i="1" s="1"/>
  <c r="Q1981" i="1"/>
  <c r="Q1980" i="1"/>
  <c r="S1980" i="1" s="1"/>
  <c r="Q1979" i="1"/>
  <c r="S1979" i="1" s="1"/>
  <c r="Q1978" i="1"/>
  <c r="S1978" i="1" s="1"/>
  <c r="Q1977" i="1"/>
  <c r="S1977" i="1" s="1"/>
  <c r="Q1976" i="1"/>
  <c r="S1976" i="1" s="1"/>
  <c r="Q1975" i="1"/>
  <c r="Q1974" i="1"/>
  <c r="Q1973" i="1"/>
  <c r="S1973" i="1" s="1"/>
  <c r="Q1972" i="1"/>
  <c r="S1972" i="1" s="1"/>
  <c r="Q1971" i="1"/>
  <c r="S1971" i="1" s="1"/>
  <c r="Q1970" i="1"/>
  <c r="S1970" i="1" s="1"/>
  <c r="Q1969" i="1"/>
  <c r="Q1968" i="1"/>
  <c r="S1968" i="1" s="1"/>
  <c r="Q1967" i="1"/>
  <c r="S1967" i="1" s="1"/>
  <c r="Q1966" i="1"/>
  <c r="S1966" i="1" s="1"/>
  <c r="Q1965" i="1"/>
  <c r="S1965" i="1" s="1"/>
  <c r="Q1964" i="1"/>
  <c r="Q1963" i="1"/>
  <c r="Q1962" i="1"/>
  <c r="Q1961" i="1"/>
  <c r="S1961" i="1" s="1"/>
  <c r="Q1960" i="1"/>
  <c r="S1960" i="1" s="1"/>
  <c r="Q1959" i="1"/>
  <c r="S1959" i="1" s="1"/>
  <c r="Q1958" i="1"/>
  <c r="S1958" i="1" s="1"/>
  <c r="Q1957" i="1"/>
  <c r="Q1956" i="1"/>
  <c r="S1956" i="1" s="1"/>
  <c r="Q1955" i="1"/>
  <c r="S1955" i="1" s="1"/>
  <c r="Q1954" i="1"/>
  <c r="S1954" i="1" s="1"/>
  <c r="Q1953" i="1"/>
  <c r="S1953" i="1" s="1"/>
  <c r="Q1952" i="1"/>
  <c r="Q1951" i="1"/>
  <c r="Q1950" i="1"/>
  <c r="Q1949" i="1"/>
  <c r="S1949" i="1" s="1"/>
  <c r="Q1948" i="1"/>
  <c r="S1948" i="1" s="1"/>
  <c r="Q1947" i="1"/>
  <c r="S1947" i="1" s="1"/>
  <c r="Q1946" i="1"/>
  <c r="S1946" i="1" s="1"/>
  <c r="Q1945" i="1"/>
  <c r="Q1944" i="1"/>
  <c r="S1944" i="1" s="1"/>
  <c r="Q1943" i="1"/>
  <c r="S1943" i="1" s="1"/>
  <c r="Q1942" i="1"/>
  <c r="S1942" i="1" s="1"/>
  <c r="Q1941" i="1"/>
  <c r="S1941" i="1" s="1"/>
  <c r="Q1940" i="1"/>
  <c r="S1940" i="1" s="1"/>
  <c r="Q1939" i="1"/>
  <c r="Q1938" i="1"/>
  <c r="Q1937" i="1"/>
  <c r="S1937" i="1" s="1"/>
  <c r="Q1936" i="1"/>
  <c r="S1936" i="1" s="1"/>
  <c r="Q1935" i="1"/>
  <c r="S1935" i="1" s="1"/>
  <c r="Q1934" i="1"/>
  <c r="S1934" i="1" s="1"/>
  <c r="Q1933" i="1"/>
  <c r="Q1932" i="1"/>
  <c r="S1932" i="1" s="1"/>
  <c r="Q1931" i="1"/>
  <c r="S1931" i="1" s="1"/>
  <c r="Q1930" i="1"/>
  <c r="S1930" i="1" s="1"/>
  <c r="Q1929" i="1"/>
  <c r="S1929" i="1" s="1"/>
  <c r="Q1928" i="1"/>
  <c r="Q1927" i="1"/>
  <c r="S1927" i="1" s="1"/>
  <c r="Q1926" i="1"/>
  <c r="Q1925" i="1"/>
  <c r="S1925" i="1" s="1"/>
  <c r="Q1924" i="1"/>
  <c r="S1924" i="1" s="1"/>
  <c r="Q1923" i="1"/>
  <c r="S1923" i="1" s="1"/>
  <c r="Q1922" i="1"/>
  <c r="Q1921" i="1"/>
  <c r="Q1920" i="1"/>
  <c r="S1920" i="1" s="1"/>
  <c r="Q1919" i="1"/>
  <c r="S1919" i="1" s="1"/>
  <c r="Q1918" i="1"/>
  <c r="S1918" i="1" s="1"/>
  <c r="Q1917" i="1"/>
  <c r="S1917" i="1" s="1"/>
  <c r="Q1916" i="1"/>
  <c r="S1916" i="1" s="1"/>
  <c r="Q1915" i="1"/>
  <c r="Q1914" i="1"/>
  <c r="Q1913" i="1"/>
  <c r="S1913" i="1" s="1"/>
  <c r="Q1912" i="1"/>
  <c r="S1912" i="1" s="1"/>
  <c r="Q1911" i="1"/>
  <c r="S1911" i="1" s="1"/>
  <c r="Q1910" i="1"/>
  <c r="S1910" i="1" s="1"/>
  <c r="Q1909" i="1"/>
  <c r="Q1908" i="1"/>
  <c r="S1908" i="1" s="1"/>
  <c r="Q1907" i="1"/>
  <c r="S1907" i="1" s="1"/>
  <c r="Q1906" i="1"/>
  <c r="S1906" i="1" s="1"/>
  <c r="Q1905" i="1"/>
  <c r="S1905" i="1" s="1"/>
  <c r="Q1904" i="1"/>
  <c r="Q1903" i="1"/>
  <c r="Q1902" i="1"/>
  <c r="Q1901" i="1"/>
  <c r="S1901" i="1" s="1"/>
  <c r="Q1900" i="1"/>
  <c r="S1900" i="1" s="1"/>
  <c r="Q1899" i="1"/>
  <c r="S1899" i="1" s="1"/>
  <c r="Q1898" i="1"/>
  <c r="S1898" i="1" s="1"/>
  <c r="Q1897" i="1"/>
  <c r="Q1896" i="1"/>
  <c r="S1896" i="1" s="1"/>
  <c r="Q1895" i="1"/>
  <c r="S1895" i="1" s="1"/>
  <c r="Q1894" i="1"/>
  <c r="S1894" i="1" s="1"/>
  <c r="Q1893" i="1"/>
  <c r="S1893" i="1" s="1"/>
  <c r="Q1892" i="1"/>
  <c r="Q1891" i="1"/>
  <c r="Q1890" i="1"/>
  <c r="Q1889" i="1"/>
  <c r="S1889" i="1" s="1"/>
  <c r="Q1888" i="1"/>
  <c r="S1888" i="1" s="1"/>
  <c r="Q1887" i="1"/>
  <c r="S1887" i="1" s="1"/>
  <c r="Q1886" i="1"/>
  <c r="S1886" i="1" s="1"/>
  <c r="Q1885" i="1"/>
  <c r="Q1884" i="1"/>
  <c r="S1884" i="1" s="1"/>
  <c r="Q1883" i="1"/>
  <c r="S1883" i="1" s="1"/>
  <c r="Q1882" i="1"/>
  <c r="S1882" i="1" s="1"/>
  <c r="Q1881" i="1"/>
  <c r="S1881" i="1" s="1"/>
  <c r="Q1880" i="1"/>
  <c r="Q1879" i="1"/>
  <c r="Q1878" i="1"/>
  <c r="Q1877" i="1"/>
  <c r="S1877" i="1" s="1"/>
  <c r="Q1876" i="1"/>
  <c r="S1876" i="1" s="1"/>
  <c r="Q1875" i="1"/>
  <c r="S1875" i="1" s="1"/>
  <c r="Q1874" i="1"/>
  <c r="S1874" i="1" s="1"/>
  <c r="Q1873" i="1"/>
  <c r="Q1872" i="1"/>
  <c r="S1872" i="1" s="1"/>
  <c r="Q1871" i="1"/>
  <c r="S1871" i="1" s="1"/>
  <c r="Q1870" i="1"/>
  <c r="S1870" i="1" s="1"/>
  <c r="Q1869" i="1"/>
  <c r="S1869" i="1" s="1"/>
  <c r="Q1868" i="1"/>
  <c r="Q1867" i="1"/>
  <c r="Q1866" i="1"/>
  <c r="Q1865" i="1"/>
  <c r="S1865" i="1" s="1"/>
  <c r="Q1864" i="1"/>
  <c r="S1864" i="1" s="1"/>
  <c r="Q1863" i="1"/>
  <c r="S1863" i="1" s="1"/>
  <c r="Q1862" i="1"/>
  <c r="S1862" i="1" s="1"/>
  <c r="Q1861" i="1"/>
  <c r="Q1860" i="1"/>
  <c r="S1860" i="1" s="1"/>
  <c r="Q1859" i="1"/>
  <c r="S1859" i="1" s="1"/>
  <c r="Q1858" i="1"/>
  <c r="S1858" i="1" s="1"/>
  <c r="Q1857" i="1"/>
  <c r="S1857" i="1" s="1"/>
  <c r="Q1856" i="1"/>
  <c r="Q1855" i="1"/>
  <c r="Q1854" i="1"/>
  <c r="Q1853" i="1"/>
  <c r="S1853" i="1" s="1"/>
  <c r="Q1852" i="1"/>
  <c r="S1852" i="1" s="1"/>
  <c r="Q1851" i="1"/>
  <c r="S1851" i="1" s="1"/>
  <c r="Q1850" i="1"/>
  <c r="S1850" i="1" s="1"/>
  <c r="Q1849" i="1"/>
  <c r="Q1848" i="1"/>
  <c r="S1848" i="1" s="1"/>
  <c r="Q1847" i="1"/>
  <c r="S1847" i="1" s="1"/>
  <c r="Q1846" i="1"/>
  <c r="S1846" i="1" s="1"/>
  <c r="Q1845" i="1"/>
  <c r="S1845" i="1" s="1"/>
  <c r="Q1844" i="1"/>
  <c r="S1844" i="1" s="1"/>
  <c r="Q1843" i="1"/>
  <c r="Q1842" i="1"/>
  <c r="Q1841" i="1"/>
  <c r="S1841" i="1" s="1"/>
  <c r="Q1840" i="1"/>
  <c r="S1840" i="1" s="1"/>
  <c r="Q1839" i="1"/>
  <c r="S1839" i="1" s="1"/>
  <c r="Q1838" i="1"/>
  <c r="S1838" i="1" s="1"/>
  <c r="Q1837" i="1"/>
  <c r="Q1836" i="1"/>
  <c r="S1836" i="1" s="1"/>
  <c r="Q1835" i="1"/>
  <c r="S1835" i="1" s="1"/>
  <c r="Q1834" i="1"/>
  <c r="S1834" i="1" s="1"/>
  <c r="Q1833" i="1"/>
  <c r="S1833" i="1" s="1"/>
  <c r="Q1832" i="1"/>
  <c r="S1832" i="1" s="1"/>
  <c r="Q1831" i="1"/>
  <c r="Q1830" i="1"/>
  <c r="Q1829" i="1"/>
  <c r="S1829" i="1" s="1"/>
  <c r="Q1828" i="1"/>
  <c r="S1828" i="1" s="1"/>
  <c r="Q1827" i="1"/>
  <c r="S1827" i="1" s="1"/>
  <c r="Q1826" i="1"/>
  <c r="S1826" i="1" s="1"/>
  <c r="Q1825" i="1"/>
  <c r="Q1824" i="1"/>
  <c r="S1824" i="1" s="1"/>
  <c r="Q1823" i="1"/>
  <c r="S1823" i="1" s="1"/>
  <c r="Q1822" i="1"/>
  <c r="S1822" i="1" s="1"/>
  <c r="Q1821" i="1"/>
  <c r="S1821" i="1" s="1"/>
  <c r="Q1820" i="1"/>
  <c r="Q1819" i="1"/>
  <c r="Q1818" i="1"/>
  <c r="Q1817" i="1"/>
  <c r="S1817" i="1" s="1"/>
  <c r="Q1816" i="1"/>
  <c r="S1816" i="1" s="1"/>
  <c r="Q1815" i="1"/>
  <c r="S1815" i="1" s="1"/>
  <c r="Q1814" i="1"/>
  <c r="S1814" i="1" s="1"/>
  <c r="Q1813" i="1"/>
  <c r="Q1812" i="1"/>
  <c r="S1812" i="1" s="1"/>
  <c r="Q1811" i="1"/>
  <c r="S1811" i="1" s="1"/>
  <c r="Q1810" i="1"/>
  <c r="S1810" i="1" s="1"/>
  <c r="Q1809" i="1"/>
  <c r="S1809" i="1" s="1"/>
  <c r="Q1808" i="1"/>
  <c r="Q1807" i="1"/>
  <c r="Q1806" i="1"/>
  <c r="Q1805" i="1"/>
  <c r="S1805" i="1" s="1"/>
  <c r="Q1804" i="1"/>
  <c r="S1804" i="1" s="1"/>
  <c r="Q1803" i="1"/>
  <c r="S1803" i="1" s="1"/>
  <c r="Q1802" i="1"/>
  <c r="S1802" i="1" s="1"/>
  <c r="Q1801" i="1"/>
  <c r="Q1800" i="1"/>
  <c r="S1800" i="1" s="1"/>
  <c r="Q1799" i="1"/>
  <c r="S1799" i="1" s="1"/>
  <c r="Q1798" i="1"/>
  <c r="S1798" i="1" s="1"/>
  <c r="Q1797" i="1"/>
  <c r="S1797" i="1" s="1"/>
  <c r="Q1796" i="1"/>
  <c r="Q1795" i="1"/>
  <c r="Q1794" i="1"/>
  <c r="Q1793" i="1"/>
  <c r="S1793" i="1" s="1"/>
  <c r="Q1792" i="1"/>
  <c r="S1792" i="1" s="1"/>
  <c r="Q1791" i="1"/>
  <c r="S1791" i="1" s="1"/>
  <c r="Q1790" i="1"/>
  <c r="S1790" i="1" s="1"/>
  <c r="Q1789" i="1"/>
  <c r="Q1788" i="1"/>
  <c r="S1788" i="1" s="1"/>
  <c r="Q1787" i="1"/>
  <c r="S1787" i="1" s="1"/>
  <c r="Q1786" i="1"/>
  <c r="S1786" i="1" s="1"/>
  <c r="Q1785" i="1"/>
  <c r="S1785" i="1" s="1"/>
  <c r="Q1784" i="1"/>
  <c r="Q1783" i="1"/>
  <c r="Q1782" i="1"/>
  <c r="Q1781" i="1"/>
  <c r="S1781" i="1" s="1"/>
  <c r="Q1780" i="1"/>
  <c r="S1780" i="1" s="1"/>
  <c r="Q1779" i="1"/>
  <c r="S1779" i="1" s="1"/>
  <c r="Q1778" i="1"/>
  <c r="S1778" i="1" s="1"/>
  <c r="Q1777" i="1"/>
  <c r="Q1776" i="1"/>
  <c r="S1776" i="1" s="1"/>
  <c r="Q1775" i="1"/>
  <c r="S1775" i="1" s="1"/>
  <c r="Q1774" i="1"/>
  <c r="S1774" i="1" s="1"/>
  <c r="Q1773" i="1"/>
  <c r="Q1772" i="1"/>
  <c r="Q1771" i="1"/>
  <c r="Q1770" i="1"/>
  <c r="Q1769" i="1"/>
  <c r="S1769" i="1" s="1"/>
  <c r="Q1768" i="1"/>
  <c r="S1768" i="1" s="1"/>
  <c r="Q1767" i="1"/>
  <c r="S1767" i="1" s="1"/>
  <c r="Q1766" i="1"/>
  <c r="S1766" i="1" s="1"/>
  <c r="Q1765" i="1"/>
  <c r="Q1764" i="1"/>
  <c r="S1764" i="1" s="1"/>
  <c r="Q1763" i="1"/>
  <c r="S1763" i="1" s="1"/>
  <c r="Q1762" i="1"/>
  <c r="S1762" i="1" s="1"/>
  <c r="Q1761" i="1"/>
  <c r="S1761" i="1" s="1"/>
  <c r="Q1760" i="1"/>
  <c r="Q1759" i="1"/>
  <c r="Q1758" i="1"/>
  <c r="Q1757" i="1"/>
  <c r="S1757" i="1" s="1"/>
  <c r="Q1756" i="1"/>
  <c r="S1756" i="1" s="1"/>
  <c r="Q1755" i="1"/>
  <c r="S1755" i="1" s="1"/>
  <c r="Q1754" i="1"/>
  <c r="S1754" i="1" s="1"/>
  <c r="Q1753" i="1"/>
  <c r="Q1752" i="1"/>
  <c r="S1752" i="1" s="1"/>
  <c r="Q1751" i="1"/>
  <c r="S1751" i="1" s="1"/>
  <c r="Q1750" i="1"/>
  <c r="S1750" i="1" s="1"/>
  <c r="Q1749" i="1"/>
  <c r="S1749" i="1" s="1"/>
  <c r="Q1748" i="1"/>
  <c r="Q1747" i="1"/>
  <c r="Q1746" i="1"/>
  <c r="Q1745" i="1"/>
  <c r="S1745" i="1" s="1"/>
  <c r="Q1744" i="1"/>
  <c r="S1744" i="1" s="1"/>
  <c r="Q1743" i="1"/>
  <c r="S1743" i="1" s="1"/>
  <c r="Q1742" i="1"/>
  <c r="S1742" i="1" s="1"/>
  <c r="Q1741" i="1"/>
  <c r="Q1740" i="1"/>
  <c r="S1740" i="1" s="1"/>
  <c r="Q1739" i="1"/>
  <c r="S1739" i="1" s="1"/>
  <c r="Q1738" i="1"/>
  <c r="S1738" i="1" s="1"/>
  <c r="Q1737" i="1"/>
  <c r="S1737" i="1" s="1"/>
  <c r="Q1736" i="1"/>
  <c r="S1736" i="1" s="1"/>
  <c r="Q1735" i="1"/>
  <c r="Q1734" i="1"/>
  <c r="Q1733" i="1"/>
  <c r="S1733" i="1" s="1"/>
  <c r="Q1732" i="1"/>
  <c r="S1732" i="1" s="1"/>
  <c r="Q1731" i="1"/>
  <c r="S1731" i="1" s="1"/>
  <c r="Q1730" i="1"/>
  <c r="S1730" i="1" s="1"/>
  <c r="Q1729" i="1"/>
  <c r="Q1728" i="1"/>
  <c r="S1728" i="1" s="1"/>
  <c r="Q1727" i="1"/>
  <c r="S1727" i="1" s="1"/>
  <c r="Q1726" i="1"/>
  <c r="S1726" i="1" s="1"/>
  <c r="Q1725" i="1"/>
  <c r="S1725" i="1" s="1"/>
  <c r="Q1724" i="1"/>
  <c r="Q1723" i="1"/>
  <c r="Q1722" i="1"/>
  <c r="Q1721" i="1"/>
  <c r="S1721" i="1" s="1"/>
  <c r="Q1720" i="1"/>
  <c r="S1720" i="1" s="1"/>
  <c r="Q1719" i="1"/>
  <c r="S1719" i="1" s="1"/>
  <c r="Q1718" i="1"/>
  <c r="S1718" i="1" s="1"/>
  <c r="Q1717" i="1"/>
  <c r="Q1716" i="1"/>
  <c r="S1716" i="1" s="1"/>
  <c r="Q1715" i="1"/>
  <c r="S1715" i="1" s="1"/>
  <c r="Q1714" i="1"/>
  <c r="S1714" i="1" s="1"/>
  <c r="Q1713" i="1"/>
  <c r="S1713" i="1" s="1"/>
  <c r="Q1712" i="1"/>
  <c r="S1712" i="1" s="1"/>
  <c r="Q1711" i="1"/>
  <c r="Q1710" i="1"/>
  <c r="Q1709" i="1"/>
  <c r="S1709" i="1" s="1"/>
  <c r="Q1708" i="1"/>
  <c r="S1708" i="1" s="1"/>
  <c r="Q1707" i="1"/>
  <c r="S1707" i="1" s="1"/>
  <c r="Q1706" i="1"/>
  <c r="S1706" i="1" s="1"/>
  <c r="Q1705" i="1"/>
  <c r="Q1704" i="1"/>
  <c r="S1704" i="1" s="1"/>
  <c r="Q1703" i="1"/>
  <c r="S1703" i="1" s="1"/>
  <c r="Q1702" i="1"/>
  <c r="S1702" i="1" s="1"/>
  <c r="Q1701" i="1"/>
  <c r="S1701" i="1" s="1"/>
  <c r="Q1700" i="1"/>
  <c r="Q1699" i="1"/>
  <c r="Q1698" i="1"/>
  <c r="Q1697" i="1"/>
  <c r="S1697" i="1" s="1"/>
  <c r="Q1696" i="1"/>
  <c r="S1696" i="1" s="1"/>
  <c r="Q1695" i="1"/>
  <c r="S1695" i="1" s="1"/>
  <c r="Q1694" i="1"/>
  <c r="S1694" i="1" s="1"/>
  <c r="Q1693" i="1"/>
  <c r="Q1692" i="1"/>
  <c r="S1692" i="1" s="1"/>
  <c r="Q1691" i="1"/>
  <c r="S1691" i="1" s="1"/>
  <c r="Q1690" i="1"/>
  <c r="S1690" i="1" s="1"/>
  <c r="Q1689" i="1"/>
  <c r="S1689" i="1" s="1"/>
  <c r="Q1688" i="1"/>
  <c r="S1688" i="1" s="1"/>
  <c r="Q1687" i="1"/>
  <c r="Q1686" i="1"/>
  <c r="Q1685" i="1"/>
  <c r="S1685" i="1" s="1"/>
  <c r="Q1684" i="1"/>
  <c r="S1684" i="1" s="1"/>
  <c r="Q1683" i="1"/>
  <c r="S1683" i="1" s="1"/>
  <c r="Q1682" i="1"/>
  <c r="S1682" i="1" s="1"/>
  <c r="Q1681" i="1"/>
  <c r="Q1680" i="1"/>
  <c r="S1680" i="1" s="1"/>
  <c r="Q1679" i="1"/>
  <c r="S1679" i="1" s="1"/>
  <c r="Q1678" i="1"/>
  <c r="S1678" i="1" s="1"/>
  <c r="Q1677" i="1"/>
  <c r="S1677" i="1" s="1"/>
  <c r="Q1676" i="1"/>
  <c r="Q1675" i="1"/>
  <c r="Q1674" i="1"/>
  <c r="Q1673" i="1"/>
  <c r="S1673" i="1" s="1"/>
  <c r="Q1672" i="1"/>
  <c r="S1672" i="1" s="1"/>
  <c r="Q1671" i="1"/>
  <c r="S1671" i="1" s="1"/>
  <c r="Q1670" i="1"/>
  <c r="S1670" i="1" s="1"/>
  <c r="Q1669" i="1"/>
  <c r="Q1668" i="1"/>
  <c r="S1668" i="1" s="1"/>
  <c r="Q1667" i="1"/>
  <c r="S1667" i="1" s="1"/>
  <c r="Q1666" i="1"/>
  <c r="S1666" i="1" s="1"/>
  <c r="Q1665" i="1"/>
  <c r="S1665" i="1" s="1"/>
  <c r="Q1664" i="1"/>
  <c r="Q1663" i="1"/>
  <c r="Q1662" i="1"/>
  <c r="Q1661" i="1"/>
  <c r="S1661" i="1" s="1"/>
  <c r="Q1660" i="1"/>
  <c r="S1660" i="1" s="1"/>
  <c r="Q1659" i="1"/>
  <c r="S1659" i="1" s="1"/>
  <c r="Q1658" i="1"/>
  <c r="S1658" i="1" s="1"/>
  <c r="Q1657" i="1"/>
  <c r="Q1656" i="1"/>
  <c r="S1656" i="1" s="1"/>
  <c r="Q1655" i="1"/>
  <c r="S1655" i="1" s="1"/>
  <c r="Q1654" i="1"/>
  <c r="S1654" i="1" s="1"/>
  <c r="Q1653" i="1"/>
  <c r="S1653" i="1" s="1"/>
  <c r="Q1652" i="1"/>
  <c r="S1652" i="1" s="1"/>
  <c r="Q1651" i="1"/>
  <c r="Q1650" i="1"/>
  <c r="Q1649" i="1"/>
  <c r="S1649" i="1" s="1"/>
  <c r="Q1648" i="1"/>
  <c r="S1648" i="1" s="1"/>
  <c r="Q1647" i="1"/>
  <c r="S1647" i="1" s="1"/>
  <c r="Q1646" i="1"/>
  <c r="S1646" i="1" s="1"/>
  <c r="Q1645" i="1"/>
  <c r="Q1644" i="1"/>
  <c r="S1644" i="1" s="1"/>
  <c r="Q1643" i="1"/>
  <c r="S1643" i="1" s="1"/>
  <c r="Q1642" i="1"/>
  <c r="S1642" i="1" s="1"/>
  <c r="Q1641" i="1"/>
  <c r="S1641" i="1" s="1"/>
  <c r="Q1640" i="1"/>
  <c r="S1640" i="1" s="1"/>
  <c r="Q1639" i="1"/>
  <c r="Q1638" i="1"/>
  <c r="Q1637" i="1"/>
  <c r="S1637" i="1" s="1"/>
  <c r="Q1636" i="1"/>
  <c r="S1636" i="1" s="1"/>
  <c r="Q1635" i="1"/>
  <c r="S1635" i="1" s="1"/>
  <c r="Q1634" i="1"/>
  <c r="S1634" i="1" s="1"/>
  <c r="Q1633" i="1"/>
  <c r="Q1632" i="1"/>
  <c r="S1632" i="1" s="1"/>
  <c r="Q1631" i="1"/>
  <c r="S1631" i="1" s="1"/>
  <c r="Q1630" i="1"/>
  <c r="S1630" i="1" s="1"/>
  <c r="Q1629" i="1"/>
  <c r="S1629" i="1" s="1"/>
  <c r="Q1628" i="1"/>
  <c r="Q1627" i="1"/>
  <c r="Q1626" i="1"/>
  <c r="Q1625" i="1"/>
  <c r="S1625" i="1" s="1"/>
  <c r="Q1624" i="1"/>
  <c r="S1624" i="1" s="1"/>
  <c r="Q1623" i="1"/>
  <c r="S1623" i="1" s="1"/>
  <c r="Q1622" i="1"/>
  <c r="S1622" i="1" s="1"/>
  <c r="Q1621" i="1"/>
  <c r="Q1620" i="1"/>
  <c r="S1620" i="1" s="1"/>
  <c r="Q1619" i="1"/>
  <c r="S1619" i="1" s="1"/>
  <c r="Q1618" i="1"/>
  <c r="S1618" i="1" s="1"/>
  <c r="Q1617" i="1"/>
  <c r="S1617" i="1" s="1"/>
  <c r="Q1616" i="1"/>
  <c r="Q1615" i="1"/>
  <c r="Q1614" i="1"/>
  <c r="Q1613" i="1"/>
  <c r="S1613" i="1" s="1"/>
  <c r="Q1612" i="1"/>
  <c r="S1612" i="1" s="1"/>
  <c r="Q1611" i="1"/>
  <c r="S1611" i="1" s="1"/>
  <c r="Q1610" i="1"/>
  <c r="S1610" i="1" s="1"/>
  <c r="Q1609" i="1"/>
  <c r="Q1608" i="1"/>
  <c r="S1608" i="1" s="1"/>
  <c r="Q1607" i="1"/>
  <c r="S1607" i="1" s="1"/>
  <c r="Q1606" i="1"/>
  <c r="S1606" i="1" s="1"/>
  <c r="Q1605" i="1"/>
  <c r="S1605" i="1" s="1"/>
  <c r="Q1604" i="1"/>
  <c r="Q1603" i="1"/>
  <c r="Q1602" i="1"/>
  <c r="Q1601" i="1"/>
  <c r="S1601" i="1" s="1"/>
  <c r="Q1600" i="1"/>
  <c r="S1600" i="1" s="1"/>
  <c r="Q1599" i="1"/>
  <c r="S1599" i="1" s="1"/>
  <c r="Q1598" i="1"/>
  <c r="S1598" i="1" s="1"/>
  <c r="Q1597" i="1"/>
  <c r="Q1596" i="1"/>
  <c r="S1596" i="1" s="1"/>
  <c r="Q1595" i="1"/>
  <c r="S1595" i="1" s="1"/>
  <c r="Q1594" i="1"/>
  <c r="S1594" i="1" s="1"/>
  <c r="Q1593" i="1"/>
  <c r="S1593" i="1" s="1"/>
  <c r="Q1592" i="1"/>
  <c r="Q1591" i="1"/>
  <c r="Q1590" i="1"/>
  <c r="Q1589" i="1"/>
  <c r="S1589" i="1" s="1"/>
  <c r="Q1588" i="1"/>
  <c r="S1588" i="1" s="1"/>
  <c r="Q1587" i="1"/>
  <c r="S1587" i="1" s="1"/>
  <c r="Q1586" i="1"/>
  <c r="S1586" i="1" s="1"/>
  <c r="Q1585" i="1"/>
  <c r="Q1584" i="1"/>
  <c r="S1584" i="1" s="1"/>
  <c r="Q1583" i="1"/>
  <c r="S1583" i="1" s="1"/>
  <c r="Q1582" i="1"/>
  <c r="S1582" i="1" s="1"/>
  <c r="Q1581" i="1"/>
  <c r="S1581" i="1" s="1"/>
  <c r="Q1580" i="1"/>
  <c r="Q1579" i="1"/>
  <c r="Q1578" i="1"/>
  <c r="Q1577" i="1"/>
  <c r="S1577" i="1" s="1"/>
  <c r="Q1576" i="1"/>
  <c r="S1576" i="1" s="1"/>
  <c r="Q1575" i="1"/>
  <c r="S1575" i="1" s="1"/>
  <c r="Q1574" i="1"/>
  <c r="S1574" i="1" s="1"/>
  <c r="Q1573" i="1"/>
  <c r="Q1572" i="1"/>
  <c r="S1572" i="1" s="1"/>
  <c r="Q1571" i="1"/>
  <c r="S1571" i="1" s="1"/>
  <c r="Q1570" i="1"/>
  <c r="S1570" i="1" s="1"/>
  <c r="Q1569" i="1"/>
  <c r="S1569" i="1" s="1"/>
  <c r="Q1568" i="1"/>
  <c r="Q1567" i="1"/>
  <c r="Q1566" i="1"/>
  <c r="Q1565" i="1"/>
  <c r="S1565" i="1" s="1"/>
  <c r="Q1564" i="1"/>
  <c r="S1564" i="1" s="1"/>
  <c r="Q1563" i="1"/>
  <c r="S1563" i="1" s="1"/>
  <c r="Q1562" i="1"/>
  <c r="S1562" i="1" s="1"/>
  <c r="Q1561" i="1"/>
  <c r="Q1560" i="1"/>
  <c r="S1560" i="1" s="1"/>
  <c r="Q1559" i="1"/>
  <c r="S1559" i="1" s="1"/>
  <c r="Q1558" i="1"/>
  <c r="S1558" i="1" s="1"/>
  <c r="Q1557" i="1"/>
  <c r="S1557" i="1" s="1"/>
  <c r="Q1556" i="1"/>
  <c r="S1556" i="1" s="1"/>
  <c r="Q1555" i="1"/>
  <c r="Q1554" i="1"/>
  <c r="Q1553" i="1"/>
  <c r="S1553" i="1" s="1"/>
  <c r="Q1552" i="1"/>
  <c r="S1552" i="1" s="1"/>
  <c r="Q1551" i="1"/>
  <c r="S1551" i="1" s="1"/>
  <c r="Q1550" i="1"/>
  <c r="S1550" i="1" s="1"/>
  <c r="Q1549" i="1"/>
  <c r="Q1548" i="1"/>
  <c r="S1548" i="1" s="1"/>
  <c r="Q1547" i="1"/>
  <c r="S1547" i="1" s="1"/>
  <c r="Q1546" i="1"/>
  <c r="S1546" i="1" s="1"/>
  <c r="Q1545" i="1"/>
  <c r="S1545" i="1" s="1"/>
  <c r="Q1544" i="1"/>
  <c r="S1544" i="1" s="1"/>
  <c r="Q1543" i="1"/>
  <c r="Q1542" i="1"/>
  <c r="Q1541" i="1"/>
  <c r="S1541" i="1" s="1"/>
  <c r="Q1540" i="1"/>
  <c r="S1540" i="1" s="1"/>
  <c r="Q1539" i="1"/>
  <c r="S1539" i="1" s="1"/>
  <c r="Q1538" i="1"/>
  <c r="S1538" i="1" s="1"/>
  <c r="Q1537" i="1"/>
  <c r="Q1536" i="1"/>
  <c r="S1536" i="1" s="1"/>
  <c r="Q1535" i="1"/>
  <c r="S1535" i="1" s="1"/>
  <c r="Q1534" i="1"/>
  <c r="S1534" i="1" s="1"/>
  <c r="Q1533" i="1"/>
  <c r="S1533" i="1" s="1"/>
  <c r="Q1532" i="1"/>
  <c r="Q1531" i="1"/>
  <c r="Q1530" i="1"/>
  <c r="Q1529" i="1"/>
  <c r="S1529" i="1" s="1"/>
  <c r="Q1528" i="1"/>
  <c r="S1528" i="1" s="1"/>
  <c r="Q1527" i="1"/>
  <c r="S1527" i="1" s="1"/>
  <c r="Q1526" i="1"/>
  <c r="S1526" i="1" s="1"/>
  <c r="Q1525" i="1"/>
  <c r="Q1524" i="1"/>
  <c r="S1524" i="1" s="1"/>
  <c r="Q1523" i="1"/>
  <c r="S1523" i="1" s="1"/>
  <c r="Q1522" i="1"/>
  <c r="S1522" i="1" s="1"/>
  <c r="Q1521" i="1"/>
  <c r="S1521" i="1" s="1"/>
  <c r="Q1520" i="1"/>
  <c r="Q1519" i="1"/>
  <c r="Q1518" i="1"/>
  <c r="Q1517" i="1"/>
  <c r="S1517" i="1" s="1"/>
  <c r="Q1516" i="1"/>
  <c r="S1516" i="1" s="1"/>
  <c r="Q1515" i="1"/>
  <c r="S1515" i="1" s="1"/>
  <c r="Q1514" i="1"/>
  <c r="S1514" i="1" s="1"/>
  <c r="Q1513" i="1"/>
  <c r="Q1512" i="1"/>
  <c r="S1512" i="1" s="1"/>
  <c r="Q1511" i="1"/>
  <c r="S1511" i="1" s="1"/>
  <c r="Q1510" i="1"/>
  <c r="S1510" i="1" s="1"/>
  <c r="Q1509" i="1"/>
  <c r="S1509" i="1" s="1"/>
  <c r="Q1508" i="1"/>
  <c r="Q1507" i="1"/>
  <c r="Q1506" i="1"/>
  <c r="Q1505" i="1"/>
  <c r="S1505" i="1" s="1"/>
  <c r="Q1504" i="1"/>
  <c r="S1504" i="1" s="1"/>
  <c r="Q1503" i="1"/>
  <c r="S1503" i="1" s="1"/>
  <c r="Q1502" i="1"/>
  <c r="S1502" i="1" s="1"/>
  <c r="Q1501" i="1"/>
  <c r="Q1500" i="1"/>
  <c r="S1500" i="1" s="1"/>
  <c r="Q1499" i="1"/>
  <c r="S1499" i="1" s="1"/>
  <c r="Q1498" i="1"/>
  <c r="S1498" i="1" s="1"/>
  <c r="Q1497" i="1"/>
  <c r="S1497" i="1" s="1"/>
  <c r="Q1496" i="1"/>
  <c r="S1496" i="1" s="1"/>
  <c r="Q1495" i="1"/>
  <c r="Q1494" i="1"/>
  <c r="Q1493" i="1"/>
  <c r="S1493" i="1" s="1"/>
  <c r="Q1492" i="1"/>
  <c r="S1492" i="1" s="1"/>
  <c r="Q1491" i="1"/>
  <c r="S1491" i="1" s="1"/>
  <c r="Q1490" i="1"/>
  <c r="S1490" i="1" s="1"/>
  <c r="Q1489" i="1"/>
  <c r="Q1488" i="1"/>
  <c r="S1488" i="1" s="1"/>
  <c r="Q1487" i="1"/>
  <c r="S1487" i="1" s="1"/>
  <c r="Q1486" i="1"/>
  <c r="S1486" i="1" s="1"/>
  <c r="Q1485" i="1"/>
  <c r="S1485" i="1" s="1"/>
  <c r="Q1484" i="1"/>
  <c r="Q1483" i="1"/>
  <c r="Q1482" i="1"/>
  <c r="Q1481" i="1"/>
  <c r="S1481" i="1" s="1"/>
  <c r="Q1480" i="1"/>
  <c r="S1480" i="1" s="1"/>
  <c r="Q1479" i="1"/>
  <c r="S1479" i="1" s="1"/>
  <c r="Q1478" i="1"/>
  <c r="S1478" i="1" s="1"/>
  <c r="Q1477" i="1"/>
  <c r="Q1476" i="1"/>
  <c r="S1476" i="1" s="1"/>
  <c r="Q1475" i="1"/>
  <c r="S1475" i="1" s="1"/>
  <c r="Q1474" i="1"/>
  <c r="S1474" i="1" s="1"/>
  <c r="Q1473" i="1"/>
  <c r="S1473" i="1" s="1"/>
  <c r="Q1472" i="1"/>
  <c r="Q1471" i="1"/>
  <c r="Q1470" i="1"/>
  <c r="Q1469" i="1"/>
  <c r="S1469" i="1" s="1"/>
  <c r="Q1468" i="1"/>
  <c r="S1468" i="1" s="1"/>
  <c r="Q1467" i="1"/>
  <c r="S1467" i="1" s="1"/>
  <c r="Q1466" i="1"/>
  <c r="S1466" i="1" s="1"/>
  <c r="Q1465" i="1"/>
  <c r="Q1464" i="1"/>
  <c r="S1464" i="1" s="1"/>
  <c r="Q1463" i="1"/>
  <c r="S1463" i="1" s="1"/>
  <c r="Q1462" i="1"/>
  <c r="S1462" i="1" s="1"/>
  <c r="Q1461" i="1"/>
  <c r="S1461" i="1" s="1"/>
  <c r="Q1460" i="1"/>
  <c r="Q1459" i="1"/>
  <c r="Q1458" i="1"/>
  <c r="Q1457" i="1"/>
  <c r="S1457" i="1" s="1"/>
  <c r="Q1456" i="1"/>
  <c r="S1456" i="1" s="1"/>
  <c r="Q1455" i="1"/>
  <c r="S1455" i="1" s="1"/>
  <c r="Q1454" i="1"/>
  <c r="S1454" i="1" s="1"/>
  <c r="Q1453" i="1"/>
  <c r="Q1452" i="1"/>
  <c r="S1452" i="1" s="1"/>
  <c r="Q1451" i="1"/>
  <c r="S1451" i="1" s="1"/>
  <c r="Q1450" i="1"/>
  <c r="S1450" i="1" s="1"/>
  <c r="Q1449" i="1"/>
  <c r="S1449" i="1" s="1"/>
  <c r="Q1448" i="1"/>
  <c r="Q1447" i="1"/>
  <c r="Q1446" i="1"/>
  <c r="Q1445" i="1"/>
  <c r="S1445" i="1" s="1"/>
  <c r="Q1444" i="1"/>
  <c r="S1444" i="1" s="1"/>
  <c r="Q1443" i="1"/>
  <c r="S1443" i="1" s="1"/>
  <c r="Q1442" i="1"/>
  <c r="S1442" i="1" s="1"/>
  <c r="Q1441" i="1"/>
  <c r="Q1440" i="1"/>
  <c r="S1440" i="1" s="1"/>
  <c r="Q1439" i="1"/>
  <c r="S1439" i="1" s="1"/>
  <c r="Q1438" i="1"/>
  <c r="S1438" i="1" s="1"/>
  <c r="Q1437" i="1"/>
  <c r="S1437" i="1" s="1"/>
  <c r="Q1436" i="1"/>
  <c r="S1436" i="1" s="1"/>
  <c r="Q1435" i="1"/>
  <c r="Q1434" i="1"/>
  <c r="Q1433" i="1"/>
  <c r="S1433" i="1" s="1"/>
  <c r="Q1432" i="1"/>
  <c r="S1432" i="1" s="1"/>
  <c r="Q1431" i="1"/>
  <c r="S1431" i="1" s="1"/>
  <c r="Q1430" i="1"/>
  <c r="S1430" i="1" s="1"/>
  <c r="Q1429" i="1"/>
  <c r="Q1428" i="1"/>
  <c r="Q1427" i="1"/>
  <c r="S1427" i="1" s="1"/>
  <c r="Q1426" i="1"/>
  <c r="S1426" i="1" s="1"/>
  <c r="Q1425" i="1"/>
  <c r="S1425" i="1" s="1"/>
  <c r="Q1424" i="1"/>
  <c r="Q1423" i="1"/>
  <c r="Q1422" i="1"/>
  <c r="Q1421" i="1"/>
  <c r="S1421" i="1" s="1"/>
  <c r="Q1420" i="1"/>
  <c r="S1420" i="1" s="1"/>
  <c r="Q1419" i="1"/>
  <c r="S1419" i="1" s="1"/>
  <c r="Q1418" i="1"/>
  <c r="S1418" i="1" s="1"/>
  <c r="Q1417" i="1"/>
  <c r="Q1416" i="1"/>
  <c r="S1416" i="1" s="1"/>
  <c r="Q1415" i="1"/>
  <c r="S1415" i="1" s="1"/>
  <c r="Q1414" i="1"/>
  <c r="S1414" i="1" s="1"/>
  <c r="Q1413" i="1"/>
  <c r="S1413" i="1" s="1"/>
  <c r="Q1412" i="1"/>
  <c r="Q1411" i="1"/>
  <c r="Q1410" i="1"/>
  <c r="Q1409" i="1"/>
  <c r="S1409" i="1" s="1"/>
  <c r="Q1408" i="1"/>
  <c r="S1408" i="1" s="1"/>
  <c r="Q1407" i="1"/>
  <c r="S1407" i="1" s="1"/>
  <c r="Q1406" i="1"/>
  <c r="S1406" i="1" s="1"/>
  <c r="Q1405" i="1"/>
  <c r="Q1404" i="1"/>
  <c r="S1404" i="1" s="1"/>
  <c r="Q1403" i="1"/>
  <c r="S1403" i="1" s="1"/>
  <c r="Q1402" i="1"/>
  <c r="S1402" i="1" s="1"/>
  <c r="Q1401" i="1"/>
  <c r="S1401" i="1" s="1"/>
  <c r="Q1400" i="1"/>
  <c r="S1400" i="1" s="1"/>
  <c r="Q1399" i="1"/>
  <c r="Q1398" i="1"/>
  <c r="Q1397" i="1"/>
  <c r="S1397" i="1" s="1"/>
  <c r="Q1396" i="1"/>
  <c r="S1396" i="1" s="1"/>
  <c r="Q1395" i="1"/>
  <c r="S1395" i="1" s="1"/>
  <c r="Q1394" i="1"/>
  <c r="S1394" i="1" s="1"/>
  <c r="Q1393" i="1"/>
  <c r="Q1392" i="1"/>
  <c r="S1392" i="1" s="1"/>
  <c r="Q1391" i="1"/>
  <c r="S1391" i="1" s="1"/>
  <c r="Q1390" i="1"/>
  <c r="S1390" i="1" s="1"/>
  <c r="Q1389" i="1"/>
  <c r="S1389" i="1" s="1"/>
  <c r="Q1388" i="1"/>
  <c r="Q1387" i="1"/>
  <c r="Q1386" i="1"/>
  <c r="Q1385" i="1"/>
  <c r="S1385" i="1" s="1"/>
  <c r="Q1384" i="1"/>
  <c r="S1384" i="1" s="1"/>
  <c r="Q1383" i="1"/>
  <c r="S1383" i="1" s="1"/>
  <c r="Q1382" i="1"/>
  <c r="S1382" i="1" s="1"/>
  <c r="Q1381" i="1"/>
  <c r="Q1380" i="1"/>
  <c r="S1380" i="1" s="1"/>
  <c r="Q1379" i="1"/>
  <c r="S1379" i="1" s="1"/>
  <c r="Q1378" i="1"/>
  <c r="S1378" i="1" s="1"/>
  <c r="Q1377" i="1"/>
  <c r="S1377" i="1" s="1"/>
  <c r="Q1376" i="1"/>
  <c r="Q1375" i="1"/>
  <c r="Q1374" i="1"/>
  <c r="Q1373" i="1"/>
  <c r="S1373" i="1" s="1"/>
  <c r="Q1372" i="1"/>
  <c r="S1372" i="1" s="1"/>
  <c r="Q1371" i="1"/>
  <c r="S1371" i="1" s="1"/>
  <c r="Q1370" i="1"/>
  <c r="S1370" i="1" s="1"/>
  <c r="Q1369" i="1"/>
  <c r="Q1368" i="1"/>
  <c r="S1368" i="1" s="1"/>
  <c r="Q1367" i="1"/>
  <c r="S1367" i="1" s="1"/>
  <c r="Q1366" i="1"/>
  <c r="S1366" i="1" s="1"/>
  <c r="Q1365" i="1"/>
  <c r="S1365" i="1" s="1"/>
  <c r="Q1364" i="1"/>
  <c r="S1364" i="1" s="1"/>
  <c r="Q1363" i="1"/>
  <c r="Q1362" i="1"/>
  <c r="Q1361" i="1"/>
  <c r="S1361" i="1" s="1"/>
  <c r="Q1360" i="1"/>
  <c r="S1360" i="1" s="1"/>
  <c r="Q1359" i="1"/>
  <c r="S1359" i="1" s="1"/>
  <c r="Q1358" i="1"/>
  <c r="S1358" i="1" s="1"/>
  <c r="Q1357" i="1"/>
  <c r="Q1356" i="1"/>
  <c r="S1356" i="1" s="1"/>
  <c r="Q1355" i="1"/>
  <c r="S1355" i="1" s="1"/>
  <c r="Q1354" i="1"/>
  <c r="S1354" i="1" s="1"/>
  <c r="Q1353" i="1"/>
  <c r="S1353" i="1" s="1"/>
  <c r="Q1352" i="1"/>
  <c r="S1352" i="1" s="1"/>
  <c r="Q1351" i="1"/>
  <c r="Q1350" i="1"/>
  <c r="Q1349" i="1"/>
  <c r="S1349" i="1" s="1"/>
  <c r="Q1348" i="1"/>
  <c r="S1348" i="1" s="1"/>
  <c r="Q1347" i="1"/>
  <c r="S1347" i="1" s="1"/>
  <c r="Q1346" i="1"/>
  <c r="S1346" i="1" s="1"/>
  <c r="Q1345" i="1"/>
  <c r="Q1344" i="1"/>
  <c r="S1344" i="1" s="1"/>
  <c r="Q1343" i="1"/>
  <c r="S1343" i="1" s="1"/>
  <c r="Q1342" i="1"/>
  <c r="S1342" i="1" s="1"/>
  <c r="Q1341" i="1"/>
  <c r="S1341" i="1" s="1"/>
  <c r="Q1340" i="1"/>
  <c r="Q1339" i="1"/>
  <c r="Q1338" i="1"/>
  <c r="Q1337" i="1"/>
  <c r="S1337" i="1" s="1"/>
  <c r="Q1336" i="1"/>
  <c r="S1336" i="1" s="1"/>
  <c r="Q1335" i="1"/>
  <c r="S1335" i="1" s="1"/>
  <c r="Q1334" i="1"/>
  <c r="S1334" i="1" s="1"/>
  <c r="Q1333" i="1"/>
  <c r="Q1332" i="1"/>
  <c r="S1332" i="1" s="1"/>
  <c r="Q1331" i="1"/>
  <c r="S1331" i="1" s="1"/>
  <c r="Q1330" i="1"/>
  <c r="S1330" i="1" s="1"/>
  <c r="Q1329" i="1"/>
  <c r="S1329" i="1" s="1"/>
  <c r="Q1328" i="1"/>
  <c r="S1328" i="1" s="1"/>
  <c r="Q1327" i="1"/>
  <c r="Q1326" i="1"/>
  <c r="Q1325" i="1"/>
  <c r="S1325" i="1" s="1"/>
  <c r="Q1324" i="1"/>
  <c r="S1324" i="1" s="1"/>
  <c r="Q1323" i="1"/>
  <c r="S1323" i="1" s="1"/>
  <c r="Q1322" i="1"/>
  <c r="S1322" i="1" s="1"/>
  <c r="Q1321" i="1"/>
  <c r="Q1320" i="1"/>
  <c r="S1320" i="1" s="1"/>
  <c r="Q1319" i="1"/>
  <c r="S1319" i="1" s="1"/>
  <c r="Q1318" i="1"/>
  <c r="S1318" i="1" s="1"/>
  <c r="Q1317" i="1"/>
  <c r="S1317" i="1" s="1"/>
  <c r="Q1316" i="1"/>
  <c r="Q1315" i="1"/>
  <c r="Q1314" i="1"/>
  <c r="Q1313" i="1"/>
  <c r="S1313" i="1" s="1"/>
  <c r="Q1312" i="1"/>
  <c r="S1312" i="1" s="1"/>
  <c r="Q1311" i="1"/>
  <c r="S1311" i="1" s="1"/>
  <c r="Q1310" i="1"/>
  <c r="S1310" i="1" s="1"/>
  <c r="Q1309" i="1"/>
  <c r="Q1308" i="1"/>
  <c r="S1308" i="1" s="1"/>
  <c r="Q1307" i="1"/>
  <c r="S1307" i="1" s="1"/>
  <c r="Q1306" i="1"/>
  <c r="S1306" i="1" s="1"/>
  <c r="Q1305" i="1"/>
  <c r="S1305" i="1" s="1"/>
  <c r="Q1304" i="1"/>
  <c r="Q1303" i="1"/>
  <c r="Q1302" i="1"/>
  <c r="Q1301" i="1"/>
  <c r="S1301" i="1" s="1"/>
  <c r="Q1300" i="1"/>
  <c r="S1300" i="1" s="1"/>
  <c r="Q1299" i="1"/>
  <c r="S1299" i="1" s="1"/>
  <c r="Q1298" i="1"/>
  <c r="S1298" i="1" s="1"/>
  <c r="Q1297" i="1"/>
  <c r="Q1296" i="1"/>
  <c r="S1296" i="1" s="1"/>
  <c r="Q1295" i="1"/>
  <c r="S1295" i="1" s="1"/>
  <c r="Q1294" i="1"/>
  <c r="S1294" i="1" s="1"/>
  <c r="Q1293" i="1"/>
  <c r="S1293" i="1" s="1"/>
  <c r="Q1292" i="1"/>
  <c r="S1292" i="1" s="1"/>
  <c r="Q1291" i="1"/>
  <c r="Q1290" i="1"/>
  <c r="Q1289" i="1"/>
  <c r="S1289" i="1" s="1"/>
  <c r="Q1288" i="1"/>
  <c r="S1288" i="1" s="1"/>
  <c r="Q1287" i="1"/>
  <c r="S1287" i="1" s="1"/>
  <c r="Q1286" i="1"/>
  <c r="S1286" i="1" s="1"/>
  <c r="Q1285" i="1"/>
  <c r="Q1284" i="1"/>
  <c r="S1284" i="1" s="1"/>
  <c r="Q1283" i="1"/>
  <c r="S1283" i="1" s="1"/>
  <c r="Q1282" i="1"/>
  <c r="S1282" i="1" s="1"/>
  <c r="Q1281" i="1"/>
  <c r="S1281" i="1" s="1"/>
  <c r="Q1280" i="1"/>
  <c r="Q1279" i="1"/>
  <c r="Q1278" i="1"/>
  <c r="Q1277" i="1"/>
  <c r="S1277" i="1" s="1"/>
  <c r="Q1276" i="1"/>
  <c r="S1276" i="1" s="1"/>
  <c r="Q1275" i="1"/>
  <c r="S1275" i="1" s="1"/>
  <c r="Q1274" i="1"/>
  <c r="S1274" i="1" s="1"/>
  <c r="Q1273" i="1"/>
  <c r="Q1272" i="1"/>
  <c r="S1272" i="1" s="1"/>
  <c r="Q1271" i="1"/>
  <c r="S1271" i="1" s="1"/>
  <c r="Q1270" i="1"/>
  <c r="S1270" i="1" s="1"/>
  <c r="Q1269" i="1"/>
  <c r="S1269" i="1" s="1"/>
  <c r="Q1268" i="1"/>
  <c r="Q1267" i="1"/>
  <c r="Q1266" i="1"/>
  <c r="Q1265" i="1"/>
  <c r="S1265" i="1" s="1"/>
  <c r="Q1264" i="1"/>
  <c r="S1264" i="1" s="1"/>
  <c r="Q1263" i="1"/>
  <c r="S1263" i="1" s="1"/>
  <c r="Q1262" i="1"/>
  <c r="S1262" i="1" s="1"/>
  <c r="Q1261" i="1"/>
  <c r="Q1260" i="1"/>
  <c r="S1260" i="1" s="1"/>
  <c r="Q1259" i="1"/>
  <c r="S1259" i="1" s="1"/>
  <c r="Q1258" i="1"/>
  <c r="S1258" i="1" s="1"/>
  <c r="Q1257" i="1"/>
  <c r="S1257" i="1" s="1"/>
  <c r="Q1256" i="1"/>
  <c r="S1256" i="1" s="1"/>
  <c r="Q1255" i="1"/>
  <c r="Q1254" i="1"/>
  <c r="Q1253" i="1"/>
  <c r="S1253" i="1" s="1"/>
  <c r="Q1252" i="1"/>
  <c r="S1252" i="1" s="1"/>
  <c r="Q1251" i="1"/>
  <c r="S1251" i="1" s="1"/>
  <c r="Q1250" i="1"/>
  <c r="S1250" i="1" s="1"/>
  <c r="Q1249" i="1"/>
  <c r="Q1248" i="1"/>
  <c r="S1248" i="1" s="1"/>
  <c r="Q1247" i="1"/>
  <c r="S1247" i="1" s="1"/>
  <c r="Q1246" i="1"/>
  <c r="S1246" i="1" s="1"/>
  <c r="Q1245" i="1"/>
  <c r="S1245" i="1" s="1"/>
  <c r="Q1244" i="1"/>
  <c r="S1244" i="1" s="1"/>
  <c r="Q1243" i="1"/>
  <c r="Q1242" i="1"/>
  <c r="Q1241" i="1"/>
  <c r="S1241" i="1" s="1"/>
  <c r="Q1240" i="1"/>
  <c r="S1240" i="1" s="1"/>
  <c r="Q1239" i="1"/>
  <c r="S1239" i="1" s="1"/>
  <c r="Q1238" i="1"/>
  <c r="S1238" i="1" s="1"/>
  <c r="Q1237" i="1"/>
  <c r="Q1236" i="1"/>
  <c r="S1236" i="1" s="1"/>
  <c r="Q1235" i="1"/>
  <c r="S1235" i="1" s="1"/>
  <c r="Q1234" i="1"/>
  <c r="S1234" i="1" s="1"/>
  <c r="Q1233" i="1"/>
  <c r="S1233" i="1" s="1"/>
  <c r="Q1232" i="1"/>
  <c r="Q1231" i="1"/>
  <c r="Q1230" i="1"/>
  <c r="Q1229" i="1"/>
  <c r="S1229" i="1" s="1"/>
  <c r="Q1228" i="1"/>
  <c r="S1228" i="1" s="1"/>
  <c r="Q1227" i="1"/>
  <c r="S1227" i="1" s="1"/>
  <c r="Q1226" i="1"/>
  <c r="S1226" i="1" s="1"/>
  <c r="Q1225" i="1"/>
  <c r="Q1224" i="1"/>
  <c r="S1224" i="1" s="1"/>
  <c r="Q1223" i="1"/>
  <c r="S1223" i="1" s="1"/>
  <c r="Q1222" i="1"/>
  <c r="S1222" i="1" s="1"/>
  <c r="Q1221" i="1"/>
  <c r="S1221" i="1" s="1"/>
  <c r="Q1220" i="1"/>
  <c r="S1220" i="1" s="1"/>
  <c r="Q1219" i="1"/>
  <c r="Q1218" i="1"/>
  <c r="Q1217" i="1"/>
  <c r="S1217" i="1" s="1"/>
  <c r="Q1216" i="1"/>
  <c r="S1216" i="1" s="1"/>
  <c r="Q1215" i="1"/>
  <c r="S1215" i="1" s="1"/>
  <c r="Q1214" i="1"/>
  <c r="S1214" i="1" s="1"/>
  <c r="Q1213" i="1"/>
  <c r="Q1212" i="1"/>
  <c r="S1212" i="1" s="1"/>
  <c r="Q1211" i="1"/>
  <c r="S1211" i="1" s="1"/>
  <c r="Q1210" i="1"/>
  <c r="S1210" i="1" s="1"/>
  <c r="Q1209" i="1"/>
  <c r="S1209" i="1" s="1"/>
  <c r="Q1208" i="1"/>
  <c r="S1208" i="1" s="1"/>
  <c r="Q1207" i="1"/>
  <c r="Q1206" i="1"/>
  <c r="Q1205" i="1"/>
  <c r="S1205" i="1" s="1"/>
  <c r="Q1204" i="1"/>
  <c r="S1204" i="1" s="1"/>
  <c r="Q1203" i="1"/>
  <c r="S1203" i="1" s="1"/>
  <c r="Q1202" i="1"/>
  <c r="S1202" i="1" s="1"/>
  <c r="Q1201" i="1"/>
  <c r="Q1200" i="1"/>
  <c r="S1200" i="1" s="1"/>
  <c r="Q1199" i="1"/>
  <c r="S1199" i="1" s="1"/>
  <c r="Q1198" i="1"/>
  <c r="S1198" i="1" s="1"/>
  <c r="Q1197" i="1"/>
  <c r="S1197" i="1" s="1"/>
  <c r="Q1196" i="1"/>
  <c r="S1196" i="1" s="1"/>
  <c r="Q1195" i="1"/>
  <c r="Q1194" i="1"/>
  <c r="Q1193" i="1"/>
  <c r="S1193" i="1" s="1"/>
  <c r="Q1192" i="1"/>
  <c r="S1192" i="1" s="1"/>
  <c r="Q1191" i="1"/>
  <c r="S1191" i="1" s="1"/>
  <c r="Q1190" i="1"/>
  <c r="S1190" i="1" s="1"/>
  <c r="Q1189" i="1"/>
  <c r="Q1188" i="1"/>
  <c r="S1188" i="1" s="1"/>
  <c r="Q1187" i="1"/>
  <c r="S1187" i="1" s="1"/>
  <c r="Q1186" i="1"/>
  <c r="S1186" i="1" s="1"/>
  <c r="Q1185" i="1"/>
  <c r="S1185" i="1" s="1"/>
  <c r="Q1184" i="1"/>
  <c r="S1184" i="1" s="1"/>
  <c r="Q1183" i="1"/>
  <c r="Q1182" i="1"/>
  <c r="Q1181" i="1"/>
  <c r="S1181" i="1" s="1"/>
  <c r="Q1180" i="1"/>
  <c r="S1180" i="1" s="1"/>
  <c r="Q1179" i="1"/>
  <c r="S1179" i="1" s="1"/>
  <c r="Q1178" i="1"/>
  <c r="S1178" i="1" s="1"/>
  <c r="Q1177" i="1"/>
  <c r="Q1176" i="1"/>
  <c r="S1176" i="1" s="1"/>
  <c r="Q1175" i="1"/>
  <c r="S1175" i="1" s="1"/>
  <c r="Q1174" i="1"/>
  <c r="S1174" i="1" s="1"/>
  <c r="Q1173" i="1"/>
  <c r="S1173" i="1" s="1"/>
  <c r="Q1172" i="1"/>
  <c r="S1172" i="1" s="1"/>
  <c r="Q1171" i="1"/>
  <c r="Q1170" i="1"/>
  <c r="Q1169" i="1"/>
  <c r="S1169" i="1" s="1"/>
  <c r="Q1168" i="1"/>
  <c r="S1168" i="1" s="1"/>
  <c r="Q1167" i="1"/>
  <c r="S1167" i="1" s="1"/>
  <c r="Q1166" i="1"/>
  <c r="S1166" i="1" s="1"/>
  <c r="Q1165" i="1"/>
  <c r="Q1164" i="1"/>
  <c r="S1164" i="1" s="1"/>
  <c r="Q1163" i="1"/>
  <c r="S1163" i="1" s="1"/>
  <c r="Q1162" i="1"/>
  <c r="S1162" i="1" s="1"/>
  <c r="Q1161" i="1"/>
  <c r="S1161" i="1" s="1"/>
  <c r="Q1160" i="1"/>
  <c r="S1160" i="1" s="1"/>
  <c r="Q1159" i="1"/>
  <c r="Q1158" i="1"/>
  <c r="Q1157" i="1"/>
  <c r="S1157" i="1" s="1"/>
  <c r="Q1156" i="1"/>
  <c r="S1156" i="1" s="1"/>
  <c r="Q1155" i="1"/>
  <c r="S1155" i="1" s="1"/>
  <c r="Q1154" i="1"/>
  <c r="S1154" i="1" s="1"/>
  <c r="Q1153" i="1"/>
  <c r="Q1152" i="1"/>
  <c r="S1152" i="1" s="1"/>
  <c r="Q1151" i="1"/>
  <c r="S1151" i="1" s="1"/>
  <c r="Q1150" i="1"/>
  <c r="S1150" i="1" s="1"/>
  <c r="Q1149" i="1"/>
  <c r="S1149" i="1" s="1"/>
  <c r="Q1148" i="1"/>
  <c r="Q1147" i="1"/>
  <c r="Q1146" i="1"/>
  <c r="Q1145" i="1"/>
  <c r="S1145" i="1" s="1"/>
  <c r="Q1144" i="1"/>
  <c r="S1144" i="1" s="1"/>
  <c r="Q1143" i="1"/>
  <c r="S1143" i="1" s="1"/>
  <c r="Q1142" i="1"/>
  <c r="S1142" i="1" s="1"/>
  <c r="Q1141" i="1"/>
  <c r="Q1140" i="1"/>
  <c r="S1140" i="1" s="1"/>
  <c r="Q1139" i="1"/>
  <c r="S1139" i="1" s="1"/>
  <c r="Q1138" i="1"/>
  <c r="S1138" i="1" s="1"/>
  <c r="Q1137" i="1"/>
  <c r="S1137" i="1" s="1"/>
  <c r="Q1136" i="1"/>
  <c r="S1136" i="1" s="1"/>
  <c r="Q1135" i="1"/>
  <c r="Q1134" i="1"/>
  <c r="Q1133" i="1"/>
  <c r="S1133" i="1" s="1"/>
  <c r="Q1132" i="1"/>
  <c r="S1132" i="1" s="1"/>
  <c r="Q1131" i="1"/>
  <c r="S1131" i="1" s="1"/>
  <c r="Q1130" i="1"/>
  <c r="S1130" i="1" s="1"/>
  <c r="Q1129" i="1"/>
  <c r="Q1128" i="1"/>
  <c r="S1128" i="1" s="1"/>
  <c r="Q1127" i="1"/>
  <c r="S1127" i="1" s="1"/>
  <c r="Q1126" i="1"/>
  <c r="S1126" i="1" s="1"/>
  <c r="Q1125" i="1"/>
  <c r="S1125" i="1" s="1"/>
  <c r="Q1124" i="1"/>
  <c r="S1124" i="1" s="1"/>
  <c r="Q1123" i="1"/>
  <c r="Q1122" i="1"/>
  <c r="Q1121" i="1"/>
  <c r="S1121" i="1" s="1"/>
  <c r="Q1120" i="1"/>
  <c r="S1120" i="1" s="1"/>
  <c r="Q1119" i="1"/>
  <c r="S1119" i="1" s="1"/>
  <c r="Q1118" i="1"/>
  <c r="S1118" i="1" s="1"/>
  <c r="Q1117" i="1"/>
  <c r="Q1116" i="1"/>
  <c r="S1116" i="1" s="1"/>
  <c r="Q1115" i="1"/>
  <c r="S1115" i="1" s="1"/>
  <c r="Q1114" i="1"/>
  <c r="S1114" i="1" s="1"/>
  <c r="Q1113" i="1"/>
  <c r="Q1112" i="1"/>
  <c r="Q1111" i="1"/>
  <c r="Q1110" i="1"/>
  <c r="Q1109" i="1"/>
  <c r="S1109" i="1" s="1"/>
  <c r="Q1108" i="1"/>
  <c r="S1108" i="1" s="1"/>
  <c r="Q1107" i="1"/>
  <c r="S1107" i="1" s="1"/>
  <c r="Q1106" i="1"/>
  <c r="S1106" i="1" s="1"/>
  <c r="Q1105" i="1"/>
  <c r="Q1104" i="1"/>
  <c r="S1104" i="1" s="1"/>
  <c r="Q1103" i="1"/>
  <c r="S1103" i="1" s="1"/>
  <c r="Q1102" i="1"/>
  <c r="S1102" i="1" s="1"/>
  <c r="Q1101" i="1"/>
  <c r="S1101" i="1" s="1"/>
  <c r="Q1100" i="1"/>
  <c r="Q1099" i="1"/>
  <c r="Q1098" i="1"/>
  <c r="Q1097" i="1"/>
  <c r="S1097" i="1" s="1"/>
  <c r="Q1096" i="1"/>
  <c r="S1096" i="1" s="1"/>
  <c r="Q1095" i="1"/>
  <c r="S1095" i="1" s="1"/>
  <c r="Q1094" i="1"/>
  <c r="S1094" i="1" s="1"/>
  <c r="Q1093" i="1"/>
  <c r="Q1092" i="1"/>
  <c r="S1092" i="1" s="1"/>
  <c r="Q1091" i="1"/>
  <c r="S1091" i="1" s="1"/>
  <c r="Q1090" i="1"/>
  <c r="S1090" i="1" s="1"/>
  <c r="Q1089" i="1"/>
  <c r="S1089" i="1" s="1"/>
  <c r="Q1088" i="1"/>
  <c r="Q1087" i="1"/>
  <c r="Q1086" i="1"/>
  <c r="Q1085" i="1"/>
  <c r="S1085" i="1" s="1"/>
  <c r="Q1084" i="1"/>
  <c r="S1084" i="1" s="1"/>
  <c r="Q1083" i="1"/>
  <c r="S1083" i="1" s="1"/>
  <c r="Q1082" i="1"/>
  <c r="S1082" i="1" s="1"/>
  <c r="Q1081" i="1"/>
  <c r="Q1080" i="1"/>
  <c r="S1080" i="1" s="1"/>
  <c r="Q1079" i="1"/>
  <c r="S1079" i="1" s="1"/>
  <c r="Q1078" i="1"/>
  <c r="S1078" i="1" s="1"/>
  <c r="Q1077" i="1"/>
  <c r="S1077" i="1" s="1"/>
  <c r="Q1076" i="1"/>
  <c r="S1076" i="1" s="1"/>
  <c r="Q1075" i="1"/>
  <c r="Q1074" i="1"/>
  <c r="Q1073" i="1"/>
  <c r="S1073" i="1" s="1"/>
  <c r="Q1072" i="1"/>
  <c r="S1072" i="1" s="1"/>
  <c r="Q1071" i="1"/>
  <c r="S1071" i="1" s="1"/>
  <c r="Q1070" i="1"/>
  <c r="S1070" i="1" s="1"/>
  <c r="Q1069" i="1"/>
  <c r="Q1068" i="1"/>
  <c r="S1068" i="1" s="1"/>
  <c r="Q1067" i="1"/>
  <c r="S1067" i="1" s="1"/>
  <c r="Q1066" i="1"/>
  <c r="S1066" i="1" s="1"/>
  <c r="Q1065" i="1"/>
  <c r="Q1064" i="1"/>
  <c r="S1064" i="1" s="1"/>
  <c r="Q1063" i="1"/>
  <c r="Q1062" i="1"/>
  <c r="Q1061" i="1"/>
  <c r="S1061" i="1" s="1"/>
  <c r="Q1060" i="1"/>
  <c r="S1060" i="1" s="1"/>
  <c r="Q1059" i="1"/>
  <c r="S1059" i="1" s="1"/>
  <c r="Q1058" i="1"/>
  <c r="S1058" i="1" s="1"/>
  <c r="Q1057" i="1"/>
  <c r="Q1056" i="1"/>
  <c r="S1056" i="1" s="1"/>
  <c r="Q1055" i="1"/>
  <c r="S1055" i="1" s="1"/>
  <c r="Q1054" i="1"/>
  <c r="S1054" i="1" s="1"/>
  <c r="Q1053" i="1"/>
  <c r="S1053" i="1" s="1"/>
  <c r="Q1052" i="1"/>
  <c r="Q1051" i="1"/>
  <c r="Q1050" i="1"/>
  <c r="Q1049" i="1"/>
  <c r="S1049" i="1" s="1"/>
  <c r="Q1048" i="1"/>
  <c r="S1048" i="1" s="1"/>
  <c r="Q1047" i="1"/>
  <c r="S1047" i="1" s="1"/>
  <c r="Q1046" i="1"/>
  <c r="S1046" i="1" s="1"/>
  <c r="Q1045" i="1"/>
  <c r="Q1044" i="1"/>
  <c r="S1044" i="1" s="1"/>
  <c r="Q1043" i="1"/>
  <c r="S1043" i="1" s="1"/>
  <c r="Q1042" i="1"/>
  <c r="S1042" i="1" s="1"/>
  <c r="Q1041" i="1"/>
  <c r="S1041" i="1" s="1"/>
  <c r="Q1040" i="1"/>
  <c r="S1040" i="1" s="1"/>
  <c r="Q1039" i="1"/>
  <c r="Q1038" i="1"/>
  <c r="Q1037" i="1"/>
  <c r="S1037" i="1" s="1"/>
  <c r="Q1036" i="1"/>
  <c r="S1036" i="1" s="1"/>
  <c r="Q1035" i="1"/>
  <c r="S1035" i="1" s="1"/>
  <c r="Q1034" i="1"/>
  <c r="S1034" i="1" s="1"/>
  <c r="Q1033" i="1"/>
  <c r="Q1032" i="1"/>
  <c r="S1032" i="1" s="1"/>
  <c r="Q1031" i="1"/>
  <c r="S1031" i="1" s="1"/>
  <c r="Q1030" i="1"/>
  <c r="S1030" i="1" s="1"/>
  <c r="Q1029" i="1"/>
  <c r="S1029" i="1" s="1"/>
  <c r="Q1028" i="1"/>
  <c r="S1028" i="1" s="1"/>
  <c r="Q1027" i="1"/>
  <c r="Q1026" i="1"/>
  <c r="Q1025" i="1"/>
  <c r="S1025" i="1" s="1"/>
  <c r="Q1024" i="1"/>
  <c r="S1024" i="1" s="1"/>
  <c r="Q1023" i="1"/>
  <c r="S1023" i="1" s="1"/>
  <c r="Q1022" i="1"/>
  <c r="S1022" i="1" s="1"/>
  <c r="Q1021" i="1"/>
  <c r="Q1020" i="1"/>
  <c r="S1020" i="1" s="1"/>
  <c r="Q1019" i="1"/>
  <c r="S1019" i="1" s="1"/>
  <c r="Q1018" i="1"/>
  <c r="S1018" i="1" s="1"/>
  <c r="Q1017" i="1"/>
  <c r="S1017" i="1" s="1"/>
  <c r="Q1016" i="1"/>
  <c r="S1016" i="1" s="1"/>
  <c r="Q1015" i="1"/>
  <c r="Q1014" i="1"/>
  <c r="Q1013" i="1"/>
  <c r="S1013" i="1" s="1"/>
  <c r="Q1012" i="1"/>
  <c r="S1012" i="1" s="1"/>
  <c r="Q1011" i="1"/>
  <c r="S1011" i="1" s="1"/>
  <c r="Q1010" i="1"/>
  <c r="S1010" i="1" s="1"/>
  <c r="Q1009" i="1"/>
  <c r="Q1008" i="1"/>
  <c r="S1008" i="1" s="1"/>
  <c r="Q1007" i="1"/>
  <c r="S1007" i="1" s="1"/>
  <c r="Q1006" i="1"/>
  <c r="S1006" i="1" s="1"/>
  <c r="Q1005" i="1"/>
  <c r="S1005" i="1" s="1"/>
  <c r="Q1004" i="1"/>
  <c r="Q1003" i="1"/>
  <c r="Q1002" i="1"/>
  <c r="Q1001" i="1"/>
  <c r="S1001" i="1" s="1"/>
  <c r="Q1000" i="1"/>
  <c r="S1000" i="1" s="1"/>
  <c r="Q999" i="1"/>
  <c r="S999" i="1" s="1"/>
  <c r="Q998" i="1"/>
  <c r="S998" i="1" s="1"/>
  <c r="Q997" i="1"/>
  <c r="Q996" i="1"/>
  <c r="S996" i="1" s="1"/>
  <c r="Q995" i="1"/>
  <c r="S995" i="1" s="1"/>
  <c r="Q994" i="1"/>
  <c r="S994" i="1" s="1"/>
  <c r="Q993" i="1"/>
  <c r="S993" i="1" s="1"/>
  <c r="Q992" i="1"/>
  <c r="S992" i="1" s="1"/>
  <c r="Q991" i="1"/>
  <c r="S991" i="1" s="1"/>
  <c r="Q990" i="1"/>
  <c r="Q989" i="1"/>
  <c r="S989" i="1" s="1"/>
  <c r="Q988" i="1"/>
  <c r="S988" i="1" s="1"/>
  <c r="Q987" i="1"/>
  <c r="S987" i="1" s="1"/>
  <c r="Q986" i="1"/>
  <c r="S986" i="1" s="1"/>
  <c r="Q985" i="1"/>
  <c r="Q984" i="1"/>
  <c r="S984" i="1" s="1"/>
  <c r="Q983" i="1"/>
  <c r="S983" i="1" s="1"/>
  <c r="Q982" i="1"/>
  <c r="S982" i="1" s="1"/>
  <c r="Q981" i="1"/>
  <c r="S981" i="1" s="1"/>
  <c r="Q980" i="1"/>
  <c r="S980" i="1" s="1"/>
  <c r="Q979" i="1"/>
  <c r="Q978" i="1"/>
  <c r="Q977" i="1"/>
  <c r="S977" i="1" s="1"/>
  <c r="Q976" i="1"/>
  <c r="S976" i="1" s="1"/>
  <c r="Q975" i="1"/>
  <c r="S975" i="1" s="1"/>
  <c r="Q974" i="1"/>
  <c r="S974" i="1" s="1"/>
  <c r="Q973" i="1"/>
  <c r="Q972" i="1"/>
  <c r="S972" i="1" s="1"/>
  <c r="Q971" i="1"/>
  <c r="S971" i="1" s="1"/>
  <c r="Q970" i="1"/>
  <c r="S970" i="1" s="1"/>
  <c r="Q969" i="1"/>
  <c r="S969" i="1" s="1"/>
  <c r="Q968" i="1"/>
  <c r="S968" i="1" s="1"/>
  <c r="Q967" i="1"/>
  <c r="Q966" i="1"/>
  <c r="Q965" i="1"/>
  <c r="S965" i="1" s="1"/>
  <c r="Q964" i="1"/>
  <c r="S964" i="1" s="1"/>
  <c r="Q963" i="1"/>
  <c r="S963" i="1" s="1"/>
  <c r="Q962" i="1"/>
  <c r="S962" i="1" s="1"/>
  <c r="Q961" i="1"/>
  <c r="Q960" i="1"/>
  <c r="S960" i="1" s="1"/>
  <c r="Q959" i="1"/>
  <c r="S959" i="1" s="1"/>
  <c r="Q958" i="1"/>
  <c r="S958" i="1" s="1"/>
  <c r="Q957" i="1"/>
  <c r="S957" i="1" s="1"/>
  <c r="Q956" i="1"/>
  <c r="Q955" i="1"/>
  <c r="Q954" i="1"/>
  <c r="Q953" i="1"/>
  <c r="S953" i="1" s="1"/>
  <c r="Q952" i="1"/>
  <c r="S952" i="1" s="1"/>
  <c r="Q951" i="1"/>
  <c r="S951" i="1" s="1"/>
  <c r="Q950" i="1"/>
  <c r="S950" i="1" s="1"/>
  <c r="Q949" i="1"/>
  <c r="Q948" i="1"/>
  <c r="S948" i="1" s="1"/>
  <c r="Q947" i="1"/>
  <c r="S947" i="1" s="1"/>
  <c r="Q946" i="1"/>
  <c r="S946" i="1" s="1"/>
  <c r="Q945" i="1"/>
  <c r="S945" i="1" s="1"/>
  <c r="Q944" i="1"/>
  <c r="Q943" i="1"/>
  <c r="Q942" i="1"/>
  <c r="Q941" i="1"/>
  <c r="S941" i="1" s="1"/>
  <c r="Q940" i="1"/>
  <c r="S940" i="1" s="1"/>
  <c r="Q939" i="1"/>
  <c r="S939" i="1" s="1"/>
  <c r="Q938" i="1"/>
  <c r="S938" i="1" s="1"/>
  <c r="Q937" i="1"/>
  <c r="Q936" i="1"/>
  <c r="S936" i="1" s="1"/>
  <c r="Q935" i="1"/>
  <c r="S935" i="1" s="1"/>
  <c r="Q934" i="1"/>
  <c r="S934" i="1" s="1"/>
  <c r="Q933" i="1"/>
  <c r="S933" i="1" s="1"/>
  <c r="Q932" i="1"/>
  <c r="S932" i="1" s="1"/>
  <c r="Q931" i="1"/>
  <c r="Q930" i="1"/>
  <c r="Q929" i="1"/>
  <c r="S929" i="1" s="1"/>
  <c r="Q928" i="1"/>
  <c r="S928" i="1" s="1"/>
  <c r="Q927" i="1"/>
  <c r="S927" i="1" s="1"/>
  <c r="Q926" i="1"/>
  <c r="S926" i="1" s="1"/>
  <c r="Q925" i="1"/>
  <c r="Q924" i="1"/>
  <c r="S924" i="1" s="1"/>
  <c r="Q923" i="1"/>
  <c r="S923" i="1" s="1"/>
  <c r="Q922" i="1"/>
  <c r="S922" i="1" s="1"/>
  <c r="Q921" i="1"/>
  <c r="S921" i="1" s="1"/>
  <c r="Q920" i="1"/>
  <c r="S920" i="1" s="1"/>
  <c r="Q919" i="1"/>
  <c r="Q918" i="1"/>
  <c r="Q917" i="1"/>
  <c r="S917" i="1" s="1"/>
  <c r="Q916" i="1"/>
  <c r="S916" i="1" s="1"/>
  <c r="Q915" i="1"/>
  <c r="S915" i="1" s="1"/>
  <c r="Q914" i="1"/>
  <c r="S914" i="1" s="1"/>
  <c r="Q913" i="1"/>
  <c r="Q912" i="1"/>
  <c r="S912" i="1" s="1"/>
  <c r="Q911" i="1"/>
  <c r="S911" i="1" s="1"/>
  <c r="Q910" i="1"/>
  <c r="S910" i="1" s="1"/>
  <c r="Q909" i="1"/>
  <c r="S909" i="1" s="1"/>
  <c r="Q908" i="1"/>
  <c r="Q907" i="1"/>
  <c r="Q906" i="1"/>
  <c r="Q905" i="1"/>
  <c r="S905" i="1" s="1"/>
  <c r="Q904" i="1"/>
  <c r="S904" i="1" s="1"/>
  <c r="Q903" i="1"/>
  <c r="S903" i="1" s="1"/>
  <c r="Q902" i="1"/>
  <c r="S902" i="1" s="1"/>
  <c r="Q901" i="1"/>
  <c r="Q900" i="1"/>
  <c r="S900" i="1" s="1"/>
  <c r="Q899" i="1"/>
  <c r="S899" i="1" s="1"/>
  <c r="Q898" i="1"/>
  <c r="S898" i="1" s="1"/>
  <c r="Q897" i="1"/>
  <c r="S897" i="1" s="1"/>
  <c r="Q896" i="1"/>
  <c r="S896" i="1" s="1"/>
  <c r="Q895" i="1"/>
  <c r="Q894" i="1"/>
  <c r="Q893" i="1"/>
  <c r="S893" i="1" s="1"/>
  <c r="Q892" i="1"/>
  <c r="S892" i="1" s="1"/>
  <c r="Q891" i="1"/>
  <c r="S891" i="1" s="1"/>
  <c r="Q890" i="1"/>
  <c r="S890" i="1" s="1"/>
  <c r="Q889" i="1"/>
  <c r="Q888" i="1"/>
  <c r="S888" i="1" s="1"/>
  <c r="Q887" i="1"/>
  <c r="S887" i="1" s="1"/>
  <c r="Q886" i="1"/>
  <c r="S886" i="1" s="1"/>
  <c r="Q885" i="1"/>
  <c r="S885" i="1" s="1"/>
  <c r="Q884" i="1"/>
  <c r="S884" i="1" s="1"/>
  <c r="Q883" i="1"/>
  <c r="Q882" i="1"/>
  <c r="Q881" i="1"/>
  <c r="S881" i="1" s="1"/>
  <c r="Q880" i="1"/>
  <c r="S880" i="1" s="1"/>
  <c r="Q879" i="1"/>
  <c r="S879" i="1" s="1"/>
  <c r="Q878" i="1"/>
  <c r="S878" i="1" s="1"/>
  <c r="Q877" i="1"/>
  <c r="Q876" i="1"/>
  <c r="S876" i="1" s="1"/>
  <c r="Q875" i="1"/>
  <c r="S875" i="1" s="1"/>
  <c r="Q874" i="1"/>
  <c r="S874" i="1" s="1"/>
  <c r="Q873" i="1"/>
  <c r="S873" i="1" s="1"/>
  <c r="Q872" i="1"/>
  <c r="S872" i="1" s="1"/>
  <c r="Q871" i="1"/>
  <c r="Q870" i="1"/>
  <c r="Q869" i="1"/>
  <c r="S869" i="1" s="1"/>
  <c r="Q868" i="1"/>
  <c r="S868" i="1" s="1"/>
  <c r="Q867" i="1"/>
  <c r="S867" i="1" s="1"/>
  <c r="Q866" i="1"/>
  <c r="S866" i="1" s="1"/>
  <c r="Q865" i="1"/>
  <c r="Q864" i="1"/>
  <c r="S864" i="1" s="1"/>
  <c r="Q863" i="1"/>
  <c r="S863" i="1" s="1"/>
  <c r="Q862" i="1"/>
  <c r="S862" i="1" s="1"/>
  <c r="Q861" i="1"/>
  <c r="S861" i="1" s="1"/>
  <c r="Q860" i="1"/>
  <c r="Q859" i="1"/>
  <c r="Q858" i="1"/>
  <c r="Q857" i="1"/>
  <c r="S857" i="1" s="1"/>
  <c r="Q856" i="1"/>
  <c r="S856" i="1" s="1"/>
  <c r="Q855" i="1"/>
  <c r="S855" i="1" s="1"/>
  <c r="Q854" i="1"/>
  <c r="S854" i="1" s="1"/>
  <c r="Q853" i="1"/>
  <c r="Q852" i="1"/>
  <c r="S852" i="1" s="1"/>
  <c r="Q851" i="1"/>
  <c r="S851" i="1" s="1"/>
  <c r="Q850" i="1"/>
  <c r="S850" i="1" s="1"/>
  <c r="Q849" i="1"/>
  <c r="S849" i="1" s="1"/>
  <c r="Q848" i="1"/>
  <c r="S848" i="1" s="1"/>
  <c r="Q847" i="1"/>
  <c r="Q846" i="1"/>
  <c r="Q845" i="1"/>
  <c r="S845" i="1" s="1"/>
  <c r="Q844" i="1"/>
  <c r="S844" i="1" s="1"/>
  <c r="Q843" i="1"/>
  <c r="S843" i="1" s="1"/>
  <c r="Q842" i="1"/>
  <c r="S842" i="1" s="1"/>
  <c r="Q841" i="1"/>
  <c r="Q840" i="1"/>
  <c r="Q839" i="1"/>
  <c r="S839" i="1" s="1"/>
  <c r="Q838" i="1"/>
  <c r="S838" i="1" s="1"/>
  <c r="Q837" i="1"/>
  <c r="S837" i="1" s="1"/>
  <c r="Q836" i="1"/>
  <c r="S836" i="1" s="1"/>
  <c r="Q835" i="1"/>
  <c r="Q834" i="1"/>
  <c r="Q833" i="1"/>
  <c r="S833" i="1" s="1"/>
  <c r="Q832" i="1"/>
  <c r="S832" i="1" s="1"/>
  <c r="Q831" i="1"/>
  <c r="S831" i="1" s="1"/>
  <c r="Q830" i="1"/>
  <c r="S830" i="1" s="1"/>
  <c r="Q829" i="1"/>
  <c r="Q828" i="1"/>
  <c r="S828" i="1" s="1"/>
  <c r="Q827" i="1"/>
  <c r="S827" i="1" s="1"/>
  <c r="Q826" i="1"/>
  <c r="S826" i="1" s="1"/>
  <c r="Q825" i="1"/>
  <c r="S825" i="1" s="1"/>
  <c r="Q824" i="1"/>
  <c r="Q823" i="1"/>
  <c r="Q822" i="1"/>
  <c r="Q821" i="1"/>
  <c r="S821" i="1" s="1"/>
  <c r="Q820" i="1"/>
  <c r="S820" i="1" s="1"/>
  <c r="Q819" i="1"/>
  <c r="S819" i="1" s="1"/>
  <c r="Q818" i="1"/>
  <c r="S818" i="1" s="1"/>
  <c r="Q817" i="1"/>
  <c r="Q816" i="1"/>
  <c r="S816" i="1" s="1"/>
  <c r="Q815" i="1"/>
  <c r="S815" i="1" s="1"/>
  <c r="Q814" i="1"/>
  <c r="S814" i="1" s="1"/>
  <c r="Q813" i="1"/>
  <c r="S813" i="1" s="1"/>
  <c r="Q812" i="1"/>
  <c r="Q811" i="1"/>
  <c r="Q810" i="1"/>
  <c r="Q809" i="1"/>
  <c r="S809" i="1" s="1"/>
  <c r="Q808" i="1"/>
  <c r="S808" i="1" s="1"/>
  <c r="Q807" i="1"/>
  <c r="S807" i="1" s="1"/>
  <c r="Q806" i="1"/>
  <c r="S806" i="1" s="1"/>
  <c r="Q805" i="1"/>
  <c r="Q804" i="1"/>
  <c r="S804" i="1" s="1"/>
  <c r="Q803" i="1"/>
  <c r="S803" i="1" s="1"/>
  <c r="Q802" i="1"/>
  <c r="S802" i="1" s="1"/>
  <c r="Q801" i="1"/>
  <c r="Q800" i="1"/>
  <c r="Q799" i="1"/>
  <c r="Q798" i="1"/>
  <c r="Q797" i="1"/>
  <c r="S797" i="1" s="1"/>
  <c r="Q796" i="1"/>
  <c r="S796" i="1" s="1"/>
  <c r="Q795" i="1"/>
  <c r="S795" i="1" s="1"/>
  <c r="Q794" i="1"/>
  <c r="Q793" i="1"/>
  <c r="Q792" i="1"/>
  <c r="S792" i="1" s="1"/>
  <c r="Q791" i="1"/>
  <c r="S791" i="1" s="1"/>
  <c r="Q790" i="1"/>
  <c r="S790" i="1" s="1"/>
  <c r="Q789" i="1"/>
  <c r="S789" i="1" s="1"/>
  <c r="Q788" i="1"/>
  <c r="S788" i="1" s="1"/>
  <c r="Q787" i="1"/>
  <c r="Q786" i="1"/>
  <c r="Q785" i="1"/>
  <c r="S785" i="1" s="1"/>
  <c r="Q784" i="1"/>
  <c r="S784" i="1" s="1"/>
  <c r="Q783" i="1"/>
  <c r="S783" i="1" s="1"/>
  <c r="Q782" i="1"/>
  <c r="S782" i="1" s="1"/>
  <c r="Q781" i="1"/>
  <c r="Q780" i="1"/>
  <c r="S780" i="1" s="1"/>
  <c r="Q779" i="1"/>
  <c r="S779" i="1" s="1"/>
  <c r="Q778" i="1"/>
  <c r="S778" i="1" s="1"/>
  <c r="Q777" i="1"/>
  <c r="S777" i="1" s="1"/>
  <c r="Q776" i="1"/>
  <c r="S776" i="1" s="1"/>
  <c r="Q775" i="1"/>
  <c r="Q774" i="1"/>
  <c r="Q773" i="1"/>
  <c r="S773" i="1" s="1"/>
  <c r="Q772" i="1"/>
  <c r="S772" i="1" s="1"/>
  <c r="Q771" i="1"/>
  <c r="S771" i="1" s="1"/>
  <c r="Q770" i="1"/>
  <c r="S770" i="1" s="1"/>
  <c r="Q769" i="1"/>
  <c r="Q768" i="1"/>
  <c r="S768" i="1" s="1"/>
  <c r="Q767" i="1"/>
  <c r="S767" i="1" s="1"/>
  <c r="Q766" i="1"/>
  <c r="S766" i="1" s="1"/>
  <c r="Q765" i="1"/>
  <c r="S765" i="1" s="1"/>
  <c r="Q764" i="1"/>
  <c r="Q763" i="1"/>
  <c r="Q762" i="1"/>
  <c r="Q761" i="1"/>
  <c r="S761" i="1" s="1"/>
  <c r="Q760" i="1"/>
  <c r="S760" i="1" s="1"/>
  <c r="Q759" i="1"/>
  <c r="S759" i="1" s="1"/>
  <c r="Q758" i="1"/>
  <c r="S758" i="1" s="1"/>
  <c r="Q757" i="1"/>
  <c r="Q756" i="1"/>
  <c r="S756" i="1" s="1"/>
  <c r="Q755" i="1"/>
  <c r="S755" i="1" s="1"/>
  <c r="Q754" i="1"/>
  <c r="S754" i="1" s="1"/>
  <c r="Q753" i="1"/>
  <c r="S753" i="1" s="1"/>
  <c r="Q752" i="1"/>
  <c r="Q751" i="1"/>
  <c r="Q750" i="1"/>
  <c r="Q749" i="1"/>
  <c r="S749" i="1" s="1"/>
  <c r="Q748" i="1"/>
  <c r="S748" i="1" s="1"/>
  <c r="Q747" i="1"/>
  <c r="S747" i="1" s="1"/>
  <c r="Q746" i="1"/>
  <c r="S746" i="1" s="1"/>
  <c r="Q745" i="1"/>
  <c r="Q744" i="1"/>
  <c r="S744" i="1" s="1"/>
  <c r="Q743" i="1"/>
  <c r="S743" i="1" s="1"/>
  <c r="Q742" i="1"/>
  <c r="S742" i="1" s="1"/>
  <c r="Q741" i="1"/>
  <c r="S741" i="1" s="1"/>
  <c r="Q740" i="1"/>
  <c r="Q739" i="1"/>
  <c r="Q738" i="1"/>
  <c r="Q737" i="1"/>
  <c r="S737" i="1" s="1"/>
  <c r="Q736" i="1"/>
  <c r="S736" i="1" s="1"/>
  <c r="Q735" i="1"/>
  <c r="S735" i="1" s="1"/>
  <c r="Q734" i="1"/>
  <c r="S734" i="1" s="1"/>
  <c r="Q733" i="1"/>
  <c r="Q732" i="1"/>
  <c r="S732" i="1" s="1"/>
  <c r="Q731" i="1"/>
  <c r="S731" i="1" s="1"/>
  <c r="Q730" i="1"/>
  <c r="S730" i="1" s="1"/>
  <c r="Q729" i="1"/>
  <c r="S729" i="1" s="1"/>
  <c r="Q728" i="1"/>
  <c r="Q727" i="1"/>
  <c r="Q726" i="1"/>
  <c r="Q725" i="1"/>
  <c r="S725" i="1" s="1"/>
  <c r="Q724" i="1"/>
  <c r="S724" i="1" s="1"/>
  <c r="Q723" i="1"/>
  <c r="S723" i="1" s="1"/>
  <c r="Q722" i="1"/>
  <c r="S722" i="1" s="1"/>
  <c r="Q721" i="1"/>
  <c r="Q720" i="1"/>
  <c r="S720" i="1" s="1"/>
  <c r="Q719" i="1"/>
  <c r="S719" i="1" s="1"/>
  <c r="Q718" i="1"/>
  <c r="S718" i="1" s="1"/>
  <c r="Q717" i="1"/>
  <c r="S717" i="1" s="1"/>
  <c r="Q716" i="1"/>
  <c r="Q715" i="1"/>
  <c r="Q714" i="1"/>
  <c r="Q713" i="1"/>
  <c r="S713" i="1" s="1"/>
  <c r="Q712" i="1"/>
  <c r="S712" i="1" s="1"/>
  <c r="Q711" i="1"/>
  <c r="S711" i="1" s="1"/>
  <c r="Q710" i="1"/>
  <c r="S710" i="1" s="1"/>
  <c r="Q709" i="1"/>
  <c r="Q708" i="1"/>
  <c r="S708" i="1" s="1"/>
  <c r="Q707" i="1"/>
  <c r="S707" i="1" s="1"/>
  <c r="Q706" i="1"/>
  <c r="S706" i="1" s="1"/>
  <c r="Q705" i="1"/>
  <c r="S705" i="1" s="1"/>
  <c r="Q704" i="1"/>
  <c r="Q703" i="1"/>
  <c r="Q702" i="1"/>
  <c r="Q701" i="1"/>
  <c r="S701" i="1" s="1"/>
  <c r="Q700" i="1"/>
  <c r="S700" i="1" s="1"/>
  <c r="Q699" i="1"/>
  <c r="S699" i="1" s="1"/>
  <c r="Q698" i="1"/>
  <c r="S698" i="1" s="1"/>
  <c r="Q697" i="1"/>
  <c r="Q696" i="1"/>
  <c r="S696" i="1" s="1"/>
  <c r="Q695" i="1"/>
  <c r="S695" i="1" s="1"/>
  <c r="Q694" i="1"/>
  <c r="S694" i="1" s="1"/>
  <c r="Q693" i="1"/>
  <c r="S693" i="1" s="1"/>
  <c r="Q692" i="1"/>
  <c r="Q691" i="1"/>
  <c r="Q690" i="1"/>
  <c r="Q689" i="1"/>
  <c r="S689" i="1" s="1"/>
  <c r="Q688" i="1"/>
  <c r="S688" i="1" s="1"/>
  <c r="Q687" i="1"/>
  <c r="S687" i="1" s="1"/>
  <c r="Q686" i="1"/>
  <c r="S686" i="1" s="1"/>
  <c r="Q685" i="1"/>
  <c r="Q684" i="1"/>
  <c r="S684" i="1" s="1"/>
  <c r="Q683" i="1"/>
  <c r="S683" i="1" s="1"/>
  <c r="Q682" i="1"/>
  <c r="S682" i="1" s="1"/>
  <c r="Q681" i="1"/>
  <c r="S681" i="1" s="1"/>
  <c r="Q680" i="1"/>
  <c r="S680" i="1" s="1"/>
  <c r="Q679" i="1"/>
  <c r="Q678" i="1"/>
  <c r="Q677" i="1"/>
  <c r="S677" i="1" s="1"/>
  <c r="Q676" i="1"/>
  <c r="S676" i="1" s="1"/>
  <c r="Q675" i="1"/>
  <c r="S675" i="1" s="1"/>
  <c r="Q674" i="1"/>
  <c r="S674" i="1" s="1"/>
  <c r="Q673" i="1"/>
  <c r="Q672" i="1"/>
  <c r="S672" i="1" s="1"/>
  <c r="Q671" i="1"/>
  <c r="S671" i="1" s="1"/>
  <c r="Q670" i="1"/>
  <c r="S670" i="1" s="1"/>
  <c r="Q669" i="1"/>
  <c r="S669" i="1" s="1"/>
  <c r="Q668" i="1"/>
  <c r="Q667" i="1"/>
  <c r="Q666" i="1"/>
  <c r="Q665" i="1"/>
  <c r="S665" i="1" s="1"/>
  <c r="Q664" i="1"/>
  <c r="S664" i="1" s="1"/>
  <c r="Q663" i="1"/>
  <c r="S663" i="1" s="1"/>
  <c r="Q662" i="1"/>
  <c r="S662" i="1" s="1"/>
  <c r="Q661" i="1"/>
  <c r="Q660" i="1"/>
  <c r="S660" i="1" s="1"/>
  <c r="Q659" i="1"/>
  <c r="S659" i="1" s="1"/>
  <c r="Q658" i="1"/>
  <c r="S658" i="1" s="1"/>
  <c r="Q657" i="1"/>
  <c r="S657" i="1" s="1"/>
  <c r="Q656" i="1"/>
  <c r="S656" i="1" s="1"/>
  <c r="Q655" i="1"/>
  <c r="Q654" i="1"/>
  <c r="Q653" i="1"/>
  <c r="S653" i="1" s="1"/>
  <c r="Q652" i="1"/>
  <c r="S652" i="1" s="1"/>
  <c r="Q651" i="1"/>
  <c r="S651" i="1" s="1"/>
  <c r="Q650" i="1"/>
  <c r="S650" i="1" s="1"/>
  <c r="Q649" i="1"/>
  <c r="Q648" i="1"/>
  <c r="S648" i="1" s="1"/>
  <c r="Q647" i="1"/>
  <c r="S647" i="1" s="1"/>
  <c r="Q646" i="1"/>
  <c r="S646" i="1" s="1"/>
  <c r="Q645" i="1"/>
  <c r="S645" i="1" s="1"/>
  <c r="Q644" i="1"/>
  <c r="Q643" i="1"/>
  <c r="Q642" i="1"/>
  <c r="Q641" i="1"/>
  <c r="S641" i="1" s="1"/>
  <c r="Q640" i="1"/>
  <c r="S640" i="1" s="1"/>
  <c r="Q639" i="1"/>
  <c r="S639" i="1" s="1"/>
  <c r="Q638" i="1"/>
  <c r="S638" i="1" s="1"/>
  <c r="Q637" i="1"/>
  <c r="Q636" i="1"/>
  <c r="S636" i="1" s="1"/>
  <c r="Q635" i="1"/>
  <c r="S635" i="1" s="1"/>
  <c r="Q634" i="1"/>
  <c r="S634" i="1" s="1"/>
  <c r="Q633" i="1"/>
  <c r="S633" i="1" s="1"/>
  <c r="Q632" i="1"/>
  <c r="Q631" i="1"/>
  <c r="Q630" i="1"/>
  <c r="Q629" i="1"/>
  <c r="S629" i="1" s="1"/>
  <c r="Q628" i="1"/>
  <c r="S628" i="1" s="1"/>
  <c r="Q627" i="1"/>
  <c r="S627" i="1" s="1"/>
  <c r="Q626" i="1"/>
  <c r="S626" i="1" s="1"/>
  <c r="Q625" i="1"/>
  <c r="Q624" i="1"/>
  <c r="S624" i="1" s="1"/>
  <c r="Q623" i="1"/>
  <c r="S623" i="1" s="1"/>
  <c r="Q622" i="1"/>
  <c r="S622" i="1" s="1"/>
  <c r="Q621" i="1"/>
  <c r="S621" i="1" s="1"/>
  <c r="Q620" i="1"/>
  <c r="Q619" i="1"/>
  <c r="Q618" i="1"/>
  <c r="Q617" i="1"/>
  <c r="S617" i="1" s="1"/>
  <c r="Q616" i="1"/>
  <c r="S616" i="1" s="1"/>
  <c r="Q615" i="1"/>
  <c r="S615" i="1" s="1"/>
  <c r="Q614" i="1"/>
  <c r="S614" i="1" s="1"/>
  <c r="Q613" i="1"/>
  <c r="Q612" i="1"/>
  <c r="S612" i="1" s="1"/>
  <c r="Q611" i="1"/>
  <c r="S611" i="1" s="1"/>
  <c r="Q610" i="1"/>
  <c r="S610" i="1" s="1"/>
  <c r="Q609" i="1"/>
  <c r="S609" i="1" s="1"/>
  <c r="Q608" i="1"/>
  <c r="Q607" i="1"/>
  <c r="Q606" i="1"/>
  <c r="Q605" i="1"/>
  <c r="S605" i="1" s="1"/>
  <c r="Q604" i="1"/>
  <c r="S604" i="1" s="1"/>
  <c r="Q603" i="1"/>
  <c r="S603" i="1" s="1"/>
  <c r="Q602" i="1"/>
  <c r="S602" i="1" s="1"/>
  <c r="Q601" i="1"/>
  <c r="Q600" i="1"/>
  <c r="S600" i="1" s="1"/>
  <c r="Q599" i="1"/>
  <c r="S599" i="1" s="1"/>
  <c r="Q598" i="1"/>
  <c r="S598" i="1" s="1"/>
  <c r="Q597" i="1"/>
  <c r="S597" i="1" s="1"/>
  <c r="Q596" i="1"/>
  <c r="Q595" i="1"/>
  <c r="Q594" i="1"/>
  <c r="Q593" i="1"/>
  <c r="S593" i="1" s="1"/>
  <c r="Q592" i="1"/>
  <c r="S592" i="1" s="1"/>
  <c r="Q591" i="1"/>
  <c r="S591" i="1" s="1"/>
  <c r="Q590" i="1"/>
  <c r="S590" i="1" s="1"/>
  <c r="Q589" i="1"/>
  <c r="Q588" i="1"/>
  <c r="S588" i="1" s="1"/>
  <c r="Q587" i="1"/>
  <c r="S587" i="1" s="1"/>
  <c r="Q586" i="1"/>
  <c r="S586" i="1" s="1"/>
  <c r="Q585" i="1"/>
  <c r="S585" i="1" s="1"/>
  <c r="Q584" i="1"/>
  <c r="Q583" i="1"/>
  <c r="Q582" i="1"/>
  <c r="Q581" i="1"/>
  <c r="S581" i="1" s="1"/>
  <c r="Q580" i="1"/>
  <c r="S580" i="1" s="1"/>
  <c r="Q579" i="1"/>
  <c r="S579" i="1" s="1"/>
  <c r="Q578" i="1"/>
  <c r="S578" i="1" s="1"/>
  <c r="Q577" i="1"/>
  <c r="Q576" i="1"/>
  <c r="S576" i="1" s="1"/>
  <c r="Q575" i="1"/>
  <c r="S575" i="1" s="1"/>
  <c r="Q574" i="1"/>
  <c r="S574" i="1" s="1"/>
  <c r="Q573" i="1"/>
  <c r="S573" i="1" s="1"/>
  <c r="Q572" i="1"/>
  <c r="Q571" i="1"/>
  <c r="Q570" i="1"/>
  <c r="Q569" i="1"/>
  <c r="S569" i="1" s="1"/>
  <c r="Q568" i="1"/>
  <c r="S568" i="1" s="1"/>
  <c r="Q567" i="1"/>
  <c r="S567" i="1" s="1"/>
  <c r="Q566" i="1"/>
  <c r="S566" i="1" s="1"/>
  <c r="Q565" i="1"/>
  <c r="Q564" i="1"/>
  <c r="S564" i="1" s="1"/>
  <c r="Q563" i="1"/>
  <c r="S563" i="1" s="1"/>
  <c r="Q562" i="1"/>
  <c r="S562" i="1" s="1"/>
  <c r="Q561" i="1"/>
  <c r="S561" i="1" s="1"/>
  <c r="Q560" i="1"/>
  <c r="S560" i="1" s="1"/>
  <c r="Q559" i="1"/>
  <c r="Q558" i="1"/>
  <c r="Q557" i="1"/>
  <c r="S557" i="1" s="1"/>
  <c r="Q556" i="1"/>
  <c r="S556" i="1" s="1"/>
  <c r="Q555" i="1"/>
  <c r="S555" i="1" s="1"/>
  <c r="Q554" i="1"/>
  <c r="S554" i="1" s="1"/>
  <c r="Q553" i="1"/>
  <c r="Q552" i="1"/>
  <c r="S552" i="1" s="1"/>
  <c r="Q551" i="1"/>
  <c r="S551" i="1" s="1"/>
  <c r="Q550" i="1"/>
  <c r="S550" i="1" s="1"/>
  <c r="Q549" i="1"/>
  <c r="S549" i="1" s="1"/>
  <c r="Q548" i="1"/>
  <c r="Q547" i="1"/>
  <c r="Q546" i="1"/>
  <c r="Q545" i="1"/>
  <c r="S545" i="1" s="1"/>
  <c r="Q544" i="1"/>
  <c r="S544" i="1" s="1"/>
  <c r="Q543" i="1"/>
  <c r="S543" i="1" s="1"/>
  <c r="Q542" i="1"/>
  <c r="S542" i="1" s="1"/>
  <c r="Q541" i="1"/>
  <c r="Q540" i="1"/>
  <c r="S540" i="1" s="1"/>
  <c r="Q539" i="1"/>
  <c r="S539" i="1" s="1"/>
  <c r="Q538" i="1"/>
  <c r="S538" i="1" s="1"/>
  <c r="Q537" i="1"/>
  <c r="S537" i="1" s="1"/>
  <c r="Q536" i="1"/>
  <c r="Q535" i="1"/>
  <c r="Q534" i="1"/>
  <c r="Q533" i="1"/>
  <c r="S533" i="1" s="1"/>
  <c r="Q532" i="1"/>
  <c r="S532" i="1" s="1"/>
  <c r="Q531" i="1"/>
  <c r="S531" i="1" s="1"/>
  <c r="Q530" i="1"/>
  <c r="S530" i="1" s="1"/>
  <c r="Q529" i="1"/>
  <c r="Q528" i="1"/>
  <c r="S528" i="1" s="1"/>
  <c r="Q527" i="1"/>
  <c r="S527" i="1" s="1"/>
  <c r="Q526" i="1"/>
  <c r="S526" i="1" s="1"/>
  <c r="Q525" i="1"/>
  <c r="S525" i="1" s="1"/>
  <c r="Q524" i="1"/>
  <c r="Q523" i="1"/>
  <c r="Q522" i="1"/>
  <c r="Q521" i="1"/>
  <c r="S521" i="1" s="1"/>
  <c r="Q520" i="1"/>
  <c r="S520" i="1" s="1"/>
  <c r="Q519" i="1"/>
  <c r="S519" i="1" s="1"/>
  <c r="Q518" i="1"/>
  <c r="S518" i="1" s="1"/>
  <c r="Q517" i="1"/>
  <c r="Q516" i="1"/>
  <c r="S516" i="1" s="1"/>
  <c r="Q515" i="1"/>
  <c r="S515" i="1" s="1"/>
  <c r="Q514" i="1"/>
  <c r="S514" i="1" s="1"/>
  <c r="Q513" i="1"/>
  <c r="S513" i="1" s="1"/>
  <c r="Q512" i="1"/>
  <c r="Q511" i="1"/>
  <c r="Q510" i="1"/>
  <c r="Q509" i="1"/>
  <c r="S509" i="1" s="1"/>
  <c r="Q508" i="1"/>
  <c r="S508" i="1" s="1"/>
  <c r="Q507" i="1"/>
  <c r="S507" i="1" s="1"/>
  <c r="Q506" i="1"/>
  <c r="S506" i="1" s="1"/>
  <c r="Q505" i="1"/>
  <c r="Q504" i="1"/>
  <c r="S504" i="1" s="1"/>
  <c r="Q503" i="1"/>
  <c r="S503" i="1" s="1"/>
  <c r="Q502" i="1"/>
  <c r="S502" i="1" s="1"/>
  <c r="Q501" i="1"/>
  <c r="S501" i="1" s="1"/>
  <c r="Q500" i="1"/>
  <c r="Q499" i="1"/>
  <c r="Q498" i="1"/>
  <c r="Q497" i="1"/>
  <c r="S497" i="1" s="1"/>
  <c r="Q496" i="1"/>
  <c r="S496" i="1" s="1"/>
  <c r="Q495" i="1"/>
  <c r="S495" i="1" s="1"/>
  <c r="Q494" i="1"/>
  <c r="S494" i="1" s="1"/>
  <c r="Q493" i="1"/>
  <c r="Q492" i="1"/>
  <c r="S492" i="1" s="1"/>
  <c r="Q491" i="1"/>
  <c r="S491" i="1" s="1"/>
  <c r="Q490" i="1"/>
  <c r="S490" i="1" s="1"/>
  <c r="Q489" i="1"/>
  <c r="Q488" i="1"/>
  <c r="Q487" i="1"/>
  <c r="Q486" i="1"/>
  <c r="Q485" i="1"/>
  <c r="S485" i="1" s="1"/>
  <c r="Q484" i="1"/>
  <c r="S484" i="1" s="1"/>
  <c r="Q483" i="1"/>
  <c r="S483" i="1" s="1"/>
  <c r="Q482" i="1"/>
  <c r="S482" i="1" s="1"/>
  <c r="Q481" i="1"/>
  <c r="Q480" i="1"/>
  <c r="S480" i="1" s="1"/>
  <c r="Q479" i="1"/>
  <c r="S479" i="1" s="1"/>
  <c r="Q478" i="1"/>
  <c r="S478" i="1" s="1"/>
  <c r="Q477" i="1"/>
  <c r="S477" i="1" s="1"/>
  <c r="Q476" i="1"/>
  <c r="Q475" i="1"/>
  <c r="Q474" i="1"/>
  <c r="Q473" i="1"/>
  <c r="S473" i="1" s="1"/>
  <c r="Q472" i="1"/>
  <c r="S472" i="1" s="1"/>
  <c r="Q471" i="1"/>
  <c r="S471" i="1" s="1"/>
  <c r="Q470" i="1"/>
  <c r="S470" i="1" s="1"/>
  <c r="Q469" i="1"/>
  <c r="Q468" i="1"/>
  <c r="S468" i="1" s="1"/>
  <c r="Q467" i="1"/>
  <c r="S467" i="1" s="1"/>
  <c r="Q466" i="1"/>
  <c r="S466" i="1" s="1"/>
  <c r="Q465" i="1"/>
  <c r="S465" i="1" s="1"/>
  <c r="Q464" i="1"/>
  <c r="Q463" i="1"/>
  <c r="Q462" i="1"/>
  <c r="Q461" i="1"/>
  <c r="S461" i="1" s="1"/>
  <c r="Q460" i="1"/>
  <c r="S460" i="1" s="1"/>
  <c r="Q459" i="1"/>
  <c r="S459" i="1" s="1"/>
  <c r="Q458" i="1"/>
  <c r="S458" i="1" s="1"/>
  <c r="Q457" i="1"/>
  <c r="Q456" i="1"/>
  <c r="Q455" i="1"/>
  <c r="S455" i="1" s="1"/>
  <c r="Q454" i="1"/>
  <c r="S454" i="1" s="1"/>
  <c r="Q453" i="1"/>
  <c r="S453" i="1" s="1"/>
  <c r="Q452" i="1"/>
  <c r="Q451" i="1"/>
  <c r="Q450" i="1"/>
  <c r="Q449" i="1"/>
  <c r="S449" i="1" s="1"/>
  <c r="Q448" i="1"/>
  <c r="S448" i="1" s="1"/>
  <c r="Q447" i="1"/>
  <c r="S447" i="1" s="1"/>
  <c r="Q446" i="1"/>
  <c r="S446" i="1" s="1"/>
  <c r="Q445" i="1"/>
  <c r="Q444" i="1"/>
  <c r="S444" i="1" s="1"/>
  <c r="Q443" i="1"/>
  <c r="S443" i="1" s="1"/>
  <c r="Q442" i="1"/>
  <c r="S442" i="1" s="1"/>
  <c r="Q441" i="1"/>
  <c r="S441" i="1" s="1"/>
  <c r="Q440" i="1"/>
  <c r="Q439" i="1"/>
  <c r="Q438" i="1"/>
  <c r="Q437" i="1"/>
  <c r="S437" i="1" s="1"/>
  <c r="Q436" i="1"/>
  <c r="S436" i="1" s="1"/>
  <c r="Q435" i="1"/>
  <c r="S435" i="1" s="1"/>
  <c r="Q434" i="1"/>
  <c r="S434" i="1" s="1"/>
  <c r="Q433" i="1"/>
  <c r="Q432" i="1"/>
  <c r="S432" i="1" s="1"/>
  <c r="Q431" i="1"/>
  <c r="S431" i="1" s="1"/>
  <c r="Q430" i="1"/>
  <c r="S430" i="1" s="1"/>
  <c r="Q429" i="1"/>
  <c r="S429" i="1" s="1"/>
  <c r="Q428" i="1"/>
  <c r="Q427" i="1"/>
  <c r="Q426" i="1"/>
  <c r="Q425" i="1"/>
  <c r="S425" i="1" s="1"/>
  <c r="Q424" i="1"/>
  <c r="S424" i="1" s="1"/>
  <c r="Q423" i="1"/>
  <c r="S423" i="1" s="1"/>
  <c r="Q422" i="1"/>
  <c r="S422" i="1" s="1"/>
  <c r="Q421" i="1"/>
  <c r="Q420" i="1"/>
  <c r="S420" i="1" s="1"/>
  <c r="Q419" i="1"/>
  <c r="S419" i="1" s="1"/>
  <c r="Q418" i="1"/>
  <c r="S418" i="1" s="1"/>
  <c r="Q417" i="1"/>
  <c r="S417" i="1" s="1"/>
  <c r="Q416" i="1"/>
  <c r="S416" i="1" s="1"/>
  <c r="Q415" i="1"/>
  <c r="Q414" i="1"/>
  <c r="Q413" i="1"/>
  <c r="S413" i="1" s="1"/>
  <c r="Q412" i="1"/>
  <c r="S412" i="1" s="1"/>
  <c r="Q411" i="1"/>
  <c r="S411" i="1" s="1"/>
  <c r="Q410" i="1"/>
  <c r="S410" i="1" s="1"/>
  <c r="Q409" i="1"/>
  <c r="Q408" i="1"/>
  <c r="S408" i="1" s="1"/>
  <c r="Q407" i="1"/>
  <c r="S407" i="1" s="1"/>
  <c r="Q406" i="1"/>
  <c r="S406" i="1" s="1"/>
  <c r="Q405" i="1"/>
  <c r="S405" i="1" s="1"/>
  <c r="Q404" i="1"/>
  <c r="Q403" i="1"/>
  <c r="Q402" i="1"/>
  <c r="Q401" i="1"/>
  <c r="S401" i="1" s="1"/>
  <c r="Q400" i="1"/>
  <c r="S400" i="1" s="1"/>
  <c r="Q399" i="1"/>
  <c r="S399" i="1" s="1"/>
  <c r="Q398" i="1"/>
  <c r="S398" i="1" s="1"/>
  <c r="Q397" i="1"/>
  <c r="Q396" i="1"/>
  <c r="S396" i="1" s="1"/>
  <c r="Q395" i="1"/>
  <c r="S395" i="1" s="1"/>
  <c r="Q394" i="1"/>
  <c r="S394" i="1" s="1"/>
  <c r="Q393" i="1"/>
  <c r="S393" i="1" s="1"/>
  <c r="Q392" i="1"/>
  <c r="Q391" i="1"/>
  <c r="Q390" i="1"/>
  <c r="Q389" i="1"/>
  <c r="S389" i="1" s="1"/>
  <c r="Q388" i="1"/>
  <c r="S388" i="1" s="1"/>
  <c r="Q387" i="1"/>
  <c r="S387" i="1" s="1"/>
  <c r="Q386" i="1"/>
  <c r="S386" i="1" s="1"/>
  <c r="Q385" i="1"/>
  <c r="Q384" i="1"/>
  <c r="S384" i="1" s="1"/>
  <c r="Q383" i="1"/>
  <c r="S383" i="1" s="1"/>
  <c r="Q382" i="1"/>
  <c r="S382" i="1" s="1"/>
  <c r="Q381" i="1"/>
  <c r="S381" i="1" s="1"/>
  <c r="Q380" i="1"/>
  <c r="Q379" i="1"/>
  <c r="Q378" i="1"/>
  <c r="Q377" i="1"/>
  <c r="S377" i="1" s="1"/>
  <c r="Q376" i="1"/>
  <c r="S376" i="1" s="1"/>
  <c r="Q375" i="1"/>
  <c r="S375" i="1" s="1"/>
  <c r="Q374" i="1"/>
  <c r="S374" i="1" s="1"/>
  <c r="Q373" i="1"/>
  <c r="Q372" i="1"/>
  <c r="S372" i="1" s="1"/>
  <c r="Q371" i="1"/>
  <c r="S371" i="1" s="1"/>
  <c r="Q370" i="1"/>
  <c r="S370" i="1" s="1"/>
  <c r="Q369" i="1"/>
  <c r="S369" i="1" s="1"/>
  <c r="Q368" i="1"/>
  <c r="S368" i="1" s="1"/>
  <c r="Q367" i="1"/>
  <c r="S367" i="1" s="1"/>
  <c r="Q366" i="1"/>
  <c r="Q365" i="1"/>
  <c r="S365" i="1" s="1"/>
  <c r="Q364" i="1"/>
  <c r="S364" i="1" s="1"/>
  <c r="Q363" i="1"/>
  <c r="S363" i="1" s="1"/>
  <c r="Q362" i="1"/>
  <c r="S362" i="1" s="1"/>
  <c r="Q361" i="1"/>
  <c r="Q360" i="1"/>
  <c r="S360" i="1" s="1"/>
  <c r="Q359" i="1"/>
  <c r="S359" i="1" s="1"/>
  <c r="Q358" i="1"/>
  <c r="S358" i="1" s="1"/>
  <c r="Q357" i="1"/>
  <c r="S357" i="1" s="1"/>
  <c r="Q356" i="1"/>
  <c r="Q355" i="1"/>
  <c r="Q354" i="1"/>
  <c r="Q353" i="1"/>
  <c r="S353" i="1" s="1"/>
  <c r="Q352" i="1"/>
  <c r="S352" i="1" s="1"/>
  <c r="Q351" i="1"/>
  <c r="S351" i="1" s="1"/>
  <c r="Q350" i="1"/>
  <c r="S350" i="1" s="1"/>
  <c r="Q349" i="1"/>
  <c r="Q348" i="1"/>
  <c r="S348" i="1" s="1"/>
  <c r="Q347" i="1"/>
  <c r="S347" i="1" s="1"/>
  <c r="Q346" i="1"/>
  <c r="S346" i="1" s="1"/>
  <c r="Q345" i="1"/>
  <c r="S345" i="1" s="1"/>
  <c r="Q344" i="1"/>
  <c r="S344" i="1" s="1"/>
  <c r="Q343" i="1"/>
  <c r="Q342" i="1"/>
  <c r="Q341" i="1"/>
  <c r="S341" i="1" s="1"/>
  <c r="Q340" i="1"/>
  <c r="S340" i="1" s="1"/>
  <c r="Q339" i="1"/>
  <c r="S339" i="1" s="1"/>
  <c r="Q338" i="1"/>
  <c r="S338" i="1" s="1"/>
  <c r="Q337" i="1"/>
  <c r="Q336" i="1"/>
  <c r="S336" i="1" s="1"/>
  <c r="Q335" i="1"/>
  <c r="S335" i="1" s="1"/>
  <c r="Q334" i="1"/>
  <c r="S334" i="1" s="1"/>
  <c r="Q333" i="1"/>
  <c r="S333" i="1" s="1"/>
  <c r="Q332" i="1"/>
  <c r="Q331" i="1"/>
  <c r="Q330" i="1"/>
  <c r="Q329" i="1"/>
  <c r="S329" i="1" s="1"/>
  <c r="Q328" i="1"/>
  <c r="S328" i="1" s="1"/>
  <c r="Q327" i="1"/>
  <c r="S327" i="1" s="1"/>
  <c r="Q326" i="1"/>
  <c r="S326" i="1" s="1"/>
  <c r="Q325" i="1"/>
  <c r="Q324" i="1"/>
  <c r="S324" i="1" s="1"/>
  <c r="Q323" i="1"/>
  <c r="S323" i="1" s="1"/>
  <c r="Q322" i="1"/>
  <c r="S322" i="1" s="1"/>
  <c r="Q321" i="1"/>
  <c r="S321" i="1" s="1"/>
  <c r="Q320" i="1"/>
  <c r="Q319" i="1"/>
  <c r="Q318" i="1"/>
  <c r="Q317" i="1"/>
  <c r="S317" i="1" s="1"/>
  <c r="Q316" i="1"/>
  <c r="S316" i="1" s="1"/>
  <c r="Q315" i="1"/>
  <c r="S315" i="1" s="1"/>
  <c r="Q314" i="1"/>
  <c r="S314" i="1" s="1"/>
  <c r="Q313" i="1"/>
  <c r="Q312" i="1"/>
  <c r="S312" i="1" s="1"/>
  <c r="Q311" i="1"/>
  <c r="S311" i="1" s="1"/>
  <c r="Q310" i="1"/>
  <c r="S310" i="1" s="1"/>
  <c r="Q309" i="1"/>
  <c r="S309" i="1" s="1"/>
  <c r="Q308" i="1"/>
  <c r="Q307" i="1"/>
  <c r="Q306" i="1"/>
  <c r="Q305" i="1"/>
  <c r="S305" i="1" s="1"/>
  <c r="Q304" i="1"/>
  <c r="S304" i="1" s="1"/>
  <c r="Q303" i="1"/>
  <c r="S303" i="1" s="1"/>
  <c r="Q302" i="1"/>
  <c r="S302" i="1" s="1"/>
  <c r="Q301" i="1"/>
  <c r="Q300" i="1"/>
  <c r="S300" i="1" s="1"/>
  <c r="Q299" i="1"/>
  <c r="S299" i="1" s="1"/>
  <c r="Q298" i="1"/>
  <c r="S298" i="1" s="1"/>
  <c r="Q297" i="1"/>
  <c r="S297" i="1" s="1"/>
  <c r="Q296" i="1"/>
  <c r="S296" i="1" s="1"/>
  <c r="Q295" i="1"/>
  <c r="Q294" i="1"/>
  <c r="Q293" i="1"/>
  <c r="S293" i="1" s="1"/>
  <c r="Q292" i="1"/>
  <c r="S292" i="1" s="1"/>
  <c r="Q291" i="1"/>
  <c r="S291" i="1" s="1"/>
  <c r="Q290" i="1"/>
  <c r="S290" i="1" s="1"/>
  <c r="Q289" i="1"/>
  <c r="Q288" i="1"/>
  <c r="S288" i="1" s="1"/>
  <c r="Q287" i="1"/>
  <c r="S287" i="1" s="1"/>
  <c r="Q286" i="1"/>
  <c r="S286" i="1" s="1"/>
  <c r="Q285" i="1"/>
  <c r="S285" i="1" s="1"/>
  <c r="Q284" i="1"/>
  <c r="Q283" i="1"/>
  <c r="Q282" i="1"/>
  <c r="Q281" i="1"/>
  <c r="S281" i="1" s="1"/>
  <c r="Q280" i="1"/>
  <c r="S280" i="1" s="1"/>
  <c r="Q279" i="1"/>
  <c r="S279" i="1" s="1"/>
  <c r="Q278" i="1"/>
  <c r="S278" i="1" s="1"/>
  <c r="Q277" i="1"/>
  <c r="Q276" i="1"/>
  <c r="S276" i="1" s="1"/>
  <c r="Q275" i="1"/>
  <c r="S275" i="1" s="1"/>
  <c r="Q274" i="1"/>
  <c r="S274" i="1" s="1"/>
  <c r="Q273" i="1"/>
  <c r="S273" i="1" s="1"/>
  <c r="Q272" i="1"/>
  <c r="Q271" i="1"/>
  <c r="Q270" i="1"/>
  <c r="Q269" i="1"/>
  <c r="S269" i="1" s="1"/>
  <c r="Q268" i="1"/>
  <c r="S268" i="1" s="1"/>
  <c r="Q267" i="1"/>
  <c r="S267" i="1" s="1"/>
  <c r="Q266" i="1"/>
  <c r="S266" i="1" s="1"/>
  <c r="Q265" i="1"/>
  <c r="Q264" i="1"/>
  <c r="S264" i="1" s="1"/>
  <c r="Q263" i="1"/>
  <c r="S263" i="1" s="1"/>
  <c r="Q262" i="1"/>
  <c r="S262" i="1" s="1"/>
  <c r="Q261" i="1"/>
  <c r="S261" i="1" s="1"/>
  <c r="Q260" i="1"/>
  <c r="Q259" i="1"/>
  <c r="Q258" i="1"/>
  <c r="Q257" i="1"/>
  <c r="S257" i="1" s="1"/>
  <c r="Q256" i="1"/>
  <c r="S256" i="1" s="1"/>
  <c r="Q255" i="1"/>
  <c r="S255" i="1" s="1"/>
  <c r="Q254" i="1"/>
  <c r="S254" i="1" s="1"/>
  <c r="Q253" i="1"/>
  <c r="Q252" i="1"/>
  <c r="S252" i="1" s="1"/>
  <c r="Q251" i="1"/>
  <c r="S251" i="1" s="1"/>
  <c r="Q250" i="1"/>
  <c r="S250" i="1" s="1"/>
  <c r="Q249" i="1"/>
  <c r="S249" i="1" s="1"/>
  <c r="Q248" i="1"/>
  <c r="Q247" i="1"/>
  <c r="Q246" i="1"/>
  <c r="Q245" i="1"/>
  <c r="S245" i="1" s="1"/>
  <c r="Q244" i="1"/>
  <c r="S244" i="1" s="1"/>
  <c r="Q243" i="1"/>
  <c r="S243" i="1" s="1"/>
  <c r="Q242" i="1"/>
  <c r="S242" i="1" s="1"/>
  <c r="Q241" i="1"/>
  <c r="S241" i="1" s="1"/>
  <c r="Q240" i="1"/>
  <c r="S240" i="1" s="1"/>
  <c r="Q239" i="1"/>
  <c r="S239" i="1" s="1"/>
  <c r="Q238" i="1"/>
  <c r="S238" i="1" s="1"/>
  <c r="Q237" i="1"/>
  <c r="S237" i="1" s="1"/>
  <c r="Q236" i="1"/>
  <c r="Q235" i="1"/>
  <c r="Q234" i="1"/>
  <c r="Q233" i="1"/>
  <c r="S233" i="1" s="1"/>
  <c r="Q232" i="1"/>
  <c r="S232" i="1" s="1"/>
  <c r="Q231" i="1"/>
  <c r="S231" i="1" s="1"/>
  <c r="Q230" i="1"/>
  <c r="S230" i="1" s="1"/>
  <c r="Q229" i="1"/>
  <c r="Q228" i="1"/>
  <c r="S228" i="1" s="1"/>
  <c r="Q227" i="1"/>
  <c r="S227" i="1" s="1"/>
  <c r="Q226" i="1"/>
  <c r="S226" i="1" s="1"/>
  <c r="Q225" i="1"/>
  <c r="S225" i="1" s="1"/>
  <c r="Q224" i="1"/>
  <c r="Q223" i="1"/>
  <c r="Q222" i="1"/>
  <c r="Q221" i="1"/>
  <c r="S221" i="1" s="1"/>
  <c r="Q220" i="1"/>
  <c r="S220" i="1" s="1"/>
  <c r="Q219" i="1"/>
  <c r="S219" i="1" s="1"/>
  <c r="Q218" i="1"/>
  <c r="S218" i="1" s="1"/>
  <c r="Q217" i="1"/>
  <c r="Q216" i="1"/>
  <c r="S216" i="1" s="1"/>
  <c r="Q215" i="1"/>
  <c r="S215" i="1" s="1"/>
  <c r="Q214" i="1"/>
  <c r="S214" i="1" s="1"/>
  <c r="Q213" i="1"/>
  <c r="S213" i="1" s="1"/>
  <c r="Q212" i="1"/>
  <c r="Q211" i="1"/>
  <c r="Q210" i="1"/>
  <c r="Q209" i="1"/>
  <c r="S209" i="1" s="1"/>
  <c r="Q208" i="1"/>
  <c r="S208" i="1" s="1"/>
  <c r="Q207" i="1"/>
  <c r="S207" i="1" s="1"/>
  <c r="Q206" i="1"/>
  <c r="S206" i="1" s="1"/>
  <c r="Q205" i="1"/>
  <c r="Q204" i="1"/>
  <c r="S204" i="1" s="1"/>
  <c r="Q203" i="1"/>
  <c r="S203" i="1" s="1"/>
  <c r="Q202" i="1"/>
  <c r="S202" i="1" s="1"/>
  <c r="Q201" i="1"/>
  <c r="S201" i="1" s="1"/>
  <c r="Q200" i="1"/>
  <c r="Q199" i="1"/>
  <c r="Q198" i="1"/>
  <c r="Q197" i="1"/>
  <c r="S197" i="1" s="1"/>
  <c r="Q196" i="1"/>
  <c r="S196" i="1" s="1"/>
  <c r="Q195" i="1"/>
  <c r="S195" i="1" s="1"/>
  <c r="Q194" i="1"/>
  <c r="S194" i="1" s="1"/>
  <c r="Q193" i="1"/>
  <c r="Q192" i="1"/>
  <c r="S192" i="1" s="1"/>
  <c r="Q191" i="1"/>
  <c r="S191" i="1" s="1"/>
  <c r="Q190" i="1"/>
  <c r="S190" i="1" s="1"/>
  <c r="Q189" i="1"/>
  <c r="S189" i="1" s="1"/>
  <c r="Q188" i="1"/>
  <c r="Q187" i="1"/>
  <c r="Q186" i="1"/>
  <c r="Q185" i="1"/>
  <c r="S185" i="1" s="1"/>
  <c r="Q184" i="1"/>
  <c r="S184" i="1" s="1"/>
  <c r="Q183" i="1"/>
  <c r="S183" i="1" s="1"/>
  <c r="Q182" i="1"/>
  <c r="S182" i="1" s="1"/>
  <c r="Q181" i="1"/>
  <c r="Q180" i="1"/>
  <c r="S180" i="1" s="1"/>
  <c r="Q179" i="1"/>
  <c r="Q178" i="1"/>
  <c r="S178" i="1" s="1"/>
  <c r="Q177" i="1"/>
  <c r="S177" i="1" s="1"/>
  <c r="Q176" i="1"/>
  <c r="Q175" i="1"/>
  <c r="Q174" i="1"/>
  <c r="Q173" i="1"/>
  <c r="S173" i="1" s="1"/>
  <c r="Q172" i="1"/>
  <c r="S172" i="1" s="1"/>
  <c r="Q171" i="1"/>
  <c r="S171" i="1" s="1"/>
  <c r="Q170" i="1"/>
  <c r="S170" i="1" s="1"/>
  <c r="Q169" i="1"/>
  <c r="Q168" i="1"/>
  <c r="S168" i="1" s="1"/>
  <c r="Q167" i="1"/>
  <c r="S167" i="1" s="1"/>
  <c r="Q166" i="1"/>
  <c r="S166" i="1" s="1"/>
  <c r="Q165" i="1"/>
  <c r="S165" i="1" s="1"/>
  <c r="Q164" i="1"/>
  <c r="Q163" i="1"/>
  <c r="Q162" i="1"/>
  <c r="Q161" i="1"/>
  <c r="S161" i="1" s="1"/>
  <c r="Q160" i="1"/>
  <c r="S160" i="1" s="1"/>
  <c r="Q159" i="1"/>
  <c r="S159" i="1" s="1"/>
  <c r="Q158" i="1"/>
  <c r="S158" i="1" s="1"/>
  <c r="Q157" i="1"/>
  <c r="Q156" i="1"/>
  <c r="S156" i="1" s="1"/>
  <c r="Q155" i="1"/>
  <c r="Q154" i="1"/>
  <c r="S154" i="1" s="1"/>
  <c r="Q153" i="1"/>
  <c r="S153" i="1" s="1"/>
  <c r="Q152" i="1"/>
  <c r="Q151" i="1"/>
  <c r="Q150" i="1"/>
  <c r="Q149" i="1"/>
  <c r="S149" i="1" s="1"/>
  <c r="Q148" i="1"/>
  <c r="S148" i="1" s="1"/>
  <c r="Q147" i="1"/>
  <c r="S147" i="1" s="1"/>
  <c r="Q146" i="1"/>
  <c r="S146" i="1" s="1"/>
  <c r="Q145" i="1"/>
  <c r="Q144" i="1"/>
  <c r="S144" i="1" s="1"/>
  <c r="Q143" i="1"/>
  <c r="Q142" i="1"/>
  <c r="S142" i="1" s="1"/>
  <c r="Q141" i="1"/>
  <c r="S141" i="1" s="1"/>
  <c r="Q140" i="1"/>
  <c r="Q139" i="1"/>
  <c r="Q138" i="1"/>
  <c r="Q137" i="1"/>
  <c r="S137" i="1" s="1"/>
  <c r="Q136" i="1"/>
  <c r="S136" i="1" s="1"/>
  <c r="Q135" i="1"/>
  <c r="S135" i="1" s="1"/>
  <c r="Q134" i="1"/>
  <c r="S134" i="1" s="1"/>
  <c r="Q133" i="1"/>
  <c r="Q132" i="1"/>
  <c r="S132" i="1" s="1"/>
  <c r="Q131" i="1"/>
  <c r="S131" i="1" s="1"/>
  <c r="Q130" i="1"/>
  <c r="S130" i="1" s="1"/>
  <c r="Q129" i="1"/>
  <c r="S129" i="1" s="1"/>
  <c r="Q128" i="1"/>
  <c r="Q127" i="1"/>
  <c r="Q126" i="1"/>
  <c r="Q125" i="1"/>
  <c r="S125" i="1" s="1"/>
  <c r="Q124" i="1"/>
  <c r="S124" i="1" s="1"/>
  <c r="Q123" i="1"/>
  <c r="S123" i="1" s="1"/>
  <c r="Q122" i="1"/>
  <c r="S122" i="1" s="1"/>
  <c r="Q121" i="1"/>
  <c r="Q120" i="1"/>
  <c r="S120" i="1" s="1"/>
  <c r="Q119" i="1"/>
  <c r="S119" i="1" s="1"/>
  <c r="Q118" i="1"/>
  <c r="S118" i="1" s="1"/>
  <c r="Q117" i="1"/>
  <c r="S117" i="1" s="1"/>
  <c r="Q116" i="1"/>
  <c r="Q115" i="1"/>
  <c r="Q114" i="1"/>
  <c r="Q113" i="1"/>
  <c r="S113" i="1" s="1"/>
  <c r="Q112" i="1"/>
  <c r="S112" i="1" s="1"/>
  <c r="Q111" i="1"/>
  <c r="S111" i="1" s="1"/>
  <c r="Q110" i="1"/>
  <c r="S110" i="1" s="1"/>
  <c r="Q109" i="1"/>
  <c r="Q108" i="1"/>
  <c r="S108" i="1" s="1"/>
  <c r="Q107" i="1"/>
  <c r="S107" i="1" s="1"/>
  <c r="Q106" i="1"/>
  <c r="S106" i="1" s="1"/>
  <c r="Q105" i="1"/>
  <c r="S105" i="1" s="1"/>
  <c r="Q104" i="1"/>
  <c r="Q103" i="1"/>
  <c r="Q102" i="1"/>
  <c r="Q101" i="1"/>
  <c r="S101" i="1" s="1"/>
  <c r="Q100" i="1"/>
  <c r="S100" i="1" s="1"/>
  <c r="Q99" i="1"/>
  <c r="S99" i="1" s="1"/>
  <c r="Q98" i="1"/>
  <c r="S98" i="1" s="1"/>
  <c r="Q97" i="1"/>
  <c r="Q96" i="1"/>
  <c r="S96" i="1" s="1"/>
  <c r="Q95" i="1"/>
  <c r="S95" i="1" s="1"/>
  <c r="Q94" i="1"/>
  <c r="S94" i="1" s="1"/>
  <c r="Q93" i="1"/>
  <c r="S93" i="1" s="1"/>
  <c r="Q92" i="1"/>
  <c r="Q91" i="1"/>
  <c r="Q90" i="1"/>
  <c r="Q89" i="1"/>
  <c r="S89" i="1" s="1"/>
  <c r="Q88" i="1"/>
  <c r="S88" i="1" s="1"/>
  <c r="Q87" i="1"/>
  <c r="S87" i="1" s="1"/>
  <c r="Q86" i="1"/>
  <c r="S86" i="1" s="1"/>
  <c r="Q85" i="1"/>
  <c r="Q84" i="1"/>
  <c r="S84" i="1" s="1"/>
  <c r="Q83" i="1"/>
  <c r="S83" i="1" s="1"/>
  <c r="Q82" i="1"/>
  <c r="S82" i="1" s="1"/>
  <c r="Q81" i="1"/>
  <c r="S81" i="1" s="1"/>
  <c r="Q80" i="1"/>
  <c r="Q79" i="1"/>
  <c r="Q78" i="1"/>
  <c r="Q77" i="1"/>
  <c r="S77" i="1" s="1"/>
  <c r="Q76" i="1"/>
  <c r="S76" i="1" s="1"/>
  <c r="Q75" i="1"/>
  <c r="S75" i="1" s="1"/>
  <c r="Q74" i="1"/>
  <c r="S74" i="1" s="1"/>
  <c r="Q73" i="1"/>
  <c r="Q72" i="1"/>
  <c r="S72" i="1" s="1"/>
  <c r="Q71" i="1"/>
  <c r="S71" i="1" s="1"/>
  <c r="Q70" i="1"/>
  <c r="S70" i="1" s="1"/>
  <c r="Q69" i="1"/>
  <c r="S69" i="1" s="1"/>
  <c r="Q68" i="1"/>
  <c r="Q67" i="1"/>
  <c r="Q66" i="1"/>
  <c r="Q65" i="1"/>
  <c r="S65" i="1" s="1"/>
  <c r="Q64" i="1"/>
  <c r="S64" i="1" s="1"/>
  <c r="Q63" i="1"/>
  <c r="S63" i="1" s="1"/>
  <c r="Q62" i="1"/>
  <c r="S62" i="1" s="1"/>
  <c r="Q61" i="1"/>
  <c r="Q60" i="1"/>
  <c r="S60" i="1" s="1"/>
  <c r="Q59" i="1"/>
  <c r="S59" i="1" s="1"/>
  <c r="Q58" i="1"/>
  <c r="S58" i="1" s="1"/>
  <c r="Q57" i="1"/>
  <c r="S57" i="1" s="1"/>
  <c r="Q56" i="1"/>
  <c r="Q55" i="1"/>
  <c r="Q54" i="1"/>
  <c r="Q53" i="1"/>
  <c r="S53" i="1" s="1"/>
  <c r="Q52" i="1"/>
  <c r="S52" i="1" s="1"/>
  <c r="Q51" i="1"/>
  <c r="S51" i="1" s="1"/>
  <c r="Q50" i="1"/>
  <c r="S50" i="1" s="1"/>
  <c r="Q49" i="1"/>
  <c r="Q48" i="1"/>
  <c r="S48" i="1" s="1"/>
  <c r="Q47" i="1"/>
  <c r="S47" i="1" s="1"/>
  <c r="Q46" i="1"/>
  <c r="S46" i="1" s="1"/>
  <c r="Q45" i="1"/>
  <c r="S45" i="1" s="1"/>
  <c r="Q44" i="1"/>
  <c r="Q43" i="1"/>
  <c r="Q42" i="1"/>
  <c r="Q41" i="1"/>
  <c r="S41" i="1" s="1"/>
  <c r="Q40" i="1"/>
  <c r="S40" i="1" s="1"/>
  <c r="Q39" i="1"/>
  <c r="S39" i="1" s="1"/>
  <c r="Q38" i="1"/>
  <c r="S38" i="1" s="1"/>
  <c r="Q37" i="1"/>
  <c r="Q36" i="1"/>
  <c r="S36" i="1" s="1"/>
  <c r="Q35" i="1"/>
  <c r="S35" i="1" s="1"/>
  <c r="Q34" i="1"/>
  <c r="S34" i="1" s="1"/>
  <c r="Q33" i="1"/>
  <c r="S33" i="1" s="1"/>
  <c r="Q32" i="1"/>
  <c r="Q31" i="1"/>
  <c r="Q30" i="1"/>
  <c r="Q29" i="1"/>
  <c r="S29" i="1" s="1"/>
  <c r="Q28" i="1"/>
  <c r="S28" i="1" s="1"/>
  <c r="Q27" i="1"/>
  <c r="S27" i="1" s="1"/>
  <c r="Q26" i="1"/>
  <c r="S26" i="1" s="1"/>
  <c r="Q25" i="1"/>
  <c r="Q24" i="1"/>
  <c r="S24" i="1" s="1"/>
  <c r="Q23" i="1"/>
  <c r="S23" i="1" s="1"/>
  <c r="Q22" i="1"/>
  <c r="S22" i="1" s="1"/>
  <c r="Q21" i="1"/>
  <c r="S21" i="1" s="1"/>
  <c r="Q20" i="1"/>
  <c r="S20" i="1" s="1"/>
  <c r="Q19" i="1"/>
  <c r="Q18" i="1"/>
  <c r="Q17" i="1"/>
  <c r="S17" i="1" s="1"/>
  <c r="Q16" i="1"/>
  <c r="S16" i="1" s="1"/>
  <c r="Q15" i="1"/>
  <c r="S15" i="1" s="1"/>
  <c r="Q14" i="1"/>
  <c r="S14" i="1" s="1"/>
  <c r="Q13" i="1"/>
  <c r="Q12" i="1"/>
  <c r="S12" i="1" s="1"/>
  <c r="Q11" i="1"/>
  <c r="S11" i="1" s="1"/>
  <c r="Q10" i="1"/>
  <c r="S10" i="1" s="1"/>
  <c r="Q9" i="1"/>
  <c r="S9" i="1" s="1"/>
  <c r="Q8" i="1"/>
  <c r="Q7" i="1"/>
  <c r="Q6" i="1"/>
  <c r="Q5" i="1"/>
  <c r="S5" i="1" s="1"/>
  <c r="S127" i="1" l="1"/>
  <c r="S2599" i="1"/>
  <c r="S8" i="1"/>
  <c r="S32" i="1"/>
  <c r="S44" i="1"/>
  <c r="S56" i="1"/>
  <c r="S68" i="1"/>
  <c r="S80" i="1"/>
  <c r="S92" i="1"/>
  <c r="S104" i="1"/>
  <c r="S116" i="1"/>
  <c r="S128" i="1"/>
  <c r="S140" i="1"/>
  <c r="S152" i="1"/>
  <c r="S176" i="1"/>
  <c r="S188" i="1"/>
  <c r="S212" i="1"/>
  <c r="S224" i="1"/>
  <c r="S248" i="1"/>
  <c r="S260" i="1"/>
  <c r="S272" i="1"/>
  <c r="S308" i="1"/>
  <c r="S356" i="1"/>
  <c r="S392" i="1"/>
  <c r="S404" i="1"/>
  <c r="S440" i="1"/>
  <c r="S452" i="1"/>
  <c r="S500" i="1"/>
  <c r="S536" i="1"/>
  <c r="S548" i="1"/>
  <c r="S584" i="1"/>
  <c r="S596" i="1"/>
  <c r="S608" i="1"/>
  <c r="S644" i="1"/>
  <c r="S692" i="1"/>
  <c r="S704" i="1"/>
  <c r="S728" i="1"/>
  <c r="S740" i="1"/>
  <c r="S752" i="1"/>
  <c r="S5643" i="1"/>
  <c r="S433" i="1"/>
  <c r="S865" i="1"/>
  <c r="S1381" i="1"/>
  <c r="S1477" i="1"/>
  <c r="S1861" i="1"/>
  <c r="S2341" i="1"/>
  <c r="S2509" i="1"/>
  <c r="S794" i="1"/>
  <c r="S1922" i="1"/>
  <c r="S3086" i="1"/>
  <c r="S3098" i="1"/>
  <c r="S3110" i="1"/>
  <c r="S3122" i="1"/>
  <c r="S3146" i="1"/>
  <c r="S3158" i="1"/>
  <c r="S3170" i="1"/>
  <c r="S3182" i="1"/>
  <c r="S3194" i="1"/>
  <c r="S3206" i="1"/>
  <c r="S3218" i="1"/>
  <c r="S3230" i="1"/>
  <c r="S3254" i="1"/>
  <c r="S3266" i="1"/>
  <c r="S3278" i="1"/>
  <c r="S3290" i="1"/>
  <c r="S3302" i="1"/>
  <c r="S3314" i="1"/>
  <c r="S3326" i="1"/>
  <c r="S3338" i="1"/>
  <c r="S3350" i="1"/>
  <c r="S3362" i="1"/>
  <c r="S3374" i="1"/>
  <c r="S3386" i="1"/>
  <c r="S3398" i="1"/>
  <c r="S3410" i="1"/>
  <c r="S3422" i="1"/>
  <c r="S3434" i="1"/>
  <c r="S3446" i="1"/>
  <c r="S3470" i="1"/>
  <c r="S3506" i="1"/>
  <c r="S3542" i="1"/>
  <c r="S3566" i="1"/>
  <c r="S3578" i="1"/>
  <c r="S3602" i="1"/>
  <c r="S3626" i="1"/>
  <c r="S3650" i="1"/>
  <c r="S3674" i="1"/>
  <c r="S3746" i="1"/>
  <c r="S3794" i="1"/>
  <c r="S1710" i="1"/>
  <c r="S1746" i="1"/>
  <c r="S1770" i="1"/>
  <c r="S1794" i="1"/>
  <c r="S1806" i="1"/>
  <c r="S1842" i="1"/>
  <c r="S1890" i="1"/>
  <c r="S1902" i="1"/>
  <c r="S1974" i="1"/>
  <c r="S1986" i="1"/>
  <c r="S1998" i="1"/>
  <c r="S2034" i="1"/>
  <c r="S2058" i="1"/>
  <c r="S2082" i="1"/>
  <c r="S2094" i="1"/>
  <c r="S2118" i="1"/>
  <c r="S2154" i="1"/>
  <c r="S2166" i="1"/>
  <c r="S2250" i="1"/>
  <c r="S2262" i="1"/>
  <c r="S2310" i="1"/>
  <c r="S2346" i="1"/>
  <c r="S2358" i="1"/>
  <c r="S2442" i="1"/>
  <c r="S2454" i="1"/>
  <c r="S2490" i="1"/>
  <c r="S2502" i="1"/>
  <c r="S2526" i="1"/>
  <c r="S2562" i="1"/>
  <c r="S2574" i="1"/>
  <c r="S2598" i="1"/>
  <c r="S2634" i="1"/>
  <c r="S2646" i="1"/>
  <c r="S2670" i="1"/>
  <c r="S2706" i="1"/>
  <c r="S2718" i="1"/>
  <c r="S2742" i="1"/>
  <c r="S2778" i="1"/>
  <c r="S2790" i="1"/>
  <c r="S2814" i="1"/>
  <c r="S2850" i="1"/>
  <c r="S2862" i="1"/>
  <c r="S3042" i="1"/>
  <c r="S3186" i="1"/>
  <c r="S3222" i="1"/>
  <c r="S3270" i="1"/>
  <c r="S3294" i="1"/>
  <c r="S3306" i="1"/>
  <c r="S3366" i="1"/>
  <c r="S3378" i="1"/>
  <c r="S3390" i="1"/>
  <c r="S3438" i="1"/>
  <c r="S3462" i="1"/>
  <c r="S3510" i="1"/>
  <c r="S3606" i="1"/>
  <c r="S3714" i="1"/>
  <c r="S3762" i="1"/>
  <c r="S3786" i="1"/>
  <c r="S3846" i="1"/>
  <c r="S4038" i="1"/>
  <c r="S4122" i="1"/>
  <c r="S4134" i="1"/>
  <c r="S4386" i="1"/>
  <c r="S4470" i="1"/>
  <c r="S5202" i="1"/>
  <c r="S1520" i="1"/>
  <c r="S1532" i="1"/>
  <c r="S1592" i="1"/>
  <c r="S1616" i="1"/>
  <c r="S1724" i="1"/>
  <c r="S1808" i="1"/>
  <c r="S1820" i="1"/>
  <c r="S1880" i="1"/>
  <c r="S1904" i="1"/>
  <c r="S2012" i="1"/>
  <c r="S2096" i="1"/>
  <c r="S2108" i="1"/>
  <c r="S2132" i="1"/>
  <c r="S2192" i="1"/>
  <c r="S2264" i="1"/>
  <c r="S2300" i="1"/>
  <c r="S2324" i="1"/>
  <c r="S2384" i="1"/>
  <c r="S2456" i="1"/>
  <c r="S2480" i="1"/>
  <c r="S2528" i="1"/>
  <c r="S2552" i="1"/>
  <c r="S2600" i="1"/>
  <c r="S2624" i="1"/>
  <c r="S2672" i="1"/>
  <c r="S2696" i="1"/>
  <c r="S2744" i="1"/>
  <c r="S2768" i="1"/>
  <c r="S2816" i="1"/>
  <c r="S2840" i="1"/>
  <c r="S3872" i="1"/>
  <c r="S4544" i="1"/>
  <c r="S4724" i="1"/>
  <c r="S4808" i="1"/>
  <c r="S5528" i="1"/>
  <c r="R2" i="1"/>
  <c r="S6" i="1"/>
  <c r="S1206" i="1"/>
  <c r="S1230" i="1"/>
  <c r="S1278" i="1"/>
  <c r="S1326" i="1"/>
  <c r="S1350" i="1"/>
  <c r="S1362" i="1"/>
  <c r="S1386" i="1"/>
  <c r="S1494" i="1"/>
  <c r="S1578" i="1"/>
  <c r="S1590" i="1"/>
  <c r="S1650" i="1"/>
  <c r="S1674" i="1"/>
  <c r="S1782" i="1"/>
  <c r="S1866" i="1"/>
  <c r="S1878" i="1"/>
  <c r="S1938" i="1"/>
  <c r="S1962" i="1"/>
  <c r="S2070" i="1"/>
  <c r="S2142" i="1"/>
  <c r="S2202" i="1"/>
  <c r="S2238" i="1"/>
  <c r="S2286" i="1"/>
  <c r="S2334" i="1"/>
  <c r="S2394" i="1"/>
  <c r="S2430" i="1"/>
  <c r="S2886" i="1"/>
  <c r="S2898" i="1"/>
  <c r="S2946" i="1"/>
  <c r="S2994" i="1"/>
  <c r="S3090" i="1"/>
  <c r="S3138" i="1"/>
  <c r="S3198" i="1"/>
  <c r="S3282" i="1"/>
  <c r="S3330" i="1"/>
  <c r="S3414" i="1"/>
  <c r="S3474" i="1"/>
  <c r="S3522" i="1"/>
  <c r="S3546" i="1"/>
  <c r="S3558" i="1"/>
  <c r="S3618" i="1"/>
  <c r="S3654" i="1"/>
  <c r="S3690" i="1"/>
  <c r="S3702" i="1"/>
  <c r="S3738" i="1"/>
  <c r="S3798" i="1"/>
  <c r="S3834" i="1"/>
  <c r="S4158" i="1"/>
  <c r="S4278" i="1"/>
  <c r="S7" i="1"/>
  <c r="S31" i="1"/>
  <c r="S43" i="1"/>
  <c r="S67" i="1"/>
  <c r="S79" i="1"/>
  <c r="S103" i="1"/>
  <c r="S115" i="1"/>
  <c r="S139" i="1"/>
  <c r="S151" i="1"/>
  <c r="S175" i="1"/>
  <c r="S187" i="1"/>
  <c r="S1243" i="1"/>
  <c r="S1255" i="1"/>
  <c r="S1279" i="1"/>
  <c r="S1447" i="1"/>
  <c r="S1495" i="1"/>
  <c r="S1519" i="1"/>
  <c r="S1591" i="1"/>
  <c r="S1615" i="1"/>
  <c r="S1735" i="1"/>
  <c r="S1783" i="1"/>
  <c r="S1807" i="1"/>
  <c r="S1879" i="1"/>
  <c r="S1903" i="1"/>
  <c r="S2023" i="1"/>
  <c r="S2071" i="1"/>
  <c r="S2095" i="1"/>
  <c r="S2239" i="1"/>
  <c r="S2287" i="1"/>
  <c r="S2431" i="1"/>
  <c r="S2947" i="1"/>
  <c r="S2983" i="1"/>
  <c r="S2995" i="1"/>
  <c r="S3031" i="1"/>
  <c r="S3091" i="1"/>
  <c r="S3139" i="1"/>
  <c r="S3487" i="1"/>
  <c r="S3835" i="1"/>
  <c r="S4159" i="1"/>
  <c r="S4195" i="1"/>
  <c r="S4387" i="1"/>
  <c r="S4543" i="1"/>
  <c r="S4591" i="1"/>
  <c r="S4651" i="1"/>
  <c r="S4927" i="1"/>
  <c r="S385" i="1"/>
  <c r="S481" i="1"/>
  <c r="S673" i="1"/>
  <c r="S769" i="1"/>
  <c r="S1057" i="1"/>
  <c r="S1177" i="1"/>
  <c r="S1273" i="1"/>
  <c r="S1741" i="1"/>
  <c r="S2053" i="1"/>
  <c r="S2269" i="1"/>
  <c r="S2545" i="1"/>
  <c r="S2581" i="1"/>
  <c r="S2617" i="1"/>
  <c r="S2725" i="1"/>
  <c r="S2797" i="1"/>
  <c r="S2833" i="1"/>
  <c r="S3937" i="1"/>
  <c r="S4021" i="1"/>
  <c r="S4213" i="1"/>
  <c r="S4405" i="1"/>
  <c r="S13" i="1"/>
  <c r="S25" i="1"/>
  <c r="S37" i="1"/>
  <c r="S49" i="1"/>
  <c r="S61" i="1"/>
  <c r="S73" i="1"/>
  <c r="S85" i="1"/>
  <c r="S97" i="1"/>
  <c r="S109" i="1"/>
  <c r="S121" i="1"/>
  <c r="S133" i="1"/>
  <c r="S145" i="1"/>
  <c r="S157" i="1"/>
  <c r="S169" i="1"/>
  <c r="S181" i="1"/>
  <c r="S193" i="1"/>
  <c r="S205" i="1"/>
  <c r="S217" i="1"/>
  <c r="S229" i="1"/>
  <c r="S253" i="1"/>
  <c r="S265" i="1"/>
  <c r="S277" i="1"/>
  <c r="S301" i="1"/>
  <c r="S313" i="1"/>
  <c r="S325" i="1"/>
  <c r="S349" i="1"/>
  <c r="S361" i="1"/>
  <c r="S373" i="1"/>
  <c r="S397" i="1"/>
  <c r="S409" i="1"/>
  <c r="S421" i="1"/>
  <c r="S445" i="1"/>
  <c r="S457" i="1"/>
  <c r="S469" i="1"/>
  <c r="S493" i="1"/>
  <c r="S505" i="1"/>
  <c r="S517" i="1"/>
  <c r="S541" i="1"/>
  <c r="S553" i="1"/>
  <c r="S565" i="1"/>
  <c r="S589" i="1"/>
  <c r="S601" i="1"/>
  <c r="S613" i="1"/>
  <c r="S637" i="1"/>
  <c r="S649" i="1"/>
  <c r="S661" i="1"/>
  <c r="S685" i="1"/>
  <c r="S697" i="1"/>
  <c r="S709" i="1"/>
  <c r="S733" i="1"/>
  <c r="S745" i="1"/>
  <c r="S757" i="1"/>
  <c r="S781" i="1"/>
  <c r="S793" i="1"/>
  <c r="S805" i="1"/>
  <c r="S829" i="1"/>
  <c r="S841" i="1"/>
  <c r="S853" i="1"/>
  <c r="S877" i="1"/>
  <c r="S889" i="1"/>
  <c r="S901" i="1"/>
  <c r="S925" i="1"/>
  <c r="S937" i="1"/>
  <c r="S949" i="1"/>
  <c r="S973" i="1"/>
  <c r="S985" i="1"/>
  <c r="S997" i="1"/>
  <c r="S1021" i="1"/>
  <c r="S1033" i="1"/>
  <c r="S1045" i="1"/>
  <c r="S1069" i="1"/>
  <c r="S1081" i="1"/>
  <c r="S1093" i="1"/>
  <c r="S1117" i="1"/>
  <c r="S1129" i="1"/>
  <c r="S1141" i="1"/>
  <c r="S1165" i="1"/>
  <c r="S1189" i="1"/>
  <c r="S1201" i="1"/>
  <c r="S1213" i="1"/>
  <c r="S1225" i="1"/>
  <c r="S1249" i="1"/>
  <c r="S1261" i="1"/>
  <c r="S1285" i="1"/>
  <c r="S1297" i="1"/>
  <c r="S1321" i="1"/>
  <c r="S1333" i="1"/>
  <c r="S1345" i="1"/>
  <c r="S1357" i="1"/>
  <c r="S1369" i="1"/>
  <c r="S1393" i="1"/>
  <c r="S1405" i="1"/>
  <c r="S1417" i="1"/>
  <c r="S1429" i="1"/>
  <c r="S1441" i="1"/>
  <c r="S1465" i="1"/>
  <c r="S1489" i="1"/>
  <c r="S1501" i="1"/>
  <c r="S1513" i="1"/>
  <c r="S1525" i="1"/>
  <c r="S1537" i="1"/>
  <c r="S1549" i="1"/>
  <c r="S1561" i="1"/>
  <c r="S1585" i="1"/>
  <c r="S1597" i="1"/>
  <c r="S1609" i="1"/>
  <c r="S1621" i="1"/>
  <c r="S1633" i="1"/>
  <c r="S1645" i="1"/>
  <c r="S1657" i="1"/>
  <c r="S1681" i="1"/>
  <c r="S1693" i="1"/>
  <c r="S1705" i="1"/>
  <c r="S1717" i="1"/>
  <c r="S1729" i="1"/>
  <c r="S1753" i="1"/>
  <c r="S1777" i="1"/>
  <c r="S1789" i="1"/>
  <c r="S1801" i="1"/>
  <c r="S1813" i="1"/>
  <c r="S1825" i="1"/>
  <c r="S1837" i="1"/>
  <c r="S1849" i="1"/>
  <c r="S1873" i="1"/>
  <c r="S1885" i="1"/>
  <c r="S1897" i="1"/>
  <c r="S1909" i="1"/>
  <c r="S1921" i="1"/>
  <c r="S1933" i="1"/>
  <c r="S1945" i="1"/>
  <c r="S1969" i="1"/>
  <c r="S1981" i="1"/>
  <c r="S1993" i="1"/>
  <c r="S2005" i="1"/>
  <c r="S2017" i="1"/>
  <c r="S2041" i="1"/>
  <c r="S2065" i="1"/>
  <c r="S2077" i="1"/>
  <c r="S2089" i="1"/>
  <c r="S2101" i="1"/>
  <c r="S2113" i="1"/>
  <c r="S2125" i="1"/>
  <c r="S2137" i="1"/>
  <c r="S2161" i="1"/>
  <c r="S2173" i="1"/>
  <c r="S2185" i="1"/>
  <c r="S2209" i="1"/>
  <c r="S2221" i="1"/>
  <c r="S2233" i="1"/>
  <c r="S2245" i="1"/>
  <c r="S2257" i="1"/>
  <c r="S2281" i="1"/>
  <c r="S2293" i="1"/>
  <c r="S2305" i="1"/>
  <c r="S2317" i="1"/>
  <c r="S2329" i="1"/>
  <c r="S2353" i="1"/>
  <c r="S2365" i="1"/>
  <c r="S2377" i="1"/>
  <c r="S2401" i="1"/>
  <c r="S2413" i="1"/>
  <c r="S2425" i="1"/>
  <c r="S2437" i="1"/>
  <c r="S2449" i="1"/>
  <c r="S2461" i="1"/>
  <c r="S2485" i="1"/>
  <c r="S2497" i="1"/>
  <c r="S2521" i="1"/>
  <c r="S2533" i="1"/>
  <c r="S2557" i="1"/>
  <c r="S2569" i="1"/>
  <c r="S2593" i="1"/>
  <c r="S2605" i="1"/>
  <c r="S2629" i="1"/>
  <c r="S2641" i="1"/>
  <c r="S2665" i="1"/>
  <c r="S2677" i="1"/>
  <c r="S2701" i="1"/>
  <c r="S2713" i="1"/>
  <c r="S2737" i="1"/>
  <c r="S2749" i="1"/>
  <c r="S2773" i="1"/>
  <c r="S2785" i="1"/>
  <c r="S2809" i="1"/>
  <c r="S2821" i="1"/>
  <c r="S2845" i="1"/>
  <c r="S2857" i="1"/>
  <c r="S2881" i="1"/>
  <c r="S2893" i="1"/>
  <c r="S2905" i="1"/>
  <c r="S2917" i="1"/>
  <c r="S2929" i="1"/>
  <c r="S2941" i="1"/>
  <c r="S2953" i="1"/>
  <c r="S2965" i="1"/>
  <c r="S2977" i="1"/>
  <c r="S2989" i="1"/>
  <c r="S3001" i="1"/>
  <c r="S3013" i="1"/>
  <c r="S3025" i="1"/>
  <c r="S3037" i="1"/>
  <c r="S3049" i="1"/>
  <c r="S3061" i="1"/>
  <c r="S3073" i="1"/>
  <c r="S3085" i="1"/>
  <c r="S3097" i="1"/>
  <c r="S3109" i="1"/>
  <c r="S3121" i="1"/>
  <c r="S3133" i="1"/>
  <c r="S3145" i="1"/>
  <c r="S3157" i="1"/>
  <c r="S3169" i="1"/>
  <c r="S3181" i="1"/>
  <c r="S3193" i="1"/>
  <c r="S3205" i="1"/>
  <c r="S3217" i="1"/>
  <c r="S3229" i="1"/>
  <c r="S3241" i="1"/>
  <c r="S3253" i="1"/>
  <c r="S3265" i="1"/>
  <c r="S3277" i="1"/>
  <c r="S3289" i="1"/>
  <c r="S3301" i="1"/>
  <c r="S3313" i="1"/>
  <c r="S3325" i="1"/>
  <c r="S3337" i="1"/>
  <c r="S3349" i="1"/>
  <c r="S3361" i="1"/>
  <c r="S3373" i="1"/>
  <c r="S3385" i="1"/>
  <c r="S3397" i="1"/>
  <c r="S3409" i="1"/>
  <c r="S3421" i="1"/>
  <c r="S3433" i="1"/>
  <c r="S3445" i="1"/>
  <c r="S3457" i="1"/>
  <c r="S3469" i="1"/>
  <c r="S3481" i="1"/>
  <c r="S3493" i="1"/>
  <c r="S3505" i="1"/>
  <c r="S3517" i="1"/>
  <c r="S3529" i="1"/>
  <c r="S3541" i="1"/>
  <c r="S3553" i="1"/>
  <c r="S3565" i="1"/>
  <c r="S3577" i="1"/>
  <c r="S3589" i="1"/>
  <c r="S3601" i="1"/>
  <c r="S3613" i="1"/>
  <c r="S3625" i="1"/>
  <c r="S3637" i="1"/>
  <c r="S3649" i="1"/>
  <c r="S3661" i="1"/>
  <c r="S3673" i="1"/>
  <c r="S3685" i="1"/>
  <c r="S3697" i="1"/>
  <c r="S3709" i="1"/>
  <c r="S3721" i="1"/>
  <c r="S3733" i="1"/>
  <c r="S3745" i="1"/>
  <c r="S3757" i="1"/>
  <c r="S3769" i="1"/>
  <c r="S3781" i="1"/>
  <c r="S3793" i="1"/>
  <c r="S3805" i="1"/>
  <c r="S3817" i="1"/>
  <c r="S3829" i="1"/>
  <c r="S3841" i="1"/>
  <c r="S3853" i="1"/>
  <c r="S3865" i="1"/>
  <c r="S3877" i="1"/>
  <c r="S3889" i="1"/>
  <c r="S3901" i="1"/>
  <c r="S3913" i="1"/>
  <c r="S3925" i="1"/>
  <c r="S3949" i="1"/>
  <c r="S3961" i="1"/>
  <c r="S3973" i="1"/>
  <c r="S3985" i="1"/>
  <c r="S3997" i="1"/>
  <c r="S4033" i="1"/>
  <c r="S4045" i="1"/>
  <c r="S4057" i="1"/>
  <c r="S4069" i="1"/>
  <c r="S4081" i="1"/>
  <c r="S4093" i="1"/>
  <c r="S4105" i="1"/>
  <c r="S4117" i="1"/>
  <c r="S4129" i="1"/>
  <c r="S4141" i="1"/>
  <c r="S4153" i="1"/>
  <c r="S4165" i="1"/>
  <c r="S4177" i="1"/>
  <c r="S4189" i="1"/>
  <c r="S4201" i="1"/>
  <c r="S4225" i="1"/>
  <c r="S4237" i="1"/>
  <c r="S4249" i="1"/>
  <c r="S4261" i="1"/>
  <c r="S4273" i="1"/>
  <c r="S4285" i="1"/>
  <c r="S4297" i="1"/>
  <c r="S4309" i="1"/>
  <c r="S4321" i="1"/>
  <c r="S4333" i="1"/>
  <c r="S4345" i="1"/>
  <c r="S4357" i="1"/>
  <c r="S4369" i="1"/>
  <c r="S4381" i="1"/>
  <c r="S4393" i="1"/>
  <c r="S4417" i="1"/>
  <c r="S4429" i="1"/>
  <c r="S4441" i="1"/>
  <c r="S4453" i="1"/>
  <c r="S4465" i="1"/>
  <c r="S4477" i="1"/>
  <c r="S4489" i="1"/>
  <c r="S4501" i="1"/>
  <c r="S4513" i="1"/>
  <c r="S4525" i="1"/>
  <c r="S4537" i="1"/>
  <c r="S4549" i="1"/>
  <c r="S4561" i="1"/>
  <c r="S4573" i="1"/>
  <c r="S4585" i="1"/>
  <c r="S4597" i="1"/>
  <c r="S4609" i="1"/>
  <c r="S4621" i="1"/>
  <c r="S4633" i="1"/>
  <c r="S4645" i="1"/>
  <c r="S4657" i="1"/>
  <c r="S4669" i="1"/>
  <c r="S4681" i="1"/>
  <c r="S4693" i="1"/>
  <c r="S4705" i="1"/>
  <c r="S4717" i="1"/>
  <c r="S4729" i="1"/>
  <c r="S4741" i="1"/>
  <c r="S4753" i="1"/>
  <c r="S4765" i="1"/>
  <c r="S4777" i="1"/>
  <c r="S4789" i="1"/>
  <c r="S4801" i="1"/>
  <c r="S4813" i="1"/>
  <c r="S4825" i="1"/>
  <c r="S4837" i="1"/>
  <c r="S4849" i="1"/>
  <c r="S4861" i="1"/>
  <c r="S4873" i="1"/>
  <c r="S4885" i="1"/>
  <c r="S4897" i="1"/>
  <c r="S4909" i="1"/>
  <c r="S4921" i="1"/>
  <c r="S4933" i="1"/>
  <c r="S4945" i="1"/>
  <c r="S4957" i="1"/>
  <c r="S4969" i="1"/>
  <c r="S4981" i="1"/>
  <c r="S4993" i="1"/>
  <c r="S5005" i="1"/>
  <c r="S5017" i="1"/>
  <c r="S5029" i="1"/>
  <c r="S5041" i="1"/>
  <c r="S5053" i="1"/>
  <c r="S5065" i="1"/>
  <c r="S5077" i="1"/>
  <c r="S5089" i="1"/>
  <c r="S5101" i="1"/>
  <c r="S5113" i="1"/>
  <c r="S5125" i="1"/>
  <c r="S5137" i="1"/>
  <c r="S5149" i="1"/>
  <c r="S5161" i="1"/>
  <c r="S5173" i="1"/>
  <c r="S5185" i="1"/>
  <c r="S5197" i="1"/>
  <c r="S5209" i="1"/>
  <c r="S5221" i="1"/>
  <c r="S5233" i="1"/>
  <c r="S5245" i="1"/>
  <c r="S5257" i="1"/>
  <c r="S5269" i="1"/>
  <c r="S5281" i="1"/>
  <c r="S5293" i="1"/>
  <c r="S5305" i="1"/>
  <c r="S5317" i="1"/>
  <c r="S5329" i="1"/>
  <c r="S5341" i="1"/>
  <c r="S5353" i="1"/>
  <c r="S5365" i="1"/>
  <c r="S5377" i="1"/>
  <c r="S5389" i="1"/>
  <c r="S5401" i="1"/>
  <c r="S5413" i="1"/>
  <c r="S5425" i="1"/>
  <c r="S5437" i="1"/>
  <c r="S5449" i="1"/>
  <c r="S5461" i="1"/>
  <c r="S5473" i="1"/>
  <c r="S5485" i="1"/>
  <c r="S5497" i="1"/>
  <c r="S5509" i="1"/>
  <c r="S5521" i="1"/>
  <c r="S5533" i="1"/>
  <c r="S5545" i="1"/>
  <c r="S5557" i="1"/>
  <c r="S5569" i="1"/>
  <c r="S5581" i="1"/>
  <c r="S5593" i="1"/>
  <c r="S5605" i="1"/>
  <c r="S5617" i="1"/>
  <c r="S5629" i="1"/>
  <c r="S5641" i="1"/>
  <c r="S5653" i="1"/>
  <c r="S5665" i="1"/>
  <c r="S5677" i="1"/>
  <c r="S5689" i="1"/>
  <c r="S5701" i="1"/>
  <c r="S5713" i="1"/>
  <c r="S5725" i="1"/>
  <c r="S5737" i="1"/>
  <c r="S5749" i="1"/>
  <c r="S5761" i="1"/>
  <c r="S5773" i="1"/>
  <c r="S5785" i="1"/>
  <c r="S5797" i="1"/>
  <c r="S5809" i="1"/>
  <c r="S5821" i="1"/>
  <c r="S5833" i="1"/>
  <c r="S5845" i="1"/>
  <c r="S5857" i="1"/>
  <c r="S5869" i="1"/>
  <c r="S5881" i="1"/>
  <c r="S5893" i="1"/>
  <c r="S5905" i="1"/>
  <c r="S5917" i="1"/>
  <c r="S5929" i="1"/>
  <c r="S5941" i="1"/>
  <c r="S5953" i="1"/>
  <c r="S5965" i="1"/>
  <c r="S5977" i="1"/>
  <c r="S5989" i="1"/>
  <c r="S6001" i="1"/>
  <c r="S6013" i="1"/>
  <c r="S6025" i="1"/>
  <c r="S6037" i="1"/>
  <c r="S6049" i="1"/>
  <c r="S6061" i="1"/>
  <c r="S6073" i="1"/>
  <c r="S6085" i="1"/>
  <c r="S6097" i="1"/>
  <c r="S6109" i="1"/>
  <c r="S6121" i="1"/>
  <c r="S6133" i="1"/>
  <c r="S6145" i="1"/>
  <c r="S6157" i="1"/>
  <c r="S6169" i="1"/>
  <c r="S6181" i="1"/>
  <c r="S6193" i="1"/>
  <c r="S6205" i="1"/>
  <c r="S6217" i="1"/>
  <c r="S6229" i="1"/>
  <c r="S6241" i="1"/>
  <c r="S6253" i="1"/>
  <c r="S6265" i="1"/>
  <c r="S6277" i="1"/>
  <c r="S6289" i="1"/>
  <c r="S6301" i="1"/>
  <c r="S6313" i="1"/>
  <c r="S6325" i="1"/>
  <c r="S6337" i="1"/>
  <c r="S6349" i="1"/>
  <c r="S6361" i="1"/>
  <c r="S6373" i="1"/>
  <c r="S6385" i="1"/>
  <c r="S6397" i="1"/>
  <c r="S6409" i="1"/>
  <c r="S6421" i="1"/>
  <c r="S6433" i="1"/>
  <c r="S6445" i="1"/>
  <c r="S6457" i="1"/>
  <c r="S6469" i="1"/>
  <c r="S6481" i="1"/>
  <c r="S6493" i="1"/>
  <c r="S6505" i="1"/>
  <c r="S6517" i="1"/>
  <c r="S6529" i="1"/>
  <c r="S6541" i="1"/>
  <c r="S6553" i="1"/>
  <c r="S6565" i="1"/>
  <c r="S6577" i="1"/>
  <c r="S6589" i="1"/>
  <c r="S6601" i="1"/>
  <c r="S6613" i="1"/>
  <c r="S6625" i="1"/>
  <c r="S6637" i="1"/>
  <c r="S6649" i="1"/>
  <c r="S6661" i="1"/>
  <c r="S6673" i="1"/>
  <c r="S6685" i="1"/>
  <c r="S6697" i="1"/>
  <c r="S6709" i="1"/>
  <c r="S6721" i="1"/>
  <c r="S6733" i="1"/>
  <c r="S6745" i="1"/>
  <c r="S6757" i="1"/>
  <c r="S6769" i="1"/>
  <c r="S6781" i="1"/>
  <c r="S6793" i="1"/>
  <c r="S6805" i="1"/>
  <c r="S6817" i="1"/>
  <c r="S6829" i="1"/>
  <c r="S6841" i="1"/>
  <c r="S6853" i="1"/>
  <c r="S6865" i="1"/>
  <c r="S6877" i="1"/>
  <c r="S6889" i="1"/>
  <c r="S6901" i="1"/>
  <c r="S3458" i="1"/>
  <c r="S3482" i="1"/>
  <c r="S3494" i="1"/>
  <c r="S3518" i="1"/>
  <c r="S3554" i="1"/>
  <c r="S3590" i="1"/>
  <c r="S3614" i="1"/>
  <c r="S3638" i="1"/>
  <c r="S3662" i="1"/>
  <c r="S3686" i="1"/>
  <c r="S3698" i="1"/>
  <c r="S3710" i="1"/>
  <c r="S3734" i="1"/>
  <c r="S3758" i="1"/>
  <c r="S3770" i="1"/>
  <c r="S3782" i="1"/>
  <c r="S3806" i="1"/>
  <c r="S3818" i="1"/>
  <c r="S3830" i="1"/>
  <c r="S3854" i="1"/>
  <c r="S3866" i="1"/>
  <c r="S3878" i="1"/>
  <c r="S3890" i="1"/>
  <c r="S3902" i="1"/>
  <c r="S3914" i="1"/>
  <c r="S3926" i="1"/>
  <c r="S3938" i="1"/>
  <c r="S3950" i="1"/>
  <c r="S3962" i="1"/>
  <c r="S3974" i="1"/>
  <c r="S3986" i="1"/>
  <c r="S3998" i="1"/>
  <c r="S4010" i="1"/>
  <c r="S4022" i="1"/>
  <c r="S4034" i="1"/>
  <c r="S4046" i="1"/>
  <c r="S4058" i="1"/>
  <c r="S4070" i="1"/>
  <c r="S4082" i="1"/>
  <c r="S4094" i="1"/>
  <c r="S4106" i="1"/>
  <c r="S4118" i="1"/>
  <c r="S4130" i="1"/>
  <c r="S4142" i="1"/>
  <c r="S4154" i="1"/>
  <c r="S4166" i="1"/>
  <c r="S4178" i="1"/>
  <c r="S4190" i="1"/>
  <c r="S4202" i="1"/>
  <c r="S4214" i="1"/>
  <c r="S4226" i="1"/>
  <c r="S4238" i="1"/>
  <c r="S4250" i="1"/>
  <c r="S4262" i="1"/>
  <c r="S4274" i="1"/>
  <c r="S4286" i="1"/>
  <c r="S4298" i="1"/>
  <c r="S4310" i="1"/>
  <c r="S4322" i="1"/>
  <c r="S4334" i="1"/>
  <c r="S4346" i="1"/>
  <c r="S4358" i="1"/>
  <c r="S4370" i="1"/>
  <c r="S4382" i="1"/>
  <c r="S4394" i="1"/>
  <c r="S4406" i="1"/>
  <c r="S4418" i="1"/>
  <c r="S4430" i="1"/>
  <c r="S4442" i="1"/>
  <c r="S4454" i="1"/>
  <c r="S4466" i="1"/>
  <c r="S4478" i="1"/>
  <c r="S4490" i="1"/>
  <c r="S4502" i="1"/>
  <c r="S4514" i="1"/>
  <c r="S4526" i="1"/>
  <c r="S4538" i="1"/>
  <c r="S4550" i="1"/>
  <c r="S4562" i="1"/>
  <c r="S4574" i="1"/>
  <c r="S4586" i="1"/>
  <c r="S4598" i="1"/>
  <c r="S4610" i="1"/>
  <c r="S4622" i="1"/>
  <c r="S4634" i="1"/>
  <c r="S4646" i="1"/>
  <c r="S4658" i="1"/>
  <c r="S4670" i="1"/>
  <c r="S4682" i="1"/>
  <c r="S4694" i="1"/>
  <c r="S4706" i="1"/>
  <c r="S4718" i="1"/>
  <c r="S4730" i="1"/>
  <c r="S4742" i="1"/>
  <c r="S4754" i="1"/>
  <c r="S4766" i="1"/>
  <c r="S4778" i="1"/>
  <c r="S4790" i="1"/>
  <c r="S4802" i="1"/>
  <c r="S4814" i="1"/>
  <c r="S4826" i="1"/>
  <c r="S4838" i="1"/>
  <c r="S4850" i="1"/>
  <c r="S4862" i="1"/>
  <c r="S4874" i="1"/>
  <c r="S4886" i="1"/>
  <c r="S4898" i="1"/>
  <c r="S4910" i="1"/>
  <c r="S4922" i="1"/>
  <c r="S4934" i="1"/>
  <c r="S4946" i="1"/>
  <c r="S4958" i="1"/>
  <c r="S4970" i="1"/>
  <c r="S4982" i="1"/>
  <c r="S4994" i="1"/>
  <c r="S5006" i="1"/>
  <c r="S5018" i="1"/>
  <c r="S5030" i="1"/>
  <c r="S5042" i="1"/>
  <c r="S5054" i="1"/>
  <c r="S5066" i="1"/>
  <c r="S5078" i="1"/>
  <c r="S5090" i="1"/>
  <c r="S5102" i="1"/>
  <c r="S5114" i="1"/>
  <c r="S5126" i="1"/>
  <c r="S5138" i="1"/>
  <c r="S5150" i="1"/>
  <c r="S5162" i="1"/>
  <c r="S5174" i="1"/>
  <c r="S5186" i="1"/>
  <c r="S5198" i="1"/>
  <c r="S5210" i="1"/>
  <c r="S5222" i="1"/>
  <c r="S5234" i="1"/>
  <c r="S5246" i="1"/>
  <c r="S5258" i="1"/>
  <c r="S5270" i="1"/>
  <c r="S5282" i="1"/>
  <c r="S5294" i="1"/>
  <c r="S5306" i="1"/>
  <c r="S5318" i="1"/>
  <c r="S5330" i="1"/>
  <c r="S5342" i="1"/>
  <c r="S5354" i="1"/>
  <c r="S5366" i="1"/>
  <c r="S5378" i="1"/>
  <c r="S5390" i="1"/>
  <c r="S5402" i="1"/>
  <c r="S5414" i="1"/>
  <c r="S5426" i="1"/>
  <c r="Q2" i="1"/>
  <c r="S5438" i="1"/>
  <c r="S5450" i="1"/>
  <c r="S5462" i="1"/>
  <c r="S5474" i="1"/>
  <c r="S5486" i="1"/>
  <c r="S5498" i="1"/>
  <c r="S5510" i="1"/>
  <c r="S5522" i="1"/>
  <c r="S5534" i="1"/>
  <c r="S5546" i="1"/>
  <c r="S5558" i="1"/>
  <c r="S5570" i="1"/>
  <c r="S5582" i="1"/>
  <c r="S5594" i="1"/>
  <c r="S5606" i="1"/>
  <c r="S5618" i="1"/>
  <c r="S5630" i="1"/>
  <c r="S5642" i="1"/>
  <c r="S5654" i="1"/>
  <c r="S5666" i="1"/>
  <c r="S5678" i="1"/>
  <c r="S5690" i="1"/>
  <c r="S5702" i="1"/>
  <c r="S5714" i="1"/>
  <c r="S5726" i="1"/>
  <c r="S5738" i="1"/>
  <c r="S5750" i="1"/>
  <c r="S5762" i="1"/>
  <c r="S5774" i="1"/>
  <c r="S5786" i="1"/>
  <c r="S5798" i="1"/>
  <c r="S5810" i="1"/>
  <c r="S5822" i="1"/>
  <c r="S5834" i="1"/>
  <c r="S5846" i="1"/>
  <c r="S5858" i="1"/>
  <c r="S5870" i="1"/>
  <c r="S5882" i="1"/>
  <c r="S5894" i="1"/>
  <c r="S5906" i="1"/>
  <c r="S5918" i="1"/>
  <c r="S5930" i="1"/>
  <c r="S5942" i="1"/>
  <c r="S5954" i="1"/>
  <c r="S5966" i="1"/>
  <c r="S5978" i="1"/>
  <c r="S5990" i="1"/>
  <c r="S6002" i="1"/>
  <c r="S6014" i="1"/>
  <c r="S6026" i="1"/>
  <c r="S6038" i="1"/>
  <c r="S6050" i="1"/>
  <c r="S6062" i="1"/>
  <c r="S6074" i="1"/>
  <c r="S6086" i="1"/>
  <c r="S6098" i="1"/>
  <c r="S6110" i="1"/>
  <c r="S6122" i="1"/>
  <c r="S6134" i="1"/>
  <c r="S6146" i="1"/>
  <c r="S6158" i="1"/>
  <c r="S6170" i="1"/>
  <c r="S6182" i="1"/>
  <c r="S6194" i="1"/>
  <c r="S6206" i="1"/>
  <c r="S6218" i="1"/>
  <c r="S6230" i="1"/>
  <c r="S6242" i="1"/>
  <c r="S6254" i="1"/>
  <c r="S6266" i="1"/>
  <c r="S6278" i="1"/>
  <c r="S6290" i="1"/>
  <c r="S6302" i="1"/>
  <c r="S6314" i="1"/>
  <c r="S6326" i="1"/>
  <c r="S6338" i="1"/>
  <c r="S6350" i="1"/>
  <c r="S6362" i="1"/>
  <c r="S6374" i="1"/>
  <c r="S6386" i="1"/>
  <c r="S6398" i="1"/>
  <c r="S6410" i="1"/>
  <c r="S6422" i="1"/>
  <c r="S6434" i="1"/>
  <c r="S6446" i="1"/>
  <c r="S6458" i="1"/>
  <c r="S6470" i="1"/>
  <c r="S6482" i="1"/>
  <c r="S6494" i="1"/>
  <c r="S6506" i="1"/>
  <c r="S6518" i="1"/>
  <c r="S6530" i="1"/>
  <c r="S6542" i="1"/>
  <c r="S6554" i="1"/>
  <c r="S6566" i="1"/>
  <c r="S6578" i="1"/>
  <c r="S6590" i="1"/>
  <c r="S6602" i="1"/>
  <c r="S6614" i="1"/>
  <c r="S6626" i="1"/>
  <c r="S6638" i="1"/>
  <c r="S6650" i="1"/>
  <c r="S6662" i="1"/>
  <c r="S6674" i="1"/>
  <c r="S6686" i="1"/>
  <c r="S6698" i="1"/>
  <c r="S6710" i="1"/>
  <c r="S6722" i="1"/>
  <c r="S6734" i="1"/>
  <c r="S6746" i="1"/>
  <c r="S6758" i="1"/>
  <c r="S6770" i="1"/>
  <c r="S6782" i="1"/>
  <c r="S6794" i="1"/>
  <c r="S6806" i="1"/>
  <c r="S6818" i="1"/>
  <c r="S6830" i="1"/>
  <c r="S6842" i="1"/>
  <c r="S6854" i="1"/>
  <c r="S6866" i="1"/>
  <c r="S6878" i="1"/>
  <c r="S6890" i="1"/>
  <c r="S4407" i="1"/>
  <c r="S4419" i="1"/>
  <c r="S4431" i="1"/>
  <c r="S4443" i="1"/>
  <c r="S4455" i="1"/>
  <c r="S4467" i="1"/>
  <c r="S4479" i="1"/>
  <c r="S4491" i="1"/>
  <c r="S4503" i="1"/>
  <c r="S4515" i="1"/>
  <c r="S4527" i="1"/>
  <c r="S4539" i="1"/>
  <c r="S4551" i="1"/>
  <c r="S4563" i="1"/>
  <c r="S4575" i="1"/>
  <c r="S4587" i="1"/>
  <c r="S4599" i="1"/>
  <c r="S4611" i="1"/>
  <c r="S4623" i="1"/>
  <c r="S4635" i="1"/>
  <c r="S4647" i="1"/>
  <c r="S4659" i="1"/>
  <c r="S4671" i="1"/>
  <c r="S4683" i="1"/>
  <c r="S4695" i="1"/>
  <c r="S4707" i="1"/>
  <c r="S4719" i="1"/>
  <c r="S4731" i="1"/>
  <c r="S4743" i="1"/>
  <c r="S4755" i="1"/>
  <c r="S4767" i="1"/>
  <c r="S4779" i="1"/>
  <c r="S4791" i="1"/>
  <c r="S4803" i="1"/>
  <c r="S4815" i="1"/>
  <c r="S4827" i="1"/>
  <c r="S4839" i="1"/>
  <c r="S4851" i="1"/>
  <c r="S4863" i="1"/>
  <c r="S4875" i="1"/>
  <c r="S4887" i="1"/>
  <c r="S4899" i="1"/>
  <c r="S4911" i="1"/>
  <c r="S4923" i="1"/>
  <c r="S4935" i="1"/>
  <c r="S4947" i="1"/>
  <c r="S4959" i="1"/>
  <c r="S4971" i="1"/>
  <c r="S4983" i="1"/>
  <c r="S4995" i="1"/>
  <c r="S5007" i="1"/>
  <c r="S5019" i="1"/>
  <c r="S5031" i="1"/>
  <c r="S5043" i="1"/>
  <c r="S5055" i="1"/>
  <c r="S5067" i="1"/>
  <c r="S5079" i="1"/>
  <c r="S5091" i="1"/>
  <c r="S5103" i="1"/>
  <c r="S5115" i="1"/>
  <c r="S5127" i="1"/>
  <c r="S5139" i="1"/>
  <c r="S5151" i="1"/>
  <c r="S5163" i="1"/>
  <c r="S5175" i="1"/>
  <c r="S5187" i="1"/>
  <c r="S5199" i="1"/>
  <c r="S5211" i="1"/>
  <c r="S5223" i="1"/>
  <c r="S5235" i="1"/>
  <c r="S5247" i="1"/>
  <c r="S5259" i="1"/>
  <c r="S5283" i="1"/>
  <c r="S5295" i="1"/>
  <c r="S5307" i="1"/>
  <c r="S5319" i="1"/>
  <c r="S5331" i="1"/>
  <c r="S5343" i="1"/>
  <c r="S5355" i="1"/>
  <c r="S5367" i="1"/>
  <c r="S5379" i="1"/>
  <c r="S5391" i="1"/>
  <c r="S5403" i="1"/>
  <c r="S5415" i="1"/>
  <c r="S5427" i="1"/>
  <c r="S5439" i="1"/>
  <c r="S5451" i="1"/>
  <c r="S5463" i="1"/>
  <c r="S5475" i="1"/>
  <c r="S5487" i="1"/>
  <c r="S5499" i="1"/>
  <c r="S5511" i="1"/>
  <c r="S5523" i="1"/>
  <c r="S5535" i="1"/>
  <c r="S5547" i="1"/>
  <c r="S5559" i="1"/>
  <c r="S5571" i="1"/>
  <c r="S5583" i="1"/>
  <c r="S5595" i="1"/>
  <c r="S5607" i="1"/>
  <c r="S5619" i="1"/>
  <c r="S5631" i="1"/>
  <c r="S5655" i="1"/>
  <c r="S5667" i="1"/>
  <c r="S5679" i="1"/>
  <c r="S5691" i="1"/>
  <c r="S5703" i="1"/>
  <c r="S5715" i="1"/>
  <c r="S5727" i="1"/>
  <c r="S5739" i="1"/>
  <c r="S5751" i="1"/>
  <c r="S5763" i="1"/>
  <c r="S5775" i="1"/>
  <c r="S5787" i="1"/>
  <c r="S5799" i="1"/>
  <c r="S5811" i="1"/>
  <c r="S5823" i="1"/>
  <c r="S5835" i="1"/>
  <c r="S5847" i="1"/>
  <c r="S5859" i="1"/>
  <c r="S5871" i="1"/>
  <c r="S5883" i="1"/>
  <c r="S5895" i="1"/>
  <c r="S5907" i="1"/>
  <c r="S5919" i="1"/>
  <c r="S5931" i="1"/>
  <c r="S5943" i="1"/>
  <c r="S5955" i="1"/>
  <c r="S5967" i="1"/>
  <c r="S5979" i="1"/>
  <c r="S5991" i="1"/>
  <c r="S6003" i="1"/>
  <c r="S6015" i="1"/>
  <c r="S6027" i="1"/>
  <c r="S6039" i="1"/>
  <c r="S6051" i="1"/>
  <c r="S6063" i="1"/>
  <c r="S6075" i="1"/>
  <c r="S6087" i="1"/>
  <c r="S6099" i="1"/>
  <c r="S6111" i="1"/>
  <c r="S6123" i="1"/>
  <c r="S6135" i="1"/>
  <c r="S6147" i="1"/>
  <c r="S6159" i="1"/>
  <c r="S6171" i="1"/>
  <c r="S6183" i="1"/>
  <c r="S6195" i="1"/>
  <c r="S6207" i="1"/>
  <c r="S6219" i="1"/>
  <c r="S6231" i="1"/>
  <c r="S6243" i="1"/>
  <c r="S6255" i="1"/>
  <c r="S6267" i="1"/>
  <c r="S6279" i="1"/>
  <c r="S6291" i="1"/>
  <c r="S6303" i="1"/>
  <c r="S6315" i="1"/>
  <c r="S6327" i="1"/>
  <c r="S6339" i="1"/>
  <c r="S6351" i="1"/>
  <c r="S6363" i="1"/>
  <c r="S6375" i="1"/>
  <c r="S6387" i="1"/>
  <c r="S6399" i="1"/>
  <c r="S6411" i="1"/>
  <c r="S6423" i="1"/>
  <c r="S6435" i="1"/>
  <c r="S6447" i="1"/>
  <c r="S6459" i="1"/>
  <c r="S6471" i="1"/>
  <c r="S6483" i="1"/>
  <c r="S6495" i="1"/>
  <c r="S6507" i="1"/>
  <c r="S6519" i="1"/>
  <c r="S6531" i="1"/>
  <c r="S6543" i="1"/>
  <c r="S6555" i="1"/>
  <c r="S6567" i="1"/>
  <c r="S6579" i="1"/>
  <c r="S6591" i="1"/>
  <c r="S6603" i="1"/>
  <c r="S6615" i="1"/>
  <c r="S6627" i="1"/>
  <c r="S6639" i="1"/>
  <c r="S6651" i="1"/>
  <c r="S6663" i="1"/>
  <c r="S6675" i="1"/>
  <c r="S6687" i="1"/>
  <c r="S6699" i="1"/>
  <c r="S6711" i="1"/>
  <c r="S6723" i="1"/>
  <c r="S6735" i="1"/>
  <c r="S6747" i="1"/>
  <c r="S6759" i="1"/>
  <c r="S6771" i="1"/>
  <c r="S6783" i="1"/>
  <c r="S6795" i="1"/>
  <c r="S6807" i="1"/>
  <c r="S6819" i="1"/>
  <c r="S6831" i="1"/>
  <c r="S6843" i="1"/>
  <c r="S6855" i="1"/>
  <c r="S6867" i="1"/>
  <c r="S6879" i="1"/>
  <c r="S6891" i="1"/>
  <c r="S270" i="1"/>
  <c r="S942" i="1"/>
  <c r="S1194" i="1"/>
  <c r="S1566" i="1"/>
  <c r="S1722" i="1"/>
  <c r="S2370" i="1"/>
  <c r="S2622" i="1"/>
  <c r="S2694" i="1"/>
  <c r="S2958" i="1"/>
  <c r="S3066" i="1"/>
  <c r="S3174" i="1"/>
  <c r="S3318" i="1"/>
  <c r="S3426" i="1"/>
  <c r="S3630" i="1"/>
  <c r="S3894" i="1"/>
  <c r="S3978" i="1"/>
  <c r="S4062" i="1"/>
  <c r="S4218" i="1"/>
  <c r="S4290" i="1"/>
  <c r="S4338" i="1"/>
  <c r="S4434" i="1"/>
  <c r="S4506" i="1"/>
  <c r="S4590" i="1"/>
  <c r="S4686" i="1"/>
  <c r="S4770" i="1"/>
  <c r="S4854" i="1"/>
  <c r="S4926" i="1"/>
  <c r="S4998" i="1"/>
  <c r="S5070" i="1"/>
  <c r="S5166" i="1"/>
  <c r="S5286" i="1"/>
  <c r="S5502" i="1"/>
  <c r="S5886" i="1"/>
  <c r="S798" i="1"/>
  <c r="S894" i="1"/>
  <c r="S990" i="1"/>
  <c r="S1038" i="1"/>
  <c r="S1086" i="1"/>
  <c r="S1182" i="1"/>
  <c r="S1218" i="1"/>
  <c r="S1254" i="1"/>
  <c r="S1374" i="1"/>
  <c r="S1434" i="1"/>
  <c r="S1470" i="1"/>
  <c r="S1542" i="1"/>
  <c r="S1638" i="1"/>
  <c r="S1662" i="1"/>
  <c r="S1734" i="1"/>
  <c r="S1758" i="1"/>
  <c r="S1818" i="1"/>
  <c r="S1830" i="1"/>
  <c r="S1854" i="1"/>
  <c r="S1914" i="1"/>
  <c r="S1950" i="1"/>
  <c r="S2010" i="1"/>
  <c r="S2046" i="1"/>
  <c r="S2106" i="1"/>
  <c r="S2130" i="1"/>
  <c r="S2178" i="1"/>
  <c r="S2190" i="1"/>
  <c r="S2226" i="1"/>
  <c r="S2274" i="1"/>
  <c r="S2298" i="1"/>
  <c r="S2322" i="1"/>
  <c r="S2382" i="1"/>
  <c r="S2406" i="1"/>
  <c r="S2466" i="1"/>
  <c r="S2478" i="1"/>
  <c r="S2514" i="1"/>
  <c r="S2538" i="1"/>
  <c r="S2550" i="1"/>
  <c r="S2586" i="1"/>
  <c r="S2610" i="1"/>
  <c r="S2658" i="1"/>
  <c r="S2682" i="1"/>
  <c r="S2754" i="1"/>
  <c r="S2766" i="1"/>
  <c r="S2802" i="1"/>
  <c r="S2826" i="1"/>
  <c r="S2838" i="1"/>
  <c r="S2874" i="1"/>
  <c r="S2922" i="1"/>
  <c r="S2934" i="1"/>
  <c r="S2970" i="1"/>
  <c r="S2982" i="1"/>
  <c r="S3006" i="1"/>
  <c r="S3030" i="1"/>
  <c r="S3054" i="1"/>
  <c r="S3078" i="1"/>
  <c r="S3102" i="1"/>
  <c r="S3126" i="1"/>
  <c r="S3150" i="1"/>
  <c r="S3162" i="1"/>
  <c r="S3234" i="1"/>
  <c r="S3258" i="1"/>
  <c r="S3342" i="1"/>
  <c r="S3354" i="1"/>
  <c r="S3402" i="1"/>
  <c r="S3450" i="1"/>
  <c r="S3486" i="1"/>
  <c r="S3498" i="1"/>
  <c r="S3534" i="1"/>
  <c r="S3582" i="1"/>
  <c r="S3594" i="1"/>
  <c r="S3642" i="1"/>
  <c r="S3666" i="1"/>
  <c r="S3678" i="1"/>
  <c r="S3726" i="1"/>
  <c r="S3750" i="1"/>
  <c r="S3774" i="1"/>
  <c r="S3810" i="1"/>
  <c r="S3822" i="1"/>
  <c r="S3858" i="1"/>
  <c r="S3870" i="1"/>
  <c r="S3882" i="1"/>
  <c r="S3906" i="1"/>
  <c r="S3918" i="1"/>
  <c r="S3942" i="1"/>
  <c r="S3954" i="1"/>
  <c r="S3966" i="1"/>
  <c r="S3990" i="1"/>
  <c r="S4002" i="1"/>
  <c r="S4026" i="1"/>
  <c r="S4050" i="1"/>
  <c r="S4074" i="1"/>
  <c r="S4086" i="1"/>
  <c r="S4110" i="1"/>
  <c r="S4146" i="1"/>
  <c r="S4170" i="1"/>
  <c r="S4194" i="1"/>
  <c r="S4206" i="1"/>
  <c r="S4230" i="1"/>
  <c r="S4242" i="1"/>
  <c r="S4254" i="1"/>
  <c r="S4302" i="1"/>
  <c r="S4326" i="1"/>
  <c r="S4350" i="1"/>
  <c r="S4362" i="1"/>
  <c r="S4374" i="1"/>
  <c r="S4410" i="1"/>
  <c r="S4422" i="1"/>
  <c r="S4446" i="1"/>
  <c r="S4458" i="1"/>
  <c r="S4482" i="1"/>
  <c r="S4494" i="1"/>
  <c r="S4518" i="1"/>
  <c r="S4530" i="1"/>
  <c r="S4542" i="1"/>
  <c r="S4554" i="1"/>
  <c r="S4578" i="1"/>
  <c r="S4602" i="1"/>
  <c r="S4614" i="1"/>
  <c r="S4626" i="1"/>
  <c r="S4638" i="1"/>
  <c r="S4662" i="1"/>
  <c r="S4674" i="1"/>
  <c r="S4698" i="1"/>
  <c r="S4710" i="1"/>
  <c r="S4722" i="1"/>
  <c r="S4746" i="1"/>
  <c r="S4758" i="1"/>
  <c r="S4782" i="1"/>
  <c r="S4794" i="1"/>
  <c r="S4818" i="1"/>
  <c r="S4830" i="1"/>
  <c r="S4842" i="1"/>
  <c r="S4866" i="1"/>
  <c r="S4878" i="1"/>
  <c r="S4902" i="1"/>
  <c r="S4914" i="1"/>
  <c r="S4938" i="1"/>
  <c r="S4950" i="1"/>
  <c r="S4962" i="1"/>
  <c r="S4986" i="1"/>
  <c r="S5010" i="1"/>
  <c r="S5022" i="1"/>
  <c r="S5046" i="1"/>
  <c r="S5058" i="1"/>
  <c r="S5094" i="1"/>
  <c r="S5106" i="1"/>
  <c r="S5118" i="1"/>
  <c r="S5130" i="1"/>
  <c r="S5154" i="1"/>
  <c r="S5178" i="1"/>
  <c r="S5190" i="1"/>
  <c r="S5214" i="1"/>
  <c r="S5238" i="1"/>
  <c r="S5250" i="1"/>
  <c r="S5262" i="1"/>
  <c r="S5274" i="1"/>
  <c r="S5298" i="1"/>
  <c r="S5322" i="1"/>
  <c r="S5334" i="1"/>
  <c r="S5346" i="1"/>
  <c r="S5358" i="1"/>
  <c r="S5382" i="1"/>
  <c r="S5394" i="1"/>
  <c r="S5406" i="1"/>
  <c r="S5418" i="1"/>
  <c r="S5442" i="1"/>
  <c r="S5454" i="1"/>
  <c r="S5466" i="1"/>
  <c r="S5478" i="1"/>
  <c r="S5514" i="1"/>
  <c r="S5526" i="1"/>
  <c r="S5550" i="1"/>
  <c r="S5562" i="1"/>
  <c r="S5574" i="1"/>
  <c r="S5598" i="1"/>
  <c r="S5610" i="1"/>
  <c r="S5622" i="1"/>
  <c r="S5634" i="1"/>
  <c r="S5646" i="1"/>
  <c r="S5670" i="1"/>
  <c r="S5682" i="1"/>
  <c r="S5694" i="1"/>
  <c r="S5706" i="1"/>
  <c r="S5730" i="1"/>
  <c r="S5742" i="1"/>
  <c r="S5754" i="1"/>
  <c r="S5766" i="1"/>
  <c r="S5790" i="1"/>
  <c r="S5802" i="1"/>
  <c r="S5814" i="1"/>
  <c r="S5826" i="1"/>
  <c r="S5838" i="1"/>
  <c r="S5862" i="1"/>
  <c r="S5874" i="1"/>
  <c r="S5898" i="1"/>
  <c r="S5910" i="1"/>
  <c r="S5922" i="1"/>
  <c r="S5946" i="1"/>
  <c r="S5958" i="1"/>
  <c r="S5970" i="1"/>
  <c r="S5982" i="1"/>
  <c r="S5994" i="1"/>
  <c r="S6018" i="1"/>
  <c r="S6030" i="1"/>
  <c r="S6042" i="1"/>
  <c r="S6054" i="1"/>
  <c r="S6066" i="1"/>
  <c r="S6090" i="1"/>
  <c r="S6102" i="1"/>
  <c r="S6114" i="1"/>
  <c r="S6126" i="1"/>
  <c r="S6138" i="1"/>
  <c r="S6162" i="1"/>
  <c r="S6174" i="1"/>
  <c r="S6186" i="1"/>
  <c r="S6198" i="1"/>
  <c r="S6222" i="1"/>
  <c r="S6234" i="1"/>
  <c r="S6246" i="1"/>
  <c r="S6258" i="1"/>
  <c r="S6282" i="1"/>
  <c r="S6294" i="1"/>
  <c r="S6306" i="1"/>
  <c r="S6318" i="1"/>
  <c r="S6342" i="1"/>
  <c r="S6354" i="1"/>
  <c r="S6366" i="1"/>
  <c r="S6378" i="1"/>
  <c r="S6402" i="1"/>
  <c r="S6414" i="1"/>
  <c r="S6426" i="1"/>
  <c r="S6438" i="1"/>
  <c r="S6462" i="1"/>
  <c r="S6474" i="1"/>
  <c r="S6486" i="1"/>
  <c r="S6498" i="1"/>
  <c r="S6522" i="1"/>
  <c r="S6534" i="1"/>
  <c r="S6546" i="1"/>
  <c r="S6558" i="1"/>
  <c r="S6582" i="1"/>
  <c r="S6594" i="1"/>
  <c r="S6606" i="1"/>
  <c r="S6618" i="1"/>
  <c r="S6630" i="1"/>
  <c r="S6654" i="1"/>
  <c r="S235" i="1"/>
  <c r="S295" i="1"/>
  <c r="S331" i="1"/>
  <c r="S391" i="1"/>
  <c r="S439" i="1"/>
  <c r="S475" i="1"/>
  <c r="S523" i="1"/>
  <c r="S571" i="1"/>
  <c r="S583" i="1"/>
  <c r="S619" i="1"/>
  <c r="S631" i="1"/>
  <c r="S679" i="1"/>
  <c r="S715" i="1"/>
  <c r="S727" i="1"/>
  <c r="S763" i="1"/>
  <c r="S775" i="1"/>
  <c r="S811" i="1"/>
  <c r="S823" i="1"/>
  <c r="S859" i="1"/>
  <c r="S871" i="1"/>
  <c r="S907" i="1"/>
  <c r="S919" i="1"/>
  <c r="S955" i="1"/>
  <c r="S967" i="1"/>
  <c r="S1003" i="1"/>
  <c r="S1015" i="1"/>
  <c r="S1051" i="1"/>
  <c r="S1063" i="1"/>
  <c r="S1099" i="1"/>
  <c r="S1111" i="1"/>
  <c r="S1147" i="1"/>
  <c r="S1159" i="1"/>
  <c r="S1171" i="1"/>
  <c r="S1183" i="1"/>
  <c r="S1219" i="1"/>
  <c r="S1267" i="1"/>
  <c r="S1303" i="1"/>
  <c r="S1315" i="1"/>
  <c r="S1339" i="1"/>
  <c r="S1351" i="1"/>
  <c r="S1363" i="1"/>
  <c r="S1375" i="1"/>
  <c r="S1387" i="1"/>
  <c r="S1411" i="1"/>
  <c r="S1435" i="1"/>
  <c r="S1459" i="1"/>
  <c r="S1471" i="1"/>
  <c r="S1483" i="1"/>
  <c r="S1507" i="1"/>
  <c r="S1531" i="1"/>
  <c r="S1555" i="1"/>
  <c r="S1567" i="1"/>
  <c r="S1579" i="1"/>
  <c r="S1603" i="1"/>
  <c r="S1627" i="1"/>
  <c r="S1651" i="1"/>
  <c r="S1663" i="1"/>
  <c r="S1675" i="1"/>
  <c r="S1699" i="1"/>
  <c r="S1723" i="1"/>
  <c r="S1747" i="1"/>
  <c r="S1759" i="1"/>
  <c r="S1771" i="1"/>
  <c r="S1795" i="1"/>
  <c r="S1819" i="1"/>
  <c r="S1843" i="1"/>
  <c r="S1855" i="1"/>
  <c r="S1867" i="1"/>
  <c r="S1891" i="1"/>
  <c r="S1915" i="1"/>
  <c r="S1939" i="1"/>
  <c r="S1951" i="1"/>
  <c r="S1963" i="1"/>
  <c r="S1987" i="1"/>
  <c r="S2011" i="1"/>
  <c r="S2035" i="1"/>
  <c r="S2047" i="1"/>
  <c r="S2059" i="1"/>
  <c r="S2083" i="1"/>
  <c r="S2107" i="1"/>
  <c r="S2119" i="1"/>
  <c r="S2131" i="1"/>
  <c r="S2155" i="1"/>
  <c r="S2167" i="1"/>
  <c r="S2179" i="1"/>
  <c r="S2191" i="1"/>
  <c r="S2203" i="1"/>
  <c r="S2227" i="1"/>
  <c r="S2251" i="1"/>
  <c r="S2275" i="1"/>
  <c r="S2299" i="1"/>
  <c r="S2311" i="1"/>
  <c r="S2323" i="1"/>
  <c r="S2347" i="1"/>
  <c r="S2359" i="1"/>
  <c r="S2371" i="1"/>
  <c r="S2383" i="1"/>
  <c r="S2395" i="1"/>
  <c r="S2419" i="1"/>
  <c r="S2443" i="1"/>
  <c r="S2467" i="1"/>
  <c r="S2491" i="1"/>
  <c r="S2503" i="1"/>
  <c r="S2515" i="1"/>
  <c r="S2539" i="1"/>
  <c r="S2563" i="1"/>
  <c r="S2575" i="1"/>
  <c r="S2587" i="1"/>
  <c r="S2611" i="1"/>
  <c r="S2635" i="1"/>
  <c r="S2647" i="1"/>
  <c r="S2659" i="1"/>
  <c r="S2683" i="1"/>
  <c r="S2707" i="1"/>
  <c r="S2719" i="1"/>
  <c r="S2731" i="1"/>
  <c r="S2755" i="1"/>
  <c r="S2779" i="1"/>
  <c r="S2791" i="1"/>
  <c r="S2803" i="1"/>
  <c r="S2827" i="1"/>
  <c r="S2851" i="1"/>
  <c r="S2863" i="1"/>
  <c r="S2875" i="1"/>
  <c r="S2899" i="1"/>
  <c r="S2911" i="1"/>
  <c r="S2923" i="1"/>
  <c r="S2935" i="1"/>
  <c r="S2959" i="1"/>
  <c r="S2971" i="1"/>
  <c r="S3007" i="1"/>
  <c r="S3019" i="1"/>
  <c r="S3043" i="1"/>
  <c r="S3055" i="1"/>
  <c r="S3067" i="1"/>
  <c r="S3079" i="1"/>
  <c r="S3103" i="1"/>
  <c r="S3115" i="1"/>
  <c r="S3151" i="1"/>
  <c r="S3163" i="1"/>
  <c r="S3187" i="1"/>
  <c r="S3199" i="1"/>
  <c r="S3211" i="1"/>
  <c r="S3223" i="1"/>
  <c r="S3235" i="1"/>
  <c r="S3247" i="1"/>
  <c r="S3271" i="1"/>
  <c r="S3283" i="1"/>
  <c r="S3307" i="1"/>
  <c r="S3319" i="1"/>
  <c r="S3331" i="1"/>
  <c r="S3343" i="1"/>
  <c r="S3355" i="1"/>
  <c r="S3367" i="1"/>
  <c r="S3391" i="1"/>
  <c r="S3403" i="1"/>
  <c r="S3415" i="1"/>
  <c r="S3427" i="1"/>
  <c r="S3439" i="1"/>
  <c r="S3451" i="1"/>
  <c r="S3463" i="1"/>
  <c r="S3475" i="1"/>
  <c r="S3499" i="1"/>
  <c r="S3523" i="1"/>
  <c r="S3535" i="1"/>
  <c r="S3547" i="1"/>
  <c r="S3559" i="1"/>
  <c r="S3571" i="1"/>
  <c r="S3583" i="1"/>
  <c r="S3595" i="1"/>
  <c r="S3607" i="1"/>
  <c r="S3619" i="1"/>
  <c r="S3631" i="1"/>
  <c r="S3643" i="1"/>
  <c r="S3655" i="1"/>
  <c r="S3667" i="1"/>
  <c r="S3679" i="1"/>
  <c r="S3691" i="1"/>
  <c r="S3715" i="1"/>
  <c r="S3727" i="1"/>
  <c r="S3739" i="1"/>
  <c r="S3751" i="1"/>
  <c r="S3763" i="1"/>
  <c r="S3775" i="1"/>
  <c r="S3787" i="1"/>
  <c r="S3799" i="1"/>
  <c r="S3823" i="1"/>
  <c r="S3847" i="1"/>
  <c r="S3859" i="1"/>
  <c r="S3871" i="1"/>
  <c r="S3883" i="1"/>
  <c r="S3895" i="1"/>
  <c r="S3907" i="1"/>
  <c r="S3919" i="1"/>
  <c r="S3931" i="1"/>
  <c r="S3955" i="1"/>
  <c r="S3967" i="1"/>
  <c r="S3979" i="1"/>
  <c r="S3991" i="1"/>
  <c r="S4003" i="1"/>
  <c r="S4015" i="1"/>
  <c r="S4027" i="1"/>
  <c r="S4051" i="1"/>
  <c r="S4063" i="1"/>
  <c r="S4087" i="1"/>
  <c r="S4099" i="1"/>
  <c r="S4111" i="1"/>
  <c r="S4123" i="1"/>
  <c r="S4135" i="1"/>
  <c r="S4147" i="1"/>
  <c r="S4171" i="1"/>
  <c r="S4183" i="1"/>
  <c r="S4207" i="1"/>
  <c r="S4231" i="1"/>
  <c r="S4243" i="1"/>
  <c r="S4255" i="1"/>
  <c r="S4267" i="1"/>
  <c r="S4279" i="1"/>
  <c r="S4291" i="1"/>
  <c r="S4303" i="1"/>
  <c r="S4315" i="1"/>
  <c r="S4327" i="1"/>
  <c r="S4339" i="1"/>
  <c r="S4375" i="1"/>
  <c r="S4399" i="1"/>
  <c r="S4423" i="1"/>
  <c r="S4435" i="1"/>
  <c r="S4447" i="1"/>
  <c r="S4459" i="1"/>
  <c r="S4471" i="1"/>
  <c r="S4483" i="1"/>
  <c r="S4507" i="1"/>
  <c r="S4519" i="1"/>
  <c r="S4531" i="1"/>
  <c r="S4555" i="1"/>
  <c r="S4567" i="1"/>
  <c r="S4579" i="1"/>
  <c r="S4603" i="1"/>
  <c r="S4615" i="1"/>
  <c r="S4627" i="1"/>
  <c r="S4639" i="1"/>
  <c r="S4663" i="1"/>
  <c r="S4675" i="1"/>
  <c r="S4699" i="1"/>
  <c r="S4711" i="1"/>
  <c r="S4723" i="1"/>
  <c r="S4747" i="1"/>
  <c r="S4759" i="1"/>
  <c r="S4771" i="1"/>
  <c r="S4783" i="1"/>
  <c r="S4795" i="1"/>
  <c r="S4807" i="1"/>
  <c r="S4819" i="1"/>
  <c r="S4843" i="1"/>
  <c r="S4855" i="1"/>
  <c r="S4879" i="1"/>
  <c r="S4891" i="1"/>
  <c r="S4903" i="1"/>
  <c r="S4915" i="1"/>
  <c r="S4939" i="1"/>
  <c r="S4951" i="1"/>
  <c r="S4963" i="1"/>
  <c r="S4987" i="1"/>
  <c r="S4999" i="1"/>
  <c r="S5011" i="1"/>
  <c r="S5035" i="1"/>
  <c r="S5047" i="1"/>
  <c r="S5059" i="1"/>
  <c r="S5167" i="1"/>
  <c r="S5599" i="1"/>
  <c r="S5815" i="1"/>
  <c r="S6067" i="1"/>
  <c r="S6619" i="1"/>
  <c r="S6631" i="1"/>
  <c r="S6679" i="1"/>
  <c r="S6775" i="1"/>
  <c r="S222" i="1"/>
  <c r="S318" i="1"/>
  <c r="S366" i="1"/>
  <c r="S414" i="1"/>
  <c r="S462" i="1"/>
  <c r="S510" i="1"/>
  <c r="S558" i="1"/>
  <c r="S606" i="1"/>
  <c r="S654" i="1"/>
  <c r="S702" i="1"/>
  <c r="S750" i="1"/>
  <c r="S846" i="1"/>
  <c r="S1134" i="1"/>
  <c r="S1338" i="1"/>
  <c r="S1446" i="1"/>
  <c r="S1530" i="1"/>
  <c r="S1626" i="1"/>
  <c r="S1926" i="1"/>
  <c r="S2022" i="1"/>
  <c r="S2214" i="1"/>
  <c r="S2418" i="1"/>
  <c r="S2730" i="1"/>
  <c r="S2910" i="1"/>
  <c r="S3018" i="1"/>
  <c r="S3114" i="1"/>
  <c r="S3210" i="1"/>
  <c r="S3570" i="1"/>
  <c r="S3930" i="1"/>
  <c r="S4014" i="1"/>
  <c r="S4098" i="1"/>
  <c r="S4182" i="1"/>
  <c r="S4266" i="1"/>
  <c r="S4314" i="1"/>
  <c r="S4398" i="1"/>
  <c r="S4566" i="1"/>
  <c r="S4650" i="1"/>
  <c r="S4734" i="1"/>
  <c r="S4806" i="1"/>
  <c r="S4890" i="1"/>
  <c r="S4974" i="1"/>
  <c r="S5034" i="1"/>
  <c r="S5082" i="1"/>
  <c r="S5142" i="1"/>
  <c r="S5226" i="1"/>
  <c r="S5310" i="1"/>
  <c r="S5370" i="1"/>
  <c r="S5430" i="1"/>
  <c r="S5490" i="1"/>
  <c r="S5538" i="1"/>
  <c r="S5586" i="1"/>
  <c r="S5658" i="1"/>
  <c r="S5718" i="1"/>
  <c r="S5778" i="1"/>
  <c r="S5850" i="1"/>
  <c r="S5934" i="1"/>
  <c r="S6006" i="1"/>
  <c r="S6078" i="1"/>
  <c r="S6150" i="1"/>
  <c r="S6210" i="1"/>
  <c r="S6270" i="1"/>
  <c r="S6330" i="1"/>
  <c r="S6390" i="1"/>
  <c r="S6450" i="1"/>
  <c r="S6510" i="1"/>
  <c r="S6570" i="1"/>
  <c r="S6642" i="1"/>
  <c r="S247" i="1"/>
  <c r="S283" i="1"/>
  <c r="S343" i="1"/>
  <c r="S379" i="1"/>
  <c r="S427" i="1"/>
  <c r="S487" i="1"/>
  <c r="S535" i="1"/>
  <c r="S667" i="1"/>
  <c r="S236" i="1"/>
  <c r="S284" i="1"/>
  <c r="S332" i="1"/>
  <c r="S380" i="1"/>
  <c r="S428" i="1"/>
  <c r="S476" i="1"/>
  <c r="S524" i="1"/>
  <c r="S572" i="1"/>
  <c r="S620" i="1"/>
  <c r="S668" i="1"/>
  <c r="S716" i="1"/>
  <c r="S764" i="1"/>
  <c r="S812" i="1"/>
  <c r="S860" i="1"/>
  <c r="S908" i="1"/>
  <c r="S956" i="1"/>
  <c r="S1004" i="1"/>
  <c r="S1052" i="1"/>
  <c r="S1100" i="1"/>
  <c r="S1148" i="1"/>
  <c r="S1232" i="1"/>
  <c r="S1268" i="1"/>
  <c r="S1280" i="1"/>
  <c r="S1304" i="1"/>
  <c r="S1316" i="1"/>
  <c r="S1340" i="1"/>
  <c r="S1376" i="1"/>
  <c r="S1388" i="1"/>
  <c r="S1412" i="1"/>
  <c r="S1472" i="1"/>
  <c r="S1484" i="1"/>
  <c r="S1508" i="1"/>
  <c r="S1568" i="1"/>
  <c r="S1580" i="1"/>
  <c r="S1604" i="1"/>
  <c r="S1664" i="1"/>
  <c r="S1676" i="1"/>
  <c r="S1700" i="1"/>
  <c r="S1760" i="1"/>
  <c r="S1772" i="1"/>
  <c r="S1796" i="1"/>
  <c r="S1856" i="1"/>
  <c r="S1868" i="1"/>
  <c r="S1892" i="1"/>
  <c r="S1952" i="1"/>
  <c r="S1964" i="1"/>
  <c r="S1988" i="1"/>
  <c r="S2048" i="1"/>
  <c r="S2060" i="1"/>
  <c r="S2084" i="1"/>
  <c r="S2144" i="1"/>
  <c r="S2168" i="1"/>
  <c r="S2204" i="1"/>
  <c r="S2252" i="1"/>
  <c r="S2276" i="1"/>
  <c r="S2288" i="1"/>
  <c r="S2336" i="1"/>
  <c r="S2360" i="1"/>
  <c r="S2396" i="1"/>
  <c r="S2444" i="1"/>
  <c r="S2492" i="1"/>
  <c r="S2516" i="1"/>
  <c r="S2564" i="1"/>
  <c r="S2588" i="1"/>
  <c r="S2636" i="1"/>
  <c r="S2660" i="1"/>
  <c r="S2708" i="1"/>
  <c r="S2732" i="1"/>
  <c r="S2780" i="1"/>
  <c r="S2804" i="1"/>
  <c r="S2852" i="1"/>
  <c r="S2876" i="1"/>
  <c r="S3980" i="1"/>
  <c r="S4112" i="1"/>
  <c r="S4160" i="1"/>
  <c r="S4436" i="1"/>
  <c r="S4868" i="1"/>
  <c r="S4976" i="1"/>
  <c r="S5156" i="1"/>
  <c r="S5756" i="1"/>
  <c r="S5071" i="1"/>
  <c r="S5095" i="1"/>
  <c r="S5107" i="1"/>
  <c r="S5131" i="1"/>
  <c r="S5143" i="1"/>
  <c r="S5155" i="1"/>
  <c r="S5179" i="1"/>
  <c r="S5191" i="1"/>
  <c r="S5203" i="1"/>
  <c r="S5215" i="1"/>
  <c r="S5227" i="1"/>
  <c r="S5239" i="1"/>
  <c r="S5251" i="1"/>
  <c r="S5263" i="1"/>
  <c r="S5275" i="1"/>
  <c r="S5287" i="1"/>
  <c r="S5299" i="1"/>
  <c r="S5323" i="1"/>
  <c r="S5335" i="1"/>
  <c r="S5347" i="1"/>
  <c r="S5371" i="1"/>
  <c r="S5383" i="1"/>
  <c r="S5395" i="1"/>
  <c r="S5407" i="1"/>
  <c r="S5419" i="1"/>
  <c r="S5431" i="1"/>
  <c r="S5443" i="1"/>
  <c r="S5455" i="1"/>
  <c r="S5467" i="1"/>
  <c r="S5479" i="1"/>
  <c r="S5491" i="1"/>
  <c r="S5503" i="1"/>
  <c r="S5515" i="1"/>
  <c r="S5539" i="1"/>
  <c r="S5551" i="1"/>
  <c r="S5563" i="1"/>
  <c r="S5575" i="1"/>
  <c r="S5587" i="1"/>
  <c r="S5611" i="1"/>
  <c r="S5623" i="1"/>
  <c r="S5635" i="1"/>
  <c r="S5647" i="1"/>
  <c r="S5659" i="1"/>
  <c r="S5671" i="1"/>
  <c r="S5683" i="1"/>
  <c r="S5707" i="1"/>
  <c r="S5719" i="1"/>
  <c r="S5731" i="1"/>
  <c r="S5743" i="1"/>
  <c r="S5755" i="1"/>
  <c r="S5779" i="1"/>
  <c r="S5791" i="1"/>
  <c r="S5803" i="1"/>
  <c r="S5827" i="1"/>
  <c r="S5839" i="1"/>
  <c r="S5851" i="1"/>
  <c r="S5863" i="1"/>
  <c r="S5875" i="1"/>
  <c r="S5899" i="1"/>
  <c r="S5911" i="1"/>
  <c r="S5923" i="1"/>
  <c r="S5935" i="1"/>
  <c r="S5947" i="1"/>
  <c r="S5959" i="1"/>
  <c r="S5971" i="1"/>
  <c r="S5995" i="1"/>
  <c r="S6007" i="1"/>
  <c r="S6019" i="1"/>
  <c r="S6031" i="1"/>
  <c r="S6043" i="1"/>
  <c r="S6055" i="1"/>
  <c r="S6091" i="1"/>
  <c r="S6103" i="1"/>
  <c r="S6115" i="1"/>
  <c r="S6127" i="1"/>
  <c r="S6139" i="1"/>
  <c r="S6151" i="1"/>
  <c r="S6163" i="1"/>
  <c r="S6175" i="1"/>
  <c r="S6187" i="1"/>
  <c r="S6199" i="1"/>
  <c r="S6223" i="1"/>
  <c r="S6235" i="1"/>
  <c r="S6247" i="1"/>
  <c r="S6259" i="1"/>
  <c r="S6271" i="1"/>
  <c r="S6295" i="1"/>
  <c r="S6307" i="1"/>
  <c r="S6319" i="1"/>
  <c r="S6331" i="1"/>
  <c r="S6343" i="1"/>
  <c r="S6355" i="1"/>
  <c r="S6367" i="1"/>
  <c r="S6379" i="1"/>
  <c r="S6391" i="1"/>
  <c r="S6403" i="1"/>
  <c r="S6415" i="1"/>
  <c r="S6427" i="1"/>
  <c r="S6439" i="1"/>
  <c r="S6451" i="1"/>
  <c r="S6463" i="1"/>
  <c r="S6475" i="1"/>
  <c r="S6487" i="1"/>
  <c r="S6499" i="1"/>
  <c r="S6511" i="1"/>
  <c r="S6523" i="1"/>
  <c r="S6535" i="1"/>
  <c r="S6547" i="1"/>
  <c r="S6559" i="1"/>
  <c r="S6571" i="1"/>
  <c r="S6583" i="1"/>
  <c r="S6595" i="1"/>
  <c r="S6607" i="1"/>
  <c r="S6643" i="1"/>
  <c r="S6655" i="1"/>
  <c r="S6667" i="1"/>
  <c r="S6691" i="1"/>
  <c r="S6703" i="1"/>
  <c r="S6715" i="1"/>
  <c r="S6727" i="1"/>
  <c r="S6739" i="1"/>
  <c r="S6751" i="1"/>
  <c r="S6763" i="1"/>
  <c r="S6787" i="1"/>
  <c r="S6799" i="1"/>
  <c r="S6811" i="1"/>
  <c r="S6823" i="1"/>
  <c r="S6835" i="1"/>
  <c r="S6847" i="1"/>
  <c r="S6859" i="1"/>
  <c r="S6871" i="1"/>
  <c r="S6883" i="1"/>
  <c r="S6895" i="1"/>
  <c r="S2468" i="1"/>
  <c r="S2504" i="1"/>
  <c r="S2540" i="1"/>
  <c r="S2576" i="1"/>
  <c r="S2612" i="1"/>
  <c r="S2648" i="1"/>
  <c r="S2684" i="1"/>
  <c r="S2720" i="1"/>
  <c r="S2756" i="1"/>
  <c r="S2792" i="1"/>
  <c r="S2828" i="1"/>
  <c r="S2864" i="1"/>
  <c r="S2900" i="1"/>
  <c r="S2912" i="1"/>
  <c r="S2924" i="1"/>
  <c r="S2936" i="1"/>
  <c r="S2948" i="1"/>
  <c r="S2960" i="1"/>
  <c r="S2972" i="1"/>
  <c r="S2984" i="1"/>
  <c r="S2996" i="1"/>
  <c r="S3008" i="1"/>
  <c r="S3020" i="1"/>
  <c r="S3032" i="1"/>
  <c r="S3044" i="1"/>
  <c r="S3056" i="1"/>
  <c r="S3068" i="1"/>
  <c r="S3080" i="1"/>
  <c r="S3092" i="1"/>
  <c r="S3104" i="1"/>
  <c r="S3116" i="1"/>
  <c r="S3128" i="1"/>
  <c r="S3140" i="1"/>
  <c r="S3152" i="1"/>
  <c r="S3164" i="1"/>
  <c r="S3176" i="1"/>
  <c r="S3188" i="1"/>
  <c r="S3200" i="1"/>
  <c r="S3212" i="1"/>
  <c r="S3224" i="1"/>
  <c r="S3236" i="1"/>
  <c r="S3248" i="1"/>
  <c r="S3260" i="1"/>
  <c r="S3272" i="1"/>
  <c r="S3284" i="1"/>
  <c r="S3296" i="1"/>
  <c r="S3308" i="1"/>
  <c r="S3320" i="1"/>
  <c r="S3332" i="1"/>
  <c r="S3344" i="1"/>
  <c r="S3356" i="1"/>
  <c r="S3368" i="1"/>
  <c r="S3380" i="1"/>
  <c r="S3392" i="1"/>
  <c r="S3404" i="1"/>
  <c r="S3416" i="1"/>
  <c r="S3428" i="1"/>
  <c r="S3440" i="1"/>
  <c r="S3452" i="1"/>
  <c r="S3464" i="1"/>
  <c r="S3476" i="1"/>
  <c r="S3488" i="1"/>
  <c r="S3500" i="1"/>
  <c r="S3512" i="1"/>
  <c r="S3524" i="1"/>
  <c r="S3536" i="1"/>
  <c r="S3548" i="1"/>
  <c r="S3560" i="1"/>
  <c r="S3572" i="1"/>
  <c r="S3584" i="1"/>
  <c r="S3596" i="1"/>
  <c r="S3608" i="1"/>
  <c r="S3620" i="1"/>
  <c r="S3632" i="1"/>
  <c r="S3644" i="1"/>
  <c r="S3656" i="1"/>
  <c r="S3668" i="1"/>
  <c r="S3680" i="1"/>
  <c r="S3692" i="1"/>
  <c r="S3704" i="1"/>
  <c r="S3716" i="1"/>
  <c r="S3728" i="1"/>
  <c r="S3740" i="1"/>
  <c r="S3752" i="1"/>
  <c r="S3764" i="1"/>
  <c r="S3776" i="1"/>
  <c r="S3788" i="1"/>
  <c r="S3800" i="1"/>
  <c r="S3812" i="1"/>
  <c r="S3824" i="1"/>
  <c r="S3836" i="1"/>
  <c r="S3848" i="1"/>
  <c r="S3860" i="1"/>
  <c r="S3884" i="1"/>
  <c r="S3908" i="1"/>
  <c r="S3920" i="1"/>
  <c r="S3932" i="1"/>
  <c r="S3944" i="1"/>
  <c r="S3956" i="1"/>
  <c r="S3968" i="1"/>
  <c r="S3992" i="1"/>
  <c r="S4004" i="1"/>
  <c r="S4016" i="1"/>
  <c r="S4028" i="1"/>
  <c r="S4040" i="1"/>
  <c r="S4052" i="1"/>
  <c r="S4064" i="1"/>
  <c r="S4076" i="1"/>
  <c r="S4088" i="1"/>
  <c r="S4100" i="1"/>
  <c r="S4124" i="1"/>
  <c r="S4136" i="1"/>
  <c r="S4148" i="1"/>
  <c r="S4172" i="1"/>
  <c r="S4184" i="1"/>
  <c r="S4196" i="1"/>
  <c r="S4208" i="1"/>
  <c r="S4220" i="1"/>
  <c r="S4232" i="1"/>
  <c r="S4256" i="1"/>
  <c r="S4268" i="1"/>
  <c r="S4280" i="1"/>
  <c r="S4304" i="1"/>
  <c r="S4316" i="1"/>
  <c r="S4328" i="1"/>
  <c r="S4340" i="1"/>
  <c r="S4352" i="1"/>
  <c r="S4364" i="1"/>
  <c r="S4376" i="1"/>
  <c r="S4388" i="1"/>
  <c r="S4400" i="1"/>
  <c r="S4412" i="1"/>
  <c r="S4424" i="1"/>
  <c r="S4448" i="1"/>
  <c r="S4460" i="1"/>
  <c r="S4472" i="1"/>
  <c r="S4496" i="1"/>
  <c r="S4508" i="1"/>
  <c r="S4520" i="1"/>
  <c r="S4532" i="1"/>
  <c r="S4556" i="1"/>
  <c r="S4568" i="1"/>
  <c r="S4580" i="1"/>
  <c r="S4604" i="1"/>
  <c r="S4616" i="1"/>
  <c r="S4628" i="1"/>
  <c r="S4640" i="1"/>
  <c r="S4652" i="1"/>
  <c r="S4664" i="1"/>
  <c r="S4676" i="1"/>
  <c r="S4688" i="1"/>
  <c r="S4700" i="1"/>
  <c r="S4712" i="1"/>
  <c r="S4736" i="1"/>
  <c r="S4748" i="1"/>
  <c r="S4772" i="1"/>
  <c r="S4784" i="1"/>
  <c r="S4796" i="1"/>
  <c r="S4820" i="1"/>
  <c r="S4832" i="1"/>
  <c r="S4844" i="1"/>
  <c r="S4856" i="1"/>
  <c r="S4880" i="1"/>
  <c r="S4892" i="1"/>
  <c r="S4904" i="1"/>
  <c r="S4928" i="1"/>
  <c r="S4940" i="1"/>
  <c r="S4952" i="1"/>
  <c r="S4964" i="1"/>
  <c r="S4988" i="1"/>
  <c r="S5000" i="1"/>
  <c r="S5012" i="1"/>
  <c r="S5036" i="1"/>
  <c r="S5048" i="1"/>
  <c r="S5060" i="1"/>
  <c r="S5072" i="1"/>
  <c r="S5084" i="1"/>
  <c r="S5096" i="1"/>
  <c r="S5108" i="1"/>
  <c r="S5120" i="1"/>
  <c r="S5132" i="1"/>
  <c r="S5144" i="1"/>
  <c r="S5168" i="1"/>
  <c r="S5180" i="1"/>
  <c r="S5192" i="1"/>
  <c r="S5204" i="1"/>
  <c r="S5216" i="1"/>
  <c r="S5228" i="1"/>
  <c r="S5240" i="1"/>
  <c r="S5252" i="1"/>
  <c r="S5264" i="1"/>
  <c r="S5276" i="1"/>
  <c r="S5288" i="1"/>
  <c r="S5300" i="1"/>
  <c r="S5312" i="1"/>
  <c r="S5324" i="1"/>
  <c r="S5336" i="1"/>
  <c r="S5348" i="1"/>
  <c r="S5360" i="1"/>
  <c r="S5372" i="1"/>
  <c r="S5384" i="1"/>
  <c r="S5396" i="1"/>
  <c r="S5408" i="1"/>
  <c r="S5420" i="1"/>
  <c r="S5432" i="1"/>
  <c r="S5444" i="1"/>
  <c r="S5456" i="1"/>
  <c r="S5468" i="1"/>
  <c r="S5480" i="1"/>
  <c r="S5492" i="1"/>
  <c r="S5504" i="1"/>
  <c r="S5516" i="1"/>
  <c r="S5552" i="1"/>
  <c r="S5564" i="1"/>
  <c r="S5576" i="1"/>
  <c r="S5588" i="1"/>
  <c r="S5600" i="1"/>
  <c r="S5612" i="1"/>
  <c r="S5624" i="1"/>
  <c r="S5636" i="1"/>
  <c r="S5648" i="1"/>
  <c r="S5660" i="1"/>
  <c r="S5672" i="1"/>
  <c r="S5696" i="1"/>
  <c r="S5708" i="1"/>
  <c r="S5720" i="1"/>
  <c r="S5732" i="1"/>
  <c r="S5744" i="1"/>
  <c r="S5768" i="1"/>
  <c r="S5780" i="1"/>
  <c r="S5792" i="1"/>
  <c r="S5804" i="1"/>
  <c r="S5816" i="1"/>
  <c r="S5828" i="1"/>
  <c r="S5840" i="1"/>
  <c r="S5852" i="1"/>
  <c r="S5864" i="1"/>
  <c r="S5876" i="1"/>
  <c r="S5888" i="1"/>
  <c r="S5900" i="1"/>
  <c r="S5912" i="1"/>
  <c r="S5924" i="1"/>
  <c r="S5936" i="1"/>
  <c r="S5948" i="1"/>
  <c r="S5960" i="1"/>
  <c r="S5972" i="1"/>
  <c r="S5984" i="1"/>
  <c r="S5996" i="1"/>
  <c r="S6008" i="1"/>
  <c r="S6020" i="1"/>
  <c r="S6032" i="1"/>
  <c r="S6044" i="1"/>
  <c r="S6056" i="1"/>
  <c r="S6068" i="1"/>
  <c r="S6080" i="1"/>
  <c r="S6092" i="1"/>
  <c r="S6104" i="1"/>
  <c r="S6116" i="1"/>
  <c r="S6128" i="1"/>
  <c r="S6140" i="1"/>
  <c r="S6152" i="1"/>
  <c r="S6164" i="1"/>
  <c r="S6176" i="1"/>
  <c r="S6188" i="1"/>
  <c r="S6200" i="1"/>
  <c r="S6212" i="1"/>
  <c r="S6224" i="1"/>
  <c r="S6236" i="1"/>
  <c r="S6248" i="1"/>
  <c r="S6260" i="1"/>
  <c r="S6272" i="1"/>
  <c r="S6284" i="1"/>
  <c r="S6296" i="1"/>
  <c r="S6308" i="1"/>
  <c r="S6320" i="1"/>
  <c r="S6332" i="1"/>
  <c r="S6344" i="1"/>
  <c r="S6356" i="1"/>
  <c r="S6368" i="1"/>
  <c r="S6380" i="1"/>
  <c r="S6392" i="1"/>
  <c r="S6404" i="1"/>
  <c r="S6416" i="1"/>
  <c r="S6428" i="1"/>
  <c r="S6440" i="1"/>
  <c r="S6452" i="1"/>
  <c r="S6464" i="1"/>
  <c r="S6476" i="1"/>
  <c r="S6488" i="1"/>
  <c r="S6500" i="1"/>
  <c r="S6512" i="1"/>
  <c r="S6524" i="1"/>
  <c r="S6536" i="1"/>
  <c r="S6548" i="1"/>
  <c r="S6560" i="1"/>
  <c r="S6572" i="1"/>
  <c r="S6584" i="1"/>
  <c r="S6596" i="1"/>
  <c r="S6608" i="1"/>
  <c r="S6620" i="1"/>
  <c r="S6632" i="1"/>
  <c r="S6644" i="1"/>
  <c r="S6656" i="1"/>
  <c r="S6668" i="1"/>
  <c r="S6680" i="1"/>
  <c r="S6692" i="1"/>
  <c r="S6704" i="1"/>
  <c r="S6716" i="1"/>
  <c r="S6728" i="1"/>
  <c r="S6740" i="1"/>
  <c r="S6752" i="1"/>
  <c r="S6764" i="1"/>
  <c r="S6776" i="1"/>
  <c r="S6788" i="1"/>
  <c r="S6800" i="1"/>
  <c r="S6812" i="1"/>
  <c r="S6824" i="1"/>
  <c r="S6836" i="1"/>
  <c r="S6848" i="1"/>
  <c r="S6860" i="1"/>
  <c r="S6872" i="1"/>
  <c r="S6884" i="1"/>
  <c r="S6896" i="1"/>
  <c r="S2" i="1" l="1"/>
</calcChain>
</file>

<file path=xl/sharedStrings.xml><?xml version="1.0" encoding="utf-8"?>
<sst xmlns="http://schemas.openxmlformats.org/spreadsheetml/2006/main" count="75614" uniqueCount="6704">
  <si>
    <t>TIENDA</t>
  </si>
  <si>
    <t>NOMBRE TIENDA</t>
  </si>
  <si>
    <t>SKU</t>
  </si>
  <si>
    <t>BARRA</t>
  </si>
  <si>
    <t>DESCRIPCIÓN</t>
  </si>
  <si>
    <t>CLASE</t>
  </si>
  <si>
    <t>MARCA</t>
  </si>
  <si>
    <t>FAMILIA</t>
  </si>
  <si>
    <t>SUBFAMILIA</t>
  </si>
  <si>
    <t>TIPO PRENDA</t>
  </si>
  <si>
    <t>FECHA</t>
  </si>
  <si>
    <t>TIPO DOC.</t>
  </si>
  <si>
    <t>NUMERO DOC.</t>
  </si>
  <si>
    <t>CANTIDAD</t>
  </si>
  <si>
    <t>PRECIO</t>
  </si>
  <si>
    <t>COSTO UNITARIO</t>
  </si>
  <si>
    <t>FLEXI ECOMMERCE</t>
  </si>
  <si>
    <t>130602NEGRO220</t>
  </si>
  <si>
    <t>7500421738702</t>
  </si>
  <si>
    <t>BOOTIE MUJER MARIELA 130602NEGRO</t>
  </si>
  <si>
    <t>CALZADO</t>
  </si>
  <si>
    <t>FLEXI</t>
  </si>
  <si>
    <t>MARIELA</t>
  </si>
  <si>
    <t>GENERICO</t>
  </si>
  <si>
    <t>BOOTIE</t>
  </si>
  <si>
    <t>01/04/2026</t>
  </si>
  <si>
    <t>BL</t>
  </si>
  <si>
    <t>104822NEGRO230</t>
  </si>
  <si>
    <t>7500421733820</t>
  </si>
  <si>
    <t>BOTA MUJER CATALEYA 104822NEGRO</t>
  </si>
  <si>
    <t>CATALEYA</t>
  </si>
  <si>
    <t>BOTA</t>
  </si>
  <si>
    <t>130603CHOCOLATE220</t>
  </si>
  <si>
    <t>7500421745663</t>
  </si>
  <si>
    <t>BOTIN MUJER MARIELA 130603CHOCOLATE</t>
  </si>
  <si>
    <t>BOTIN</t>
  </si>
  <si>
    <t>101001NEGRO260</t>
  </si>
  <si>
    <t>7500421327852</t>
  </si>
  <si>
    <t>ZAPATILLA MUJER ALANIS 101001NEGRO</t>
  </si>
  <si>
    <t>ALANIS</t>
  </si>
  <si>
    <t>ZAPATILLA</t>
  </si>
  <si>
    <t>415307CAFE290</t>
  </si>
  <si>
    <t>7500421929797</t>
  </si>
  <si>
    <t>ZAPATILLA HOMBRE FRASER 415307CAFE</t>
  </si>
  <si>
    <t>FRASER</t>
  </si>
  <si>
    <t>119702MARINO260</t>
  </si>
  <si>
    <t>7500421532249</t>
  </si>
  <si>
    <t>ZAPATO MUJER MARIONE 119702MARINO</t>
  </si>
  <si>
    <t>MARIONE</t>
  </si>
  <si>
    <t>ZAPATO</t>
  </si>
  <si>
    <t>48304NEGRO240</t>
  </si>
  <si>
    <t>7506296119240</t>
  </si>
  <si>
    <t>ZAPATO MUJER OFELIA 48304NEGRO</t>
  </si>
  <si>
    <t>OFELIA</t>
  </si>
  <si>
    <t>37819COGNAC260</t>
  </si>
  <si>
    <t>7500421707760</t>
  </si>
  <si>
    <t>BOTIN MUJER ALDARA 37819COGNAC</t>
  </si>
  <si>
    <t>ALDARA</t>
  </si>
  <si>
    <t>119302ORO230</t>
  </si>
  <si>
    <t>7500421528228</t>
  </si>
  <si>
    <t>ZAPATILLA MUJER ROSAURA 119302ORO</t>
  </si>
  <si>
    <t>ROSAURA</t>
  </si>
  <si>
    <t>101912ROJO250</t>
  </si>
  <si>
    <t>7500421935354</t>
  </si>
  <si>
    <t>ZAPATO MUJER AMELIE 101912ROJO</t>
  </si>
  <si>
    <t>AMELIE</t>
  </si>
  <si>
    <t>415301BROWN260</t>
  </si>
  <si>
    <t>7500421277584</t>
  </si>
  <si>
    <t>ZAPATILLA HOMBRE FRASER 415301BROWN</t>
  </si>
  <si>
    <t>48330NEGRO220</t>
  </si>
  <si>
    <t>7500421468012</t>
  </si>
  <si>
    <t>BOTIN MUJER OFELIA 48330NEGRO</t>
  </si>
  <si>
    <t>48330NEGRO230</t>
  </si>
  <si>
    <t>7500421468036</t>
  </si>
  <si>
    <t>48330NEGRO250</t>
  </si>
  <si>
    <t>7500421468074</t>
  </si>
  <si>
    <t>127401VINO250</t>
  </si>
  <si>
    <t>7500421599044</t>
  </si>
  <si>
    <t>ZAPATO MUJER MANDY 127401VINO</t>
  </si>
  <si>
    <t>MANDY</t>
  </si>
  <si>
    <t>411902ARENA270</t>
  </si>
  <si>
    <t>7500421520901</t>
  </si>
  <si>
    <t>ZAPATILLA HOMBRE PHELPS 411902ARENA</t>
  </si>
  <si>
    <t>PHELPS</t>
  </si>
  <si>
    <t>104814NEGRO240</t>
  </si>
  <si>
    <t>7500421513873</t>
  </si>
  <si>
    <t>BOTIN MUJER CATALEYA 104814NEGRO</t>
  </si>
  <si>
    <t>402516TAN290</t>
  </si>
  <si>
    <t>7500421578131</t>
  </si>
  <si>
    <t>BOTIN HOMBRE GASLY 402516TAN</t>
  </si>
  <si>
    <t>GASLY</t>
  </si>
  <si>
    <t>68620NEGRO280</t>
  </si>
  <si>
    <t>7500421884188</t>
  </si>
  <si>
    <t>MOCASIN HOMBRE SOHO 68620NEGRO</t>
  </si>
  <si>
    <t>SOHO</t>
  </si>
  <si>
    <t>MOCASIN</t>
  </si>
  <si>
    <t>413005TAN280</t>
  </si>
  <si>
    <t>7500421559079</t>
  </si>
  <si>
    <t>ZAPATILLA HOMBRE HIKA 413005TAN</t>
  </si>
  <si>
    <t>HIKA</t>
  </si>
  <si>
    <t>37822NEGRO260</t>
  </si>
  <si>
    <t>7500421749951</t>
  </si>
  <si>
    <t>BOTIN MUJER ALDARA 37822NEGRO</t>
  </si>
  <si>
    <t>126901NEGRO230</t>
  </si>
  <si>
    <t>7500421602102</t>
  </si>
  <si>
    <t>ZAPATO MUJER ZENOBIA 126901NEGRO</t>
  </si>
  <si>
    <t>ZENOBIA</t>
  </si>
  <si>
    <t>401216BLANCO270</t>
  </si>
  <si>
    <t>7500421560129</t>
  </si>
  <si>
    <t>ZAPATILLA HOMBRE GRIEZMAN 401216BLANCO</t>
  </si>
  <si>
    <t>GRIEZMAN</t>
  </si>
  <si>
    <t>104501NEGRO260</t>
  </si>
  <si>
    <t>7500421405550</t>
  </si>
  <si>
    <t>ZAPATO MUJER IDRIS 104501NEGRO</t>
  </si>
  <si>
    <t>IDRIS</t>
  </si>
  <si>
    <t>90717NEGRO290</t>
  </si>
  <si>
    <t>7500421507278</t>
  </si>
  <si>
    <t>ZAPATO HOMBRE SALAMANCA 90717NEGRO</t>
  </si>
  <si>
    <t>SALAMANCA</t>
  </si>
  <si>
    <t>109220CAMEL220</t>
  </si>
  <si>
    <t>7500421574157</t>
  </si>
  <si>
    <t>BOTIN MUJER IZA 109220CAMEL</t>
  </si>
  <si>
    <t>IZA</t>
  </si>
  <si>
    <t>119709DARKTAN220</t>
  </si>
  <si>
    <t>7500421751510</t>
  </si>
  <si>
    <t>BOTIN MUJER MARIONE 119709DARKTAN</t>
  </si>
  <si>
    <t>37822NEGRO250</t>
  </si>
  <si>
    <t>7500421749937</t>
  </si>
  <si>
    <t>118908TAN250</t>
  </si>
  <si>
    <t>7500421703281</t>
  </si>
  <si>
    <t>ZAPATO MUJER FLAVIA 118908TAN</t>
  </si>
  <si>
    <t>FLAVIA</t>
  </si>
  <si>
    <t>127201WHISKY250</t>
  </si>
  <si>
    <t>7500421605868</t>
  </si>
  <si>
    <t>ZAPATO MUJER MACKENZIE 127201WHISKY</t>
  </si>
  <si>
    <t>MACKENZIE</t>
  </si>
  <si>
    <t>119704NEGRO240</t>
  </si>
  <si>
    <t>7500421544778</t>
  </si>
  <si>
    <t>ZAPATO MUJER MARIONE 119704NEGRO</t>
  </si>
  <si>
    <t>400114NEGRO280</t>
  </si>
  <si>
    <t>7500421586334</t>
  </si>
  <si>
    <t>BOTIN HOMBRE PARKER 400114NEGRO</t>
  </si>
  <si>
    <t>PARKER</t>
  </si>
  <si>
    <t>104822CAFE220</t>
  </si>
  <si>
    <t>7500421746103</t>
  </si>
  <si>
    <t>BOTA MUJER CATALEYA 104822CAFE</t>
  </si>
  <si>
    <t>104518DENIM240</t>
  </si>
  <si>
    <t>7500421746035</t>
  </si>
  <si>
    <t>BOTA MUJER IDRIS 104518DENIM</t>
  </si>
  <si>
    <t>134101AZUL270</t>
  </si>
  <si>
    <t>7500421928165</t>
  </si>
  <si>
    <t>ZAPATILLA MUJER LETTI 134101AZUL</t>
  </si>
  <si>
    <t>LETTI</t>
  </si>
  <si>
    <t>417401CAFE270</t>
  </si>
  <si>
    <t>7500421709382</t>
  </si>
  <si>
    <t>BOTIN HOMBRE MATTOS 417401CAFE</t>
  </si>
  <si>
    <t>MATTOS</t>
  </si>
  <si>
    <t>404604SHEDRON290</t>
  </si>
  <si>
    <t>7500421426456</t>
  </si>
  <si>
    <t>BOTIN HOMBRE DINAMO 404604SHEDRON</t>
  </si>
  <si>
    <t>DINAMO</t>
  </si>
  <si>
    <t>417401NEGRO280</t>
  </si>
  <si>
    <t>7500421754511</t>
  </si>
  <si>
    <t>BOTIN HOMBRE MATTOS 417401NEGRO</t>
  </si>
  <si>
    <t>129604NEGRO250</t>
  </si>
  <si>
    <t>7500421740286</t>
  </si>
  <si>
    <t>BOTIN MUJER VIANA 129604NEGRO</t>
  </si>
  <si>
    <t>VIANA</t>
  </si>
  <si>
    <t>117207NEGRO220</t>
  </si>
  <si>
    <t>7500421556146</t>
  </si>
  <si>
    <t>ZAPATILLA MUJER ATSIRI 117207NEGRO</t>
  </si>
  <si>
    <t>ATSIRI</t>
  </si>
  <si>
    <t>417401NEGRO260</t>
  </si>
  <si>
    <t>7500421754474</t>
  </si>
  <si>
    <t>119303TAN240</t>
  </si>
  <si>
    <t>7500421528464</t>
  </si>
  <si>
    <t>ZAPATILLA MUJER ROSAURA 119303TAN</t>
  </si>
  <si>
    <t>35311NEGRO240</t>
  </si>
  <si>
    <t>7500421373200</t>
  </si>
  <si>
    <t>ZAPATO MUJER JANE 35311NEGRO</t>
  </si>
  <si>
    <t>JANE</t>
  </si>
  <si>
    <t>119302TAN260</t>
  </si>
  <si>
    <t>7500421528396</t>
  </si>
  <si>
    <t>ZAPATILLA MUJER ROSAURA 119302TAN</t>
  </si>
  <si>
    <t>37821ARENA250</t>
  </si>
  <si>
    <t>7500421707630</t>
  </si>
  <si>
    <t>BOTIN MUJER ALDARA 37821ARENA</t>
  </si>
  <si>
    <t>118902NEGRO260</t>
  </si>
  <si>
    <t>7500421526088</t>
  </si>
  <si>
    <t>ZAPATO MUJER FLAVIA 118902NEGRO</t>
  </si>
  <si>
    <t>119706NEGRO240</t>
  </si>
  <si>
    <t>7500421606407</t>
  </si>
  <si>
    <t>BOTIN MUJER MARIONE 119706NEGRO</t>
  </si>
  <si>
    <t>130603NEGRO240</t>
  </si>
  <si>
    <t>7500421738962</t>
  </si>
  <si>
    <t>BOTIN MUJER MARIELA 130603NEGRO</t>
  </si>
  <si>
    <t>45232NEGRO240</t>
  </si>
  <si>
    <t>7500421575505</t>
  </si>
  <si>
    <t>BOTIN MUJER YULISA 45232NEGRO</t>
  </si>
  <si>
    <t>YULISA</t>
  </si>
  <si>
    <t>1687976791</t>
  </si>
  <si>
    <t>DESPACHO</t>
  </si>
  <si>
    <t>NO APLICA</t>
  </si>
  <si>
    <t>400026NEGRO250</t>
  </si>
  <si>
    <t>7500421632468</t>
  </si>
  <si>
    <t>SANDALIA HOMBRE ODIN 400026NEGRO</t>
  </si>
  <si>
    <t>ODIN</t>
  </si>
  <si>
    <t>SANDALIA</t>
  </si>
  <si>
    <t>107701NEGRO230</t>
  </si>
  <si>
    <t>7500421450895</t>
  </si>
  <si>
    <t>ZAPATILLA MUJER CANOLI 107701NEGRO</t>
  </si>
  <si>
    <t>CANOLI</t>
  </si>
  <si>
    <t>88609NEGRO280</t>
  </si>
  <si>
    <t>7506484103365</t>
  </si>
  <si>
    <t>BOTIN HOMBRE CRISTOBAL 88609NEGRO</t>
  </si>
  <si>
    <t>QUIRELLI</t>
  </si>
  <si>
    <t>CRISTOBAL</t>
  </si>
  <si>
    <t>88617SHEDRON250</t>
  </si>
  <si>
    <t>7506484191324</t>
  </si>
  <si>
    <t>MOCASINES HOMBRE CRISTOBAL 88617SHEDRON</t>
  </si>
  <si>
    <t>MOCASINES</t>
  </si>
  <si>
    <t>126708BEIGE250</t>
  </si>
  <si>
    <t>7500421663578</t>
  </si>
  <si>
    <t>ZAPATO MUJER EDITH 126708BEIGE</t>
  </si>
  <si>
    <t>EDITH</t>
  </si>
  <si>
    <t>128506MAQUILLAJE250</t>
  </si>
  <si>
    <t>7500421690918</t>
  </si>
  <si>
    <t>SANDALIA MUJER LEXA 128506MAQUILLAJE</t>
  </si>
  <si>
    <t>LEXA</t>
  </si>
  <si>
    <t>129604NEGRO220</t>
  </si>
  <si>
    <t>7500421740224</t>
  </si>
  <si>
    <t>411902ARENA280</t>
  </si>
  <si>
    <t>7500421520925</t>
  </si>
  <si>
    <t>409701AMARILLO290</t>
  </si>
  <si>
    <t>7500421504123</t>
  </si>
  <si>
    <t>ZAPATILLA HOMBRE ZOOM 409701AMARILLO</t>
  </si>
  <si>
    <t>ZOOM</t>
  </si>
  <si>
    <t>118910NEGRO230</t>
  </si>
  <si>
    <t>7500421600894</t>
  </si>
  <si>
    <t>BOTIN MUJER FLAVIA 118910NEGRO</t>
  </si>
  <si>
    <t>132701BLACK225</t>
  </si>
  <si>
    <t>7500421779453</t>
  </si>
  <si>
    <t>BOTIN MUJER JILLY 132701BLACK</t>
  </si>
  <si>
    <t>JILLY</t>
  </si>
  <si>
    <t>105101GRIS220</t>
  </si>
  <si>
    <t>7500421470879</t>
  </si>
  <si>
    <t>ZAPATILLA MUJER CASIOPEA 105101GRIS</t>
  </si>
  <si>
    <t>CASIOPEA</t>
  </si>
  <si>
    <t>109403CHAROLAZUL220</t>
  </si>
  <si>
    <t>7500421725696</t>
  </si>
  <si>
    <t>ZAPATO MUJER CHARIS 109403CHAROLAZUL</t>
  </si>
  <si>
    <t>CHARIS</t>
  </si>
  <si>
    <t>119607BEIGE260</t>
  </si>
  <si>
    <t>7500421480878</t>
  </si>
  <si>
    <t>BOTIN MUJER DAMARIS 119607BEIGE</t>
  </si>
  <si>
    <t>DAMARIS</t>
  </si>
  <si>
    <t>404604SHEDRON260</t>
  </si>
  <si>
    <t>7500421426395</t>
  </si>
  <si>
    <t>119901CAFE220</t>
  </si>
  <si>
    <t>7500421456811</t>
  </si>
  <si>
    <t>MOCASIN MUJER KIRSTEN 119901CAFE</t>
  </si>
  <si>
    <t>KIRSTEN</t>
  </si>
  <si>
    <t>119901CAFE230</t>
  </si>
  <si>
    <t>7500421456835</t>
  </si>
  <si>
    <t>138104OPORTO250</t>
  </si>
  <si>
    <t>7500421974452</t>
  </si>
  <si>
    <t>ZAPATO MUJER KORAL 138104OPORTO</t>
  </si>
  <si>
    <t>KORAL</t>
  </si>
  <si>
    <t>02/04/2026</t>
  </si>
  <si>
    <t>130204NEGRO230</t>
  </si>
  <si>
    <t>7500421737293</t>
  </si>
  <si>
    <t>BOTIN MUJER AZURE 130204NEGRO</t>
  </si>
  <si>
    <t>AZURE</t>
  </si>
  <si>
    <t>127204NEGRO230</t>
  </si>
  <si>
    <t>7500421761922</t>
  </si>
  <si>
    <t>BOTIN MUJER MACKENZIE 127204NEGRO</t>
  </si>
  <si>
    <t>104518NEGRO250</t>
  </si>
  <si>
    <t>7500421730379</t>
  </si>
  <si>
    <t>BOTA MUJER IDRIS 104518NEGRO</t>
  </si>
  <si>
    <t>109219NEGRO220</t>
  </si>
  <si>
    <t>7500421608760</t>
  </si>
  <si>
    <t>BOTIN MUJER IZA 109219NEGRO</t>
  </si>
  <si>
    <t>110421NEGRO250</t>
  </si>
  <si>
    <t>7500421730706</t>
  </si>
  <si>
    <t>BOTIN MUJER RENATA 110421NEGRO</t>
  </si>
  <si>
    <t>RENATA</t>
  </si>
  <si>
    <t>404604NEGRO270</t>
  </si>
  <si>
    <t>7500421426654</t>
  </si>
  <si>
    <t>BOTIN HOMBRE DINAMO 404604NEGRO</t>
  </si>
  <si>
    <t>413014CHOCOLATE260</t>
  </si>
  <si>
    <t>7500421696125</t>
  </si>
  <si>
    <t>ZAPATILLA HOMBRE HIKA 413014CHOCOLATE</t>
  </si>
  <si>
    <t>137003ANTIMONIO250</t>
  </si>
  <si>
    <t>7500421965245</t>
  </si>
  <si>
    <t>ZAPATILLA MUJER MILDRED 137003ANTIMONIO</t>
  </si>
  <si>
    <t>MILDRED</t>
  </si>
  <si>
    <t>413014CHOCOLATE250</t>
  </si>
  <si>
    <t>7500421696101</t>
  </si>
  <si>
    <t>400114NEGRO270</t>
  </si>
  <si>
    <t>7500421586310</t>
  </si>
  <si>
    <t>48303BLANCO250</t>
  </si>
  <si>
    <t>7500421404010</t>
  </si>
  <si>
    <t>ZAPATO MUJER OFELIA 48303BLANCO</t>
  </si>
  <si>
    <t>406102NEGRO290</t>
  </si>
  <si>
    <t>7500421471739</t>
  </si>
  <si>
    <t>BOTIN HOMBRE ODYSSEY 406102NEGRO</t>
  </si>
  <si>
    <t>ODYSSEY</t>
  </si>
  <si>
    <t>409405NEGRO270</t>
  </si>
  <si>
    <t>7500421551929</t>
  </si>
  <si>
    <t>ZAPATO HOMBRE TITANIUM 409405NEGRO</t>
  </si>
  <si>
    <t>TITANIUM</t>
  </si>
  <si>
    <t>411901GRIS290</t>
  </si>
  <si>
    <t>7500421519981</t>
  </si>
  <si>
    <t>ZAPATILLA HOMBRE PHELPS 411901GRIS</t>
  </si>
  <si>
    <t>25913NEGRO260</t>
  </si>
  <si>
    <t>7500421415894</t>
  </si>
  <si>
    <t>BOTIN MUJER MIROSLAVA 25913NEGRO</t>
  </si>
  <si>
    <t>MIROSLAVA</t>
  </si>
  <si>
    <t>104518DENIM270</t>
  </si>
  <si>
    <t>7500421746097</t>
  </si>
  <si>
    <t>410903NEGRO250</t>
  </si>
  <si>
    <t>7500421498460</t>
  </si>
  <si>
    <t>ZAPATO HOMBRE KLIMBER 410903NEGRO</t>
  </si>
  <si>
    <t>KLIMBER</t>
  </si>
  <si>
    <t>135302TAN260</t>
  </si>
  <si>
    <t>7500421883853</t>
  </si>
  <si>
    <t>SANDALIA MUJER STEPHANY 135302TAN</t>
  </si>
  <si>
    <t>STEPHANY</t>
  </si>
  <si>
    <t>409901NEGRO270</t>
  </si>
  <si>
    <t>7500421497562</t>
  </si>
  <si>
    <t>ZAPATO HOMBRE RIDER 409901NEGRO</t>
  </si>
  <si>
    <t>RIDER</t>
  </si>
  <si>
    <t>45235NEGRO260</t>
  </si>
  <si>
    <t>7500421765555</t>
  </si>
  <si>
    <t>BOTIN MUJER YULISA 45235NEGRO</t>
  </si>
  <si>
    <t>2374643CAMELCOMB265</t>
  </si>
  <si>
    <t>4064199558618</t>
  </si>
  <si>
    <t>ZAPATILLA MUJER 2374643CAMELCOMB</t>
  </si>
  <si>
    <t>TAMARIS</t>
  </si>
  <si>
    <t>118703CHOCOLATE260</t>
  </si>
  <si>
    <t>7500421531914</t>
  </si>
  <si>
    <t>BOTIN MUJER CAMPBELL 118703CHOCOLATE</t>
  </si>
  <si>
    <t>CAMPBELL</t>
  </si>
  <si>
    <t>134801AZUL230</t>
  </si>
  <si>
    <t>7500421867488</t>
  </si>
  <si>
    <t>ZAPATO MUJER FENJI 134801AZUL</t>
  </si>
  <si>
    <t>FENJI</t>
  </si>
  <si>
    <t>119903NEGRO235</t>
  </si>
  <si>
    <t>7500421593646</t>
  </si>
  <si>
    <t>MOCASIN MUJER KIRSTEN 119903NEGRO</t>
  </si>
  <si>
    <t>126606DORADO250</t>
  </si>
  <si>
    <t>7500421744529</t>
  </si>
  <si>
    <t>MOCASIN MUJER HAYEK 126606DORADO</t>
  </si>
  <si>
    <t>HAYEK</t>
  </si>
  <si>
    <t>124401ALGODON270</t>
  </si>
  <si>
    <t>7500421670477</t>
  </si>
  <si>
    <t>ZAPATO MUJER PIPA 124401ALGODON</t>
  </si>
  <si>
    <t>PIPA</t>
  </si>
  <si>
    <t>104809NEGRO240</t>
  </si>
  <si>
    <t>7500421461891</t>
  </si>
  <si>
    <t>ZAPATO MUJER CATALEYA 104809NEGRO</t>
  </si>
  <si>
    <t>120504VINO260</t>
  </si>
  <si>
    <t>7500421577233</t>
  </si>
  <si>
    <t>BOTIN MUJER MOLLIE 120504VINO</t>
  </si>
  <si>
    <t>MOLLIE</t>
  </si>
  <si>
    <t>125403BEIGE240</t>
  </si>
  <si>
    <t>7500421593981</t>
  </si>
  <si>
    <t>ZAPATILLA MUJER LINA 125403BEIGE</t>
  </si>
  <si>
    <t>LINA</t>
  </si>
  <si>
    <t>104814NEGRO260</t>
  </si>
  <si>
    <t>7500421513910</t>
  </si>
  <si>
    <t>126712NEGRO250</t>
  </si>
  <si>
    <t>7500421749272</t>
  </si>
  <si>
    <t>BOTIN MUJER EDITH 126712NEGRO</t>
  </si>
  <si>
    <t>ESP0026INCOLOROUNIT</t>
  </si>
  <si>
    <t>606204856650</t>
  </si>
  <si>
    <t>ESPONJA ANTE/NUB/GAMUZA ESP0026 INCOLORO</t>
  </si>
  <si>
    <t>ACCESORIO</t>
  </si>
  <si>
    <t>SIN FONDO</t>
  </si>
  <si>
    <t>MANTENCION</t>
  </si>
  <si>
    <t>ESP0032INCOLOROUNIT</t>
  </si>
  <si>
    <t>606204111902</t>
  </si>
  <si>
    <t>ESPONJA PIEL LISA ESP0032 INCOLORO</t>
  </si>
  <si>
    <t>406102MARRON270</t>
  </si>
  <si>
    <t>7500421476666</t>
  </si>
  <si>
    <t>BOTIN HOMBRE ODYSSEY 406102MARRON</t>
  </si>
  <si>
    <t>117205BLANCO260</t>
  </si>
  <si>
    <t>7500421556115</t>
  </si>
  <si>
    <t>ZAPATILLA MUJER ATSIRI 117205BLANCO</t>
  </si>
  <si>
    <t>110421TABACO230</t>
  </si>
  <si>
    <t>7500421747117</t>
  </si>
  <si>
    <t>BOTIN MUJER RENATA 110421TABACO</t>
  </si>
  <si>
    <t>413101NEGRO290</t>
  </si>
  <si>
    <t>7500421551004</t>
  </si>
  <si>
    <t>ZAPATO HOMBRE POTTERY  413101NEGRO</t>
  </si>
  <si>
    <t>POTTERY</t>
  </si>
  <si>
    <t>119702MARINO240</t>
  </si>
  <si>
    <t>7500421532201</t>
  </si>
  <si>
    <t>109403CHAROLAZUL240</t>
  </si>
  <si>
    <t>7500421725733</t>
  </si>
  <si>
    <t>110403CAFE240</t>
  </si>
  <si>
    <t>7500421595411</t>
  </si>
  <si>
    <t>ZAPATO MUJER RENATA 110403CAFE</t>
  </si>
  <si>
    <t>136804CHAROLNEGRO240</t>
  </si>
  <si>
    <t>7500421980088</t>
  </si>
  <si>
    <t>BALLERINA MUJER ATESSA 136804CHAROLNEGRO</t>
  </si>
  <si>
    <t>ATESSA</t>
  </si>
  <si>
    <t>BALLERINA</t>
  </si>
  <si>
    <t>409502NEGRO290</t>
  </si>
  <si>
    <t>7500421499481</t>
  </si>
  <si>
    <t>ZAPATO HOMBRE WAZE 409502NEGRO</t>
  </si>
  <si>
    <t>WAZE</t>
  </si>
  <si>
    <t>2373141ORO230</t>
  </si>
  <si>
    <t>4064195123957</t>
  </si>
  <si>
    <t>ZAPATILLA MUJER 2373141ORO</t>
  </si>
  <si>
    <t>126602NEGRO240</t>
  </si>
  <si>
    <t>7500421315866</t>
  </si>
  <si>
    <t>MOCASIN MUJER HAYEK 126602NEGRO</t>
  </si>
  <si>
    <t>129501HUESO250</t>
  </si>
  <si>
    <t>7500421701904</t>
  </si>
  <si>
    <t>SANDALIA MUJER CASSIA 129501HUESO</t>
  </si>
  <si>
    <t>CASSIA</t>
  </si>
  <si>
    <t>06/04/2026</t>
  </si>
  <si>
    <t>130610NEGRO250</t>
  </si>
  <si>
    <t>7500421970096</t>
  </si>
  <si>
    <t>BOOTIE MUJER MARIELA 130610NEGRO</t>
  </si>
  <si>
    <t>412801NEGRO260</t>
  </si>
  <si>
    <t>7500421542361</t>
  </si>
  <si>
    <t>ZAPATO HOMBRE OKAN 412801NEGRO</t>
  </si>
  <si>
    <t>OKAN</t>
  </si>
  <si>
    <t>116316CARMIN230</t>
  </si>
  <si>
    <t>7500421838341</t>
  </si>
  <si>
    <t>BALLERINA MUJER MARIE 116316CARMIN</t>
  </si>
  <si>
    <t>MARIE</t>
  </si>
  <si>
    <t>404601TAN300</t>
  </si>
  <si>
    <t>7500421426234</t>
  </si>
  <si>
    <t>ZAPATO HOMBRE DINAMO 404601TAN</t>
  </si>
  <si>
    <t>109219SHEDRON220</t>
  </si>
  <si>
    <t>7500421574461</t>
  </si>
  <si>
    <t>BOTIN MUJER IZA 109219SHEDRON</t>
  </si>
  <si>
    <t>124401CAFE230</t>
  </si>
  <si>
    <t>7500421558461</t>
  </si>
  <si>
    <t>ZAPATO MUJER PIPA 124401CAFE</t>
  </si>
  <si>
    <t>109220CAMEL230</t>
  </si>
  <si>
    <t>7500421574171</t>
  </si>
  <si>
    <t>128304BLANCO240</t>
  </si>
  <si>
    <t>7500421663660</t>
  </si>
  <si>
    <t>SANDALIA MUJER GILMA 128304BLANCO</t>
  </si>
  <si>
    <t>GILMA</t>
  </si>
  <si>
    <t>404604NEGRO250</t>
  </si>
  <si>
    <t>7500421426616</t>
  </si>
  <si>
    <t>130803NEGRO235</t>
  </si>
  <si>
    <t>7500421796221</t>
  </si>
  <si>
    <t>BALLERINA MUJER RIHANNA 130803NEGRO</t>
  </si>
  <si>
    <t>RIHANNA</t>
  </si>
  <si>
    <t>127402HUESO240</t>
  </si>
  <si>
    <t>7500421599136</t>
  </si>
  <si>
    <t>BOTIN MUJER MANDY 127402HUESO</t>
  </si>
  <si>
    <t>125901AVELLANA230</t>
  </si>
  <si>
    <t>7500421561584</t>
  </si>
  <si>
    <t>BOTIN MUJER UMA  125901AVELLANA</t>
  </si>
  <si>
    <t>UMA</t>
  </si>
  <si>
    <t>125902NEGRO230</t>
  </si>
  <si>
    <t>7500421568736</t>
  </si>
  <si>
    <t>BOTIN MUJER UMA  125902NEGRO</t>
  </si>
  <si>
    <t>117210NEGRO220</t>
  </si>
  <si>
    <t>7500421953709</t>
  </si>
  <si>
    <t>ZAPATILLA MUJER ATSIRI 117210NEGRO</t>
  </si>
  <si>
    <t>104822CAFE240</t>
  </si>
  <si>
    <t>7500421746141</t>
  </si>
  <si>
    <t>110403CAFE250</t>
  </si>
  <si>
    <t>7500421595435</t>
  </si>
  <si>
    <t>119705BEIGE230</t>
  </si>
  <si>
    <t>7500421315071</t>
  </si>
  <si>
    <t>ZAPATO MUJER MARIONE 119705BEIGE</t>
  </si>
  <si>
    <t>119706VINO230</t>
  </si>
  <si>
    <t>7500421575703</t>
  </si>
  <si>
    <t>BOTIN MUJER MARIONE 119706VINO</t>
  </si>
  <si>
    <t>130603NEGRO260</t>
  </si>
  <si>
    <t>7500421739006</t>
  </si>
  <si>
    <t>110403NEGRO240</t>
  </si>
  <si>
    <t>7500421509807</t>
  </si>
  <si>
    <t>ZAPATO MUJER RENATA 110403NEGRO</t>
  </si>
  <si>
    <t>105111NEGRO250</t>
  </si>
  <si>
    <t>7500421704554</t>
  </si>
  <si>
    <t>ZAPATILLA MUJER CASIOPEA 105111NEGRO</t>
  </si>
  <si>
    <t>404203MARRON290</t>
  </si>
  <si>
    <t>7500421507735</t>
  </si>
  <si>
    <t>SANDALIA HOMBRE MARRAKECH 404203MARRON</t>
  </si>
  <si>
    <t>MARRAKECH</t>
  </si>
  <si>
    <t>109219SHEDRON250</t>
  </si>
  <si>
    <t>7500421574522</t>
  </si>
  <si>
    <t>25913BROWN250</t>
  </si>
  <si>
    <t>7500421936122</t>
  </si>
  <si>
    <t>BOTIN MUJER MIROSLAVA 25913BROWN</t>
  </si>
  <si>
    <t>409405NEGRO280</t>
  </si>
  <si>
    <t>7500421551943</t>
  </si>
  <si>
    <t>138502MARINO260</t>
  </si>
  <si>
    <t>7500277062105</t>
  </si>
  <si>
    <t>ZAPATILLA MUJER NAOKI 138502MARINO</t>
  </si>
  <si>
    <t>NAOKI</t>
  </si>
  <si>
    <t>118902VINO240</t>
  </si>
  <si>
    <t>7500421526590</t>
  </si>
  <si>
    <t>ZAPATO MUJER FLAVIA 118902VINO</t>
  </si>
  <si>
    <t>124401MARINO240</t>
  </si>
  <si>
    <t>7500421670309</t>
  </si>
  <si>
    <t>ZAPATO MUJER PIPA 124401MARINO</t>
  </si>
  <si>
    <t>124404NUDE250</t>
  </si>
  <si>
    <t>7500421545232</t>
  </si>
  <si>
    <t>ZAPATO MUJER PIPA 124404NUDE</t>
  </si>
  <si>
    <t>132601CHESTNUT270</t>
  </si>
  <si>
    <t>7500421778951</t>
  </si>
  <si>
    <t>BOTIN MUJER CAIPI 132601CHESTNUT</t>
  </si>
  <si>
    <t>CAIPI</t>
  </si>
  <si>
    <t>2376345PLATACOMB270</t>
  </si>
  <si>
    <t>4064199567771</t>
  </si>
  <si>
    <t>ZAPATILLA MUJER 2376345PLATACOMB</t>
  </si>
  <si>
    <t>418502NEGRO270</t>
  </si>
  <si>
    <t>7500421768419</t>
  </si>
  <si>
    <t>BOTIN HOMBRE AMENDOLA 418502NEGRO</t>
  </si>
  <si>
    <t>AMENDOLA</t>
  </si>
  <si>
    <t>2360342NEGROCOMB265</t>
  </si>
  <si>
    <t>4064195083435</t>
  </si>
  <si>
    <t>ZAPATILLA MUJER 2360342NEGROCOMB</t>
  </si>
  <si>
    <t>66517NEGRO270</t>
  </si>
  <si>
    <t>7500421471814</t>
  </si>
  <si>
    <t>BOTIN HOMBRE FREELAND 66517NEGRO</t>
  </si>
  <si>
    <t>FREELAND</t>
  </si>
  <si>
    <t>66518TAN270</t>
  </si>
  <si>
    <t>7500421520307</t>
  </si>
  <si>
    <t>BOTIN HOMBRE FREELAND 66518TAN</t>
  </si>
  <si>
    <t>406003NEGRO270</t>
  </si>
  <si>
    <t>7500421676998</t>
  </si>
  <si>
    <t>BOTIN HOMBRE EPIC 406003NEGRO</t>
  </si>
  <si>
    <t>EPIC</t>
  </si>
  <si>
    <t>125403PERLA240</t>
  </si>
  <si>
    <t>7500421566497</t>
  </si>
  <si>
    <t>ZAPATILLA MUJER LINA 125403PERLA</t>
  </si>
  <si>
    <t>66514CHOCOLATE300</t>
  </si>
  <si>
    <t>7500421388273</t>
  </si>
  <si>
    <t>BOTIN HOMBRE FREELAND 66514CHOCOLATE</t>
  </si>
  <si>
    <t>406003NEGRO250</t>
  </si>
  <si>
    <t>7500421676950</t>
  </si>
  <si>
    <t>125401BLANCO250</t>
  </si>
  <si>
    <t>7500421566404</t>
  </si>
  <si>
    <t>ZAPATILLA MUJER LINA 125401BLANCO</t>
  </si>
  <si>
    <t>45231NEGRO240</t>
  </si>
  <si>
    <t>7500421591307</t>
  </si>
  <si>
    <t>BOTA MUJER YULISA 45231NEGRO</t>
  </si>
  <si>
    <t>130204NEGRO240</t>
  </si>
  <si>
    <t>7500421737316</t>
  </si>
  <si>
    <t>126606NEGRO240</t>
  </si>
  <si>
    <t>7500421744611</t>
  </si>
  <si>
    <t>MOCASIN MUJER HAYEK 126606NEGRO</t>
  </si>
  <si>
    <t>134501NEGRO240</t>
  </si>
  <si>
    <t>7500421864036</t>
  </si>
  <si>
    <t>ZAPATILLA MUJER MILAN 134501NEGRO</t>
  </si>
  <si>
    <t>MILAN</t>
  </si>
  <si>
    <t>412408TAN290</t>
  </si>
  <si>
    <t>7500421677988</t>
  </si>
  <si>
    <t>ZAPATILLA HOMBRE CRETA 412408TAN</t>
  </si>
  <si>
    <t>CRETA</t>
  </si>
  <si>
    <t>406409NEGRO270</t>
  </si>
  <si>
    <t>7500421658987</t>
  </si>
  <si>
    <t>ZAPATO HOMBRE BALI 406409NEGRO</t>
  </si>
  <si>
    <t>BALI</t>
  </si>
  <si>
    <t>123704NEGRO250</t>
  </si>
  <si>
    <t>7500421541821</t>
  </si>
  <si>
    <t>SANDALIA MUJER ZURA 123704NEGRO</t>
  </si>
  <si>
    <t>ZURA</t>
  </si>
  <si>
    <t>124504NEGRO250</t>
  </si>
  <si>
    <t>7500421564691</t>
  </si>
  <si>
    <t>BOTIN MUJER JENELLE 124504NEGRO</t>
  </si>
  <si>
    <t>JENELLE</t>
  </si>
  <si>
    <t>134501NEGRO260</t>
  </si>
  <si>
    <t>7500421864074</t>
  </si>
  <si>
    <t>413602NEGRO290</t>
  </si>
  <si>
    <t>7500421556771</t>
  </si>
  <si>
    <t>ZAPATO HOMBRE CRYPTO 413602NEGRO</t>
  </si>
  <si>
    <t>CRYPTO</t>
  </si>
  <si>
    <t>48301NEGRO220</t>
  </si>
  <si>
    <t>7501153647515</t>
  </si>
  <si>
    <t>ZAPATO MUJER OFELIA 48301NEGRO</t>
  </si>
  <si>
    <t>410701BLACK280</t>
  </si>
  <si>
    <t>7500421276303</t>
  </si>
  <si>
    <t>ZAPATILLA HOMBRE FLYER 410701BLACK</t>
  </si>
  <si>
    <t>FLYER</t>
  </si>
  <si>
    <t>107601OROTANMKP230</t>
  </si>
  <si>
    <t>7500421581780</t>
  </si>
  <si>
    <t>ZAPATILLA MUJER BETH 107601OROTANMKP</t>
  </si>
  <si>
    <t>BETH</t>
  </si>
  <si>
    <t>109220CAMEL270</t>
  </si>
  <si>
    <t>7500421574454</t>
  </si>
  <si>
    <t>123007TAUPE260</t>
  </si>
  <si>
    <t>7500421640968</t>
  </si>
  <si>
    <t>SANDALIA MUJER KADEISHA 123007TAUPE</t>
  </si>
  <si>
    <t>KADEISHA</t>
  </si>
  <si>
    <t>422501BEIGE300</t>
  </si>
  <si>
    <t>7500421979266</t>
  </si>
  <si>
    <t>ZAPATILLA HOMBRE SATORI 422501BEIGE</t>
  </si>
  <si>
    <t>SATORI</t>
  </si>
  <si>
    <t>124802NEGRO250</t>
  </si>
  <si>
    <t>7500421555545</t>
  </si>
  <si>
    <t>ZAPATILLA MUJER DANNA 124802NEGRO</t>
  </si>
  <si>
    <t>DANNA</t>
  </si>
  <si>
    <t>90717NEGRO270</t>
  </si>
  <si>
    <t>7500421507230</t>
  </si>
  <si>
    <t>125614MARINO250</t>
  </si>
  <si>
    <t>7500421926703</t>
  </si>
  <si>
    <t>ZAPATILLA MUJER ASHLEY 125614MARINO</t>
  </si>
  <si>
    <t>ASHLEY</t>
  </si>
  <si>
    <t>131604BEIGEMULTICOLOR240</t>
  </si>
  <si>
    <t>7500421859032</t>
  </si>
  <si>
    <t>ZAPATILLA MUJER INNA 131604BEIGEMULTICOLOR</t>
  </si>
  <si>
    <t>INNA</t>
  </si>
  <si>
    <t>132201LATTE240</t>
  </si>
  <si>
    <t>7500421775431</t>
  </si>
  <si>
    <t>ZAPATILLA MUJER BRISEA 132201LATTE</t>
  </si>
  <si>
    <t>BRISEA</t>
  </si>
  <si>
    <t>88608NEGRO270</t>
  </si>
  <si>
    <t>7506212698040</t>
  </si>
  <si>
    <t>BOTIN HOMBRE CRISTOBAL 88608NEGRO</t>
  </si>
  <si>
    <t>18131MADERA240</t>
  </si>
  <si>
    <t>7500421316412</t>
  </si>
  <si>
    <t>BOTIN MUJER KARIME 18131MADERA</t>
  </si>
  <si>
    <t>KARIME</t>
  </si>
  <si>
    <t>101011NEGRO260</t>
  </si>
  <si>
    <t>7500421593035</t>
  </si>
  <si>
    <t>ZAPATILLA MUJER ALANIS 101011NEGRO</t>
  </si>
  <si>
    <t>422601BLANCO260</t>
  </si>
  <si>
    <t>7500421984628</t>
  </si>
  <si>
    <t>ZAPATILLA HOMBRE ZOND 422601BLANCO</t>
  </si>
  <si>
    <t>ZOND</t>
  </si>
  <si>
    <t>48330WHISKY230</t>
  </si>
  <si>
    <t>7500421430873</t>
  </si>
  <si>
    <t>BOTIN MUJER OFELIA 48330WHISKY</t>
  </si>
  <si>
    <t>130204CAFE220</t>
  </si>
  <si>
    <t>7500421737057</t>
  </si>
  <si>
    <t>BOTIN MUJER AZURE 130204CAFE</t>
  </si>
  <si>
    <t>109219NEGRO270</t>
  </si>
  <si>
    <t>7500421608869</t>
  </si>
  <si>
    <t>120504NEGRO270</t>
  </si>
  <si>
    <t>7500421576922</t>
  </si>
  <si>
    <t>BOTIN MUJER MOLLIE 120504NEGRO</t>
  </si>
  <si>
    <t>413603NEGRO290</t>
  </si>
  <si>
    <t>7500421556894</t>
  </si>
  <si>
    <t>ZAPATO HOMBRE CRYPTO 413603NEGRO</t>
  </si>
  <si>
    <t>48330NEGRO240</t>
  </si>
  <si>
    <t>7500421468050</t>
  </si>
  <si>
    <t>101904NEGRO230</t>
  </si>
  <si>
    <t>7500421400456</t>
  </si>
  <si>
    <t>ZAPATO MUJER AMELIE 101904NEGRO</t>
  </si>
  <si>
    <t>406404NEGRO290</t>
  </si>
  <si>
    <t>7500421515259</t>
  </si>
  <si>
    <t>BOTIN HOMBRE BALI 406404NEGRO</t>
  </si>
  <si>
    <t>119903NEGRO245</t>
  </si>
  <si>
    <t>7500421593660</t>
  </si>
  <si>
    <t>109220CAMEL240</t>
  </si>
  <si>
    <t>7500421574195</t>
  </si>
  <si>
    <t>126911NEGRO250</t>
  </si>
  <si>
    <t>7500421757956</t>
  </si>
  <si>
    <t>BOTIN MUJER ZENOBIA 126911NEGRO</t>
  </si>
  <si>
    <t>134501ALGODON250</t>
  </si>
  <si>
    <t>7500421856154</t>
  </si>
  <si>
    <t>ZAPATILLA MUJER MILAN 134501ALGODON</t>
  </si>
  <si>
    <t>109219SHEDRON230</t>
  </si>
  <si>
    <t>7500421574485</t>
  </si>
  <si>
    <t>37821CHOCOLATE220</t>
  </si>
  <si>
    <t>7500421313992</t>
  </si>
  <si>
    <t>BOTIN MUJER ALDARA 37821CHOCOLATE</t>
  </si>
  <si>
    <t>130104NEGRO220</t>
  </si>
  <si>
    <t>7500421766767</t>
  </si>
  <si>
    <t>BOTIN MUJER FRANCIS 130104NEGRO</t>
  </si>
  <si>
    <t>FRANCIS</t>
  </si>
  <si>
    <t>118902VINO250</t>
  </si>
  <si>
    <t>7500421526613</t>
  </si>
  <si>
    <t>130604NEGRO260</t>
  </si>
  <si>
    <t>7500421738672</t>
  </si>
  <si>
    <t>BOTA MUJER MARIELA 130604NEGRO</t>
  </si>
  <si>
    <t>120301GRIS250</t>
  </si>
  <si>
    <t>7500421522622</t>
  </si>
  <si>
    <t>ZAPATILLA MUJER DEBBIE 120301GRIS</t>
  </si>
  <si>
    <t>DEBBIE</t>
  </si>
  <si>
    <t>132302BLACK250</t>
  </si>
  <si>
    <t>7500421778524</t>
  </si>
  <si>
    <t>BOTA MUJER AMADEA 132302BLACK</t>
  </si>
  <si>
    <t>AMADEA</t>
  </si>
  <si>
    <t>130602TAN230</t>
  </si>
  <si>
    <t>7500421745571</t>
  </si>
  <si>
    <t>BOOTIE MUJER MARIELA 130602TAN</t>
  </si>
  <si>
    <t>119801OPORTO260</t>
  </si>
  <si>
    <t>7500421527290</t>
  </si>
  <si>
    <t>ZAPATO MUJER ALISHA 119801OPORTO</t>
  </si>
  <si>
    <t>ALISHA</t>
  </si>
  <si>
    <t>88617NEGRO260</t>
  </si>
  <si>
    <t>7506484193366</t>
  </si>
  <si>
    <t>MOCASINES HOMBRE CRISTOBAL 88617NEGRO</t>
  </si>
  <si>
    <t>116310COBRE220</t>
  </si>
  <si>
    <t>7500421669822</t>
  </si>
  <si>
    <t>BALLERINA MUJER MARIE 116310COBRE</t>
  </si>
  <si>
    <t>LIM0407NEUTROUNIT</t>
  </si>
  <si>
    <t>7506245905597</t>
  </si>
  <si>
    <t>LIMPIADOR TOALLITAS LIM0407 NEUTRO</t>
  </si>
  <si>
    <t>410903TAUPE270</t>
  </si>
  <si>
    <t>7500421504420</t>
  </si>
  <si>
    <t>ZAPATO HOMBRE KLIMBER 410903TAUPE</t>
  </si>
  <si>
    <t>48330CHOCOLATE240</t>
  </si>
  <si>
    <t>7500421467947</t>
  </si>
  <si>
    <t>BOTIN MUJER OFELIA 48330CHOCOLATE</t>
  </si>
  <si>
    <t>109403NEGRO240</t>
  </si>
  <si>
    <t>7500421464090</t>
  </si>
  <si>
    <t>ZAPATO MUJER CHARIS 109403NEGRO</t>
  </si>
  <si>
    <t>104806NEGRO240</t>
  </si>
  <si>
    <t>7500421461457</t>
  </si>
  <si>
    <t>ZAPATO MUJER CATALEYA 104806NEGRO</t>
  </si>
  <si>
    <t>130402NEGRO250</t>
  </si>
  <si>
    <t>7500421737996</t>
  </si>
  <si>
    <t>ZAPATO MUJER AREL 130402NEGRO</t>
  </si>
  <si>
    <t>AREL</t>
  </si>
  <si>
    <t>129402ROSA240</t>
  </si>
  <si>
    <t>7500421700655</t>
  </si>
  <si>
    <t>SANDALIA MUJER FRAGA 129402ROSA</t>
  </si>
  <si>
    <t>FRAGA</t>
  </si>
  <si>
    <t>128513LUNARE240</t>
  </si>
  <si>
    <t>7500421806173</t>
  </si>
  <si>
    <t>SANDALIA MUJER LEXA 128513LUNARE</t>
  </si>
  <si>
    <t>122701CAMEL260</t>
  </si>
  <si>
    <t>7500421644942</t>
  </si>
  <si>
    <t>SANDALIA MUJER BIRGIT 122701CAMEL</t>
  </si>
  <si>
    <t>BIRGIT</t>
  </si>
  <si>
    <t>132302BLACK225</t>
  </si>
  <si>
    <t>7500421778494</t>
  </si>
  <si>
    <t>129403MULTICOLOR230</t>
  </si>
  <si>
    <t>7500421864791</t>
  </si>
  <si>
    <t>SANDALIA MUJER FRAGA 129403MULTICOLOR</t>
  </si>
  <si>
    <t>51727NEGRO240</t>
  </si>
  <si>
    <t>7500421718865</t>
  </si>
  <si>
    <t>ZAPATO MUJER LIBRA 51727NEGRO</t>
  </si>
  <si>
    <t>LIBRA</t>
  </si>
  <si>
    <t>136604NEGRO260</t>
  </si>
  <si>
    <t>7500421962237</t>
  </si>
  <si>
    <t>ZAPATILLA MUJER HELINA 136604NEGRO</t>
  </si>
  <si>
    <t>HELINA</t>
  </si>
  <si>
    <t>400015NEGRO260</t>
  </si>
  <si>
    <t>7500421553626</t>
  </si>
  <si>
    <t>SANDALIA HOMBRE ODIN 400015NEGRO</t>
  </si>
  <si>
    <t>119702MARINO255</t>
  </si>
  <si>
    <t>7500421532232</t>
  </si>
  <si>
    <t>119702NEGRO255</t>
  </si>
  <si>
    <t>7500421511619</t>
  </si>
  <si>
    <t>ZAPATO MUJER MARIONE 119702NEGRO</t>
  </si>
  <si>
    <t>417402CAFE270</t>
  </si>
  <si>
    <t>7500421709023</t>
  </si>
  <si>
    <t>BOTIN HOMBRE MATTOS 417402CAFE</t>
  </si>
  <si>
    <t>118908NEGRO240</t>
  </si>
  <si>
    <t>7500421703151</t>
  </si>
  <si>
    <t>ZAPATO MUJER FLAVIA 118908NEGRO</t>
  </si>
  <si>
    <t>119702MARINO245</t>
  </si>
  <si>
    <t>7500421532218</t>
  </si>
  <si>
    <t>130403DARKTAN250</t>
  </si>
  <si>
    <t>7500421737668</t>
  </si>
  <si>
    <t>BOTIN MUJER AREL 130403DARKTAN</t>
  </si>
  <si>
    <t>119302TAN240</t>
  </si>
  <si>
    <t>7500421528358</t>
  </si>
  <si>
    <t>104822CAFE230</t>
  </si>
  <si>
    <t>7500421746127</t>
  </si>
  <si>
    <t>90717NEGRO300</t>
  </si>
  <si>
    <t>7500421507292</t>
  </si>
  <si>
    <t>119702MARINO250</t>
  </si>
  <si>
    <t>7500421532225</t>
  </si>
  <si>
    <t>124802GRIS240</t>
  </si>
  <si>
    <t>7500421548400</t>
  </si>
  <si>
    <t>ZAPATILLA MUJER DANNA 124802GRIS</t>
  </si>
  <si>
    <t>105122ROSA250</t>
  </si>
  <si>
    <t>7500421858943</t>
  </si>
  <si>
    <t>ZAPATILLA MUJER CASIOPEA 105122ROSA</t>
  </si>
  <si>
    <t>130603CHOCOLATE270</t>
  </si>
  <si>
    <t>7500421745762</t>
  </si>
  <si>
    <t>130603CHOCOLATE230</t>
  </si>
  <si>
    <t>7500421745687</t>
  </si>
  <si>
    <t>135201BURGUNDY240</t>
  </si>
  <si>
    <t>7500421880104</t>
  </si>
  <si>
    <t>ZAPATILLA MUJER BRERA 135201BURGUNDY</t>
  </si>
  <si>
    <t>BRERA</t>
  </si>
  <si>
    <t>406003BRANDY290</t>
  </si>
  <si>
    <t>7500421476222</t>
  </si>
  <si>
    <t>BOTIN HOMBRE EPIC 406003BRANDY</t>
  </si>
  <si>
    <t>137401OROVIEJO260</t>
  </si>
  <si>
    <t>7500421982037</t>
  </si>
  <si>
    <t>ZAPATILLA MUJER MAITE 137401OROVIEJO</t>
  </si>
  <si>
    <t>MAITE</t>
  </si>
  <si>
    <t>420703TAUPE280</t>
  </si>
  <si>
    <t>7500421928677</t>
  </si>
  <si>
    <t>ZAPATILLA HOMBRE KING 420703TAUPE</t>
  </si>
  <si>
    <t>KING</t>
  </si>
  <si>
    <t>119801OPORTO230</t>
  </si>
  <si>
    <t>7500421527238</t>
  </si>
  <si>
    <t>410703NOGAL280</t>
  </si>
  <si>
    <t>7500421276181</t>
  </si>
  <si>
    <t>ZAPATILLA HOMBRE FLYER 410703NOGAL</t>
  </si>
  <si>
    <t>130102NEGRO250</t>
  </si>
  <si>
    <t>7500421751688</t>
  </si>
  <si>
    <t>BOTIN MUJER FRANCIS 130102NEGRO</t>
  </si>
  <si>
    <t>104501VIBORACAFE240</t>
  </si>
  <si>
    <t>7500421550380</t>
  </si>
  <si>
    <t>ZAPATO MUJER IDRIS 104501VIBORACAFE</t>
  </si>
  <si>
    <t>122701CAMEL240</t>
  </si>
  <si>
    <t>7500421644904</t>
  </si>
  <si>
    <t>128309METALICO230</t>
  </si>
  <si>
    <t>7500421821565</t>
  </si>
  <si>
    <t>SANDALIA MUJER GILMA 128309METALICO</t>
  </si>
  <si>
    <t>25905WHISKY230</t>
  </si>
  <si>
    <t>7500421258903</t>
  </si>
  <si>
    <t>SANDALIA MUJER MIROSLAVA 25905WHISKY</t>
  </si>
  <si>
    <t>07/04/2026</t>
  </si>
  <si>
    <t>116805CAMEL250</t>
  </si>
  <si>
    <t>7500421563519</t>
  </si>
  <si>
    <t>BOTIN MUJER LILITH 116805CAMEL</t>
  </si>
  <si>
    <t>LILITH</t>
  </si>
  <si>
    <t>120301VINO270</t>
  </si>
  <si>
    <t>7500421522554</t>
  </si>
  <si>
    <t>ZAPATILLA MUJER DEBBIE 120301VINO</t>
  </si>
  <si>
    <t>409002GRIS260</t>
  </si>
  <si>
    <t>7500421477694</t>
  </si>
  <si>
    <t>ZAPATILLA HOMBRE FORSETI 409002GRIS</t>
  </si>
  <si>
    <t>FORSETI</t>
  </si>
  <si>
    <t>119702VINO250</t>
  </si>
  <si>
    <t>7500421515808</t>
  </si>
  <si>
    <t>ZAPATO MUJER MARIONE 119702VINO</t>
  </si>
  <si>
    <t>129501NARANJA230</t>
  </si>
  <si>
    <t>7500421701539</t>
  </si>
  <si>
    <t>SANDALIA MUJER CASSIA 129501NARANJA</t>
  </si>
  <si>
    <t>127102NEGRO270</t>
  </si>
  <si>
    <t>7500421672013</t>
  </si>
  <si>
    <t>ZAPATILLA MUJER NAT 127102NEGRO</t>
  </si>
  <si>
    <t>NAT</t>
  </si>
  <si>
    <t>415501ARENA250</t>
  </si>
  <si>
    <t>7500421702482</t>
  </si>
  <si>
    <t>ZAPATILLA HOMBRE BARAK 415501ARENA</t>
  </si>
  <si>
    <t>BARAK</t>
  </si>
  <si>
    <t>413005NEGRO280</t>
  </si>
  <si>
    <t>7500421558959</t>
  </si>
  <si>
    <t>ZAPATILLA HOMBRE HIKA 413005NEGRO</t>
  </si>
  <si>
    <t>132701COGNAC225</t>
  </si>
  <si>
    <t>7500421779378</t>
  </si>
  <si>
    <t>BOTIN MUJER JILLY 132701COGNAC</t>
  </si>
  <si>
    <t>118703ARENA240</t>
  </si>
  <si>
    <t>7500421518649</t>
  </si>
  <si>
    <t>BOTIN MUJER CAMPBELL 118703ARENA</t>
  </si>
  <si>
    <t>132701COGNAC240</t>
  </si>
  <si>
    <t>7500421779392</t>
  </si>
  <si>
    <t>403604TAN270</t>
  </si>
  <si>
    <t>7500421435205</t>
  </si>
  <si>
    <t>MOCASIN HOMBRE YAUNDE 403604TAN</t>
  </si>
  <si>
    <t>YAUNDE</t>
  </si>
  <si>
    <t>126706ORO250</t>
  </si>
  <si>
    <t>7500421688984</t>
  </si>
  <si>
    <t>ZAPATO MUJER EDITH 126706ORO</t>
  </si>
  <si>
    <t>110401CAFE270</t>
  </si>
  <si>
    <t>7500421466353</t>
  </si>
  <si>
    <t>ZAPATO MUJER RENATA 110401CAFE</t>
  </si>
  <si>
    <t>119706BEIGE270</t>
  </si>
  <si>
    <t>7500421576298</t>
  </si>
  <si>
    <t>BOTIN MUJER MARIONE 119706BEIGE</t>
  </si>
  <si>
    <t>402521NEGRO290</t>
  </si>
  <si>
    <t>7500421754177</t>
  </si>
  <si>
    <t>BOTIN HOMBRE GASLY 402521NEGRO</t>
  </si>
  <si>
    <t>417705NEGRO270</t>
  </si>
  <si>
    <t>7500421760529</t>
  </si>
  <si>
    <t>BOTIN HOMBRE RENAN 417705NEGRO</t>
  </si>
  <si>
    <t>RENAN</t>
  </si>
  <si>
    <t>418201CAFE280</t>
  </si>
  <si>
    <t>7500421760765</t>
  </si>
  <si>
    <t>MOCASIN HOMBRE MCCARTHY 418201CAFE</t>
  </si>
  <si>
    <t>MCCARTHY</t>
  </si>
  <si>
    <t>116316CREMA230</t>
  </si>
  <si>
    <t>7500421838235</t>
  </si>
  <si>
    <t>BALLERINA MUJER MARIE 116316CREMA</t>
  </si>
  <si>
    <t>417007CAFE270</t>
  </si>
  <si>
    <t>7500421756058</t>
  </si>
  <si>
    <t>BOTIN HOMBRE FRONZI 417007CAFE</t>
  </si>
  <si>
    <t>FRONZI</t>
  </si>
  <si>
    <t>119701NEGRO260</t>
  </si>
  <si>
    <t>7500421511510</t>
  </si>
  <si>
    <t>ZAPATO MUJER MARIONE 119701NEGRO</t>
  </si>
  <si>
    <t>409401AZUL260</t>
  </si>
  <si>
    <t>7500421498705</t>
  </si>
  <si>
    <t>ZAPATO HOMBRE TITANIUM 409401AZUL</t>
  </si>
  <si>
    <t>130801AVENA250</t>
  </si>
  <si>
    <t>7500421752678</t>
  </si>
  <si>
    <t>BALLERINA MUJER RIHANNA 130801AVENA</t>
  </si>
  <si>
    <t>130801NEGRO240</t>
  </si>
  <si>
    <t>7500421743867</t>
  </si>
  <si>
    <t>BALLERINA MUJER RIHANNA 130801NEGRO</t>
  </si>
  <si>
    <t>104517NEGRO240</t>
  </si>
  <si>
    <t>7500421730577</t>
  </si>
  <si>
    <t>BOTIN MUJER IDRIS 104517NEGRO</t>
  </si>
  <si>
    <t>130603CHOCOLATE240</t>
  </si>
  <si>
    <t>7500421745700</t>
  </si>
  <si>
    <t>109403VINO230</t>
  </si>
  <si>
    <t>7500421514528</t>
  </si>
  <si>
    <t>ZAPATO MUJER CHARIS 109403VINO</t>
  </si>
  <si>
    <t>08/04/2026</t>
  </si>
  <si>
    <t>126710MARINO240</t>
  </si>
  <si>
    <t>7500421758717</t>
  </si>
  <si>
    <t>ZAPATO MUJER EDITH 126710MARINO</t>
  </si>
  <si>
    <t>417401NEGRO270</t>
  </si>
  <si>
    <t>7500421754498</t>
  </si>
  <si>
    <t>124304ALGODON220</t>
  </si>
  <si>
    <t>7500421824436</t>
  </si>
  <si>
    <t>MOCASIN MUJER PAMELA 124304ALGODON</t>
  </si>
  <si>
    <t>PAMELA</t>
  </si>
  <si>
    <t>119302ORO250</t>
  </si>
  <si>
    <t>7500421528266</t>
  </si>
  <si>
    <t>412306TAN270</t>
  </si>
  <si>
    <t>7500421275801</t>
  </si>
  <si>
    <t>BOTIN HOMBRE POLARA 412306TAN</t>
  </si>
  <si>
    <t>POLARA</t>
  </si>
  <si>
    <t>116316CARMIN245</t>
  </si>
  <si>
    <t>7500421838372</t>
  </si>
  <si>
    <t>117207NEGRO270</t>
  </si>
  <si>
    <t>7500421556245</t>
  </si>
  <si>
    <t>104821DARKTAN240</t>
  </si>
  <si>
    <t>7500421746257</t>
  </si>
  <si>
    <t>BOTIN MUJER CATALEYA 104821DARKTAN</t>
  </si>
  <si>
    <t>51727AZUL250</t>
  </si>
  <si>
    <t>7500421721872</t>
  </si>
  <si>
    <t>ZAPATO MUJER LIBRA 51727AZUL</t>
  </si>
  <si>
    <t>409903NEGRO280</t>
  </si>
  <si>
    <t>7500421498170</t>
  </si>
  <si>
    <t>ZAPATO HOMBRE RIDER 409903NEGRO</t>
  </si>
  <si>
    <t>130403NEGRO240</t>
  </si>
  <si>
    <t>7500421737866</t>
  </si>
  <si>
    <t>BOTIN MUJER AREL 130403NEGRO</t>
  </si>
  <si>
    <t>400114NEGRO290</t>
  </si>
  <si>
    <t>7500421586358</t>
  </si>
  <si>
    <t>25911CAFE220</t>
  </si>
  <si>
    <t>7500421288269</t>
  </si>
  <si>
    <t>BOTIN MUJER MIROSLAVA 25911CAFE</t>
  </si>
  <si>
    <t>130403NEGRO250</t>
  </si>
  <si>
    <t>7500421737880</t>
  </si>
  <si>
    <t>409701AMARILLO270</t>
  </si>
  <si>
    <t>7500421504086</t>
  </si>
  <si>
    <t>404604SHEDRON280</t>
  </si>
  <si>
    <t>7500421426432</t>
  </si>
  <si>
    <t>702401AZUL290</t>
  </si>
  <si>
    <t>7506484100920</t>
  </si>
  <si>
    <t>MOCASIN HOMBRE LINK 702401AZUL</t>
  </si>
  <si>
    <t>LINK</t>
  </si>
  <si>
    <t>127403NEGRO250</t>
  </si>
  <si>
    <t>7500421607695</t>
  </si>
  <si>
    <t>BOTA MUJER MANDY 127403NEGRO</t>
  </si>
  <si>
    <t>134504TAUPE260</t>
  </si>
  <si>
    <t>7500421933756</t>
  </si>
  <si>
    <t>ZAPATILLA MUJER MILAN 134504TAUPE</t>
  </si>
  <si>
    <t>418301BLANCO280</t>
  </si>
  <si>
    <t>7500421763995</t>
  </si>
  <si>
    <t>ZAPATILLA HOMBRE APEK 418301BLANCO</t>
  </si>
  <si>
    <t>APEK</t>
  </si>
  <si>
    <t>113702ROSA250</t>
  </si>
  <si>
    <t>7500421495872</t>
  </si>
  <si>
    <t>ZAPATILLA MUJER ZOEY 113702ROSA</t>
  </si>
  <si>
    <t>ZOEY</t>
  </si>
  <si>
    <t>102002NEGRO230</t>
  </si>
  <si>
    <t>7500421359884</t>
  </si>
  <si>
    <t>ZAPATILLA MUJER TRAVIATA 102002NEGRO</t>
  </si>
  <si>
    <t>TRAVIATA</t>
  </si>
  <si>
    <t>131501ROSA260</t>
  </si>
  <si>
    <t>7500421753323</t>
  </si>
  <si>
    <t>ZAPATILLA MUJER SALUMA 131501ROSA</t>
  </si>
  <si>
    <t>SALUMA</t>
  </si>
  <si>
    <t>126706ORO230</t>
  </si>
  <si>
    <t>7500421688946</t>
  </si>
  <si>
    <t>2820442NEGRO255</t>
  </si>
  <si>
    <t>4064195268405</t>
  </si>
  <si>
    <t>SANDALIA MUJER 2820442NEGRO</t>
  </si>
  <si>
    <t>123004NEGRO260</t>
  </si>
  <si>
    <t>7500421540084</t>
  </si>
  <si>
    <t>SANDALIA MUJER KADEISHA 123004NEGRO</t>
  </si>
  <si>
    <t>407501AZUL260</t>
  </si>
  <si>
    <t>7500421438343</t>
  </si>
  <si>
    <t>ZAPATILLA HOMBRE BORACAY 407501AZUL</t>
  </si>
  <si>
    <t>BORACAY</t>
  </si>
  <si>
    <t>406401NEGRO290</t>
  </si>
  <si>
    <t>7500421432525</t>
  </si>
  <si>
    <t>ZAPATO HOMBRE BALI 406401NEGRO</t>
  </si>
  <si>
    <t>126911NEGRO240</t>
  </si>
  <si>
    <t>7500421757932</t>
  </si>
  <si>
    <t>137202NEGRO240</t>
  </si>
  <si>
    <t>7500421955260</t>
  </si>
  <si>
    <t>ZAPATO MUJER LORELA 137202NEGRO</t>
  </si>
  <si>
    <t>LORELA</t>
  </si>
  <si>
    <t>21222NEGRO230</t>
  </si>
  <si>
    <t>7500421581230</t>
  </si>
  <si>
    <t>BALLERINA MUJER DAFNE 21222NEGRO</t>
  </si>
  <si>
    <t>DAFNE</t>
  </si>
  <si>
    <t>109403CHAROLVINO230</t>
  </si>
  <si>
    <t>7500421725498</t>
  </si>
  <si>
    <t>ZAPATO MUJER CHARIS 109403CHAROLVINO</t>
  </si>
  <si>
    <t>09/04/2026</t>
  </si>
  <si>
    <t>119703NEGRO240</t>
  </si>
  <si>
    <t>7500421511695</t>
  </si>
  <si>
    <t>BOTIN MUJER MARIONE 119703NEGRO</t>
  </si>
  <si>
    <t>409901NEGRO280</t>
  </si>
  <si>
    <t>7500421497586</t>
  </si>
  <si>
    <t>130604SHEDRON250</t>
  </si>
  <si>
    <t>7500421739099</t>
  </si>
  <si>
    <t>BOTA MUJER MARIELA 130604SHEDRON</t>
  </si>
  <si>
    <t>128506MAQUILLAJE240</t>
  </si>
  <si>
    <t>7500421690895</t>
  </si>
  <si>
    <t>414907CAFE280</t>
  </si>
  <si>
    <t>7500421658130</t>
  </si>
  <si>
    <t>ZAPATO HOMBRE ROOK 414907CAFE</t>
  </si>
  <si>
    <t>ROOK</t>
  </si>
  <si>
    <t>102002CAFE240</t>
  </si>
  <si>
    <t>7500421547199</t>
  </si>
  <si>
    <t>ZAPATILLA MUJER TRAVIATA 102002CAFE</t>
  </si>
  <si>
    <t>110303OPORTO250</t>
  </si>
  <si>
    <t>7500421482896</t>
  </si>
  <si>
    <t>ZAPATO MUJER ELINOR 110303OPORTO</t>
  </si>
  <si>
    <t>ELINOR</t>
  </si>
  <si>
    <t>135202AZUL250</t>
  </si>
  <si>
    <t>7500421925713</t>
  </si>
  <si>
    <t>ZAPATILLA MUJER BRERA 135202AZUL</t>
  </si>
  <si>
    <t>130604SHEDRON240</t>
  </si>
  <si>
    <t>7500421739075</t>
  </si>
  <si>
    <t>104501NEGRO270</t>
  </si>
  <si>
    <t>7500421405574</t>
  </si>
  <si>
    <t>125902TAN260</t>
  </si>
  <si>
    <t>7500421601280</t>
  </si>
  <si>
    <t>BOTIN MUJER UMA  125902TAN</t>
  </si>
  <si>
    <t>702401AVELLANA290</t>
  </si>
  <si>
    <t>7506484100807</t>
  </si>
  <si>
    <t>MOCASIN HOMBRE LINK 702401AVELLANA</t>
  </si>
  <si>
    <t>CRE0037INCOLOROUNIT</t>
  </si>
  <si>
    <t>8411250023169</t>
  </si>
  <si>
    <t>CREMA AUTOBRILLANTE CRE0037 INCOLORO</t>
  </si>
  <si>
    <t>CRE0406NEUTROUNIT</t>
  </si>
  <si>
    <t>7500421890318</t>
  </si>
  <si>
    <t>CREMA GRASA DE CABALLO CRE0406 NEUTRO</t>
  </si>
  <si>
    <t>25913CAFE220</t>
  </si>
  <si>
    <t>7500421415924</t>
  </si>
  <si>
    <t>BOTIN MUJER MIROSLAVA 25913CAFE</t>
  </si>
  <si>
    <t>125401NEGRO250</t>
  </si>
  <si>
    <t>7500421594223</t>
  </si>
  <si>
    <t>ZAPATILLA MUJER LINA 125401NEGRO</t>
  </si>
  <si>
    <t>411902ARENA250</t>
  </si>
  <si>
    <t>7500421520864</t>
  </si>
  <si>
    <t>119306BRONCE230</t>
  </si>
  <si>
    <t>7500421547069</t>
  </si>
  <si>
    <t>ZAPATILLA MUJER ROSAURA 119306BRONCE</t>
  </si>
  <si>
    <t>409401MOKA280</t>
  </si>
  <si>
    <t>7500421498989</t>
  </si>
  <si>
    <t>ZAPATO HOMBRE TITANIUM 409401MOKA</t>
  </si>
  <si>
    <t>119901CAFE240</t>
  </si>
  <si>
    <t>7500421456859</t>
  </si>
  <si>
    <t>404601NEGRO280</t>
  </si>
  <si>
    <t>7500421421772</t>
  </si>
  <si>
    <t>ZAPATO HOMBRE DINAMO 404601NEGRO</t>
  </si>
  <si>
    <t>125403PERLA250</t>
  </si>
  <si>
    <t>7500421566510</t>
  </si>
  <si>
    <t>110401CAFE250</t>
  </si>
  <si>
    <t>7500421466315</t>
  </si>
  <si>
    <t>128706AZUL250</t>
  </si>
  <si>
    <t>7500421846896</t>
  </si>
  <si>
    <t>ZAPATO MUJER ACAI 128706AZUL</t>
  </si>
  <si>
    <t>ACAI</t>
  </si>
  <si>
    <t>125901NEGRO240</t>
  </si>
  <si>
    <t>7500421568408</t>
  </si>
  <si>
    <t>BOTIN MUJER UMA  125901NEGRO</t>
  </si>
  <si>
    <t>126606DORADO260</t>
  </si>
  <si>
    <t>7500421744543</t>
  </si>
  <si>
    <t>10/04/2026</t>
  </si>
  <si>
    <t>2509741CHAMPAGNE240</t>
  </si>
  <si>
    <t>4064197820656</t>
  </si>
  <si>
    <t>BOOTIE MUJER 2509741CHAMPAGNE</t>
  </si>
  <si>
    <t>119709DARKTAN240</t>
  </si>
  <si>
    <t>7500421751558</t>
  </si>
  <si>
    <t>125403MARINO260</t>
  </si>
  <si>
    <t>7500421566640</t>
  </si>
  <si>
    <t>ZAPATILLA MUJER LINA 125403MARINO</t>
  </si>
  <si>
    <t>59305DARKOPORTO260</t>
  </si>
  <si>
    <t>7500421387955</t>
  </si>
  <si>
    <t>BOTIN HOMBRE QUILMES 59305DARKOPORTO</t>
  </si>
  <si>
    <t>QUILMES</t>
  </si>
  <si>
    <t>119306BRONCE220</t>
  </si>
  <si>
    <t>7500421547045</t>
  </si>
  <si>
    <t>125606TARO230</t>
  </si>
  <si>
    <t>7500421764176</t>
  </si>
  <si>
    <t>ZAPATILLA MUJER ASHLEY 125606TARO</t>
  </si>
  <si>
    <t>119705NEGRO270</t>
  </si>
  <si>
    <t>7500421606575</t>
  </si>
  <si>
    <t>ZAPATO MUJER MARIONE 119705NEGRO</t>
  </si>
  <si>
    <t>416102SHEDRON250</t>
  </si>
  <si>
    <t>7500421222287</t>
  </si>
  <si>
    <t>BOTIN HOMBRE FABRA 416102SHEDRON</t>
  </si>
  <si>
    <t>FABRA</t>
  </si>
  <si>
    <t>417401CAFE260</t>
  </si>
  <si>
    <t>7500421709368</t>
  </si>
  <si>
    <t>409903NEGRO260</t>
  </si>
  <si>
    <t>7500421498132</t>
  </si>
  <si>
    <t>119706VINO270</t>
  </si>
  <si>
    <t>7500421576182</t>
  </si>
  <si>
    <t>138502MARINO240</t>
  </si>
  <si>
    <t>7500277062068</t>
  </si>
  <si>
    <t>25913NEGRO270</t>
  </si>
  <si>
    <t>7500421415917</t>
  </si>
  <si>
    <t>110421TABACO240</t>
  </si>
  <si>
    <t>7500421747131</t>
  </si>
  <si>
    <t>45232TAN260</t>
  </si>
  <si>
    <t>7500421575659</t>
  </si>
  <si>
    <t>BOTIN MUJER YULISA 45232TAN</t>
  </si>
  <si>
    <t>406102MARRON260</t>
  </si>
  <si>
    <t>7500421476642</t>
  </si>
  <si>
    <t>413201CAFE300</t>
  </si>
  <si>
    <t>7500421551509</t>
  </si>
  <si>
    <t>MOCASIN HOMBRE JUKO 413201CAFE</t>
  </si>
  <si>
    <t>JUKO</t>
  </si>
  <si>
    <t>110402TAN270</t>
  </si>
  <si>
    <t>7500421522004</t>
  </si>
  <si>
    <t>ZAPATO MUJER RENATA 110402TAN</t>
  </si>
  <si>
    <t>130009VINO250</t>
  </si>
  <si>
    <t>7500421980217</t>
  </si>
  <si>
    <t>BOOTIE MUJER RAISSA 130009VINO</t>
  </si>
  <si>
    <t>RAISSA</t>
  </si>
  <si>
    <t>130403NEGRO220</t>
  </si>
  <si>
    <t>7500421737828</t>
  </si>
  <si>
    <t>CRE0042NEGROUNIT</t>
  </si>
  <si>
    <t>8411250023183</t>
  </si>
  <si>
    <t>CREMA AUTOBRILLANTE CRE0042 NEGRO</t>
  </si>
  <si>
    <t>132302COGNAC225</t>
  </si>
  <si>
    <t>7500421778579</t>
  </si>
  <si>
    <t>BOTA MUJER AMADEA 132302COGNAC</t>
  </si>
  <si>
    <t>119706VINO250</t>
  </si>
  <si>
    <t>7500421576144</t>
  </si>
  <si>
    <t>126706NEGRO250</t>
  </si>
  <si>
    <t>7500421689219</t>
  </si>
  <si>
    <t>ZAPATO MUJER EDITH 126706NEGRO</t>
  </si>
  <si>
    <t>126710MARINO250</t>
  </si>
  <si>
    <t>7500421758731</t>
  </si>
  <si>
    <t>110102BLACK240</t>
  </si>
  <si>
    <t>7500421465639</t>
  </si>
  <si>
    <t>ZAPATILLA MUJER AUDREY 110102BLACK</t>
  </si>
  <si>
    <t>AUDREY</t>
  </si>
  <si>
    <t>110303NEGRO220</t>
  </si>
  <si>
    <t>7500421482728</t>
  </si>
  <si>
    <t>ZAPATO MUJER ELINOR 110303NEGRO</t>
  </si>
  <si>
    <t>25913CAFE240</t>
  </si>
  <si>
    <t>7500421415962</t>
  </si>
  <si>
    <t>2536245NEGRO240</t>
  </si>
  <si>
    <t>4064199723795</t>
  </si>
  <si>
    <t>BOTIN MUJER 2536245NEGRO</t>
  </si>
  <si>
    <t>13/04/2026</t>
  </si>
  <si>
    <t>129701BLANCO230</t>
  </si>
  <si>
    <t>7500421692196</t>
  </si>
  <si>
    <t>ZAPATILLA MUJER LUCENA 129701BLANCO</t>
  </si>
  <si>
    <t>LUCENA</t>
  </si>
  <si>
    <t>409501NEGRO270</t>
  </si>
  <si>
    <t>7500421499320</t>
  </si>
  <si>
    <t>ZAPATO HOMBRE WAZE 409501NEGRO</t>
  </si>
  <si>
    <t>134101AZUL240</t>
  </si>
  <si>
    <t>7500421928103</t>
  </si>
  <si>
    <t>104518DENIM250</t>
  </si>
  <si>
    <t>7500421746059</t>
  </si>
  <si>
    <t>127204ARENA220</t>
  </si>
  <si>
    <t>7500421731550</t>
  </si>
  <si>
    <t>BOTIN MUJER MACKENZIE 127204ARENA</t>
  </si>
  <si>
    <t>45235NEGRO240</t>
  </si>
  <si>
    <t>7500421765517</t>
  </si>
  <si>
    <t>138502CAMEL250</t>
  </si>
  <si>
    <t>7500277055695</t>
  </si>
  <si>
    <t>ZAPATILLA MUJER NAOKI 138502CAMEL</t>
  </si>
  <si>
    <t>130208DORADO240</t>
  </si>
  <si>
    <t>7500421979532</t>
  </si>
  <si>
    <t>ZAPATILLA MUJER AZURE 130208DORADO</t>
  </si>
  <si>
    <t>2372442OROCLARO250</t>
  </si>
  <si>
    <t>4064198715319</t>
  </si>
  <si>
    <t>ZAPATILLA MUJER 2372442OROCLARO</t>
  </si>
  <si>
    <t>402518CHOCOLATE290</t>
  </si>
  <si>
    <t>7500421594599</t>
  </si>
  <si>
    <t>BOTIN HOMBRE GASLY 402518CHOCOLATE</t>
  </si>
  <si>
    <t>119607BEIGE270</t>
  </si>
  <si>
    <t>7500421480892</t>
  </si>
  <si>
    <t>110401NEGRO260</t>
  </si>
  <si>
    <t>7500421466445</t>
  </si>
  <si>
    <t>ZAPATO MUJER RENATA 110401NEGRO</t>
  </si>
  <si>
    <t>104813NEGRO250</t>
  </si>
  <si>
    <t>7500421510612</t>
  </si>
  <si>
    <t>ZAPATO MUJER CATALEYA 104813NEGRO</t>
  </si>
  <si>
    <t>45235NEGRO250</t>
  </si>
  <si>
    <t>7500421765531</t>
  </si>
  <si>
    <t>104517NEGRO250</t>
  </si>
  <si>
    <t>7500421730591</t>
  </si>
  <si>
    <t>407502NEGRO290</t>
  </si>
  <si>
    <t>7500421500057</t>
  </si>
  <si>
    <t>ZAPATILLA HOMBRE BORACAY 407502NEGRO</t>
  </si>
  <si>
    <t>127602NUDE250</t>
  </si>
  <si>
    <t>7500421633250</t>
  </si>
  <si>
    <t>SANDALIA MUJER RORAIMA 127602NUDE</t>
  </si>
  <si>
    <t>RORAIMA</t>
  </si>
  <si>
    <t>25911CAFE230</t>
  </si>
  <si>
    <t>7500421288283</t>
  </si>
  <si>
    <t>406102NEGRO300</t>
  </si>
  <si>
    <t>7500421471753</t>
  </si>
  <si>
    <t>125901NEGRO250</t>
  </si>
  <si>
    <t>7500421568422</t>
  </si>
  <si>
    <t>127202BEIGE230</t>
  </si>
  <si>
    <t>7500421731123</t>
  </si>
  <si>
    <t>ZAPATO MUJER MACKENZIE 127202BEIGE</t>
  </si>
  <si>
    <t>126903NEGRO230</t>
  </si>
  <si>
    <t>7500421601662</t>
  </si>
  <si>
    <t>ZAPATO MUJER ZENOBIA 126903NEGRO</t>
  </si>
  <si>
    <t>126716MARINO250</t>
  </si>
  <si>
    <t>7500421923931</t>
  </si>
  <si>
    <t>ZAPATO MUJER EDITH 126716MARINO</t>
  </si>
  <si>
    <t>48304BLANCO250</t>
  </si>
  <si>
    <t>7506296119158</t>
  </si>
  <si>
    <t>ZAPATO MUJER OFELIA 48304BLANCO</t>
  </si>
  <si>
    <t>37822SHEDRON260</t>
  </si>
  <si>
    <t>7500421749845</t>
  </si>
  <si>
    <t>BOTIN MUJER ALDARA 37822SHEDRON</t>
  </si>
  <si>
    <t>138502BLANCO260</t>
  </si>
  <si>
    <t>7500421985571</t>
  </si>
  <si>
    <t>ZAPATILLA MUJER NAOKI 138502BLANCO</t>
  </si>
  <si>
    <t>132501BLACK250</t>
  </si>
  <si>
    <t>7500421781241</t>
  </si>
  <si>
    <t>BOTIN MUJER LAVI 132501BLACK</t>
  </si>
  <si>
    <t>LAVI</t>
  </si>
  <si>
    <t>37823ARENA260</t>
  </si>
  <si>
    <t>7500421749623</t>
  </si>
  <si>
    <t>BOTIN MUJER ALDARA 37823ARENA</t>
  </si>
  <si>
    <t>119706VINO240</t>
  </si>
  <si>
    <t>7500421575727</t>
  </si>
  <si>
    <t>119701NEGRO240</t>
  </si>
  <si>
    <t>7500421511473</t>
  </si>
  <si>
    <t>132201GRIS240</t>
  </si>
  <si>
    <t>7500421775325</t>
  </si>
  <si>
    <t>ZAPATILLA MUJER BRISEA 132201GRIS</t>
  </si>
  <si>
    <t>126710MARINO270</t>
  </si>
  <si>
    <t>7500421758779</t>
  </si>
  <si>
    <t>417401CAFE290</t>
  </si>
  <si>
    <t>7500421709429</t>
  </si>
  <si>
    <t>8370742MERLOT250</t>
  </si>
  <si>
    <t>4064225834716</t>
  </si>
  <si>
    <t>ZAPATILLA MUJER 8370742MERLOT</t>
  </si>
  <si>
    <t>127602NEGRO240</t>
  </si>
  <si>
    <t>7500421633458</t>
  </si>
  <si>
    <t>SANDALIA MUJER RORAIMA 127602NEGRO</t>
  </si>
  <si>
    <t>128406NEGRO240</t>
  </si>
  <si>
    <t>7500421828847</t>
  </si>
  <si>
    <t>SANDALIA MUJER ITACARE 128406NEGRO</t>
  </si>
  <si>
    <t>ITACARE</t>
  </si>
  <si>
    <t>133603BLANCO240</t>
  </si>
  <si>
    <t>7500421856024</t>
  </si>
  <si>
    <t>SANDALIA MUJER CATERINA 133603BLANCO</t>
  </si>
  <si>
    <t>CATERINA</t>
  </si>
  <si>
    <t>104518DENIM230</t>
  </si>
  <si>
    <t>7500421746011</t>
  </si>
  <si>
    <t>119706NEGRO230</t>
  </si>
  <si>
    <t>7500421606384</t>
  </si>
  <si>
    <t>104518DENIM260</t>
  </si>
  <si>
    <t>7500421746073</t>
  </si>
  <si>
    <t>135201NEGRO260</t>
  </si>
  <si>
    <t>7500421880470</t>
  </si>
  <si>
    <t>ZAPATILLA MUJER BRERA 135201NEGRO</t>
  </si>
  <si>
    <t>130403DARKTAN240</t>
  </si>
  <si>
    <t>7500421737644</t>
  </si>
  <si>
    <t>CRE0047NEUTROUNIT</t>
  </si>
  <si>
    <t>8411250025569</t>
  </si>
  <si>
    <t>GRASA CABALLO CONSERVACION CRE0047 NEUTRO</t>
  </si>
  <si>
    <t>126603NEGRO240</t>
  </si>
  <si>
    <t>7500421603680</t>
  </si>
  <si>
    <t>MOCASIN MUJER HAYEK 126603NEGRO</t>
  </si>
  <si>
    <t>130402NEGRO220</t>
  </si>
  <si>
    <t>7500421737934</t>
  </si>
  <si>
    <t>136604NEGRO250</t>
  </si>
  <si>
    <t>7500421962213</t>
  </si>
  <si>
    <t>420703TAUPE260</t>
  </si>
  <si>
    <t>7500421928639</t>
  </si>
  <si>
    <t>104932GRIS240</t>
  </si>
  <si>
    <t>7500421967942</t>
  </si>
  <si>
    <t>ZAPATILLA MUJER GRECYA 104932GRIS</t>
  </si>
  <si>
    <t>GRECYA</t>
  </si>
  <si>
    <t>422404NEGRO270</t>
  </si>
  <si>
    <t>7500277055893</t>
  </si>
  <si>
    <t>ZAPATILLA HOMBRE MADDOX 422404NEGRO</t>
  </si>
  <si>
    <t>MADDOX</t>
  </si>
  <si>
    <t>127402HUESO270</t>
  </si>
  <si>
    <t>7500421599198</t>
  </si>
  <si>
    <t>418102GRIS260</t>
  </si>
  <si>
    <t>7500421771860</t>
  </si>
  <si>
    <t>BOTIN HOMBRE THOMPSON 418102GRIS</t>
  </si>
  <si>
    <t>THOMPSON</t>
  </si>
  <si>
    <t>130302NEGRO250</t>
  </si>
  <si>
    <t>7500421736265</t>
  </si>
  <si>
    <t>BOTIN MUJER ISBELLE 130302NEGRO</t>
  </si>
  <si>
    <t>ISBELLE</t>
  </si>
  <si>
    <t>124401NEGRO235</t>
  </si>
  <si>
    <t>7500421555071</t>
  </si>
  <si>
    <t>ZAPATO MUJER PIPA 124401NEGRO</t>
  </si>
  <si>
    <t>130604NEGRO230</t>
  </si>
  <si>
    <t>7500421738610</t>
  </si>
  <si>
    <t>130603CHOCOLATE260</t>
  </si>
  <si>
    <t>7500421745748</t>
  </si>
  <si>
    <t>119709NEGRO260</t>
  </si>
  <si>
    <t>7500421731529</t>
  </si>
  <si>
    <t>BOTIN MUJER MARIONE 119709NEGRO</t>
  </si>
  <si>
    <t>417705NEGRO260</t>
  </si>
  <si>
    <t>7500421760505</t>
  </si>
  <si>
    <t>14/04/2026</t>
  </si>
  <si>
    <t>104512BEIGE260</t>
  </si>
  <si>
    <t>7500421314586</t>
  </si>
  <si>
    <t>BOTIN MUJER IDRIS 104512BEIGE</t>
  </si>
  <si>
    <t>127203NEGRO220</t>
  </si>
  <si>
    <t>7500421605363</t>
  </si>
  <si>
    <t>BOTIN MUJER MACKENZIE 127203NEGRO</t>
  </si>
  <si>
    <t>130201NEGRO260</t>
  </si>
  <si>
    <t>7500421751268</t>
  </si>
  <si>
    <t>ZAPATILLA MUJER AZURE 130201NEGRO</t>
  </si>
  <si>
    <t>410703NOGAL250</t>
  </si>
  <si>
    <t>7500421275726</t>
  </si>
  <si>
    <t>130602NEGRO260</t>
  </si>
  <si>
    <t>7500421738788</t>
  </si>
  <si>
    <t>104501NEGRO250</t>
  </si>
  <si>
    <t>7500421405536</t>
  </si>
  <si>
    <t>105125DENIM250</t>
  </si>
  <si>
    <t>7500277050614</t>
  </si>
  <si>
    <t>ZAPATILLA MUJER CASIOPEA 105125DENIM</t>
  </si>
  <si>
    <t>2513345COGNAC240</t>
  </si>
  <si>
    <t>4064199762695</t>
  </si>
  <si>
    <t>BOTIN MUJER 2513345COGNAC</t>
  </si>
  <si>
    <t>104519NEGRO230</t>
  </si>
  <si>
    <t>7500421845868</t>
  </si>
  <si>
    <t>ZAPATO MUJER IDRIS 104519NEGRO</t>
  </si>
  <si>
    <t>45606NEGRO260</t>
  </si>
  <si>
    <t>7500421399187</t>
  </si>
  <si>
    <t>ZAPATO MUJER CASTANA 45606NEGRO</t>
  </si>
  <si>
    <t>CASTAÑA</t>
  </si>
  <si>
    <t>415307CAFE280</t>
  </si>
  <si>
    <t>7500421929773</t>
  </si>
  <si>
    <t>130603CHOCOLATE250</t>
  </si>
  <si>
    <t>7500421745724</t>
  </si>
  <si>
    <t>124904TARO230</t>
  </si>
  <si>
    <t>7500421750117</t>
  </si>
  <si>
    <t>ZAPATILLA MUJER NAMI 124904TARO</t>
  </si>
  <si>
    <t>NAMI</t>
  </si>
  <si>
    <t>411902ARENA290</t>
  </si>
  <si>
    <t>7500421520949</t>
  </si>
  <si>
    <t>118902VINO260</t>
  </si>
  <si>
    <t>7500421526637</t>
  </si>
  <si>
    <t>119702MARINO230</t>
  </si>
  <si>
    <t>7500421532188</t>
  </si>
  <si>
    <t>409002NEGRO260</t>
  </si>
  <si>
    <t>7500421473092</t>
  </si>
  <si>
    <t>ZAPATILLA HOMBRE FORSETI 409002NEGRO</t>
  </si>
  <si>
    <t>418102GRIS290</t>
  </si>
  <si>
    <t>7500421771921</t>
  </si>
  <si>
    <t>104518DENIM220</t>
  </si>
  <si>
    <t>7500421745991</t>
  </si>
  <si>
    <t>124802GRIS260</t>
  </si>
  <si>
    <t>7500421548448</t>
  </si>
  <si>
    <t>406102MARRON290</t>
  </si>
  <si>
    <t>7500421476703</t>
  </si>
  <si>
    <t>126606NEGRO260</t>
  </si>
  <si>
    <t>7500421744659</t>
  </si>
  <si>
    <t>15/04/2026</t>
  </si>
  <si>
    <t>132302COGNAC255</t>
  </si>
  <si>
    <t>7500421778616</t>
  </si>
  <si>
    <t>138502CAMEL240</t>
  </si>
  <si>
    <t>7500277055671</t>
  </si>
  <si>
    <t>25905WHISKY240</t>
  </si>
  <si>
    <t>7500421258927</t>
  </si>
  <si>
    <t>410801BLANCO280</t>
  </si>
  <si>
    <t>7500421503751</t>
  </si>
  <si>
    <t>ZAPATILLA HOMBRE LAUNCHER 410801BLANCO</t>
  </si>
  <si>
    <t>LAUNCHER</t>
  </si>
  <si>
    <t>37511CAFE230</t>
  </si>
  <si>
    <t>7500421360439</t>
  </si>
  <si>
    <t>BOTIN MUJER TYANA 37511CAFE</t>
  </si>
  <si>
    <t>TYANA</t>
  </si>
  <si>
    <t>412405NEGRO290</t>
  </si>
  <si>
    <t>7500421584934</t>
  </si>
  <si>
    <t>BOTIN HOMBRE CRETA 412405NEGRO</t>
  </si>
  <si>
    <t>116309NEGRO220</t>
  </si>
  <si>
    <t>7500421555705</t>
  </si>
  <si>
    <t>BALLERINA MUJER MARIE 116309NEGRO</t>
  </si>
  <si>
    <t>129501TAN240</t>
  </si>
  <si>
    <t>7500421701775</t>
  </si>
  <si>
    <t>SANDALIA MUJER CASSIA 129501TAN</t>
  </si>
  <si>
    <t>127401NEGRO260</t>
  </si>
  <si>
    <t>7500421607947</t>
  </si>
  <si>
    <t>ZAPATO MUJER MANDY 127401NEGRO</t>
  </si>
  <si>
    <t>409401TAN280</t>
  </si>
  <si>
    <t>7500421498866</t>
  </si>
  <si>
    <t>ZAPATO HOMBRE TITANIUM 409401TAN</t>
  </si>
  <si>
    <t>134101BEIGE230</t>
  </si>
  <si>
    <t>7500421829813</t>
  </si>
  <si>
    <t>ZAPATILLA MUJER LETTI 134101BEIGE</t>
  </si>
  <si>
    <t>134101BEIGE260</t>
  </si>
  <si>
    <t>7500421829875</t>
  </si>
  <si>
    <t>406102MARRON300</t>
  </si>
  <si>
    <t>7500421476727</t>
  </si>
  <si>
    <t>141202NEGRO240</t>
  </si>
  <si>
    <t>7500277052793</t>
  </si>
  <si>
    <t>ZAPATILLA MUJER KINDRA 141202NEGRO</t>
  </si>
  <si>
    <t>KINDRA</t>
  </si>
  <si>
    <t>132401BLACK270</t>
  </si>
  <si>
    <t>7500421778715</t>
  </si>
  <si>
    <t>BOTA MUJER NABBA 132401BLACK</t>
  </si>
  <si>
    <t>NABBA</t>
  </si>
  <si>
    <t>2360342TAUPEGLAM255</t>
  </si>
  <si>
    <t>4064199554900</t>
  </si>
  <si>
    <t>ZAPATILLA MUJER 2360342TAUPEGLAM</t>
  </si>
  <si>
    <t>118703ARENA260</t>
  </si>
  <si>
    <t>7500421518687</t>
  </si>
  <si>
    <t>137804TAUPE260</t>
  </si>
  <si>
    <t>7500421979464</t>
  </si>
  <si>
    <t>BOTIN MUJER DARIELA 137804TAUPE</t>
  </si>
  <si>
    <t>DARIELA</t>
  </si>
  <si>
    <t>131902NEGRO250</t>
  </si>
  <si>
    <t>7500421750520</t>
  </si>
  <si>
    <t>ZAPATO MUJER ANTICA 131902NEGRO</t>
  </si>
  <si>
    <t>ANTICA</t>
  </si>
  <si>
    <t>126712ARENA240</t>
  </si>
  <si>
    <t>7500421749364</t>
  </si>
  <si>
    <t>BOTIN MUJER EDITH 126712ARENA</t>
  </si>
  <si>
    <t>37824MARINO240</t>
  </si>
  <si>
    <t>7500421925478</t>
  </si>
  <si>
    <t>BOTIN MUJER ALDARA 37824MARINO</t>
  </si>
  <si>
    <t>119303DORADO270</t>
  </si>
  <si>
    <t>7500421766019</t>
  </si>
  <si>
    <t>ZAPATILLA MUJER ROSAURA 119303DORADO</t>
  </si>
  <si>
    <t>130801AVENA260</t>
  </si>
  <si>
    <t>7500421752692</t>
  </si>
  <si>
    <t>138503BEIGE240</t>
  </si>
  <si>
    <t>7500277055565</t>
  </si>
  <si>
    <t>ZAPATILLA MUJER NAOKI 138503BEIGE</t>
  </si>
  <si>
    <t>140304BEIGE240</t>
  </si>
  <si>
    <t>7500277054469</t>
  </si>
  <si>
    <t>ZAPATILLA MUJER SOPHIA 140304BEIGE</t>
  </si>
  <si>
    <t>SOPHIA</t>
  </si>
  <si>
    <t>2530145NEGRO265</t>
  </si>
  <si>
    <t>4064199628250</t>
  </si>
  <si>
    <t>BOTIN MUJER 2530145NEGRO</t>
  </si>
  <si>
    <t>2532143COGNAC265</t>
  </si>
  <si>
    <t>4064195990269</t>
  </si>
  <si>
    <t>BOTIN MUJER 2532143COGNAC</t>
  </si>
  <si>
    <t>416101TAN290</t>
  </si>
  <si>
    <t>7500421596272</t>
  </si>
  <si>
    <t>BOTIN HOMBRE FABRA 416101TAN</t>
  </si>
  <si>
    <t>16/04/2026</t>
  </si>
  <si>
    <t>2241041NEGRO255</t>
  </si>
  <si>
    <t>4064197396113</t>
  </si>
  <si>
    <t>ZAPATO MUJER 2241041NEGRO</t>
  </si>
  <si>
    <t>417501GRIS290</t>
  </si>
  <si>
    <t>7500421702789</t>
  </si>
  <si>
    <t>ZAPATILLA HOMBRE CARDIFF 417501GRIS</t>
  </si>
  <si>
    <t>CARDIFF</t>
  </si>
  <si>
    <t>118902MAQUILLAJE270</t>
  </si>
  <si>
    <t>7500421544068</t>
  </si>
  <si>
    <t>ZAPATO MUJER FLAVIA 118902MAQUILLAJE</t>
  </si>
  <si>
    <t>125910TAN250</t>
  </si>
  <si>
    <t>7500421777404</t>
  </si>
  <si>
    <t>BOTIN MUJER UMA 125910TAN</t>
  </si>
  <si>
    <t>101905NEGRO250</t>
  </si>
  <si>
    <t>7500421453797</t>
  </si>
  <si>
    <t>ZAPATO MUJER AMELIE 101905NEGRO</t>
  </si>
  <si>
    <t>130604NEGRO240</t>
  </si>
  <si>
    <t>7500421738634</t>
  </si>
  <si>
    <t>35311OPORTO230</t>
  </si>
  <si>
    <t>7500421373293</t>
  </si>
  <si>
    <t>ZAPATO MUJER JANE 35311OPORTO</t>
  </si>
  <si>
    <t>101908NEGRO230</t>
  </si>
  <si>
    <t>7500421493304</t>
  </si>
  <si>
    <t>ZAPATO MUJER AMELIE 101908NEGRO</t>
  </si>
  <si>
    <t>117205BLANCO220</t>
  </si>
  <si>
    <t>7500421556030</t>
  </si>
  <si>
    <t>117210NEGRO230</t>
  </si>
  <si>
    <t>7500421953723</t>
  </si>
  <si>
    <t>409906NEGRO250</t>
  </si>
  <si>
    <t>7500421550571</t>
  </si>
  <si>
    <t>ZAPATO HOMBRE RIDER 409906NEGRO</t>
  </si>
  <si>
    <t>415307CAFE270</t>
  </si>
  <si>
    <t>7500421929759</t>
  </si>
  <si>
    <t>130602TAN270</t>
  </si>
  <si>
    <t>7500421745656</t>
  </si>
  <si>
    <t>37823NEGRO240</t>
  </si>
  <si>
    <t>7500421741368</t>
  </si>
  <si>
    <t>BOTIN MUJER ALDARA 37823NEGRO</t>
  </si>
  <si>
    <t>125614NEGRO240</t>
  </si>
  <si>
    <t>7500421926901</t>
  </si>
  <si>
    <t>ZAPATILLA MUJER ASHLEY 125614NEGRO</t>
  </si>
  <si>
    <t>2376345OROCOMB255</t>
  </si>
  <si>
    <t>4064199567993</t>
  </si>
  <si>
    <t>ZAPATILLA MUJER 2376345OROCOMB</t>
  </si>
  <si>
    <t>124802GRIS250</t>
  </si>
  <si>
    <t>7500421548424</t>
  </si>
  <si>
    <t>109219SHEDRON260</t>
  </si>
  <si>
    <t>7500421574546</t>
  </si>
  <si>
    <t>136602NEGRO250</t>
  </si>
  <si>
    <t>7500421973578</t>
  </si>
  <si>
    <t>ZAPATILLA MUJER HELINA 136602NEGRO</t>
  </si>
  <si>
    <t>410902TAN250</t>
  </si>
  <si>
    <t>7500421498354</t>
  </si>
  <si>
    <t>ZAPATO HOMBRE KLIMBER 410902TAN</t>
  </si>
  <si>
    <t>402521NEGRO260</t>
  </si>
  <si>
    <t>7500421754115</t>
  </si>
  <si>
    <t>130610NEGRO230</t>
  </si>
  <si>
    <t>7500421970058</t>
  </si>
  <si>
    <t>104518NEGRO270</t>
  </si>
  <si>
    <t>7500421730416</t>
  </si>
  <si>
    <t>125601AZUL230</t>
  </si>
  <si>
    <t>7500421703465</t>
  </si>
  <si>
    <t>ZAPATILLA MUJER ASHLEY 125601AZUL</t>
  </si>
  <si>
    <t>119701NEGRO250</t>
  </si>
  <si>
    <t>7500421511497</t>
  </si>
  <si>
    <t>103504BLANCO230</t>
  </si>
  <si>
    <t>7500421439128</t>
  </si>
  <si>
    <t>ZAPATILLA MUJER JESSY 103504BLANCO</t>
  </si>
  <si>
    <t>JESSY</t>
  </si>
  <si>
    <t>119306BLANCO220</t>
  </si>
  <si>
    <t>7500421546932</t>
  </si>
  <si>
    <t>ZAPATILLA MUJER ROSAURA 119306BLANCO</t>
  </si>
  <si>
    <t>125401NEGRO240</t>
  </si>
  <si>
    <t>7500421594209</t>
  </si>
  <si>
    <t>17/04/2026</t>
  </si>
  <si>
    <t>417501NEGRO260</t>
  </si>
  <si>
    <t>7500421673782</t>
  </si>
  <si>
    <t>ZAPATILLA HOMBRE CARDIFF 417501NEGRO</t>
  </si>
  <si>
    <t>413014TAUPE260</t>
  </si>
  <si>
    <t>7500421695883</t>
  </si>
  <si>
    <t>ZAPATILLA HOMBRE HIKA 413014TAUPE</t>
  </si>
  <si>
    <t>37822SHEDRON250</t>
  </si>
  <si>
    <t>7500421749821</t>
  </si>
  <si>
    <t>124401CAFE240</t>
  </si>
  <si>
    <t>7500421558485</t>
  </si>
  <si>
    <t>104918AZUL250</t>
  </si>
  <si>
    <t>7500421773918</t>
  </si>
  <si>
    <t>ZAPATILLA MUJER GRECYA 104918AZUL</t>
  </si>
  <si>
    <t>130604SHEDRON260</t>
  </si>
  <si>
    <t>7500421739112</t>
  </si>
  <si>
    <t>133603TAN220</t>
  </si>
  <si>
    <t>7500421855874</t>
  </si>
  <si>
    <t>SANDALIA MUJER CATERINA 133603TAN</t>
  </si>
  <si>
    <t>116802NAVY240</t>
  </si>
  <si>
    <t>7500421751442</t>
  </si>
  <si>
    <t>BOTIN MUJER LILITH 116802NAVY</t>
  </si>
  <si>
    <t>417007CAFE260</t>
  </si>
  <si>
    <t>7500421756034</t>
  </si>
  <si>
    <t>LIM0568NEUTROUNIT</t>
  </si>
  <si>
    <t>718644084972</t>
  </si>
  <si>
    <t>LIMPIADOR GEL PIEL LISA Y TEXTIL LIM0568 NEUTRO</t>
  </si>
  <si>
    <t>104814WHISKY230</t>
  </si>
  <si>
    <t>7500421516645</t>
  </si>
  <si>
    <t>BOTIN MUJER CATALEYA 104814WHISKY</t>
  </si>
  <si>
    <t>103504BEIGE220</t>
  </si>
  <si>
    <t>7500421610701</t>
  </si>
  <si>
    <t>ZAPATILLA MUJER JESSY 103504BEIGE</t>
  </si>
  <si>
    <t>411202NEGRO260</t>
  </si>
  <si>
    <t>7500421512333</t>
  </si>
  <si>
    <t>BOTIN HOMBRE DEAN 411202NEGRO</t>
  </si>
  <si>
    <t>DEAN</t>
  </si>
  <si>
    <t>407502NEGRO270</t>
  </si>
  <si>
    <t>7500421500019</t>
  </si>
  <si>
    <t>120504VINO270</t>
  </si>
  <si>
    <t>7500421577257</t>
  </si>
  <si>
    <t>45204NEGRO240</t>
  </si>
  <si>
    <t>7500421294468</t>
  </si>
  <si>
    <t>ZAPATO MUJER YULISA 45204NEGRO</t>
  </si>
  <si>
    <t>20/04/2026</t>
  </si>
  <si>
    <t>66517MARRON280</t>
  </si>
  <si>
    <t>7500421472309</t>
  </si>
  <si>
    <t>BOTIN HOMBRE FREELAND 66517MARRON</t>
  </si>
  <si>
    <t>35301NEGRO250</t>
  </si>
  <si>
    <t>7500421290194</t>
  </si>
  <si>
    <t>ZAPATO MUJER JANE 35301NEGRO</t>
  </si>
  <si>
    <t>124903BEIGE260</t>
  </si>
  <si>
    <t>7500421704653</t>
  </si>
  <si>
    <t>ZAPATILLA MUJER NAMI 124903BEIGE</t>
  </si>
  <si>
    <t>135602ORO230</t>
  </si>
  <si>
    <t>7500421883464</t>
  </si>
  <si>
    <t>SANDALIA MUJER ESTER 135602ORO</t>
  </si>
  <si>
    <t>ESTER</t>
  </si>
  <si>
    <t>417703SHEDRON280</t>
  </si>
  <si>
    <t>7500421674093</t>
  </si>
  <si>
    <t>ZAPATO HOMBRE RENAN 417703SHEDRON</t>
  </si>
  <si>
    <t>125910COCOA240</t>
  </si>
  <si>
    <t>7500421774885</t>
  </si>
  <si>
    <t>BOTIN MUJER UMA 125910COCOA</t>
  </si>
  <si>
    <t>45601NEGRO220</t>
  </si>
  <si>
    <t>7500421300039</t>
  </si>
  <si>
    <t>ZAPATO MUJER CASTANA 45601NEGRO</t>
  </si>
  <si>
    <t>127201WHISKY230</t>
  </si>
  <si>
    <t>7500421605820</t>
  </si>
  <si>
    <t>132401COGNAC250</t>
  </si>
  <si>
    <t>7500421778760</t>
  </si>
  <si>
    <t>BOTA MUJER NABBA 132401COGNAC</t>
  </si>
  <si>
    <t>119607NEGRO260</t>
  </si>
  <si>
    <t>7500421608739</t>
  </si>
  <si>
    <t>BOTIN MUJER DAMARIS 119607NEGRO</t>
  </si>
  <si>
    <t>125902NEGRO240</t>
  </si>
  <si>
    <t>7500421568750</t>
  </si>
  <si>
    <t>117207TAN260</t>
  </si>
  <si>
    <t>7500421547458</t>
  </si>
  <si>
    <t>ZAPATILLA MUJER ATSIRI 117207TAN</t>
  </si>
  <si>
    <t>100216BLANCO220</t>
  </si>
  <si>
    <t>7500421490648</t>
  </si>
  <si>
    <t>SANDALIA MUJER PEONIA 100216BLANCO</t>
  </si>
  <si>
    <t>PEONIA</t>
  </si>
  <si>
    <t>124604BEIGE240</t>
  </si>
  <si>
    <t>7500421481059</t>
  </si>
  <si>
    <t>BOTIN MUJER DUNE 124604BEIGE</t>
  </si>
  <si>
    <t>DUNE</t>
  </si>
  <si>
    <t>130602NEGRO240</t>
  </si>
  <si>
    <t>7500421738740</t>
  </si>
  <si>
    <t>119704NUDE230</t>
  </si>
  <si>
    <t>7500421544860</t>
  </si>
  <si>
    <t>ZAPATO MUJER MARIONE 119704NUDE</t>
  </si>
  <si>
    <t>130103NEGRO230</t>
  </si>
  <si>
    <t>7500421736449</t>
  </si>
  <si>
    <t>BOTIN MUJER FRANCIS 130103NEGRO</t>
  </si>
  <si>
    <t>103504NEGRO250</t>
  </si>
  <si>
    <t>7500421439050</t>
  </si>
  <si>
    <t>ZAPATILLA MUJER JESSY 103504NEGRO</t>
  </si>
  <si>
    <t>410904NEGRO270</t>
  </si>
  <si>
    <t>7500421582572</t>
  </si>
  <si>
    <t>BOTIN HOMBRE KLIMBER 410904NEGRO</t>
  </si>
  <si>
    <t>125606NEGRO240</t>
  </si>
  <si>
    <t>7500421764305</t>
  </si>
  <si>
    <t>ZAPATILLA MUJER ASHLEY 125606NEGRO</t>
  </si>
  <si>
    <t>130004NEGRO250</t>
  </si>
  <si>
    <t>7500421712580</t>
  </si>
  <si>
    <t>BOTIN MUJER RAISSA 130004NEGRO</t>
  </si>
  <si>
    <t>130603NEGRO220</t>
  </si>
  <si>
    <t>7500421738924</t>
  </si>
  <si>
    <t>104821DARKTAN230</t>
  </si>
  <si>
    <t>7500421746233</t>
  </si>
  <si>
    <t>127402HUESO250</t>
  </si>
  <si>
    <t>7500421599150</t>
  </si>
  <si>
    <t>402516TAN260</t>
  </si>
  <si>
    <t>7500421578070</t>
  </si>
  <si>
    <t>418502NEGRO280</t>
  </si>
  <si>
    <t>7500421768433</t>
  </si>
  <si>
    <t>124904TARO240</t>
  </si>
  <si>
    <t>7500421750131</t>
  </si>
  <si>
    <t>124904TARO220</t>
  </si>
  <si>
    <t>7500421750094</t>
  </si>
  <si>
    <t>51727AZUL240</t>
  </si>
  <si>
    <t>7500421721858</t>
  </si>
  <si>
    <t>110102GRIS270</t>
  </si>
  <si>
    <t>7500421465806</t>
  </si>
  <si>
    <t>ZAPATILLA MUJER AUDREY 110102GRIS</t>
  </si>
  <si>
    <t>404604NEGRO280</t>
  </si>
  <si>
    <t>7500421426678</t>
  </si>
  <si>
    <t>105122NEGRO230</t>
  </si>
  <si>
    <t>7500421858790</t>
  </si>
  <si>
    <t>ZAPATILLA MUJER CASIOPEA 105122NEGRO</t>
  </si>
  <si>
    <t>104501VIBORACAFE230</t>
  </si>
  <si>
    <t>7500421550366</t>
  </si>
  <si>
    <t>45235CAFE240</t>
  </si>
  <si>
    <t>7500421765296</t>
  </si>
  <si>
    <t>BOTIN MUJER YULISA 45235CAFE</t>
  </si>
  <si>
    <t>130603NEGRO230</t>
  </si>
  <si>
    <t>7500421738948</t>
  </si>
  <si>
    <t>119701NEGRO270</t>
  </si>
  <si>
    <t>7500421511534</t>
  </si>
  <si>
    <t>2360342IVORYCOMB270</t>
  </si>
  <si>
    <t>4064195084401</t>
  </si>
  <si>
    <t>ZAPATILLA MUJER 2360342IVORYCOMB</t>
  </si>
  <si>
    <t>129702NEGRO240</t>
  </si>
  <si>
    <t>7500421692103</t>
  </si>
  <si>
    <t>ZAPATILLA MUJER LUCENA 129702NEGRO</t>
  </si>
  <si>
    <t>119705NEGRO250</t>
  </si>
  <si>
    <t>7500421606537</t>
  </si>
  <si>
    <t>119706NEGRO260</t>
  </si>
  <si>
    <t>7500421606445</t>
  </si>
  <si>
    <t>107601BRANDYMKP230</t>
  </si>
  <si>
    <t>7500421581674</t>
  </si>
  <si>
    <t>ZAPATILLA MUJER BETH 107601BRANDYMKP</t>
  </si>
  <si>
    <t>48330NEGRO270</t>
  </si>
  <si>
    <t>7500421468111</t>
  </si>
  <si>
    <t>104519NUDE270</t>
  </si>
  <si>
    <t>7500421845837</t>
  </si>
  <si>
    <t>ZAPATO MUJER IDRIS 104519NUDE</t>
  </si>
  <si>
    <t>25913NEGRO230</t>
  </si>
  <si>
    <t>7500421415832</t>
  </si>
  <si>
    <t>401002TAN290</t>
  </si>
  <si>
    <t>7500421573983</t>
  </si>
  <si>
    <t>BOTIN HOMBRE RANDALL 401002TAN</t>
  </si>
  <si>
    <t>RANDALL</t>
  </si>
  <si>
    <t>134501ALGODON240</t>
  </si>
  <si>
    <t>7500421856130</t>
  </si>
  <si>
    <t>104817NEGRO240</t>
  </si>
  <si>
    <t>7500421563052</t>
  </si>
  <si>
    <t>ZAPATO MUJER CATALEYA 104817NEGRO</t>
  </si>
  <si>
    <t>109403CHAROLAZUL230</t>
  </si>
  <si>
    <t>7500421725719</t>
  </si>
  <si>
    <t>417501AZUL260</t>
  </si>
  <si>
    <t>7500421702833</t>
  </si>
  <si>
    <t>ZAPATILLA HOMBRE CARDIFF 417501AZUL</t>
  </si>
  <si>
    <t>137503NEGRO230</t>
  </si>
  <si>
    <t>7500421963302</t>
  </si>
  <si>
    <t>ZAPATO MUJER ANNETTE 137503NEGRO</t>
  </si>
  <si>
    <t>ANNETTE</t>
  </si>
  <si>
    <t>2320144NEGRO240</t>
  </si>
  <si>
    <t>4064198651426</t>
  </si>
  <si>
    <t>ZAPATO MUJER 2320144NEGRO</t>
  </si>
  <si>
    <t>131501BURGUNDY250</t>
  </si>
  <si>
    <t>7500421925270</t>
  </si>
  <si>
    <t>ZAPATILLA MUJER SALUMA 131501BURGUNDY</t>
  </si>
  <si>
    <t>132601CHESTNUT250</t>
  </si>
  <si>
    <t>7500421778920</t>
  </si>
  <si>
    <t>2372742OROROSACOMB250</t>
  </si>
  <si>
    <t>4064199556362</t>
  </si>
  <si>
    <t>ZAPATILLA MUJER 2372742OROROSACOMB</t>
  </si>
  <si>
    <t>414904AZUL270</t>
  </si>
  <si>
    <t>7500421600108</t>
  </si>
  <si>
    <t>BOTIN HOMBRE ROOK 414904AZUL</t>
  </si>
  <si>
    <t>407502NEGRO250</t>
  </si>
  <si>
    <t>7500421499979</t>
  </si>
  <si>
    <t>410904CHOCOLATE280</t>
  </si>
  <si>
    <t>7500421582374</t>
  </si>
  <si>
    <t>BOTIN HOMBRE KLIMBER 410904CHOCOLATE</t>
  </si>
  <si>
    <t>402518CHOCOLATE280</t>
  </si>
  <si>
    <t>7500421594575</t>
  </si>
  <si>
    <t>48302NEGRO240</t>
  </si>
  <si>
    <t>7501153647669</t>
  </si>
  <si>
    <t>ZAPATO MUJER OFELIA 48302NEGRO</t>
  </si>
  <si>
    <t>106414CAMEL240</t>
  </si>
  <si>
    <t>7500421627167</t>
  </si>
  <si>
    <t>SANDALIA MUJER CELINE 106414CAMEL</t>
  </si>
  <si>
    <t>CELINE</t>
  </si>
  <si>
    <t>410904NEGRO280</t>
  </si>
  <si>
    <t>7500421582596</t>
  </si>
  <si>
    <t>135202NEGRO240</t>
  </si>
  <si>
    <t>7500421925805</t>
  </si>
  <si>
    <t>ZAPATILLA MUJER BRERA 135202NEGRO</t>
  </si>
  <si>
    <t>102016OPORTO240</t>
  </si>
  <si>
    <t>7500421765739</t>
  </si>
  <si>
    <t>BOTIN MUJER TRAVIATA 102016OPORTO</t>
  </si>
  <si>
    <t>110303OPORTO230</t>
  </si>
  <si>
    <t>7500421482858</t>
  </si>
  <si>
    <t>119801OPORTO250</t>
  </si>
  <si>
    <t>7500421527276</t>
  </si>
  <si>
    <t>21/04/2026</t>
  </si>
  <si>
    <t>417705NEGRO280</t>
  </si>
  <si>
    <t>7500421760543</t>
  </si>
  <si>
    <t>51727TAUPE260</t>
  </si>
  <si>
    <t>7500421721780</t>
  </si>
  <si>
    <t>ZAPATO MUJER LIBRA 51727TAUPE</t>
  </si>
  <si>
    <t>37822NEGRO270</t>
  </si>
  <si>
    <t>7500421749975</t>
  </si>
  <si>
    <t>134703WHISKY250</t>
  </si>
  <si>
    <t>7500421866757</t>
  </si>
  <si>
    <t>ZAPATILLA MUJER EILEEN 134703WHISKY</t>
  </si>
  <si>
    <t>EILEEN</t>
  </si>
  <si>
    <t>2513345NEGRO255</t>
  </si>
  <si>
    <t>4064199762237</t>
  </si>
  <si>
    <t>BOTIN MUJER 2513345NEGRO</t>
  </si>
  <si>
    <t>702401AZUL300</t>
  </si>
  <si>
    <t>7506484100944</t>
  </si>
  <si>
    <t>CRE0439NEGROUNIT</t>
  </si>
  <si>
    <t>7500421890967</t>
  </si>
  <si>
    <t>CREMA AUTOBRILLANTE CRE0439 NEGRO</t>
  </si>
  <si>
    <t>45231TAN250</t>
  </si>
  <si>
    <t>7500421315002</t>
  </si>
  <si>
    <t>BOTA MUJER YULISA 45231TAN</t>
  </si>
  <si>
    <t>101908CAFE250</t>
  </si>
  <si>
    <t>7500421486306</t>
  </si>
  <si>
    <t>ZAPATO MUJER AMELIE 101908CAFE</t>
  </si>
  <si>
    <t>45231NEGRO270</t>
  </si>
  <si>
    <t>7500421591369</t>
  </si>
  <si>
    <t>129604ARENA250</t>
  </si>
  <si>
    <t>7500421746493</t>
  </si>
  <si>
    <t>BOTIN MUJER VIANA 129604ARENA</t>
  </si>
  <si>
    <t>118911NEGRO230</t>
  </si>
  <si>
    <t>7500421616659</t>
  </si>
  <si>
    <t>BOTA MUJER FLAVIA 118911NEGRO</t>
  </si>
  <si>
    <t>130604SHEDRON230</t>
  </si>
  <si>
    <t>7500421739051</t>
  </si>
  <si>
    <t>110407OPORTO240</t>
  </si>
  <si>
    <t>7500421594339</t>
  </si>
  <si>
    <t>BOTIN MUJER RENATA 110407OPORTO</t>
  </si>
  <si>
    <t>417501BEIGE300</t>
  </si>
  <si>
    <t>7500421702697</t>
  </si>
  <si>
    <t>ZAPATILLA HOMBRE CARDIFF 417501BEIGE</t>
  </si>
  <si>
    <t>134702ALGODON240</t>
  </si>
  <si>
    <t>7500421856901</t>
  </si>
  <si>
    <t>ZAPATILLA MUJER EILEEN 134702ALGODON</t>
  </si>
  <si>
    <t>136602TAN240</t>
  </si>
  <si>
    <t>7500421973448</t>
  </si>
  <si>
    <t>ZAPATILLA MUJER HELINA 136602TAN</t>
  </si>
  <si>
    <t>102015BLANCO230</t>
  </si>
  <si>
    <t>7500421680797</t>
  </si>
  <si>
    <t>ZAPATO MUJER TRAVIATA 102015BLANCO</t>
  </si>
  <si>
    <t>404601NEGRO290</t>
  </si>
  <si>
    <t>7500421421796</t>
  </si>
  <si>
    <t>22/04/2026</t>
  </si>
  <si>
    <t>130201NEGRO250</t>
  </si>
  <si>
    <t>7500421751244</t>
  </si>
  <si>
    <t>119803NEGRO260</t>
  </si>
  <si>
    <t>7500421545690</t>
  </si>
  <si>
    <t>ZAPATILLA MUJER ALISHA 119803NEGRO</t>
  </si>
  <si>
    <t>125901AVELLANA260</t>
  </si>
  <si>
    <t>7500421561645</t>
  </si>
  <si>
    <t>104821DARKTAN250</t>
  </si>
  <si>
    <t>7500421746271</t>
  </si>
  <si>
    <t>126712NEGRO230</t>
  </si>
  <si>
    <t>7500421749234</t>
  </si>
  <si>
    <t>404604SHEDRON300</t>
  </si>
  <si>
    <t>7500421426470</t>
  </si>
  <si>
    <t>134503ALGODON230</t>
  </si>
  <si>
    <t>7500421856222</t>
  </si>
  <si>
    <t>ZAPATILLA MUJER MILAN 134503ALGODON</t>
  </si>
  <si>
    <t>48330NEGRO260</t>
  </si>
  <si>
    <t>7500421468098</t>
  </si>
  <si>
    <t>117207TAN270</t>
  </si>
  <si>
    <t>7500421547472</t>
  </si>
  <si>
    <t>130602TAN240</t>
  </si>
  <si>
    <t>7500421745595</t>
  </si>
  <si>
    <t>127402NEGRO250</t>
  </si>
  <si>
    <t>7500421607589</t>
  </si>
  <si>
    <t>BOTIN MUJER MANDY 127402NEGRO</t>
  </si>
  <si>
    <t>132301CHESTNUT225</t>
  </si>
  <si>
    <t>7500421778418</t>
  </si>
  <si>
    <t>BOTIN MUJER AMADEA 132301CHESTNUT</t>
  </si>
  <si>
    <t>401001DARKTAN290</t>
  </si>
  <si>
    <t>7500421423530</t>
  </si>
  <si>
    <t>ZAPATO HOMBRE RANDALL 401001DARK TAN</t>
  </si>
  <si>
    <t>404606NEGRO270</t>
  </si>
  <si>
    <t>7500421518984</t>
  </si>
  <si>
    <t>BOTIN HOMBRE DINAMO 404606NEGRO</t>
  </si>
  <si>
    <t>104519ROJO230</t>
  </si>
  <si>
    <t>7500421845646</t>
  </si>
  <si>
    <t>ZAPATO MUJER IDRIS 104519ROJO</t>
  </si>
  <si>
    <t>109220CAMEL250</t>
  </si>
  <si>
    <t>7500421574218</t>
  </si>
  <si>
    <t>135201GRIS240</t>
  </si>
  <si>
    <t>7500421880326</t>
  </si>
  <si>
    <t>ZAPATILLA MUJER BRERA 135201GRIS</t>
  </si>
  <si>
    <t>18131NEGRO240</t>
  </si>
  <si>
    <t>7500421590911</t>
  </si>
  <si>
    <t>BOTIN MUJER KARIME 18131NEGRO</t>
  </si>
  <si>
    <t>103504NEGRO220</t>
  </si>
  <si>
    <t>7500421438992</t>
  </si>
  <si>
    <t>412408NEGRO270</t>
  </si>
  <si>
    <t>7500421656303</t>
  </si>
  <si>
    <t>ZAPATILLA HOMBRE CRETA 412408NEGRO</t>
  </si>
  <si>
    <t>125901AVELLANA250</t>
  </si>
  <si>
    <t>7500421561621</t>
  </si>
  <si>
    <t>124904AZUL240</t>
  </si>
  <si>
    <t>7500421750025</t>
  </si>
  <si>
    <t>ZAPATILLA MUJER NAMI 124904AZUL</t>
  </si>
  <si>
    <t>23/04/2026</t>
  </si>
  <si>
    <t>420703TAUPE270</t>
  </si>
  <si>
    <t>7500421928653</t>
  </si>
  <si>
    <t>45606CAFE270</t>
  </si>
  <si>
    <t>7500421400425</t>
  </si>
  <si>
    <t>ZAPATO MUJER CASTANA 45606CAFE</t>
  </si>
  <si>
    <t>45602NEGRO250</t>
  </si>
  <si>
    <t>7500421283486</t>
  </si>
  <si>
    <t>ZAPATO MUJER CASTAÑA 45602NEGRO</t>
  </si>
  <si>
    <t>412405NEGRO270</t>
  </si>
  <si>
    <t>7500421584897</t>
  </si>
  <si>
    <t>104814NEGRO250</t>
  </si>
  <si>
    <t>7500421513897</t>
  </si>
  <si>
    <t>412408TAN280</t>
  </si>
  <si>
    <t>7500421677964</t>
  </si>
  <si>
    <t>119801OPORTO270</t>
  </si>
  <si>
    <t>7500421527313</t>
  </si>
  <si>
    <t>116805NEGRO230</t>
  </si>
  <si>
    <t>7500421579336</t>
  </si>
  <si>
    <t>BOTIN MUJER LILITH 116805NEGRO</t>
  </si>
  <si>
    <t>119303DORADO240</t>
  </si>
  <si>
    <t>7500421765951</t>
  </si>
  <si>
    <t>104931NEGRO270</t>
  </si>
  <si>
    <t>7500421926307</t>
  </si>
  <si>
    <t>ZAPATILLA MUJER GRECYA 104931NEGRO</t>
  </si>
  <si>
    <t>406703CHOCOLATE300</t>
  </si>
  <si>
    <t>7500421433942</t>
  </si>
  <si>
    <t>ZAPATO HOMBRE CEBU 406703CHOCOLATE</t>
  </si>
  <si>
    <t>CEBU</t>
  </si>
  <si>
    <t>118703CHOCOLATE270</t>
  </si>
  <si>
    <t>7500421531938</t>
  </si>
  <si>
    <t>138601CAFE240</t>
  </si>
  <si>
    <t>7500421986967</t>
  </si>
  <si>
    <t>ZAPATILLA MUJER ATLA 138601CAFE</t>
  </si>
  <si>
    <t>ATLA</t>
  </si>
  <si>
    <t>37822NEGRO240</t>
  </si>
  <si>
    <t>7500421749913</t>
  </si>
  <si>
    <t>417401CAFE250</t>
  </si>
  <si>
    <t>7500421709344</t>
  </si>
  <si>
    <t>119701NEGRO220</t>
  </si>
  <si>
    <t>7500421511435</t>
  </si>
  <si>
    <t>119607BEIGE250</t>
  </si>
  <si>
    <t>7500421480854</t>
  </si>
  <si>
    <t>124604BEIGE250</t>
  </si>
  <si>
    <t>7500421481073</t>
  </si>
  <si>
    <t>125403MARINO250</t>
  </si>
  <si>
    <t>7500421566626</t>
  </si>
  <si>
    <t>135201BURGUNDY260</t>
  </si>
  <si>
    <t>7500421880142</t>
  </si>
  <si>
    <t>101001AZUL240</t>
  </si>
  <si>
    <t>7500421372982</t>
  </si>
  <si>
    <t>ZAPATILLA MUJER ALANIS 101001AZUL</t>
  </si>
  <si>
    <t>132501COGNAC270</t>
  </si>
  <si>
    <t>7500421778876</t>
  </si>
  <si>
    <t>BOTIN MUJER LAVI 132501COGNAC</t>
  </si>
  <si>
    <t>404604NEGRO290</t>
  </si>
  <si>
    <t>7500421426692</t>
  </si>
  <si>
    <t>24/04/2026</t>
  </si>
  <si>
    <t>137304NEGRO260</t>
  </si>
  <si>
    <t>7500421955956</t>
  </si>
  <si>
    <t>BOTIN MUJER MERCEDES 137304NEGRO</t>
  </si>
  <si>
    <t>MERCEDES</t>
  </si>
  <si>
    <t>100227CARMIN250</t>
  </si>
  <si>
    <t>7500421807514</t>
  </si>
  <si>
    <t>SANDALIA MUJER PEONIA 100227CARMIN</t>
  </si>
  <si>
    <t>135301TAN250</t>
  </si>
  <si>
    <t>7500421882733</t>
  </si>
  <si>
    <t>SANDALIA MUJER STEPHANY 135301TAN</t>
  </si>
  <si>
    <t>104817NEGRO230</t>
  </si>
  <si>
    <t>7500421563038</t>
  </si>
  <si>
    <t>59305NEGRO290</t>
  </si>
  <si>
    <t>7500421300824</t>
  </si>
  <si>
    <t>BOTIN HOMBRE QUILMES 59305NEGRO</t>
  </si>
  <si>
    <t>25913CAFE230</t>
  </si>
  <si>
    <t>7500421415948</t>
  </si>
  <si>
    <t>416101NEGRO290</t>
  </si>
  <si>
    <t>7500421596395</t>
  </si>
  <si>
    <t>BOTIN HOMBRE FABRA 416101NEGRO</t>
  </si>
  <si>
    <t>124904AZUL250</t>
  </si>
  <si>
    <t>7500421750049</t>
  </si>
  <si>
    <t>130103NEGRO240</t>
  </si>
  <si>
    <t>7500421736463</t>
  </si>
  <si>
    <t>118910NEGRO260</t>
  </si>
  <si>
    <t>7500421600955</t>
  </si>
  <si>
    <t>119901NEGRO220</t>
  </si>
  <si>
    <t>7500421594964</t>
  </si>
  <si>
    <t>MOCASIN MUJER KIRSTEN 119901NEGRO</t>
  </si>
  <si>
    <t>127001NEGRO230</t>
  </si>
  <si>
    <t>7500421576502</t>
  </si>
  <si>
    <t>ZAPATO MUJER STEPHIE 127001NEGRO</t>
  </si>
  <si>
    <t>STEPHIE</t>
  </si>
  <si>
    <t>129604ARENA240</t>
  </si>
  <si>
    <t>7500421746479</t>
  </si>
  <si>
    <t>137503NEGRO240</t>
  </si>
  <si>
    <t>7500421963326</t>
  </si>
  <si>
    <t>702701NEGRO270</t>
  </si>
  <si>
    <t>7506484103464</t>
  </si>
  <si>
    <t>ZAPATO HOMBRE ORSON  702701NEGRO</t>
  </si>
  <si>
    <t>ORSON</t>
  </si>
  <si>
    <t>104919NEGRO230</t>
  </si>
  <si>
    <t>7500421773659</t>
  </si>
  <si>
    <t>ZAPATILLA MUJER GRECYA 104919NEGRO</t>
  </si>
  <si>
    <t>409905NEGRO290</t>
  </si>
  <si>
    <t>7500421502815</t>
  </si>
  <si>
    <t>ZAPATO HOMBRE RIDER 409905NEGRO</t>
  </si>
  <si>
    <t>27/04/2026</t>
  </si>
  <si>
    <t>125902TAN250</t>
  </si>
  <si>
    <t>7500421601266</t>
  </si>
  <si>
    <t>415505TAUPE250</t>
  </si>
  <si>
    <t>7500421860526</t>
  </si>
  <si>
    <t>ZAPATILLA HOMBRE BARAK 415505TAUPE</t>
  </si>
  <si>
    <t>130801AVENA230</t>
  </si>
  <si>
    <t>7500421752630</t>
  </si>
  <si>
    <t>125401NEGRO230</t>
  </si>
  <si>
    <t>7500421594186</t>
  </si>
  <si>
    <t>422601BLANCO280</t>
  </si>
  <si>
    <t>7500421984666</t>
  </si>
  <si>
    <t>108605BLANCO220</t>
  </si>
  <si>
    <t>7500421491416</t>
  </si>
  <si>
    <t>ZAPATO MUJER DREAMS 108605BLANCO</t>
  </si>
  <si>
    <t>DREAMS</t>
  </si>
  <si>
    <t>124404NEGRO270</t>
  </si>
  <si>
    <t>7500421545386</t>
  </si>
  <si>
    <t>ZAPATO MUJER PIPA 124404NEGRO</t>
  </si>
  <si>
    <t>130402NEGRO240</t>
  </si>
  <si>
    <t>7500421737972</t>
  </si>
  <si>
    <t>119704BLACK240</t>
  </si>
  <si>
    <t>7500421714256</t>
  </si>
  <si>
    <t>ZAPATO MUJER MARIONE 119704BLACK</t>
  </si>
  <si>
    <t>119705NEGRO230</t>
  </si>
  <si>
    <t>7500421606490</t>
  </si>
  <si>
    <t>137601NEGRO230</t>
  </si>
  <si>
    <t>7500421956335</t>
  </si>
  <si>
    <t>ZAPATO MUJER HALIA 137601NEGRO</t>
  </si>
  <si>
    <t>HALIA</t>
  </si>
  <si>
    <t>409405NEGRO260</t>
  </si>
  <si>
    <t>7500421551905</t>
  </si>
  <si>
    <t>415501GRIS260</t>
  </si>
  <si>
    <t>7500421702390</t>
  </si>
  <si>
    <t>ZAPATILLA HOMBRE BARAK 415501GRIS</t>
  </si>
  <si>
    <t>125910NEGRO240</t>
  </si>
  <si>
    <t>7500421774779</t>
  </si>
  <si>
    <t>BOTIN MUJER UMA 125910NEGRO</t>
  </si>
  <si>
    <t>407801TAN280</t>
  </si>
  <si>
    <t>7500421274828</t>
  </si>
  <si>
    <t>ZAPATO HOMBRE COOK 407801TAN</t>
  </si>
  <si>
    <t>COOK</t>
  </si>
  <si>
    <t>2502641NEGRO250</t>
  </si>
  <si>
    <t>4064197725173</t>
  </si>
  <si>
    <t>BOTIN MUJER 2502641NEGRO</t>
  </si>
  <si>
    <t>409405TAN250</t>
  </si>
  <si>
    <t>7500421552001</t>
  </si>
  <si>
    <t>ZAPATO HOMBRE TITANIUM 409405TAN</t>
  </si>
  <si>
    <t>412306TAN250</t>
  </si>
  <si>
    <t>7500421275764</t>
  </si>
  <si>
    <t>18131NEGRO270</t>
  </si>
  <si>
    <t>7500421590973</t>
  </si>
  <si>
    <t>132401COGNAC225</t>
  </si>
  <si>
    <t>7500421778739</t>
  </si>
  <si>
    <t>119608NEGRO250</t>
  </si>
  <si>
    <t>7500421565353</t>
  </si>
  <si>
    <t>BOTIN MUJER DAMARIS 119608NEGRO</t>
  </si>
  <si>
    <t>127204NEGRO260</t>
  </si>
  <si>
    <t>7500421766088</t>
  </si>
  <si>
    <t>413014TAUPE280</t>
  </si>
  <si>
    <t>7500421695920</t>
  </si>
  <si>
    <t>110421TABACO250</t>
  </si>
  <si>
    <t>7500421747155</t>
  </si>
  <si>
    <t>124401ALGODON240</t>
  </si>
  <si>
    <t>7500421670415</t>
  </si>
  <si>
    <t>412408TAN270</t>
  </si>
  <si>
    <t>7500421677940</t>
  </si>
  <si>
    <t>410904NEGRO260</t>
  </si>
  <si>
    <t>7500421582558</t>
  </si>
  <si>
    <t>59305NEGRO300</t>
  </si>
  <si>
    <t>7500421300848</t>
  </si>
  <si>
    <t>415505TAUPE280</t>
  </si>
  <si>
    <t>7500421860588</t>
  </si>
  <si>
    <t>131502TAUPE260</t>
  </si>
  <si>
    <t>7500421859513</t>
  </si>
  <si>
    <t>ZAPATILLA MUJER SALUMA 131502TAUPE</t>
  </si>
  <si>
    <t>402518NEGRO270</t>
  </si>
  <si>
    <t>7500421577974</t>
  </si>
  <si>
    <t>BOTIN HOMBRE GASLY 402518NEGRO</t>
  </si>
  <si>
    <t>400014AZUL280</t>
  </si>
  <si>
    <t>7500421502570</t>
  </si>
  <si>
    <t>SANDALIA HOMBRE ODIN 400014AZUL</t>
  </si>
  <si>
    <t>406402TAN290</t>
  </si>
  <si>
    <t>7500421434642</t>
  </si>
  <si>
    <t>ZAPATO HOMBRE BALI 406402TAN</t>
  </si>
  <si>
    <t>417703SHEDRON290</t>
  </si>
  <si>
    <t>7500421674116</t>
  </si>
  <si>
    <t>102920BEIGE250</t>
  </si>
  <si>
    <t>7500421535004</t>
  </si>
  <si>
    <t>SANDALIA MUJER LORY 102920BEIGE</t>
  </si>
  <si>
    <t>LORY</t>
  </si>
  <si>
    <t>137304NEGRO240</t>
  </si>
  <si>
    <t>7500421955918</t>
  </si>
  <si>
    <t>125910TAN260</t>
  </si>
  <si>
    <t>7500421777428</t>
  </si>
  <si>
    <t>100216AZUL230</t>
  </si>
  <si>
    <t>7500421490884</t>
  </si>
  <si>
    <t>SANDALIA MUJER PEONIA 100216AZUL</t>
  </si>
  <si>
    <t>130602TAN250</t>
  </si>
  <si>
    <t>7500421745618</t>
  </si>
  <si>
    <t>116802NAVY260</t>
  </si>
  <si>
    <t>7500421751480</t>
  </si>
  <si>
    <t>28206HUESOMKP240</t>
  </si>
  <si>
    <t>7500421643709</t>
  </si>
  <si>
    <t>ZAPATILLA MUJER LORETA 28206HUESOMKP</t>
  </si>
  <si>
    <t>LORETA</t>
  </si>
  <si>
    <t>137808VINO260</t>
  </si>
  <si>
    <t>7500421996201</t>
  </si>
  <si>
    <t>BOTIN MUJER DARIELA 137808VINO</t>
  </si>
  <si>
    <t>137105NEGRO250</t>
  </si>
  <si>
    <t>7500421961063</t>
  </si>
  <si>
    <t>BOTIN MUJER CARLINE 137105NEGRO</t>
  </si>
  <si>
    <t>CARLINE</t>
  </si>
  <si>
    <t>404606TAN250</t>
  </si>
  <si>
    <t>7500421515051</t>
  </si>
  <si>
    <t>BOTIN HOMBRE DINAMO 404606TAN</t>
  </si>
  <si>
    <t>8372644MOCCALEOPARDO250</t>
  </si>
  <si>
    <t>4064225924295</t>
  </si>
  <si>
    <t>ZAPATILLA MUJER 8372644MOCCALEOPARDO</t>
  </si>
  <si>
    <t>113313AZUL260</t>
  </si>
  <si>
    <t>7500421537220</t>
  </si>
  <si>
    <t>SANDALIA MUJER EMILY 113313AZUL</t>
  </si>
  <si>
    <t>EMILY</t>
  </si>
  <si>
    <t>420703TAUPE300</t>
  </si>
  <si>
    <t>7500421928714</t>
  </si>
  <si>
    <t>417701NEGRO270</t>
  </si>
  <si>
    <t>7500421674406</t>
  </si>
  <si>
    <t>ZAPATO HOMBRE RENAN 417701NEGRO</t>
  </si>
  <si>
    <t>124401MARINO260</t>
  </si>
  <si>
    <t>7500421670347</t>
  </si>
  <si>
    <t>104512BEIGE220</t>
  </si>
  <si>
    <t>7500421314104</t>
  </si>
  <si>
    <t>134702NEGRO270</t>
  </si>
  <si>
    <t>7500421866573</t>
  </si>
  <si>
    <t>ZAPATILLA MUJER EILEEN 134702NEGRO</t>
  </si>
  <si>
    <t>28/04/2026</t>
  </si>
  <si>
    <t>135201DENIM230</t>
  </si>
  <si>
    <t>7500421880197</t>
  </si>
  <si>
    <t>ZAPATILLA MUJER BRERA 135201DENIM</t>
  </si>
  <si>
    <t>25913BROWN260</t>
  </si>
  <si>
    <t>7500421936146</t>
  </si>
  <si>
    <t>130403NEGRO260</t>
  </si>
  <si>
    <t>7500421737903</t>
  </si>
  <si>
    <t>119803TAN220</t>
  </si>
  <si>
    <t>7500421545508</t>
  </si>
  <si>
    <t>ZAPATILLA MUJER ALISHA 119803TAN</t>
  </si>
  <si>
    <t>120201NEGRO220</t>
  </si>
  <si>
    <t>7500421511763</t>
  </si>
  <si>
    <t>ZAPATILLA MUJER NIKIA 120201NEGRO</t>
  </si>
  <si>
    <t>NIKIA</t>
  </si>
  <si>
    <t>130610VINO240</t>
  </si>
  <si>
    <t>7500421970188</t>
  </si>
  <si>
    <t>BOOTIE MUJER MARIELA 130610VINO</t>
  </si>
  <si>
    <t>104517NEGRO260</t>
  </si>
  <si>
    <t>7500421730614</t>
  </si>
  <si>
    <t>8370742MERLOT240</t>
  </si>
  <si>
    <t>4064225834709</t>
  </si>
  <si>
    <t>130104NEGRO240</t>
  </si>
  <si>
    <t>7500421766804</t>
  </si>
  <si>
    <t>125901AVELLANA270</t>
  </si>
  <si>
    <t>7500421561669</t>
  </si>
  <si>
    <t>409903NEGRO250</t>
  </si>
  <si>
    <t>7500421498118</t>
  </si>
  <si>
    <t>131904OPORTO220</t>
  </si>
  <si>
    <t>7500421763056</t>
  </si>
  <si>
    <t>BOTIN MUJER ANTICA 131904OPORTO</t>
  </si>
  <si>
    <t>705002NEGRO280</t>
  </si>
  <si>
    <t>7506484117690</t>
  </si>
  <si>
    <t>BOTIN HOMBRE SABINES 705002NEGRO</t>
  </si>
  <si>
    <t>SABINES</t>
  </si>
  <si>
    <t>130403NEGRO230</t>
  </si>
  <si>
    <t>7500421737842</t>
  </si>
  <si>
    <t>48330WHISKY220</t>
  </si>
  <si>
    <t>7500421430859</t>
  </si>
  <si>
    <t>413201NEGRO270</t>
  </si>
  <si>
    <t>7500421551561</t>
  </si>
  <si>
    <t>MOCASIN HOMBRE JUKO 413201NEGRO</t>
  </si>
  <si>
    <t>130103NEGRO250</t>
  </si>
  <si>
    <t>7500421736487</t>
  </si>
  <si>
    <t>92105OCRE260</t>
  </si>
  <si>
    <t>7500421303528</t>
  </si>
  <si>
    <t>BOTIN HOMBRE KILLIAN 92105OCRE</t>
  </si>
  <si>
    <t>KILLIAN</t>
  </si>
  <si>
    <t>2373241NEGROCOMB240</t>
  </si>
  <si>
    <t>4064195217939</t>
  </si>
  <si>
    <t>ZAPATILLA MUJER 2373241NEGROCOMB</t>
  </si>
  <si>
    <t>127403NEGRO220</t>
  </si>
  <si>
    <t>7500421607633</t>
  </si>
  <si>
    <t>131606BLANCO240</t>
  </si>
  <si>
    <t>7500421982778</t>
  </si>
  <si>
    <t>BOTIN MUJER INNA 131606BLANCO</t>
  </si>
  <si>
    <t>29/04/2026</t>
  </si>
  <si>
    <t>130602TAN260</t>
  </si>
  <si>
    <t>7500421745632</t>
  </si>
  <si>
    <t>45602NEGRO260</t>
  </si>
  <si>
    <t>7500421283509</t>
  </si>
  <si>
    <t>417703SHEDRON250</t>
  </si>
  <si>
    <t>7500421674031</t>
  </si>
  <si>
    <t>102002NEGRO240</t>
  </si>
  <si>
    <t>7500421359907</t>
  </si>
  <si>
    <t>131501BEIGE260</t>
  </si>
  <si>
    <t>7500421753101</t>
  </si>
  <si>
    <t>ZAPATILLA MUJER SALUMA 131501BEIGE</t>
  </si>
  <si>
    <t>131503NEGRO260</t>
  </si>
  <si>
    <t>7500421983034</t>
  </si>
  <si>
    <t>ZAPATILLA MUJER SALUMA 131503NEGRO</t>
  </si>
  <si>
    <t>132501COGNAC250</t>
  </si>
  <si>
    <t>7500421778845</t>
  </si>
  <si>
    <t>37822NEGRO230</t>
  </si>
  <si>
    <t>7500421749890</t>
  </si>
  <si>
    <t>45235NEGRO230</t>
  </si>
  <si>
    <t>7500421765494</t>
  </si>
  <si>
    <t>132501BLACK240</t>
  </si>
  <si>
    <t>7500421781234</t>
  </si>
  <si>
    <t>418502NEGRO290</t>
  </si>
  <si>
    <t>7500421768457</t>
  </si>
  <si>
    <t>102921NEGRO250</t>
  </si>
  <si>
    <t>7500421650882</t>
  </si>
  <si>
    <t>SANDALIA MUJER LORY 102921NEGRO</t>
  </si>
  <si>
    <t>130602NEGRO250</t>
  </si>
  <si>
    <t>7500421738764</t>
  </si>
  <si>
    <t>124904TARO250</t>
  </si>
  <si>
    <t>7500421750155</t>
  </si>
  <si>
    <t>101908CAFE230</t>
  </si>
  <si>
    <t>7500421486269</t>
  </si>
  <si>
    <t>131601BLANCO260</t>
  </si>
  <si>
    <t>7500421765111</t>
  </si>
  <si>
    <t>ZAPATILLA MUJER INNA 131601BLANCO</t>
  </si>
  <si>
    <t>137902BLANCO260</t>
  </si>
  <si>
    <t>7500421973912</t>
  </si>
  <si>
    <t>ZAPATILLA MUJER TURAN 137902BLANCO</t>
  </si>
  <si>
    <t>TURAN</t>
  </si>
  <si>
    <t>409906NEGRO280</t>
  </si>
  <si>
    <t>7500421550632</t>
  </si>
  <si>
    <t>30/04/2026</t>
  </si>
  <si>
    <t>2472243MOCCA250</t>
  </si>
  <si>
    <t>4064199476295</t>
  </si>
  <si>
    <t>MOCASIN MUJER 2472243MOCCA</t>
  </si>
  <si>
    <t>407801NEGRO260</t>
  </si>
  <si>
    <t>7500421434222</t>
  </si>
  <si>
    <t>ZAPATO HOMBRE COOK 407801NEGRO</t>
  </si>
  <si>
    <t>135501NEGRO240</t>
  </si>
  <si>
    <t>7500421882931</t>
  </si>
  <si>
    <t>SANDALIA MUJER PIA 135501NEGRO</t>
  </si>
  <si>
    <t>PIA</t>
  </si>
  <si>
    <t>116310NEGRO240</t>
  </si>
  <si>
    <t>7500421546420</t>
  </si>
  <si>
    <t>BALLERINA MUJER MARIE 116310NEGRO</t>
  </si>
  <si>
    <t>2582345MOCCA270</t>
  </si>
  <si>
    <t>4064199906037</t>
  </si>
  <si>
    <t>BOTIN MUJER 2582345MOCCA</t>
  </si>
  <si>
    <t>124401ALGODON250</t>
  </si>
  <si>
    <t>7500421670439</t>
  </si>
  <si>
    <t>45232NEGRO230</t>
  </si>
  <si>
    <t>7500421575482</t>
  </si>
  <si>
    <t>132301BLACK225</t>
  </si>
  <si>
    <t>7500421778234</t>
  </si>
  <si>
    <t>BOTIN MUJER AMADEA 132301BLACK</t>
  </si>
  <si>
    <t>135202AZUL270</t>
  </si>
  <si>
    <t>7500421925751</t>
  </si>
  <si>
    <t>110401NEGRO230</t>
  </si>
  <si>
    <t>7500421466384</t>
  </si>
  <si>
    <t>417402CAFE280</t>
  </si>
  <si>
    <t>7500421709047</t>
  </si>
  <si>
    <t>124401CAFE255</t>
  </si>
  <si>
    <t>7500421558515</t>
  </si>
  <si>
    <t>48303NEGRO250</t>
  </si>
  <si>
    <t>7506193698039</t>
  </si>
  <si>
    <t>ZAPATO MUJER OFELIA 48303NEGRO</t>
  </si>
  <si>
    <t>45231TAN240</t>
  </si>
  <si>
    <t>7500421314982</t>
  </si>
  <si>
    <t>131601BLANCO-PLATA-OROROSA270</t>
  </si>
  <si>
    <t>7500421928387</t>
  </si>
  <si>
    <t>ZAPATILLA MUJER INNA 131601BLANCO-PLATA-OROROSA</t>
  </si>
  <si>
    <t>414907CAFE290</t>
  </si>
  <si>
    <t>7500421658154</t>
  </si>
  <si>
    <t>705702NEGRO260</t>
  </si>
  <si>
    <t>7506484170527</t>
  </si>
  <si>
    <t>ZAPATO HOMBRE PANI 705702NEGRO</t>
  </si>
  <si>
    <t>PANI</t>
  </si>
  <si>
    <t>119801NEGRO250</t>
  </si>
  <si>
    <t>7500421525623</t>
  </si>
  <si>
    <t>ZAPATO MUJER ALISHA 119801NEGRO</t>
  </si>
  <si>
    <t>406409MARRON280</t>
  </si>
  <si>
    <t>7500421683118</t>
  </si>
  <si>
    <t>ZAPATO HOMBRE BALI 406409MARRON</t>
  </si>
  <si>
    <t>FLEXI PLAZA EGANA</t>
  </si>
  <si>
    <t>45717NUEZMKP240</t>
  </si>
  <si>
    <t>7500421581919</t>
  </si>
  <si>
    <t>ZAPATO MUJER GIGI 45717NUEZMKP</t>
  </si>
  <si>
    <t>GIGI</t>
  </si>
  <si>
    <t>NC</t>
  </si>
  <si>
    <t>131501TAUPE250</t>
  </si>
  <si>
    <t>7500277051383</t>
  </si>
  <si>
    <t>ZAPATILLA MUJER SALUMA 131501TAUPE</t>
  </si>
  <si>
    <t>2231843NEGROCHAROL265</t>
  </si>
  <si>
    <t>4064198132369</t>
  </si>
  <si>
    <t>ZAPATO MUJER 2231843NEGROCHAROL</t>
  </si>
  <si>
    <t>2231843NEGROCHAROL270</t>
  </si>
  <si>
    <t>4064198132376</t>
  </si>
  <si>
    <t>131501TAUPE240</t>
  </si>
  <si>
    <t>7500277051369</t>
  </si>
  <si>
    <t>406402NEGRO300</t>
  </si>
  <si>
    <t>7500421432662</t>
  </si>
  <si>
    <t>ZAPATO HOMBRE BALI 406402NEGRO</t>
  </si>
  <si>
    <t>137105DARKTAN230</t>
  </si>
  <si>
    <t>7500421967157</t>
  </si>
  <si>
    <t>BOTIN MUJER CARLINE 137105DARKTAN</t>
  </si>
  <si>
    <t>137105NEGRO230</t>
  </si>
  <si>
    <t>7500421961025</t>
  </si>
  <si>
    <t>116316CARMIN270</t>
  </si>
  <si>
    <t>7500421838426</t>
  </si>
  <si>
    <t>127102BEIGE240</t>
  </si>
  <si>
    <t>7500421609026</t>
  </si>
  <si>
    <t>ZAPATILLA MUJER NAT 127102BEIGE</t>
  </si>
  <si>
    <t>135202ROSA240</t>
  </si>
  <si>
    <t>7500421925911</t>
  </si>
  <si>
    <t>ZAPATILLA MUJER BRERA 135202ROSA</t>
  </si>
  <si>
    <t>134803NEGRO240</t>
  </si>
  <si>
    <t>7500421866955</t>
  </si>
  <si>
    <t>ZAPATO MUJER FENJI 134803NEGRO</t>
  </si>
  <si>
    <t>105123HIELO240</t>
  </si>
  <si>
    <t>7500421927236</t>
  </si>
  <si>
    <t>ZAPATILLA MUJER CASIOPEA 105123HIELO</t>
  </si>
  <si>
    <t>105125BEIGE270</t>
  </si>
  <si>
    <t>7500277050768</t>
  </si>
  <si>
    <t>ZAPATILLA MUJER CASIOPEA 105125BEIGE</t>
  </si>
  <si>
    <t>412801TAN280</t>
  </si>
  <si>
    <t>7500421542286</t>
  </si>
  <si>
    <t>ZAPATO HOMBRE OKAN 412801TAN</t>
  </si>
  <si>
    <t>137902BLANCO250</t>
  </si>
  <si>
    <t>7500421973899</t>
  </si>
  <si>
    <t>2372344OLIVA240</t>
  </si>
  <si>
    <t>4064199645714</t>
  </si>
  <si>
    <t>ZAPATILLA MUJER 2372344OLIVA</t>
  </si>
  <si>
    <t>2502641COGNAC230</t>
  </si>
  <si>
    <t>4064197808395</t>
  </si>
  <si>
    <t>BOTIN MUJER 2502641COGNAC</t>
  </si>
  <si>
    <t>137904NEGRO260</t>
  </si>
  <si>
    <t>7500421963586</t>
  </si>
  <si>
    <t>ZAPATILLA MUJER TURAN 137904NEGRO</t>
  </si>
  <si>
    <t>130009NEGRO250</t>
  </si>
  <si>
    <t>7500421980323</t>
  </si>
  <si>
    <t>BOOTIE MUJER RAISSA 130009NEGRO</t>
  </si>
  <si>
    <t>34928NEGRO240</t>
  </si>
  <si>
    <t>7500421533116</t>
  </si>
  <si>
    <t>SANDALIA MUJER GAIA 34928NEGRO</t>
  </si>
  <si>
    <t>GAIA</t>
  </si>
  <si>
    <t>45606AZUL240</t>
  </si>
  <si>
    <t>7500421579671</t>
  </si>
  <si>
    <t>ZAPATO MUJER CASTAÑA 45606AZUL</t>
  </si>
  <si>
    <t>8371644CAFECOMB255</t>
  </si>
  <si>
    <t>4064225733118</t>
  </si>
  <si>
    <t>ZAPATILLA MUJER 8371644CAFECOMB</t>
  </si>
  <si>
    <t>133901NEGRO240</t>
  </si>
  <si>
    <t>7500421862957</t>
  </si>
  <si>
    <t>ZAPATO MUJER BIMBA 133901NEGRO</t>
  </si>
  <si>
    <t>BIMBA</t>
  </si>
  <si>
    <t>124501NEGRO240</t>
  </si>
  <si>
    <t>7500421610442</t>
  </si>
  <si>
    <t>ZAPATO MUJER JENELLE 124501NEGRO</t>
  </si>
  <si>
    <t>134504TAUPE270</t>
  </si>
  <si>
    <t>7500421933770</t>
  </si>
  <si>
    <t>138601NEGRO240</t>
  </si>
  <si>
    <t>7500421986851</t>
  </si>
  <si>
    <t>ZAPATILLA MUJER ATLA 138601NEGRO</t>
  </si>
  <si>
    <t>130803NEGRO260</t>
  </si>
  <si>
    <t>7500421796276</t>
  </si>
  <si>
    <t>136804CHAROLNEGRO260</t>
  </si>
  <si>
    <t>7500421980125</t>
  </si>
  <si>
    <t>415506DENIM280</t>
  </si>
  <si>
    <t>7500421930106</t>
  </si>
  <si>
    <t>ZAPATILLA HOMBRE BARAK 415506DENIM</t>
  </si>
  <si>
    <t>104932AZUL260</t>
  </si>
  <si>
    <t>7500421967874</t>
  </si>
  <si>
    <t>ZAPATILLA MUJER GRECYA 104932AZUL</t>
  </si>
  <si>
    <t>104932AZUL270</t>
  </si>
  <si>
    <t>7500421967898</t>
  </si>
  <si>
    <t>2502641NEGRO270</t>
  </si>
  <si>
    <t>4064197725203</t>
  </si>
  <si>
    <t>137305NEGRO260</t>
  </si>
  <si>
    <t>7500421977897</t>
  </si>
  <si>
    <t>BOTIN MUJER MERCEDES 137305NEGRO</t>
  </si>
  <si>
    <t>2372344MERLOTCOMB240</t>
  </si>
  <si>
    <t>4064199645431</t>
  </si>
  <si>
    <t>ZAPATILLA MUJER 2372344MERLOTCOMB</t>
  </si>
  <si>
    <t>03/04/2026</t>
  </si>
  <si>
    <t>127102BEIGE260</t>
  </si>
  <si>
    <t>7500421609064</t>
  </si>
  <si>
    <t>2370944IVORY240</t>
  </si>
  <si>
    <t>4064199557765</t>
  </si>
  <si>
    <t>ZAPATILLA MUJER 2370944IVORY</t>
  </si>
  <si>
    <t>419803TAN270</t>
  </si>
  <si>
    <t>7500421845318</t>
  </si>
  <si>
    <t>ZAPATILLA HOMBRE BARD 419803TAN</t>
  </si>
  <si>
    <t>BARD</t>
  </si>
  <si>
    <t>2360342TAUPEGLAM265</t>
  </si>
  <si>
    <t>4064199554917</t>
  </si>
  <si>
    <t>45606CAFE240</t>
  </si>
  <si>
    <t>7500421400364</t>
  </si>
  <si>
    <t>422401NEGRO260</t>
  </si>
  <si>
    <t>7500421984512</t>
  </si>
  <si>
    <t>ZAPATILLA HOMBRE MADDOX 422401NEGRO</t>
  </si>
  <si>
    <t>420401AZUL290</t>
  </si>
  <si>
    <t>7500421885710</t>
  </si>
  <si>
    <t>ZAPATILLA HOMBRE POARCH 420401AZUL</t>
  </si>
  <si>
    <t>POARCH</t>
  </si>
  <si>
    <t>REP0592NEUTROUNIT</t>
  </si>
  <si>
    <t>7500421894132</t>
  </si>
  <si>
    <t>REPELENTE REP0592 NEUTRO</t>
  </si>
  <si>
    <t>2420042COGNAC265</t>
  </si>
  <si>
    <t>4064197995286</t>
  </si>
  <si>
    <t>MOCASIN MUJER 2420042COGNAC</t>
  </si>
  <si>
    <t>2423942NEGROCHAROL265</t>
  </si>
  <si>
    <t>4064199819306</t>
  </si>
  <si>
    <t>MOCASIN MUJER 2423942NEGROCHAROL</t>
  </si>
  <si>
    <t>45606AZUL250</t>
  </si>
  <si>
    <t>7500421579695</t>
  </si>
  <si>
    <t>129201BLANCO230</t>
  </si>
  <si>
    <t>7500421674604</t>
  </si>
  <si>
    <t>ZAPATILLA MUJER BARDI 129201BLANCO</t>
  </si>
  <si>
    <t>BARDI</t>
  </si>
  <si>
    <t>129201NEGRO230</t>
  </si>
  <si>
    <t>7500421674710</t>
  </si>
  <si>
    <t>ZAPATILLA MUJER BARDI 129201NEGRO</t>
  </si>
  <si>
    <t>101912DORADO240</t>
  </si>
  <si>
    <t>7500421791714</t>
  </si>
  <si>
    <t>ZAPATO MUJER AMELIE 101912DORADO</t>
  </si>
  <si>
    <t>04/04/2026</t>
  </si>
  <si>
    <t>101912MARINO240</t>
  </si>
  <si>
    <t>7500421791608</t>
  </si>
  <si>
    <t>ZAPATO MUJER AMELIE 101912MARINO</t>
  </si>
  <si>
    <t>124501AZUL230</t>
  </si>
  <si>
    <t>7500421760062</t>
  </si>
  <si>
    <t>ZAPATO MUJER JENELLE 124501AZUL</t>
  </si>
  <si>
    <t>124501NEGRO230</t>
  </si>
  <si>
    <t>7500421610428</t>
  </si>
  <si>
    <t>130610NEGRO240</t>
  </si>
  <si>
    <t>7500421970072</t>
  </si>
  <si>
    <t>418901HUESO270</t>
  </si>
  <si>
    <t>7500421775875</t>
  </si>
  <si>
    <t>ZAPATILLA HOMBRE COLBY 418901HUESO</t>
  </si>
  <si>
    <t>COLBY</t>
  </si>
  <si>
    <t>412801TAN270</t>
  </si>
  <si>
    <t>7500421542262</t>
  </si>
  <si>
    <t>101912MARINO250</t>
  </si>
  <si>
    <t>7500421791622</t>
  </si>
  <si>
    <t>104806CAFE250</t>
  </si>
  <si>
    <t>7500421461365</t>
  </si>
  <si>
    <t>ZAPATO MUJER CATALEYA 104806CAFE</t>
  </si>
  <si>
    <t>2420042COGNAC240</t>
  </si>
  <si>
    <t>4064197995255</t>
  </si>
  <si>
    <t>2372742OROROSACOMB255</t>
  </si>
  <si>
    <t>4064199556379</t>
  </si>
  <si>
    <t>116810CAFE260</t>
  </si>
  <si>
    <t>7500421983362</t>
  </si>
  <si>
    <t>BOTIN MUJER LILITH 116810CAFE</t>
  </si>
  <si>
    <t>417506MARINO290</t>
  </si>
  <si>
    <t>7500421928912</t>
  </si>
  <si>
    <t>ZAPATILLA HOMBRE CARDIFF 417506MARINO</t>
  </si>
  <si>
    <t>125614NEGRO250</t>
  </si>
  <si>
    <t>7500421926925</t>
  </si>
  <si>
    <t>134103NEGRO250</t>
  </si>
  <si>
    <t>7500421928011</t>
  </si>
  <si>
    <t>ZAPATILLA MUJER LETTI 134103NEGRO</t>
  </si>
  <si>
    <t>122703NEGRO240</t>
  </si>
  <si>
    <t>7500421539057</t>
  </si>
  <si>
    <t>SANDALIA MUJER BIRGIT 122703NEGRO</t>
  </si>
  <si>
    <t>133906VINO240</t>
  </si>
  <si>
    <t>7500421931516</t>
  </si>
  <si>
    <t>BOTIN MUJER BIMBA 133906VINO</t>
  </si>
  <si>
    <t>401001DARKTAN280</t>
  </si>
  <si>
    <t>7500421423516</t>
  </si>
  <si>
    <t>2472243OLIVA255</t>
  </si>
  <si>
    <t>4064199830295</t>
  </si>
  <si>
    <t>MOCASIN MUJER 2472243OLIVA</t>
  </si>
  <si>
    <t>2231843CAFECOMB250</t>
  </si>
  <si>
    <t>4064199608337</t>
  </si>
  <si>
    <t>ZAPATO MUJER 2231843CAFECOMB</t>
  </si>
  <si>
    <t>126716MARINO240</t>
  </si>
  <si>
    <t>7500421923917</t>
  </si>
  <si>
    <t>132702MOCCA250</t>
  </si>
  <si>
    <t>7500421779644</t>
  </si>
  <si>
    <t>BOTIN MUJER JILLY 132702MOCCA</t>
  </si>
  <si>
    <t>107601BRANDYMKP240</t>
  </si>
  <si>
    <t>7500421581698</t>
  </si>
  <si>
    <t>422403NEGRO290</t>
  </si>
  <si>
    <t>7500277047416</t>
  </si>
  <si>
    <t>ZAPATILLA HOMBRE MADDOX 422403NEGRO</t>
  </si>
  <si>
    <t>137505NEGRO240</t>
  </si>
  <si>
    <t>7500421965795</t>
  </si>
  <si>
    <t>ZAPATO MUJER ANNETTE 137505NEGRO</t>
  </si>
  <si>
    <t>124502NEGRO230</t>
  </si>
  <si>
    <t>7500421610534</t>
  </si>
  <si>
    <t>ZAPATO MUJER JENELLE 124502NEGRO</t>
  </si>
  <si>
    <t>136602HUESO260</t>
  </si>
  <si>
    <t>7500421973707</t>
  </si>
  <si>
    <t>ZAPATILLA MUJER HELINA 136602HUESO</t>
  </si>
  <si>
    <t>PLA0631NEUTRO22</t>
  </si>
  <si>
    <t>7500421914878</t>
  </si>
  <si>
    <t>PLANTILLA GEL PLA0631 NEUTRO</t>
  </si>
  <si>
    <t>COMPONENTES</t>
  </si>
  <si>
    <t>101905TAN240</t>
  </si>
  <si>
    <t>7500421453667</t>
  </si>
  <si>
    <t>ZAPATO MUJER AMELIE 101905TAN</t>
  </si>
  <si>
    <t>104827MADERA250</t>
  </si>
  <si>
    <t>7500421901106</t>
  </si>
  <si>
    <t>BOTIN MUJER CATALEYA 104827MADERA</t>
  </si>
  <si>
    <t>136702NEGRO240</t>
  </si>
  <si>
    <t>7500421959305</t>
  </si>
  <si>
    <t>ZAPATO MUJER ANANSA 136702NEGRO</t>
  </si>
  <si>
    <t>ANANSA</t>
  </si>
  <si>
    <t>05/04/2026</t>
  </si>
  <si>
    <t>104501ESCAMANEGRO245</t>
  </si>
  <si>
    <t>7500421847107</t>
  </si>
  <si>
    <t>ZAPATO MUJER IDRIS 104501ESCAMANEGRO</t>
  </si>
  <si>
    <t>104521NEGRO250</t>
  </si>
  <si>
    <t>7500421903827</t>
  </si>
  <si>
    <t>ZAPATO MUJER IDRIS 104521NEGRO</t>
  </si>
  <si>
    <t>131606BLANCO270</t>
  </si>
  <si>
    <t>7500421982839</t>
  </si>
  <si>
    <t>8370742MERLOT255</t>
  </si>
  <si>
    <t>4064225834723</t>
  </si>
  <si>
    <t>141301GRIS250</t>
  </si>
  <si>
    <t>7500277052373</t>
  </si>
  <si>
    <t>ZAPATILLA MUJER DEYRA 141301GRIS</t>
  </si>
  <si>
    <t>DEYRA</t>
  </si>
  <si>
    <t>LIM0410AZULUNIT</t>
  </si>
  <si>
    <t>7500421890356</t>
  </si>
  <si>
    <t>LIMPIADOR GEL LIM0410 AZUL</t>
  </si>
  <si>
    <t>415306CAFE260</t>
  </si>
  <si>
    <t>7500421857090</t>
  </si>
  <si>
    <t>ZAPATILLA HOMBRE FRASER 415306CAFE</t>
  </si>
  <si>
    <t>138302CAFE240</t>
  </si>
  <si>
    <t>7500421985649</t>
  </si>
  <si>
    <t>ZAPATILLA MUJER KOAN 138302CAFE</t>
  </si>
  <si>
    <t>KOAN</t>
  </si>
  <si>
    <t>104515NEGRO270</t>
  </si>
  <si>
    <t>7500421659939</t>
  </si>
  <si>
    <t>ZAPATO MUJER IDRIS 104515NEGRO</t>
  </si>
  <si>
    <t>422101VAINILLA290</t>
  </si>
  <si>
    <t>7500421971956</t>
  </si>
  <si>
    <t>ZAPATILLA HOMBRE HABIB 422101VAINILLA</t>
  </si>
  <si>
    <t>HABIB</t>
  </si>
  <si>
    <t>422102NAVY290</t>
  </si>
  <si>
    <t>7500421972557</t>
  </si>
  <si>
    <t>ZAPATILLA HOMBRE HABIB 422102NAVY</t>
  </si>
  <si>
    <t>2372442OROCLARO255</t>
  </si>
  <si>
    <t>4064198715326</t>
  </si>
  <si>
    <t>419803TAN290</t>
  </si>
  <si>
    <t>7500421845356</t>
  </si>
  <si>
    <t>134103NEGRO240</t>
  </si>
  <si>
    <t>7500421927991</t>
  </si>
  <si>
    <t>101912MARINO230</t>
  </si>
  <si>
    <t>7500421791585</t>
  </si>
  <si>
    <t>2360342OLIVACOMB270</t>
  </si>
  <si>
    <t>4064199555228</t>
  </si>
  <si>
    <t>ZAPATILLA MUJER 2360342OLIVACOMB</t>
  </si>
  <si>
    <t>2372442IVORY270</t>
  </si>
  <si>
    <t>4064195070718</t>
  </si>
  <si>
    <t>ZAPATILLA MUJER 2372442IVORY</t>
  </si>
  <si>
    <t>2231843NEGROCHAROL255</t>
  </si>
  <si>
    <t>4064198132352</t>
  </si>
  <si>
    <t>101905NEGRO270</t>
  </si>
  <si>
    <t>7500421453834</t>
  </si>
  <si>
    <t>101912DORADO270</t>
  </si>
  <si>
    <t>7500421791776</t>
  </si>
  <si>
    <t>PLA0644GRISS</t>
  </si>
  <si>
    <t>7500421919613</t>
  </si>
  <si>
    <t>PLANTILLA MEMORY FOAM PLA0644 GRIS</t>
  </si>
  <si>
    <t>420702TAUPE280</t>
  </si>
  <si>
    <t>7500421874806</t>
  </si>
  <si>
    <t>ZAPATILLA HOMBRE KING 420702TAUPE</t>
  </si>
  <si>
    <t>138501NEGRO270</t>
  </si>
  <si>
    <t>7500421986035</t>
  </si>
  <si>
    <t>ZAPATILLA MUJER NAOKI 138501NEGRO</t>
  </si>
  <si>
    <t>130803NUDE220</t>
  </si>
  <si>
    <t>7500421837993</t>
  </si>
  <si>
    <t>BALLERINA MUJER RIHANNA 130803NUDE</t>
  </si>
  <si>
    <t>102016NEGRO270</t>
  </si>
  <si>
    <t>7500421733073</t>
  </si>
  <si>
    <t>BOTIN MUJER TRAVIATA 102016NEGRO</t>
  </si>
  <si>
    <t>136704ORO220</t>
  </si>
  <si>
    <t>7500421973073</t>
  </si>
  <si>
    <t>ZAPATO MUJER ANANSA 136704ORO</t>
  </si>
  <si>
    <t>126606DORADO240</t>
  </si>
  <si>
    <t>7500421744505</t>
  </si>
  <si>
    <t>2370944IVORY270</t>
  </si>
  <si>
    <t>4064199557802</t>
  </si>
  <si>
    <t>2375545BLANCO250</t>
  </si>
  <si>
    <t>4064199575462</t>
  </si>
  <si>
    <t>ZAPATILLA MUJER 2375545BLANCO</t>
  </si>
  <si>
    <t>419801NEGRO280</t>
  </si>
  <si>
    <t>7500421866078</t>
  </si>
  <si>
    <t>ZAPATILLA HOMBRE BARD 419801NEGRO</t>
  </si>
  <si>
    <t>134101ROSA270</t>
  </si>
  <si>
    <t>7500421927830</t>
  </si>
  <si>
    <t>ZAPATILLA MUJER LETTI 134101ROSA</t>
  </si>
  <si>
    <t>417702NEGRO260</t>
  </si>
  <si>
    <t>7500421674277</t>
  </si>
  <si>
    <t>ZAPATO HOMBRE RENAN 417702NEGRO</t>
  </si>
  <si>
    <t>137304TABACO230</t>
  </si>
  <si>
    <t>7500421968376</t>
  </si>
  <si>
    <t>BOTIN MUJER MERCEDES 137304TABACO</t>
  </si>
  <si>
    <t>104827MADERA220</t>
  </si>
  <si>
    <t>7500421901045</t>
  </si>
  <si>
    <t>401001NEGRO250</t>
  </si>
  <si>
    <t>7500421369944</t>
  </si>
  <si>
    <t>ZAPATO HOMBRE RANDALL 401001NEGRO</t>
  </si>
  <si>
    <t>412801TAN260</t>
  </si>
  <si>
    <t>7500421542248</t>
  </si>
  <si>
    <t>131606BLANCO250</t>
  </si>
  <si>
    <t>7500421982792</t>
  </si>
  <si>
    <t>104806NEGRO260</t>
  </si>
  <si>
    <t>7500421461495</t>
  </si>
  <si>
    <t>107601BRANDYMKP260</t>
  </si>
  <si>
    <t>7500421581735</t>
  </si>
  <si>
    <t>CRE0438NEUTROUNIT</t>
  </si>
  <si>
    <t>7500421890950</t>
  </si>
  <si>
    <t>CREMA AUTOBRILLANTE CRE0438 NEUTRO</t>
  </si>
  <si>
    <t>110402TAN235</t>
  </si>
  <si>
    <t>7500421521939</t>
  </si>
  <si>
    <t>101905TAN250</t>
  </si>
  <si>
    <t>7500421453681</t>
  </si>
  <si>
    <t>104806CAFE260</t>
  </si>
  <si>
    <t>7500421461389</t>
  </si>
  <si>
    <t>422501NEGRO270</t>
  </si>
  <si>
    <t>7500421978870</t>
  </si>
  <si>
    <t>ZAPATILLA HOMBRE SATORI 422501NEGRO</t>
  </si>
  <si>
    <t>48303TAN220</t>
  </si>
  <si>
    <t>7500421403846</t>
  </si>
  <si>
    <t>ZAPATO MUJER OFELIA 48303TAN</t>
  </si>
  <si>
    <t>421703TAN290</t>
  </si>
  <si>
    <t>7500421972793</t>
  </si>
  <si>
    <t>BOTIN HOMBRE KUNO 421703TAN</t>
  </si>
  <si>
    <t>KUNO</t>
  </si>
  <si>
    <t>417702NEGRO250</t>
  </si>
  <si>
    <t>7500421674253</t>
  </si>
  <si>
    <t>105123NEGRO220</t>
  </si>
  <si>
    <t>7500421927410</t>
  </si>
  <si>
    <t>ZAPATILLA MUJER CASIOPEA 105123NEGRO</t>
  </si>
  <si>
    <t>135203BEIGE250</t>
  </si>
  <si>
    <t>7500421975329</t>
  </si>
  <si>
    <t>ZAPATILLA MUJER BRERA 135203BEIGE</t>
  </si>
  <si>
    <t>138501NEGRO240</t>
  </si>
  <si>
    <t>7500421985977</t>
  </si>
  <si>
    <t>131501LILA250</t>
  </si>
  <si>
    <t>7500421925164</t>
  </si>
  <si>
    <t>ZAPATILLA MUJER SALUMA 131501LILA</t>
  </si>
  <si>
    <t>101908NEGRO250</t>
  </si>
  <si>
    <t>7500421493342</t>
  </si>
  <si>
    <t>2531241NEGRO255</t>
  </si>
  <si>
    <t>4064197559310</t>
  </si>
  <si>
    <t>BOTIN MUJER 2531241NEGRO</t>
  </si>
  <si>
    <t>2374643CAMELCOMB270</t>
  </si>
  <si>
    <t>4064199558625</t>
  </si>
  <si>
    <t>8371745NEGROCOMB270</t>
  </si>
  <si>
    <t>4064225747955</t>
  </si>
  <si>
    <t>ZAPATILLA MUJER 8371745NEGROCOMB</t>
  </si>
  <si>
    <t>CIN0459COGNAC34</t>
  </si>
  <si>
    <t>7500421891520</t>
  </si>
  <si>
    <t>CINTURON HOMBRE CASUAL UNA VISTA CIN0459 COGNAC</t>
  </si>
  <si>
    <t>CINTURON</t>
  </si>
  <si>
    <t>104806NEGRO230</t>
  </si>
  <si>
    <t>7500421461433</t>
  </si>
  <si>
    <t>134803NEGRO230</t>
  </si>
  <si>
    <t>7500421866931</t>
  </si>
  <si>
    <t>102016NEGRO250</t>
  </si>
  <si>
    <t>7500421733035</t>
  </si>
  <si>
    <t>137603NEGRO230</t>
  </si>
  <si>
    <t>7500421969144</t>
  </si>
  <si>
    <t>ZAPATO MUJER HALIA 137603NEGRO</t>
  </si>
  <si>
    <t>136704NEGRO260</t>
  </si>
  <si>
    <t>7500421960059</t>
  </si>
  <si>
    <t>ZAPATO MUJER ANANSA 136704NEGRO</t>
  </si>
  <si>
    <t>402521NEGRO280</t>
  </si>
  <si>
    <t>7500421754153</t>
  </si>
  <si>
    <t>COR0417NEGROUNIT</t>
  </si>
  <si>
    <t>7500421890745</t>
  </si>
  <si>
    <t>CORDON UNISEX SERVICIO COR0417 NEGRO</t>
  </si>
  <si>
    <t>CORDON</t>
  </si>
  <si>
    <t>104806ARENA230</t>
  </si>
  <si>
    <t>7500421840108</t>
  </si>
  <si>
    <t>ZAPATO MUJER CATALEYA 104806ARENA</t>
  </si>
  <si>
    <t>130610NEGRO260</t>
  </si>
  <si>
    <t>7500421970119</t>
  </si>
  <si>
    <t>412801NEGRO280</t>
  </si>
  <si>
    <t>7500421542408</t>
  </si>
  <si>
    <t>131501NEGRO250</t>
  </si>
  <si>
    <t>7500421752975</t>
  </si>
  <si>
    <t>ZAPATILLA MUJER SALUMA 131501NEGRO</t>
  </si>
  <si>
    <t>138104OPORTO230</t>
  </si>
  <si>
    <t>7500421974414</t>
  </si>
  <si>
    <t>133906NEGRO260</t>
  </si>
  <si>
    <t>7500421922378</t>
  </si>
  <si>
    <t>BOTIN MUJER BIMBA 133906NEGRO</t>
  </si>
  <si>
    <t>136702NEGRO250</t>
  </si>
  <si>
    <t>7500421959329</t>
  </si>
  <si>
    <t>138503ANTIMONIO250</t>
  </si>
  <si>
    <t>7500277055367</t>
  </si>
  <si>
    <t>ZAPATILLA MUJER NAOKI 138503ANTIMONIO</t>
  </si>
  <si>
    <t>25911NEGRO270</t>
  </si>
  <si>
    <t>7500421288252</t>
  </si>
  <si>
    <t>BOTIN MUJER MIROSLAVA 25911NEGRO</t>
  </si>
  <si>
    <t>131606BLANCO260</t>
  </si>
  <si>
    <t>7500421982815</t>
  </si>
  <si>
    <t>101908OROVIEJO260</t>
  </si>
  <si>
    <t>7500421935156</t>
  </si>
  <si>
    <t>ZAPATO MUJER AMELIE 101908OROVIEJO</t>
  </si>
  <si>
    <t>104521NEGRO220</t>
  </si>
  <si>
    <t>7500421903766</t>
  </si>
  <si>
    <t>418201NEGRO260</t>
  </si>
  <si>
    <t>7500421761052</t>
  </si>
  <si>
    <t>MOCASIN HOMBRE MCCARTHY 418201NEGRO</t>
  </si>
  <si>
    <t>48304BLANCO220</t>
  </si>
  <si>
    <t>7506296119097</t>
  </si>
  <si>
    <t>2373241NEGROCOMB250</t>
  </si>
  <si>
    <t>4064195217946</t>
  </si>
  <si>
    <t>131902NEGRO230</t>
  </si>
  <si>
    <t>7500421750483</t>
  </si>
  <si>
    <t>136704NEGRO240</t>
  </si>
  <si>
    <t>7500421960011</t>
  </si>
  <si>
    <t>118908NEGRO220</t>
  </si>
  <si>
    <t>7500421703113</t>
  </si>
  <si>
    <t>140304BEIGE250</t>
  </si>
  <si>
    <t>7500277054483</t>
  </si>
  <si>
    <t>119707NEGRO270</t>
  </si>
  <si>
    <t>7500421688090</t>
  </si>
  <si>
    <t>ZAPATO MUJER MARIONE 119707NEGRO</t>
  </si>
  <si>
    <t>126712NEGRO240</t>
  </si>
  <si>
    <t>7500421749258</t>
  </si>
  <si>
    <t>2472243MOCCA240</t>
  </si>
  <si>
    <t>4064199476288</t>
  </si>
  <si>
    <t>2231843CAFECOMB265</t>
  </si>
  <si>
    <t>4064199608351</t>
  </si>
  <si>
    <t>11/04/2026</t>
  </si>
  <si>
    <t>8371745NEGROCOMB250</t>
  </si>
  <si>
    <t>4064225747924</t>
  </si>
  <si>
    <t>110402TAN260</t>
  </si>
  <si>
    <t>7500421521984</t>
  </si>
  <si>
    <t>2513345NEGRO230</t>
  </si>
  <si>
    <t>4064199762206</t>
  </si>
  <si>
    <t>402521SHEDRON270</t>
  </si>
  <si>
    <t>7500421766903</t>
  </si>
  <si>
    <t>BOTIN HOMBRE GASLY 402521SHEDRON</t>
  </si>
  <si>
    <t>421702NEGRO270</t>
  </si>
  <si>
    <t>7500421972397</t>
  </si>
  <si>
    <t>BOTIN HOMBRE KUNO 421702NEGRO</t>
  </si>
  <si>
    <t>135203NEGRO260</t>
  </si>
  <si>
    <t>7500421975459</t>
  </si>
  <si>
    <t>ZAPATILLA MUJER BRERA 135203NEGRO</t>
  </si>
  <si>
    <t>131604BLANCO-NEGRO230</t>
  </si>
  <si>
    <t>7500421928196</t>
  </si>
  <si>
    <t>ZAPATILLA MUJER INNA 131604BLANCO-NEGRO</t>
  </si>
  <si>
    <t>421401NEGRO300</t>
  </si>
  <si>
    <t>7500421942611</t>
  </si>
  <si>
    <t>ZAPATO HOMBRE CASSINI 421401NEGRO</t>
  </si>
  <si>
    <t>CASSINI</t>
  </si>
  <si>
    <t>138602PURPURA250</t>
  </si>
  <si>
    <t>7500421987094</t>
  </si>
  <si>
    <t>ZAPATILLA MUJER ATLA 138602PURPURA</t>
  </si>
  <si>
    <t>131901NEGRO230</t>
  </si>
  <si>
    <t>7500421750810</t>
  </si>
  <si>
    <t>ZAPATO MUJER ANTICA 131901NEGRO</t>
  </si>
  <si>
    <t>137305NEGRO220</t>
  </si>
  <si>
    <t>7500421977811</t>
  </si>
  <si>
    <t>134103NEGRO260</t>
  </si>
  <si>
    <t>7500421928035</t>
  </si>
  <si>
    <t>134103NEGRO270</t>
  </si>
  <si>
    <t>7500421928059</t>
  </si>
  <si>
    <t>130803NUDE250</t>
  </si>
  <si>
    <t>7500421838051</t>
  </si>
  <si>
    <t>45606AZUL260</t>
  </si>
  <si>
    <t>7500421579718</t>
  </si>
  <si>
    <t>138501NEGRO230</t>
  </si>
  <si>
    <t>7500421985953</t>
  </si>
  <si>
    <t>138602PURPURA230</t>
  </si>
  <si>
    <t>7500421987056</t>
  </si>
  <si>
    <t>130605NEGRO250</t>
  </si>
  <si>
    <t>7500421925386</t>
  </si>
  <si>
    <t>ZAPATO MUJER MARIELA 130605NEGRO</t>
  </si>
  <si>
    <t>138301TAUPE240</t>
  </si>
  <si>
    <t>7500421986301</t>
  </si>
  <si>
    <t>ZAPATILLA MUJER KOAN 138301TAUPE</t>
  </si>
  <si>
    <t>137701CAFE250</t>
  </si>
  <si>
    <t>7500421965580</t>
  </si>
  <si>
    <t>BOTIN MUJER CAYETANA 137701CAFE</t>
  </si>
  <si>
    <t>CAYETANA</t>
  </si>
  <si>
    <t>2626643CREMA240</t>
  </si>
  <si>
    <t>4064199917569</t>
  </si>
  <si>
    <t>BOTIN MUJER 2626643CREMA</t>
  </si>
  <si>
    <t>137603NEGRO250</t>
  </si>
  <si>
    <t>7500421969182</t>
  </si>
  <si>
    <t>12/04/2026</t>
  </si>
  <si>
    <t>131501LILA230</t>
  </si>
  <si>
    <t>7500421925126</t>
  </si>
  <si>
    <t>124401MARINO230</t>
  </si>
  <si>
    <t>7500421670286</t>
  </si>
  <si>
    <t>420001TAN280</t>
  </si>
  <si>
    <t>7500421841266</t>
  </si>
  <si>
    <t>ZAPATO HOMBRE JASPER 420001TAN</t>
  </si>
  <si>
    <t>JASPER</t>
  </si>
  <si>
    <t>2530145NEGRO250</t>
  </si>
  <si>
    <t>4064199628236</t>
  </si>
  <si>
    <t>136604ANTIMONIO240</t>
  </si>
  <si>
    <t>7500421973776</t>
  </si>
  <si>
    <t>ZAPATILLA MUJER HELINA 136604ANTIMONIO</t>
  </si>
  <si>
    <t>138503ANTIMONIO260</t>
  </si>
  <si>
    <t>7500277055381</t>
  </si>
  <si>
    <t>45606NEGRO240</t>
  </si>
  <si>
    <t>7500421399149</t>
  </si>
  <si>
    <t>37825NEGRO270</t>
  </si>
  <si>
    <t>7500421933886</t>
  </si>
  <si>
    <t>BOTIN MUJER ALDARA 37825NEGRO</t>
  </si>
  <si>
    <t>37825NEGRO250</t>
  </si>
  <si>
    <t>7500421933848</t>
  </si>
  <si>
    <t>138104OPORTO240</t>
  </si>
  <si>
    <t>7500421974438</t>
  </si>
  <si>
    <t>130308NEGRO270</t>
  </si>
  <si>
    <t>7500421905869</t>
  </si>
  <si>
    <t>BOTIN MUJER ISBELLE 130308NEGRO</t>
  </si>
  <si>
    <t>421104CAFE270</t>
  </si>
  <si>
    <t>7500421981320</t>
  </si>
  <si>
    <t>BOTIN HOMBRE ZEGAMA 421104CAFE</t>
  </si>
  <si>
    <t>ZEGAMA</t>
  </si>
  <si>
    <t>705702NEGRO270</t>
  </si>
  <si>
    <t>7506484170541</t>
  </si>
  <si>
    <t>422401GRIS280</t>
  </si>
  <si>
    <t>7500421989319</t>
  </si>
  <si>
    <t>ZAPATILLA HOMBRE MADDOX 422401GRIS</t>
  </si>
  <si>
    <t>420006COCOA250</t>
  </si>
  <si>
    <t>7500421934951</t>
  </si>
  <si>
    <t>BOTIN HOMBRE JASPER 420006COCOA</t>
  </si>
  <si>
    <t>422102NAVY260</t>
  </si>
  <si>
    <t>7500421972496</t>
  </si>
  <si>
    <t>37824TAN260</t>
  </si>
  <si>
    <t>7500421895948</t>
  </si>
  <si>
    <t>BOTIN MUJER ALDARA 37824TAN</t>
  </si>
  <si>
    <t>2241041NEGRO240</t>
  </si>
  <si>
    <t>4064197396090</t>
  </si>
  <si>
    <t>422501AZUL290</t>
  </si>
  <si>
    <t>7500421979136</t>
  </si>
  <si>
    <t>ZAPATILLA HOMBRE SATORI 422501AZUL</t>
  </si>
  <si>
    <t>2372643TAUPECOMB240</t>
  </si>
  <si>
    <t>4064199562615</t>
  </si>
  <si>
    <t>ZAPATILLA MUJER 2372643TAUPECOMB</t>
  </si>
  <si>
    <t>132601CHESTNUT240</t>
  </si>
  <si>
    <t>7500421778913</t>
  </si>
  <si>
    <t>134703WHISKY240</t>
  </si>
  <si>
    <t>7500421866733</t>
  </si>
  <si>
    <t>137606NEGRO240</t>
  </si>
  <si>
    <t>7500421963111</t>
  </si>
  <si>
    <t>BOTIN MUJER HALIA 137606NEGRO</t>
  </si>
  <si>
    <t>117210BEIGE270</t>
  </si>
  <si>
    <t>7500421953693</t>
  </si>
  <si>
    <t>ZAPATILLA MUJER ATSIRI 117210BEIGE</t>
  </si>
  <si>
    <t>118902NEGRO235</t>
  </si>
  <si>
    <t>7500421526033</t>
  </si>
  <si>
    <t>2376345PLATACOMB230</t>
  </si>
  <si>
    <t>4064199567726</t>
  </si>
  <si>
    <t>419903TAUPE290</t>
  </si>
  <si>
    <t>7500421874585</t>
  </si>
  <si>
    <t>ZAPATILLA HOMBRE SANZ 419903TAUPE</t>
  </si>
  <si>
    <t>SANZ</t>
  </si>
  <si>
    <t>129201NEGRO250</t>
  </si>
  <si>
    <t>7500421674758</t>
  </si>
  <si>
    <t>406801CAFEMKP290</t>
  </si>
  <si>
    <t>7500421647691</t>
  </si>
  <si>
    <t>ZAPATO HOMBRE PHUKET 406801CAFEMKP</t>
  </si>
  <si>
    <t>PHUKET</t>
  </si>
  <si>
    <t>138502CAMEL230</t>
  </si>
  <si>
    <t>7500277055657</t>
  </si>
  <si>
    <t>2513345COGNAC250</t>
  </si>
  <si>
    <t>4064199762701</t>
  </si>
  <si>
    <t>417702TAN300</t>
  </si>
  <si>
    <t>7500421674246</t>
  </si>
  <si>
    <t>ZAPATO HOMBRE RENAN 417702TAN</t>
  </si>
  <si>
    <t>130201AZUL260</t>
  </si>
  <si>
    <t>7500421937020</t>
  </si>
  <si>
    <t>ZAPATILLA MUJER AZURE 130201AZUL</t>
  </si>
  <si>
    <t>117210NEGRO260</t>
  </si>
  <si>
    <t>7500421953785</t>
  </si>
  <si>
    <t>130610VINO230</t>
  </si>
  <si>
    <t>7500421970164</t>
  </si>
  <si>
    <t>2472243NEGRO265</t>
  </si>
  <si>
    <t>4064195969289</t>
  </si>
  <si>
    <t>MOCASIN MUJER 2472243NEGRO</t>
  </si>
  <si>
    <t>8372644MOCCALEOPARDO255</t>
  </si>
  <si>
    <t>4064225924301</t>
  </si>
  <si>
    <t>2472243MOCCA265</t>
  </si>
  <si>
    <t>4064199476318</t>
  </si>
  <si>
    <t>ANT0322GRISUNIT</t>
  </si>
  <si>
    <t>7500421137186</t>
  </si>
  <si>
    <t>ANTIDERRAPE CALZADO ANT0322 GRIS</t>
  </si>
  <si>
    <t>MPL0318CAFEUNIT</t>
  </si>
  <si>
    <t>7500421137183</t>
  </si>
  <si>
    <t>MINI PLANTILLA GAMUZA MPL0318 CAFE</t>
  </si>
  <si>
    <t>421104CAFE300</t>
  </si>
  <si>
    <t>7500421981382</t>
  </si>
  <si>
    <t>8371745MERLOT240</t>
  </si>
  <si>
    <t>4064225720491</t>
  </si>
  <si>
    <t>ZAPATILLA MUJER 8371745MERLOT</t>
  </si>
  <si>
    <t>2723942NEGROCROCO265</t>
  </si>
  <si>
    <t>4064199455467</t>
  </si>
  <si>
    <t>SANDALIA MUJER 2723942NEGROCROCO</t>
  </si>
  <si>
    <t>37825TAUPE260</t>
  </si>
  <si>
    <t>7500421921692</t>
  </si>
  <si>
    <t>BOTIN MUJER ALDARA 37825TAUPE</t>
  </si>
  <si>
    <t>104806NEGRO220</t>
  </si>
  <si>
    <t>7500421461419</t>
  </si>
  <si>
    <t>104827NEGRO220</t>
  </si>
  <si>
    <t>7500421932025</t>
  </si>
  <si>
    <t>BOTIN MUJER CATALEYA 104827NEGRO</t>
  </si>
  <si>
    <t>2532143COGNAC240</t>
  </si>
  <si>
    <t>4064195990238</t>
  </si>
  <si>
    <t>137701CAFE220</t>
  </si>
  <si>
    <t>7500421965528</t>
  </si>
  <si>
    <t>104806CHERRY250</t>
  </si>
  <si>
    <t>7500421840030</t>
  </si>
  <si>
    <t>ZAPATO MUJER CATALEYA 104806CHERRY</t>
  </si>
  <si>
    <t>422501BEIGE280</t>
  </si>
  <si>
    <t>7500421979228</t>
  </si>
  <si>
    <t>137304NEGRO250</t>
  </si>
  <si>
    <t>7500421955932</t>
  </si>
  <si>
    <t>104501ESCAMANEGRO235</t>
  </si>
  <si>
    <t>7500421847084</t>
  </si>
  <si>
    <t>2513345COGNAC270</t>
  </si>
  <si>
    <t>4064199762732</t>
  </si>
  <si>
    <t>421703NEGRO270</t>
  </si>
  <si>
    <t>7500421972274</t>
  </si>
  <si>
    <t>BOTIN HOMBRE KUNO 421703NEGRO</t>
  </si>
  <si>
    <t>130803NEGRO270</t>
  </si>
  <si>
    <t>7500421796290</t>
  </si>
  <si>
    <t>130803NUDE270</t>
  </si>
  <si>
    <t>7500421838099</t>
  </si>
  <si>
    <t>129201NEGRO240</t>
  </si>
  <si>
    <t>7500421674734</t>
  </si>
  <si>
    <t>130201NEGRO240</t>
  </si>
  <si>
    <t>7500421751220</t>
  </si>
  <si>
    <t>137002OROROSADO240</t>
  </si>
  <si>
    <t>7500421967065</t>
  </si>
  <si>
    <t>ZAPATILLA MUJER MILDRED 137002OROROSADO</t>
  </si>
  <si>
    <t>138104NEGRO250</t>
  </si>
  <si>
    <t>7500421974346</t>
  </si>
  <si>
    <t>ZAPATO MUJER KORAL 138104NEGRO</t>
  </si>
  <si>
    <t>130207NEGRO250</t>
  </si>
  <si>
    <t>7500421937228</t>
  </si>
  <si>
    <t>BOTIN MUJER AZURE 130207NEGRO</t>
  </si>
  <si>
    <t>8371644CAFECOMB250</t>
  </si>
  <si>
    <t>4064225733101</t>
  </si>
  <si>
    <t>2521245COGNAC250</t>
  </si>
  <si>
    <t>4064199904309</t>
  </si>
  <si>
    <t>BOTIN MUJER 2521245COGNAC</t>
  </si>
  <si>
    <t>417703NEGRO260</t>
  </si>
  <si>
    <t>7500421673645</t>
  </si>
  <si>
    <t>ZAPATO HOMBRE RENAN 417703NEGRO</t>
  </si>
  <si>
    <t>2360342IVORYCOMB250</t>
  </si>
  <si>
    <t>4064195084371</t>
  </si>
  <si>
    <t>421401TAN280</t>
  </si>
  <si>
    <t>7500421966846</t>
  </si>
  <si>
    <t>ZAPATO HOMBRE CASSINI 421401TAN</t>
  </si>
  <si>
    <t>417701NEGRO290</t>
  </si>
  <si>
    <t>7500421674444</t>
  </si>
  <si>
    <t>116802NEGRO250</t>
  </si>
  <si>
    <t>7500421494882</t>
  </si>
  <si>
    <t>BOTIN MUJER LILITH 116802NEGRO</t>
  </si>
  <si>
    <t>138302CAFE230</t>
  </si>
  <si>
    <t>7500421985625</t>
  </si>
  <si>
    <t>130610VINO250</t>
  </si>
  <si>
    <t>7500421970201</t>
  </si>
  <si>
    <t>137505VINO230</t>
  </si>
  <si>
    <t>7500421968598</t>
  </si>
  <si>
    <t>ZAPATO MUJER ANNETTE 137505VINO</t>
  </si>
  <si>
    <t>2553945NEGRO265</t>
  </si>
  <si>
    <t>4064199905313</t>
  </si>
  <si>
    <t>BOTA MUJER 2553945NEGRO</t>
  </si>
  <si>
    <t>2535741TAUPE250</t>
  </si>
  <si>
    <t>4064199708440</t>
  </si>
  <si>
    <t>BOTIN MUJER 2535741TAUPE</t>
  </si>
  <si>
    <t>2532143NEGRO240</t>
  </si>
  <si>
    <t>4064195989997</t>
  </si>
  <si>
    <t>BOTIN MUJER 2532143NEGRO</t>
  </si>
  <si>
    <t>137601NEGRO240</t>
  </si>
  <si>
    <t>7500421956359</t>
  </si>
  <si>
    <t>104827NEGRO230</t>
  </si>
  <si>
    <t>7500421932049</t>
  </si>
  <si>
    <t>110402TAN240</t>
  </si>
  <si>
    <t>7500421521946</t>
  </si>
  <si>
    <t>130009VINO230</t>
  </si>
  <si>
    <t>7500421980170</t>
  </si>
  <si>
    <t>48303NEGRO240</t>
  </si>
  <si>
    <t>7506193698015</t>
  </si>
  <si>
    <t>141302ROSA260</t>
  </si>
  <si>
    <t>7500277052502</t>
  </si>
  <si>
    <t>ZAPATILLA MUJER DEYRA 141302ROSA</t>
  </si>
  <si>
    <t>2375545BLANCO265</t>
  </si>
  <si>
    <t>4064199575486</t>
  </si>
  <si>
    <t>2513345NEGRO240</t>
  </si>
  <si>
    <t>4064199762213</t>
  </si>
  <si>
    <t>2552943NEGRO250</t>
  </si>
  <si>
    <t>4064198157591</t>
  </si>
  <si>
    <t>BOTA MUJER 2552943NEGRO</t>
  </si>
  <si>
    <t>102016NEGRO260</t>
  </si>
  <si>
    <t>7500421733059</t>
  </si>
  <si>
    <t>130803NUDE240</t>
  </si>
  <si>
    <t>7500421838037</t>
  </si>
  <si>
    <t>136704ORO230</t>
  </si>
  <si>
    <t>7500421973097</t>
  </si>
  <si>
    <t>45606CAFE220</t>
  </si>
  <si>
    <t>7500421400326</t>
  </si>
  <si>
    <t>117212BLANCO250</t>
  </si>
  <si>
    <t>7500421980439</t>
  </si>
  <si>
    <t>ZAPATILLA MUJER ATSIRI 117212BLANCO</t>
  </si>
  <si>
    <t>130009NEGRO240</t>
  </si>
  <si>
    <t>7500421980309</t>
  </si>
  <si>
    <t>138601CAFE250</t>
  </si>
  <si>
    <t>7500421986981</t>
  </si>
  <si>
    <t>2241041NEGRO250</t>
  </si>
  <si>
    <t>4064197396106</t>
  </si>
  <si>
    <t>136702NEGRO220</t>
  </si>
  <si>
    <t>7500421959268</t>
  </si>
  <si>
    <t>37824TAN240</t>
  </si>
  <si>
    <t>7500421895900</t>
  </si>
  <si>
    <t>137003ANTIMONIO260</t>
  </si>
  <si>
    <t>7500421965269</t>
  </si>
  <si>
    <t>18/04/2026</t>
  </si>
  <si>
    <t>138105NEGRO240</t>
  </si>
  <si>
    <t>7500421974544</t>
  </si>
  <si>
    <t>BOTIN MUJER KORAL 138105NEGRO</t>
  </si>
  <si>
    <t>104827NEGRO260</t>
  </si>
  <si>
    <t>7500421932100</t>
  </si>
  <si>
    <t>2582345MOCCA255</t>
  </si>
  <si>
    <t>4064199906013</t>
  </si>
  <si>
    <t>138602AZUL240</t>
  </si>
  <si>
    <t>7500421987186</t>
  </si>
  <si>
    <t>ZAPATILLA MUJER ATLA 138602AZUL</t>
  </si>
  <si>
    <t>2582345NEGRO265</t>
  </si>
  <si>
    <t>4064199905788</t>
  </si>
  <si>
    <t>BOTIN MUJER 2582345NEGRO</t>
  </si>
  <si>
    <t>141301GRIS240</t>
  </si>
  <si>
    <t>7500277052359</t>
  </si>
  <si>
    <t>406404NEGRO260</t>
  </si>
  <si>
    <t>7500421515198</t>
  </si>
  <si>
    <t>2531241COGNAC240</t>
  </si>
  <si>
    <t>4064197559730</t>
  </si>
  <si>
    <t>BOTIN MUJER 2531241COGNAC</t>
  </si>
  <si>
    <t>417505GRIS280</t>
  </si>
  <si>
    <t>7500421857571</t>
  </si>
  <si>
    <t>ZAPATILLA HOMBRE CARDIFF 417505GRIS</t>
  </si>
  <si>
    <t>138105NEGRO250</t>
  </si>
  <si>
    <t>7500421974568</t>
  </si>
  <si>
    <t>2582345MOCCA265</t>
  </si>
  <si>
    <t>4064199906020</t>
  </si>
  <si>
    <t>137102DARKTAN240</t>
  </si>
  <si>
    <t>7500421967287</t>
  </si>
  <si>
    <t>BOOTIE MUJER CARLINE 137102DARKTAN</t>
  </si>
  <si>
    <t>2530145BEIGE240</t>
  </si>
  <si>
    <t>4064201812516</t>
  </si>
  <si>
    <t>BOTIN MUJER 2530145BEIGE</t>
  </si>
  <si>
    <t>8540845VERDE255</t>
  </si>
  <si>
    <t>4064225838349</t>
  </si>
  <si>
    <t>BOTIN MUJER 8540845VERDE</t>
  </si>
  <si>
    <t>131606NEGRO230</t>
  </si>
  <si>
    <t>7500421982648</t>
  </si>
  <si>
    <t>BOTIN MUJER INNA 131606NEGRO</t>
  </si>
  <si>
    <t>25911CAFE250</t>
  </si>
  <si>
    <t>7500421288320</t>
  </si>
  <si>
    <t>133401COGNAC240</t>
  </si>
  <si>
    <t>7500421781159</t>
  </si>
  <si>
    <t>BOTIN MUJER JULINI 133401COGNAC</t>
  </si>
  <si>
    <t>JULINI</t>
  </si>
  <si>
    <t>133905NEGRO240</t>
  </si>
  <si>
    <t>7500421919767</t>
  </si>
  <si>
    <t>ZAPATO MUJER BIMBA 133905NEGRO</t>
  </si>
  <si>
    <t>133906NEGRO230</t>
  </si>
  <si>
    <t>7500421922316</t>
  </si>
  <si>
    <t>2527345COGNAC250</t>
  </si>
  <si>
    <t>4064199851047</t>
  </si>
  <si>
    <t>BOTIN MUJER 2527345COGNAC</t>
  </si>
  <si>
    <t>141202NEGRO250</t>
  </si>
  <si>
    <t>7500277052816</t>
  </si>
  <si>
    <t>2532745NEGROCHAROL250</t>
  </si>
  <si>
    <t>4064201020843</t>
  </si>
  <si>
    <t>BOTIN MUJER 2532745NEGROCHAROL</t>
  </si>
  <si>
    <t>701305NEGRO280</t>
  </si>
  <si>
    <t>7506212696183</t>
  </si>
  <si>
    <t>ZAPATO HOMBRE TREK 701305NEGRO</t>
  </si>
  <si>
    <t>TREK</t>
  </si>
  <si>
    <t>141301BEIGE250</t>
  </si>
  <si>
    <t>7500277052151</t>
  </si>
  <si>
    <t>ZAPATILLA MUJER DEYRA 141301BEIGE</t>
  </si>
  <si>
    <t>140304NEGRO240</t>
  </si>
  <si>
    <t>7500277054575</t>
  </si>
  <si>
    <t>ZAPATILLA MUJER SOPHIA 140304NEGRO</t>
  </si>
  <si>
    <t>422403NEGRO270</t>
  </si>
  <si>
    <t>7500277047379</t>
  </si>
  <si>
    <t>104827NEGRO250</t>
  </si>
  <si>
    <t>7500421932087</t>
  </si>
  <si>
    <t>2641945NEGRO250</t>
  </si>
  <si>
    <t>4064199660731</t>
  </si>
  <si>
    <t>BOTIN MUJER 2641945NEGRO</t>
  </si>
  <si>
    <t>133901MARINO220</t>
  </si>
  <si>
    <t>7500421850237</t>
  </si>
  <si>
    <t>ZAPATO MUJER BIMBA 133901MARINO</t>
  </si>
  <si>
    <t>45606CAFE260</t>
  </si>
  <si>
    <t>7500421400401</t>
  </si>
  <si>
    <t>133905NEGRO250</t>
  </si>
  <si>
    <t>7500421919781</t>
  </si>
  <si>
    <t>422403TAN250</t>
  </si>
  <si>
    <t>7500277047447</t>
  </si>
  <si>
    <t>ZAPATILLA HOMBRE MADDOX 422403TAN</t>
  </si>
  <si>
    <t>133401COGNAC250</t>
  </si>
  <si>
    <t>7500421781166</t>
  </si>
  <si>
    <t>2539145NEGRO265</t>
  </si>
  <si>
    <t>4064199953673</t>
  </si>
  <si>
    <t>BOTIN MUJER 2539145NEGRO</t>
  </si>
  <si>
    <t>19/04/2026</t>
  </si>
  <si>
    <t>2472243OLIVA265</t>
  </si>
  <si>
    <t>4064199830301</t>
  </si>
  <si>
    <t>130009VINO260</t>
  </si>
  <si>
    <t>7500421980231</t>
  </si>
  <si>
    <t>133905NEGRO260</t>
  </si>
  <si>
    <t>7500421919804</t>
  </si>
  <si>
    <t>136705VINO260</t>
  </si>
  <si>
    <t>7500421971499</t>
  </si>
  <si>
    <t>BOTIN MUJER ANANSA 136705VINO</t>
  </si>
  <si>
    <t>137804TAN250</t>
  </si>
  <si>
    <t>7500421970768</t>
  </si>
  <si>
    <t>BOTIN MUJER DARIELA 137804TAN</t>
  </si>
  <si>
    <t>2553945NEGRO255</t>
  </si>
  <si>
    <t>4064199905306</t>
  </si>
  <si>
    <t>2626643NEGRO250</t>
  </si>
  <si>
    <t>4064198380333</t>
  </si>
  <si>
    <t>BOTIN MUJER 2626643NEGRO</t>
  </si>
  <si>
    <t>48303TAN250</t>
  </si>
  <si>
    <t>7500421403907</t>
  </si>
  <si>
    <t>137201NEGRO220</t>
  </si>
  <si>
    <t>7500421955000</t>
  </si>
  <si>
    <t>ZAPATO MUJER LORELA 137201NEGRO</t>
  </si>
  <si>
    <t>136602TAN270</t>
  </si>
  <si>
    <t>7500421973509</t>
  </si>
  <si>
    <t>138602PURPURA270</t>
  </si>
  <si>
    <t>7500421987131</t>
  </si>
  <si>
    <t>401001NEGRO280</t>
  </si>
  <si>
    <t>7500421370001</t>
  </si>
  <si>
    <t>CIN0454NEGRO40</t>
  </si>
  <si>
    <t>7500421891209</t>
  </si>
  <si>
    <t>CINTURON HOMBRE CASUAL UNA VISTA CIN0454 NEGRO</t>
  </si>
  <si>
    <t>CIN0460NEGRO38</t>
  </si>
  <si>
    <t>7500421891612</t>
  </si>
  <si>
    <t>CINTURON HOMBRE CASUAL UNA VISTA CIN0460 NEGRO</t>
  </si>
  <si>
    <t>129201BLANCO240</t>
  </si>
  <si>
    <t>7500421674628</t>
  </si>
  <si>
    <t>2570241NEGRO230</t>
  </si>
  <si>
    <t>4064197746314</t>
  </si>
  <si>
    <t>BOTIN MUJER 2570241NEGRO</t>
  </si>
  <si>
    <t>118902NEGRO255</t>
  </si>
  <si>
    <t>7500421526071</t>
  </si>
  <si>
    <t>131601BLANCO240</t>
  </si>
  <si>
    <t>7500421765074</t>
  </si>
  <si>
    <t>134504TAUPE250</t>
  </si>
  <si>
    <t>7500421933732</t>
  </si>
  <si>
    <t>130402TAN240</t>
  </si>
  <si>
    <t>7500421737538</t>
  </si>
  <si>
    <t>ZAPATO MUJER AREL 130402TAN</t>
  </si>
  <si>
    <t>2231843CAFECOMB255</t>
  </si>
  <si>
    <t>4064199608344</t>
  </si>
  <si>
    <t>419406TAN270</t>
  </si>
  <si>
    <t>7500421952801</t>
  </si>
  <si>
    <t>BOTIN HOMBRE HERRAN 419406TAN</t>
  </si>
  <si>
    <t>HERRAN</t>
  </si>
  <si>
    <t>413101NEGRO260</t>
  </si>
  <si>
    <t>7500421550946</t>
  </si>
  <si>
    <t>137904NEGRO240</t>
  </si>
  <si>
    <t>7500421963548</t>
  </si>
  <si>
    <t>COR1241CAFEUNIT</t>
  </si>
  <si>
    <t>7500421999431</t>
  </si>
  <si>
    <t>CORDON VESTIR COR1241 CAFE</t>
  </si>
  <si>
    <t>130009NEGRO270</t>
  </si>
  <si>
    <t>7500421980361</t>
  </si>
  <si>
    <t>137203NEGRO270</t>
  </si>
  <si>
    <t>7500421955215</t>
  </si>
  <si>
    <t>ZAPATO MUJER LORELA 137203NEGRO</t>
  </si>
  <si>
    <t>138601NEGRO270</t>
  </si>
  <si>
    <t>7500421986912</t>
  </si>
  <si>
    <t>418306CAFE280</t>
  </si>
  <si>
    <t>7500421929117</t>
  </si>
  <si>
    <t>ZAPATILLA HOMBRE APEK 418306CAFE</t>
  </si>
  <si>
    <t>2331341ESTAÑOCOMB250</t>
  </si>
  <si>
    <t>4064199518902</t>
  </si>
  <si>
    <t>ZAPATILLA MUJER 2331341ESTAÑOCOMB</t>
  </si>
  <si>
    <t>140304NEGRO250</t>
  </si>
  <si>
    <t>7500277054599</t>
  </si>
  <si>
    <t>101908OROVIEJO240</t>
  </si>
  <si>
    <t>7500421935118</t>
  </si>
  <si>
    <t>131503BEIGE240</t>
  </si>
  <si>
    <t>7500421982884</t>
  </si>
  <si>
    <t>ZAPATILLA MUJER SALUMA 131503BEIGE</t>
  </si>
  <si>
    <t>136803NEGRO250</t>
  </si>
  <si>
    <t>7500421958773</t>
  </si>
  <si>
    <t>BALLERINA MUJER ATESSA 136803NEGRO</t>
  </si>
  <si>
    <t>138601CAFE260</t>
  </si>
  <si>
    <t>7500421987001</t>
  </si>
  <si>
    <t>2582345NEGRO230</t>
  </si>
  <si>
    <t>4064199905740</t>
  </si>
  <si>
    <t>8370742AZUL240</t>
  </si>
  <si>
    <t>4064225731411</t>
  </si>
  <si>
    <t>ZAPATILLA MUJER 8370742AZUL</t>
  </si>
  <si>
    <t>2373141LEOPARDO230</t>
  </si>
  <si>
    <t>4064195169382</t>
  </si>
  <si>
    <t>ZAPATILLA MUJER 2373141LEOPARDO</t>
  </si>
  <si>
    <t>135203NEGRO250</t>
  </si>
  <si>
    <t>7500421975435</t>
  </si>
  <si>
    <t>48303TAN230</t>
  </si>
  <si>
    <t>7500421403860</t>
  </si>
  <si>
    <t>18135CAFE250</t>
  </si>
  <si>
    <t>7500421935903</t>
  </si>
  <si>
    <t>BOTIN MUJER KARIME 18135CAFE</t>
  </si>
  <si>
    <t>102016NEGRO230</t>
  </si>
  <si>
    <t>7500421732991</t>
  </si>
  <si>
    <t>2331341NEGROORO230</t>
  </si>
  <si>
    <t>4064195124152</t>
  </si>
  <si>
    <t>ZAPATILLA MUJER 2331341NEGROORO</t>
  </si>
  <si>
    <t>131605BEIGE260</t>
  </si>
  <si>
    <t>7500421983256</t>
  </si>
  <si>
    <t>ZAPATILLA MUJER INNA 131605BEIGE</t>
  </si>
  <si>
    <t>48303NEGRO220</t>
  </si>
  <si>
    <t>7506193697971</t>
  </si>
  <si>
    <t>137401OROVIEJO250</t>
  </si>
  <si>
    <t>7500421982013</t>
  </si>
  <si>
    <t>140304AZUL250</t>
  </si>
  <si>
    <t>7500277054377</t>
  </si>
  <si>
    <t>ZAPATILLA MUJER SOPHIA 140304AZUL</t>
  </si>
  <si>
    <t>137203NEGRO250</t>
  </si>
  <si>
    <t>7500421955178</t>
  </si>
  <si>
    <t>2536645NEGRO265</t>
  </si>
  <si>
    <t>4064199750777</t>
  </si>
  <si>
    <t>BOTIN MUJER 2536645NEGRO</t>
  </si>
  <si>
    <t>130402NEGRO260</t>
  </si>
  <si>
    <t>7500421738016</t>
  </si>
  <si>
    <t>130402TAN260</t>
  </si>
  <si>
    <t>7500421737576</t>
  </si>
  <si>
    <t>2570241MOCCA250</t>
  </si>
  <si>
    <t>4064198119070</t>
  </si>
  <si>
    <t>BOTIN MUJER 2570241MOCCA</t>
  </si>
  <si>
    <t>104827MADERA230</t>
  </si>
  <si>
    <t>7500421901069</t>
  </si>
  <si>
    <t>37825TAUPE250</t>
  </si>
  <si>
    <t>7500421921678</t>
  </si>
  <si>
    <t>2472243NEGRO255</t>
  </si>
  <si>
    <t>4064195969272</t>
  </si>
  <si>
    <t>2373241NEGROCOMB230</t>
  </si>
  <si>
    <t>4064195217922</t>
  </si>
  <si>
    <t>TAL0465NEUTROUNIT</t>
  </si>
  <si>
    <t>7500421891810</t>
  </si>
  <si>
    <t>TALONERA GEL MUJER TAL0465 NEUTRO</t>
  </si>
  <si>
    <t>8560345NEGRO270</t>
  </si>
  <si>
    <t>4064225838868</t>
  </si>
  <si>
    <t>BOTA MUJER 8560345NEGRO</t>
  </si>
  <si>
    <t>130308NEUTRO240</t>
  </si>
  <si>
    <t>7500421931844</t>
  </si>
  <si>
    <t>BOTIN MUJER ISBELLE 130308NEUTRO</t>
  </si>
  <si>
    <t>25911NEGRO260</t>
  </si>
  <si>
    <t>7500421288238</t>
  </si>
  <si>
    <t>48304NEGRO260</t>
  </si>
  <si>
    <t>7506296119288</t>
  </si>
  <si>
    <t>134504VINO230</t>
  </si>
  <si>
    <t>7500421933589</t>
  </si>
  <si>
    <t>ZAPATILLA MUJER MILAN 134504VINO</t>
  </si>
  <si>
    <t>2241941NEGRO240</t>
  </si>
  <si>
    <t>4064197392139</t>
  </si>
  <si>
    <t>ZAPATO MUJER 2241941NEGRO</t>
  </si>
  <si>
    <t>131605BEIGE250</t>
  </si>
  <si>
    <t>7500421983232</t>
  </si>
  <si>
    <t>2553945NEGRO230</t>
  </si>
  <si>
    <t>4064199905276</t>
  </si>
  <si>
    <t>2513345COGNAC265</t>
  </si>
  <si>
    <t>4064199762725</t>
  </si>
  <si>
    <t>118902NEGRO230</t>
  </si>
  <si>
    <t>7500421526026</t>
  </si>
  <si>
    <t>118908NEGRO230</t>
  </si>
  <si>
    <t>7500421703137</t>
  </si>
  <si>
    <t>133901MARINO240</t>
  </si>
  <si>
    <t>7500421850718</t>
  </si>
  <si>
    <t>129201BLANCO250</t>
  </si>
  <si>
    <t>7500421674642</t>
  </si>
  <si>
    <t>705702NEGRO290</t>
  </si>
  <si>
    <t>7506484170589</t>
  </si>
  <si>
    <t>2320144COGNAC240</t>
  </si>
  <si>
    <t>4064198651662</t>
  </si>
  <si>
    <t>ZAPATO MUJER 2320144COGNAC</t>
  </si>
  <si>
    <t>421703TAN300</t>
  </si>
  <si>
    <t>7500421972816</t>
  </si>
  <si>
    <t>48303NEGRO230</t>
  </si>
  <si>
    <t>7506193697995</t>
  </si>
  <si>
    <t>133906NEGRO240</t>
  </si>
  <si>
    <t>7500421922330</t>
  </si>
  <si>
    <t>133906NEGRO250</t>
  </si>
  <si>
    <t>7500421922354</t>
  </si>
  <si>
    <t>2472243OLIVA240</t>
  </si>
  <si>
    <t>4064199830271</t>
  </si>
  <si>
    <t>BIL0432COGNACUNIT</t>
  </si>
  <si>
    <t>7500421890899</t>
  </si>
  <si>
    <t>BILLETERA HOMBRE BIL0432 COGNAC</t>
  </si>
  <si>
    <t>BILLETERA</t>
  </si>
  <si>
    <t>ESP0392NEUTROUNIT</t>
  </si>
  <si>
    <t>7500421890172</t>
  </si>
  <si>
    <t>ESPONJA BRILLO ESP0392 NEUTRO</t>
  </si>
  <si>
    <t>137902SILT240</t>
  </si>
  <si>
    <t>7500421974209</t>
  </si>
  <si>
    <t>ZAPATILLA MUJER TURAN 137902SILT</t>
  </si>
  <si>
    <t>420903NEGRO300</t>
  </si>
  <si>
    <t>7500421988688</t>
  </si>
  <si>
    <t>ZAPATILLA HOMBRE BELK 420903NEGRO</t>
  </si>
  <si>
    <t>BELK</t>
  </si>
  <si>
    <t>138502MARINO250</t>
  </si>
  <si>
    <t>7500277062082</t>
  </si>
  <si>
    <t>37826NEGRO240</t>
  </si>
  <si>
    <t>7500421921999</t>
  </si>
  <si>
    <t>BOTIN MUJER ALDARA 37826NEGRO</t>
  </si>
  <si>
    <t>422401BLANCO270</t>
  </si>
  <si>
    <t>7500421984208</t>
  </si>
  <si>
    <t>ZAPATILLA HOMBRE MADDOX 422401BLANCO</t>
  </si>
  <si>
    <t>138301NEGRO250</t>
  </si>
  <si>
    <t>7500421986103</t>
  </si>
  <si>
    <t>ZAPATILLA MUJER KOAN 138301NEGRO</t>
  </si>
  <si>
    <t>138601NEGRO260</t>
  </si>
  <si>
    <t>7500421986899</t>
  </si>
  <si>
    <t>48303NEGRO260</t>
  </si>
  <si>
    <t>7506193698053</t>
  </si>
  <si>
    <t>105124AZUL260</t>
  </si>
  <si>
    <t>7500421927052</t>
  </si>
  <si>
    <t>ZAPATILLA MUJER CASIOPEA 105124AZUL</t>
  </si>
  <si>
    <t>105124SAND250</t>
  </si>
  <si>
    <t>7500421927144</t>
  </si>
  <si>
    <t>ZAPATILLA MUJER CASIOPEA 105124SAND</t>
  </si>
  <si>
    <t>BOLSA02BEIGEUNIT</t>
  </si>
  <si>
    <t>2000090006577</t>
  </si>
  <si>
    <t>BOLSA FLEXI</t>
  </si>
  <si>
    <t>BOLSA</t>
  </si>
  <si>
    <t>131601BLANCO250</t>
  </si>
  <si>
    <t>7500421765098</t>
  </si>
  <si>
    <t>418306TAUPE290</t>
  </si>
  <si>
    <t>7500421929247</t>
  </si>
  <si>
    <t>ZAPATILLA HOMBRE APEK 418306TAUPE</t>
  </si>
  <si>
    <t>131502GRIS240</t>
  </si>
  <si>
    <t>7500421924709</t>
  </si>
  <si>
    <t>ZAPATILLA MUJER SALUMA 131502GRIS</t>
  </si>
  <si>
    <t>422301NEGRO270</t>
  </si>
  <si>
    <t>7500421983874</t>
  </si>
  <si>
    <t>ZAPATILLA HOMBRE BAXTER 422301NEGRO</t>
  </si>
  <si>
    <t>BAXTER</t>
  </si>
  <si>
    <t>25/04/2026</t>
  </si>
  <si>
    <t>25913BROWN270</t>
  </si>
  <si>
    <t>7500421936160</t>
  </si>
  <si>
    <t>137401OROVIEJO240</t>
  </si>
  <si>
    <t>7500421981993</t>
  </si>
  <si>
    <t>421703NEGRO260</t>
  </si>
  <si>
    <t>7500421972250</t>
  </si>
  <si>
    <t>137606NEGRO230</t>
  </si>
  <si>
    <t>7500421963098</t>
  </si>
  <si>
    <t>137304TABACO220</t>
  </si>
  <si>
    <t>7500421968352</t>
  </si>
  <si>
    <t>18135NEGRO230</t>
  </si>
  <si>
    <t>7500421935972</t>
  </si>
  <si>
    <t>BOTIN MUJER KARIME 18135NEGRO</t>
  </si>
  <si>
    <t>2370944IVORY255</t>
  </si>
  <si>
    <t>4064199557789</t>
  </si>
  <si>
    <t>2372043NEGROORO265</t>
  </si>
  <si>
    <t>4064198287670</t>
  </si>
  <si>
    <t>ZAPATILLA MUJER 2372043NEGROORO</t>
  </si>
  <si>
    <t>137505NEGRO230</t>
  </si>
  <si>
    <t>7500421965771</t>
  </si>
  <si>
    <t>90717NEGRO260</t>
  </si>
  <si>
    <t>7500421507216</t>
  </si>
  <si>
    <t>2527345NEGRO230</t>
  </si>
  <si>
    <t>4064199850781</t>
  </si>
  <si>
    <t>BOTIN MUJER 2527345NEGRO</t>
  </si>
  <si>
    <t>2527345NEGRO240</t>
  </si>
  <si>
    <t>4064199850798</t>
  </si>
  <si>
    <t>2509741NEGROGLAM250</t>
  </si>
  <si>
    <t>4064197820427</t>
  </si>
  <si>
    <t>BOOTIE MUJER 2509741NEGROGLAM</t>
  </si>
  <si>
    <t>25911NEGRO250</t>
  </si>
  <si>
    <t>7500421288214</t>
  </si>
  <si>
    <t>2535443NEGROCOMB265</t>
  </si>
  <si>
    <t>4064199840645</t>
  </si>
  <si>
    <t>BOTIN MUJER 2535443NEGROCOMB</t>
  </si>
  <si>
    <t>136702NEGRO230</t>
  </si>
  <si>
    <t>7500421959282</t>
  </si>
  <si>
    <t>421801MARINO280</t>
  </si>
  <si>
    <t>7500421969854</t>
  </si>
  <si>
    <t>ZAPATILLA HOMBRE HELIOS 421801MARINO</t>
  </si>
  <si>
    <t>HELIOS</t>
  </si>
  <si>
    <t>703802NEGRO290</t>
  </si>
  <si>
    <t>7506484108575</t>
  </si>
  <si>
    <t>ZAPATILLA HOMBRE LUTHER 703802NEGRO</t>
  </si>
  <si>
    <t>LUTHER</t>
  </si>
  <si>
    <t>134801AZUL260</t>
  </si>
  <si>
    <t>7500421867549</t>
  </si>
  <si>
    <t>137105NEGRO240</t>
  </si>
  <si>
    <t>7500421961049</t>
  </si>
  <si>
    <t>2531241COGNAC265</t>
  </si>
  <si>
    <t>4064197559761</t>
  </si>
  <si>
    <t>401001NEGRO260</t>
  </si>
  <si>
    <t>7500421369968</t>
  </si>
  <si>
    <t>18135NEGRO270</t>
  </si>
  <si>
    <t>7500421936054</t>
  </si>
  <si>
    <t>26/04/2026</t>
  </si>
  <si>
    <t>138104NEGRO240</t>
  </si>
  <si>
    <t>7500421974322</t>
  </si>
  <si>
    <t>37825NEGRO230</t>
  </si>
  <si>
    <t>7500421933800</t>
  </si>
  <si>
    <t>132702MOCCA240</t>
  </si>
  <si>
    <t>7500421779637</t>
  </si>
  <si>
    <t>2626643NEGRO230</t>
  </si>
  <si>
    <t>4064198380319</t>
  </si>
  <si>
    <t>CEP1168NEUTROUNIT</t>
  </si>
  <si>
    <t>7500421998069</t>
  </si>
  <si>
    <t>CEPILLO CELDA NATURAL CEP1168 NEUTRO</t>
  </si>
  <si>
    <t>137502NEGRO230</t>
  </si>
  <si>
    <t>7500421963418</t>
  </si>
  <si>
    <t>ZAPATO MUJER ANNETTE 137502NEGRO</t>
  </si>
  <si>
    <t>2502641NEGRO265</t>
  </si>
  <si>
    <t>4064197725197</t>
  </si>
  <si>
    <t>422401NEGRO290</t>
  </si>
  <si>
    <t>7500421984574</t>
  </si>
  <si>
    <t>418306TAUPE280</t>
  </si>
  <si>
    <t>7500421929223</t>
  </si>
  <si>
    <t>8540845VERDE270</t>
  </si>
  <si>
    <t>4064225838363</t>
  </si>
  <si>
    <t>2320144NEGRO250</t>
  </si>
  <si>
    <t>4064198651433</t>
  </si>
  <si>
    <t>418306CAFE270</t>
  </si>
  <si>
    <t>7500421929094</t>
  </si>
  <si>
    <t>2545941NEGRO240</t>
  </si>
  <si>
    <t>4064197719349</t>
  </si>
  <si>
    <t>BOTIN MUJER 2545941NEGRO</t>
  </si>
  <si>
    <t>25913BROWN240</t>
  </si>
  <si>
    <t>7500421936108</t>
  </si>
  <si>
    <t>8540845BEIGE255</t>
  </si>
  <si>
    <t>4064225838028</t>
  </si>
  <si>
    <t>BOTIN MUJER 8540845BEIGE</t>
  </si>
  <si>
    <t>BOLSA01BEIGEUNIT</t>
  </si>
  <si>
    <t>9990000000012</t>
  </si>
  <si>
    <t>BOLSA UNISEX FLEXI BOLSA01 BEIGE</t>
  </si>
  <si>
    <t>2682545CAMEL230</t>
  </si>
  <si>
    <t>4064199911826</t>
  </si>
  <si>
    <t>BOTIN MUJER 2682545CAMEL</t>
  </si>
  <si>
    <t>130610VINO270</t>
  </si>
  <si>
    <t>7500421970249</t>
  </si>
  <si>
    <t>133906VINO230</t>
  </si>
  <si>
    <t>7500421931493</t>
  </si>
  <si>
    <t>138301NEGRO260</t>
  </si>
  <si>
    <t>7500421986127</t>
  </si>
  <si>
    <t>137702CAFE230</t>
  </si>
  <si>
    <t>7500421967379</t>
  </si>
  <si>
    <t>BOTIN MUJER CAYETANA 137702CAFE</t>
  </si>
  <si>
    <t>137808NEGRO240</t>
  </si>
  <si>
    <t>7500421989623</t>
  </si>
  <si>
    <t>BOTIN MUJER DARIELA 137808NEGRO</t>
  </si>
  <si>
    <t>134704NEGRO250</t>
  </si>
  <si>
    <t>7500421933510</t>
  </si>
  <si>
    <t>BOTIN MUJER EILEEN 134704NEGRO</t>
  </si>
  <si>
    <t>2370944AZUL240</t>
  </si>
  <si>
    <t>4064199558045</t>
  </si>
  <si>
    <t>ZAPATILLA MUJER 2370944AZUL</t>
  </si>
  <si>
    <t>141202NEGRO230</t>
  </si>
  <si>
    <t>7500277052779</t>
  </si>
  <si>
    <t>37825TAUPE240</t>
  </si>
  <si>
    <t>7500421921654</t>
  </si>
  <si>
    <t>2472243OLIVA270</t>
  </si>
  <si>
    <t>4064199830318</t>
  </si>
  <si>
    <t>2373241IVORYCOMB250</t>
  </si>
  <si>
    <t>4064195218226</t>
  </si>
  <si>
    <t>ZAPATILLA MUJER 2373241IVORYCOMB</t>
  </si>
  <si>
    <t>2420042COGNAC250</t>
  </si>
  <si>
    <t>4064197995262</t>
  </si>
  <si>
    <t>8370742CAFE250</t>
  </si>
  <si>
    <t>4064225730315</t>
  </si>
  <si>
    <t>ZAPATILLA MUJER 8370742CAFE</t>
  </si>
  <si>
    <t>8372644MOCCALEOPARDO265</t>
  </si>
  <si>
    <t>4064225924318</t>
  </si>
  <si>
    <t>138301NEGRO240</t>
  </si>
  <si>
    <t>7500421986080</t>
  </si>
  <si>
    <t>136602TAN250</t>
  </si>
  <si>
    <t>7500421973462</t>
  </si>
  <si>
    <t>136602NEGRO230</t>
  </si>
  <si>
    <t>7500421973530</t>
  </si>
  <si>
    <t>2536645CAFE255</t>
  </si>
  <si>
    <t>4064199751002</t>
  </si>
  <si>
    <t>BOTIN MUJER 2536645CAFE</t>
  </si>
  <si>
    <t>REN0399MARRONOSCUROUNIT</t>
  </si>
  <si>
    <t>7500421890240</t>
  </si>
  <si>
    <t>RENOVADOR REN0399 MARRONOSCURO</t>
  </si>
  <si>
    <t>412801NEGRO290</t>
  </si>
  <si>
    <t>7500421542422</t>
  </si>
  <si>
    <t>45605NEGRO260</t>
  </si>
  <si>
    <t>7500421398999</t>
  </si>
  <si>
    <t>ZAPATO MUJER CASTANA 45605NEGRO</t>
  </si>
  <si>
    <t>2472243NEGRO250</t>
  </si>
  <si>
    <t>4064195969265</t>
  </si>
  <si>
    <t>104918NEGRO240</t>
  </si>
  <si>
    <t>7500421773789</t>
  </si>
  <si>
    <t>ZAPATILLA MUJER GRECYA 104918NEGRO</t>
  </si>
  <si>
    <t>104932ROSA240</t>
  </si>
  <si>
    <t>7500421967720</t>
  </si>
  <si>
    <t>ZAPATILLA MUJER GRECYA 104932ROSA</t>
  </si>
  <si>
    <t>25913NEGRO240</t>
  </si>
  <si>
    <t>7500421415856</t>
  </si>
  <si>
    <t>45606NEGRO220</t>
  </si>
  <si>
    <t>7500421399101</t>
  </si>
  <si>
    <t>2533643NEGROCOMB255</t>
  </si>
  <si>
    <t>4064198322623</t>
  </si>
  <si>
    <t>BOTIN MUJER 2533643NEGROCOMB</t>
  </si>
  <si>
    <t>2532143COGNAC230</t>
  </si>
  <si>
    <t>4064195990221</t>
  </si>
  <si>
    <t>141302ROSA230</t>
  </si>
  <si>
    <t>7500277052441</t>
  </si>
  <si>
    <t>CRE0441CAFECLAROUNIT</t>
  </si>
  <si>
    <t>7500421890981</t>
  </si>
  <si>
    <t>CREMA AUTOBRILLANTE CRE0441 CAFECLARO</t>
  </si>
  <si>
    <t>134504VINO260</t>
  </si>
  <si>
    <t>7500421933640</t>
  </si>
  <si>
    <t>137105DARKTAN260</t>
  </si>
  <si>
    <t>7500421967218</t>
  </si>
  <si>
    <t>105126NEGRO250</t>
  </si>
  <si>
    <t>7500277050942</t>
  </si>
  <si>
    <t>ZAPATILLA MUJER CASIOPEA 105126NEGRO</t>
  </si>
  <si>
    <t>37824TAN250</t>
  </si>
  <si>
    <t>7500421895924</t>
  </si>
  <si>
    <t>8520045TAN240</t>
  </si>
  <si>
    <t>4064225768356</t>
  </si>
  <si>
    <t>BOTIN MUJER 8520045TAN</t>
  </si>
  <si>
    <t>8372644ROJOLEOPARDO265</t>
  </si>
  <si>
    <t>4064225924592</t>
  </si>
  <si>
    <t>ZAPATILLA MUJER 8372644ROJOLEOPARDO</t>
  </si>
  <si>
    <t>45606NEGRO250</t>
  </si>
  <si>
    <t>7500421399163</t>
  </si>
  <si>
    <t>2375545BLANCO255</t>
  </si>
  <si>
    <t>4064199575479</t>
  </si>
  <si>
    <t>2472243OLIVA230</t>
  </si>
  <si>
    <t>4064199830264</t>
  </si>
  <si>
    <t>2521245COGNAC230</t>
  </si>
  <si>
    <t>4064199904286</t>
  </si>
  <si>
    <t>137105DARKTAN240</t>
  </si>
  <si>
    <t>7500421967171</t>
  </si>
  <si>
    <t>104827MADERA260</t>
  </si>
  <si>
    <t>7500421901120</t>
  </si>
  <si>
    <t>138601NEGRO250</t>
  </si>
  <si>
    <t>7500421986875</t>
  </si>
  <si>
    <t>CIN0459COGNAC40</t>
  </si>
  <si>
    <t>7500421891551</t>
  </si>
  <si>
    <t>137804TAUPE250</t>
  </si>
  <si>
    <t>7500421979440</t>
  </si>
  <si>
    <t>136803NUDE250</t>
  </si>
  <si>
    <t>7500421964347</t>
  </si>
  <si>
    <t>BALLERINA MUJER ATESSA 136803NUDE</t>
  </si>
  <si>
    <t>130004TAN260</t>
  </si>
  <si>
    <t>7500421717721</t>
  </si>
  <si>
    <t>BOTIN MUJER RAISSA 130004TAN</t>
  </si>
  <si>
    <t>133906NEGRO270</t>
  </si>
  <si>
    <t>7500421922392</t>
  </si>
  <si>
    <t>137102NEGRO270</t>
  </si>
  <si>
    <t>7500421958582</t>
  </si>
  <si>
    <t>BOOTIE MUJER CARLINE 137102NEGRO</t>
  </si>
  <si>
    <t>FLEXI PLAZA VESPUCIO</t>
  </si>
  <si>
    <t>131501LILA260</t>
  </si>
  <si>
    <t>7500421925188</t>
  </si>
  <si>
    <t>401001NEGRO300</t>
  </si>
  <si>
    <t>7500421370049</t>
  </si>
  <si>
    <t>8431645NEGRO240</t>
  </si>
  <si>
    <t>4064225719549</t>
  </si>
  <si>
    <t>ZAPATO MUJER 8431645NEGRO</t>
  </si>
  <si>
    <t>2472243NEGRO230</t>
  </si>
  <si>
    <t>4064195969241</t>
  </si>
  <si>
    <t>116802NEGRO240</t>
  </si>
  <si>
    <t>7500421494868</t>
  </si>
  <si>
    <t>422401NEGRO280</t>
  </si>
  <si>
    <t>7500421984550</t>
  </si>
  <si>
    <t>131503NEGRO240</t>
  </si>
  <si>
    <t>7500421982990</t>
  </si>
  <si>
    <t>8371745BEIGECOMB240</t>
  </si>
  <si>
    <t>4064225747597</t>
  </si>
  <si>
    <t>ZAPATILLA MUJER 8371745BEIGECOMB</t>
  </si>
  <si>
    <t>131605BEIGE240</t>
  </si>
  <si>
    <t>7500421983218</t>
  </si>
  <si>
    <t>25911CAFE260</t>
  </si>
  <si>
    <t>7500421288344</t>
  </si>
  <si>
    <t>CRE0440MARRONUNIT</t>
  </si>
  <si>
    <t>7500421890974</t>
  </si>
  <si>
    <t>CREMA AUTOBRILLANTE CRE0440 MARRON</t>
  </si>
  <si>
    <t>2360342IVORYCOMB240</t>
  </si>
  <si>
    <t>4064195084364</t>
  </si>
  <si>
    <t>2360342NEGROCOMB240</t>
  </si>
  <si>
    <t>4064195083404</t>
  </si>
  <si>
    <t>131605BEIGE230</t>
  </si>
  <si>
    <t>7500421983195</t>
  </si>
  <si>
    <t>130201AZUL240</t>
  </si>
  <si>
    <t>7500421936986</t>
  </si>
  <si>
    <t>135202NEGRO260</t>
  </si>
  <si>
    <t>7500421925843</t>
  </si>
  <si>
    <t>131604BLANCO-NEGRO220</t>
  </si>
  <si>
    <t>7500421928172</t>
  </si>
  <si>
    <t>701306NEGRO270</t>
  </si>
  <si>
    <t>7506212697920</t>
  </si>
  <si>
    <t>BOTIN HOMBRE TREK 701306NEGRO</t>
  </si>
  <si>
    <t>131606NEGRO240</t>
  </si>
  <si>
    <t>7500421982662</t>
  </si>
  <si>
    <t>2372344OLIVA255</t>
  </si>
  <si>
    <t>4064199645738</t>
  </si>
  <si>
    <t>8371745NEGROCOMB240</t>
  </si>
  <si>
    <t>4064225747917</t>
  </si>
  <si>
    <t>105111DENIM250</t>
  </si>
  <si>
    <t>7500421704448</t>
  </si>
  <si>
    <t>ZAPATILLA MUJER CASIOPEA 105111DENIM</t>
  </si>
  <si>
    <t>2360342NEGROCOMB250</t>
  </si>
  <si>
    <t>4064195083411</t>
  </si>
  <si>
    <t>701306NEGRO260</t>
  </si>
  <si>
    <t>7506212697906</t>
  </si>
  <si>
    <t>417702NEGRO270</t>
  </si>
  <si>
    <t>7500421674291</t>
  </si>
  <si>
    <t>417702TAN270</t>
  </si>
  <si>
    <t>7500421674185</t>
  </si>
  <si>
    <t>8431645NEGRO230</t>
  </si>
  <si>
    <t>4064225719532</t>
  </si>
  <si>
    <t>401001DARKTAN270</t>
  </si>
  <si>
    <t>7500421423493</t>
  </si>
  <si>
    <t>2536645CAFE250</t>
  </si>
  <si>
    <t>4064199750999</t>
  </si>
  <si>
    <t>122701NEGRO240</t>
  </si>
  <si>
    <t>7500421538722</t>
  </si>
  <si>
    <t>SANDALIA MUJER BIRGIT 122701NEGRO</t>
  </si>
  <si>
    <t>415506OXFORD280</t>
  </si>
  <si>
    <t>7500421929889</t>
  </si>
  <si>
    <t>ZAPATILLA HOMBRE BARAK 415506OXFORD</t>
  </si>
  <si>
    <t>104501ESCAMANEGRO250</t>
  </si>
  <si>
    <t>7500421847114</t>
  </si>
  <si>
    <t>104519NEGRO250</t>
  </si>
  <si>
    <t>7500421845905</t>
  </si>
  <si>
    <t>104505OROVIEJO250</t>
  </si>
  <si>
    <t>7500421837948</t>
  </si>
  <si>
    <t>ZAPATO MUJER IDRIS 104505OROVIEJO</t>
  </si>
  <si>
    <t>415506DENIM270</t>
  </si>
  <si>
    <t>7500421930083</t>
  </si>
  <si>
    <t>412801NEGRO270</t>
  </si>
  <si>
    <t>7500421542385</t>
  </si>
  <si>
    <t>105125BEIGE250</t>
  </si>
  <si>
    <t>7500277050720</t>
  </si>
  <si>
    <t>2331341NEGROORO250</t>
  </si>
  <si>
    <t>4064195124176</t>
  </si>
  <si>
    <t>28206HUESOMKP260</t>
  </si>
  <si>
    <t>7500421647240</t>
  </si>
  <si>
    <t>141301GRIS260</t>
  </si>
  <si>
    <t>7500277052397</t>
  </si>
  <si>
    <t>131601BLANCO230</t>
  </si>
  <si>
    <t>7500421765050</t>
  </si>
  <si>
    <t>25911CAFE240</t>
  </si>
  <si>
    <t>7500421288306</t>
  </si>
  <si>
    <t>418202NEGRO260</t>
  </si>
  <si>
    <t>7500421760833</t>
  </si>
  <si>
    <t>MOCASIN HOMBRE MCCARTHY 418202NEGRO</t>
  </si>
  <si>
    <t>406003BRANDY280</t>
  </si>
  <si>
    <t>7500421476208</t>
  </si>
  <si>
    <t>2231843NEGROCHAROL230</t>
  </si>
  <si>
    <t>4064198132321</t>
  </si>
  <si>
    <t>422501NEGRO280</t>
  </si>
  <si>
    <t>7500421978894</t>
  </si>
  <si>
    <t>2372643TAUPECOMB270</t>
  </si>
  <si>
    <t>4064199562653</t>
  </si>
  <si>
    <t>401010TAUPE290</t>
  </si>
  <si>
    <t>7500421803271</t>
  </si>
  <si>
    <t>ZAPATO HOMBRE RANDALL 401010TAUPE</t>
  </si>
  <si>
    <t>401010OXFORD290</t>
  </si>
  <si>
    <t>7500421803394</t>
  </si>
  <si>
    <t>ZAPATO HOMBRE RANDALL 401010OXFORD</t>
  </si>
  <si>
    <t>25911NEGRO240</t>
  </si>
  <si>
    <t>7500421288191</t>
  </si>
  <si>
    <t>400020NEGRO290</t>
  </si>
  <si>
    <t>7500421553008</t>
  </si>
  <si>
    <t>SANDALIA HOMBRE ODIN 400020NEGRO</t>
  </si>
  <si>
    <t>420401AZUL270</t>
  </si>
  <si>
    <t>7500421885673</t>
  </si>
  <si>
    <t>130207NEGRO240</t>
  </si>
  <si>
    <t>7500421937204</t>
  </si>
  <si>
    <t>37826NEGRO250</t>
  </si>
  <si>
    <t>7500421922019</t>
  </si>
  <si>
    <t>88609NEGRO270</t>
  </si>
  <si>
    <t>7506484103341</t>
  </si>
  <si>
    <t>25913NEGRO250</t>
  </si>
  <si>
    <t>7500421415870</t>
  </si>
  <si>
    <t>131501BLANCO260</t>
  </si>
  <si>
    <t>7500421752883</t>
  </si>
  <si>
    <t>ZAPATILLA MUJER SALUMA 131501BLANCO</t>
  </si>
  <si>
    <t>133901NEGRO270</t>
  </si>
  <si>
    <t>7500421863015</t>
  </si>
  <si>
    <t>131607NEGRO260</t>
  </si>
  <si>
    <t>7500277051192</t>
  </si>
  <si>
    <t>ZAPATILLA MUJER INNA 131607NEGRO</t>
  </si>
  <si>
    <t>119706BEIGE230</t>
  </si>
  <si>
    <t>7500421576212</t>
  </si>
  <si>
    <t>101905NEGRO240</t>
  </si>
  <si>
    <t>7500421453773</t>
  </si>
  <si>
    <t>PLA1737ROSAUNIT</t>
  </si>
  <si>
    <t>0312102121124</t>
  </si>
  <si>
    <t>PLANTILLA CONFORT TEXTIL PLA1737 ROSA</t>
  </si>
  <si>
    <t>2431643COGNAC230</t>
  </si>
  <si>
    <t>4064195984527</t>
  </si>
  <si>
    <t>ZAPATO MUJER 2431643COGNAC</t>
  </si>
  <si>
    <t>421702COGNAC260</t>
  </si>
  <si>
    <t>7500421972618</t>
  </si>
  <si>
    <t>BOTIN HOMBRE KUNO 421702COGNAC</t>
  </si>
  <si>
    <t>421703NEGRO280</t>
  </si>
  <si>
    <t>7500421972298</t>
  </si>
  <si>
    <t>128406NEGRO250</t>
  </si>
  <si>
    <t>7500421828861</t>
  </si>
  <si>
    <t>137503BEIGE250</t>
  </si>
  <si>
    <t>7500421968963</t>
  </si>
  <si>
    <t>ZAPATO MUJER ANNETTE 137503BEIGE</t>
  </si>
  <si>
    <t>2420042TAUPE250</t>
  </si>
  <si>
    <t>4064197995026</t>
  </si>
  <si>
    <t>MOCASIN MUJER 2420042TAUPE</t>
  </si>
  <si>
    <t>104519ROJO250</t>
  </si>
  <si>
    <t>7500421845684</t>
  </si>
  <si>
    <t>104501ESCAMANUDE250</t>
  </si>
  <si>
    <t>7500421847220</t>
  </si>
  <si>
    <t>ZAPATO MUJER IDRIS 104501ESCAMANUDE</t>
  </si>
  <si>
    <t>105111NEGRO270</t>
  </si>
  <si>
    <t>7500421704592</t>
  </si>
  <si>
    <t>138104NEGRO260</t>
  </si>
  <si>
    <t>7500421974360</t>
  </si>
  <si>
    <t>2372742NEGROORO240</t>
  </si>
  <si>
    <t>4064195725175</t>
  </si>
  <si>
    <t>ZAPATILLA MUJER 2372742NEGROORO</t>
  </si>
  <si>
    <t>2513345NEGRO250</t>
  </si>
  <si>
    <t>4064199762220</t>
  </si>
  <si>
    <t>88608NEGRO260</t>
  </si>
  <si>
    <t>7506212698026</t>
  </si>
  <si>
    <t>102015NEGRO270</t>
  </si>
  <si>
    <t>7500421680988</t>
  </si>
  <si>
    <t>ZAPATO MUJER TRAVIATA 102015NEGRO</t>
  </si>
  <si>
    <t>131607NEGRO230</t>
  </si>
  <si>
    <t>7500277051130</t>
  </si>
  <si>
    <t>420704NEGRO270</t>
  </si>
  <si>
    <t>7500421980637</t>
  </si>
  <si>
    <t>ZAPATILLA HOMBRE KING 420704NEGRO</t>
  </si>
  <si>
    <t>422401NEGRO270</t>
  </si>
  <si>
    <t>7500421984536</t>
  </si>
  <si>
    <t>704705NEGRO280</t>
  </si>
  <si>
    <t>7506484171708</t>
  </si>
  <si>
    <t>BOTIN HOMBRE VOLPI 704705NEGRO</t>
  </si>
  <si>
    <t>VOLPI</t>
  </si>
  <si>
    <t>137003ANTIMONIO270</t>
  </si>
  <si>
    <t>7500421965283</t>
  </si>
  <si>
    <t>2370944AZUL250</t>
  </si>
  <si>
    <t>4064199558052</t>
  </si>
  <si>
    <t>88515NEGRO290</t>
  </si>
  <si>
    <t>7506484114576</t>
  </si>
  <si>
    <t>BOTIN HOMBRE DIEGO 88515NEGRO</t>
  </si>
  <si>
    <t>DIEGO</t>
  </si>
  <si>
    <t>137503NEGRO250</t>
  </si>
  <si>
    <t>7500421963340</t>
  </si>
  <si>
    <t>137301NEGRO240</t>
  </si>
  <si>
    <t>7500421964217</t>
  </si>
  <si>
    <t>ZAPATO MUJER MERCEDES 137301NEGRO</t>
  </si>
  <si>
    <t>105111DENIM260</t>
  </si>
  <si>
    <t>7500421704462</t>
  </si>
  <si>
    <t>126716MARINO260</t>
  </si>
  <si>
    <t>7500421923955</t>
  </si>
  <si>
    <t>130207CAFE250</t>
  </si>
  <si>
    <t>7500421985229</t>
  </si>
  <si>
    <t>BOTIN MUJER AZURE 130207CAFE</t>
  </si>
  <si>
    <t>2372742NEGROORO255</t>
  </si>
  <si>
    <t>4064195725199</t>
  </si>
  <si>
    <t>88515NEGRO270</t>
  </si>
  <si>
    <t>7506484114538</t>
  </si>
  <si>
    <t>133901NEGRO260</t>
  </si>
  <si>
    <t>7500421862995</t>
  </si>
  <si>
    <t>134503NEGRO230</t>
  </si>
  <si>
    <t>7500421863909</t>
  </si>
  <si>
    <t>ZAPATILLA MUJER MILAN 134503NEGRO</t>
  </si>
  <si>
    <t>135202NEGRO230</t>
  </si>
  <si>
    <t>7500421925782</t>
  </si>
  <si>
    <t>2331341ESTAÑOCOMB230</t>
  </si>
  <si>
    <t>4064199518889</t>
  </si>
  <si>
    <t>131501BURGUNDY240</t>
  </si>
  <si>
    <t>7500421925256</t>
  </si>
  <si>
    <t>126710DORADO260</t>
  </si>
  <si>
    <t>7500421749180</t>
  </si>
  <si>
    <t>ZAPATO MUJER EDITH 126710DORADO</t>
  </si>
  <si>
    <t>420401AZUL280</t>
  </si>
  <si>
    <t>7500421885697</t>
  </si>
  <si>
    <t>418202NEGRO290</t>
  </si>
  <si>
    <t>7500421760895</t>
  </si>
  <si>
    <t>125616BEIGE240</t>
  </si>
  <si>
    <t>7500421974988</t>
  </si>
  <si>
    <t>ZAPATILLA MUJER ASHLEY 125616BEIGE</t>
  </si>
  <si>
    <t>2373241TAUPESNAKE255</t>
  </si>
  <si>
    <t>4064199833647</t>
  </si>
  <si>
    <t>ZAPATILLA MUJER 2373241TAUPESNAKE</t>
  </si>
  <si>
    <t>131604BLANCO-NEGRO250</t>
  </si>
  <si>
    <t>7500421928233</t>
  </si>
  <si>
    <t>134503NEGRO250</t>
  </si>
  <si>
    <t>7500421863947</t>
  </si>
  <si>
    <t>104932NEGRO240</t>
  </si>
  <si>
    <t>7500421967614</t>
  </si>
  <si>
    <t>ZAPATILLA MUJER GRECYA 104932NEGRO</t>
  </si>
  <si>
    <t>130402NEGRO270</t>
  </si>
  <si>
    <t>7500421738030</t>
  </si>
  <si>
    <t>137502NEGRO250</t>
  </si>
  <si>
    <t>7500421963456</t>
  </si>
  <si>
    <t>138602AZUL250</t>
  </si>
  <si>
    <t>7500421987209</t>
  </si>
  <si>
    <t>415506DENIM290</t>
  </si>
  <si>
    <t>7500421930120</t>
  </si>
  <si>
    <t>422501NEGRO300</t>
  </si>
  <si>
    <t>7500421978931</t>
  </si>
  <si>
    <t>420703GRIS280</t>
  </si>
  <si>
    <t>7500421928561</t>
  </si>
  <si>
    <t>ZAPATILLA HOMBRE KING 420703GRIS</t>
  </si>
  <si>
    <t>131501MENTA240</t>
  </si>
  <si>
    <t>7500277051253</t>
  </si>
  <si>
    <t>ZAPATILLA MUJER SALUMA 131501MENTA</t>
  </si>
  <si>
    <t>137002MARINO240</t>
  </si>
  <si>
    <t>7500421965115</t>
  </si>
  <si>
    <t>ZAPATILLA MUJER MILDRED 137002MARINO</t>
  </si>
  <si>
    <t>141202DENIM240</t>
  </si>
  <si>
    <t>7500277052687</t>
  </si>
  <si>
    <t>ZAPATILLA MUJER KINDRA 141202DENIM</t>
  </si>
  <si>
    <t>2626643CREMA250</t>
  </si>
  <si>
    <t>4064199917576</t>
  </si>
  <si>
    <t>422401GRIS270</t>
  </si>
  <si>
    <t>7500421989296</t>
  </si>
  <si>
    <t>2241041NEGRO230</t>
  </si>
  <si>
    <t>4064197396083</t>
  </si>
  <si>
    <t>2552943COGNAC240</t>
  </si>
  <si>
    <t>4064198157829</t>
  </si>
  <si>
    <t>BOTA MUJER 2552943COGNAC</t>
  </si>
  <si>
    <t>2536645NEGRO255</t>
  </si>
  <si>
    <t>4064199750760</t>
  </si>
  <si>
    <t>137202NEGRO270</t>
  </si>
  <si>
    <t>7500421955321</t>
  </si>
  <si>
    <t>2372344OLIVA250</t>
  </si>
  <si>
    <t>4064199645721</t>
  </si>
  <si>
    <t>2420042AZUL255</t>
  </si>
  <si>
    <t>4064197995750</t>
  </si>
  <si>
    <t>MOCASIN MUJER 2420042AZUL</t>
  </si>
  <si>
    <t>421103AZUL280</t>
  </si>
  <si>
    <t>7500421981450</t>
  </si>
  <si>
    <t>ZAPATILLA HOMBRE ZEGAMA 421103AZUL</t>
  </si>
  <si>
    <t>138701NEGRO240</t>
  </si>
  <si>
    <t>7500421987513</t>
  </si>
  <si>
    <t>ZAPATILLA MUJER JEZZ 138701NEGRO</t>
  </si>
  <si>
    <t>JEZZ</t>
  </si>
  <si>
    <t>138502VINO230</t>
  </si>
  <si>
    <t>7500421987902</t>
  </si>
  <si>
    <t>ZAPATILLA MUJER NAOKI 138502VINO</t>
  </si>
  <si>
    <t>137305NEGRO240</t>
  </si>
  <si>
    <t>7500421977859</t>
  </si>
  <si>
    <t>131501NEGRO240</t>
  </si>
  <si>
    <t>7500421752951</t>
  </si>
  <si>
    <t>2373141ORO240</t>
  </si>
  <si>
    <t>4064195123964</t>
  </si>
  <si>
    <t>138601NEGRO230</t>
  </si>
  <si>
    <t>7500421986837</t>
  </si>
  <si>
    <t>104501ESCAMANEGRO220</t>
  </si>
  <si>
    <t>7500421847053</t>
  </si>
  <si>
    <t>137808NEGRO260</t>
  </si>
  <si>
    <t>7500421989661</t>
  </si>
  <si>
    <t>140304NEGRO270</t>
  </si>
  <si>
    <t>7500277054636</t>
  </si>
  <si>
    <t>131503NEGRO230</t>
  </si>
  <si>
    <t>7500421982976</t>
  </si>
  <si>
    <t>413005NEGRO260</t>
  </si>
  <si>
    <t>7500421558911</t>
  </si>
  <si>
    <t>130004NEGRO270</t>
  </si>
  <si>
    <t>7500421712627</t>
  </si>
  <si>
    <t>417505BROWN280</t>
  </si>
  <si>
    <t>7500421857793</t>
  </si>
  <si>
    <t>ZAPATILLA HOMBRE CARDIFF 417505BROWN</t>
  </si>
  <si>
    <t>2241941NEGRO250</t>
  </si>
  <si>
    <t>4064197392146</t>
  </si>
  <si>
    <t>137606NEGRO250</t>
  </si>
  <si>
    <t>7500421963135</t>
  </si>
  <si>
    <t>131501LILA240</t>
  </si>
  <si>
    <t>7500421925140</t>
  </si>
  <si>
    <t>129404TAN240</t>
  </si>
  <si>
    <t>7500421865149</t>
  </si>
  <si>
    <t>SANDALIA MUJER FRAGA 129404TAN</t>
  </si>
  <si>
    <t>420401NEGRO280</t>
  </si>
  <si>
    <t>7500421865590</t>
  </si>
  <si>
    <t>ZAPATILLA HOMBRE POARCH 420401NEGRO</t>
  </si>
  <si>
    <t>104505OROVIEJO240</t>
  </si>
  <si>
    <t>7500421837924</t>
  </si>
  <si>
    <t>137202NEGRO250</t>
  </si>
  <si>
    <t>7500421955284</t>
  </si>
  <si>
    <t>2626643NEGRO240</t>
  </si>
  <si>
    <t>4064198380326</t>
  </si>
  <si>
    <t>130009NEGRO230</t>
  </si>
  <si>
    <t>7500421980286</t>
  </si>
  <si>
    <t>137102NEGRO240</t>
  </si>
  <si>
    <t>7500421958520</t>
  </si>
  <si>
    <t>137201NEGRO240</t>
  </si>
  <si>
    <t>7500421955048</t>
  </si>
  <si>
    <t>138301NEGRO230</t>
  </si>
  <si>
    <t>7500421986066</t>
  </si>
  <si>
    <t>137105NEGRO220</t>
  </si>
  <si>
    <t>7500421961001</t>
  </si>
  <si>
    <t>102015NEGRO240</t>
  </si>
  <si>
    <t>7500421680926</t>
  </si>
  <si>
    <t>28206HUESOMKP250</t>
  </si>
  <si>
    <t>7500421647226</t>
  </si>
  <si>
    <t>2370944AZUL255</t>
  </si>
  <si>
    <t>4064199558069</t>
  </si>
  <si>
    <t>132201NEGRO250</t>
  </si>
  <si>
    <t>7500421775561</t>
  </si>
  <si>
    <t>ZAPATILLA MUJER BRISEA 132201NEGRO</t>
  </si>
  <si>
    <t>413014NEGRO270</t>
  </si>
  <si>
    <t>7500421696262</t>
  </si>
  <si>
    <t>ZAPATILLA HOMBRE HIKA 413014NEGRO</t>
  </si>
  <si>
    <t>130605TAN230</t>
  </si>
  <si>
    <t>7500421896310</t>
  </si>
  <si>
    <t>ZAPATO MUJER MARIELA 130605TAN</t>
  </si>
  <si>
    <t>137505VINO220</t>
  </si>
  <si>
    <t>7500421968017</t>
  </si>
  <si>
    <t>37826NEGRO230</t>
  </si>
  <si>
    <t>7500421921975</t>
  </si>
  <si>
    <t>138105NEGRO270</t>
  </si>
  <si>
    <t>7500421974605</t>
  </si>
  <si>
    <t>2231843CAFECOMB240</t>
  </si>
  <si>
    <t>4064199608320</t>
  </si>
  <si>
    <t>130004TAN250</t>
  </si>
  <si>
    <t>7500421717707</t>
  </si>
  <si>
    <t>420401NIEBLA280</t>
  </si>
  <si>
    <t>7500421849026</t>
  </si>
  <si>
    <t>ZAPATILLA HOMBRE POARCH 420401NIEBLA</t>
  </si>
  <si>
    <t>104521NEGRO230</t>
  </si>
  <si>
    <t>7500421903780</t>
  </si>
  <si>
    <t>420401AZUL250</t>
  </si>
  <si>
    <t>7500421885635</t>
  </si>
  <si>
    <t>138301TAUPE260</t>
  </si>
  <si>
    <t>7500421986349</t>
  </si>
  <si>
    <t>135202ROSA250</t>
  </si>
  <si>
    <t>7500421925935</t>
  </si>
  <si>
    <t>110401NEGRO250</t>
  </si>
  <si>
    <t>7500421466421</t>
  </si>
  <si>
    <t>137202NEGRO260</t>
  </si>
  <si>
    <t>7500421955307</t>
  </si>
  <si>
    <t>136704ORO250</t>
  </si>
  <si>
    <t>7500421973134</t>
  </si>
  <si>
    <t>104505OROVIEJO230</t>
  </si>
  <si>
    <t>7500421837900</t>
  </si>
  <si>
    <t>130605TAN240</t>
  </si>
  <si>
    <t>7500421896334</t>
  </si>
  <si>
    <t>2431643NEGRO230</t>
  </si>
  <si>
    <t>4064195984282</t>
  </si>
  <si>
    <t>ZAPATO MUJER 2431643NEGRO</t>
  </si>
  <si>
    <t>104501ESCAMANEGRO230</t>
  </si>
  <si>
    <t>7500421847077</t>
  </si>
  <si>
    <t>137808NEGRO250</t>
  </si>
  <si>
    <t>7500421989647</t>
  </si>
  <si>
    <t>104501ESCAMANUDE220</t>
  </si>
  <si>
    <t>7500421847169</t>
  </si>
  <si>
    <t>420401NEGRO290</t>
  </si>
  <si>
    <t>7500421865613</t>
  </si>
  <si>
    <t>140304NEGRO260</t>
  </si>
  <si>
    <t>7500277054612</t>
  </si>
  <si>
    <t>419406TAN280</t>
  </si>
  <si>
    <t>7500421952825</t>
  </si>
  <si>
    <t>418202NEGRO270</t>
  </si>
  <si>
    <t>7500421760857</t>
  </si>
  <si>
    <t>126710DORADO250</t>
  </si>
  <si>
    <t>7500421749166</t>
  </si>
  <si>
    <t>104806CHERRY240</t>
  </si>
  <si>
    <t>7500421840016</t>
  </si>
  <si>
    <t>126710DORADO240</t>
  </si>
  <si>
    <t>7500421749142</t>
  </si>
  <si>
    <t>2513345COGNAC255</t>
  </si>
  <si>
    <t>4064199762718</t>
  </si>
  <si>
    <t>418202NEGRO280</t>
  </si>
  <si>
    <t>7500421760871</t>
  </si>
  <si>
    <t>136804CHAROLNEGRO270</t>
  </si>
  <si>
    <t>7500421980149</t>
  </si>
  <si>
    <t>420401NEGRO270</t>
  </si>
  <si>
    <t>7500421865576</t>
  </si>
  <si>
    <t>2360342OLIVACOMB230</t>
  </si>
  <si>
    <t>4064199555235</t>
  </si>
  <si>
    <t>418201NEGRO250</t>
  </si>
  <si>
    <t>7500421761038</t>
  </si>
  <si>
    <t>133906VINO260</t>
  </si>
  <si>
    <t>7500421931554</t>
  </si>
  <si>
    <t>131503NEGRO250</t>
  </si>
  <si>
    <t>7500421983010</t>
  </si>
  <si>
    <t>138301TAUPE250</t>
  </si>
  <si>
    <t>7500421986325</t>
  </si>
  <si>
    <t>136602HUESO240</t>
  </si>
  <si>
    <t>7500421973660</t>
  </si>
  <si>
    <t>421103NEGRO300</t>
  </si>
  <si>
    <t>7500421988886</t>
  </si>
  <si>
    <t>ZAPATILLA HOMBRE ZEGAMA 421103NEGRO</t>
  </si>
  <si>
    <t>104501ESCAMANEGRO240</t>
  </si>
  <si>
    <t>7500421847091</t>
  </si>
  <si>
    <t>104505VINO240</t>
  </si>
  <si>
    <t>7500421544334</t>
  </si>
  <si>
    <t>ZAPATO MUJER IDRIS 104505VINO</t>
  </si>
  <si>
    <t>138105NEGRO260</t>
  </si>
  <si>
    <t>7500421974582</t>
  </si>
  <si>
    <t>68620NEGRO250</t>
  </si>
  <si>
    <t>7500421884126</t>
  </si>
  <si>
    <t>37824MARINO220</t>
  </si>
  <si>
    <t>7500421925430</t>
  </si>
  <si>
    <t>705401NEGRO300</t>
  </si>
  <si>
    <t>7506484185910</t>
  </si>
  <si>
    <t>ZAPATILLA HOMBRE MAINERO 705401NEGRO</t>
  </si>
  <si>
    <t>MAINERO</t>
  </si>
  <si>
    <t>422403TAN280</t>
  </si>
  <si>
    <t>7500277047508</t>
  </si>
  <si>
    <t>104918NEGRO230</t>
  </si>
  <si>
    <t>7500421773765</t>
  </si>
  <si>
    <t>130803NEGRO220</t>
  </si>
  <si>
    <t>7500421796191</t>
  </si>
  <si>
    <t>104505OROVIEJO270</t>
  </si>
  <si>
    <t>7500421837986</t>
  </si>
  <si>
    <t>131501BURGUNDY220</t>
  </si>
  <si>
    <t>7500421925218</t>
  </si>
  <si>
    <t>2372043NEGROORO230</t>
  </si>
  <si>
    <t>4064198287632</t>
  </si>
  <si>
    <t>422501AZUL250</t>
  </si>
  <si>
    <t>7500421979051</t>
  </si>
  <si>
    <t>88515NEGRO280</t>
  </si>
  <si>
    <t>7506484114552</t>
  </si>
  <si>
    <t>137904NEGRO250</t>
  </si>
  <si>
    <t>7500421963562</t>
  </si>
  <si>
    <t>131501BEIGE230</t>
  </si>
  <si>
    <t>7500421753040</t>
  </si>
  <si>
    <t>413903NEGRO280</t>
  </si>
  <si>
    <t>7500421673577</t>
  </si>
  <si>
    <t>ZAPATILLA HOMBRE FLOW 413903NEGRO</t>
  </si>
  <si>
    <t>FLOW</t>
  </si>
  <si>
    <t>2626643CREMA255</t>
  </si>
  <si>
    <t>4064199917583</t>
  </si>
  <si>
    <t>417506BEIGEMULTICOLOR250</t>
  </si>
  <si>
    <t>7500421928943</t>
  </si>
  <si>
    <t>ZAPATILLA HOMBRE CARDIFF 417506BEIGEMULTICOLOR</t>
  </si>
  <si>
    <t>2423942NEGROCHAROL250</t>
  </si>
  <si>
    <t>4064199819283</t>
  </si>
  <si>
    <t>418306TAUPE270</t>
  </si>
  <si>
    <t>7500421929209</t>
  </si>
  <si>
    <t>401001DARKTAN300</t>
  </si>
  <si>
    <t>7500421423554</t>
  </si>
  <si>
    <t>2530145BEIGE255</t>
  </si>
  <si>
    <t>4064201812530</t>
  </si>
  <si>
    <t>37824MARINO250</t>
  </si>
  <si>
    <t>7500421925492</t>
  </si>
  <si>
    <t>705002CHOCOLATE280</t>
  </si>
  <si>
    <t>7506484117409</t>
  </si>
  <si>
    <t>BOTIN HOMBRE SABINES 705002CHOCOLATE</t>
  </si>
  <si>
    <t>2582345NEGRO270</t>
  </si>
  <si>
    <t>4064199905795</t>
  </si>
  <si>
    <t>420401NIEBLA290</t>
  </si>
  <si>
    <t>7500421849040</t>
  </si>
  <si>
    <t>420401TAN290</t>
  </si>
  <si>
    <t>7500421865736</t>
  </si>
  <si>
    <t>ZAPATILLA HOMBRE POARCH 420401TAN</t>
  </si>
  <si>
    <t>2509741CHAMPAGNE250</t>
  </si>
  <si>
    <t>4064197820663</t>
  </si>
  <si>
    <t>421401TAN290</t>
  </si>
  <si>
    <t>7500421966860</t>
  </si>
  <si>
    <t>417505BROWN250</t>
  </si>
  <si>
    <t>7500421857731</t>
  </si>
  <si>
    <t>131501BEIGE240</t>
  </si>
  <si>
    <t>7500421753064</t>
  </si>
  <si>
    <t>701306NEGRO280</t>
  </si>
  <si>
    <t>7506212697944</t>
  </si>
  <si>
    <t>105111DENIM240</t>
  </si>
  <si>
    <t>7500421704424</t>
  </si>
  <si>
    <t>2536245NEGRO255</t>
  </si>
  <si>
    <t>4064199723818</t>
  </si>
  <si>
    <t>136705NEGRO230</t>
  </si>
  <si>
    <t>7500421971543</t>
  </si>
  <si>
    <t>BOTIN MUJER ANANSA 136705NEGRO</t>
  </si>
  <si>
    <t>138104OPORTO270</t>
  </si>
  <si>
    <t>7500421974490</t>
  </si>
  <si>
    <t>2376345PLATACOMB250</t>
  </si>
  <si>
    <t>4064199567740</t>
  </si>
  <si>
    <t>37826NEGRO270</t>
  </si>
  <si>
    <t>7500421922057</t>
  </si>
  <si>
    <t>137102NEGRO250</t>
  </si>
  <si>
    <t>7500421958544</t>
  </si>
  <si>
    <t>421801TAN280</t>
  </si>
  <si>
    <t>7500421969618</t>
  </si>
  <si>
    <t>ZAPATILLA HOMBRE HELIOS 421801TAN</t>
  </si>
  <si>
    <t>18135CAFE230</t>
  </si>
  <si>
    <t>7500421935866</t>
  </si>
  <si>
    <t>104519ROJO220</t>
  </si>
  <si>
    <t>7500421845622</t>
  </si>
  <si>
    <t>422501NEGRO290</t>
  </si>
  <si>
    <t>7500421978917</t>
  </si>
  <si>
    <t>137105DARKTAN220</t>
  </si>
  <si>
    <t>7500421967133</t>
  </si>
  <si>
    <t>2372643NEGROCOBRE250</t>
  </si>
  <si>
    <t>4064198024176</t>
  </si>
  <si>
    <t>ZAPATILLA MUJER 2372643NEGROCOBRE</t>
  </si>
  <si>
    <t>2582345MOCCA240</t>
  </si>
  <si>
    <t>4064199905993</t>
  </si>
  <si>
    <t>417702NEGRO280</t>
  </si>
  <si>
    <t>7500421674314</t>
  </si>
  <si>
    <t>422401GRIS300</t>
  </si>
  <si>
    <t>7500421989357</t>
  </si>
  <si>
    <t>18135NEGRO250</t>
  </si>
  <si>
    <t>7500421936016</t>
  </si>
  <si>
    <t>88515NEGRO250</t>
  </si>
  <si>
    <t>7506484114491</t>
  </si>
  <si>
    <t>2545941NEGRO250</t>
  </si>
  <si>
    <t>4064197719356</t>
  </si>
  <si>
    <t>133906VINO250</t>
  </si>
  <si>
    <t>7500421931530</t>
  </si>
  <si>
    <t>8431645TAUPE265</t>
  </si>
  <si>
    <t>4064225761371</t>
  </si>
  <si>
    <t>ZAPATO MUJER 8431645TAUPE</t>
  </si>
  <si>
    <t>104519NEGRO240</t>
  </si>
  <si>
    <t>7500421845882</t>
  </si>
  <si>
    <t>104918NEGRO270</t>
  </si>
  <si>
    <t>7500421773840</t>
  </si>
  <si>
    <t>420903AZUL270</t>
  </si>
  <si>
    <t>7500421979860</t>
  </si>
  <si>
    <t>ZAPATILLA HOMBRE BELK 420903AZUL</t>
  </si>
  <si>
    <t>FV</t>
  </si>
  <si>
    <t>420903CAFE270</t>
  </si>
  <si>
    <t>7500421979648</t>
  </si>
  <si>
    <t>ZAPATILLA HOMBRE BELK 420903CAFE</t>
  </si>
  <si>
    <t>138301TAUPE230</t>
  </si>
  <si>
    <t>7500421986288</t>
  </si>
  <si>
    <t>130004TAN240</t>
  </si>
  <si>
    <t>7500421717684</t>
  </si>
  <si>
    <t>2521245COGNAC255</t>
  </si>
  <si>
    <t>4064199904316</t>
  </si>
  <si>
    <t>130004NEGRO240</t>
  </si>
  <si>
    <t>7500421712566</t>
  </si>
  <si>
    <t>116810CAFE270</t>
  </si>
  <si>
    <t>7500421983386</t>
  </si>
  <si>
    <t>2370944AZUL230</t>
  </si>
  <si>
    <t>4064199558038</t>
  </si>
  <si>
    <t>141202NEGRO260</t>
  </si>
  <si>
    <t>7500277052830</t>
  </si>
  <si>
    <t>2527345NEGRO255</t>
  </si>
  <si>
    <t>4064199850811</t>
  </si>
  <si>
    <t>2552943NEGRO255</t>
  </si>
  <si>
    <t>4064198157607</t>
  </si>
  <si>
    <t>116802VINO250</t>
  </si>
  <si>
    <t>7500421568996</t>
  </si>
  <si>
    <t>BOTIN MUJER LILITH 116802VINO</t>
  </si>
  <si>
    <t>8520045TAN230</t>
  </si>
  <si>
    <t>4064225768349</t>
  </si>
  <si>
    <t>136704ORO260</t>
  </si>
  <si>
    <t>7500421973158</t>
  </si>
  <si>
    <t>2431643NEGRO265</t>
  </si>
  <si>
    <t>4064195984329</t>
  </si>
  <si>
    <t>130602NEGRO230</t>
  </si>
  <si>
    <t>7500421738726</t>
  </si>
  <si>
    <t>136803NEGRO230</t>
  </si>
  <si>
    <t>7500421958735</t>
  </si>
  <si>
    <t>140304BEIGE230</t>
  </si>
  <si>
    <t>7500277054445</t>
  </si>
  <si>
    <t>2502641TAUPE230</t>
  </si>
  <si>
    <t>4064199859975</t>
  </si>
  <si>
    <t>BOTIN MUJER 2502641TAUPE</t>
  </si>
  <si>
    <t>2548345NEGROCHAROL230</t>
  </si>
  <si>
    <t>4064199764163</t>
  </si>
  <si>
    <t>BOTIN MUJER 2548345NEGROCHAROL</t>
  </si>
  <si>
    <t>2241941NEGRO230</t>
  </si>
  <si>
    <t>4064197392122</t>
  </si>
  <si>
    <t>137302DARKTAN260</t>
  </si>
  <si>
    <t>7500421968543</t>
  </si>
  <si>
    <t>ZAPATO MUJER MERCEDES 137302DARKTAN</t>
  </si>
  <si>
    <t>422501AZUL260</t>
  </si>
  <si>
    <t>7500421979075</t>
  </si>
  <si>
    <t>2527345COGNAC240</t>
  </si>
  <si>
    <t>4064199851030</t>
  </si>
  <si>
    <t>131501BLANCO230</t>
  </si>
  <si>
    <t>7500421750926</t>
  </si>
  <si>
    <t>131607NEGRO250</t>
  </si>
  <si>
    <t>7500277051178</t>
  </si>
  <si>
    <t>412801NEGRO300</t>
  </si>
  <si>
    <t>7500421542446</t>
  </si>
  <si>
    <t>412802SHEDRON300</t>
  </si>
  <si>
    <t>7500421542569</t>
  </si>
  <si>
    <t>ZAPATO HOMBRE OKAN 412802SHEDRON</t>
  </si>
  <si>
    <t>130605NEGRO260</t>
  </si>
  <si>
    <t>7500421925409</t>
  </si>
  <si>
    <t>105111NEGRO260</t>
  </si>
  <si>
    <t>7500421704578</t>
  </si>
  <si>
    <t>136705NEGRO250</t>
  </si>
  <si>
    <t>7500421971581</t>
  </si>
  <si>
    <t>8520045TAN250</t>
  </si>
  <si>
    <t>4064225768363</t>
  </si>
  <si>
    <t>104501ESCAMANUDE240</t>
  </si>
  <si>
    <t>7500421847206</t>
  </si>
  <si>
    <t>2360342OLIVACOMB250</t>
  </si>
  <si>
    <t>4064199555198</t>
  </si>
  <si>
    <t>2372043NEGROORO240</t>
  </si>
  <si>
    <t>4064198287649</t>
  </si>
  <si>
    <t>133901NEGRO220</t>
  </si>
  <si>
    <t>7500421862919</t>
  </si>
  <si>
    <t>8371644CAFECOMB240</t>
  </si>
  <si>
    <t>4064225733095</t>
  </si>
  <si>
    <t>2591843LEOPARDO230</t>
  </si>
  <si>
    <t>4064198338884</t>
  </si>
  <si>
    <t>BOTIN MUJER 2591843LEOPARDO</t>
  </si>
  <si>
    <t>2372742NEGROORO250</t>
  </si>
  <si>
    <t>4064195725182</t>
  </si>
  <si>
    <t>2373241TAUPESNAKE250</t>
  </si>
  <si>
    <t>4064199833630</t>
  </si>
  <si>
    <t>101905NEGRO260</t>
  </si>
  <si>
    <t>7500421453810</t>
  </si>
  <si>
    <t>413014NEGRO280</t>
  </si>
  <si>
    <t>7500421696286</t>
  </si>
  <si>
    <t>131503NEGRO270</t>
  </si>
  <si>
    <t>7500421983058</t>
  </si>
  <si>
    <t>421703NEGRO250</t>
  </si>
  <si>
    <t>7500421972236</t>
  </si>
  <si>
    <t>104827MADERA240</t>
  </si>
  <si>
    <t>7500421901083</t>
  </si>
  <si>
    <t>422601BLANCO270</t>
  </si>
  <si>
    <t>7500421984642</t>
  </si>
  <si>
    <t>136705NEGRO260</t>
  </si>
  <si>
    <t>7500421971604</t>
  </si>
  <si>
    <t>138104NEGRO230</t>
  </si>
  <si>
    <t>7500421974308</t>
  </si>
  <si>
    <t>413903NEGRO260</t>
  </si>
  <si>
    <t>7500421673539</t>
  </si>
  <si>
    <t>2533643NEGROCOMB250</t>
  </si>
  <si>
    <t>4064198322616</t>
  </si>
  <si>
    <t>134504BLANCO250</t>
  </si>
  <si>
    <t>7500421905630</t>
  </si>
  <si>
    <t>ZAPATILLA MUJER MILAN 134504BLANCO</t>
  </si>
  <si>
    <t>REN0397NEGROUNIT</t>
  </si>
  <si>
    <t>7500421890226</t>
  </si>
  <si>
    <t>RENOVADOR REN0397 NEGRO</t>
  </si>
  <si>
    <t>421703TAN260</t>
  </si>
  <si>
    <t>7500421972731</t>
  </si>
  <si>
    <t>128301NEGRO250</t>
  </si>
  <si>
    <t>7500421664018</t>
  </si>
  <si>
    <t>SANDALIA MUJER GILMA 128301NEGRO</t>
  </si>
  <si>
    <t>105111NEGRO240</t>
  </si>
  <si>
    <t>7500421704530</t>
  </si>
  <si>
    <t>2545941NEGRO265</t>
  </si>
  <si>
    <t>4064197719370</t>
  </si>
  <si>
    <t>406402TAN260</t>
  </si>
  <si>
    <t>7500421434581</t>
  </si>
  <si>
    <t>406402NEGRO260</t>
  </si>
  <si>
    <t>7500421432587</t>
  </si>
  <si>
    <t>45204NEGRO270</t>
  </si>
  <si>
    <t>7500421294529</t>
  </si>
  <si>
    <t>2530145NEGRO255</t>
  </si>
  <si>
    <t>4064199628243</t>
  </si>
  <si>
    <t>116802VINO240</t>
  </si>
  <si>
    <t>7500421568972</t>
  </si>
  <si>
    <t>8431645NEGRO250</t>
  </si>
  <si>
    <t>4064225719556</t>
  </si>
  <si>
    <t>418301BLANCO300</t>
  </si>
  <si>
    <t>7500421764039</t>
  </si>
  <si>
    <t>2553945NEGRO240</t>
  </si>
  <si>
    <t>4064199905283</t>
  </si>
  <si>
    <t>134501NEGRO250</t>
  </si>
  <si>
    <t>7500421864050</t>
  </si>
  <si>
    <t>137902NEGRO250</t>
  </si>
  <si>
    <t>7500421974001</t>
  </si>
  <si>
    <t>ZAPATILLA MUJER TURAN 137902NEGRO</t>
  </si>
  <si>
    <t>137102NEGRO230</t>
  </si>
  <si>
    <t>7500421958506</t>
  </si>
  <si>
    <t>420401TAN260</t>
  </si>
  <si>
    <t>7500421865675</t>
  </si>
  <si>
    <t>2472243NEGRO240</t>
  </si>
  <si>
    <t>4064195969258</t>
  </si>
  <si>
    <t>18135NEGRO240</t>
  </si>
  <si>
    <t>7500421935996</t>
  </si>
  <si>
    <t>137606NEGRO270</t>
  </si>
  <si>
    <t>7500421963173</t>
  </si>
  <si>
    <t>25913BROWN230</t>
  </si>
  <si>
    <t>7500421936085</t>
  </si>
  <si>
    <t>102016NEGRO240</t>
  </si>
  <si>
    <t>7500421733011</t>
  </si>
  <si>
    <t>137301NEGRO270</t>
  </si>
  <si>
    <t>7500421964279</t>
  </si>
  <si>
    <t>2513345NEGRO270</t>
  </si>
  <si>
    <t>4064199762251</t>
  </si>
  <si>
    <t>2570241NEGRO240</t>
  </si>
  <si>
    <t>4064197746321</t>
  </si>
  <si>
    <t>116802VINO230</t>
  </si>
  <si>
    <t>7500421568958</t>
  </si>
  <si>
    <t>136602HUESO220</t>
  </si>
  <si>
    <t>7500421973622</t>
  </si>
  <si>
    <t>137505NEGRO270</t>
  </si>
  <si>
    <t>7500421965856</t>
  </si>
  <si>
    <t>137505VINO270</t>
  </si>
  <si>
    <t>7500421968673</t>
  </si>
  <si>
    <t>2570241CAFE265</t>
  </si>
  <si>
    <t>4064197746598</t>
  </si>
  <si>
    <t>BOTIN MUJER 2570241CAFE</t>
  </si>
  <si>
    <t>8540845VERDE265</t>
  </si>
  <si>
    <t>4064225838356</t>
  </si>
  <si>
    <t>37825TAUPE230</t>
  </si>
  <si>
    <t>7500421921630</t>
  </si>
  <si>
    <t>2373241TAUPESNAKE230</t>
  </si>
  <si>
    <t>4064199833616</t>
  </si>
  <si>
    <t>102015NEGRO230</t>
  </si>
  <si>
    <t>7500421680902</t>
  </si>
  <si>
    <t>131501TAUPE230</t>
  </si>
  <si>
    <t>7500277051345</t>
  </si>
  <si>
    <t>138601CAFE220</t>
  </si>
  <si>
    <t>7500421986929</t>
  </si>
  <si>
    <t>130605TAN260</t>
  </si>
  <si>
    <t>7500421896372</t>
  </si>
  <si>
    <t>2241041COGNAC255</t>
  </si>
  <si>
    <t>4064197396335</t>
  </si>
  <si>
    <t>ZAPATO MUJER 2241041COGNAC</t>
  </si>
  <si>
    <t>415306NEGRO270</t>
  </si>
  <si>
    <t>7500421857229</t>
  </si>
  <si>
    <t>ZAPATILLA HOMBRE FRASER 415306NEGRO</t>
  </si>
  <si>
    <t>419406NEGRO270</t>
  </si>
  <si>
    <t>7500421971673</t>
  </si>
  <si>
    <t>BOTIN HOMBRE HERRAN 419406NEGRO</t>
  </si>
  <si>
    <t>136803NUDE260</t>
  </si>
  <si>
    <t>7500421964361</t>
  </si>
  <si>
    <t>2536645CAFE240</t>
  </si>
  <si>
    <t>4064199750982</t>
  </si>
  <si>
    <t>2423942NEGROCHAROL270</t>
  </si>
  <si>
    <t>4064199819313</t>
  </si>
  <si>
    <t>110401NEGRO240</t>
  </si>
  <si>
    <t>7500421466407</t>
  </si>
  <si>
    <t>110407NEGRO250</t>
  </si>
  <si>
    <t>7500421466759</t>
  </si>
  <si>
    <t>BOTIN MUJER RENATA 110407NEGRO</t>
  </si>
  <si>
    <t>130308NEGRO240</t>
  </si>
  <si>
    <t>7500421905807</t>
  </si>
  <si>
    <t>2532143CAOBA250</t>
  </si>
  <si>
    <t>4064199701205</t>
  </si>
  <si>
    <t>BOTIN MUJER 2532143CAOBA</t>
  </si>
  <si>
    <t>419406NEGRO250</t>
  </si>
  <si>
    <t>7500421971413</t>
  </si>
  <si>
    <t>422301BEIGE280</t>
  </si>
  <si>
    <t>7500421983560</t>
  </si>
  <si>
    <t>ZAPATILLA HOMBRE BAXTER 422301BEIGE</t>
  </si>
  <si>
    <t>126706NEGRO230</t>
  </si>
  <si>
    <t>7500421689172</t>
  </si>
  <si>
    <t>130402NEGRO230</t>
  </si>
  <si>
    <t>7500421737958</t>
  </si>
  <si>
    <t>402521NEGRO250</t>
  </si>
  <si>
    <t>7500421754092</t>
  </si>
  <si>
    <t>136604ANTIMONIO230</t>
  </si>
  <si>
    <t>7500421973752</t>
  </si>
  <si>
    <t>66517MARRON270</t>
  </si>
  <si>
    <t>7500421472286</t>
  </si>
  <si>
    <t>2423942NEGROCHAROL240</t>
  </si>
  <si>
    <t>4064199819276</t>
  </si>
  <si>
    <t>45204NEGRO250</t>
  </si>
  <si>
    <t>7500421294482</t>
  </si>
  <si>
    <t>420401AZUL260</t>
  </si>
  <si>
    <t>7500421885659</t>
  </si>
  <si>
    <t>420401NIEBLA260</t>
  </si>
  <si>
    <t>7500421848982</t>
  </si>
  <si>
    <t>130605NEGRO230</t>
  </si>
  <si>
    <t>7500421925348</t>
  </si>
  <si>
    <t>140304ROSA230</t>
  </si>
  <si>
    <t>7500277071206</t>
  </si>
  <si>
    <t>ZAPATILLA MUJER SOPHIA 140304ROSA</t>
  </si>
  <si>
    <t>101905NEGRO230</t>
  </si>
  <si>
    <t>7500421453759</t>
  </si>
  <si>
    <t>2241041NEGRO265</t>
  </si>
  <si>
    <t>4064197396120</t>
  </si>
  <si>
    <t>2535741NEGROCHAROL255</t>
  </si>
  <si>
    <t>4064197567834</t>
  </si>
  <si>
    <t>BOTIN MUJER 2535741NEGROCHAROL</t>
  </si>
  <si>
    <t>130402TAN250</t>
  </si>
  <si>
    <t>7500421737552</t>
  </si>
  <si>
    <t>110407NEGRO230</t>
  </si>
  <si>
    <t>7500421466711</t>
  </si>
  <si>
    <t>422501BEIGE270</t>
  </si>
  <si>
    <t>7500421979204</t>
  </si>
  <si>
    <t>101908OROVIEJO250</t>
  </si>
  <si>
    <t>7500421935132</t>
  </si>
  <si>
    <t>130208DORADO260</t>
  </si>
  <si>
    <t>7500421979570</t>
  </si>
  <si>
    <t>413005NEGRO250</t>
  </si>
  <si>
    <t>7500421558898</t>
  </si>
  <si>
    <t>134704TAN230</t>
  </si>
  <si>
    <t>7500421933145</t>
  </si>
  <si>
    <t>BOTIN MUJER EILEEN 134704TAN</t>
  </si>
  <si>
    <t>104821NEGRO240</t>
  </si>
  <si>
    <t>7500421734353</t>
  </si>
  <si>
    <t>BOTIN MUJER CATALEYA 104821NEGRO</t>
  </si>
  <si>
    <t>2682545CAMEL265</t>
  </si>
  <si>
    <t>4064199911864</t>
  </si>
  <si>
    <t>126606NEGRO220</t>
  </si>
  <si>
    <t>7500421744574</t>
  </si>
  <si>
    <t>126606NEGRO230</t>
  </si>
  <si>
    <t>7500421744598</t>
  </si>
  <si>
    <t>134803TAN270</t>
  </si>
  <si>
    <t>7500421866900</t>
  </si>
  <si>
    <t>ZAPATO MUJER FENJI 134803TAN</t>
  </si>
  <si>
    <t>421801TAN290</t>
  </si>
  <si>
    <t>7500421969632</t>
  </si>
  <si>
    <t>FLEXI EL TREBOL</t>
  </si>
  <si>
    <t>125614MARINO260</t>
  </si>
  <si>
    <t>7500421926727</t>
  </si>
  <si>
    <t>2360342OLIVACOMB265</t>
  </si>
  <si>
    <t>4064199555211</t>
  </si>
  <si>
    <t>131501MENTA230</t>
  </si>
  <si>
    <t>7500277051239</t>
  </si>
  <si>
    <t>2536645NEGRO230</t>
  </si>
  <si>
    <t>4064199750739</t>
  </si>
  <si>
    <t>419902TAN280</t>
  </si>
  <si>
    <t>7500421868232</t>
  </si>
  <si>
    <t>ZAPATILLA HOMBRE SANZ 419902TAN</t>
  </si>
  <si>
    <t>137603NEGRO220</t>
  </si>
  <si>
    <t>7500421969120</t>
  </si>
  <si>
    <t>TAL0464NEUTROUNIT</t>
  </si>
  <si>
    <t>7500421891803</t>
  </si>
  <si>
    <t>TALONERA GEL HOMBRE TAL0464 NEUTRO</t>
  </si>
  <si>
    <t>422401AZUL280</t>
  </si>
  <si>
    <t>7500421984000</t>
  </si>
  <si>
    <t>ZAPATILLA HOMBRE MADDOX 422401AZUL</t>
  </si>
  <si>
    <t>420001TAN290</t>
  </si>
  <si>
    <t>7500421841280</t>
  </si>
  <si>
    <t>37824TAN230</t>
  </si>
  <si>
    <t>7500421895887</t>
  </si>
  <si>
    <t>125614MARINO240</t>
  </si>
  <si>
    <t>7500421926680</t>
  </si>
  <si>
    <t>422403TAN260</t>
  </si>
  <si>
    <t>7500277047461</t>
  </si>
  <si>
    <t>137003TAN250</t>
  </si>
  <si>
    <t>7500421965474</t>
  </si>
  <si>
    <t>ZAPATILLA MUJER MILDRED 137003TAN</t>
  </si>
  <si>
    <t>125614NEGRO230</t>
  </si>
  <si>
    <t>7500421926888</t>
  </si>
  <si>
    <t>420004TAUPE260</t>
  </si>
  <si>
    <t>7500421868317</t>
  </si>
  <si>
    <t>ZAPATO HOMBRE JASPER 420004TAUPE</t>
  </si>
  <si>
    <t>2502641NEGRO240</t>
  </si>
  <si>
    <t>4064197725166</t>
  </si>
  <si>
    <t>137902SILT260</t>
  </si>
  <si>
    <t>7500421974247</t>
  </si>
  <si>
    <t>420903CAFE290</t>
  </si>
  <si>
    <t>7500421979686</t>
  </si>
  <si>
    <t>37825NEGRO240</t>
  </si>
  <si>
    <t>7500421933824</t>
  </si>
  <si>
    <t>422403NEGRO260</t>
  </si>
  <si>
    <t>7500277047355</t>
  </si>
  <si>
    <t>422403TAN270</t>
  </si>
  <si>
    <t>7500277047485</t>
  </si>
  <si>
    <t>131601BEIGE230</t>
  </si>
  <si>
    <t>7500421765166</t>
  </si>
  <si>
    <t>ZAPATILLA MUJER INNA 131601BEIGE</t>
  </si>
  <si>
    <t>2536645NEGRO250</t>
  </si>
  <si>
    <t>4064199750753</t>
  </si>
  <si>
    <t>420306TAUPE/NEGRO260</t>
  </si>
  <si>
    <t>7500421978504</t>
  </si>
  <si>
    <t>ZAPATO HOMBRE LAWSON 420306TAUPE/NEGRO</t>
  </si>
  <si>
    <t>LAWSON</t>
  </si>
  <si>
    <t>406402NEGRO250</t>
  </si>
  <si>
    <t>7500421432563</t>
  </si>
  <si>
    <t>134801NEGRO240</t>
  </si>
  <si>
    <t>7500421867068</t>
  </si>
  <si>
    <t>ZAPATO MUJER FENJI 134801NEGRO</t>
  </si>
  <si>
    <t>134803TAN240</t>
  </si>
  <si>
    <t>7500421866849</t>
  </si>
  <si>
    <t>406402NEGRO270</t>
  </si>
  <si>
    <t>7500421432600</t>
  </si>
  <si>
    <t>137601NEGRO250</t>
  </si>
  <si>
    <t>7500421956373</t>
  </si>
  <si>
    <t>135202ROSA260</t>
  </si>
  <si>
    <t>7500421925959</t>
  </si>
  <si>
    <t>136604ANTIMONIO250</t>
  </si>
  <si>
    <t>7500421973790</t>
  </si>
  <si>
    <t>419406NEGRO260</t>
  </si>
  <si>
    <t>7500421971659</t>
  </si>
  <si>
    <t>418201NEGRO270</t>
  </si>
  <si>
    <t>7500421761076</t>
  </si>
  <si>
    <t>131601BEIGE250</t>
  </si>
  <si>
    <t>7500421765203</t>
  </si>
  <si>
    <t>418301BLANCO290</t>
  </si>
  <si>
    <t>7500421764015</t>
  </si>
  <si>
    <t>45606NEGRO270</t>
  </si>
  <si>
    <t>7500421399200</t>
  </si>
  <si>
    <t>126706NEGRO240</t>
  </si>
  <si>
    <t>7500421689196</t>
  </si>
  <si>
    <t>119704BLACK250</t>
  </si>
  <si>
    <t>7500421714270</t>
  </si>
  <si>
    <t>2423942NEGROCHAROL255</t>
  </si>
  <si>
    <t>4064199819290</t>
  </si>
  <si>
    <t>137702CAFE240</t>
  </si>
  <si>
    <t>7500421967393</t>
  </si>
  <si>
    <t>8431645TAUPE255</t>
  </si>
  <si>
    <t>4064225761364</t>
  </si>
  <si>
    <t>PLA0632BLANCO24</t>
  </si>
  <si>
    <t>7500421915004</t>
  </si>
  <si>
    <t>PLANTILLA ANATOMICA PLA0632 BLANCO</t>
  </si>
  <si>
    <t>404612CHOCOLATE260</t>
  </si>
  <si>
    <t>7500421755242</t>
  </si>
  <si>
    <t>BOTIN HOMBRE DINAMO 404612CHOCOLATE</t>
  </si>
  <si>
    <t>18131NEGRO230</t>
  </si>
  <si>
    <t>7500421590898</t>
  </si>
  <si>
    <t>130610NEGRO270</t>
  </si>
  <si>
    <t>7500421970133</t>
  </si>
  <si>
    <t>138502VINO270</t>
  </si>
  <si>
    <t>7500421987988</t>
  </si>
  <si>
    <t>116013CEREZA230</t>
  </si>
  <si>
    <t>7500421855560</t>
  </si>
  <si>
    <t>SANDALIA MUJER AMAPOLA 116013CEREZA</t>
  </si>
  <si>
    <t>AMAPOLA</t>
  </si>
  <si>
    <t>102015NEGRO250</t>
  </si>
  <si>
    <t>7500421680940</t>
  </si>
  <si>
    <t>420903NEGRO270</t>
  </si>
  <si>
    <t>7500421988626</t>
  </si>
  <si>
    <t>415305NEGRO280</t>
  </si>
  <si>
    <t>7500421313718</t>
  </si>
  <si>
    <t>ZAPATILLA HOMBRE FRASER 415305NEGRO</t>
  </si>
  <si>
    <t>135602ORO240</t>
  </si>
  <si>
    <t>7500421883488</t>
  </si>
  <si>
    <t>104813NEGRO220</t>
  </si>
  <si>
    <t>7500421510551</t>
  </si>
  <si>
    <t>132201LATTE260</t>
  </si>
  <si>
    <t>7500421775479</t>
  </si>
  <si>
    <t>418301NEGRO250</t>
  </si>
  <si>
    <t>7500421764046</t>
  </si>
  <si>
    <t>ZAPATILLA HOMBRE APEK 418301NEGRO</t>
  </si>
  <si>
    <t>417705NEGRO250</t>
  </si>
  <si>
    <t>7500421760482</t>
  </si>
  <si>
    <t>45606NEGRO230</t>
  </si>
  <si>
    <t>7500421399125</t>
  </si>
  <si>
    <t>2431643COGNAC270</t>
  </si>
  <si>
    <t>4064195984572</t>
  </si>
  <si>
    <t>2536645CAFE265</t>
  </si>
  <si>
    <t>4064199751019</t>
  </si>
  <si>
    <t>132701TAUPE225</t>
  </si>
  <si>
    <t>7500421779538</t>
  </si>
  <si>
    <t>BOTIN MUJER JILLY 132701TAUPE</t>
  </si>
  <si>
    <t>105124SAND270</t>
  </si>
  <si>
    <t>7500421927182</t>
  </si>
  <si>
    <t>420006COCOA280</t>
  </si>
  <si>
    <t>7500421935019</t>
  </si>
  <si>
    <t>117210NEGRO240</t>
  </si>
  <si>
    <t>7500421953747</t>
  </si>
  <si>
    <t>2431643NEGRO250</t>
  </si>
  <si>
    <t>4064195984305</t>
  </si>
  <si>
    <t>131501BLANCO250</t>
  </si>
  <si>
    <t>7500421750964</t>
  </si>
  <si>
    <t>141301BEIGE240</t>
  </si>
  <si>
    <t>7500277052137</t>
  </si>
  <si>
    <t>2420042TAUPE255</t>
  </si>
  <si>
    <t>4064197995033</t>
  </si>
  <si>
    <t>132201GRIS250</t>
  </si>
  <si>
    <t>7500421775349</t>
  </si>
  <si>
    <t>2582345MOCCA230</t>
  </si>
  <si>
    <t>4064199905986</t>
  </si>
  <si>
    <t>PLA0632BLANCO23</t>
  </si>
  <si>
    <t>7500421914991</t>
  </si>
  <si>
    <t>2530145NEGRO240</t>
  </si>
  <si>
    <t>4064199628229</t>
  </si>
  <si>
    <t>66517NEGRO260</t>
  </si>
  <si>
    <t>7500421471791</t>
  </si>
  <si>
    <t>130004NEGRO230</t>
  </si>
  <si>
    <t>7500421712542</t>
  </si>
  <si>
    <t>37823NEGRO220</t>
  </si>
  <si>
    <t>7500421741320</t>
  </si>
  <si>
    <t>422401AZUL290</t>
  </si>
  <si>
    <t>7500421984024</t>
  </si>
  <si>
    <t>422501AZUL280</t>
  </si>
  <si>
    <t>7500421979112</t>
  </si>
  <si>
    <t>137305NEGRO270</t>
  </si>
  <si>
    <t>7500421977910</t>
  </si>
  <si>
    <t>117210NEGRO250</t>
  </si>
  <si>
    <t>7500421953761</t>
  </si>
  <si>
    <t>105123TAUPE250</t>
  </si>
  <si>
    <t>7500421927366</t>
  </si>
  <si>
    <t>ZAPATILLA MUJER CASIOPEA 105123TAUPE</t>
  </si>
  <si>
    <t>420001NEGRO260</t>
  </si>
  <si>
    <t>7500421868553</t>
  </si>
  <si>
    <t>ZAPATO HOMBRE JASPER 420001NEGRO</t>
  </si>
  <si>
    <t>2562345NEGRO255</t>
  </si>
  <si>
    <t>4064199652637</t>
  </si>
  <si>
    <t>BOTA MUJER 2562345NEGRO</t>
  </si>
  <si>
    <t>141301BEIGE230</t>
  </si>
  <si>
    <t>7500277052113</t>
  </si>
  <si>
    <t>2472243MOCCA230</t>
  </si>
  <si>
    <t>4064199476271</t>
  </si>
  <si>
    <t>110402NEGRO240</t>
  </si>
  <si>
    <t>7500421466513</t>
  </si>
  <si>
    <t>ZAPATO MUJER RENATA 110402NEGRO</t>
  </si>
  <si>
    <t>2536645NEGRO240</t>
  </si>
  <si>
    <t>4064199750746</t>
  </si>
  <si>
    <t>138502VINO260</t>
  </si>
  <si>
    <t>7500421987964</t>
  </si>
  <si>
    <t>110407NEGRO240</t>
  </si>
  <si>
    <t>7500421466735</t>
  </si>
  <si>
    <t>137606DARKTAN240</t>
  </si>
  <si>
    <t>7500421969274</t>
  </si>
  <si>
    <t>BOTIN MUJER HALIA 137606DARKTAN</t>
  </si>
  <si>
    <t>418301NEGRO260</t>
  </si>
  <si>
    <t>7500421764060</t>
  </si>
  <si>
    <t>406409NEGRO280</t>
  </si>
  <si>
    <t>7500421659007</t>
  </si>
  <si>
    <t>2535443NEGROCOMB250</t>
  </si>
  <si>
    <t>4064199840621</t>
  </si>
  <si>
    <t>137401PETALOS220</t>
  </si>
  <si>
    <t>7500421978139</t>
  </si>
  <si>
    <t>ZAPATILLA MUJER MAITE 137401PETALOS</t>
  </si>
  <si>
    <t>25911NEGRO230</t>
  </si>
  <si>
    <t>7500421288177</t>
  </si>
  <si>
    <t>2530145BEIGE265</t>
  </si>
  <si>
    <t>4064201812547</t>
  </si>
  <si>
    <t>2532143CAOBA255</t>
  </si>
  <si>
    <t>4064199701212</t>
  </si>
  <si>
    <t>133401BLACK225</t>
  </si>
  <si>
    <t>7500421781050</t>
  </si>
  <si>
    <t>BOTIN MUJER JULINI 133401BLACK</t>
  </si>
  <si>
    <t>2372442NEGRO240</t>
  </si>
  <si>
    <t>4064195070435</t>
  </si>
  <si>
    <t>ZAPATILLA MUJER 2372442NEGRO</t>
  </si>
  <si>
    <t>125616BEIGE260</t>
  </si>
  <si>
    <t>7500421975022</t>
  </si>
  <si>
    <t>138801NEGRO250</t>
  </si>
  <si>
    <t>7500421982341</t>
  </si>
  <si>
    <t>ZAPATILLA MUJER DALILA 138801NEGRO</t>
  </si>
  <si>
    <t>DALILA</t>
  </si>
  <si>
    <t>116802OCRE240</t>
  </si>
  <si>
    <t>7500421751336</t>
  </si>
  <si>
    <t>BOTIN MUJER LILITH 116802OCRE</t>
  </si>
  <si>
    <t>419406NEGRO280</t>
  </si>
  <si>
    <t>7500421971697</t>
  </si>
  <si>
    <t>420401TAN270</t>
  </si>
  <si>
    <t>7500421865699</t>
  </si>
  <si>
    <t>417702TAN260</t>
  </si>
  <si>
    <t>7500421674161</t>
  </si>
  <si>
    <t>141202DENIM260</t>
  </si>
  <si>
    <t>7500277052724</t>
  </si>
  <si>
    <t>130004NEGRO220</t>
  </si>
  <si>
    <t>7500421712528</t>
  </si>
  <si>
    <t>419407NEGRO280</t>
  </si>
  <si>
    <t>7500421971819</t>
  </si>
  <si>
    <t>ZAPATO HOMBRE HERRAN 419407NEGRO</t>
  </si>
  <si>
    <t>116013NEGRO250</t>
  </si>
  <si>
    <t>7500421538418</t>
  </si>
  <si>
    <t>SANDALIA MUJER AMAPOLA 116013NEGRO</t>
  </si>
  <si>
    <t>422102NAVY280</t>
  </si>
  <si>
    <t>7500421972533</t>
  </si>
  <si>
    <t>2553945NEGRO270</t>
  </si>
  <si>
    <t>4064199905320</t>
  </si>
  <si>
    <t>45606AZUL270</t>
  </si>
  <si>
    <t>7500421579732</t>
  </si>
  <si>
    <t>138502MARINO230</t>
  </si>
  <si>
    <t>7500277062044</t>
  </si>
  <si>
    <t>420903CAFE280</t>
  </si>
  <si>
    <t>7500421979662</t>
  </si>
  <si>
    <t>2502641TAUPE250</t>
  </si>
  <si>
    <t>4064199859999</t>
  </si>
  <si>
    <t>133401COGNAC255</t>
  </si>
  <si>
    <t>7500421781173</t>
  </si>
  <si>
    <t>104827NEGRO240</t>
  </si>
  <si>
    <t>7500421932063</t>
  </si>
  <si>
    <t>110402NEGRO250</t>
  </si>
  <si>
    <t>7500421466537</t>
  </si>
  <si>
    <t>134803TAN260</t>
  </si>
  <si>
    <t>7500421866887</t>
  </si>
  <si>
    <t>138701NEGRO230</t>
  </si>
  <si>
    <t>7500421987490</t>
  </si>
  <si>
    <t>419407NEGRO270</t>
  </si>
  <si>
    <t>7500421971796</t>
  </si>
  <si>
    <t>2531241COGNAC230</t>
  </si>
  <si>
    <t>4064197559723</t>
  </si>
  <si>
    <t>104932GRIS260</t>
  </si>
  <si>
    <t>7500421967980</t>
  </si>
  <si>
    <t>2502641NEGRO255</t>
  </si>
  <si>
    <t>4064197725180</t>
  </si>
  <si>
    <t>137003ANTIMONIO240</t>
  </si>
  <si>
    <t>7500421965221</t>
  </si>
  <si>
    <t>133905NEGRO220</t>
  </si>
  <si>
    <t>7500421919729</t>
  </si>
  <si>
    <t>131501NEGRO230</t>
  </si>
  <si>
    <t>7500421752937</t>
  </si>
  <si>
    <t>2509741NEGROGLAM265</t>
  </si>
  <si>
    <t>4064197820441</t>
  </si>
  <si>
    <t>8510145CAFE255</t>
  </si>
  <si>
    <t>4064225842544</t>
  </si>
  <si>
    <t>BOTIN MUJER 8510145CAFE</t>
  </si>
  <si>
    <t>408101AZULMKP290</t>
  </si>
  <si>
    <t>7500421652633</t>
  </si>
  <si>
    <t>ZAPATO HOMBRE BORR 408101AZULMKP</t>
  </si>
  <si>
    <t>BORR</t>
  </si>
  <si>
    <t>137003TAN260</t>
  </si>
  <si>
    <t>7500421965498</t>
  </si>
  <si>
    <t>2682545CAMEL255</t>
  </si>
  <si>
    <t>4064199911857</t>
  </si>
  <si>
    <t>422401GRIS290</t>
  </si>
  <si>
    <t>7500421989333</t>
  </si>
  <si>
    <t>130610VINO220</t>
  </si>
  <si>
    <t>7500421970140</t>
  </si>
  <si>
    <t>418301NEGRO270</t>
  </si>
  <si>
    <t>7500421764084</t>
  </si>
  <si>
    <t>130004TAN220</t>
  </si>
  <si>
    <t>7500421717646</t>
  </si>
  <si>
    <t>137701NEGRO260</t>
  </si>
  <si>
    <t>7500421958124</t>
  </si>
  <si>
    <t>BOTIN MUJER CAYETANA 137701NEGRO</t>
  </si>
  <si>
    <t>419406NEGRO290</t>
  </si>
  <si>
    <t>7500421971710</t>
  </si>
  <si>
    <t>137302DARKTAN240</t>
  </si>
  <si>
    <t>7500421968505</t>
  </si>
  <si>
    <t>134803TAN250</t>
  </si>
  <si>
    <t>7500421866863</t>
  </si>
  <si>
    <t>137505NEGRO250</t>
  </si>
  <si>
    <t>7500421965818</t>
  </si>
  <si>
    <t>REN0398NEUTROUNIT</t>
  </si>
  <si>
    <t>7500421890233</t>
  </si>
  <si>
    <t>RENOVADOR REN0398 NEUTRO</t>
  </si>
  <si>
    <t>408101BRANDYMKP270</t>
  </si>
  <si>
    <t>7500421652701</t>
  </si>
  <si>
    <t>ZAPATO HOMBRE BORR 408101BRANDYMKP</t>
  </si>
  <si>
    <t>138104OPORTO260</t>
  </si>
  <si>
    <t>7500421974476</t>
  </si>
  <si>
    <t>8370742AZUL250</t>
  </si>
  <si>
    <t>4064225731428</t>
  </si>
  <si>
    <t>130004TAN230</t>
  </si>
  <si>
    <t>7500421717660</t>
  </si>
  <si>
    <t>2552943NEGRO270</t>
  </si>
  <si>
    <t>4064198157621</t>
  </si>
  <si>
    <t>BIL0713BEIGEUNIT</t>
  </si>
  <si>
    <t>7508304521892</t>
  </si>
  <si>
    <t>BILLETERA MUJER BIL0713 BEIGE</t>
  </si>
  <si>
    <t>408101AZULMKP270</t>
  </si>
  <si>
    <t>7500421652596</t>
  </si>
  <si>
    <t>130201NEGRO230</t>
  </si>
  <si>
    <t>7500421751206</t>
  </si>
  <si>
    <t>2570241MOCCA240</t>
  </si>
  <si>
    <t>4064198119063</t>
  </si>
  <si>
    <t>134101ROSA220</t>
  </si>
  <si>
    <t>7500421927731</t>
  </si>
  <si>
    <t>8560345NEGRO240</t>
  </si>
  <si>
    <t>4064225838820</t>
  </si>
  <si>
    <t>137002MARINO270</t>
  </si>
  <si>
    <t>7500421965177</t>
  </si>
  <si>
    <t>137002NEGRO270</t>
  </si>
  <si>
    <t>7500421965061</t>
  </si>
  <si>
    <t>ZAPATILLA MUJER MILDRED 137002NEGRO</t>
  </si>
  <si>
    <t>421401TAN250</t>
  </si>
  <si>
    <t>7500421966785</t>
  </si>
  <si>
    <t>417702TAN290</t>
  </si>
  <si>
    <t>7500421674222</t>
  </si>
  <si>
    <t>401001NEGRO270</t>
  </si>
  <si>
    <t>7500421369982</t>
  </si>
  <si>
    <t>25913NEGRO220</t>
  </si>
  <si>
    <t>7500421415818</t>
  </si>
  <si>
    <t>2626643CREMA230</t>
  </si>
  <si>
    <t>4064199917552</t>
  </si>
  <si>
    <t>REN0246CAFEUNIT</t>
  </si>
  <si>
    <t>8411250033908</t>
  </si>
  <si>
    <t>RENOVADOR DE CUERO REN0246 CAFE</t>
  </si>
  <si>
    <t>133901MARINO230</t>
  </si>
  <si>
    <t>7500421850695</t>
  </si>
  <si>
    <t>104932NEGRO270</t>
  </si>
  <si>
    <t>7500421967676</t>
  </si>
  <si>
    <t>700807NEGRO280</t>
  </si>
  <si>
    <t>7506484190624</t>
  </si>
  <si>
    <t>ZAPATO HOMBRE BORG 700807NEGRO</t>
  </si>
  <si>
    <t>BORG</t>
  </si>
  <si>
    <t>8370742MERLOT265</t>
  </si>
  <si>
    <t>4064225834730</t>
  </si>
  <si>
    <t>8371644CAFECOMB230</t>
  </si>
  <si>
    <t>4064225733088</t>
  </si>
  <si>
    <t>2552943COGNAC255</t>
  </si>
  <si>
    <t>4064198157843</t>
  </si>
  <si>
    <t>2626643CREMA265</t>
  </si>
  <si>
    <t>4064199917590</t>
  </si>
  <si>
    <t>138601CAFE230</t>
  </si>
  <si>
    <t>7500421986943</t>
  </si>
  <si>
    <t>137302NEGRO230</t>
  </si>
  <si>
    <t>7500421956007</t>
  </si>
  <si>
    <t>ZAPATO MUJER MERCEDES 137302NEGRO</t>
  </si>
  <si>
    <t>8371644NEGRO230</t>
  </si>
  <si>
    <t>4064225732807</t>
  </si>
  <si>
    <t>ZAPATILLA MUJER 8371644NEGRO</t>
  </si>
  <si>
    <t>140304BEIGE260</t>
  </si>
  <si>
    <t>7500277054506</t>
  </si>
  <si>
    <t>8510145NEGRO265</t>
  </si>
  <si>
    <t>4064225843213</t>
  </si>
  <si>
    <t>BOTIN MUJER 8510145NEGRO</t>
  </si>
  <si>
    <t>2626643NEGRO255</t>
  </si>
  <si>
    <t>4064198380340</t>
  </si>
  <si>
    <t>420401TAN300</t>
  </si>
  <si>
    <t>7500421865750</t>
  </si>
  <si>
    <t>421703NEGRO300</t>
  </si>
  <si>
    <t>7500421972335</t>
  </si>
  <si>
    <t>2331341BLANCOROSA230</t>
  </si>
  <si>
    <t>4064195124268</t>
  </si>
  <si>
    <t>ZAPATILLA MUJER 2331341BLANCOROSA</t>
  </si>
  <si>
    <t>422601BLANCO290</t>
  </si>
  <si>
    <t>7500421984680</t>
  </si>
  <si>
    <t>2562345NEGRO265</t>
  </si>
  <si>
    <t>4064199652644</t>
  </si>
  <si>
    <t>8520045TAN265</t>
  </si>
  <si>
    <t>4064225768387</t>
  </si>
  <si>
    <t>137304TABACO250</t>
  </si>
  <si>
    <t>7500421968413</t>
  </si>
  <si>
    <t>2513345COGNAC230</t>
  </si>
  <si>
    <t>4064199762688</t>
  </si>
  <si>
    <t>132702MOCCA225</t>
  </si>
  <si>
    <t>7500421779613</t>
  </si>
  <si>
    <t>421103TAUPE270</t>
  </si>
  <si>
    <t>7500421981658</t>
  </si>
  <si>
    <t>ZAPATILLA HOMBRE ZEGAMA 421103TAUPE</t>
  </si>
  <si>
    <t>8520045NEGRO250</t>
  </si>
  <si>
    <t>4064225768202</t>
  </si>
  <si>
    <t>BOTIN MUJER 8520045NEGRO</t>
  </si>
  <si>
    <t>135203BEIGE260</t>
  </si>
  <si>
    <t>7500421975343</t>
  </si>
  <si>
    <t>700807NEGRO270</t>
  </si>
  <si>
    <t>7506484190600</t>
  </si>
  <si>
    <t>700807NEGRO300</t>
  </si>
  <si>
    <t>7506484190662</t>
  </si>
  <si>
    <t>402521NEGRO300</t>
  </si>
  <si>
    <t>7500421754191</t>
  </si>
  <si>
    <t>2502641COGNAC270</t>
  </si>
  <si>
    <t>4064197808449</t>
  </si>
  <si>
    <t>2530145BEIGE270</t>
  </si>
  <si>
    <t>4064201812554</t>
  </si>
  <si>
    <t>37825TAUPE270</t>
  </si>
  <si>
    <t>7500421921715</t>
  </si>
  <si>
    <t>CRE0159NEGROUNIT</t>
  </si>
  <si>
    <t>718644084934</t>
  </si>
  <si>
    <t>CREMA LIQUIDA CRE0159 NEGRO</t>
  </si>
  <si>
    <t>137302DARKTAN250</t>
  </si>
  <si>
    <t>7500421968529</t>
  </si>
  <si>
    <t>CIN0457NEGRO/CAFE42</t>
  </si>
  <si>
    <t>7500421891421</t>
  </si>
  <si>
    <t>CINTURON HOMBRE CASUAL DOBLE VISTA CIN0457 NEGRO/C</t>
  </si>
  <si>
    <t>8541145BEIGE265</t>
  </si>
  <si>
    <t>4064225840830</t>
  </si>
  <si>
    <t>BOTIN MUJER 8541145BEIGE</t>
  </si>
  <si>
    <t>2373141LEOPARDO250</t>
  </si>
  <si>
    <t>4064195169405</t>
  </si>
  <si>
    <t>8371745BEIGECOMB255</t>
  </si>
  <si>
    <t>4064225747610</t>
  </si>
  <si>
    <t>137302DARKTAN270</t>
  </si>
  <si>
    <t>7500421968567</t>
  </si>
  <si>
    <t>105126NEGRO260</t>
  </si>
  <si>
    <t>7500277050966</t>
  </si>
  <si>
    <t>2376345PLATACOMB255</t>
  </si>
  <si>
    <t>4064199567757</t>
  </si>
  <si>
    <t>8431645NEGRO270</t>
  </si>
  <si>
    <t>4064225719587</t>
  </si>
  <si>
    <t>FLEXI COSTANERA CENTER</t>
  </si>
  <si>
    <t>8431645TAUPE240</t>
  </si>
  <si>
    <t>4064225761340</t>
  </si>
  <si>
    <t>2375545BLANCO275</t>
  </si>
  <si>
    <t>4064199575509</t>
  </si>
  <si>
    <t>134704TAN250</t>
  </si>
  <si>
    <t>7500421933183</t>
  </si>
  <si>
    <t>418301BLANCO260</t>
  </si>
  <si>
    <t>7500421763957</t>
  </si>
  <si>
    <t>119302NEGRO260</t>
  </si>
  <si>
    <t>7500421525203</t>
  </si>
  <si>
    <t>ZAPATILLA MUJER ROSAURA 119302NEGRO</t>
  </si>
  <si>
    <t>119302NEGRO270</t>
  </si>
  <si>
    <t>7500421525227</t>
  </si>
  <si>
    <t>420703TAUPE290</t>
  </si>
  <si>
    <t>7500421928691</t>
  </si>
  <si>
    <t>130201TAN270</t>
  </si>
  <si>
    <t>7500421750308</t>
  </si>
  <si>
    <t>ZAPATILLA MUJER AZURE 130201TAN</t>
  </si>
  <si>
    <t>2423942ROJO265</t>
  </si>
  <si>
    <t>4064199819542</t>
  </si>
  <si>
    <t>MOCASIN MUJER 2423942ROJO</t>
  </si>
  <si>
    <t>130402TAN270</t>
  </si>
  <si>
    <t>7500421737590</t>
  </si>
  <si>
    <t>2531241COGNAC250</t>
  </si>
  <si>
    <t>4064197559747</t>
  </si>
  <si>
    <t>421702NEGRO250</t>
  </si>
  <si>
    <t>7500421972359</t>
  </si>
  <si>
    <t>104918GRIS260</t>
  </si>
  <si>
    <t>7500421774045</t>
  </si>
  <si>
    <t>ZAPATILLA MUJER GRECYA 104918GRIS</t>
  </si>
  <si>
    <t>136602NEGRO260</t>
  </si>
  <si>
    <t>7500421973592</t>
  </si>
  <si>
    <t>137201NEGRO250</t>
  </si>
  <si>
    <t>7500421955062</t>
  </si>
  <si>
    <t>419407TAN290</t>
  </si>
  <si>
    <t>7500421981023</t>
  </si>
  <si>
    <t>ZAPATO HOMBRE HERRAN 419407TAN</t>
  </si>
  <si>
    <t>137502NEGRO220</t>
  </si>
  <si>
    <t>7500421963395</t>
  </si>
  <si>
    <t>126706NEGRO220</t>
  </si>
  <si>
    <t>7500421689158</t>
  </si>
  <si>
    <t>37824MARINO270</t>
  </si>
  <si>
    <t>7500421925539</t>
  </si>
  <si>
    <t>138502VINO240</t>
  </si>
  <si>
    <t>7500421987926</t>
  </si>
  <si>
    <t>102015NEGRO260</t>
  </si>
  <si>
    <t>7500421680964</t>
  </si>
  <si>
    <t>2362443NEGRO240</t>
  </si>
  <si>
    <t>4064199667761</t>
  </si>
  <si>
    <t>ZAPATILLA MUJER 2362443NEGRO</t>
  </si>
  <si>
    <t>PLA0632BLANCO29</t>
  </si>
  <si>
    <t>7500421915059</t>
  </si>
  <si>
    <t>104932GRIS250</t>
  </si>
  <si>
    <t>7500421967966</t>
  </si>
  <si>
    <t>104932ROSA250</t>
  </si>
  <si>
    <t>7500421967744</t>
  </si>
  <si>
    <t>2331341BLANCOROSA240</t>
  </si>
  <si>
    <t>4064195124275</t>
  </si>
  <si>
    <t>137606NEGRO220</t>
  </si>
  <si>
    <t>7500421962718</t>
  </si>
  <si>
    <t>104932GRIS270</t>
  </si>
  <si>
    <t>7500421968000</t>
  </si>
  <si>
    <t>109403CHAROLVINO260</t>
  </si>
  <si>
    <t>7500421725559</t>
  </si>
  <si>
    <t>2373241TAUPESNAKE240</t>
  </si>
  <si>
    <t>4064199833623</t>
  </si>
  <si>
    <t>105125DENIM260</t>
  </si>
  <si>
    <t>7500277050638</t>
  </si>
  <si>
    <t>133906NEGRO220</t>
  </si>
  <si>
    <t>7500421922293</t>
  </si>
  <si>
    <t>137002OROROSADO230</t>
  </si>
  <si>
    <t>7500421967041</t>
  </si>
  <si>
    <t>104932NEGRO230</t>
  </si>
  <si>
    <t>7500421967591</t>
  </si>
  <si>
    <t>137701NEGRO250</t>
  </si>
  <si>
    <t>7500421958100</t>
  </si>
  <si>
    <t>2372643NEGROCOBRE230</t>
  </si>
  <si>
    <t>4064198024152</t>
  </si>
  <si>
    <t>415308MARINO280</t>
  </si>
  <si>
    <t>7500421929551</t>
  </si>
  <si>
    <t>ZAPATILLA HOMBRE FRASER 415308MARINO</t>
  </si>
  <si>
    <t>138302CAFE260</t>
  </si>
  <si>
    <t>7500421985687</t>
  </si>
  <si>
    <t>131501NAVY220</t>
  </si>
  <si>
    <t>7500421924990</t>
  </si>
  <si>
    <t>ZAPATILLA MUJER SALUMA 131501NAVY</t>
  </si>
  <si>
    <t>127202NEGRO250</t>
  </si>
  <si>
    <t>7500421609378</t>
  </si>
  <si>
    <t>ZAPATO MUJER MACKENZIE 127202NEGRO</t>
  </si>
  <si>
    <t>132701BLACK250</t>
  </si>
  <si>
    <t>7500421779484</t>
  </si>
  <si>
    <t>137603NEGRO240</t>
  </si>
  <si>
    <t>7500421969168</t>
  </si>
  <si>
    <t>2372442NEGRO255</t>
  </si>
  <si>
    <t>4064195070459</t>
  </si>
  <si>
    <t>137808NEGRO230</t>
  </si>
  <si>
    <t>7500421989609</t>
  </si>
  <si>
    <t>125614MARINO270</t>
  </si>
  <si>
    <t>7500421926741</t>
  </si>
  <si>
    <t>131501MENTA250</t>
  </si>
  <si>
    <t>7500277051277</t>
  </si>
  <si>
    <t>105126NEGRO240</t>
  </si>
  <si>
    <t>7500277050928</t>
  </si>
  <si>
    <t>8371644BLANCOCOMB240</t>
  </si>
  <si>
    <t>4064225733651</t>
  </si>
  <si>
    <t>ZAPATILLA MUJER 8371644BLANCOCOMB</t>
  </si>
  <si>
    <t>421703TAN280</t>
  </si>
  <si>
    <t>7500421972779</t>
  </si>
  <si>
    <t>2231843NEGROCHAROL240</t>
  </si>
  <si>
    <t>4064198132338</t>
  </si>
  <si>
    <t>133906VINO220</t>
  </si>
  <si>
    <t>7500421931479</t>
  </si>
  <si>
    <t>8371745BEIGECOMB270</t>
  </si>
  <si>
    <t>4064225747634</t>
  </si>
  <si>
    <t>8372644MOCCALEOPARDO270</t>
  </si>
  <si>
    <t>4064225924325</t>
  </si>
  <si>
    <t>422401BLANCO260</t>
  </si>
  <si>
    <t>7500421984185</t>
  </si>
  <si>
    <t>134504TAUPE240</t>
  </si>
  <si>
    <t>7500421933718</t>
  </si>
  <si>
    <t>130605NEGRO270</t>
  </si>
  <si>
    <t>7500421925423</t>
  </si>
  <si>
    <t>135203BEIGE270</t>
  </si>
  <si>
    <t>7500421975367</t>
  </si>
  <si>
    <t>104918GRIS270</t>
  </si>
  <si>
    <t>7500421774069</t>
  </si>
  <si>
    <t>137505VINO240</t>
  </si>
  <si>
    <t>7500421968611</t>
  </si>
  <si>
    <t>137902BLANCO240</t>
  </si>
  <si>
    <t>7500421973875</t>
  </si>
  <si>
    <t>2531241NEGRO240</t>
  </si>
  <si>
    <t>4064197559297</t>
  </si>
  <si>
    <t>132301CHESTNUT250</t>
  </si>
  <si>
    <t>7500421778449</t>
  </si>
  <si>
    <t>137701CAFE270</t>
  </si>
  <si>
    <t>7500421965627</t>
  </si>
  <si>
    <t>137603NEGRO270</t>
  </si>
  <si>
    <t>7500421969229</t>
  </si>
  <si>
    <t>406402TAN270</t>
  </si>
  <si>
    <t>7500421434604</t>
  </si>
  <si>
    <t>131902NEGRO240</t>
  </si>
  <si>
    <t>7500421750506</t>
  </si>
  <si>
    <t>2362443LEOPARDO270</t>
  </si>
  <si>
    <t>4064198721679</t>
  </si>
  <si>
    <t>ZAPATILLA MUJER 2362443LEOPARDO</t>
  </si>
  <si>
    <t>704705NEGRO270</t>
  </si>
  <si>
    <t>7506484171685</t>
  </si>
  <si>
    <t>119707NEGRO260</t>
  </si>
  <si>
    <t>7500421688076</t>
  </si>
  <si>
    <t>101011ROSA270</t>
  </si>
  <si>
    <t>7500421579541</t>
  </si>
  <si>
    <t>ZAPATILLA MUJER ALANIS 101011ROSA</t>
  </si>
  <si>
    <t>420306TAUPE/NEGRO270</t>
  </si>
  <si>
    <t>7500421978528</t>
  </si>
  <si>
    <t>2372344MERLOTCOMB250</t>
  </si>
  <si>
    <t>4064199645448</t>
  </si>
  <si>
    <t>CIN0460NEGRO36</t>
  </si>
  <si>
    <t>7500421891605</t>
  </si>
  <si>
    <t>2513345NEGRO265</t>
  </si>
  <si>
    <t>4064199762244</t>
  </si>
  <si>
    <t>138301TAUPE270</t>
  </si>
  <si>
    <t>7500421986363</t>
  </si>
  <si>
    <t>132301CHESTNUT240</t>
  </si>
  <si>
    <t>7500421778432</t>
  </si>
  <si>
    <t>2331341AZUL250</t>
  </si>
  <si>
    <t>4064195220748</t>
  </si>
  <si>
    <t>ZAPATILLA MUJER 2331341AZUL</t>
  </si>
  <si>
    <t>124210HUESO230</t>
  </si>
  <si>
    <t>7500421811214</t>
  </si>
  <si>
    <t>SANDALIA MUJER DARIANA 124210HUESO</t>
  </si>
  <si>
    <t>DARIANA</t>
  </si>
  <si>
    <t>116310NEGRO230</t>
  </si>
  <si>
    <t>7500421546406</t>
  </si>
  <si>
    <t>417007CAFE280</t>
  </si>
  <si>
    <t>7500421756072</t>
  </si>
  <si>
    <t>417007CAFE290</t>
  </si>
  <si>
    <t>7500421756096</t>
  </si>
  <si>
    <t>421801MARINO260</t>
  </si>
  <si>
    <t>7500421969816</t>
  </si>
  <si>
    <t>421801MARINO270</t>
  </si>
  <si>
    <t>7500421969830</t>
  </si>
  <si>
    <t>421801MARINO290</t>
  </si>
  <si>
    <t>7500421969878</t>
  </si>
  <si>
    <t>119803TAN250</t>
  </si>
  <si>
    <t>7500421545560</t>
  </si>
  <si>
    <t>406801CAFEMKP260</t>
  </si>
  <si>
    <t>7500421647639</t>
  </si>
  <si>
    <t>90717NEGRO250</t>
  </si>
  <si>
    <t>7500421507193</t>
  </si>
  <si>
    <t>130402TAN220</t>
  </si>
  <si>
    <t>7500421737491</t>
  </si>
  <si>
    <t>135502NEGRO240</t>
  </si>
  <si>
    <t>7500421883150</t>
  </si>
  <si>
    <t>SANDALIA MUJER PIA 135502NEGRO</t>
  </si>
  <si>
    <t>104521NEGRO240</t>
  </si>
  <si>
    <t>7500421903803</t>
  </si>
  <si>
    <t>138502BLANCO240</t>
  </si>
  <si>
    <t>7500421985533</t>
  </si>
  <si>
    <t>136704NEGRO250</t>
  </si>
  <si>
    <t>7500421960035</t>
  </si>
  <si>
    <t>2509741CHAMPAGNE255</t>
  </si>
  <si>
    <t>4064197820670</t>
  </si>
  <si>
    <t>2420042AZUL270</t>
  </si>
  <si>
    <t>4064197995774</t>
  </si>
  <si>
    <t>138701NEGRO270</t>
  </si>
  <si>
    <t>7500421987575</t>
  </si>
  <si>
    <t>CAR0362GRISUNIT</t>
  </si>
  <si>
    <t>7500421889770</t>
  </si>
  <si>
    <t>CARTERA MUJER CROSSDODY CAR0362 GRIS</t>
  </si>
  <si>
    <t>CARTERA</t>
  </si>
  <si>
    <t>140304AZUL260</t>
  </si>
  <si>
    <t>7500277054391</t>
  </si>
  <si>
    <t>PLA0632BLANCO26</t>
  </si>
  <si>
    <t>7500421915028</t>
  </si>
  <si>
    <t>CIN0460NEGRO42</t>
  </si>
  <si>
    <t>7500421891636</t>
  </si>
  <si>
    <t>135302TAN240</t>
  </si>
  <si>
    <t>7500421883815</t>
  </si>
  <si>
    <t>34929BEIGE260</t>
  </si>
  <si>
    <t>7500421533376</t>
  </si>
  <si>
    <t>SANDALIA MUJER GAIA 34929BEIGE</t>
  </si>
  <si>
    <t>2423942ROJO230</t>
  </si>
  <si>
    <t>4064199819566</t>
  </si>
  <si>
    <t>18131NEGRO250</t>
  </si>
  <si>
    <t>7500421590935</t>
  </si>
  <si>
    <t>CIN0459COGNAC42</t>
  </si>
  <si>
    <t>7500421891568</t>
  </si>
  <si>
    <t>134704TAN240</t>
  </si>
  <si>
    <t>7500421933169</t>
  </si>
  <si>
    <t>419801NEGRO270</t>
  </si>
  <si>
    <t>7500421866054</t>
  </si>
  <si>
    <t>2231843NEGROCHAROL250</t>
  </si>
  <si>
    <t>4064198132345</t>
  </si>
  <si>
    <t>133901MARINO245</t>
  </si>
  <si>
    <t>7500421850725</t>
  </si>
  <si>
    <t>104932GRIS220</t>
  </si>
  <si>
    <t>7500421967904</t>
  </si>
  <si>
    <t>2376345OROCOMB230</t>
  </si>
  <si>
    <t>4064199567962</t>
  </si>
  <si>
    <t>138502CAMEL260</t>
  </si>
  <si>
    <t>7500277055718</t>
  </si>
  <si>
    <t>116316CREMA240</t>
  </si>
  <si>
    <t>7500421838259</t>
  </si>
  <si>
    <t>2423942ROJO255</t>
  </si>
  <si>
    <t>4064199819535</t>
  </si>
  <si>
    <t>2372043NEGROORO255</t>
  </si>
  <si>
    <t>4064198287663</t>
  </si>
  <si>
    <t>2431643COGNAC250</t>
  </si>
  <si>
    <t>4064195984541</t>
  </si>
  <si>
    <t>404612CHOCOLATE280</t>
  </si>
  <si>
    <t>7500421755280</t>
  </si>
  <si>
    <t>2420042TAUPE240</t>
  </si>
  <si>
    <t>4064197995019</t>
  </si>
  <si>
    <t>109403CHAROLVINO240</t>
  </si>
  <si>
    <t>7500421725511</t>
  </si>
  <si>
    <t>2374643CAMELCOMB250</t>
  </si>
  <si>
    <t>4064199558595</t>
  </si>
  <si>
    <t>401010TAUPE270</t>
  </si>
  <si>
    <t>7500421803233</t>
  </si>
  <si>
    <t>2530145BEIGE230</t>
  </si>
  <si>
    <t>4064201812561</t>
  </si>
  <si>
    <t>48303NEGRO270</t>
  </si>
  <si>
    <t>7506193698077</t>
  </si>
  <si>
    <t>404612CAMEL280</t>
  </si>
  <si>
    <t>7500421734636</t>
  </si>
  <si>
    <t>BOTIN HOMBRE DINAMO 404612CAMEL</t>
  </si>
  <si>
    <t>137606DARKTAN260</t>
  </si>
  <si>
    <t>7500421969311</t>
  </si>
  <si>
    <t>2360342TAUPEGLAM250</t>
  </si>
  <si>
    <t>4064199554894</t>
  </si>
  <si>
    <t>2562345NEGRO250</t>
  </si>
  <si>
    <t>4064199652620</t>
  </si>
  <si>
    <t>2582345MOCCA250</t>
  </si>
  <si>
    <t>4064199906006</t>
  </si>
  <si>
    <t>132701COGNAC250</t>
  </si>
  <si>
    <t>7500421779408</t>
  </si>
  <si>
    <t>2532745COGNAC240</t>
  </si>
  <si>
    <t>4064199688735</t>
  </si>
  <si>
    <t>BOTIN MUJER 2532745COGNAC</t>
  </si>
  <si>
    <t>2535443NEGROCOMB240</t>
  </si>
  <si>
    <t>4064199840614</t>
  </si>
  <si>
    <t>133401BLACK240</t>
  </si>
  <si>
    <t>7500421781074</t>
  </si>
  <si>
    <t>2509741NEGROGLAM255</t>
  </si>
  <si>
    <t>4064197820434</t>
  </si>
  <si>
    <t>2420042COGNAC270</t>
  </si>
  <si>
    <t>4064197995293</t>
  </si>
  <si>
    <t>105125BEIGE260</t>
  </si>
  <si>
    <t>7500277050744</t>
  </si>
  <si>
    <t>137902BLANCO230</t>
  </si>
  <si>
    <t>7500421973851</t>
  </si>
  <si>
    <t>2362443NEGRO265</t>
  </si>
  <si>
    <t>4064199667792</t>
  </si>
  <si>
    <t>90717NEGRO280</t>
  </si>
  <si>
    <t>7500421507254</t>
  </si>
  <si>
    <t>137902BLANCO270</t>
  </si>
  <si>
    <t>7500421973936</t>
  </si>
  <si>
    <t>2535741NEGROCHAROL230</t>
  </si>
  <si>
    <t>4064197567803</t>
  </si>
  <si>
    <t>137302NEGRO240</t>
  </si>
  <si>
    <t>7500421956021</t>
  </si>
  <si>
    <t>2372643NEGROCOBRE240</t>
  </si>
  <si>
    <t>4064198024169</t>
  </si>
  <si>
    <t>2527345COGNAC230</t>
  </si>
  <si>
    <t>4064199851023</t>
  </si>
  <si>
    <t>141302ROSA240</t>
  </si>
  <si>
    <t>7500277052465</t>
  </si>
  <si>
    <t>421104NEGRO250</t>
  </si>
  <si>
    <t>7500421981061</t>
  </si>
  <si>
    <t>BOTIN HOMBRE ZEGAMA 421104NEGRO</t>
  </si>
  <si>
    <t>130803NEGRO240</t>
  </si>
  <si>
    <t>7500421796238</t>
  </si>
  <si>
    <t>137102NEGRO260</t>
  </si>
  <si>
    <t>7500421958568</t>
  </si>
  <si>
    <t>137302NEGRO260</t>
  </si>
  <si>
    <t>7500421956069</t>
  </si>
  <si>
    <t>421104CAFE280</t>
  </si>
  <si>
    <t>7500421981344</t>
  </si>
  <si>
    <t>138503BEIGE250</t>
  </si>
  <si>
    <t>7500277055589</t>
  </si>
  <si>
    <t>132702BLACK250</t>
  </si>
  <si>
    <t>7500421781623</t>
  </si>
  <si>
    <t>BOTIN MUJER JILLY 132702BLACK</t>
  </si>
  <si>
    <t>CIN1173CAFES</t>
  </si>
  <si>
    <t>75004211710210</t>
  </si>
  <si>
    <t>CINTURON MUJER VESTIR CIN1173 CAFE</t>
  </si>
  <si>
    <t>116316CARMIN260</t>
  </si>
  <si>
    <t>7500421838402</t>
  </si>
  <si>
    <t>2531241COGNAC270</t>
  </si>
  <si>
    <t>4064197559808</t>
  </si>
  <si>
    <t>8370742CAFE240</t>
  </si>
  <si>
    <t>4064225730308</t>
  </si>
  <si>
    <t>104501ESCAMANUDE235</t>
  </si>
  <si>
    <t>7500421847190</t>
  </si>
  <si>
    <t>88617NEGRO280</t>
  </si>
  <si>
    <t>7506484193403</t>
  </si>
  <si>
    <t>2423942ROJO250</t>
  </si>
  <si>
    <t>4064199819528</t>
  </si>
  <si>
    <t>421103AZUL300</t>
  </si>
  <si>
    <t>7500421981498</t>
  </si>
  <si>
    <t>124401MARINO220</t>
  </si>
  <si>
    <t>7500421670262</t>
  </si>
  <si>
    <t>137902BLANCO220</t>
  </si>
  <si>
    <t>7500421973394</t>
  </si>
  <si>
    <t>141301BEIGE220</t>
  </si>
  <si>
    <t>7500277052090</t>
  </si>
  <si>
    <t>419801BEIGE270</t>
  </si>
  <si>
    <t>7500421870013</t>
  </si>
  <si>
    <t>ZAPATILLA HOMBRE BARD 419801BEIGE</t>
  </si>
  <si>
    <t>110407NEGRO270</t>
  </si>
  <si>
    <t>7500421466797</t>
  </si>
  <si>
    <t>417505BROWN270</t>
  </si>
  <si>
    <t>7500421857779</t>
  </si>
  <si>
    <t>137503NEGRO260</t>
  </si>
  <si>
    <t>7500421963364</t>
  </si>
  <si>
    <t>418201NEGRO280</t>
  </si>
  <si>
    <t>7500421761090</t>
  </si>
  <si>
    <t>418201TAN280</t>
  </si>
  <si>
    <t>7500421760987</t>
  </si>
  <si>
    <t>MOCASIN HOMBRE MCCARTHY 418201TAN</t>
  </si>
  <si>
    <t>68617AZULMKP280</t>
  </si>
  <si>
    <t>7500421604717</t>
  </si>
  <si>
    <t>MOCASIN HOMBRE SOHO 68617AZULMKP</t>
  </si>
  <si>
    <t>2420042AZUL240</t>
  </si>
  <si>
    <t>4064197995736</t>
  </si>
  <si>
    <t>136602HUESO270</t>
  </si>
  <si>
    <t>7500421973721</t>
  </si>
  <si>
    <t>2682545CAMEL240</t>
  </si>
  <si>
    <t>4064199911833</t>
  </si>
  <si>
    <t>402521NEGRO270</t>
  </si>
  <si>
    <t>7500421754139</t>
  </si>
  <si>
    <t>127102MARINO260</t>
  </si>
  <si>
    <t>7500421704882</t>
  </si>
  <si>
    <t>ZAPATILLA MUJER NAT 127102MARINO</t>
  </si>
  <si>
    <t>CIN0457NEGRO/CAFE40</t>
  </si>
  <si>
    <t>7500421891414</t>
  </si>
  <si>
    <t>130207CAFE240</t>
  </si>
  <si>
    <t>7500421985205</t>
  </si>
  <si>
    <t>104501ESCAMANEGRO255</t>
  </si>
  <si>
    <t>7500421847121</t>
  </si>
  <si>
    <t>104501ESCAMANUDE255</t>
  </si>
  <si>
    <t>7500421847237</t>
  </si>
  <si>
    <t>CIN0112NEGRO95</t>
  </si>
  <si>
    <t>7506103127222</t>
  </si>
  <si>
    <t>CINTURON VESTIR UNA VISTA CIN0112NEGRO</t>
  </si>
  <si>
    <t>137902SILT230</t>
  </si>
  <si>
    <t>7500421974186</t>
  </si>
  <si>
    <t>18135NEGRO260</t>
  </si>
  <si>
    <t>7500421936030</t>
  </si>
  <si>
    <t>116802VINO260</t>
  </si>
  <si>
    <t>7500421569016</t>
  </si>
  <si>
    <t>138503ANTIMONIO240</t>
  </si>
  <si>
    <t>7500277055343</t>
  </si>
  <si>
    <t>403016ARENA260</t>
  </si>
  <si>
    <t>7500421767122</t>
  </si>
  <si>
    <t>BOTIN HOMBRE OCON 403016ARENA</t>
  </si>
  <si>
    <t>OCON</t>
  </si>
  <si>
    <t>2372442OROCLARO270</t>
  </si>
  <si>
    <t>4064198715340</t>
  </si>
  <si>
    <t>2372442OROCLARO240</t>
  </si>
  <si>
    <t>4064198715302</t>
  </si>
  <si>
    <t>2532143COGNAC250</t>
  </si>
  <si>
    <t>4064195990245</t>
  </si>
  <si>
    <t>105125BEIGE230</t>
  </si>
  <si>
    <t>7500277050683</t>
  </si>
  <si>
    <t>136602HUESO250</t>
  </si>
  <si>
    <t>7500421973684</t>
  </si>
  <si>
    <t>110402TAN250</t>
  </si>
  <si>
    <t>7500421521960</t>
  </si>
  <si>
    <t>417701NEGRO260</t>
  </si>
  <si>
    <t>7500421674383</t>
  </si>
  <si>
    <t>2472243OLIVA250</t>
  </si>
  <si>
    <t>4064199830288</t>
  </si>
  <si>
    <t>137002OROROSADO250</t>
  </si>
  <si>
    <t>7500421967089</t>
  </si>
  <si>
    <t>2372442IVORY27.5</t>
  </si>
  <si>
    <t>4064195070725</t>
  </si>
  <si>
    <t>413101NEGRO270</t>
  </si>
  <si>
    <t>7500421550960</t>
  </si>
  <si>
    <t>2530145BEIGE250</t>
  </si>
  <si>
    <t>4064201812523</t>
  </si>
  <si>
    <t>124401MARINO250</t>
  </si>
  <si>
    <t>7500421670323</t>
  </si>
  <si>
    <t>2570241CAFE230</t>
  </si>
  <si>
    <t>4064197746550</t>
  </si>
  <si>
    <t>422401GRIS250</t>
  </si>
  <si>
    <t>7500421989258</t>
  </si>
  <si>
    <t>105126NEGRO220</t>
  </si>
  <si>
    <t>7500277050881</t>
  </si>
  <si>
    <t>132702BLACK240</t>
  </si>
  <si>
    <t>7500421781616</t>
  </si>
  <si>
    <t>2423942NEGROCHAROL230</t>
  </si>
  <si>
    <t>4064199819320</t>
  </si>
  <si>
    <t>2531241NEGRO250</t>
  </si>
  <si>
    <t>4064197559303</t>
  </si>
  <si>
    <t>8510145CAFE230</t>
  </si>
  <si>
    <t>4064225842513</t>
  </si>
  <si>
    <t>419503NEGRO250</t>
  </si>
  <si>
    <t>7500421838969</t>
  </si>
  <si>
    <t>ZAPATO HOMBRE KASSAN 419503NEGRO</t>
  </si>
  <si>
    <t>KASSAN</t>
  </si>
  <si>
    <t>CIN0460NEGRO34</t>
  </si>
  <si>
    <t>7500421891599</t>
  </si>
  <si>
    <t>136705NEGRO270</t>
  </si>
  <si>
    <t>7500421971628</t>
  </si>
  <si>
    <t>133401BLACK270</t>
  </si>
  <si>
    <t>7500421781111</t>
  </si>
  <si>
    <t>133401COGNAC270</t>
  </si>
  <si>
    <t>7500421781197</t>
  </si>
  <si>
    <t>119707NEGRO240</t>
  </si>
  <si>
    <t>7500421688038</t>
  </si>
  <si>
    <t>421401NEGRO290</t>
  </si>
  <si>
    <t>7500421942598</t>
  </si>
  <si>
    <t>138302CAFE270</t>
  </si>
  <si>
    <t>7500421985700</t>
  </si>
  <si>
    <t>137105DARKTAN250</t>
  </si>
  <si>
    <t>7500421967195</t>
  </si>
  <si>
    <t>132501COGNAC255</t>
  </si>
  <si>
    <t>7500421778852</t>
  </si>
  <si>
    <t>136704NEGRO230</t>
  </si>
  <si>
    <t>7500421959992</t>
  </si>
  <si>
    <t>2570241MOCCA270</t>
  </si>
  <si>
    <t>4064198119100</t>
  </si>
  <si>
    <t>8541145BEIGE270</t>
  </si>
  <si>
    <t>4064225840847</t>
  </si>
  <si>
    <t>136604NEGRO240</t>
  </si>
  <si>
    <t>7500421962190</t>
  </si>
  <si>
    <t>417702TAN280</t>
  </si>
  <si>
    <t>7500421674208</t>
  </si>
  <si>
    <t>421104CAFE290</t>
  </si>
  <si>
    <t>7500421981368</t>
  </si>
  <si>
    <t>8431645TAUPE250</t>
  </si>
  <si>
    <t>4064225761357</t>
  </si>
  <si>
    <t>101905TAN230</t>
  </si>
  <si>
    <t>7500421453643</t>
  </si>
  <si>
    <t>136602HUESO230</t>
  </si>
  <si>
    <t>7500421973646</t>
  </si>
  <si>
    <t>406401NEGRO280</t>
  </si>
  <si>
    <t>7500421432501</t>
  </si>
  <si>
    <t>8371745BEIGECOMB250</t>
  </si>
  <si>
    <t>4064225747603</t>
  </si>
  <si>
    <t>134704TAN270</t>
  </si>
  <si>
    <t>7500421933220</t>
  </si>
  <si>
    <t>134704NEGRO270</t>
  </si>
  <si>
    <t>7500421933558</t>
  </si>
  <si>
    <t>137302NEGRO250</t>
  </si>
  <si>
    <t>7500421956045</t>
  </si>
  <si>
    <t>130208DORADO250</t>
  </si>
  <si>
    <t>7500421979556</t>
  </si>
  <si>
    <t>421104CAFE260</t>
  </si>
  <si>
    <t>7500421981306</t>
  </si>
  <si>
    <t>130302NEGRO220</t>
  </si>
  <si>
    <t>7500421736203</t>
  </si>
  <si>
    <t>419407TAN280</t>
  </si>
  <si>
    <t>7500421981009</t>
  </si>
  <si>
    <t>2527345COGNAC265</t>
  </si>
  <si>
    <t>4064199851061</t>
  </si>
  <si>
    <t>421104NEGRO270</t>
  </si>
  <si>
    <t>7500421981108</t>
  </si>
  <si>
    <t>2535741TAUPE255</t>
  </si>
  <si>
    <t>4064199708457</t>
  </si>
  <si>
    <t>138105NEGRO230</t>
  </si>
  <si>
    <t>7500421974520</t>
  </si>
  <si>
    <t>2533643NEGROCOMB270</t>
  </si>
  <si>
    <t>4064198322647</t>
  </si>
  <si>
    <t>132301BLACK255</t>
  </si>
  <si>
    <t>7500421778272</t>
  </si>
  <si>
    <t>2539145NEGRO255</t>
  </si>
  <si>
    <t>4064199953666</t>
  </si>
  <si>
    <t>2533643NEGROCOMB230</t>
  </si>
  <si>
    <t>4064198322593</t>
  </si>
  <si>
    <t>2590841NEGRO270</t>
  </si>
  <si>
    <t>4064197914089</t>
  </si>
  <si>
    <t>BOTIN MUJER 2590841NEGRO</t>
  </si>
  <si>
    <t>2545941NEGRO270</t>
  </si>
  <si>
    <t>4064197719387</t>
  </si>
  <si>
    <t>8431645NEGRO255</t>
  </si>
  <si>
    <t>4064225719563</t>
  </si>
  <si>
    <t>2552943NEGRO240</t>
  </si>
  <si>
    <t>4064198157584</t>
  </si>
  <si>
    <t>2553945COGNAC230</t>
  </si>
  <si>
    <t>4064199905498</t>
  </si>
  <si>
    <t>BOTA MUJER 2553945COGNAC</t>
  </si>
  <si>
    <t>2562345NEGRO270</t>
  </si>
  <si>
    <t>4064199652651</t>
  </si>
  <si>
    <t>421702COGNAC290</t>
  </si>
  <si>
    <t>7500421972670</t>
  </si>
  <si>
    <t>136803NUDE230</t>
  </si>
  <si>
    <t>7500421964309</t>
  </si>
  <si>
    <t>131501BLANCO240</t>
  </si>
  <si>
    <t>7500421750940</t>
  </si>
  <si>
    <t>2370744LEOPARDOCOMB250</t>
  </si>
  <si>
    <t>4064198854810</t>
  </si>
  <si>
    <t>ZAPATILLA MUJER 2370744LEOPARDOCOMB</t>
  </si>
  <si>
    <t>141201AZUL260</t>
  </si>
  <si>
    <t>7500277052618</t>
  </si>
  <si>
    <t>ZAPATILLA MUJER KINDRA 141201AZUL</t>
  </si>
  <si>
    <t>421104CAFE250</t>
  </si>
  <si>
    <t>7500421981283</t>
  </si>
  <si>
    <t>130201AZUL250</t>
  </si>
  <si>
    <t>7500421937006</t>
  </si>
  <si>
    <t>128701TAN240</t>
  </si>
  <si>
    <t>7500421691441</t>
  </si>
  <si>
    <t>ZAPATO MUJER ACAI 128701TAN</t>
  </si>
  <si>
    <t>133906VINO270</t>
  </si>
  <si>
    <t>7500421931578</t>
  </si>
  <si>
    <t>2362443LEOPARDO265</t>
  </si>
  <si>
    <t>4064198721662</t>
  </si>
  <si>
    <t>127401VINO255</t>
  </si>
  <si>
    <t>7500421599051</t>
  </si>
  <si>
    <t>2472243MOCCA255</t>
  </si>
  <si>
    <t>4064199476301</t>
  </si>
  <si>
    <t>137203NEGRO240</t>
  </si>
  <si>
    <t>7500421955154</t>
  </si>
  <si>
    <t>421702NEGRO280</t>
  </si>
  <si>
    <t>7500421972410</t>
  </si>
  <si>
    <t>420001NEGRO250</t>
  </si>
  <si>
    <t>7500421868539</t>
  </si>
  <si>
    <t>2591843LEOPARDO240</t>
  </si>
  <si>
    <t>4064198338891</t>
  </si>
  <si>
    <t>2362443NEGRO250</t>
  </si>
  <si>
    <t>4064199667778</t>
  </si>
  <si>
    <t>45602NEGRO230</t>
  </si>
  <si>
    <t>7500421283448</t>
  </si>
  <si>
    <t>104501ESCAMANEGRO270</t>
  </si>
  <si>
    <t>7500421847152</t>
  </si>
  <si>
    <t>2241041COGNAC230</t>
  </si>
  <si>
    <t>4064197396304</t>
  </si>
  <si>
    <t>25911CAFE270</t>
  </si>
  <si>
    <t>7500421288368</t>
  </si>
  <si>
    <t>132701BLACK240</t>
  </si>
  <si>
    <t>7500421779477</t>
  </si>
  <si>
    <t>2552943NEGRO230</t>
  </si>
  <si>
    <t>4064198157577</t>
  </si>
  <si>
    <t>132701COGNAC255</t>
  </si>
  <si>
    <t>7500421779415</t>
  </si>
  <si>
    <t>131902NEGRO260</t>
  </si>
  <si>
    <t>7500421750544</t>
  </si>
  <si>
    <t>133901NEGRO255</t>
  </si>
  <si>
    <t>7500421862988</t>
  </si>
  <si>
    <t>141301BEIGE260</t>
  </si>
  <si>
    <t>7500277052175</t>
  </si>
  <si>
    <t>2532745COGNAC250</t>
  </si>
  <si>
    <t>4064199688742</t>
  </si>
  <si>
    <t>2320144COGNAC265</t>
  </si>
  <si>
    <t>4064198651693</t>
  </si>
  <si>
    <t>2320144NEGRO265</t>
  </si>
  <si>
    <t>4064198651457</t>
  </si>
  <si>
    <t>104501NEGRO240</t>
  </si>
  <si>
    <t>7500421405512</t>
  </si>
  <si>
    <t>2562345NEGRO240</t>
  </si>
  <si>
    <t>4064199652613</t>
  </si>
  <si>
    <t>2431643COGNAC265</t>
  </si>
  <si>
    <t>4064195984565</t>
  </si>
  <si>
    <t>126606NEGRO250</t>
  </si>
  <si>
    <t>7500421744635</t>
  </si>
  <si>
    <t>129405MARINO250</t>
  </si>
  <si>
    <t>7500421865279</t>
  </si>
  <si>
    <t>SANDALIA MUJER FRAGA 129405MARINO</t>
  </si>
  <si>
    <t>419407TAN300</t>
  </si>
  <si>
    <t>7500421981047</t>
  </si>
  <si>
    <t>421104NEGRO300</t>
  </si>
  <si>
    <t>7500421981160</t>
  </si>
  <si>
    <t>2372043NEGROORO250</t>
  </si>
  <si>
    <t>4064198287656</t>
  </si>
  <si>
    <t>417505BROWN260</t>
  </si>
  <si>
    <t>7500421857755</t>
  </si>
  <si>
    <t>8372644ROJOLEOPARDO240</t>
  </si>
  <si>
    <t>4064225924561</t>
  </si>
  <si>
    <t>132501COGNAC240</t>
  </si>
  <si>
    <t>7500421778838</t>
  </si>
  <si>
    <t>8370742CAFE265</t>
  </si>
  <si>
    <t>4064225730339</t>
  </si>
  <si>
    <t>2372442NEGRO250</t>
  </si>
  <si>
    <t>4064195070442</t>
  </si>
  <si>
    <t>137304TABACO260</t>
  </si>
  <si>
    <t>7500421968437</t>
  </si>
  <si>
    <t>CALZADOR1BLANCOUNIT</t>
  </si>
  <si>
    <t>7500421092521</t>
  </si>
  <si>
    <t>CALZADOR NO APLICA NO APLICA CALZADOR1 BLANCO</t>
  </si>
  <si>
    <t>CALZADOR</t>
  </si>
  <si>
    <t>2423942ROJO270</t>
  </si>
  <si>
    <t>4064199819559</t>
  </si>
  <si>
    <t>132702MOCCA270</t>
  </si>
  <si>
    <t>7500421779675</t>
  </si>
  <si>
    <t>101908OROVIEJO230</t>
  </si>
  <si>
    <t>7500421935095</t>
  </si>
  <si>
    <t>2431643COGNAC255</t>
  </si>
  <si>
    <t>4064195984558</t>
  </si>
  <si>
    <t>137804TAN240</t>
  </si>
  <si>
    <t>7500421970744</t>
  </si>
  <si>
    <t>105126NEGRO230</t>
  </si>
  <si>
    <t>7500277050904</t>
  </si>
  <si>
    <t>137304NEGRO230</t>
  </si>
  <si>
    <t>7500421955895</t>
  </si>
  <si>
    <t>2535741TAUPE230</t>
  </si>
  <si>
    <t>4064199708426</t>
  </si>
  <si>
    <t>422501AZUL270</t>
  </si>
  <si>
    <t>7500421979099</t>
  </si>
  <si>
    <t>136602TAN260</t>
  </si>
  <si>
    <t>7500421973486</t>
  </si>
  <si>
    <t>131501BURGUNDY260</t>
  </si>
  <si>
    <t>7500421925294</t>
  </si>
  <si>
    <t>141201AZUL230</t>
  </si>
  <si>
    <t>7500277052557</t>
  </si>
  <si>
    <t>415506OXFORD270</t>
  </si>
  <si>
    <t>7500421929865</t>
  </si>
  <si>
    <t>129201BLANCO270</t>
  </si>
  <si>
    <t>7500421674680</t>
  </si>
  <si>
    <t>2362443NEGRO255</t>
  </si>
  <si>
    <t>4064199667785</t>
  </si>
  <si>
    <t>2531241NEGRO265</t>
  </si>
  <si>
    <t>4064197559327</t>
  </si>
  <si>
    <t>134504VINO250</t>
  </si>
  <si>
    <t>7500421933626</t>
  </si>
  <si>
    <t>134401NEGRO240</t>
  </si>
  <si>
    <t>7500421875995</t>
  </si>
  <si>
    <t>SANDALIA MUJER KATNIS 134401NEGRO</t>
  </si>
  <si>
    <t>KATNIS</t>
  </si>
  <si>
    <t>2582345NEGRO250</t>
  </si>
  <si>
    <t>4064199905764</t>
  </si>
  <si>
    <t>2535741NEGROCHAROL240</t>
  </si>
  <si>
    <t>4064197567810</t>
  </si>
  <si>
    <t>8520045TAN255</t>
  </si>
  <si>
    <t>4064225768370</t>
  </si>
  <si>
    <t>2570241CAFE250</t>
  </si>
  <si>
    <t>4064197746574</t>
  </si>
  <si>
    <t>130604NEGRO270</t>
  </si>
  <si>
    <t>7500421738696</t>
  </si>
  <si>
    <t>2553945COGNAC250</t>
  </si>
  <si>
    <t>4064199905511</t>
  </si>
  <si>
    <t>137804TAN260</t>
  </si>
  <si>
    <t>7500421970782</t>
  </si>
  <si>
    <t>136602NEGRO240</t>
  </si>
  <si>
    <t>7500421973554</t>
  </si>
  <si>
    <t>37824MARINO230</t>
  </si>
  <si>
    <t>7500421925454</t>
  </si>
  <si>
    <t>37825NEGRO260</t>
  </si>
  <si>
    <t>7500421933862</t>
  </si>
  <si>
    <t>104932NEGRO250</t>
  </si>
  <si>
    <t>7500421967638</t>
  </si>
  <si>
    <t>123717NEGRO250</t>
  </si>
  <si>
    <t>7500421851487</t>
  </si>
  <si>
    <t>SANDALIA MUJER ZURA 123717NEGRO</t>
  </si>
  <si>
    <t>CIN1098CAOBA42</t>
  </si>
  <si>
    <t>7500421629925</t>
  </si>
  <si>
    <t>CINTURON HOMBRE CIN1098 CAOBA</t>
  </si>
  <si>
    <t>CIN1173CAFEL</t>
  </si>
  <si>
    <t>7500421710234</t>
  </si>
  <si>
    <t>18135CAFE240</t>
  </si>
  <si>
    <t>7500421935880</t>
  </si>
  <si>
    <t>422102NAVY300</t>
  </si>
  <si>
    <t>7500421972571</t>
  </si>
  <si>
    <t>8642245NEGRO250</t>
  </si>
  <si>
    <t>4064225857463</t>
  </si>
  <si>
    <t>BOTIN MUJER 8642245NEGRO</t>
  </si>
  <si>
    <t>2360342TAUPEGLAM240</t>
  </si>
  <si>
    <t>4064199554887</t>
  </si>
  <si>
    <t>116316CARMIN235</t>
  </si>
  <si>
    <t>7500421838358</t>
  </si>
  <si>
    <t>132301BLACK250</t>
  </si>
  <si>
    <t>7500421778265</t>
  </si>
  <si>
    <t>2553945NEGRO250</t>
  </si>
  <si>
    <t>4064199905290</t>
  </si>
  <si>
    <t>COR0242CAFEUNIT</t>
  </si>
  <si>
    <t>8411250033953</t>
  </si>
  <si>
    <t>CORDON UNISEX SERVICIO COR0242 CAFE</t>
  </si>
  <si>
    <t>2582345NEGRO240</t>
  </si>
  <si>
    <t>4064199905757</t>
  </si>
  <si>
    <t>130308NEUTRO230</t>
  </si>
  <si>
    <t>7500421931820</t>
  </si>
  <si>
    <t>2536245NEGRO270</t>
  </si>
  <si>
    <t>4064199723832</t>
  </si>
  <si>
    <t>2553945COGNAC265</t>
  </si>
  <si>
    <t>4064199905535</t>
  </si>
  <si>
    <t>131601BLANCO270</t>
  </si>
  <si>
    <t>7500421765135</t>
  </si>
  <si>
    <t>704705NEGRO290</t>
  </si>
  <si>
    <t>7506484171722</t>
  </si>
  <si>
    <t>18135CAFE260</t>
  </si>
  <si>
    <t>7500421935927</t>
  </si>
  <si>
    <t>138501NEGRO220</t>
  </si>
  <si>
    <t>7500421985939</t>
  </si>
  <si>
    <t>2553945COGNAC270</t>
  </si>
  <si>
    <t>4064199905542</t>
  </si>
  <si>
    <t>137902NEGRO260</t>
  </si>
  <si>
    <t>7500421974025</t>
  </si>
  <si>
    <t>2376345OROCOMB240</t>
  </si>
  <si>
    <t>4064199567979</t>
  </si>
  <si>
    <t>COR0418CAFEUNIT</t>
  </si>
  <si>
    <t>7500421890752</t>
  </si>
  <si>
    <t>CORDON UNISEX SERVICIO COR0418 CAFE</t>
  </si>
  <si>
    <t>8642245GRIS240</t>
  </si>
  <si>
    <t>4064225857616</t>
  </si>
  <si>
    <t>BOTIN MUJER 8642245GRIS</t>
  </si>
  <si>
    <t>137002MARINO250</t>
  </si>
  <si>
    <t>7500421965139</t>
  </si>
  <si>
    <t>130603NEGRO250</t>
  </si>
  <si>
    <t>7500421738986</t>
  </si>
  <si>
    <t>FLEXI FLORIDA CENTER</t>
  </si>
  <si>
    <t>137304TABACO240</t>
  </si>
  <si>
    <t>7500421968390</t>
  </si>
  <si>
    <t>129203NEGRO250</t>
  </si>
  <si>
    <t>7500421716359</t>
  </si>
  <si>
    <t>ZAPATILLA MUJER BARDI 129203NEGRO</t>
  </si>
  <si>
    <t>137002NEGRO230</t>
  </si>
  <si>
    <t>7500421964989</t>
  </si>
  <si>
    <t>124502NEGRO250</t>
  </si>
  <si>
    <t>7500421610572</t>
  </si>
  <si>
    <t>134101AZUL250</t>
  </si>
  <si>
    <t>7500421928127</t>
  </si>
  <si>
    <t>104519ROJO245</t>
  </si>
  <si>
    <t>7500421845677</t>
  </si>
  <si>
    <t>104519ROJO255</t>
  </si>
  <si>
    <t>7500421845691</t>
  </si>
  <si>
    <t>8370742CAFE255</t>
  </si>
  <si>
    <t>4064225730322</t>
  </si>
  <si>
    <t>137202NEGRO220</t>
  </si>
  <si>
    <t>7500421955222</t>
  </si>
  <si>
    <t>421103AZUL260</t>
  </si>
  <si>
    <t>7500421981412</t>
  </si>
  <si>
    <t>2431643NEGRO270</t>
  </si>
  <si>
    <t>4064195984336</t>
  </si>
  <si>
    <t>132201NUDE260</t>
  </si>
  <si>
    <t>7500421775691</t>
  </si>
  <si>
    <t>ZAPATILLA MUJER BRISEA 132201NUDE</t>
  </si>
  <si>
    <t>420004TAUPE280</t>
  </si>
  <si>
    <t>7500421868355</t>
  </si>
  <si>
    <t>117205BLANCO240</t>
  </si>
  <si>
    <t>7500421556078</t>
  </si>
  <si>
    <t>415307NEGRO270</t>
  </si>
  <si>
    <t>7500421929643</t>
  </si>
  <si>
    <t>ZAPATILLA HOMBRE FRASER 415307NEGRO</t>
  </si>
  <si>
    <t>141301GRIS230</t>
  </si>
  <si>
    <t>7500277052335</t>
  </si>
  <si>
    <t>48303BLANCO260</t>
  </si>
  <si>
    <t>7500421404034</t>
  </si>
  <si>
    <t>102003NEGRO240</t>
  </si>
  <si>
    <t>7500421360019</t>
  </si>
  <si>
    <t>ZAPATILLA MUJER TRAVIATA 102003NEGRO</t>
  </si>
  <si>
    <t>126716PERLA240</t>
  </si>
  <si>
    <t>7500421924136</t>
  </si>
  <si>
    <t>ZAPATO MUJER EDITH 126716PERLA</t>
  </si>
  <si>
    <t>421103AZUL290</t>
  </si>
  <si>
    <t>7500421981474</t>
  </si>
  <si>
    <t>137902NEGRO230</t>
  </si>
  <si>
    <t>7500421973967</t>
  </si>
  <si>
    <t>420004TAUPE250</t>
  </si>
  <si>
    <t>7500421868294</t>
  </si>
  <si>
    <t>116802NEGRO260</t>
  </si>
  <si>
    <t>7500421494905</t>
  </si>
  <si>
    <t>124210MARINO240</t>
  </si>
  <si>
    <t>7500421838693</t>
  </si>
  <si>
    <t>SANDALIA MUJER DARIANA 124210MARINO</t>
  </si>
  <si>
    <t>119303ANTIMONIO250</t>
  </si>
  <si>
    <t>7500421765869</t>
  </si>
  <si>
    <t>ZAPATILLA MUJER ROSAURA 119303ANTIMONIO</t>
  </si>
  <si>
    <t>137403ALGODON250</t>
  </si>
  <si>
    <t>7500421966037</t>
  </si>
  <si>
    <t>ZAPATILLA MUJER MAITE 137403ALGODON</t>
  </si>
  <si>
    <t>105113NEGRO220</t>
  </si>
  <si>
    <t>7500421774298</t>
  </si>
  <si>
    <t>ZAPATILLA MUJER CASIOPEA 105113NEGRO</t>
  </si>
  <si>
    <t>131501BEIGE250</t>
  </si>
  <si>
    <t>7500421753088</t>
  </si>
  <si>
    <t>2373241IVORYCOMB240</t>
  </si>
  <si>
    <t>4064195218219</t>
  </si>
  <si>
    <t>138302CAFE250</t>
  </si>
  <si>
    <t>7500421985663</t>
  </si>
  <si>
    <t>CIN0456NEGRO/CAFE42</t>
  </si>
  <si>
    <t>7500421891353</t>
  </si>
  <si>
    <t>CINTURON HOMBRE CASUAL DOBLE VISTA CIN0456 NEGRO/C</t>
  </si>
  <si>
    <t>130610VINO260</t>
  </si>
  <si>
    <t>7500421970225</t>
  </si>
  <si>
    <t>CIN1174NEGROL</t>
  </si>
  <si>
    <t>7500421710272</t>
  </si>
  <si>
    <t>CINTURON MUJER VESTIR CIN1174 NEGRO</t>
  </si>
  <si>
    <t>133901MARINO250</t>
  </si>
  <si>
    <t>7500421850732</t>
  </si>
  <si>
    <t>419903TAUPE270</t>
  </si>
  <si>
    <t>7500421874547</t>
  </si>
  <si>
    <t>134703MARINO220</t>
  </si>
  <si>
    <t>7500421866368</t>
  </si>
  <si>
    <t>ZAPATILLA MUJER EILEEN 134703MARINO</t>
  </si>
  <si>
    <t>415306CAFE270</t>
  </si>
  <si>
    <t>7500421857113</t>
  </si>
  <si>
    <t>406401NEGRO260</t>
  </si>
  <si>
    <t>7500421432464</t>
  </si>
  <si>
    <t>102015NEGRO220</t>
  </si>
  <si>
    <t>7500421680889</t>
  </si>
  <si>
    <t>137904TAN250</t>
  </si>
  <si>
    <t>7500421974117</t>
  </si>
  <si>
    <t>ZAPATILLA MUJER TURAN 137904TAN</t>
  </si>
  <si>
    <t>417702NEGRO290</t>
  </si>
  <si>
    <t>7500421674338</t>
  </si>
  <si>
    <t>138502BLANCO250</t>
  </si>
  <si>
    <t>7500421985557</t>
  </si>
  <si>
    <t>137102DARKTAN250</t>
  </si>
  <si>
    <t>7500421967300</t>
  </si>
  <si>
    <t>2509741NEGROGLAM230</t>
  </si>
  <si>
    <t>4064197820403</t>
  </si>
  <si>
    <t>415306CAFE290</t>
  </si>
  <si>
    <t>7500421857151</t>
  </si>
  <si>
    <t>137002NEGRO240</t>
  </si>
  <si>
    <t>7500421965009</t>
  </si>
  <si>
    <t>134703OROROSADO250</t>
  </si>
  <si>
    <t>7500421866641</t>
  </si>
  <si>
    <t>ZAPATILLA MUJER EILEEN 134703OROROSADO</t>
  </si>
  <si>
    <t>137304NEGRO270</t>
  </si>
  <si>
    <t>7500421955970</t>
  </si>
  <si>
    <t>137606NEGRO260</t>
  </si>
  <si>
    <t>7500421963159</t>
  </si>
  <si>
    <t>2552943COGNAC230</t>
  </si>
  <si>
    <t>4064198157812</t>
  </si>
  <si>
    <t>131607NEGRO240</t>
  </si>
  <si>
    <t>7500277051154</t>
  </si>
  <si>
    <t>2420042AZUL265</t>
  </si>
  <si>
    <t>4064197995767</t>
  </si>
  <si>
    <t>2829542BLANCO240</t>
  </si>
  <si>
    <t>4064195266180</t>
  </si>
  <si>
    <t>SANDALIA MUJER 2829542BLANCO</t>
  </si>
  <si>
    <t>421801MARINO250</t>
  </si>
  <si>
    <t>7500421969793</t>
  </si>
  <si>
    <t>2372643NEGROCOBRE255</t>
  </si>
  <si>
    <t>4064198024183</t>
  </si>
  <si>
    <t>137606DARKTAN250</t>
  </si>
  <si>
    <t>7500421969298</t>
  </si>
  <si>
    <t>138602PURPURA240</t>
  </si>
  <si>
    <t>7500421987070</t>
  </si>
  <si>
    <t>2372442OROCLARO230</t>
  </si>
  <si>
    <t>4064198715357</t>
  </si>
  <si>
    <t>104806ARENA270</t>
  </si>
  <si>
    <t>7500421840184</t>
  </si>
  <si>
    <t>COR0236NEGROUNIT</t>
  </si>
  <si>
    <t>8411250033878</t>
  </si>
  <si>
    <t>CORDON UNISEX VESTIR COR0236 NEGRO</t>
  </si>
  <si>
    <t>2372442BLANCOPLATA240</t>
  </si>
  <si>
    <t>4064195226191</t>
  </si>
  <si>
    <t>ZAPATILLA MUJER 2372442BLANCOPLATA</t>
  </si>
  <si>
    <t>421801TAN260</t>
  </si>
  <si>
    <t>7500421969571</t>
  </si>
  <si>
    <t>137401PETALOS260</t>
  </si>
  <si>
    <t>7500421978214</t>
  </si>
  <si>
    <t>133901NEGRO230</t>
  </si>
  <si>
    <t>7500421862933</t>
  </si>
  <si>
    <t>406401NEGRO300</t>
  </si>
  <si>
    <t>7500421432549</t>
  </si>
  <si>
    <t>2372442BLANCOPLATA255</t>
  </si>
  <si>
    <t>4064195226214</t>
  </si>
  <si>
    <t>8371644BLANCOCOMB255</t>
  </si>
  <si>
    <t>4064225733675</t>
  </si>
  <si>
    <t>CAL1215GRIS/RAYASUNIT</t>
  </si>
  <si>
    <t>7500421745182</t>
  </si>
  <si>
    <t>CALCETIN HOMBRE CASUAL CAL1215 GRIS/RAYAS</t>
  </si>
  <si>
    <t>CALCETIN</t>
  </si>
  <si>
    <t>CAL1216NARANJOUNIT</t>
  </si>
  <si>
    <t>7500421745199</t>
  </si>
  <si>
    <t>CALCETIN HOMBRE CASUAL CAL1216 NARANJO</t>
  </si>
  <si>
    <t>136704ORO240</t>
  </si>
  <si>
    <t>7500421973110</t>
  </si>
  <si>
    <t>138502CAMEL270</t>
  </si>
  <si>
    <t>7500277055732</t>
  </si>
  <si>
    <t>415306CAFE250</t>
  </si>
  <si>
    <t>7500421852897</t>
  </si>
  <si>
    <t>2331341BLANCOROSA255</t>
  </si>
  <si>
    <t>4064195124299</t>
  </si>
  <si>
    <t>104501ESCAMANUDE260</t>
  </si>
  <si>
    <t>7500421847244</t>
  </si>
  <si>
    <t>8642245NEGRO255</t>
  </si>
  <si>
    <t>4064225857470</t>
  </si>
  <si>
    <t>141202DENIM230</t>
  </si>
  <si>
    <t>7500277052663</t>
  </si>
  <si>
    <t>420903CAFE250</t>
  </si>
  <si>
    <t>7500421979600</t>
  </si>
  <si>
    <t>134504VINO240</t>
  </si>
  <si>
    <t>7500421933602</t>
  </si>
  <si>
    <t>406402NEGRO280</t>
  </si>
  <si>
    <t>7500421432624</t>
  </si>
  <si>
    <t>8520045NEGRO265</t>
  </si>
  <si>
    <t>4064225768226</t>
  </si>
  <si>
    <t>18135CAFE270</t>
  </si>
  <si>
    <t>7500421935941</t>
  </si>
  <si>
    <t>140304NEGRO230</t>
  </si>
  <si>
    <t>7500277054551</t>
  </si>
  <si>
    <t>2509741CHAMPAGNE230</t>
  </si>
  <si>
    <t>4064197820649</t>
  </si>
  <si>
    <t>137302NEGRO220</t>
  </si>
  <si>
    <t>7500421955987</t>
  </si>
  <si>
    <t>135203NEGRO240</t>
  </si>
  <si>
    <t>7500421975411</t>
  </si>
  <si>
    <t>2532143NEGRO250</t>
  </si>
  <si>
    <t>4064195990009</t>
  </si>
  <si>
    <t>137804TAN270</t>
  </si>
  <si>
    <t>7500421970805</t>
  </si>
  <si>
    <t>137804TAN230</t>
  </si>
  <si>
    <t>7500421970720</t>
  </si>
  <si>
    <t>2331341NEGROORO255</t>
  </si>
  <si>
    <t>4064195124183</t>
  </si>
  <si>
    <t>CAL0059NEGRO/AZULUNIT</t>
  </si>
  <si>
    <t>7502012831670</t>
  </si>
  <si>
    <t>CALCETIN HOMBRE CALCETIN TRIPACK CAL0059 NEGRO/AZU</t>
  </si>
  <si>
    <t>CALC0677NEGROUNIT</t>
  </si>
  <si>
    <t>7500464191670</t>
  </si>
  <si>
    <t>CALCETIN HOMBRE DIABETICO CALC0677 NEGRO</t>
  </si>
  <si>
    <t>415306CAFE280</t>
  </si>
  <si>
    <t>7500421857137</t>
  </si>
  <si>
    <t>104932AZUL250</t>
  </si>
  <si>
    <t>7500421967850</t>
  </si>
  <si>
    <t>CIN0456NEGRO/CAFE38</t>
  </si>
  <si>
    <t>7500421891339</t>
  </si>
  <si>
    <t>2420042AZUL230</t>
  </si>
  <si>
    <t>4064197995729</t>
  </si>
  <si>
    <t>421103TAUPE260</t>
  </si>
  <si>
    <t>7500421981634</t>
  </si>
  <si>
    <t>2431643NEGRO255</t>
  </si>
  <si>
    <t>4064195984312</t>
  </si>
  <si>
    <t>138302CAFE220</t>
  </si>
  <si>
    <t>7500421985601</t>
  </si>
  <si>
    <t>2372442BLANCOPLATA250</t>
  </si>
  <si>
    <t>4064195226207</t>
  </si>
  <si>
    <t>2590841NEGRO250</t>
  </si>
  <si>
    <t>4064197914058</t>
  </si>
  <si>
    <t>130308NEUTRO220</t>
  </si>
  <si>
    <t>7500421931806</t>
  </si>
  <si>
    <t>CALC1208ROSAUNIT</t>
  </si>
  <si>
    <t>7500421745113</t>
  </si>
  <si>
    <t>CALCENIN MUJER CASUAL CALC1208 ROSA</t>
  </si>
  <si>
    <t>2641945NEGRO270</t>
  </si>
  <si>
    <t>4064199660762</t>
  </si>
  <si>
    <t>18135NEGRO220</t>
  </si>
  <si>
    <t>7500421935958</t>
  </si>
  <si>
    <t>129201BLANCO260</t>
  </si>
  <si>
    <t>7500421674666</t>
  </si>
  <si>
    <t>8520045NEGRO240</t>
  </si>
  <si>
    <t>4064225768196</t>
  </si>
  <si>
    <t>130610NEGRO220</t>
  </si>
  <si>
    <t>7500421970034</t>
  </si>
  <si>
    <t>101908OROVIEJO270</t>
  </si>
  <si>
    <t>7500421935170</t>
  </si>
  <si>
    <t>2431643NEGRO240</t>
  </si>
  <si>
    <t>4064195984299</t>
  </si>
  <si>
    <t>138602AZUL260</t>
  </si>
  <si>
    <t>7500421987223</t>
  </si>
  <si>
    <t>2502641COGNAC250</t>
  </si>
  <si>
    <t>4064197808418</t>
  </si>
  <si>
    <t>2552943COGNAC250</t>
  </si>
  <si>
    <t>4064198157836</t>
  </si>
  <si>
    <t>2570241MOCCA255</t>
  </si>
  <si>
    <t>4064198119087</t>
  </si>
  <si>
    <t>134101BEIGE240</t>
  </si>
  <si>
    <t>7500421829837</t>
  </si>
  <si>
    <t>FLEXI ESTADO</t>
  </si>
  <si>
    <t>422403TAN290</t>
  </si>
  <si>
    <t>7500277047522</t>
  </si>
  <si>
    <t>137002NEGRO250</t>
  </si>
  <si>
    <t>7500421965023</t>
  </si>
  <si>
    <t>45717NUEZMKP250</t>
  </si>
  <si>
    <t>7500421581933</t>
  </si>
  <si>
    <t>104827NEGRO270</t>
  </si>
  <si>
    <t>7500421932124</t>
  </si>
  <si>
    <t>420703GRIS260</t>
  </si>
  <si>
    <t>7500421928523</t>
  </si>
  <si>
    <t>420703GRIS270</t>
  </si>
  <si>
    <t>7500421928547</t>
  </si>
  <si>
    <t>136804CHAROLNEGRO250</t>
  </si>
  <si>
    <t>7500421980101</t>
  </si>
  <si>
    <t>127102MARINO240</t>
  </si>
  <si>
    <t>7500421704844</t>
  </si>
  <si>
    <t>138602PURPURA260</t>
  </si>
  <si>
    <t>7500421987117</t>
  </si>
  <si>
    <t>37824MARINO260</t>
  </si>
  <si>
    <t>7500421925515</t>
  </si>
  <si>
    <t>417701NEGRO280</t>
  </si>
  <si>
    <t>7500421674420</t>
  </si>
  <si>
    <t>133806TAN240</t>
  </si>
  <si>
    <t>7500421887615</t>
  </si>
  <si>
    <t>SANDALIA MUJER SIDNEY 133806TAN</t>
  </si>
  <si>
    <t>SIDNEY</t>
  </si>
  <si>
    <t>401010OXFORD280</t>
  </si>
  <si>
    <t>7500421803370</t>
  </si>
  <si>
    <t>420903NEGRO290</t>
  </si>
  <si>
    <t>7500421988664</t>
  </si>
  <si>
    <t>406402TAN280</t>
  </si>
  <si>
    <t>7500421434628</t>
  </si>
  <si>
    <t>125613ROSA250</t>
  </si>
  <si>
    <t>7500421858615</t>
  </si>
  <si>
    <t>ZAPATILLA MUJER ASHLEY 125613ROSA</t>
  </si>
  <si>
    <t>37824TAN270</t>
  </si>
  <si>
    <t>7500421895962</t>
  </si>
  <si>
    <t>132201NEGRO240</t>
  </si>
  <si>
    <t>7500421775547</t>
  </si>
  <si>
    <t>104519ROJO260</t>
  </si>
  <si>
    <t>7500421845707</t>
  </si>
  <si>
    <t>124505TAUPE260</t>
  </si>
  <si>
    <t>7500421691595</t>
  </si>
  <si>
    <t>ZAPATO MUJER JENELLE 124505TAUPE</t>
  </si>
  <si>
    <t>415301BROWN300</t>
  </si>
  <si>
    <t>7500421277669</t>
  </si>
  <si>
    <t>706301NAVY300</t>
  </si>
  <si>
    <t>7506484199320</t>
  </si>
  <si>
    <t>ZAPATO HOMBRE RUFO 706301NAVY</t>
  </si>
  <si>
    <t>RUFO</t>
  </si>
  <si>
    <t>102015BLANCO250</t>
  </si>
  <si>
    <t>7500421680834</t>
  </si>
  <si>
    <t>135202NEGRO250</t>
  </si>
  <si>
    <t>7500421925829</t>
  </si>
  <si>
    <t>131501NAVY260</t>
  </si>
  <si>
    <t>7500421925072</t>
  </si>
  <si>
    <t>CRE0039MARRONCLAROUNIT</t>
  </si>
  <si>
    <t>8411250024371</t>
  </si>
  <si>
    <t>CREMA AUTOBRILLANTE CRE0039 MARRONCLARO</t>
  </si>
  <si>
    <t>2423942ROJO240</t>
  </si>
  <si>
    <t>4064199819511</t>
  </si>
  <si>
    <t>137502NEGRO240</t>
  </si>
  <si>
    <t>7500421963432</t>
  </si>
  <si>
    <t>130403NEGRO270</t>
  </si>
  <si>
    <t>7500421737927</t>
  </si>
  <si>
    <t>131501TAUPE270</t>
  </si>
  <si>
    <t>7500277051420</t>
  </si>
  <si>
    <t>127102NEGRO220</t>
  </si>
  <si>
    <t>7500421671917</t>
  </si>
  <si>
    <t>138301NEGRO220</t>
  </si>
  <si>
    <t>7500421986042</t>
  </si>
  <si>
    <t>130803NEGRO230</t>
  </si>
  <si>
    <t>7500421796214</t>
  </si>
  <si>
    <t>130803NUDE230</t>
  </si>
  <si>
    <t>7500421838013</t>
  </si>
  <si>
    <t>88617SHEDRON280</t>
  </si>
  <si>
    <t>7506484193281</t>
  </si>
  <si>
    <t>138301NEGRO270</t>
  </si>
  <si>
    <t>7500421986141</t>
  </si>
  <si>
    <t>406401NEGRO270</t>
  </si>
  <si>
    <t>7500421432488</t>
  </si>
  <si>
    <t>422301BEIGE260</t>
  </si>
  <si>
    <t>7500421983522</t>
  </si>
  <si>
    <t>422501BEIGE260</t>
  </si>
  <si>
    <t>7500421979181</t>
  </si>
  <si>
    <t>137904NEGRO270</t>
  </si>
  <si>
    <t>7500421963609</t>
  </si>
  <si>
    <t>131501MENTA260</t>
  </si>
  <si>
    <t>7500277051291</t>
  </si>
  <si>
    <t>105123NEGRO240</t>
  </si>
  <si>
    <t>7500421927458</t>
  </si>
  <si>
    <t>101905TAN260</t>
  </si>
  <si>
    <t>7500421453704</t>
  </si>
  <si>
    <t>105125BEIGE240</t>
  </si>
  <si>
    <t>7500277050706</t>
  </si>
  <si>
    <t>116802NAVY230</t>
  </si>
  <si>
    <t>7500421751428</t>
  </si>
  <si>
    <t>418201CAFE300</t>
  </si>
  <si>
    <t>7500421760802</t>
  </si>
  <si>
    <t>138601CAFE270</t>
  </si>
  <si>
    <t>7500421987025</t>
  </si>
  <si>
    <t>422401AZUL250</t>
  </si>
  <si>
    <t>7500421983942</t>
  </si>
  <si>
    <t>419902NEGRO290</t>
  </si>
  <si>
    <t>7500421849712</t>
  </si>
  <si>
    <t>ZAPATILLA HOMBRE SANZ 419902NEGRO</t>
  </si>
  <si>
    <t>2531241NEGRO230</t>
  </si>
  <si>
    <t>4064197559280</t>
  </si>
  <si>
    <t>422601NEGRO280</t>
  </si>
  <si>
    <t>7500421984444</t>
  </si>
  <si>
    <t>ZAPATILLA HOMBRE ZOND 422601NEGRO</t>
  </si>
  <si>
    <t>2562345NEGRO230</t>
  </si>
  <si>
    <t>4064199652606</t>
  </si>
  <si>
    <t>401010OXFORD270</t>
  </si>
  <si>
    <t>7500421803356</t>
  </si>
  <si>
    <t>2360342NEGROCOMB255</t>
  </si>
  <si>
    <t>4064195083428</t>
  </si>
  <si>
    <t>2527345NEGRO250</t>
  </si>
  <si>
    <t>4064199850804</t>
  </si>
  <si>
    <t>137105NEGRO260</t>
  </si>
  <si>
    <t>7500421961087</t>
  </si>
  <si>
    <t>2535443NEGROCOMB255</t>
  </si>
  <si>
    <t>4064199840638</t>
  </si>
  <si>
    <t>8371644NEGRO250</t>
  </si>
  <si>
    <t>4064225732821</t>
  </si>
  <si>
    <t>138701NEGRO250</t>
  </si>
  <si>
    <t>7500421987537</t>
  </si>
  <si>
    <t>104521NEGRO270</t>
  </si>
  <si>
    <t>7500421903865</t>
  </si>
  <si>
    <t>130201AZUL230</t>
  </si>
  <si>
    <t>7500421936962</t>
  </si>
  <si>
    <t>130208DORADO230</t>
  </si>
  <si>
    <t>7500421979518</t>
  </si>
  <si>
    <t>105125DENIM230</t>
  </si>
  <si>
    <t>7500277050577</t>
  </si>
  <si>
    <t>2362443LEOPARDO255</t>
  </si>
  <si>
    <t>4064198721655</t>
  </si>
  <si>
    <t>130009NEGRO260</t>
  </si>
  <si>
    <t>7500421980347</t>
  </si>
  <si>
    <t>8370742AZUL265</t>
  </si>
  <si>
    <t>4064225731442</t>
  </si>
  <si>
    <t>137202NEGRO230</t>
  </si>
  <si>
    <t>7500421955246</t>
  </si>
  <si>
    <t>130803NEGRO250</t>
  </si>
  <si>
    <t>7500421796252</t>
  </si>
  <si>
    <t>BIL0201NEGROOUNIT</t>
  </si>
  <si>
    <t>7500421137009</t>
  </si>
  <si>
    <t>BILLETERA HOMBRE BILLETERA BIL0201 NEGRO</t>
  </si>
  <si>
    <t>8371644BLANCOCOMB265</t>
  </si>
  <si>
    <t>4064225733682</t>
  </si>
  <si>
    <t>8371644NEGRO265</t>
  </si>
  <si>
    <t>4064225732845</t>
  </si>
  <si>
    <t>8371644NEGRO255</t>
  </si>
  <si>
    <t>4064225732838</t>
  </si>
  <si>
    <t>415305NEGRO260</t>
  </si>
  <si>
    <t>7500421313671</t>
  </si>
  <si>
    <t>137305NEGRO250</t>
  </si>
  <si>
    <t>7500421977873</t>
  </si>
  <si>
    <t>119707NEGRO220</t>
  </si>
  <si>
    <t>7500421687994</t>
  </si>
  <si>
    <t>134702NEGRO220</t>
  </si>
  <si>
    <t>7500421866474</t>
  </si>
  <si>
    <t>137904TAN240</t>
  </si>
  <si>
    <t>7500421974094</t>
  </si>
  <si>
    <t>2320144COGNAC255</t>
  </si>
  <si>
    <t>4064198651686</t>
  </si>
  <si>
    <t>137702CAFE260</t>
  </si>
  <si>
    <t>7500421967430</t>
  </si>
  <si>
    <t>2582345NEGRO255</t>
  </si>
  <si>
    <t>4064199905771</t>
  </si>
  <si>
    <t>132201NUDE250</t>
  </si>
  <si>
    <t>7500421775677</t>
  </si>
  <si>
    <t>110102GRIS240</t>
  </si>
  <si>
    <t>7500421465745</t>
  </si>
  <si>
    <t>66517NEGRO280</t>
  </si>
  <si>
    <t>7500421471838</t>
  </si>
  <si>
    <t>105111NEGRO230</t>
  </si>
  <si>
    <t>7500421704516</t>
  </si>
  <si>
    <t>2590841NEGRO265</t>
  </si>
  <si>
    <t>4064197914072</t>
  </si>
  <si>
    <t>104806AZUL230</t>
  </si>
  <si>
    <t>7500421461211</t>
  </si>
  <si>
    <t>ZAPATO MUJER CATALEYA 104806AZUL</t>
  </si>
  <si>
    <t>125614NEGRO220</t>
  </si>
  <si>
    <t>7500421926864</t>
  </si>
  <si>
    <t>420401NIEBLA270</t>
  </si>
  <si>
    <t>7500421849002</t>
  </si>
  <si>
    <t>CAR0354IVORYUNIT</t>
  </si>
  <si>
    <t>7500421889336</t>
  </si>
  <si>
    <t>CARTERA MUJER PORTA CELULAR CAR0354 IVORY</t>
  </si>
  <si>
    <t>2373141LEOPARDO240</t>
  </si>
  <si>
    <t>4064195169399</t>
  </si>
  <si>
    <t>116023BEIGE260</t>
  </si>
  <si>
    <t>7500421816127</t>
  </si>
  <si>
    <t>SANDALIA MUJER AMAPOLA 116023BEIGE</t>
  </si>
  <si>
    <t>123717NEGRO220</t>
  </si>
  <si>
    <t>7500421851425</t>
  </si>
  <si>
    <t>131503BEIGE260</t>
  </si>
  <si>
    <t>7500421982921</t>
  </si>
  <si>
    <t>419803TAN250</t>
  </si>
  <si>
    <t>7500421845271</t>
  </si>
  <si>
    <t>136705NEGRO240</t>
  </si>
  <si>
    <t>7500421971567</t>
  </si>
  <si>
    <t>127102NEGRO240</t>
  </si>
  <si>
    <t>7500421671955</t>
  </si>
  <si>
    <t>2570241MOCCA265</t>
  </si>
  <si>
    <t>4064198119094</t>
  </si>
  <si>
    <t>419801BEIGE260</t>
  </si>
  <si>
    <t>7500421869994</t>
  </si>
  <si>
    <t>48304NEGRO220</t>
  </si>
  <si>
    <t>7506296119202</t>
  </si>
  <si>
    <t>420903AZUL280</t>
  </si>
  <si>
    <t>7500421979884</t>
  </si>
  <si>
    <t>2548345NEGROCHAROL240</t>
  </si>
  <si>
    <t>4064199764170</t>
  </si>
  <si>
    <t>2241041COGNAC250</t>
  </si>
  <si>
    <t>4064197396328</t>
  </si>
  <si>
    <t>18135CAFE220</t>
  </si>
  <si>
    <t>7500421935842</t>
  </si>
  <si>
    <t>2320144NEGRO230</t>
  </si>
  <si>
    <t>4064198651419</t>
  </si>
  <si>
    <t>104932NEGRO260</t>
  </si>
  <si>
    <t>7500421967652</t>
  </si>
  <si>
    <t>136704NEGRO220</t>
  </si>
  <si>
    <t>7500421959855</t>
  </si>
  <si>
    <t>704705CHOCOLATE290</t>
  </si>
  <si>
    <t>7506484176086</t>
  </si>
  <si>
    <t>BOTIN HOMBRE VOLPI 704705CHOCOLATE</t>
  </si>
  <si>
    <t>126710MARINO260</t>
  </si>
  <si>
    <t>7500421758755</t>
  </si>
  <si>
    <t>131501BURGUNDY230</t>
  </si>
  <si>
    <t>7500421925232</t>
  </si>
  <si>
    <t>131501TAUPE260</t>
  </si>
  <si>
    <t>7500277051406</t>
  </si>
  <si>
    <t>417705NEGRO290</t>
  </si>
  <si>
    <t>7500421760567</t>
  </si>
  <si>
    <t>37825NEGRO220</t>
  </si>
  <si>
    <t>7500421933787</t>
  </si>
  <si>
    <t>104806AZUL260</t>
  </si>
  <si>
    <t>7500421461273</t>
  </si>
  <si>
    <t>419407TAN270</t>
  </si>
  <si>
    <t>7500421980989</t>
  </si>
  <si>
    <t>2533643NEGROCOMB240</t>
  </si>
  <si>
    <t>4064198322609</t>
  </si>
  <si>
    <t>119302NEGRO230</t>
  </si>
  <si>
    <t>7500421525142</t>
  </si>
  <si>
    <t>415301BROWN250</t>
  </si>
  <si>
    <t>7500421277560</t>
  </si>
  <si>
    <t>706301TABACO300</t>
  </si>
  <si>
    <t>7506484194547</t>
  </si>
  <si>
    <t>ZAPATO HOMBRE RUFO 706301TABACO</t>
  </si>
  <si>
    <t>136705VINO250</t>
  </si>
  <si>
    <t>7500421971475</t>
  </si>
  <si>
    <t>134704NEGRO240</t>
  </si>
  <si>
    <t>7500421933497</t>
  </si>
  <si>
    <t>2552943NEGRO265</t>
  </si>
  <si>
    <t>4064198157614</t>
  </si>
  <si>
    <t>136705VINO240</t>
  </si>
  <si>
    <t>7500421971451</t>
  </si>
  <si>
    <t>2530145NEGRO230</t>
  </si>
  <si>
    <t>4064199628212</t>
  </si>
  <si>
    <t>2502641TAUPE240</t>
  </si>
  <si>
    <t>4064199859982</t>
  </si>
  <si>
    <t>420401NEGRO250</t>
  </si>
  <si>
    <t>7500421864654</t>
  </si>
  <si>
    <t>421703TAN270</t>
  </si>
  <si>
    <t>7500421972755</t>
  </si>
  <si>
    <t>130207CAFE230</t>
  </si>
  <si>
    <t>7500421985182</t>
  </si>
  <si>
    <t>2376345OROCOMB250</t>
  </si>
  <si>
    <t>4064199567986</t>
  </si>
  <si>
    <t>421801TAN270</t>
  </si>
  <si>
    <t>7500421969595</t>
  </si>
  <si>
    <t>137201NEGRO260</t>
  </si>
  <si>
    <t>7500421955086</t>
  </si>
  <si>
    <t>420001NEGRO280</t>
  </si>
  <si>
    <t>7500421868591</t>
  </si>
  <si>
    <t>2373241IVORYCOMB230</t>
  </si>
  <si>
    <t>4064195218202</t>
  </si>
  <si>
    <t>2532143CAOBA230</t>
  </si>
  <si>
    <t>4064199701243</t>
  </si>
  <si>
    <t>137003TAN270</t>
  </si>
  <si>
    <t>7500421965511</t>
  </si>
  <si>
    <t>420704NEGRO290</t>
  </si>
  <si>
    <t>7500421980675</t>
  </si>
  <si>
    <t>408101BRANDYMKP300</t>
  </si>
  <si>
    <t>7500421652763</t>
  </si>
  <si>
    <t>8431645NEGRO265</t>
  </si>
  <si>
    <t>4064225719570</t>
  </si>
  <si>
    <t>102016NEGRO220</t>
  </si>
  <si>
    <t>7500421732977</t>
  </si>
  <si>
    <t>2360342NEGROCOMB270</t>
  </si>
  <si>
    <t>4064195083442</t>
  </si>
  <si>
    <t>138701OFFWHITE250</t>
  </si>
  <si>
    <t>7500421987643</t>
  </si>
  <si>
    <t>ZAPATILLA MUJER JEZZ 138701OFFWHITE</t>
  </si>
  <si>
    <t>2420042COGNAC255</t>
  </si>
  <si>
    <t>4064197995279</t>
  </si>
  <si>
    <t>421104NEGRO280</t>
  </si>
  <si>
    <t>7500421981122</t>
  </si>
  <si>
    <t>422401BLANCO280</t>
  </si>
  <si>
    <t>7500421984222</t>
  </si>
  <si>
    <t>CIN0454NEGRO42</t>
  </si>
  <si>
    <t>7500421891216</t>
  </si>
  <si>
    <t>421702COGNAC270</t>
  </si>
  <si>
    <t>7500421972632</t>
  </si>
  <si>
    <t>420004TAUPE290</t>
  </si>
  <si>
    <t>7500421868379</t>
  </si>
  <si>
    <t>421801TAN250</t>
  </si>
  <si>
    <t>7500421968574</t>
  </si>
  <si>
    <t>137403NEGRO260</t>
  </si>
  <si>
    <t>7500421978108</t>
  </si>
  <si>
    <t>ZAPATILLA MUJER MAITE 137403NEGRO</t>
  </si>
  <si>
    <t>420001TAN270</t>
  </si>
  <si>
    <t>7500421841242</t>
  </si>
  <si>
    <t>131607NEGRO270</t>
  </si>
  <si>
    <t>7500277051215</t>
  </si>
  <si>
    <t>2570241NEGRO255</t>
  </si>
  <si>
    <t>4064197746345</t>
  </si>
  <si>
    <t>419406TAN250</t>
  </si>
  <si>
    <t>7500421952764</t>
  </si>
  <si>
    <t>2373141BLANCO240</t>
  </si>
  <si>
    <t>4064195122844</t>
  </si>
  <si>
    <t>ZAPATILLA MUJER 2373141BLANCO</t>
  </si>
  <si>
    <t>2570241CAFE270</t>
  </si>
  <si>
    <t>4064197746604</t>
  </si>
  <si>
    <t>134704NEGRO230</t>
  </si>
  <si>
    <t>7500421933473</t>
  </si>
  <si>
    <t>138105NEGRO220</t>
  </si>
  <si>
    <t>7500421974506</t>
  </si>
  <si>
    <t>137003ANTIMONIO230</t>
  </si>
  <si>
    <t>7500421965207</t>
  </si>
  <si>
    <t>137301NEGRO250</t>
  </si>
  <si>
    <t>7500421964231</t>
  </si>
  <si>
    <t>2552943COGNAC265</t>
  </si>
  <si>
    <t>4064198157850</t>
  </si>
  <si>
    <t>138701OFFWHITE240</t>
  </si>
  <si>
    <t>7500421987629</t>
  </si>
  <si>
    <t>408101BRANDYMKP290</t>
  </si>
  <si>
    <t>7500421652749</t>
  </si>
  <si>
    <t>FLEXI TALCA</t>
  </si>
  <si>
    <t>133501ROJO240</t>
  </si>
  <si>
    <t>7500421854365</t>
  </si>
  <si>
    <t>SANDALIA MUJER KAIA 133501ROJO</t>
  </si>
  <si>
    <t>KAIA</t>
  </si>
  <si>
    <t>131605BEIGE220</t>
  </si>
  <si>
    <t>7500421983171</t>
  </si>
  <si>
    <t>420903AZUL250</t>
  </si>
  <si>
    <t>7500421979822</t>
  </si>
  <si>
    <t>137401PETALOS240</t>
  </si>
  <si>
    <t>7500421978177</t>
  </si>
  <si>
    <t>130401AZUL230</t>
  </si>
  <si>
    <t>7500421751978</t>
  </si>
  <si>
    <t>ZAPATO MUJER AREL 130401AZUL</t>
  </si>
  <si>
    <t>130401AZUL240</t>
  </si>
  <si>
    <t>7500421751992</t>
  </si>
  <si>
    <t>412801TAN290</t>
  </si>
  <si>
    <t>7500421542309</t>
  </si>
  <si>
    <t>138502VINO250</t>
  </si>
  <si>
    <t>7500421987940</t>
  </si>
  <si>
    <t>418901GRIS250</t>
  </si>
  <si>
    <t>7500421775943</t>
  </si>
  <si>
    <t>ZAPATILLA HOMBRE COLBY 418901GRIS</t>
  </si>
  <si>
    <t>130308NEGRO250</t>
  </si>
  <si>
    <t>7500421905821</t>
  </si>
  <si>
    <t>137701CAFE240</t>
  </si>
  <si>
    <t>7500421965566</t>
  </si>
  <si>
    <t>419903MARINO280</t>
  </si>
  <si>
    <t>7500421874684</t>
  </si>
  <si>
    <t>ZAPATILLA HOMBRE SANZ 419903MARINO</t>
  </si>
  <si>
    <t>119306BLANCO230</t>
  </si>
  <si>
    <t>7500421546956</t>
  </si>
  <si>
    <t>131501NEGRO260</t>
  </si>
  <si>
    <t>7500421752999</t>
  </si>
  <si>
    <t>100232ALGODON250</t>
  </si>
  <si>
    <t>7500421808283</t>
  </si>
  <si>
    <t>SANDALIA MUJER PEONIA 100232ALGODON</t>
  </si>
  <si>
    <t>2536645NEGRO270</t>
  </si>
  <si>
    <t>4064199750784</t>
  </si>
  <si>
    <t>131503BEIGE250</t>
  </si>
  <si>
    <t>7500421982907</t>
  </si>
  <si>
    <t>105124AZUL230</t>
  </si>
  <si>
    <t>7500421926994</t>
  </si>
  <si>
    <t>2331341NEGROORO265</t>
  </si>
  <si>
    <t>4064195124190</t>
  </si>
  <si>
    <t>68620NEGRO270</t>
  </si>
  <si>
    <t>7500421884164</t>
  </si>
  <si>
    <t>131601BLANCO-PLATA-OROROSA230</t>
  </si>
  <si>
    <t>7500421928301</t>
  </si>
  <si>
    <t>2373241IVORYCOMB265</t>
  </si>
  <si>
    <t>4064195218240</t>
  </si>
  <si>
    <t>134703MARINO240</t>
  </si>
  <si>
    <t>7500421866405</t>
  </si>
  <si>
    <t>PLA0501NEUTROUNIT</t>
  </si>
  <si>
    <t>7501157609779</t>
  </si>
  <si>
    <t>PLANTILLA GEL PLA0501 NEUTRO</t>
  </si>
  <si>
    <t>401010OXFORD250</t>
  </si>
  <si>
    <t>7500421803318</t>
  </si>
  <si>
    <t>401010OXFORD260</t>
  </si>
  <si>
    <t>7500421803332</t>
  </si>
  <si>
    <t>PLA1233TANS</t>
  </si>
  <si>
    <t>7500421999509</t>
  </si>
  <si>
    <t>PLANTILLA PAR TACON PLA1233 TAN</t>
  </si>
  <si>
    <t>2331341ESTAÑOCOMB265</t>
  </si>
  <si>
    <t>4064199518926</t>
  </si>
  <si>
    <t>418302BLANCO270</t>
  </si>
  <si>
    <t>7500421763865</t>
  </si>
  <si>
    <t>ZAPATILLA HOMBRE APEK 418302BLANCO</t>
  </si>
  <si>
    <t>420702GRIS270</t>
  </si>
  <si>
    <t>7500421875001</t>
  </si>
  <si>
    <t>ZAPATILLA HOMBRE KING 420702GRIS</t>
  </si>
  <si>
    <t>PLA1233TANM</t>
  </si>
  <si>
    <t>7500421999493</t>
  </si>
  <si>
    <t>131901NEGRO260</t>
  </si>
  <si>
    <t>7500421750872</t>
  </si>
  <si>
    <t>420001NEGRO300</t>
  </si>
  <si>
    <t>7500421868638</t>
  </si>
  <si>
    <t>420001TAN300</t>
  </si>
  <si>
    <t>7500421841303</t>
  </si>
  <si>
    <t>413904GRISCLARO270</t>
  </si>
  <si>
    <t>7500421860014</t>
  </si>
  <si>
    <t>ZAPATILLA HOMBRE FLOW 413904GRISCLARO</t>
  </si>
  <si>
    <t>136705VINO220</t>
  </si>
  <si>
    <t>7500421971291</t>
  </si>
  <si>
    <t>PLA0502NEUTROUNIT</t>
  </si>
  <si>
    <t>7501157609762</t>
  </si>
  <si>
    <t>PLANTILLA GEL PLA0502 NEUTRO</t>
  </si>
  <si>
    <t>2420042AZUL250</t>
  </si>
  <si>
    <t>4064197995743</t>
  </si>
  <si>
    <t>131601BEIGE240</t>
  </si>
  <si>
    <t>7500421765180</t>
  </si>
  <si>
    <t>420702GRIS280</t>
  </si>
  <si>
    <t>7500421875025</t>
  </si>
  <si>
    <t>104806AZUL245</t>
  </si>
  <si>
    <t>7500421461242</t>
  </si>
  <si>
    <t>2373241NEGROCOMB265</t>
  </si>
  <si>
    <t>4064195217960</t>
  </si>
  <si>
    <t>137505VINO260</t>
  </si>
  <si>
    <t>7500421968659</t>
  </si>
  <si>
    <t>415301BROWN290</t>
  </si>
  <si>
    <t>7500421277645</t>
  </si>
  <si>
    <t>126716MARINO230</t>
  </si>
  <si>
    <t>7500421923894</t>
  </si>
  <si>
    <t>2331341ESTAÑOCOMB240</t>
  </si>
  <si>
    <t>4064199518896</t>
  </si>
  <si>
    <t>420401NIEBLA250</t>
  </si>
  <si>
    <t>7500421848968</t>
  </si>
  <si>
    <t>134103IVORY250</t>
  </si>
  <si>
    <t>7500421927908</t>
  </si>
  <si>
    <t>ZAPATILLA MUJER LETTI 134103IVORY</t>
  </si>
  <si>
    <t>2373141ORO250</t>
  </si>
  <si>
    <t>4064195123971</t>
  </si>
  <si>
    <t>421103TAUPE280</t>
  </si>
  <si>
    <t>7500421981672</t>
  </si>
  <si>
    <t>412408NEGRO290</t>
  </si>
  <si>
    <t>7500421656341</t>
  </si>
  <si>
    <t>419801BEIGE280</t>
  </si>
  <si>
    <t>7500421870037</t>
  </si>
  <si>
    <t>45232TAN220</t>
  </si>
  <si>
    <t>7500421575574</t>
  </si>
  <si>
    <t>2373241IVORYCOMB255</t>
  </si>
  <si>
    <t>4064195218233</t>
  </si>
  <si>
    <t>2532143NEGRO270</t>
  </si>
  <si>
    <t>4064195990030</t>
  </si>
  <si>
    <t>8520045TAN270</t>
  </si>
  <si>
    <t>4064225768394</t>
  </si>
  <si>
    <t>104930AZUL260</t>
  </si>
  <si>
    <t>7500421926390</t>
  </si>
  <si>
    <t>ZAPATILLA MUJER GRECYA 104930AZUL</t>
  </si>
  <si>
    <t>8510145NEGRO255</t>
  </si>
  <si>
    <t>4064225843206</t>
  </si>
  <si>
    <t>102003NEGRO250</t>
  </si>
  <si>
    <t>7500421360033</t>
  </si>
  <si>
    <t>131901NEGRO240</t>
  </si>
  <si>
    <t>7500421750834</t>
  </si>
  <si>
    <t>137808VINO250</t>
  </si>
  <si>
    <t>7500421996188</t>
  </si>
  <si>
    <t>130207NEGRO230</t>
  </si>
  <si>
    <t>7500421937181</t>
  </si>
  <si>
    <t>2373141BLANCO250</t>
  </si>
  <si>
    <t>4064195122851</t>
  </si>
  <si>
    <t>CAL0781NEGROUNIT</t>
  </si>
  <si>
    <t>7506391404777</t>
  </si>
  <si>
    <t>CALCETIN MUJER CASUAL CAL0781 NEGRO</t>
  </si>
  <si>
    <t>104930AZUL270</t>
  </si>
  <si>
    <t>7500421926413</t>
  </si>
  <si>
    <t>137003TAN240</t>
  </si>
  <si>
    <t>7500421965450</t>
  </si>
  <si>
    <t>412408NEGRO260</t>
  </si>
  <si>
    <t>7500421656280</t>
  </si>
  <si>
    <t>2362443LEOPARDO240</t>
  </si>
  <si>
    <t>4064198721631</t>
  </si>
  <si>
    <t>8520045BLANCO240</t>
  </si>
  <si>
    <t>4064225768516</t>
  </si>
  <si>
    <t>BOTIN MUJER 8520045BLANCO</t>
  </si>
  <si>
    <t>CAL0901AZULUNIT</t>
  </si>
  <si>
    <t>7506391405132</t>
  </si>
  <si>
    <t>CALCETIN CASUAL CAL0901</t>
  </si>
  <si>
    <t>137203NEGRO230</t>
  </si>
  <si>
    <t>7500421955130</t>
  </si>
  <si>
    <t>138701NEGRO260</t>
  </si>
  <si>
    <t>7500421987551</t>
  </si>
  <si>
    <t>2360342TAUPEGLAM270</t>
  </si>
  <si>
    <t>4064199554924</t>
  </si>
  <si>
    <t>131605BEIGE270</t>
  </si>
  <si>
    <t>7500421983270</t>
  </si>
  <si>
    <t>110421NEGRO260</t>
  </si>
  <si>
    <t>7500421730720</t>
  </si>
  <si>
    <t>420702GRIS290</t>
  </si>
  <si>
    <t>7500421875049</t>
  </si>
  <si>
    <t>137401OROVIEJO230</t>
  </si>
  <si>
    <t>7500421981979</t>
  </si>
  <si>
    <t>37825TAUPE220</t>
  </si>
  <si>
    <t>7500421921616</t>
  </si>
  <si>
    <t>417506MARINO300</t>
  </si>
  <si>
    <t>7500421928936</t>
  </si>
  <si>
    <t>2626643NEGRO265</t>
  </si>
  <si>
    <t>4064198380357</t>
  </si>
  <si>
    <t>8520045NEGRO270</t>
  </si>
  <si>
    <t>4064225768233</t>
  </si>
  <si>
    <t>8541145BEIGE250</t>
  </si>
  <si>
    <t>4064225840816</t>
  </si>
  <si>
    <t>401010TAUPE300</t>
  </si>
  <si>
    <t>7500421803295</t>
  </si>
  <si>
    <t>403016ARENA280</t>
  </si>
  <si>
    <t>7500421767160</t>
  </si>
  <si>
    <t>137302DARKTAN230</t>
  </si>
  <si>
    <t>7500421968482</t>
  </si>
  <si>
    <t>8560345NEGRO255</t>
  </si>
  <si>
    <t>4064225838844</t>
  </si>
  <si>
    <t>104813NEGRO240</t>
  </si>
  <si>
    <t>7500421510599</t>
  </si>
  <si>
    <t>2502641NEGRO230</t>
  </si>
  <si>
    <t>4064197725159</t>
  </si>
  <si>
    <t>FLEXI PLAZA NORTE</t>
  </si>
  <si>
    <t>129203NEGRO220</t>
  </si>
  <si>
    <t>7500421716298</t>
  </si>
  <si>
    <t>415506OXFORD290</t>
  </si>
  <si>
    <t>7500421929902</t>
  </si>
  <si>
    <t>DES0400NEUTROUNIT</t>
  </si>
  <si>
    <t>7500421890257</t>
  </si>
  <si>
    <t>DESODORANTE CALZADO DES0400 NEUTRO</t>
  </si>
  <si>
    <t>2820442ROSAGLAM240</t>
  </si>
  <si>
    <t>4064195269105</t>
  </si>
  <si>
    <t>SANDALIA MUJER 2820442ROSAGLAM</t>
  </si>
  <si>
    <t>422301NEGRO260</t>
  </si>
  <si>
    <t>7500421983850</t>
  </si>
  <si>
    <t>134504TAUPE230</t>
  </si>
  <si>
    <t>7500421933695</t>
  </si>
  <si>
    <t>131601BEIGE260</t>
  </si>
  <si>
    <t>7500421765227</t>
  </si>
  <si>
    <t>415308GRIS260</t>
  </si>
  <si>
    <t>7500421929292</t>
  </si>
  <si>
    <t>ZAPATILLA HOMBRE FRASER 415308GRIS</t>
  </si>
  <si>
    <t>141302ROSA250</t>
  </si>
  <si>
    <t>7500277052489</t>
  </si>
  <si>
    <t>104813NEGRO230</t>
  </si>
  <si>
    <t>7500421510575</t>
  </si>
  <si>
    <t>125403PERLA220</t>
  </si>
  <si>
    <t>7500421566459</t>
  </si>
  <si>
    <t>129701BLANCO220</t>
  </si>
  <si>
    <t>7500421692172</t>
  </si>
  <si>
    <t>104519NEGRO260</t>
  </si>
  <si>
    <t>7500421845929</t>
  </si>
  <si>
    <t>135203BEIGE240</t>
  </si>
  <si>
    <t>7500421975305</t>
  </si>
  <si>
    <t>137503BEIGE260</t>
  </si>
  <si>
    <t>7500421968987</t>
  </si>
  <si>
    <t>107601OROTANMKP240</t>
  </si>
  <si>
    <t>7500421581803</t>
  </si>
  <si>
    <t>104932AZUL240</t>
  </si>
  <si>
    <t>7500421967836</t>
  </si>
  <si>
    <t>130308NEGRO230</t>
  </si>
  <si>
    <t>7500421905784</t>
  </si>
  <si>
    <t>105123HIELO250</t>
  </si>
  <si>
    <t>7500421927250</t>
  </si>
  <si>
    <t>CIN1481NEGRO/AZUL110</t>
  </si>
  <si>
    <t>1415000482449</t>
  </si>
  <si>
    <t>CINTURON CASUAL CASUAL DOBLE VISTA CIN1481NEGRO/AZ</t>
  </si>
  <si>
    <t>101908CAFE240</t>
  </si>
  <si>
    <t>7500421486283</t>
  </si>
  <si>
    <t>110402NEGRO270</t>
  </si>
  <si>
    <t>7500421466575</t>
  </si>
  <si>
    <t>124501AZUL260</t>
  </si>
  <si>
    <t>7500421760123</t>
  </si>
  <si>
    <t>2372742OROROSACOMB265</t>
  </si>
  <si>
    <t>4064199556386</t>
  </si>
  <si>
    <t>117210BEIGE240</t>
  </si>
  <si>
    <t>7500421953631</t>
  </si>
  <si>
    <t>138701OFFWHITE230</t>
  </si>
  <si>
    <t>7500421987605</t>
  </si>
  <si>
    <t>101905TAN220</t>
  </si>
  <si>
    <t>7500421453629</t>
  </si>
  <si>
    <t>104519NEGRO235</t>
  </si>
  <si>
    <t>7500421845875</t>
  </si>
  <si>
    <t>104918NEGRO250</t>
  </si>
  <si>
    <t>7500421773802</t>
  </si>
  <si>
    <t>117210BEIGE260</t>
  </si>
  <si>
    <t>7500421953679</t>
  </si>
  <si>
    <t>134702NEGRO250</t>
  </si>
  <si>
    <t>7500421866535</t>
  </si>
  <si>
    <t>127102ROSA230</t>
  </si>
  <si>
    <t>7500421679692</t>
  </si>
  <si>
    <t>ZAPATILLA MUJER NAT 127102ROSA</t>
  </si>
  <si>
    <t>134103IVORY230</t>
  </si>
  <si>
    <t>7500421927861</t>
  </si>
  <si>
    <t>2533643NEGROCOMB265</t>
  </si>
  <si>
    <t>4064198322630</t>
  </si>
  <si>
    <t>104930TAUPE270</t>
  </si>
  <si>
    <t>7500421926529</t>
  </si>
  <si>
    <t>ZAPATILLA MUJER GRECYA 104930TAUPE</t>
  </si>
  <si>
    <t>CAL0551MARINOUNIT</t>
  </si>
  <si>
    <t>7500421893258</t>
  </si>
  <si>
    <t>CALCETIN HOMBRE DIABETICO CAL0551 MARINO</t>
  </si>
  <si>
    <t>CAL0552OXFORDUNIT</t>
  </si>
  <si>
    <t>7500421893265</t>
  </si>
  <si>
    <t>CALCETIN HOMBRE DIABETICO CAL0552 OXFORD</t>
  </si>
  <si>
    <t>134501ALGODON230</t>
  </si>
  <si>
    <t>7500421856116</t>
  </si>
  <si>
    <t>420001NEGRO290</t>
  </si>
  <si>
    <t>7500421868614</t>
  </si>
  <si>
    <t>104806CHERRY260</t>
  </si>
  <si>
    <t>7500421840054</t>
  </si>
  <si>
    <t>2372742NEGROORO230</t>
  </si>
  <si>
    <t>4064195725229</t>
  </si>
  <si>
    <t>415308GRIS280</t>
  </si>
  <si>
    <t>7500421929339</t>
  </si>
  <si>
    <t>131502NEGRO230</t>
  </si>
  <si>
    <t>7500421859230</t>
  </si>
  <si>
    <t>ZAPATILLA MUJER SALUMA 131502NEGRO</t>
  </si>
  <si>
    <t>134401TAUPE230</t>
  </si>
  <si>
    <t>7500421869611</t>
  </si>
  <si>
    <t>SANDALIA MUJER KATNIS 134401TAUPE</t>
  </si>
  <si>
    <t>119803NEGRO240</t>
  </si>
  <si>
    <t>7500421545652</t>
  </si>
  <si>
    <t>105124AZUL240</t>
  </si>
  <si>
    <t>7500421927014</t>
  </si>
  <si>
    <t>138602AZUL270</t>
  </si>
  <si>
    <t>7500421987247</t>
  </si>
  <si>
    <t>104930AZUL230</t>
  </si>
  <si>
    <t>7500421926338</t>
  </si>
  <si>
    <t>2509741NEGROGLAM240</t>
  </si>
  <si>
    <t>4064197820410</t>
  </si>
  <si>
    <t>2536645CAFE230</t>
  </si>
  <si>
    <t>4064199750975</t>
  </si>
  <si>
    <t>104918GRIS250</t>
  </si>
  <si>
    <t>7500421774021</t>
  </si>
  <si>
    <t>2820442NEGRO240</t>
  </si>
  <si>
    <t>4064195268382</t>
  </si>
  <si>
    <t>8642245GRIS255</t>
  </si>
  <si>
    <t>4064225857630</t>
  </si>
  <si>
    <t>137701CAFE230</t>
  </si>
  <si>
    <t>7500421965542</t>
  </si>
  <si>
    <t>117210BEIGE230</t>
  </si>
  <si>
    <t>7500421953617</t>
  </si>
  <si>
    <t>34929BEIGE240</t>
  </si>
  <si>
    <t>7500421533338</t>
  </si>
  <si>
    <t>131601NEGRO250</t>
  </si>
  <si>
    <t>7500421764985</t>
  </si>
  <si>
    <t>ZAPATILLA MUJER INNA 131601NEGRO</t>
  </si>
  <si>
    <t>422102NAVY270</t>
  </si>
  <si>
    <t>7500421972519</t>
  </si>
  <si>
    <t>420001NEGRO270</t>
  </si>
  <si>
    <t>7500421868577</t>
  </si>
  <si>
    <t>421801TAN300</t>
  </si>
  <si>
    <t>7500421969656</t>
  </si>
  <si>
    <t>417506MARINO280</t>
  </si>
  <si>
    <t>7500421928899</t>
  </si>
  <si>
    <t>421103NEGRO270</t>
  </si>
  <si>
    <t>7500421988824</t>
  </si>
  <si>
    <t>134803NEGRO250</t>
  </si>
  <si>
    <t>7500421866979</t>
  </si>
  <si>
    <t>104931BURGUNDY230</t>
  </si>
  <si>
    <t>7500421926000</t>
  </si>
  <si>
    <t>ZAPATILLA MUJER GRECYA 104931BURGUNDY</t>
  </si>
  <si>
    <t>2591843LEOPARDO255</t>
  </si>
  <si>
    <t>4064198338914</t>
  </si>
  <si>
    <t>2521245COGNAC265</t>
  </si>
  <si>
    <t>4064199904323</t>
  </si>
  <si>
    <t>2374643CAMELCOMB240</t>
  </si>
  <si>
    <t>4064199558588</t>
  </si>
  <si>
    <t>419801NEGRO260</t>
  </si>
  <si>
    <t>7500421866030</t>
  </si>
  <si>
    <t>8520045BLANCO265</t>
  </si>
  <si>
    <t>4064225768547</t>
  </si>
  <si>
    <t>100233TERRACOTA240</t>
  </si>
  <si>
    <t>7500421809907</t>
  </si>
  <si>
    <t>SANDALIA MUJER PEONIA 100233TERRACOTA</t>
  </si>
  <si>
    <t>138104NEGRO270</t>
  </si>
  <si>
    <t>7500421974384</t>
  </si>
  <si>
    <t>130303NEGRO240</t>
  </si>
  <si>
    <t>7500421736654</t>
  </si>
  <si>
    <t>BOTA MUJER ISBELLE 130303NEGRO</t>
  </si>
  <si>
    <t>413014NEGRO300</t>
  </si>
  <si>
    <t>7500421696323</t>
  </si>
  <si>
    <t>COR0243BLANCOUNIT</t>
  </si>
  <si>
    <t>8411250033960</t>
  </si>
  <si>
    <t>CORDON UNISEX SERVICIO COR0243 BLANCO</t>
  </si>
  <si>
    <t>413014NEGRO250</t>
  </si>
  <si>
    <t>7500421696224</t>
  </si>
  <si>
    <t>130207NEGRO260</t>
  </si>
  <si>
    <t>7500421937242</t>
  </si>
  <si>
    <t>2626643NEGRO270</t>
  </si>
  <si>
    <t>4064198380364</t>
  </si>
  <si>
    <t>134703OROROSADO240</t>
  </si>
  <si>
    <t>7500421866627</t>
  </si>
  <si>
    <t>413014NEGRO260</t>
  </si>
  <si>
    <t>7500421696248</t>
  </si>
  <si>
    <t>105125DENIM270</t>
  </si>
  <si>
    <t>7500277050652</t>
  </si>
  <si>
    <t>420704NEGRO280</t>
  </si>
  <si>
    <t>7500421980651</t>
  </si>
  <si>
    <t>2532143COGNAC255</t>
  </si>
  <si>
    <t>4064195990252</t>
  </si>
  <si>
    <t>102003NEGRO220</t>
  </si>
  <si>
    <t>7500421359976</t>
  </si>
  <si>
    <t>2531241COGNAC255</t>
  </si>
  <si>
    <t>4064197559754</t>
  </si>
  <si>
    <t>FLEXI PLAZA OESTE</t>
  </si>
  <si>
    <t>131601BEIGE270</t>
  </si>
  <si>
    <t>7500421765241</t>
  </si>
  <si>
    <t>134501ALGODON260</t>
  </si>
  <si>
    <t>7500421856178</t>
  </si>
  <si>
    <t>8372644MOCCALEOPARDO240</t>
  </si>
  <si>
    <t>4064225924288</t>
  </si>
  <si>
    <t>104501ESCAMANEGRO260</t>
  </si>
  <si>
    <t>7500421847138</t>
  </si>
  <si>
    <t>104521NEGRO260</t>
  </si>
  <si>
    <t>7500421903841</t>
  </si>
  <si>
    <t>2431643COGNAC240</t>
  </si>
  <si>
    <t>4064195984534</t>
  </si>
  <si>
    <t>130201TAN240</t>
  </si>
  <si>
    <t>7500421750247</t>
  </si>
  <si>
    <t>8370742CAFE230</t>
  </si>
  <si>
    <t>4064225730292</t>
  </si>
  <si>
    <t>104806NEGRO250</t>
  </si>
  <si>
    <t>7500421461471</t>
  </si>
  <si>
    <t>110402TAN245</t>
  </si>
  <si>
    <t>7500421521953</t>
  </si>
  <si>
    <t>137701NEGRO270</t>
  </si>
  <si>
    <t>7500421958148</t>
  </si>
  <si>
    <t>140304ROSA240</t>
  </si>
  <si>
    <t>7500277071220</t>
  </si>
  <si>
    <t>2331341BLANCOROSA265</t>
  </si>
  <si>
    <t>4064195124305</t>
  </si>
  <si>
    <t>2231843CAFECOMB230</t>
  </si>
  <si>
    <t>4064199608313</t>
  </si>
  <si>
    <t>127002NEGRO240</t>
  </si>
  <si>
    <t>7500421610237</t>
  </si>
  <si>
    <t>ZAPATO MUJER STEPHIE 127002NEGRO</t>
  </si>
  <si>
    <t>101912MARINO260</t>
  </si>
  <si>
    <t>7500421791646</t>
  </si>
  <si>
    <t>8370742MERLOT230</t>
  </si>
  <si>
    <t>4064225834693</t>
  </si>
  <si>
    <t>2362443NEGRO230</t>
  </si>
  <si>
    <t>4064199667815</t>
  </si>
  <si>
    <t>102920NEGRO250</t>
  </si>
  <si>
    <t>7500421534892</t>
  </si>
  <si>
    <t>SANDALIA MUJER LORY 102920NEGRO</t>
  </si>
  <si>
    <t>141301BEIGE270</t>
  </si>
  <si>
    <t>7500277052199</t>
  </si>
  <si>
    <t>141301GRIS270</t>
  </si>
  <si>
    <t>7500277052410</t>
  </si>
  <si>
    <t>127602NEGRO230</t>
  </si>
  <si>
    <t>7500421633434</t>
  </si>
  <si>
    <t>129201NEGRO270</t>
  </si>
  <si>
    <t>7500421674796</t>
  </si>
  <si>
    <t>137902NEGRO270</t>
  </si>
  <si>
    <t>7500421974049</t>
  </si>
  <si>
    <t>2331341BLANCOROSA250</t>
  </si>
  <si>
    <t>4064195124282</t>
  </si>
  <si>
    <t>101001NEGRO270</t>
  </si>
  <si>
    <t>7500421327876</t>
  </si>
  <si>
    <t>2374643VERDECOMB240</t>
  </si>
  <si>
    <t>4064199558847</t>
  </si>
  <si>
    <t>ZAPATILLA MUJER 2374643VERDECOMB</t>
  </si>
  <si>
    <t>138502BLANCO270</t>
  </si>
  <si>
    <t>7500421985595</t>
  </si>
  <si>
    <t>140304ROSA260</t>
  </si>
  <si>
    <t>7500277071268</t>
  </si>
  <si>
    <t>118902NEGRO240</t>
  </si>
  <si>
    <t>7500421526040</t>
  </si>
  <si>
    <t>133905NEGRO230</t>
  </si>
  <si>
    <t>7500421919743</t>
  </si>
  <si>
    <t>138501NEGRO250</t>
  </si>
  <si>
    <t>7500421985991</t>
  </si>
  <si>
    <t>137606DARKTAN220</t>
  </si>
  <si>
    <t>7500421969236</t>
  </si>
  <si>
    <t>104505NEGRO250</t>
  </si>
  <si>
    <t>7500421469729</t>
  </si>
  <si>
    <t>ZAPATO MUJER IDRIS 104505NEGRO</t>
  </si>
  <si>
    <t>130207NEGRO220</t>
  </si>
  <si>
    <t>7500421937167</t>
  </si>
  <si>
    <t>129203BLANCO260</t>
  </si>
  <si>
    <t>7500421727317</t>
  </si>
  <si>
    <t>ZAPATILLA MUJER BARDI 129203BLANCO</t>
  </si>
  <si>
    <t>130207CAFE220</t>
  </si>
  <si>
    <t>7500421985168</t>
  </si>
  <si>
    <t>130605NEGRO240</t>
  </si>
  <si>
    <t>7500421925362</t>
  </si>
  <si>
    <t>2370744LEOPARDOCOMB255</t>
  </si>
  <si>
    <t>4064198854827</t>
  </si>
  <si>
    <t>105123NEGRO260</t>
  </si>
  <si>
    <t>7500421927496</t>
  </si>
  <si>
    <t>101905TAN270</t>
  </si>
  <si>
    <t>7500421453728</t>
  </si>
  <si>
    <t>8371745MERLOT255</t>
  </si>
  <si>
    <t>4064225720514</t>
  </si>
  <si>
    <t>137902NEGRO240</t>
  </si>
  <si>
    <t>7500421973981</t>
  </si>
  <si>
    <t>132401BLACK250</t>
  </si>
  <si>
    <t>7500421778685</t>
  </si>
  <si>
    <t>2502641TAUPE255</t>
  </si>
  <si>
    <t>4064199860001</t>
  </si>
  <si>
    <t>138503ANTIMONIO270</t>
  </si>
  <si>
    <t>7500277055404</t>
  </si>
  <si>
    <t>413104MARINO280</t>
  </si>
  <si>
    <t>7500421550519</t>
  </si>
  <si>
    <t>ZAPATO HOMBRE POTTERY  413104MARINO</t>
  </si>
  <si>
    <t>413104TAUPE270</t>
  </si>
  <si>
    <t>7500421551325</t>
  </si>
  <si>
    <t>ZAPATO HOMBRE POTTERY  413104TAUPE</t>
  </si>
  <si>
    <t>2360342IVORYCOMB255</t>
  </si>
  <si>
    <t>4064195084388</t>
  </si>
  <si>
    <t>138503BEIGE260</t>
  </si>
  <si>
    <t>7500277055602</t>
  </si>
  <si>
    <t>2331341AZUL265</t>
  </si>
  <si>
    <t>4064195220762</t>
  </si>
  <si>
    <t>2372643TAUPECOMB250</t>
  </si>
  <si>
    <t>4064199562622</t>
  </si>
  <si>
    <t>420702BEIGE290</t>
  </si>
  <si>
    <t>7500421874936</t>
  </si>
  <si>
    <t>ZAPATILLA HOMBRE KING 420702BEIGE</t>
  </si>
  <si>
    <t>137804TAUPE240</t>
  </si>
  <si>
    <t>7500421979426</t>
  </si>
  <si>
    <t>8540845VERDE240</t>
  </si>
  <si>
    <t>4064225838325</t>
  </si>
  <si>
    <t>130605NEGRO220</t>
  </si>
  <si>
    <t>7500421925324</t>
  </si>
  <si>
    <t>110421TABACO260</t>
  </si>
  <si>
    <t>7500421747179</t>
  </si>
  <si>
    <t>2535741NEGROCHAROL250</t>
  </si>
  <si>
    <t>4064197567827</t>
  </si>
  <si>
    <t>136804CHAROLNEGRO230</t>
  </si>
  <si>
    <t>7500421980064</t>
  </si>
  <si>
    <t>141202NEGRO220</t>
  </si>
  <si>
    <t>7500277052755</t>
  </si>
  <si>
    <t>2641945NEGRO240</t>
  </si>
  <si>
    <t>4064199660724</t>
  </si>
  <si>
    <t>2535741TAUPE240</t>
  </si>
  <si>
    <t>4064199708433</t>
  </si>
  <si>
    <t>138503BEIGE270</t>
  </si>
  <si>
    <t>7500277055626</t>
  </si>
  <si>
    <t>131601NEGRO260</t>
  </si>
  <si>
    <t>7500421765005</t>
  </si>
  <si>
    <t>2527345COGNAC270</t>
  </si>
  <si>
    <t>4064199851078</t>
  </si>
  <si>
    <t>2509741CHAMPAGNE270</t>
  </si>
  <si>
    <t>4064197820694</t>
  </si>
  <si>
    <t>2570241NEGRO265</t>
  </si>
  <si>
    <t>4064197746352</t>
  </si>
  <si>
    <t>2590841NEGRO255</t>
  </si>
  <si>
    <t>4064197914065</t>
  </si>
  <si>
    <t>2372643TAUPECOMB265</t>
  </si>
  <si>
    <t>4064199562646</t>
  </si>
  <si>
    <t>124501NEGRO250</t>
  </si>
  <si>
    <t>7500421610466</t>
  </si>
  <si>
    <t>104932AZUL230</t>
  </si>
  <si>
    <t>7500421967812</t>
  </si>
  <si>
    <t>2536245NEGRO265</t>
  </si>
  <si>
    <t>4064199723825</t>
  </si>
  <si>
    <t>104806AZUL220</t>
  </si>
  <si>
    <t>7500421461198</t>
  </si>
  <si>
    <t>101912DORADO250</t>
  </si>
  <si>
    <t>7500421791738</t>
  </si>
  <si>
    <t>413904NEGRO280</t>
  </si>
  <si>
    <t>7500421702031</t>
  </si>
  <si>
    <t>ZAPATILLA HOMBRE FLOW 413904NEGRO</t>
  </si>
  <si>
    <t>8520045BLANCO250</t>
  </si>
  <si>
    <t>4064225768523</t>
  </si>
  <si>
    <t>2370944AZUL265</t>
  </si>
  <si>
    <t>4064199558076</t>
  </si>
  <si>
    <t>101011NEGRO270</t>
  </si>
  <si>
    <t>7500421593059</t>
  </si>
  <si>
    <t>130308NEUTRO260</t>
  </si>
  <si>
    <t>7500421931882</t>
  </si>
  <si>
    <t>2590841NEGRO240</t>
  </si>
  <si>
    <t>4064197914041</t>
  </si>
  <si>
    <t>2682545CAMEL250</t>
  </si>
  <si>
    <t>4064199911840</t>
  </si>
  <si>
    <t>2527345COGNAC255</t>
  </si>
  <si>
    <t>4064199851054</t>
  </si>
  <si>
    <t>2331341NEGROORO240</t>
  </si>
  <si>
    <t>4064195124169</t>
  </si>
  <si>
    <t>8560345BEIGE240</t>
  </si>
  <si>
    <t>4064225838981</t>
  </si>
  <si>
    <t>BOTA MUJER 8560345BEIGE</t>
  </si>
  <si>
    <t>NETO</t>
  </si>
  <si>
    <t>COSTO VENTA</t>
  </si>
  <si>
    <t>MARGEN</t>
  </si>
  <si>
    <t xml:space="preserve">IVA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</si>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</sst>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41" formatCode="_ * #,##0_ ;_ * \-#,##0_ ;_ * &quot;-&quot;_ ;_ @_ "/>
    <numFmt numFmtId="164" formatCode="&quot;$&quot;#,##0"/>
    <numFmt numFmtId="165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0" fillId="0" borderId="0" xfId="0" quotePrefix="1"/>
    <xf numFmtId="3" fontId="0" fillId="0" borderId="0" xfId="0" applyNumberFormat="1"/>
    <xf numFmtId="0" fontId="2" fillId="0" borderId="0" xfId="0" applyFont="1"/>
    <xf numFmtId="164" fontId="0" fillId="0" borderId="0" xfId="0" applyNumberFormat="1"/>
    <xf numFmtId="164" fontId="0" fillId="0" borderId="0" xfId="1" applyNumberFormat="1" applyFont="1" applyAlignment="1">
      <alignment horizontal="center" vertical="center"/>
    </xf>
    <xf numFmtId="164" fontId="2" fillId="2" borderId="2" xfId="4" applyNumberFormat="1" applyFont="1" applyFill="1" applyBorder="1"/>
    <xf numFmtId="164" fontId="2" fillId="2" borderId="0" xfId="4" applyNumberFormat="1" applyFont="1" applyFill="1" applyBorder="1"/>
    <xf numFmtId="165" fontId="0" fillId="0" borderId="0" xfId="2" applyNumberFormat="1" applyFont="1"/>
    <xf numFmtId="0" fontId="2" fillId="2" borderId="2" xfId="0" applyFont="1" applyFill="1" applyBorder="1"/>
    <xf numFmtId="41" fontId="0" fillId="0" borderId="0" xfId="5" applyFont="1"/>
    <xf numFmtId="164" fontId="2" fillId="0" borderId="0" xfId="0" applyNumberFormat="1" applyFont="1"/>
  </cellXfs>
  <cellStyles count="6">
    <cellStyle name="Millares [0]" xfId="5" builtinId="6"/>
    <cellStyle name="Moneda [0]" xfId="1" builtinId="7"/>
    <cellStyle name="Moneda [0] 2" xfId="4" xr:uid="{2A8CFBF7-70DA-4B57-A0BA-9D267FCED44B}"/>
    <cellStyle name="Moneda [0] 3" xfId="3" xr:uid="{421F75CE-37D2-4E0B-8F13-D8854223BFAA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B260C-3139-4862-A2B7-337259BE0E97}">
  <sheetPr filterMode="1"/>
  <dimension ref="A1:S6901"/>
  <sheetViews>
    <sheetView zoomScale="75" zoomScaleNormal="75" workbookViewId="0">
      <pane ySplit="4" topLeftCell="A5830" activePane="bottomLeft" state="frozen"/>
      <selection pane="bottomLeft" activeCell="F5849" sqref="F5849"/>
    </sheetView>
  </sheetViews>
  <sheetFormatPr baseColWidth="10" defaultRowHeight="14" x14ac:dyDescent="0.3"/>
  <cols>
    <col min="1" max="1" width="7.296875" bestFit="1" customWidth="1"/>
    <col min="2" max="2" width="23.69921875" bestFit="1" customWidth="1"/>
    <col min="3" max="3" width="20.59765625" customWidth="1"/>
    <col min="4" max="4" width="15.59765625" bestFit="1" customWidth="1"/>
    <col min="5" max="5" width="31.19921875" customWidth="1"/>
    <col min="6" max="6" width="11.09765625" bestFit="1" customWidth="1"/>
    <col min="7" max="7" width="9.8984375" bestFit="1" customWidth="1"/>
    <col min="8" max="9" width="11.69921875" bestFit="1" customWidth="1"/>
    <col min="10" max="10" width="14.19921875" bestFit="1" customWidth="1"/>
    <col min="11" max="11" width="10.3984375" bestFit="1" customWidth="1"/>
    <col min="12" max="12" width="10" bestFit="1" customWidth="1"/>
    <col min="13" max="13" width="13.796875" bestFit="1" customWidth="1"/>
    <col min="14" max="14" width="10.19921875" bestFit="1" customWidth="1"/>
    <col min="15" max="15" width="8.3984375" bestFit="1" customWidth="1"/>
    <col min="16" max="16" width="15" customWidth="1"/>
    <col min="17" max="17" width="13.3984375" style="5" bestFit="1" customWidth="1"/>
    <col min="18" max="18" width="14" style="5" bestFit="1" customWidth="1"/>
    <col min="19" max="19" width="12.59765625" style="5" bestFit="1" customWidth="1"/>
  </cols>
  <sheetData>
    <row r="1" spans="1:19" x14ac:dyDescent="0.3">
      <c r="S1" s="9"/>
    </row>
    <row r="2" spans="1:19" x14ac:dyDescent="0.3">
      <c r="Q2" s="6">
        <f>SUBTOTAL(9,Q5:Q6901)</f>
        <v>15876083.193277327</v>
      </c>
      <c r="R2" s="6">
        <f>SUBTOTAL(9,R5:R6901)</f>
        <v>7108912</v>
      </c>
      <c r="S2" s="6">
        <f>SUBTOTAL(9,S5:S6901)</f>
        <v>8767171.193277318</v>
      </c>
    </row>
    <row r="3" spans="1:1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7" t="s">
        <v>6699</v>
      </c>
      <c r="R3" s="7" t="s">
        <v>6700</v>
      </c>
      <c r="S3" s="7" t="s">
        <v>6701</v>
      </c>
    </row>
    <row r="4" spans="1:19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8"/>
      <c r="R4" s="8"/>
      <c r="S4" s="8"/>
    </row>
    <row r="5" spans="1:19" hidden="1" x14ac:dyDescent="0.3">
      <c r="A5">
        <v>100</v>
      </c>
      <c r="B5" t="s">
        <v>16</v>
      </c>
      <c r="C5" t="s">
        <v>17</v>
      </c>
      <c r="D5" s="2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s="2" t="s">
        <v>25</v>
      </c>
      <c r="L5" t="s">
        <v>26</v>
      </c>
      <c r="M5">
        <v>350244</v>
      </c>
      <c r="N5">
        <v>1</v>
      </c>
      <c r="O5" s="3">
        <v>55990</v>
      </c>
      <c r="P5" s="3">
        <v>29007</v>
      </c>
      <c r="Q5" s="5">
        <f>O5/1.19</f>
        <v>47050.420168067227</v>
      </c>
      <c r="R5" s="5">
        <f>N5*P5</f>
        <v>29007</v>
      </c>
      <c r="S5" s="5">
        <f>Q5-R5</f>
        <v>18043.420168067227</v>
      </c>
    </row>
    <row r="6" spans="1:19" hidden="1" x14ac:dyDescent="0.3">
      <c r="A6">
        <v>100</v>
      </c>
      <c r="B6" t="s">
        <v>16</v>
      </c>
      <c r="C6" t="s">
        <v>27</v>
      </c>
      <c r="D6" s="2" t="s">
        <v>28</v>
      </c>
      <c r="E6" t="s">
        <v>29</v>
      </c>
      <c r="F6" t="s">
        <v>20</v>
      </c>
      <c r="G6" t="s">
        <v>21</v>
      </c>
      <c r="H6" t="s">
        <v>30</v>
      </c>
      <c r="I6" t="s">
        <v>23</v>
      </c>
      <c r="J6" t="s">
        <v>31</v>
      </c>
      <c r="K6" s="2" t="s">
        <v>25</v>
      </c>
      <c r="L6" t="s">
        <v>26</v>
      </c>
      <c r="M6">
        <v>350245</v>
      </c>
      <c r="N6">
        <v>1</v>
      </c>
      <c r="O6" s="3">
        <v>79990</v>
      </c>
      <c r="P6" s="3">
        <v>40035</v>
      </c>
      <c r="Q6" s="5">
        <f t="shared" ref="Q6:Q69" si="0">O6/1.19</f>
        <v>67218.487394957992</v>
      </c>
      <c r="R6" s="5">
        <f t="shared" ref="R6:R69" si="1">N6*P6</f>
        <v>40035</v>
      </c>
      <c r="S6" s="5">
        <f t="shared" ref="S6:S69" si="2">Q6-R6</f>
        <v>27183.487394957992</v>
      </c>
    </row>
    <row r="7" spans="1:19" hidden="1" x14ac:dyDescent="0.3">
      <c r="A7">
        <v>100</v>
      </c>
      <c r="B7" t="s">
        <v>16</v>
      </c>
      <c r="C7" t="s">
        <v>32</v>
      </c>
      <c r="D7" s="2" t="s">
        <v>33</v>
      </c>
      <c r="E7" t="s">
        <v>34</v>
      </c>
      <c r="F7" t="s">
        <v>20</v>
      </c>
      <c r="G7" t="s">
        <v>21</v>
      </c>
      <c r="H7" t="s">
        <v>22</v>
      </c>
      <c r="I7" t="s">
        <v>23</v>
      </c>
      <c r="J7" t="s">
        <v>35</v>
      </c>
      <c r="K7" s="2" t="s">
        <v>25</v>
      </c>
      <c r="L7" t="s">
        <v>26</v>
      </c>
      <c r="M7">
        <v>350246</v>
      </c>
      <c r="N7">
        <v>1</v>
      </c>
      <c r="O7" s="3">
        <v>69990</v>
      </c>
      <c r="P7" s="3">
        <v>35279</v>
      </c>
      <c r="Q7" s="5">
        <f t="shared" si="0"/>
        <v>58815.126050420171</v>
      </c>
      <c r="R7" s="5">
        <f t="shared" si="1"/>
        <v>35279</v>
      </c>
      <c r="S7" s="5">
        <f t="shared" si="2"/>
        <v>23536.126050420171</v>
      </c>
    </row>
    <row r="8" spans="1:19" hidden="1" x14ac:dyDescent="0.3">
      <c r="A8">
        <v>100</v>
      </c>
      <c r="B8" t="s">
        <v>16</v>
      </c>
      <c r="C8" t="s">
        <v>36</v>
      </c>
      <c r="D8" s="2" t="s">
        <v>37</v>
      </c>
      <c r="E8" t="s">
        <v>38</v>
      </c>
      <c r="F8" t="s">
        <v>20</v>
      </c>
      <c r="G8" t="s">
        <v>21</v>
      </c>
      <c r="H8" t="s">
        <v>39</v>
      </c>
      <c r="I8" t="s">
        <v>23</v>
      </c>
      <c r="J8" t="s">
        <v>40</v>
      </c>
      <c r="K8" s="2" t="s">
        <v>25</v>
      </c>
      <c r="L8" t="s">
        <v>26</v>
      </c>
      <c r="M8">
        <v>350247</v>
      </c>
      <c r="N8">
        <v>1</v>
      </c>
      <c r="O8" s="3">
        <v>39990</v>
      </c>
      <c r="P8" s="3">
        <v>26500</v>
      </c>
      <c r="Q8" s="5">
        <f t="shared" si="0"/>
        <v>33605.042016806721</v>
      </c>
      <c r="R8" s="5">
        <f t="shared" si="1"/>
        <v>26500</v>
      </c>
      <c r="S8" s="5">
        <f t="shared" si="2"/>
        <v>7105.0420168067212</v>
      </c>
    </row>
    <row r="9" spans="1:19" hidden="1" x14ac:dyDescent="0.3">
      <c r="A9">
        <v>100</v>
      </c>
      <c r="B9" t="s">
        <v>16</v>
      </c>
      <c r="C9" t="s">
        <v>41</v>
      </c>
      <c r="D9" s="2" t="s">
        <v>42</v>
      </c>
      <c r="E9" t="s">
        <v>43</v>
      </c>
      <c r="F9" t="s">
        <v>20</v>
      </c>
      <c r="G9" t="s">
        <v>21</v>
      </c>
      <c r="H9" t="s">
        <v>44</v>
      </c>
      <c r="I9" t="s">
        <v>23</v>
      </c>
      <c r="J9" t="s">
        <v>40</v>
      </c>
      <c r="K9" s="2" t="s">
        <v>25</v>
      </c>
      <c r="L9" t="s">
        <v>26</v>
      </c>
      <c r="M9">
        <v>350248</v>
      </c>
      <c r="N9">
        <v>1</v>
      </c>
      <c r="O9" s="3">
        <v>39990</v>
      </c>
      <c r="P9" s="3">
        <v>15368</v>
      </c>
      <c r="Q9" s="5">
        <f t="shared" si="0"/>
        <v>33605.042016806721</v>
      </c>
      <c r="R9" s="5">
        <f t="shared" si="1"/>
        <v>15368</v>
      </c>
      <c r="S9" s="5">
        <f t="shared" si="2"/>
        <v>18237.042016806721</v>
      </c>
    </row>
    <row r="10" spans="1:19" hidden="1" x14ac:dyDescent="0.3">
      <c r="A10">
        <v>100</v>
      </c>
      <c r="B10" t="s">
        <v>16</v>
      </c>
      <c r="C10" t="s">
        <v>45</v>
      </c>
      <c r="D10" s="2" t="s">
        <v>46</v>
      </c>
      <c r="E10" t="s">
        <v>47</v>
      </c>
      <c r="F10" t="s">
        <v>20</v>
      </c>
      <c r="G10" t="s">
        <v>21</v>
      </c>
      <c r="H10" t="s">
        <v>48</v>
      </c>
      <c r="I10" t="s">
        <v>23</v>
      </c>
      <c r="J10" t="s">
        <v>49</v>
      </c>
      <c r="K10" s="2" t="s">
        <v>25</v>
      </c>
      <c r="L10" t="s">
        <v>26</v>
      </c>
      <c r="M10">
        <v>350249</v>
      </c>
      <c r="N10">
        <v>1</v>
      </c>
      <c r="O10" s="3">
        <v>39990</v>
      </c>
      <c r="P10" s="3">
        <v>24260</v>
      </c>
      <c r="Q10" s="5">
        <f t="shared" si="0"/>
        <v>33605.042016806721</v>
      </c>
      <c r="R10" s="5">
        <f t="shared" si="1"/>
        <v>24260</v>
      </c>
      <c r="S10" s="5">
        <f t="shared" si="2"/>
        <v>9345.0420168067212</v>
      </c>
    </row>
    <row r="11" spans="1:19" hidden="1" x14ac:dyDescent="0.3">
      <c r="A11">
        <v>100</v>
      </c>
      <c r="B11" t="s">
        <v>16</v>
      </c>
      <c r="C11" t="s">
        <v>50</v>
      </c>
      <c r="D11" s="2" t="s">
        <v>51</v>
      </c>
      <c r="E11" t="s">
        <v>52</v>
      </c>
      <c r="F11" t="s">
        <v>20</v>
      </c>
      <c r="G11" t="s">
        <v>21</v>
      </c>
      <c r="H11" t="s">
        <v>53</v>
      </c>
      <c r="I11" t="s">
        <v>23</v>
      </c>
      <c r="J11" t="s">
        <v>49</v>
      </c>
      <c r="K11" s="2" t="s">
        <v>25</v>
      </c>
      <c r="L11" t="s">
        <v>26</v>
      </c>
      <c r="M11">
        <v>350250</v>
      </c>
      <c r="N11">
        <v>1</v>
      </c>
      <c r="O11" s="3">
        <v>49990</v>
      </c>
      <c r="P11" s="3">
        <v>21123</v>
      </c>
      <c r="Q11" s="5">
        <f t="shared" si="0"/>
        <v>42008.403361344543</v>
      </c>
      <c r="R11" s="5">
        <f t="shared" si="1"/>
        <v>21123</v>
      </c>
      <c r="S11" s="5">
        <f t="shared" si="2"/>
        <v>20885.403361344543</v>
      </c>
    </row>
    <row r="12" spans="1:19" hidden="1" x14ac:dyDescent="0.3">
      <c r="A12">
        <v>100</v>
      </c>
      <c r="B12" t="s">
        <v>16</v>
      </c>
      <c r="C12" t="s">
        <v>54</v>
      </c>
      <c r="D12" s="2" t="s">
        <v>55</v>
      </c>
      <c r="E12" t="s">
        <v>56</v>
      </c>
      <c r="F12" t="s">
        <v>20</v>
      </c>
      <c r="G12" t="s">
        <v>21</v>
      </c>
      <c r="H12" t="s">
        <v>57</v>
      </c>
      <c r="I12" t="s">
        <v>23</v>
      </c>
      <c r="J12" t="s">
        <v>35</v>
      </c>
      <c r="K12" s="2" t="s">
        <v>25</v>
      </c>
      <c r="L12" t="s">
        <v>26</v>
      </c>
      <c r="M12">
        <v>350251</v>
      </c>
      <c r="N12">
        <v>1</v>
      </c>
      <c r="O12" s="3">
        <v>49990</v>
      </c>
      <c r="P12" s="3">
        <v>33673</v>
      </c>
      <c r="Q12" s="5">
        <f t="shared" si="0"/>
        <v>42008.403361344543</v>
      </c>
      <c r="R12" s="5">
        <f t="shared" si="1"/>
        <v>33673</v>
      </c>
      <c r="S12" s="5">
        <f t="shared" si="2"/>
        <v>8335.4033613445426</v>
      </c>
    </row>
    <row r="13" spans="1:19" hidden="1" x14ac:dyDescent="0.3">
      <c r="A13">
        <v>100</v>
      </c>
      <c r="B13" t="s">
        <v>16</v>
      </c>
      <c r="C13" t="s">
        <v>58</v>
      </c>
      <c r="D13" s="2" t="s">
        <v>59</v>
      </c>
      <c r="E13" t="s">
        <v>60</v>
      </c>
      <c r="F13" t="s">
        <v>20</v>
      </c>
      <c r="G13" t="s">
        <v>21</v>
      </c>
      <c r="H13" t="s">
        <v>61</v>
      </c>
      <c r="I13" t="s">
        <v>23</v>
      </c>
      <c r="J13" t="s">
        <v>40</v>
      </c>
      <c r="K13" s="2" t="s">
        <v>25</v>
      </c>
      <c r="L13" t="s">
        <v>26</v>
      </c>
      <c r="M13">
        <v>350252</v>
      </c>
      <c r="N13">
        <v>1</v>
      </c>
      <c r="O13" s="3">
        <v>39990</v>
      </c>
      <c r="P13" s="3">
        <v>21100</v>
      </c>
      <c r="Q13" s="5">
        <f t="shared" si="0"/>
        <v>33605.042016806721</v>
      </c>
      <c r="R13" s="5">
        <f t="shared" si="1"/>
        <v>21100</v>
      </c>
      <c r="S13" s="5">
        <f t="shared" si="2"/>
        <v>12505.042016806721</v>
      </c>
    </row>
    <row r="14" spans="1:19" hidden="1" x14ac:dyDescent="0.3">
      <c r="A14">
        <v>100</v>
      </c>
      <c r="B14" t="s">
        <v>16</v>
      </c>
      <c r="C14" t="s">
        <v>62</v>
      </c>
      <c r="D14" s="2" t="s">
        <v>63</v>
      </c>
      <c r="E14" t="s">
        <v>64</v>
      </c>
      <c r="F14" t="s">
        <v>20</v>
      </c>
      <c r="G14" t="s">
        <v>21</v>
      </c>
      <c r="H14" t="s">
        <v>65</v>
      </c>
      <c r="I14" t="s">
        <v>23</v>
      </c>
      <c r="J14" t="s">
        <v>49</v>
      </c>
      <c r="K14" s="2" t="s">
        <v>25</v>
      </c>
      <c r="L14" t="s">
        <v>26</v>
      </c>
      <c r="M14">
        <v>350253</v>
      </c>
      <c r="N14">
        <v>1</v>
      </c>
      <c r="O14" s="3">
        <v>64950</v>
      </c>
      <c r="P14" s="3">
        <v>23707</v>
      </c>
      <c r="Q14" s="5">
        <f t="shared" si="0"/>
        <v>54579.831932773115</v>
      </c>
      <c r="R14" s="5">
        <f t="shared" si="1"/>
        <v>23707</v>
      </c>
      <c r="S14" s="5">
        <f t="shared" si="2"/>
        <v>30872.831932773115</v>
      </c>
    </row>
    <row r="15" spans="1:19" hidden="1" x14ac:dyDescent="0.3">
      <c r="A15">
        <v>100</v>
      </c>
      <c r="B15" t="s">
        <v>16</v>
      </c>
      <c r="C15" t="s">
        <v>66</v>
      </c>
      <c r="D15" s="2" t="s">
        <v>67</v>
      </c>
      <c r="E15" t="s">
        <v>68</v>
      </c>
      <c r="F15" t="s">
        <v>20</v>
      </c>
      <c r="G15" t="s">
        <v>21</v>
      </c>
      <c r="H15" t="s">
        <v>44</v>
      </c>
      <c r="I15" t="s">
        <v>23</v>
      </c>
      <c r="J15" t="s">
        <v>40</v>
      </c>
      <c r="K15" s="2" t="s">
        <v>25</v>
      </c>
      <c r="L15" t="s">
        <v>26</v>
      </c>
      <c r="M15">
        <v>350254</v>
      </c>
      <c r="N15">
        <v>1</v>
      </c>
      <c r="O15" s="3">
        <v>59950</v>
      </c>
      <c r="P15" s="3">
        <v>14287</v>
      </c>
      <c r="Q15" s="5">
        <f t="shared" si="0"/>
        <v>50378.151260504201</v>
      </c>
      <c r="R15" s="5">
        <f t="shared" si="1"/>
        <v>14287</v>
      </c>
      <c r="S15" s="5">
        <f t="shared" si="2"/>
        <v>36091.151260504201</v>
      </c>
    </row>
    <row r="16" spans="1:19" hidden="1" x14ac:dyDescent="0.3">
      <c r="A16">
        <v>100</v>
      </c>
      <c r="B16" t="s">
        <v>16</v>
      </c>
      <c r="C16" t="s">
        <v>69</v>
      </c>
      <c r="D16" s="2" t="s">
        <v>70</v>
      </c>
      <c r="E16" t="s">
        <v>71</v>
      </c>
      <c r="F16" t="s">
        <v>20</v>
      </c>
      <c r="G16" t="s">
        <v>21</v>
      </c>
      <c r="H16" t="s">
        <v>53</v>
      </c>
      <c r="I16" t="s">
        <v>23</v>
      </c>
      <c r="J16" t="s">
        <v>35</v>
      </c>
      <c r="K16" s="2" t="s">
        <v>25</v>
      </c>
      <c r="L16" t="s">
        <v>26</v>
      </c>
      <c r="M16">
        <v>350255</v>
      </c>
      <c r="N16">
        <v>1</v>
      </c>
      <c r="O16" s="3">
        <v>49990</v>
      </c>
      <c r="P16" s="3">
        <v>24682</v>
      </c>
      <c r="Q16" s="5">
        <f t="shared" si="0"/>
        <v>42008.403361344543</v>
      </c>
      <c r="R16" s="5">
        <f t="shared" si="1"/>
        <v>24682</v>
      </c>
      <c r="S16" s="5">
        <f t="shared" si="2"/>
        <v>17326.403361344543</v>
      </c>
    </row>
    <row r="17" spans="1:19" hidden="1" x14ac:dyDescent="0.3">
      <c r="A17">
        <v>100</v>
      </c>
      <c r="B17" t="s">
        <v>16</v>
      </c>
      <c r="C17" t="s">
        <v>72</v>
      </c>
      <c r="D17" s="2" t="s">
        <v>73</v>
      </c>
      <c r="E17" t="s">
        <v>71</v>
      </c>
      <c r="F17" t="s">
        <v>20</v>
      </c>
      <c r="G17" t="s">
        <v>21</v>
      </c>
      <c r="H17" t="s">
        <v>53</v>
      </c>
      <c r="I17" t="s">
        <v>23</v>
      </c>
      <c r="J17" t="s">
        <v>35</v>
      </c>
      <c r="K17" s="2" t="s">
        <v>25</v>
      </c>
      <c r="L17" t="s">
        <v>26</v>
      </c>
      <c r="M17">
        <v>350255</v>
      </c>
      <c r="N17">
        <v>1</v>
      </c>
      <c r="O17" s="3">
        <v>49990</v>
      </c>
      <c r="P17" s="3">
        <v>24247</v>
      </c>
      <c r="Q17" s="5">
        <f t="shared" si="0"/>
        <v>42008.403361344543</v>
      </c>
      <c r="R17" s="5">
        <f t="shared" si="1"/>
        <v>24247</v>
      </c>
      <c r="S17" s="5">
        <f t="shared" si="2"/>
        <v>17761.403361344543</v>
      </c>
    </row>
    <row r="18" spans="1:19" hidden="1" x14ac:dyDescent="0.3">
      <c r="A18">
        <v>100</v>
      </c>
      <c r="B18" t="s">
        <v>16</v>
      </c>
      <c r="C18" t="s">
        <v>74</v>
      </c>
      <c r="D18" s="2" t="s">
        <v>75</v>
      </c>
      <c r="E18" t="s">
        <v>71</v>
      </c>
      <c r="F18" t="s">
        <v>20</v>
      </c>
      <c r="G18" t="s">
        <v>21</v>
      </c>
      <c r="H18" t="s">
        <v>53</v>
      </c>
      <c r="I18" t="s">
        <v>23</v>
      </c>
      <c r="J18" t="s">
        <v>35</v>
      </c>
      <c r="K18" s="2" t="s">
        <v>25</v>
      </c>
      <c r="L18" t="s">
        <v>26</v>
      </c>
      <c r="M18">
        <v>350255</v>
      </c>
      <c r="N18">
        <v>1</v>
      </c>
      <c r="O18" s="3">
        <v>49990</v>
      </c>
      <c r="P18" s="3">
        <v>27439</v>
      </c>
      <c r="Q18" s="5">
        <f t="shared" si="0"/>
        <v>42008.403361344543</v>
      </c>
      <c r="R18" s="5">
        <f t="shared" si="1"/>
        <v>27439</v>
      </c>
      <c r="S18" s="5">
        <f t="shared" si="2"/>
        <v>14569.403361344543</v>
      </c>
    </row>
    <row r="19" spans="1:19" hidden="1" x14ac:dyDescent="0.3">
      <c r="A19">
        <v>100</v>
      </c>
      <c r="B19" t="s">
        <v>16</v>
      </c>
      <c r="C19" t="s">
        <v>76</v>
      </c>
      <c r="D19" s="2" t="s">
        <v>77</v>
      </c>
      <c r="E19" t="s">
        <v>78</v>
      </c>
      <c r="F19" t="s">
        <v>20</v>
      </c>
      <c r="G19" t="s">
        <v>21</v>
      </c>
      <c r="H19" t="s">
        <v>79</v>
      </c>
      <c r="I19" t="s">
        <v>23</v>
      </c>
      <c r="J19" t="s">
        <v>49</v>
      </c>
      <c r="K19" s="2" t="s">
        <v>25</v>
      </c>
      <c r="L19" t="s">
        <v>26</v>
      </c>
      <c r="M19">
        <v>350256</v>
      </c>
      <c r="N19">
        <v>1</v>
      </c>
      <c r="O19" s="3">
        <v>39990</v>
      </c>
      <c r="P19" s="3">
        <v>28298</v>
      </c>
      <c r="Q19" s="5">
        <f t="shared" si="0"/>
        <v>33605.042016806721</v>
      </c>
      <c r="R19" s="5">
        <f t="shared" si="1"/>
        <v>28298</v>
      </c>
      <c r="S19" s="5">
        <f t="shared" si="2"/>
        <v>5307.0420168067212</v>
      </c>
    </row>
    <row r="20" spans="1:19" hidden="1" x14ac:dyDescent="0.3">
      <c r="A20">
        <v>100</v>
      </c>
      <c r="B20" t="s">
        <v>16</v>
      </c>
      <c r="C20" t="s">
        <v>80</v>
      </c>
      <c r="D20" s="2" t="s">
        <v>81</v>
      </c>
      <c r="E20" t="s">
        <v>82</v>
      </c>
      <c r="F20" t="s">
        <v>20</v>
      </c>
      <c r="G20" t="s">
        <v>21</v>
      </c>
      <c r="H20" t="s">
        <v>83</v>
      </c>
      <c r="I20" t="s">
        <v>23</v>
      </c>
      <c r="J20" t="s">
        <v>40</v>
      </c>
      <c r="K20" s="2" t="s">
        <v>25</v>
      </c>
      <c r="L20" t="s">
        <v>26</v>
      </c>
      <c r="M20">
        <v>350257</v>
      </c>
      <c r="N20">
        <v>1</v>
      </c>
      <c r="O20" s="3">
        <v>39990</v>
      </c>
      <c r="P20" s="3">
        <v>27224</v>
      </c>
      <c r="Q20" s="5">
        <f t="shared" si="0"/>
        <v>33605.042016806721</v>
      </c>
      <c r="R20" s="5">
        <f t="shared" si="1"/>
        <v>27224</v>
      </c>
      <c r="S20" s="5">
        <f t="shared" si="2"/>
        <v>6381.0420168067212</v>
      </c>
    </row>
    <row r="21" spans="1:19" hidden="1" x14ac:dyDescent="0.3">
      <c r="A21">
        <v>100</v>
      </c>
      <c r="B21" t="s">
        <v>16</v>
      </c>
      <c r="C21" t="s">
        <v>84</v>
      </c>
      <c r="D21" s="2" t="s">
        <v>85</v>
      </c>
      <c r="E21" t="s">
        <v>86</v>
      </c>
      <c r="F21" t="s">
        <v>20</v>
      </c>
      <c r="G21" t="s">
        <v>21</v>
      </c>
      <c r="H21" t="s">
        <v>30</v>
      </c>
      <c r="I21" t="s">
        <v>23</v>
      </c>
      <c r="J21" t="s">
        <v>35</v>
      </c>
      <c r="K21" s="2" t="s">
        <v>25</v>
      </c>
      <c r="L21" t="s">
        <v>26</v>
      </c>
      <c r="M21">
        <v>350258</v>
      </c>
      <c r="N21">
        <v>1</v>
      </c>
      <c r="O21" s="3">
        <v>49990</v>
      </c>
      <c r="P21" s="3">
        <v>28423</v>
      </c>
      <c r="Q21" s="5">
        <f t="shared" si="0"/>
        <v>42008.403361344543</v>
      </c>
      <c r="R21" s="5">
        <f t="shared" si="1"/>
        <v>28423</v>
      </c>
      <c r="S21" s="5">
        <f t="shared" si="2"/>
        <v>13585.403361344543</v>
      </c>
    </row>
    <row r="22" spans="1:19" hidden="1" x14ac:dyDescent="0.3">
      <c r="A22">
        <v>100</v>
      </c>
      <c r="B22" t="s">
        <v>16</v>
      </c>
      <c r="C22" t="s">
        <v>87</v>
      </c>
      <c r="D22" s="2" t="s">
        <v>88</v>
      </c>
      <c r="E22" t="s">
        <v>89</v>
      </c>
      <c r="F22" t="s">
        <v>20</v>
      </c>
      <c r="G22" t="s">
        <v>21</v>
      </c>
      <c r="H22" t="s">
        <v>90</v>
      </c>
      <c r="I22" t="s">
        <v>23</v>
      </c>
      <c r="J22" t="s">
        <v>35</v>
      </c>
      <c r="K22" s="2" t="s">
        <v>25</v>
      </c>
      <c r="L22" t="s">
        <v>26</v>
      </c>
      <c r="M22">
        <v>350259</v>
      </c>
      <c r="N22">
        <v>1</v>
      </c>
      <c r="O22" s="3">
        <v>59990</v>
      </c>
      <c r="P22" s="3">
        <v>36154</v>
      </c>
      <c r="Q22" s="5">
        <f t="shared" si="0"/>
        <v>50411.764705882357</v>
      </c>
      <c r="R22" s="5">
        <f t="shared" si="1"/>
        <v>36154</v>
      </c>
      <c r="S22" s="5">
        <f t="shared" si="2"/>
        <v>14257.764705882357</v>
      </c>
    </row>
    <row r="23" spans="1:19" hidden="1" x14ac:dyDescent="0.3">
      <c r="A23">
        <v>100</v>
      </c>
      <c r="B23" t="s">
        <v>16</v>
      </c>
      <c r="C23" t="s">
        <v>91</v>
      </c>
      <c r="D23" s="2" t="s">
        <v>92</v>
      </c>
      <c r="E23" t="s">
        <v>93</v>
      </c>
      <c r="F23" t="s">
        <v>20</v>
      </c>
      <c r="G23" t="s">
        <v>21</v>
      </c>
      <c r="H23" t="s">
        <v>94</v>
      </c>
      <c r="I23" t="s">
        <v>23</v>
      </c>
      <c r="J23" t="s">
        <v>95</v>
      </c>
      <c r="K23" s="2" t="s">
        <v>25</v>
      </c>
      <c r="L23" t="s">
        <v>26</v>
      </c>
      <c r="M23">
        <v>350260</v>
      </c>
      <c r="N23">
        <v>1</v>
      </c>
      <c r="O23" s="3">
        <v>51990</v>
      </c>
      <c r="P23" s="3">
        <v>33414</v>
      </c>
      <c r="Q23" s="5">
        <f t="shared" si="0"/>
        <v>43689.075630252104</v>
      </c>
      <c r="R23" s="5">
        <f t="shared" si="1"/>
        <v>33414</v>
      </c>
      <c r="S23" s="5">
        <f t="shared" si="2"/>
        <v>10275.075630252104</v>
      </c>
    </row>
    <row r="24" spans="1:19" hidden="1" x14ac:dyDescent="0.3">
      <c r="A24">
        <v>100</v>
      </c>
      <c r="B24" t="s">
        <v>16</v>
      </c>
      <c r="C24" t="s">
        <v>96</v>
      </c>
      <c r="D24" s="2" t="s">
        <v>97</v>
      </c>
      <c r="E24" t="s">
        <v>98</v>
      </c>
      <c r="F24" t="s">
        <v>20</v>
      </c>
      <c r="G24" t="s">
        <v>21</v>
      </c>
      <c r="H24" t="s">
        <v>99</v>
      </c>
      <c r="I24" t="s">
        <v>23</v>
      </c>
      <c r="J24" t="s">
        <v>40</v>
      </c>
      <c r="K24" s="2" t="s">
        <v>25</v>
      </c>
      <c r="L24" t="s">
        <v>26</v>
      </c>
      <c r="M24">
        <v>350261</v>
      </c>
      <c r="N24">
        <v>1</v>
      </c>
      <c r="O24" s="3">
        <v>39990</v>
      </c>
      <c r="P24" s="3">
        <v>25095</v>
      </c>
      <c r="Q24" s="5">
        <f t="shared" si="0"/>
        <v>33605.042016806721</v>
      </c>
      <c r="R24" s="5">
        <f t="shared" si="1"/>
        <v>25095</v>
      </c>
      <c r="S24" s="5">
        <f t="shared" si="2"/>
        <v>8510.0420168067212</v>
      </c>
    </row>
    <row r="25" spans="1:19" hidden="1" x14ac:dyDescent="0.3">
      <c r="A25">
        <v>100</v>
      </c>
      <c r="B25" t="s">
        <v>16</v>
      </c>
      <c r="C25" t="s">
        <v>100</v>
      </c>
      <c r="D25" s="2" t="s">
        <v>101</v>
      </c>
      <c r="E25" t="s">
        <v>102</v>
      </c>
      <c r="F25" t="s">
        <v>20</v>
      </c>
      <c r="G25" t="s">
        <v>21</v>
      </c>
      <c r="H25" t="s">
        <v>57</v>
      </c>
      <c r="I25" t="s">
        <v>23</v>
      </c>
      <c r="J25" t="s">
        <v>35</v>
      </c>
      <c r="K25" s="2" t="s">
        <v>25</v>
      </c>
      <c r="L25" t="s">
        <v>26</v>
      </c>
      <c r="M25">
        <v>350262</v>
      </c>
      <c r="N25">
        <v>1</v>
      </c>
      <c r="O25" s="3">
        <v>69990</v>
      </c>
      <c r="P25" s="3">
        <v>35351</v>
      </c>
      <c r="Q25" s="5">
        <f t="shared" si="0"/>
        <v>58815.126050420171</v>
      </c>
      <c r="R25" s="5">
        <f t="shared" si="1"/>
        <v>35351</v>
      </c>
      <c r="S25" s="5">
        <f t="shared" si="2"/>
        <v>23464.126050420171</v>
      </c>
    </row>
    <row r="26" spans="1:19" hidden="1" x14ac:dyDescent="0.3">
      <c r="A26">
        <v>100</v>
      </c>
      <c r="B26" t="s">
        <v>16</v>
      </c>
      <c r="C26" t="s">
        <v>103</v>
      </c>
      <c r="D26" s="2" t="s">
        <v>104</v>
      </c>
      <c r="E26" t="s">
        <v>105</v>
      </c>
      <c r="F26" t="s">
        <v>20</v>
      </c>
      <c r="G26" t="s">
        <v>21</v>
      </c>
      <c r="H26" t="s">
        <v>106</v>
      </c>
      <c r="I26" t="s">
        <v>23</v>
      </c>
      <c r="J26" t="s">
        <v>49</v>
      </c>
      <c r="K26" s="2" t="s">
        <v>25</v>
      </c>
      <c r="L26" t="s">
        <v>26</v>
      </c>
      <c r="M26">
        <v>350263</v>
      </c>
      <c r="N26">
        <v>1</v>
      </c>
      <c r="O26" s="3">
        <v>44990</v>
      </c>
      <c r="P26" s="3">
        <v>26342</v>
      </c>
      <c r="Q26" s="5">
        <f t="shared" si="0"/>
        <v>37806.722689075636</v>
      </c>
      <c r="R26" s="5">
        <f t="shared" si="1"/>
        <v>26342</v>
      </c>
      <c r="S26" s="5">
        <f t="shared" si="2"/>
        <v>11464.722689075636</v>
      </c>
    </row>
    <row r="27" spans="1:19" hidden="1" x14ac:dyDescent="0.3">
      <c r="A27">
        <v>100</v>
      </c>
      <c r="B27" t="s">
        <v>16</v>
      </c>
      <c r="C27" t="s">
        <v>107</v>
      </c>
      <c r="D27" s="2" t="s">
        <v>108</v>
      </c>
      <c r="E27" t="s">
        <v>109</v>
      </c>
      <c r="F27" t="s">
        <v>20</v>
      </c>
      <c r="G27" t="s">
        <v>21</v>
      </c>
      <c r="H27" t="s">
        <v>110</v>
      </c>
      <c r="I27" t="s">
        <v>23</v>
      </c>
      <c r="J27" t="s">
        <v>40</v>
      </c>
      <c r="K27" s="2" t="s">
        <v>25</v>
      </c>
      <c r="L27" t="s">
        <v>26</v>
      </c>
      <c r="M27">
        <v>350264</v>
      </c>
      <c r="N27">
        <v>1</v>
      </c>
      <c r="O27" s="3">
        <v>29990</v>
      </c>
      <c r="P27" s="3">
        <v>21284</v>
      </c>
      <c r="Q27" s="5">
        <f t="shared" si="0"/>
        <v>25201.680672268907</v>
      </c>
      <c r="R27" s="5">
        <f t="shared" si="1"/>
        <v>21284</v>
      </c>
      <c r="S27" s="5">
        <f t="shared" si="2"/>
        <v>3917.6806722689071</v>
      </c>
    </row>
    <row r="28" spans="1:19" hidden="1" x14ac:dyDescent="0.3">
      <c r="A28">
        <v>100</v>
      </c>
      <c r="B28" t="s">
        <v>16</v>
      </c>
      <c r="C28" t="s">
        <v>111</v>
      </c>
      <c r="D28" s="2" t="s">
        <v>112</v>
      </c>
      <c r="E28" t="s">
        <v>113</v>
      </c>
      <c r="F28" t="s">
        <v>20</v>
      </c>
      <c r="G28" t="s">
        <v>21</v>
      </c>
      <c r="H28" t="s">
        <v>114</v>
      </c>
      <c r="I28" t="s">
        <v>23</v>
      </c>
      <c r="J28" t="s">
        <v>49</v>
      </c>
      <c r="K28" s="2" t="s">
        <v>25</v>
      </c>
      <c r="L28" t="s">
        <v>26</v>
      </c>
      <c r="M28">
        <v>350265</v>
      </c>
      <c r="N28">
        <v>1</v>
      </c>
      <c r="O28" s="3">
        <v>48990</v>
      </c>
      <c r="P28" s="3">
        <v>19669</v>
      </c>
      <c r="Q28" s="5">
        <f t="shared" si="0"/>
        <v>41168.067226890758</v>
      </c>
      <c r="R28" s="5">
        <f t="shared" si="1"/>
        <v>19669</v>
      </c>
      <c r="S28" s="5">
        <f t="shared" si="2"/>
        <v>21499.067226890758</v>
      </c>
    </row>
    <row r="29" spans="1:19" hidden="1" x14ac:dyDescent="0.3">
      <c r="A29">
        <v>100</v>
      </c>
      <c r="B29" t="s">
        <v>16</v>
      </c>
      <c r="C29" t="s">
        <v>115</v>
      </c>
      <c r="D29" s="2" t="s">
        <v>116</v>
      </c>
      <c r="E29" t="s">
        <v>117</v>
      </c>
      <c r="F29" t="s">
        <v>20</v>
      </c>
      <c r="G29" t="s">
        <v>21</v>
      </c>
      <c r="H29" t="s">
        <v>118</v>
      </c>
      <c r="I29" t="s">
        <v>23</v>
      </c>
      <c r="J29" t="s">
        <v>49</v>
      </c>
      <c r="K29" s="2" t="s">
        <v>25</v>
      </c>
      <c r="L29" t="s">
        <v>26</v>
      </c>
      <c r="M29">
        <v>350266</v>
      </c>
      <c r="N29">
        <v>1</v>
      </c>
      <c r="O29" s="3">
        <v>39990</v>
      </c>
      <c r="P29" s="3">
        <v>26631</v>
      </c>
      <c r="Q29" s="5">
        <f t="shared" si="0"/>
        <v>33605.042016806721</v>
      </c>
      <c r="R29" s="5">
        <f t="shared" si="1"/>
        <v>26631</v>
      </c>
      <c r="S29" s="5">
        <f t="shared" si="2"/>
        <v>6974.0420168067212</v>
      </c>
    </row>
    <row r="30" spans="1:19" hidden="1" x14ac:dyDescent="0.3">
      <c r="A30">
        <v>100</v>
      </c>
      <c r="B30" t="s">
        <v>16</v>
      </c>
      <c r="C30" t="s">
        <v>119</v>
      </c>
      <c r="D30" s="2" t="s">
        <v>120</v>
      </c>
      <c r="E30" t="s">
        <v>121</v>
      </c>
      <c r="F30" t="s">
        <v>20</v>
      </c>
      <c r="G30" t="s">
        <v>21</v>
      </c>
      <c r="H30" t="s">
        <v>122</v>
      </c>
      <c r="I30" t="s">
        <v>23</v>
      </c>
      <c r="J30" t="s">
        <v>35</v>
      </c>
      <c r="K30" s="2" t="s">
        <v>25</v>
      </c>
      <c r="L30" t="s">
        <v>26</v>
      </c>
      <c r="M30">
        <v>350267</v>
      </c>
      <c r="N30">
        <v>1</v>
      </c>
      <c r="O30" s="3">
        <v>49990</v>
      </c>
      <c r="P30" s="3">
        <v>32593</v>
      </c>
      <c r="Q30" s="5">
        <f t="shared" si="0"/>
        <v>42008.403361344543</v>
      </c>
      <c r="R30" s="5">
        <f t="shared" si="1"/>
        <v>32593</v>
      </c>
      <c r="S30" s="5">
        <f t="shared" si="2"/>
        <v>9415.4033613445426</v>
      </c>
    </row>
    <row r="31" spans="1:19" hidden="1" x14ac:dyDescent="0.3">
      <c r="A31">
        <v>100</v>
      </c>
      <c r="B31" t="s">
        <v>16</v>
      </c>
      <c r="C31" t="s">
        <v>123</v>
      </c>
      <c r="D31" s="2" t="s">
        <v>124</v>
      </c>
      <c r="E31" t="s">
        <v>125</v>
      </c>
      <c r="F31" t="s">
        <v>20</v>
      </c>
      <c r="G31" t="s">
        <v>21</v>
      </c>
      <c r="H31" t="s">
        <v>48</v>
      </c>
      <c r="I31" t="s">
        <v>23</v>
      </c>
      <c r="J31" t="s">
        <v>35</v>
      </c>
      <c r="K31" s="2" t="s">
        <v>25</v>
      </c>
      <c r="L31" t="s">
        <v>26</v>
      </c>
      <c r="M31">
        <v>350267</v>
      </c>
      <c r="N31">
        <v>1</v>
      </c>
      <c r="O31" s="3">
        <v>59990</v>
      </c>
      <c r="P31" s="3">
        <v>31343</v>
      </c>
      <c r="Q31" s="5">
        <f t="shared" si="0"/>
        <v>50411.764705882357</v>
      </c>
      <c r="R31" s="5">
        <f t="shared" si="1"/>
        <v>31343</v>
      </c>
      <c r="S31" s="5">
        <f t="shared" si="2"/>
        <v>19068.764705882357</v>
      </c>
    </row>
    <row r="32" spans="1:19" hidden="1" x14ac:dyDescent="0.3">
      <c r="A32">
        <v>100</v>
      </c>
      <c r="B32" t="s">
        <v>16</v>
      </c>
      <c r="C32" t="s">
        <v>126</v>
      </c>
      <c r="D32" s="2" t="s">
        <v>127</v>
      </c>
      <c r="E32" t="s">
        <v>102</v>
      </c>
      <c r="F32" t="s">
        <v>20</v>
      </c>
      <c r="G32" t="s">
        <v>21</v>
      </c>
      <c r="H32" t="s">
        <v>57</v>
      </c>
      <c r="I32" t="s">
        <v>23</v>
      </c>
      <c r="J32" t="s">
        <v>35</v>
      </c>
      <c r="K32" s="2" t="s">
        <v>25</v>
      </c>
      <c r="L32" t="s">
        <v>26</v>
      </c>
      <c r="M32">
        <v>350268</v>
      </c>
      <c r="N32">
        <v>1</v>
      </c>
      <c r="O32" s="3">
        <v>69990</v>
      </c>
      <c r="P32" s="3">
        <v>35351</v>
      </c>
      <c r="Q32" s="5">
        <f t="shared" si="0"/>
        <v>58815.126050420171</v>
      </c>
      <c r="R32" s="5">
        <f t="shared" si="1"/>
        <v>35351</v>
      </c>
      <c r="S32" s="5">
        <f t="shared" si="2"/>
        <v>23464.126050420171</v>
      </c>
    </row>
    <row r="33" spans="1:19" hidden="1" x14ac:dyDescent="0.3">
      <c r="A33">
        <v>100</v>
      </c>
      <c r="B33" t="s">
        <v>16</v>
      </c>
      <c r="C33" t="s">
        <v>128</v>
      </c>
      <c r="D33" s="2" t="s">
        <v>129</v>
      </c>
      <c r="E33" t="s">
        <v>130</v>
      </c>
      <c r="F33" t="s">
        <v>20</v>
      </c>
      <c r="G33" t="s">
        <v>21</v>
      </c>
      <c r="H33" t="s">
        <v>131</v>
      </c>
      <c r="I33" t="s">
        <v>23</v>
      </c>
      <c r="J33" t="s">
        <v>49</v>
      </c>
      <c r="K33" s="2" t="s">
        <v>25</v>
      </c>
      <c r="L33" t="s">
        <v>26</v>
      </c>
      <c r="M33">
        <v>350269</v>
      </c>
      <c r="N33">
        <v>1</v>
      </c>
      <c r="O33" s="3">
        <v>39990</v>
      </c>
      <c r="P33" s="3">
        <v>28069</v>
      </c>
      <c r="Q33" s="5">
        <f t="shared" si="0"/>
        <v>33605.042016806721</v>
      </c>
      <c r="R33" s="5">
        <f t="shared" si="1"/>
        <v>28069</v>
      </c>
      <c r="S33" s="5">
        <f t="shared" si="2"/>
        <v>5536.0420168067212</v>
      </c>
    </row>
    <row r="34" spans="1:19" hidden="1" x14ac:dyDescent="0.3">
      <c r="A34">
        <v>100</v>
      </c>
      <c r="B34" t="s">
        <v>16</v>
      </c>
      <c r="C34" t="s">
        <v>132</v>
      </c>
      <c r="D34" s="2" t="s">
        <v>133</v>
      </c>
      <c r="E34" t="s">
        <v>134</v>
      </c>
      <c r="F34" t="s">
        <v>20</v>
      </c>
      <c r="G34" t="s">
        <v>21</v>
      </c>
      <c r="H34" t="s">
        <v>135</v>
      </c>
      <c r="I34" t="s">
        <v>23</v>
      </c>
      <c r="J34" t="s">
        <v>49</v>
      </c>
      <c r="K34" s="2" t="s">
        <v>25</v>
      </c>
      <c r="L34" t="s">
        <v>26</v>
      </c>
      <c r="M34">
        <v>350269</v>
      </c>
      <c r="N34">
        <v>1</v>
      </c>
      <c r="O34" s="3">
        <v>39990</v>
      </c>
      <c r="P34" s="3">
        <v>25127</v>
      </c>
      <c r="Q34" s="5">
        <f t="shared" si="0"/>
        <v>33605.042016806721</v>
      </c>
      <c r="R34" s="5">
        <f t="shared" si="1"/>
        <v>25127</v>
      </c>
      <c r="S34" s="5">
        <f t="shared" si="2"/>
        <v>8478.0420168067212</v>
      </c>
    </row>
    <row r="35" spans="1:19" hidden="1" x14ac:dyDescent="0.3">
      <c r="A35">
        <v>100</v>
      </c>
      <c r="B35" t="s">
        <v>16</v>
      </c>
      <c r="C35" t="s">
        <v>136</v>
      </c>
      <c r="D35" s="2" t="s">
        <v>137</v>
      </c>
      <c r="E35" t="s">
        <v>138</v>
      </c>
      <c r="F35" t="s">
        <v>20</v>
      </c>
      <c r="G35" t="s">
        <v>21</v>
      </c>
      <c r="H35" t="s">
        <v>48</v>
      </c>
      <c r="I35" t="s">
        <v>23</v>
      </c>
      <c r="J35" t="s">
        <v>49</v>
      </c>
      <c r="K35" s="2" t="s">
        <v>25</v>
      </c>
      <c r="L35" t="s">
        <v>26</v>
      </c>
      <c r="M35">
        <v>350270</v>
      </c>
      <c r="N35">
        <v>1</v>
      </c>
      <c r="O35" s="3">
        <v>39990</v>
      </c>
      <c r="P35" s="3">
        <v>22253</v>
      </c>
      <c r="Q35" s="5">
        <f t="shared" si="0"/>
        <v>33605.042016806721</v>
      </c>
      <c r="R35" s="5">
        <f t="shared" si="1"/>
        <v>22253</v>
      </c>
      <c r="S35" s="5">
        <f t="shared" si="2"/>
        <v>11352.042016806721</v>
      </c>
    </row>
    <row r="36" spans="1:19" hidden="1" x14ac:dyDescent="0.3">
      <c r="A36">
        <v>100</v>
      </c>
      <c r="B36" t="s">
        <v>16</v>
      </c>
      <c r="C36" t="s">
        <v>139</v>
      </c>
      <c r="D36" s="2" t="s">
        <v>140</v>
      </c>
      <c r="E36" t="s">
        <v>141</v>
      </c>
      <c r="F36" t="s">
        <v>20</v>
      </c>
      <c r="G36" t="s">
        <v>21</v>
      </c>
      <c r="H36" t="s">
        <v>142</v>
      </c>
      <c r="I36" t="s">
        <v>23</v>
      </c>
      <c r="J36" t="s">
        <v>35</v>
      </c>
      <c r="K36" s="2" t="s">
        <v>25</v>
      </c>
      <c r="L36" t="s">
        <v>26</v>
      </c>
      <c r="M36">
        <v>350271</v>
      </c>
      <c r="N36">
        <v>1</v>
      </c>
      <c r="O36" s="3">
        <v>49990</v>
      </c>
      <c r="P36" s="3">
        <v>32381</v>
      </c>
      <c r="Q36" s="5">
        <f t="shared" si="0"/>
        <v>42008.403361344543</v>
      </c>
      <c r="R36" s="5">
        <f t="shared" si="1"/>
        <v>32381</v>
      </c>
      <c r="S36" s="5">
        <f t="shared" si="2"/>
        <v>9627.4033613445426</v>
      </c>
    </row>
    <row r="37" spans="1:19" hidden="1" x14ac:dyDescent="0.3">
      <c r="A37">
        <v>100</v>
      </c>
      <c r="B37" t="s">
        <v>16</v>
      </c>
      <c r="C37" t="s">
        <v>143</v>
      </c>
      <c r="D37" s="2" t="s">
        <v>144</v>
      </c>
      <c r="E37" t="s">
        <v>145</v>
      </c>
      <c r="F37" t="s">
        <v>20</v>
      </c>
      <c r="G37" t="s">
        <v>21</v>
      </c>
      <c r="H37" t="s">
        <v>30</v>
      </c>
      <c r="I37" t="s">
        <v>23</v>
      </c>
      <c r="J37" t="s">
        <v>31</v>
      </c>
      <c r="K37" s="2" t="s">
        <v>25</v>
      </c>
      <c r="L37" t="s">
        <v>26</v>
      </c>
      <c r="M37">
        <v>350272</v>
      </c>
      <c r="N37">
        <v>1</v>
      </c>
      <c r="O37" s="3">
        <v>79990</v>
      </c>
      <c r="P37" s="3">
        <v>40035</v>
      </c>
      <c r="Q37" s="5">
        <f t="shared" si="0"/>
        <v>67218.487394957992</v>
      </c>
      <c r="R37" s="5">
        <f t="shared" si="1"/>
        <v>40035</v>
      </c>
      <c r="S37" s="5">
        <f t="shared" si="2"/>
        <v>27183.487394957992</v>
      </c>
    </row>
    <row r="38" spans="1:19" hidden="1" x14ac:dyDescent="0.3">
      <c r="A38">
        <v>100</v>
      </c>
      <c r="B38" t="s">
        <v>16</v>
      </c>
      <c r="C38" t="s">
        <v>146</v>
      </c>
      <c r="D38" s="2" t="s">
        <v>147</v>
      </c>
      <c r="E38" t="s">
        <v>148</v>
      </c>
      <c r="F38" t="s">
        <v>20</v>
      </c>
      <c r="G38" t="s">
        <v>21</v>
      </c>
      <c r="H38" t="s">
        <v>114</v>
      </c>
      <c r="I38" t="s">
        <v>23</v>
      </c>
      <c r="J38" t="s">
        <v>31</v>
      </c>
      <c r="K38" s="2" t="s">
        <v>25</v>
      </c>
      <c r="L38" t="s">
        <v>26</v>
      </c>
      <c r="M38">
        <v>350273</v>
      </c>
      <c r="N38">
        <v>1</v>
      </c>
      <c r="O38" s="3">
        <v>59990</v>
      </c>
      <c r="P38" s="3">
        <v>28912</v>
      </c>
      <c r="Q38" s="5">
        <f t="shared" si="0"/>
        <v>50411.764705882357</v>
      </c>
      <c r="R38" s="5">
        <f t="shared" si="1"/>
        <v>28912</v>
      </c>
      <c r="S38" s="5">
        <f t="shared" si="2"/>
        <v>21499.764705882357</v>
      </c>
    </row>
    <row r="39" spans="1:19" hidden="1" x14ac:dyDescent="0.3">
      <c r="A39">
        <v>100</v>
      </c>
      <c r="B39" t="s">
        <v>16</v>
      </c>
      <c r="C39" t="s">
        <v>149</v>
      </c>
      <c r="D39" s="2" t="s">
        <v>150</v>
      </c>
      <c r="E39" t="s">
        <v>151</v>
      </c>
      <c r="F39" t="s">
        <v>20</v>
      </c>
      <c r="G39" t="s">
        <v>21</v>
      </c>
      <c r="H39" t="s">
        <v>152</v>
      </c>
      <c r="I39" t="s">
        <v>23</v>
      </c>
      <c r="J39" t="s">
        <v>40</v>
      </c>
      <c r="K39" s="2" t="s">
        <v>25</v>
      </c>
      <c r="L39" t="s">
        <v>26</v>
      </c>
      <c r="M39">
        <v>350274</v>
      </c>
      <c r="N39">
        <v>1</v>
      </c>
      <c r="O39" s="3">
        <v>34990</v>
      </c>
      <c r="P39" s="3">
        <v>16861</v>
      </c>
      <c r="Q39" s="5">
        <f t="shared" si="0"/>
        <v>29403.361344537818</v>
      </c>
      <c r="R39" s="5">
        <f t="shared" si="1"/>
        <v>16861</v>
      </c>
      <c r="S39" s="5">
        <f t="shared" si="2"/>
        <v>12542.361344537818</v>
      </c>
    </row>
    <row r="40" spans="1:19" hidden="1" x14ac:dyDescent="0.3">
      <c r="A40">
        <v>100</v>
      </c>
      <c r="B40" t="s">
        <v>16</v>
      </c>
      <c r="C40" t="s">
        <v>153</v>
      </c>
      <c r="D40" s="2" t="s">
        <v>154</v>
      </c>
      <c r="E40" t="s">
        <v>155</v>
      </c>
      <c r="F40" t="s">
        <v>20</v>
      </c>
      <c r="G40" t="s">
        <v>21</v>
      </c>
      <c r="H40" t="s">
        <v>156</v>
      </c>
      <c r="I40" t="s">
        <v>23</v>
      </c>
      <c r="J40" t="s">
        <v>35</v>
      </c>
      <c r="K40" s="2" t="s">
        <v>25</v>
      </c>
      <c r="L40" t="s">
        <v>26</v>
      </c>
      <c r="M40">
        <v>350275</v>
      </c>
      <c r="N40">
        <v>1</v>
      </c>
      <c r="O40" s="3">
        <v>69990</v>
      </c>
      <c r="P40" s="3">
        <v>38154</v>
      </c>
      <c r="Q40" s="5">
        <f t="shared" si="0"/>
        <v>58815.126050420171</v>
      </c>
      <c r="R40" s="5">
        <f t="shared" si="1"/>
        <v>38154</v>
      </c>
      <c r="S40" s="5">
        <f t="shared" si="2"/>
        <v>20661.126050420171</v>
      </c>
    </row>
    <row r="41" spans="1:19" hidden="1" x14ac:dyDescent="0.3">
      <c r="A41">
        <v>100</v>
      </c>
      <c r="B41" t="s">
        <v>16</v>
      </c>
      <c r="C41" t="s">
        <v>157</v>
      </c>
      <c r="D41" s="2" t="s">
        <v>158</v>
      </c>
      <c r="E41" t="s">
        <v>159</v>
      </c>
      <c r="F41" t="s">
        <v>20</v>
      </c>
      <c r="G41" t="s">
        <v>21</v>
      </c>
      <c r="H41" t="s">
        <v>160</v>
      </c>
      <c r="I41" t="s">
        <v>23</v>
      </c>
      <c r="J41" t="s">
        <v>35</v>
      </c>
      <c r="K41" s="2" t="s">
        <v>25</v>
      </c>
      <c r="L41" t="s">
        <v>26</v>
      </c>
      <c r="M41">
        <v>350276</v>
      </c>
      <c r="N41">
        <v>1</v>
      </c>
      <c r="O41" s="3">
        <v>59990</v>
      </c>
      <c r="P41" s="3">
        <v>32361</v>
      </c>
      <c r="Q41" s="5">
        <f t="shared" si="0"/>
        <v>50411.764705882357</v>
      </c>
      <c r="R41" s="5">
        <f t="shared" si="1"/>
        <v>32361</v>
      </c>
      <c r="S41" s="5">
        <f t="shared" si="2"/>
        <v>18050.764705882357</v>
      </c>
    </row>
    <row r="42" spans="1:19" hidden="1" x14ac:dyDescent="0.3">
      <c r="A42">
        <v>100</v>
      </c>
      <c r="B42" t="s">
        <v>16</v>
      </c>
      <c r="C42" t="s">
        <v>161</v>
      </c>
      <c r="D42" s="2" t="s">
        <v>162</v>
      </c>
      <c r="E42" t="s">
        <v>163</v>
      </c>
      <c r="F42" t="s">
        <v>20</v>
      </c>
      <c r="G42" t="s">
        <v>21</v>
      </c>
      <c r="H42" t="s">
        <v>156</v>
      </c>
      <c r="I42" t="s">
        <v>23</v>
      </c>
      <c r="J42" t="s">
        <v>35</v>
      </c>
      <c r="K42" s="2" t="s">
        <v>25</v>
      </c>
      <c r="L42" t="s">
        <v>26</v>
      </c>
      <c r="M42">
        <v>350277</v>
      </c>
      <c r="N42">
        <v>1</v>
      </c>
      <c r="O42" s="3">
        <v>69990</v>
      </c>
      <c r="P42" s="3">
        <v>38314</v>
      </c>
      <c r="Q42" s="5">
        <f t="shared" si="0"/>
        <v>58815.126050420171</v>
      </c>
      <c r="R42" s="5">
        <f t="shared" si="1"/>
        <v>38314</v>
      </c>
      <c r="S42" s="5">
        <f t="shared" si="2"/>
        <v>20501.126050420171</v>
      </c>
    </row>
    <row r="43" spans="1:19" hidden="1" x14ac:dyDescent="0.3">
      <c r="A43">
        <v>100</v>
      </c>
      <c r="B43" t="s">
        <v>16</v>
      </c>
      <c r="C43" t="s">
        <v>164</v>
      </c>
      <c r="D43" s="2" t="s">
        <v>165</v>
      </c>
      <c r="E43" t="s">
        <v>166</v>
      </c>
      <c r="F43" t="s">
        <v>20</v>
      </c>
      <c r="G43" t="s">
        <v>21</v>
      </c>
      <c r="H43" t="s">
        <v>167</v>
      </c>
      <c r="I43" t="s">
        <v>23</v>
      </c>
      <c r="J43" t="s">
        <v>35</v>
      </c>
      <c r="K43" s="2" t="s">
        <v>25</v>
      </c>
      <c r="L43" t="s">
        <v>26</v>
      </c>
      <c r="M43">
        <v>350278</v>
      </c>
      <c r="N43">
        <v>1</v>
      </c>
      <c r="O43" s="3">
        <v>49990</v>
      </c>
      <c r="P43" s="3">
        <v>36218</v>
      </c>
      <c r="Q43" s="5">
        <f t="shared" si="0"/>
        <v>42008.403361344543</v>
      </c>
      <c r="R43" s="5">
        <f t="shared" si="1"/>
        <v>36218</v>
      </c>
      <c r="S43" s="5">
        <f t="shared" si="2"/>
        <v>5790.4033613445426</v>
      </c>
    </row>
    <row r="44" spans="1:19" hidden="1" x14ac:dyDescent="0.3">
      <c r="A44">
        <v>100</v>
      </c>
      <c r="B44" t="s">
        <v>16</v>
      </c>
      <c r="C44" t="s">
        <v>168</v>
      </c>
      <c r="D44" s="2" t="s">
        <v>169</v>
      </c>
      <c r="E44" t="s">
        <v>170</v>
      </c>
      <c r="F44" t="s">
        <v>20</v>
      </c>
      <c r="G44" t="s">
        <v>21</v>
      </c>
      <c r="H44" t="s">
        <v>171</v>
      </c>
      <c r="I44" t="s">
        <v>23</v>
      </c>
      <c r="J44" t="s">
        <v>40</v>
      </c>
      <c r="K44" s="2" t="s">
        <v>25</v>
      </c>
      <c r="L44" t="s">
        <v>26</v>
      </c>
      <c r="M44">
        <v>350279</v>
      </c>
      <c r="N44">
        <v>1</v>
      </c>
      <c r="O44" s="3">
        <v>39990</v>
      </c>
      <c r="P44" s="3">
        <v>22881</v>
      </c>
      <c r="Q44" s="5">
        <f t="shared" si="0"/>
        <v>33605.042016806721</v>
      </c>
      <c r="R44" s="5">
        <f t="shared" si="1"/>
        <v>22881</v>
      </c>
      <c r="S44" s="5">
        <f t="shared" si="2"/>
        <v>10724.042016806721</v>
      </c>
    </row>
    <row r="45" spans="1:19" hidden="1" x14ac:dyDescent="0.3">
      <c r="A45">
        <v>100</v>
      </c>
      <c r="B45" t="s">
        <v>16</v>
      </c>
      <c r="C45" t="s">
        <v>172</v>
      </c>
      <c r="D45" s="2" t="s">
        <v>173</v>
      </c>
      <c r="E45" t="s">
        <v>163</v>
      </c>
      <c r="F45" t="s">
        <v>20</v>
      </c>
      <c r="G45" t="s">
        <v>21</v>
      </c>
      <c r="H45" t="s">
        <v>156</v>
      </c>
      <c r="I45" t="s">
        <v>23</v>
      </c>
      <c r="J45" t="s">
        <v>35</v>
      </c>
      <c r="K45" s="2" t="s">
        <v>25</v>
      </c>
      <c r="L45" t="s">
        <v>26</v>
      </c>
      <c r="M45">
        <v>350280</v>
      </c>
      <c r="N45">
        <v>1</v>
      </c>
      <c r="O45" s="3">
        <v>69990</v>
      </c>
      <c r="P45" s="3">
        <v>38240</v>
      </c>
      <c r="Q45" s="5">
        <f t="shared" si="0"/>
        <v>58815.126050420171</v>
      </c>
      <c r="R45" s="5">
        <f t="shared" si="1"/>
        <v>38240</v>
      </c>
      <c r="S45" s="5">
        <f t="shared" si="2"/>
        <v>20575.126050420171</v>
      </c>
    </row>
    <row r="46" spans="1:19" hidden="1" x14ac:dyDescent="0.3">
      <c r="A46">
        <v>100</v>
      </c>
      <c r="B46" t="s">
        <v>16</v>
      </c>
      <c r="C46" t="s">
        <v>174</v>
      </c>
      <c r="D46" s="2" t="s">
        <v>175</v>
      </c>
      <c r="E46" t="s">
        <v>176</v>
      </c>
      <c r="F46" t="s">
        <v>20</v>
      </c>
      <c r="G46" t="s">
        <v>21</v>
      </c>
      <c r="H46" t="s">
        <v>61</v>
      </c>
      <c r="I46" t="s">
        <v>23</v>
      </c>
      <c r="J46" t="s">
        <v>40</v>
      </c>
      <c r="K46" s="2" t="s">
        <v>25</v>
      </c>
      <c r="L46" t="s">
        <v>26</v>
      </c>
      <c r="M46">
        <v>350281</v>
      </c>
      <c r="N46">
        <v>1</v>
      </c>
      <c r="O46" s="3">
        <v>39990</v>
      </c>
      <c r="P46" s="3">
        <v>23618</v>
      </c>
      <c r="Q46" s="5">
        <f t="shared" si="0"/>
        <v>33605.042016806721</v>
      </c>
      <c r="R46" s="5">
        <f t="shared" si="1"/>
        <v>23618</v>
      </c>
      <c r="S46" s="5">
        <f t="shared" si="2"/>
        <v>9987.0420168067212</v>
      </c>
    </row>
    <row r="47" spans="1:19" hidden="1" x14ac:dyDescent="0.3">
      <c r="A47">
        <v>100</v>
      </c>
      <c r="B47" t="s">
        <v>16</v>
      </c>
      <c r="C47" t="s">
        <v>177</v>
      </c>
      <c r="D47" s="2" t="s">
        <v>178</v>
      </c>
      <c r="E47" t="s">
        <v>179</v>
      </c>
      <c r="F47" t="s">
        <v>20</v>
      </c>
      <c r="G47" t="s">
        <v>21</v>
      </c>
      <c r="H47" t="s">
        <v>180</v>
      </c>
      <c r="I47" t="s">
        <v>23</v>
      </c>
      <c r="J47" t="s">
        <v>49</v>
      </c>
      <c r="K47" s="2" t="s">
        <v>25</v>
      </c>
      <c r="L47" t="s">
        <v>26</v>
      </c>
      <c r="M47">
        <v>350282</v>
      </c>
      <c r="N47">
        <v>1</v>
      </c>
      <c r="O47" s="3">
        <v>34990</v>
      </c>
      <c r="P47" s="3">
        <v>23011</v>
      </c>
      <c r="Q47" s="5">
        <f t="shared" si="0"/>
        <v>29403.361344537818</v>
      </c>
      <c r="R47" s="5">
        <f t="shared" si="1"/>
        <v>23011</v>
      </c>
      <c r="S47" s="5">
        <f t="shared" si="2"/>
        <v>6392.3613445378178</v>
      </c>
    </row>
    <row r="48" spans="1:19" hidden="1" x14ac:dyDescent="0.3">
      <c r="A48">
        <v>100</v>
      </c>
      <c r="B48" t="s">
        <v>16</v>
      </c>
      <c r="C48" t="s">
        <v>181</v>
      </c>
      <c r="D48" s="2" t="s">
        <v>182</v>
      </c>
      <c r="E48" t="s">
        <v>183</v>
      </c>
      <c r="F48" t="s">
        <v>20</v>
      </c>
      <c r="G48" t="s">
        <v>21</v>
      </c>
      <c r="H48" t="s">
        <v>61</v>
      </c>
      <c r="I48" t="s">
        <v>23</v>
      </c>
      <c r="J48" t="s">
        <v>40</v>
      </c>
      <c r="K48" s="2" t="s">
        <v>25</v>
      </c>
      <c r="L48" t="s">
        <v>26</v>
      </c>
      <c r="M48">
        <v>350283</v>
      </c>
      <c r="N48">
        <v>1</v>
      </c>
      <c r="O48" s="3">
        <v>39990</v>
      </c>
      <c r="P48" s="3">
        <v>23348</v>
      </c>
      <c r="Q48" s="5">
        <f t="shared" si="0"/>
        <v>33605.042016806721</v>
      </c>
      <c r="R48" s="5">
        <f t="shared" si="1"/>
        <v>23348</v>
      </c>
      <c r="S48" s="5">
        <f t="shared" si="2"/>
        <v>10257.042016806721</v>
      </c>
    </row>
    <row r="49" spans="1:19" hidden="1" x14ac:dyDescent="0.3">
      <c r="A49">
        <v>100</v>
      </c>
      <c r="B49" t="s">
        <v>16</v>
      </c>
      <c r="C49" t="s">
        <v>184</v>
      </c>
      <c r="D49" s="2" t="s">
        <v>185</v>
      </c>
      <c r="E49" t="s">
        <v>186</v>
      </c>
      <c r="F49" t="s">
        <v>20</v>
      </c>
      <c r="G49" t="s">
        <v>21</v>
      </c>
      <c r="H49" t="s">
        <v>57</v>
      </c>
      <c r="I49" t="s">
        <v>23</v>
      </c>
      <c r="J49" t="s">
        <v>35</v>
      </c>
      <c r="K49" s="2" t="s">
        <v>25</v>
      </c>
      <c r="L49" t="s">
        <v>26</v>
      </c>
      <c r="M49">
        <v>350284</v>
      </c>
      <c r="N49">
        <v>1</v>
      </c>
      <c r="O49" s="3">
        <v>49990</v>
      </c>
      <c r="P49" s="3">
        <v>30867</v>
      </c>
      <c r="Q49" s="5">
        <f t="shared" si="0"/>
        <v>42008.403361344543</v>
      </c>
      <c r="R49" s="5">
        <f t="shared" si="1"/>
        <v>30867</v>
      </c>
      <c r="S49" s="5">
        <f t="shared" si="2"/>
        <v>11141.403361344543</v>
      </c>
    </row>
    <row r="50" spans="1:19" hidden="1" x14ac:dyDescent="0.3">
      <c r="A50">
        <v>100</v>
      </c>
      <c r="B50" t="s">
        <v>16</v>
      </c>
      <c r="C50" t="s">
        <v>187</v>
      </c>
      <c r="D50" s="2" t="s">
        <v>188</v>
      </c>
      <c r="E50" t="s">
        <v>189</v>
      </c>
      <c r="F50" t="s">
        <v>20</v>
      </c>
      <c r="G50" t="s">
        <v>21</v>
      </c>
      <c r="H50" t="s">
        <v>131</v>
      </c>
      <c r="I50" t="s">
        <v>23</v>
      </c>
      <c r="J50" t="s">
        <v>49</v>
      </c>
      <c r="K50" s="2" t="s">
        <v>25</v>
      </c>
      <c r="L50" t="s">
        <v>26</v>
      </c>
      <c r="M50">
        <v>350285</v>
      </c>
      <c r="N50">
        <v>1</v>
      </c>
      <c r="O50" s="3">
        <v>39990</v>
      </c>
      <c r="P50" s="3">
        <v>27137</v>
      </c>
      <c r="Q50" s="5">
        <f t="shared" si="0"/>
        <v>33605.042016806721</v>
      </c>
      <c r="R50" s="5">
        <f t="shared" si="1"/>
        <v>27137</v>
      </c>
      <c r="S50" s="5">
        <f t="shared" si="2"/>
        <v>6468.0420168067212</v>
      </c>
    </row>
    <row r="51" spans="1:19" hidden="1" x14ac:dyDescent="0.3">
      <c r="A51">
        <v>100</v>
      </c>
      <c r="B51" t="s">
        <v>16</v>
      </c>
      <c r="C51" t="s">
        <v>190</v>
      </c>
      <c r="D51" s="2" t="s">
        <v>191</v>
      </c>
      <c r="E51" t="s">
        <v>192</v>
      </c>
      <c r="F51" t="s">
        <v>20</v>
      </c>
      <c r="G51" t="s">
        <v>21</v>
      </c>
      <c r="H51" t="s">
        <v>48</v>
      </c>
      <c r="I51" t="s">
        <v>23</v>
      </c>
      <c r="J51" t="s">
        <v>35</v>
      </c>
      <c r="K51" s="2" t="s">
        <v>25</v>
      </c>
      <c r="L51" t="s">
        <v>26</v>
      </c>
      <c r="M51">
        <v>350286</v>
      </c>
      <c r="N51">
        <v>1</v>
      </c>
      <c r="O51" s="3">
        <v>49990</v>
      </c>
      <c r="P51" s="3">
        <v>28909</v>
      </c>
      <c r="Q51" s="5">
        <f t="shared" si="0"/>
        <v>42008.403361344543</v>
      </c>
      <c r="R51" s="5">
        <f t="shared" si="1"/>
        <v>28909</v>
      </c>
      <c r="S51" s="5">
        <f t="shared" si="2"/>
        <v>13099.403361344543</v>
      </c>
    </row>
    <row r="52" spans="1:19" hidden="1" x14ac:dyDescent="0.3">
      <c r="A52">
        <v>100</v>
      </c>
      <c r="B52" t="s">
        <v>16</v>
      </c>
      <c r="C52" t="s">
        <v>193</v>
      </c>
      <c r="D52" s="2" t="s">
        <v>194</v>
      </c>
      <c r="E52" t="s">
        <v>195</v>
      </c>
      <c r="F52" t="s">
        <v>20</v>
      </c>
      <c r="G52" t="s">
        <v>21</v>
      </c>
      <c r="H52" t="s">
        <v>22</v>
      </c>
      <c r="I52" t="s">
        <v>23</v>
      </c>
      <c r="J52" t="s">
        <v>35</v>
      </c>
      <c r="K52" s="2" t="s">
        <v>25</v>
      </c>
      <c r="L52" t="s">
        <v>26</v>
      </c>
      <c r="M52">
        <v>350286</v>
      </c>
      <c r="N52">
        <v>1</v>
      </c>
      <c r="O52" s="3">
        <v>69990</v>
      </c>
      <c r="P52" s="3">
        <v>35523</v>
      </c>
      <c r="Q52" s="5">
        <f t="shared" si="0"/>
        <v>58815.126050420171</v>
      </c>
      <c r="R52" s="5">
        <f t="shared" si="1"/>
        <v>35523</v>
      </c>
      <c r="S52" s="5">
        <f t="shared" si="2"/>
        <v>23292.126050420171</v>
      </c>
    </row>
    <row r="53" spans="1:19" hidden="1" x14ac:dyDescent="0.3">
      <c r="A53">
        <v>100</v>
      </c>
      <c r="B53" t="s">
        <v>16</v>
      </c>
      <c r="C53" t="s">
        <v>196</v>
      </c>
      <c r="D53" s="2" t="s">
        <v>197</v>
      </c>
      <c r="E53" t="s">
        <v>198</v>
      </c>
      <c r="F53" t="s">
        <v>20</v>
      </c>
      <c r="G53" t="s">
        <v>21</v>
      </c>
      <c r="H53" t="s">
        <v>199</v>
      </c>
      <c r="I53" t="s">
        <v>23</v>
      </c>
      <c r="J53" t="s">
        <v>35</v>
      </c>
      <c r="K53" s="2" t="s">
        <v>25</v>
      </c>
      <c r="L53" t="s">
        <v>26</v>
      </c>
      <c r="M53">
        <v>350286</v>
      </c>
      <c r="N53">
        <v>1</v>
      </c>
      <c r="O53" s="3">
        <v>49990</v>
      </c>
      <c r="P53" s="3">
        <v>33796</v>
      </c>
      <c r="Q53" s="5">
        <f t="shared" si="0"/>
        <v>42008.403361344543</v>
      </c>
      <c r="R53" s="5">
        <f t="shared" si="1"/>
        <v>33796</v>
      </c>
      <c r="S53" s="5">
        <f t="shared" si="2"/>
        <v>8212.4033613445426</v>
      </c>
    </row>
    <row r="54" spans="1:19" hidden="1" x14ac:dyDescent="0.3">
      <c r="A54">
        <v>100</v>
      </c>
      <c r="B54" t="s">
        <v>16</v>
      </c>
      <c r="C54">
        <v>1687976791</v>
      </c>
      <c r="D54" s="2" t="s">
        <v>200</v>
      </c>
      <c r="E54" t="s">
        <v>201</v>
      </c>
      <c r="F54" t="s">
        <v>201</v>
      </c>
      <c r="G54" t="s">
        <v>202</v>
      </c>
      <c r="H54" t="s">
        <v>202</v>
      </c>
      <c r="I54" t="s">
        <v>23</v>
      </c>
      <c r="J54" t="s">
        <v>202</v>
      </c>
      <c r="K54" s="2" t="s">
        <v>25</v>
      </c>
      <c r="L54" t="s">
        <v>26</v>
      </c>
      <c r="M54">
        <v>350287</v>
      </c>
      <c r="N54">
        <v>1</v>
      </c>
      <c r="O54" s="3">
        <v>3200</v>
      </c>
      <c r="P54">
        <v>1</v>
      </c>
      <c r="Q54" s="5">
        <f t="shared" si="0"/>
        <v>2689.0756302521008</v>
      </c>
      <c r="R54" s="5">
        <f t="shared" si="1"/>
        <v>1</v>
      </c>
      <c r="S54" s="5">
        <f t="shared" si="2"/>
        <v>2688.0756302521008</v>
      </c>
    </row>
    <row r="55" spans="1:19" hidden="1" x14ac:dyDescent="0.3">
      <c r="A55">
        <v>100</v>
      </c>
      <c r="B55" t="s">
        <v>16</v>
      </c>
      <c r="C55" t="s">
        <v>203</v>
      </c>
      <c r="D55" s="2" t="s">
        <v>204</v>
      </c>
      <c r="E55" t="s">
        <v>205</v>
      </c>
      <c r="F55" t="s">
        <v>20</v>
      </c>
      <c r="G55" t="s">
        <v>21</v>
      </c>
      <c r="H55" t="s">
        <v>206</v>
      </c>
      <c r="I55" t="s">
        <v>23</v>
      </c>
      <c r="J55" t="s">
        <v>207</v>
      </c>
      <c r="K55" s="2" t="s">
        <v>25</v>
      </c>
      <c r="L55" t="s">
        <v>26</v>
      </c>
      <c r="M55">
        <v>350287</v>
      </c>
      <c r="N55">
        <v>1</v>
      </c>
      <c r="O55" s="3">
        <v>49990</v>
      </c>
      <c r="P55" s="3">
        <v>30525</v>
      </c>
      <c r="Q55" s="5">
        <f t="shared" si="0"/>
        <v>42008.403361344543</v>
      </c>
      <c r="R55" s="5">
        <f t="shared" si="1"/>
        <v>30525</v>
      </c>
      <c r="S55" s="5">
        <f t="shared" si="2"/>
        <v>11483.403361344543</v>
      </c>
    </row>
    <row r="56" spans="1:19" hidden="1" x14ac:dyDescent="0.3">
      <c r="A56">
        <v>100</v>
      </c>
      <c r="B56" t="s">
        <v>16</v>
      </c>
      <c r="C56" t="s">
        <v>208</v>
      </c>
      <c r="D56" s="2" t="s">
        <v>209</v>
      </c>
      <c r="E56" t="s">
        <v>210</v>
      </c>
      <c r="F56" t="s">
        <v>20</v>
      </c>
      <c r="G56" t="s">
        <v>21</v>
      </c>
      <c r="H56" t="s">
        <v>211</v>
      </c>
      <c r="I56" t="s">
        <v>23</v>
      </c>
      <c r="J56" t="s">
        <v>40</v>
      </c>
      <c r="K56" s="2" t="s">
        <v>25</v>
      </c>
      <c r="L56" t="s">
        <v>26</v>
      </c>
      <c r="M56">
        <v>350288</v>
      </c>
      <c r="N56">
        <v>1</v>
      </c>
      <c r="O56" s="3">
        <v>29990</v>
      </c>
      <c r="P56" s="3">
        <v>20523</v>
      </c>
      <c r="Q56" s="5">
        <f t="shared" si="0"/>
        <v>25201.680672268907</v>
      </c>
      <c r="R56" s="5">
        <f t="shared" si="1"/>
        <v>20523</v>
      </c>
      <c r="S56" s="5">
        <f t="shared" si="2"/>
        <v>4678.6806722689071</v>
      </c>
    </row>
    <row r="57" spans="1:19" hidden="1" x14ac:dyDescent="0.3">
      <c r="A57">
        <v>100</v>
      </c>
      <c r="B57" t="s">
        <v>16</v>
      </c>
      <c r="C57">
        <v>1687976791</v>
      </c>
      <c r="D57" s="2" t="s">
        <v>200</v>
      </c>
      <c r="E57" t="s">
        <v>201</v>
      </c>
      <c r="F57" t="s">
        <v>201</v>
      </c>
      <c r="G57" t="s">
        <v>202</v>
      </c>
      <c r="H57" t="s">
        <v>202</v>
      </c>
      <c r="I57" t="s">
        <v>23</v>
      </c>
      <c r="J57" t="s">
        <v>202</v>
      </c>
      <c r="K57" s="2" t="s">
        <v>25</v>
      </c>
      <c r="L57" t="s">
        <v>26</v>
      </c>
      <c r="M57">
        <v>350288</v>
      </c>
      <c r="N57">
        <v>1</v>
      </c>
      <c r="O57" s="3">
        <v>6390</v>
      </c>
      <c r="P57">
        <v>1</v>
      </c>
      <c r="Q57" s="5">
        <f t="shared" si="0"/>
        <v>5369.7478991596645</v>
      </c>
      <c r="R57" s="5">
        <f t="shared" si="1"/>
        <v>1</v>
      </c>
      <c r="S57" s="5">
        <f t="shared" si="2"/>
        <v>5368.7478991596645</v>
      </c>
    </row>
    <row r="58" spans="1:19" hidden="1" x14ac:dyDescent="0.3">
      <c r="A58">
        <v>100</v>
      </c>
      <c r="B58" t="s">
        <v>16</v>
      </c>
      <c r="C58" t="s">
        <v>212</v>
      </c>
      <c r="D58" s="2" t="s">
        <v>213</v>
      </c>
      <c r="E58" t="s">
        <v>214</v>
      </c>
      <c r="F58" t="s">
        <v>20</v>
      </c>
      <c r="G58" t="s">
        <v>215</v>
      </c>
      <c r="H58" t="s">
        <v>216</v>
      </c>
      <c r="I58" t="s">
        <v>23</v>
      </c>
      <c r="J58" t="s">
        <v>35</v>
      </c>
      <c r="K58" s="2" t="s">
        <v>25</v>
      </c>
      <c r="L58" t="s">
        <v>26</v>
      </c>
      <c r="M58">
        <v>350289</v>
      </c>
      <c r="N58">
        <v>1</v>
      </c>
      <c r="O58" s="3">
        <v>79990</v>
      </c>
      <c r="P58" s="3">
        <v>47276</v>
      </c>
      <c r="Q58" s="5">
        <f t="shared" si="0"/>
        <v>67218.487394957992</v>
      </c>
      <c r="R58" s="5">
        <f t="shared" si="1"/>
        <v>47276</v>
      </c>
      <c r="S58" s="5">
        <f t="shared" si="2"/>
        <v>19942.487394957992</v>
      </c>
    </row>
    <row r="59" spans="1:19" hidden="1" x14ac:dyDescent="0.3">
      <c r="A59">
        <v>100</v>
      </c>
      <c r="B59" t="s">
        <v>16</v>
      </c>
      <c r="C59">
        <v>1687976791</v>
      </c>
      <c r="D59" s="2" t="s">
        <v>200</v>
      </c>
      <c r="E59" t="s">
        <v>201</v>
      </c>
      <c r="F59" t="s">
        <v>201</v>
      </c>
      <c r="G59" t="s">
        <v>202</v>
      </c>
      <c r="H59" t="s">
        <v>202</v>
      </c>
      <c r="I59" t="s">
        <v>23</v>
      </c>
      <c r="J59" t="s">
        <v>202</v>
      </c>
      <c r="K59" s="2" t="s">
        <v>25</v>
      </c>
      <c r="L59" t="s">
        <v>26</v>
      </c>
      <c r="M59">
        <v>350290</v>
      </c>
      <c r="N59">
        <v>1</v>
      </c>
      <c r="O59" s="3">
        <v>3200</v>
      </c>
      <c r="P59">
        <v>1</v>
      </c>
      <c r="Q59" s="5">
        <f t="shared" si="0"/>
        <v>2689.0756302521008</v>
      </c>
      <c r="R59" s="5">
        <f t="shared" si="1"/>
        <v>1</v>
      </c>
      <c r="S59" s="5">
        <f t="shared" si="2"/>
        <v>2688.0756302521008</v>
      </c>
    </row>
    <row r="60" spans="1:19" hidden="1" x14ac:dyDescent="0.3">
      <c r="A60">
        <v>100</v>
      </c>
      <c r="B60" t="s">
        <v>16</v>
      </c>
      <c r="C60" t="s">
        <v>217</v>
      </c>
      <c r="D60" s="2" t="s">
        <v>218</v>
      </c>
      <c r="E60" t="s">
        <v>219</v>
      </c>
      <c r="F60" t="s">
        <v>20</v>
      </c>
      <c r="G60" t="s">
        <v>215</v>
      </c>
      <c r="H60" t="s">
        <v>216</v>
      </c>
      <c r="I60" t="s">
        <v>23</v>
      </c>
      <c r="J60" t="s">
        <v>220</v>
      </c>
      <c r="K60" s="2" t="s">
        <v>25</v>
      </c>
      <c r="L60" t="s">
        <v>26</v>
      </c>
      <c r="M60">
        <v>350290</v>
      </c>
      <c r="N60">
        <v>1</v>
      </c>
      <c r="O60" s="3">
        <v>69990</v>
      </c>
      <c r="P60" s="3">
        <v>40434</v>
      </c>
      <c r="Q60" s="5">
        <f t="shared" si="0"/>
        <v>58815.126050420171</v>
      </c>
      <c r="R60" s="5">
        <f t="shared" si="1"/>
        <v>40434</v>
      </c>
      <c r="S60" s="5">
        <f t="shared" si="2"/>
        <v>18381.126050420171</v>
      </c>
    </row>
    <row r="61" spans="1:19" hidden="1" x14ac:dyDescent="0.3">
      <c r="A61">
        <v>100</v>
      </c>
      <c r="B61" t="s">
        <v>16</v>
      </c>
      <c r="C61" t="s">
        <v>221</v>
      </c>
      <c r="D61" s="2" t="s">
        <v>222</v>
      </c>
      <c r="E61" t="s">
        <v>223</v>
      </c>
      <c r="F61" t="s">
        <v>20</v>
      </c>
      <c r="G61" t="s">
        <v>21</v>
      </c>
      <c r="H61" t="s">
        <v>224</v>
      </c>
      <c r="I61" t="s">
        <v>23</v>
      </c>
      <c r="J61" t="s">
        <v>49</v>
      </c>
      <c r="K61" s="2" t="s">
        <v>25</v>
      </c>
      <c r="L61" t="s">
        <v>26</v>
      </c>
      <c r="M61">
        <v>350291</v>
      </c>
      <c r="N61">
        <v>1</v>
      </c>
      <c r="O61" s="3">
        <v>44990</v>
      </c>
      <c r="P61" s="3">
        <v>31536</v>
      </c>
      <c r="Q61" s="5">
        <f t="shared" si="0"/>
        <v>37806.722689075636</v>
      </c>
      <c r="R61" s="5">
        <f t="shared" si="1"/>
        <v>31536</v>
      </c>
      <c r="S61" s="5">
        <f t="shared" si="2"/>
        <v>6270.7226890756356</v>
      </c>
    </row>
    <row r="62" spans="1:19" hidden="1" x14ac:dyDescent="0.3">
      <c r="A62">
        <v>100</v>
      </c>
      <c r="B62" t="s">
        <v>16</v>
      </c>
      <c r="C62" t="s">
        <v>225</v>
      </c>
      <c r="D62" s="2" t="s">
        <v>226</v>
      </c>
      <c r="E62" t="s">
        <v>227</v>
      </c>
      <c r="F62" t="s">
        <v>20</v>
      </c>
      <c r="G62" t="s">
        <v>21</v>
      </c>
      <c r="H62" t="s">
        <v>228</v>
      </c>
      <c r="I62" t="s">
        <v>23</v>
      </c>
      <c r="J62" t="s">
        <v>207</v>
      </c>
      <c r="K62" s="2" t="s">
        <v>25</v>
      </c>
      <c r="L62" t="s">
        <v>26</v>
      </c>
      <c r="M62">
        <v>350291</v>
      </c>
      <c r="N62">
        <v>1</v>
      </c>
      <c r="O62" s="3">
        <v>34990</v>
      </c>
      <c r="P62" s="3">
        <v>19235</v>
      </c>
      <c r="Q62" s="5">
        <f t="shared" si="0"/>
        <v>29403.361344537818</v>
      </c>
      <c r="R62" s="5">
        <f t="shared" si="1"/>
        <v>19235</v>
      </c>
      <c r="S62" s="5">
        <f t="shared" si="2"/>
        <v>10168.361344537818</v>
      </c>
    </row>
    <row r="63" spans="1:19" hidden="1" x14ac:dyDescent="0.3">
      <c r="A63">
        <v>100</v>
      </c>
      <c r="B63" t="s">
        <v>16</v>
      </c>
      <c r="C63" t="s">
        <v>229</v>
      </c>
      <c r="D63" s="2" t="s">
        <v>230</v>
      </c>
      <c r="E63" t="s">
        <v>166</v>
      </c>
      <c r="F63" t="s">
        <v>20</v>
      </c>
      <c r="G63" t="s">
        <v>21</v>
      </c>
      <c r="H63" t="s">
        <v>167</v>
      </c>
      <c r="I63" t="s">
        <v>23</v>
      </c>
      <c r="J63" t="s">
        <v>35</v>
      </c>
      <c r="K63" s="2" t="s">
        <v>25</v>
      </c>
      <c r="L63" t="s">
        <v>26</v>
      </c>
      <c r="M63">
        <v>350292</v>
      </c>
      <c r="N63">
        <v>1</v>
      </c>
      <c r="O63" s="3">
        <v>43990</v>
      </c>
      <c r="P63" s="3">
        <v>36238</v>
      </c>
      <c r="Q63" s="5">
        <f t="shared" si="0"/>
        <v>36966.386554621851</v>
      </c>
      <c r="R63" s="5">
        <f t="shared" si="1"/>
        <v>36238</v>
      </c>
      <c r="S63" s="5">
        <f t="shared" si="2"/>
        <v>728.38655462185125</v>
      </c>
    </row>
    <row r="64" spans="1:19" hidden="1" x14ac:dyDescent="0.3">
      <c r="A64">
        <v>100</v>
      </c>
      <c r="B64" t="s">
        <v>16</v>
      </c>
      <c r="C64" t="s">
        <v>231</v>
      </c>
      <c r="D64" s="2" t="s">
        <v>232</v>
      </c>
      <c r="E64" t="s">
        <v>82</v>
      </c>
      <c r="F64" t="s">
        <v>20</v>
      </c>
      <c r="G64" t="s">
        <v>21</v>
      </c>
      <c r="H64" t="s">
        <v>83</v>
      </c>
      <c r="I64" t="s">
        <v>23</v>
      </c>
      <c r="J64" t="s">
        <v>40</v>
      </c>
      <c r="K64" s="2" t="s">
        <v>25</v>
      </c>
      <c r="L64" t="s">
        <v>26</v>
      </c>
      <c r="M64">
        <v>350293</v>
      </c>
      <c r="N64">
        <v>1</v>
      </c>
      <c r="O64" s="3">
        <v>39990</v>
      </c>
      <c r="P64" s="3">
        <v>27224</v>
      </c>
      <c r="Q64" s="5">
        <f t="shared" si="0"/>
        <v>33605.042016806721</v>
      </c>
      <c r="R64" s="5">
        <f t="shared" si="1"/>
        <v>27224</v>
      </c>
      <c r="S64" s="5">
        <f t="shared" si="2"/>
        <v>6381.0420168067212</v>
      </c>
    </row>
    <row r="65" spans="1:19" hidden="1" x14ac:dyDescent="0.3">
      <c r="A65">
        <v>100</v>
      </c>
      <c r="B65" t="s">
        <v>16</v>
      </c>
      <c r="C65" t="s">
        <v>233</v>
      </c>
      <c r="D65" s="2" t="s">
        <v>234</v>
      </c>
      <c r="E65" t="s">
        <v>235</v>
      </c>
      <c r="F65" t="s">
        <v>20</v>
      </c>
      <c r="G65" t="s">
        <v>21</v>
      </c>
      <c r="H65" t="s">
        <v>236</v>
      </c>
      <c r="I65" t="s">
        <v>23</v>
      </c>
      <c r="J65" t="s">
        <v>40</v>
      </c>
      <c r="K65" s="2" t="s">
        <v>25</v>
      </c>
      <c r="L65" t="s">
        <v>26</v>
      </c>
      <c r="M65">
        <v>350294</v>
      </c>
      <c r="N65">
        <v>1</v>
      </c>
      <c r="O65" s="3">
        <v>30990</v>
      </c>
      <c r="P65" s="3">
        <v>27721</v>
      </c>
      <c r="Q65" s="5">
        <f t="shared" si="0"/>
        <v>26042.016806722691</v>
      </c>
      <c r="R65" s="5">
        <f t="shared" si="1"/>
        <v>27721</v>
      </c>
      <c r="S65" s="5">
        <f t="shared" si="2"/>
        <v>-1678.9831932773086</v>
      </c>
    </row>
    <row r="66" spans="1:19" hidden="1" x14ac:dyDescent="0.3">
      <c r="A66">
        <v>100</v>
      </c>
      <c r="B66" t="s">
        <v>16</v>
      </c>
      <c r="C66" t="s">
        <v>237</v>
      </c>
      <c r="D66" s="2" t="s">
        <v>238</v>
      </c>
      <c r="E66" t="s">
        <v>239</v>
      </c>
      <c r="F66" t="s">
        <v>20</v>
      </c>
      <c r="G66" t="s">
        <v>21</v>
      </c>
      <c r="H66" t="s">
        <v>131</v>
      </c>
      <c r="I66" t="s">
        <v>23</v>
      </c>
      <c r="J66" t="s">
        <v>35</v>
      </c>
      <c r="K66" s="2" t="s">
        <v>25</v>
      </c>
      <c r="L66" t="s">
        <v>26</v>
      </c>
      <c r="M66">
        <v>350295</v>
      </c>
      <c r="N66">
        <v>1</v>
      </c>
      <c r="O66" s="3">
        <v>52990</v>
      </c>
      <c r="P66" s="3">
        <v>41706</v>
      </c>
      <c r="Q66" s="5">
        <f t="shared" si="0"/>
        <v>44529.411764705881</v>
      </c>
      <c r="R66" s="5">
        <f t="shared" si="1"/>
        <v>41706</v>
      </c>
      <c r="S66" s="5">
        <f t="shared" si="2"/>
        <v>2823.4117647058811</v>
      </c>
    </row>
    <row r="67" spans="1:19" hidden="1" x14ac:dyDescent="0.3">
      <c r="A67">
        <v>100</v>
      </c>
      <c r="B67" t="s">
        <v>16</v>
      </c>
      <c r="C67" t="s">
        <v>240</v>
      </c>
      <c r="D67" s="2" t="s">
        <v>241</v>
      </c>
      <c r="E67" t="s">
        <v>242</v>
      </c>
      <c r="F67" t="s">
        <v>20</v>
      </c>
      <c r="G67" t="s">
        <v>21</v>
      </c>
      <c r="H67" t="s">
        <v>243</v>
      </c>
      <c r="I67" t="s">
        <v>23</v>
      </c>
      <c r="J67" t="s">
        <v>35</v>
      </c>
      <c r="K67" s="2" t="s">
        <v>25</v>
      </c>
      <c r="L67" t="s">
        <v>26</v>
      </c>
      <c r="M67">
        <v>350296</v>
      </c>
      <c r="N67">
        <v>1</v>
      </c>
      <c r="O67" s="3">
        <v>109950</v>
      </c>
      <c r="P67" s="3">
        <v>62858</v>
      </c>
      <c r="Q67" s="5">
        <f t="shared" si="0"/>
        <v>92394.957983193279</v>
      </c>
      <c r="R67" s="5">
        <f t="shared" si="1"/>
        <v>62858</v>
      </c>
      <c r="S67" s="5">
        <f t="shared" si="2"/>
        <v>29536.957983193279</v>
      </c>
    </row>
    <row r="68" spans="1:19" hidden="1" x14ac:dyDescent="0.3">
      <c r="A68">
        <v>100</v>
      </c>
      <c r="B68" t="s">
        <v>16</v>
      </c>
      <c r="C68" t="s">
        <v>244</v>
      </c>
      <c r="D68" s="2" t="s">
        <v>245</v>
      </c>
      <c r="E68" t="s">
        <v>246</v>
      </c>
      <c r="F68" t="s">
        <v>20</v>
      </c>
      <c r="G68" t="s">
        <v>21</v>
      </c>
      <c r="H68" t="s">
        <v>247</v>
      </c>
      <c r="I68" t="s">
        <v>23</v>
      </c>
      <c r="J68" t="s">
        <v>40</v>
      </c>
      <c r="K68" s="2" t="s">
        <v>25</v>
      </c>
      <c r="L68" t="s">
        <v>26</v>
      </c>
      <c r="M68">
        <v>350297</v>
      </c>
      <c r="N68">
        <v>1</v>
      </c>
      <c r="O68" s="3">
        <v>29990</v>
      </c>
      <c r="P68" s="3">
        <v>22630</v>
      </c>
      <c r="Q68" s="5">
        <f t="shared" si="0"/>
        <v>25201.680672268907</v>
      </c>
      <c r="R68" s="5">
        <f t="shared" si="1"/>
        <v>22630</v>
      </c>
      <c r="S68" s="5">
        <f t="shared" si="2"/>
        <v>2571.6806722689071</v>
      </c>
    </row>
    <row r="69" spans="1:19" hidden="1" x14ac:dyDescent="0.3">
      <c r="A69">
        <v>100</v>
      </c>
      <c r="B69" t="s">
        <v>16</v>
      </c>
      <c r="C69" t="s">
        <v>248</v>
      </c>
      <c r="D69" s="2" t="s">
        <v>249</v>
      </c>
      <c r="E69" t="s">
        <v>250</v>
      </c>
      <c r="F69" t="s">
        <v>20</v>
      </c>
      <c r="G69" t="s">
        <v>21</v>
      </c>
      <c r="H69" t="s">
        <v>251</v>
      </c>
      <c r="I69" t="s">
        <v>23</v>
      </c>
      <c r="J69" t="s">
        <v>49</v>
      </c>
      <c r="K69" s="2" t="s">
        <v>25</v>
      </c>
      <c r="L69" t="s">
        <v>26</v>
      </c>
      <c r="M69">
        <v>350297</v>
      </c>
      <c r="N69">
        <v>1</v>
      </c>
      <c r="O69" s="3">
        <v>34990</v>
      </c>
      <c r="P69" s="3">
        <v>25469</v>
      </c>
      <c r="Q69" s="5">
        <f t="shared" si="0"/>
        <v>29403.361344537818</v>
      </c>
      <c r="R69" s="5">
        <f t="shared" si="1"/>
        <v>25469</v>
      </c>
      <c r="S69" s="5">
        <f t="shared" si="2"/>
        <v>3934.3613445378178</v>
      </c>
    </row>
    <row r="70" spans="1:19" hidden="1" x14ac:dyDescent="0.3">
      <c r="A70">
        <v>100</v>
      </c>
      <c r="B70" t="s">
        <v>16</v>
      </c>
      <c r="C70">
        <v>1687976791</v>
      </c>
      <c r="D70" s="2" t="s">
        <v>200</v>
      </c>
      <c r="E70" t="s">
        <v>201</v>
      </c>
      <c r="F70" t="s">
        <v>201</v>
      </c>
      <c r="G70" t="s">
        <v>202</v>
      </c>
      <c r="H70" t="s">
        <v>202</v>
      </c>
      <c r="I70" t="s">
        <v>23</v>
      </c>
      <c r="J70" t="s">
        <v>202</v>
      </c>
      <c r="K70" s="2" t="s">
        <v>25</v>
      </c>
      <c r="L70" t="s">
        <v>26</v>
      </c>
      <c r="M70">
        <v>350297</v>
      </c>
      <c r="N70">
        <v>1</v>
      </c>
      <c r="O70" s="3">
        <v>3200</v>
      </c>
      <c r="P70">
        <v>1</v>
      </c>
      <c r="Q70" s="5">
        <f t="shared" ref="Q70:Q133" si="3">O70/1.19</f>
        <v>2689.0756302521008</v>
      </c>
      <c r="R70" s="5">
        <f t="shared" ref="R70:R133" si="4">N70*P70</f>
        <v>1</v>
      </c>
      <c r="S70" s="5">
        <f t="shared" ref="S70:S133" si="5">Q70-R70</f>
        <v>2688.0756302521008</v>
      </c>
    </row>
    <row r="71" spans="1:19" hidden="1" x14ac:dyDescent="0.3">
      <c r="A71">
        <v>100</v>
      </c>
      <c r="B71" t="s">
        <v>16</v>
      </c>
      <c r="C71" t="s">
        <v>252</v>
      </c>
      <c r="D71" s="2" t="s">
        <v>253</v>
      </c>
      <c r="E71" t="s">
        <v>254</v>
      </c>
      <c r="F71" t="s">
        <v>20</v>
      </c>
      <c r="G71" t="s">
        <v>21</v>
      </c>
      <c r="H71" t="s">
        <v>255</v>
      </c>
      <c r="I71" t="s">
        <v>23</v>
      </c>
      <c r="J71" t="s">
        <v>35</v>
      </c>
      <c r="K71" s="2" t="s">
        <v>25</v>
      </c>
      <c r="L71" t="s">
        <v>26</v>
      </c>
      <c r="M71">
        <v>350298</v>
      </c>
      <c r="N71">
        <v>1</v>
      </c>
      <c r="O71" s="3">
        <v>69990</v>
      </c>
      <c r="P71" s="3">
        <v>38637</v>
      </c>
      <c r="Q71" s="5">
        <f t="shared" si="3"/>
        <v>58815.126050420171</v>
      </c>
      <c r="R71" s="5">
        <f t="shared" si="4"/>
        <v>38637</v>
      </c>
      <c r="S71" s="5">
        <f t="shared" si="5"/>
        <v>20178.126050420171</v>
      </c>
    </row>
    <row r="72" spans="1:19" hidden="1" x14ac:dyDescent="0.3">
      <c r="A72">
        <v>100</v>
      </c>
      <c r="B72" t="s">
        <v>16</v>
      </c>
      <c r="C72" t="s">
        <v>76</v>
      </c>
      <c r="D72" s="2" t="s">
        <v>77</v>
      </c>
      <c r="E72" t="s">
        <v>78</v>
      </c>
      <c r="F72" t="s">
        <v>20</v>
      </c>
      <c r="G72" t="s">
        <v>21</v>
      </c>
      <c r="H72" t="s">
        <v>79</v>
      </c>
      <c r="I72" t="s">
        <v>23</v>
      </c>
      <c r="J72" t="s">
        <v>49</v>
      </c>
      <c r="K72" s="2" t="s">
        <v>25</v>
      </c>
      <c r="L72" t="s">
        <v>26</v>
      </c>
      <c r="M72">
        <v>350298</v>
      </c>
      <c r="N72">
        <v>1</v>
      </c>
      <c r="O72" s="3">
        <v>39990</v>
      </c>
      <c r="P72" s="3">
        <v>28298</v>
      </c>
      <c r="Q72" s="5">
        <f t="shared" si="3"/>
        <v>33605.042016806721</v>
      </c>
      <c r="R72" s="5">
        <f t="shared" si="4"/>
        <v>28298</v>
      </c>
      <c r="S72" s="5">
        <f t="shared" si="5"/>
        <v>5307.0420168067212</v>
      </c>
    </row>
    <row r="73" spans="1:19" hidden="1" x14ac:dyDescent="0.3">
      <c r="A73">
        <v>100</v>
      </c>
      <c r="B73" t="s">
        <v>16</v>
      </c>
      <c r="C73" t="s">
        <v>256</v>
      </c>
      <c r="D73" s="2" t="s">
        <v>257</v>
      </c>
      <c r="E73" t="s">
        <v>159</v>
      </c>
      <c r="F73" t="s">
        <v>20</v>
      </c>
      <c r="G73" t="s">
        <v>21</v>
      </c>
      <c r="H73" t="s">
        <v>160</v>
      </c>
      <c r="I73" t="s">
        <v>23</v>
      </c>
      <c r="J73" t="s">
        <v>35</v>
      </c>
      <c r="K73" s="2" t="s">
        <v>25</v>
      </c>
      <c r="L73" t="s">
        <v>26</v>
      </c>
      <c r="M73">
        <v>350299</v>
      </c>
      <c r="N73">
        <v>1</v>
      </c>
      <c r="O73" s="3">
        <v>59990</v>
      </c>
      <c r="P73" s="3">
        <v>32560</v>
      </c>
      <c r="Q73" s="5">
        <f t="shared" si="3"/>
        <v>50411.764705882357</v>
      </c>
      <c r="R73" s="5">
        <f t="shared" si="4"/>
        <v>32560</v>
      </c>
      <c r="S73" s="5">
        <f t="shared" si="5"/>
        <v>17851.764705882357</v>
      </c>
    </row>
    <row r="74" spans="1:19" hidden="1" x14ac:dyDescent="0.3">
      <c r="A74">
        <v>100</v>
      </c>
      <c r="B74" t="s">
        <v>16</v>
      </c>
      <c r="C74" t="s">
        <v>258</v>
      </c>
      <c r="D74" s="2" t="s">
        <v>259</v>
      </c>
      <c r="E74" t="s">
        <v>260</v>
      </c>
      <c r="F74" t="s">
        <v>20</v>
      </c>
      <c r="G74" t="s">
        <v>21</v>
      </c>
      <c r="H74" t="s">
        <v>261</v>
      </c>
      <c r="I74" t="s">
        <v>23</v>
      </c>
      <c r="J74" t="s">
        <v>95</v>
      </c>
      <c r="K74" s="2" t="s">
        <v>25</v>
      </c>
      <c r="L74" t="s">
        <v>26</v>
      </c>
      <c r="M74">
        <v>350300</v>
      </c>
      <c r="N74">
        <v>-1</v>
      </c>
      <c r="O74" s="3">
        <v>-34990</v>
      </c>
      <c r="P74" s="3">
        <v>20109</v>
      </c>
      <c r="Q74" s="5">
        <f t="shared" si="3"/>
        <v>-29403.361344537818</v>
      </c>
      <c r="R74" s="5">
        <f t="shared" si="4"/>
        <v>-20109</v>
      </c>
      <c r="S74" s="5">
        <f t="shared" si="5"/>
        <v>-9294.3613445378178</v>
      </c>
    </row>
    <row r="75" spans="1:19" hidden="1" x14ac:dyDescent="0.3">
      <c r="A75">
        <v>100</v>
      </c>
      <c r="B75" t="s">
        <v>16</v>
      </c>
      <c r="C75" t="s">
        <v>262</v>
      </c>
      <c r="D75" s="2" t="s">
        <v>263</v>
      </c>
      <c r="E75" t="s">
        <v>260</v>
      </c>
      <c r="F75" t="s">
        <v>20</v>
      </c>
      <c r="G75" t="s">
        <v>21</v>
      </c>
      <c r="H75" t="s">
        <v>261</v>
      </c>
      <c r="I75" t="s">
        <v>23</v>
      </c>
      <c r="J75" t="s">
        <v>95</v>
      </c>
      <c r="K75" s="2" t="s">
        <v>25</v>
      </c>
      <c r="L75" t="s">
        <v>26</v>
      </c>
      <c r="M75">
        <v>350300</v>
      </c>
      <c r="N75">
        <v>1</v>
      </c>
      <c r="O75" s="3">
        <v>34991</v>
      </c>
      <c r="P75" s="3">
        <v>20109</v>
      </c>
      <c r="Q75" s="5">
        <f t="shared" si="3"/>
        <v>29404.201680672271</v>
      </c>
      <c r="R75" s="5">
        <f t="shared" si="4"/>
        <v>20109</v>
      </c>
      <c r="S75" s="5">
        <f t="shared" si="5"/>
        <v>9295.2016806722713</v>
      </c>
    </row>
    <row r="76" spans="1:19" hidden="1" x14ac:dyDescent="0.3">
      <c r="A76">
        <v>100</v>
      </c>
      <c r="B76" t="s">
        <v>16</v>
      </c>
      <c r="C76" t="s">
        <v>264</v>
      </c>
      <c r="D76" s="2" t="s">
        <v>265</v>
      </c>
      <c r="E76" t="s">
        <v>266</v>
      </c>
      <c r="F76" t="s">
        <v>20</v>
      </c>
      <c r="G76" t="s">
        <v>21</v>
      </c>
      <c r="H76" t="s">
        <v>267</v>
      </c>
      <c r="I76" t="s">
        <v>23</v>
      </c>
      <c r="J76" t="s">
        <v>49</v>
      </c>
      <c r="K76" s="2" t="s">
        <v>268</v>
      </c>
      <c r="L76" t="s">
        <v>26</v>
      </c>
      <c r="M76">
        <v>350301</v>
      </c>
      <c r="N76">
        <v>1</v>
      </c>
      <c r="O76" s="3">
        <v>64950</v>
      </c>
      <c r="P76" s="3">
        <v>24504</v>
      </c>
      <c r="Q76" s="5">
        <f t="shared" si="3"/>
        <v>54579.831932773115</v>
      </c>
      <c r="R76" s="5">
        <f t="shared" si="4"/>
        <v>24504</v>
      </c>
      <c r="S76" s="5">
        <f t="shared" si="5"/>
        <v>30075.831932773115</v>
      </c>
    </row>
    <row r="77" spans="1:19" hidden="1" x14ac:dyDescent="0.3">
      <c r="A77">
        <v>100</v>
      </c>
      <c r="B77" t="s">
        <v>16</v>
      </c>
      <c r="C77" t="s">
        <v>269</v>
      </c>
      <c r="D77" s="2" t="s">
        <v>270</v>
      </c>
      <c r="E77" t="s">
        <v>271</v>
      </c>
      <c r="F77" t="s">
        <v>20</v>
      </c>
      <c r="G77" t="s">
        <v>21</v>
      </c>
      <c r="H77" t="s">
        <v>272</v>
      </c>
      <c r="I77" t="s">
        <v>23</v>
      </c>
      <c r="J77" t="s">
        <v>35</v>
      </c>
      <c r="K77" s="2" t="s">
        <v>268</v>
      </c>
      <c r="L77" t="s">
        <v>26</v>
      </c>
      <c r="M77">
        <v>350302</v>
      </c>
      <c r="N77">
        <v>1</v>
      </c>
      <c r="O77" s="3">
        <v>49990</v>
      </c>
      <c r="P77" s="3">
        <v>28126</v>
      </c>
      <c r="Q77" s="5">
        <f t="shared" si="3"/>
        <v>42008.403361344543</v>
      </c>
      <c r="R77" s="5">
        <f t="shared" si="4"/>
        <v>28126</v>
      </c>
      <c r="S77" s="5">
        <f t="shared" si="5"/>
        <v>13882.403361344543</v>
      </c>
    </row>
    <row r="78" spans="1:19" hidden="1" x14ac:dyDescent="0.3">
      <c r="A78">
        <v>100</v>
      </c>
      <c r="B78" t="s">
        <v>16</v>
      </c>
      <c r="C78" t="s">
        <v>273</v>
      </c>
      <c r="D78" s="2" t="s">
        <v>274</v>
      </c>
      <c r="E78" t="s">
        <v>275</v>
      </c>
      <c r="F78" t="s">
        <v>20</v>
      </c>
      <c r="G78" t="s">
        <v>21</v>
      </c>
      <c r="H78" t="s">
        <v>135</v>
      </c>
      <c r="I78" t="s">
        <v>23</v>
      </c>
      <c r="J78" t="s">
        <v>35</v>
      </c>
      <c r="K78" s="2" t="s">
        <v>268</v>
      </c>
      <c r="L78" t="s">
        <v>26</v>
      </c>
      <c r="M78">
        <v>350303</v>
      </c>
      <c r="N78">
        <v>1</v>
      </c>
      <c r="O78" s="3">
        <v>59990</v>
      </c>
      <c r="P78" s="3">
        <v>38623</v>
      </c>
      <c r="Q78" s="5">
        <f t="shared" si="3"/>
        <v>50411.764705882357</v>
      </c>
      <c r="R78" s="5">
        <f t="shared" si="4"/>
        <v>38623</v>
      </c>
      <c r="S78" s="5">
        <f t="shared" si="5"/>
        <v>11788.764705882357</v>
      </c>
    </row>
    <row r="79" spans="1:19" hidden="1" x14ac:dyDescent="0.3">
      <c r="A79">
        <v>100</v>
      </c>
      <c r="B79" t="s">
        <v>16</v>
      </c>
      <c r="C79" t="s">
        <v>276</v>
      </c>
      <c r="D79" s="2" t="s">
        <v>277</v>
      </c>
      <c r="E79" t="s">
        <v>278</v>
      </c>
      <c r="F79" t="s">
        <v>20</v>
      </c>
      <c r="G79" t="s">
        <v>21</v>
      </c>
      <c r="H79" t="s">
        <v>114</v>
      </c>
      <c r="I79" t="s">
        <v>23</v>
      </c>
      <c r="J79" t="s">
        <v>31</v>
      </c>
      <c r="K79" s="2" t="s">
        <v>268</v>
      </c>
      <c r="L79" t="s">
        <v>26</v>
      </c>
      <c r="M79">
        <v>350304</v>
      </c>
      <c r="N79">
        <v>1</v>
      </c>
      <c r="O79" s="3">
        <v>59990</v>
      </c>
      <c r="P79" s="3">
        <v>34857</v>
      </c>
      <c r="Q79" s="5">
        <f t="shared" si="3"/>
        <v>50411.764705882357</v>
      </c>
      <c r="R79" s="5">
        <f t="shared" si="4"/>
        <v>34857</v>
      </c>
      <c r="S79" s="5">
        <f t="shared" si="5"/>
        <v>15554.764705882357</v>
      </c>
    </row>
    <row r="80" spans="1:19" hidden="1" x14ac:dyDescent="0.3">
      <c r="A80">
        <v>100</v>
      </c>
      <c r="B80" t="s">
        <v>16</v>
      </c>
      <c r="C80" t="s">
        <v>279</v>
      </c>
      <c r="D80" s="2" t="s">
        <v>280</v>
      </c>
      <c r="E80" t="s">
        <v>281</v>
      </c>
      <c r="F80" t="s">
        <v>20</v>
      </c>
      <c r="G80" t="s">
        <v>21</v>
      </c>
      <c r="H80" t="s">
        <v>122</v>
      </c>
      <c r="I80" t="s">
        <v>23</v>
      </c>
      <c r="J80" t="s">
        <v>35</v>
      </c>
      <c r="K80" s="2" t="s">
        <v>268</v>
      </c>
      <c r="L80" t="s">
        <v>26</v>
      </c>
      <c r="M80">
        <v>350305</v>
      </c>
      <c r="N80">
        <v>1</v>
      </c>
      <c r="O80" s="3">
        <v>49990</v>
      </c>
      <c r="P80" s="3">
        <v>31952</v>
      </c>
      <c r="Q80" s="5">
        <f t="shared" si="3"/>
        <v>42008.403361344543</v>
      </c>
      <c r="R80" s="5">
        <f t="shared" si="4"/>
        <v>31952</v>
      </c>
      <c r="S80" s="5">
        <f t="shared" si="5"/>
        <v>10056.403361344543</v>
      </c>
    </row>
    <row r="81" spans="1:19" hidden="1" x14ac:dyDescent="0.3">
      <c r="A81">
        <v>100</v>
      </c>
      <c r="B81" t="s">
        <v>16</v>
      </c>
      <c r="C81" t="s">
        <v>225</v>
      </c>
      <c r="D81" s="2" t="s">
        <v>226</v>
      </c>
      <c r="E81" t="s">
        <v>227</v>
      </c>
      <c r="F81" t="s">
        <v>20</v>
      </c>
      <c r="G81" t="s">
        <v>21</v>
      </c>
      <c r="H81" t="s">
        <v>228</v>
      </c>
      <c r="I81" t="s">
        <v>23</v>
      </c>
      <c r="J81" t="s">
        <v>207</v>
      </c>
      <c r="K81" s="2" t="s">
        <v>268</v>
      </c>
      <c r="L81" t="s">
        <v>26</v>
      </c>
      <c r="M81">
        <v>350306</v>
      </c>
      <c r="N81">
        <v>1</v>
      </c>
      <c r="O81" s="3">
        <v>34990</v>
      </c>
      <c r="P81" s="3">
        <v>19235</v>
      </c>
      <c r="Q81" s="5">
        <f t="shared" si="3"/>
        <v>29403.361344537818</v>
      </c>
      <c r="R81" s="5">
        <f t="shared" si="4"/>
        <v>19235</v>
      </c>
      <c r="S81" s="5">
        <f t="shared" si="5"/>
        <v>10168.361344537818</v>
      </c>
    </row>
    <row r="82" spans="1:19" hidden="1" x14ac:dyDescent="0.3">
      <c r="A82">
        <v>100</v>
      </c>
      <c r="B82" t="s">
        <v>16</v>
      </c>
      <c r="C82" t="s">
        <v>282</v>
      </c>
      <c r="D82" s="2" t="s">
        <v>283</v>
      </c>
      <c r="E82" t="s">
        <v>284</v>
      </c>
      <c r="F82" t="s">
        <v>20</v>
      </c>
      <c r="G82" t="s">
        <v>21</v>
      </c>
      <c r="H82" t="s">
        <v>285</v>
      </c>
      <c r="I82" t="s">
        <v>23</v>
      </c>
      <c r="J82" t="s">
        <v>35</v>
      </c>
      <c r="K82" s="2" t="s">
        <v>268</v>
      </c>
      <c r="L82" t="s">
        <v>26</v>
      </c>
      <c r="M82">
        <v>350307</v>
      </c>
      <c r="N82">
        <v>1</v>
      </c>
      <c r="O82" s="3">
        <v>59990</v>
      </c>
      <c r="P82" s="3">
        <v>30703</v>
      </c>
      <c r="Q82" s="5">
        <f t="shared" si="3"/>
        <v>50411.764705882357</v>
      </c>
      <c r="R82" s="5">
        <f t="shared" si="4"/>
        <v>30703</v>
      </c>
      <c r="S82" s="5">
        <f t="shared" si="5"/>
        <v>19708.764705882357</v>
      </c>
    </row>
    <row r="83" spans="1:19" hidden="1" x14ac:dyDescent="0.3">
      <c r="A83">
        <v>100</v>
      </c>
      <c r="B83" t="s">
        <v>16</v>
      </c>
      <c r="C83" t="s">
        <v>286</v>
      </c>
      <c r="D83" s="2" t="s">
        <v>287</v>
      </c>
      <c r="E83" t="s">
        <v>288</v>
      </c>
      <c r="F83" t="s">
        <v>20</v>
      </c>
      <c r="G83" t="s">
        <v>21</v>
      </c>
      <c r="H83" t="s">
        <v>160</v>
      </c>
      <c r="I83" t="s">
        <v>23</v>
      </c>
      <c r="J83" t="s">
        <v>35</v>
      </c>
      <c r="K83" s="2" t="s">
        <v>268</v>
      </c>
      <c r="L83" t="s">
        <v>26</v>
      </c>
      <c r="M83">
        <v>350308</v>
      </c>
      <c r="N83">
        <v>1</v>
      </c>
      <c r="O83" s="3">
        <v>59990</v>
      </c>
      <c r="P83" s="3">
        <v>32682</v>
      </c>
      <c r="Q83" s="5">
        <f t="shared" si="3"/>
        <v>50411.764705882357</v>
      </c>
      <c r="R83" s="5">
        <f t="shared" si="4"/>
        <v>32682</v>
      </c>
      <c r="S83" s="5">
        <f t="shared" si="5"/>
        <v>17729.764705882357</v>
      </c>
    </row>
    <row r="84" spans="1:19" hidden="1" x14ac:dyDescent="0.3">
      <c r="A84">
        <v>100</v>
      </c>
      <c r="B84" t="s">
        <v>16</v>
      </c>
      <c r="C84" t="s">
        <v>289</v>
      </c>
      <c r="D84" s="2" t="s">
        <v>290</v>
      </c>
      <c r="E84" t="s">
        <v>291</v>
      </c>
      <c r="F84" t="s">
        <v>20</v>
      </c>
      <c r="G84" t="s">
        <v>21</v>
      </c>
      <c r="H84" t="s">
        <v>99</v>
      </c>
      <c r="I84" t="s">
        <v>23</v>
      </c>
      <c r="J84" t="s">
        <v>40</v>
      </c>
      <c r="K84" s="2" t="s">
        <v>268</v>
      </c>
      <c r="L84" t="s">
        <v>26</v>
      </c>
      <c r="M84">
        <v>350309</v>
      </c>
      <c r="N84">
        <v>1</v>
      </c>
      <c r="O84" s="3">
        <v>39990</v>
      </c>
      <c r="P84" s="3">
        <v>31785</v>
      </c>
      <c r="Q84" s="5">
        <f t="shared" si="3"/>
        <v>33605.042016806721</v>
      </c>
      <c r="R84" s="5">
        <f t="shared" si="4"/>
        <v>31785</v>
      </c>
      <c r="S84" s="5">
        <f t="shared" si="5"/>
        <v>1820.0420168067212</v>
      </c>
    </row>
    <row r="85" spans="1:19" hidden="1" x14ac:dyDescent="0.3">
      <c r="A85">
        <v>100</v>
      </c>
      <c r="B85" t="s">
        <v>16</v>
      </c>
      <c r="C85" t="s">
        <v>292</v>
      </c>
      <c r="D85" s="2" t="s">
        <v>293</v>
      </c>
      <c r="E85" t="s">
        <v>294</v>
      </c>
      <c r="F85" t="s">
        <v>20</v>
      </c>
      <c r="G85" t="s">
        <v>21</v>
      </c>
      <c r="H85" t="s">
        <v>295</v>
      </c>
      <c r="I85" t="s">
        <v>23</v>
      </c>
      <c r="J85" t="s">
        <v>40</v>
      </c>
      <c r="K85" s="2" t="s">
        <v>268</v>
      </c>
      <c r="L85" t="s">
        <v>26</v>
      </c>
      <c r="M85">
        <v>350310</v>
      </c>
      <c r="N85">
        <v>1</v>
      </c>
      <c r="O85" s="3">
        <v>79950</v>
      </c>
      <c r="P85" s="3">
        <v>26951</v>
      </c>
      <c r="Q85" s="5">
        <f t="shared" si="3"/>
        <v>67184.873949579836</v>
      </c>
      <c r="R85" s="5">
        <f t="shared" si="4"/>
        <v>26951</v>
      </c>
      <c r="S85" s="5">
        <f t="shared" si="5"/>
        <v>40233.873949579836</v>
      </c>
    </row>
    <row r="86" spans="1:19" hidden="1" x14ac:dyDescent="0.3">
      <c r="A86">
        <v>100</v>
      </c>
      <c r="B86" t="s">
        <v>16</v>
      </c>
      <c r="C86" t="s">
        <v>296</v>
      </c>
      <c r="D86" s="2" t="s">
        <v>297</v>
      </c>
      <c r="E86" t="s">
        <v>291</v>
      </c>
      <c r="F86" t="s">
        <v>20</v>
      </c>
      <c r="G86" t="s">
        <v>21</v>
      </c>
      <c r="H86" t="s">
        <v>99</v>
      </c>
      <c r="I86" t="s">
        <v>23</v>
      </c>
      <c r="J86" t="s">
        <v>40</v>
      </c>
      <c r="K86" s="2" t="s">
        <v>268</v>
      </c>
      <c r="L86" t="s">
        <v>26</v>
      </c>
      <c r="M86">
        <v>350311</v>
      </c>
      <c r="N86">
        <v>1</v>
      </c>
      <c r="O86" s="3">
        <v>39990</v>
      </c>
      <c r="P86" s="3">
        <v>31785</v>
      </c>
      <c r="Q86" s="5">
        <f t="shared" si="3"/>
        <v>33605.042016806721</v>
      </c>
      <c r="R86" s="5">
        <f t="shared" si="4"/>
        <v>31785</v>
      </c>
      <c r="S86" s="5">
        <f t="shared" si="5"/>
        <v>1820.0420168067212</v>
      </c>
    </row>
    <row r="87" spans="1:19" hidden="1" x14ac:dyDescent="0.3">
      <c r="A87">
        <v>100</v>
      </c>
      <c r="B87" t="s">
        <v>16</v>
      </c>
      <c r="C87" t="s">
        <v>298</v>
      </c>
      <c r="D87" s="2" t="s">
        <v>299</v>
      </c>
      <c r="E87" t="s">
        <v>141</v>
      </c>
      <c r="F87" t="s">
        <v>20</v>
      </c>
      <c r="G87" t="s">
        <v>21</v>
      </c>
      <c r="H87" t="s">
        <v>142</v>
      </c>
      <c r="I87" t="s">
        <v>23</v>
      </c>
      <c r="J87" t="s">
        <v>35</v>
      </c>
      <c r="K87" s="2" t="s">
        <v>268</v>
      </c>
      <c r="L87" t="s">
        <v>26</v>
      </c>
      <c r="M87">
        <v>350312</v>
      </c>
      <c r="N87">
        <v>1</v>
      </c>
      <c r="O87" s="3">
        <v>49990</v>
      </c>
      <c r="P87" s="3">
        <v>32376</v>
      </c>
      <c r="Q87" s="5">
        <f t="shared" si="3"/>
        <v>42008.403361344543</v>
      </c>
      <c r="R87" s="5">
        <f t="shared" si="4"/>
        <v>32376</v>
      </c>
      <c r="S87" s="5">
        <f t="shared" si="5"/>
        <v>9632.4033613445426</v>
      </c>
    </row>
    <row r="88" spans="1:19" hidden="1" x14ac:dyDescent="0.3">
      <c r="A88">
        <v>100</v>
      </c>
      <c r="B88" t="s">
        <v>16</v>
      </c>
      <c r="C88" t="s">
        <v>300</v>
      </c>
      <c r="D88" s="2" t="s">
        <v>301</v>
      </c>
      <c r="E88" t="s">
        <v>302</v>
      </c>
      <c r="F88" t="s">
        <v>20</v>
      </c>
      <c r="G88" t="s">
        <v>21</v>
      </c>
      <c r="H88" t="s">
        <v>53</v>
      </c>
      <c r="I88" t="s">
        <v>23</v>
      </c>
      <c r="J88" t="s">
        <v>49</v>
      </c>
      <c r="K88" s="2" t="s">
        <v>268</v>
      </c>
      <c r="L88" t="s">
        <v>26</v>
      </c>
      <c r="M88">
        <v>350313</v>
      </c>
      <c r="N88">
        <v>1</v>
      </c>
      <c r="O88" s="3">
        <v>49990</v>
      </c>
      <c r="P88" s="3">
        <v>21993</v>
      </c>
      <c r="Q88" s="5">
        <f t="shared" si="3"/>
        <v>42008.403361344543</v>
      </c>
      <c r="R88" s="5">
        <f t="shared" si="4"/>
        <v>21993</v>
      </c>
      <c r="S88" s="5">
        <f t="shared" si="5"/>
        <v>20015.403361344543</v>
      </c>
    </row>
    <row r="89" spans="1:19" hidden="1" x14ac:dyDescent="0.3">
      <c r="A89">
        <v>100</v>
      </c>
      <c r="B89" t="s">
        <v>16</v>
      </c>
      <c r="C89" t="s">
        <v>157</v>
      </c>
      <c r="D89" s="2" t="s">
        <v>158</v>
      </c>
      <c r="E89" t="s">
        <v>159</v>
      </c>
      <c r="F89" t="s">
        <v>20</v>
      </c>
      <c r="G89" t="s">
        <v>21</v>
      </c>
      <c r="H89" t="s">
        <v>160</v>
      </c>
      <c r="I89" t="s">
        <v>23</v>
      </c>
      <c r="J89" t="s">
        <v>35</v>
      </c>
      <c r="K89" s="2" t="s">
        <v>268</v>
      </c>
      <c r="L89" t="s">
        <v>26</v>
      </c>
      <c r="M89">
        <v>350314</v>
      </c>
      <c r="N89">
        <v>1</v>
      </c>
      <c r="O89" s="3">
        <v>59990</v>
      </c>
      <c r="P89" s="3">
        <v>32361</v>
      </c>
      <c r="Q89" s="5">
        <f t="shared" si="3"/>
        <v>50411.764705882357</v>
      </c>
      <c r="R89" s="5">
        <f t="shared" si="4"/>
        <v>32361</v>
      </c>
      <c r="S89" s="5">
        <f t="shared" si="5"/>
        <v>18050.764705882357</v>
      </c>
    </row>
    <row r="90" spans="1:19" hidden="1" x14ac:dyDescent="0.3">
      <c r="A90">
        <v>100</v>
      </c>
      <c r="B90" t="s">
        <v>16</v>
      </c>
      <c r="C90" t="s">
        <v>303</v>
      </c>
      <c r="D90" s="2" t="s">
        <v>304</v>
      </c>
      <c r="E90" t="s">
        <v>305</v>
      </c>
      <c r="F90" t="s">
        <v>20</v>
      </c>
      <c r="G90" t="s">
        <v>21</v>
      </c>
      <c r="H90" t="s">
        <v>306</v>
      </c>
      <c r="I90" t="s">
        <v>23</v>
      </c>
      <c r="J90" t="s">
        <v>35</v>
      </c>
      <c r="K90" s="2" t="s">
        <v>268</v>
      </c>
      <c r="L90" t="s">
        <v>26</v>
      </c>
      <c r="M90">
        <v>350315</v>
      </c>
      <c r="N90">
        <v>1</v>
      </c>
      <c r="O90" s="3">
        <v>59990</v>
      </c>
      <c r="P90" s="3">
        <v>33912</v>
      </c>
      <c r="Q90" s="5">
        <f t="shared" si="3"/>
        <v>50411.764705882357</v>
      </c>
      <c r="R90" s="5">
        <f t="shared" si="4"/>
        <v>33912</v>
      </c>
      <c r="S90" s="5">
        <f t="shared" si="5"/>
        <v>16499.764705882357</v>
      </c>
    </row>
    <row r="91" spans="1:19" hidden="1" x14ac:dyDescent="0.3">
      <c r="A91">
        <v>100</v>
      </c>
      <c r="B91" t="s">
        <v>16</v>
      </c>
      <c r="C91" t="s">
        <v>307</v>
      </c>
      <c r="D91" s="2" t="s">
        <v>308</v>
      </c>
      <c r="E91" t="s">
        <v>309</v>
      </c>
      <c r="F91" t="s">
        <v>20</v>
      </c>
      <c r="G91" t="s">
        <v>21</v>
      </c>
      <c r="H91" t="s">
        <v>310</v>
      </c>
      <c r="I91" t="s">
        <v>23</v>
      </c>
      <c r="J91" t="s">
        <v>49</v>
      </c>
      <c r="K91" s="2" t="s">
        <v>268</v>
      </c>
      <c r="L91" t="s">
        <v>26</v>
      </c>
      <c r="M91">
        <v>350316</v>
      </c>
      <c r="N91">
        <v>1</v>
      </c>
      <c r="O91" s="3">
        <v>44990</v>
      </c>
      <c r="P91" s="3">
        <v>29013</v>
      </c>
      <c r="Q91" s="5">
        <f t="shared" si="3"/>
        <v>37806.722689075636</v>
      </c>
      <c r="R91" s="5">
        <f t="shared" si="4"/>
        <v>29013</v>
      </c>
      <c r="S91" s="5">
        <f t="shared" si="5"/>
        <v>8793.7226890756356</v>
      </c>
    </row>
    <row r="92" spans="1:19" hidden="1" x14ac:dyDescent="0.3">
      <c r="A92">
        <v>100</v>
      </c>
      <c r="B92" t="s">
        <v>16</v>
      </c>
      <c r="C92" t="s">
        <v>311</v>
      </c>
      <c r="D92" s="2" t="s">
        <v>312</v>
      </c>
      <c r="E92" t="s">
        <v>313</v>
      </c>
      <c r="F92" t="s">
        <v>20</v>
      </c>
      <c r="G92" t="s">
        <v>21</v>
      </c>
      <c r="H92" t="s">
        <v>83</v>
      </c>
      <c r="I92" t="s">
        <v>23</v>
      </c>
      <c r="J92" t="s">
        <v>40</v>
      </c>
      <c r="K92" s="2" t="s">
        <v>268</v>
      </c>
      <c r="L92" t="s">
        <v>26</v>
      </c>
      <c r="M92">
        <v>350317</v>
      </c>
      <c r="N92">
        <v>1</v>
      </c>
      <c r="O92" s="3">
        <v>39990</v>
      </c>
      <c r="P92" s="3">
        <v>25114</v>
      </c>
      <c r="Q92" s="5">
        <f t="shared" si="3"/>
        <v>33605.042016806721</v>
      </c>
      <c r="R92" s="5">
        <f t="shared" si="4"/>
        <v>25114</v>
      </c>
      <c r="S92" s="5">
        <f t="shared" si="5"/>
        <v>8491.0420168067212</v>
      </c>
    </row>
    <row r="93" spans="1:19" hidden="1" x14ac:dyDescent="0.3">
      <c r="A93">
        <v>100</v>
      </c>
      <c r="B93" t="s">
        <v>16</v>
      </c>
      <c r="C93" t="s">
        <v>314</v>
      </c>
      <c r="D93" s="2" t="s">
        <v>315</v>
      </c>
      <c r="E93" t="s">
        <v>316</v>
      </c>
      <c r="F93" t="s">
        <v>20</v>
      </c>
      <c r="G93" t="s">
        <v>21</v>
      </c>
      <c r="H93" t="s">
        <v>317</v>
      </c>
      <c r="I93" t="s">
        <v>23</v>
      </c>
      <c r="J93" t="s">
        <v>35</v>
      </c>
      <c r="K93" s="2" t="s">
        <v>268</v>
      </c>
      <c r="L93" t="s">
        <v>26</v>
      </c>
      <c r="M93">
        <v>350318</v>
      </c>
      <c r="N93">
        <v>1</v>
      </c>
      <c r="O93" s="3">
        <v>69950</v>
      </c>
      <c r="P93" s="3">
        <v>24517</v>
      </c>
      <c r="Q93" s="5">
        <f t="shared" si="3"/>
        <v>58781.512605042022</v>
      </c>
      <c r="R93" s="5">
        <f t="shared" si="4"/>
        <v>24517</v>
      </c>
      <c r="S93" s="5">
        <f t="shared" si="5"/>
        <v>34264.512605042022</v>
      </c>
    </row>
    <row r="94" spans="1:19" hidden="1" x14ac:dyDescent="0.3">
      <c r="A94">
        <v>100</v>
      </c>
      <c r="B94" t="s">
        <v>16</v>
      </c>
      <c r="C94" t="s">
        <v>318</v>
      </c>
      <c r="D94" s="2" t="s">
        <v>319</v>
      </c>
      <c r="E94" t="s">
        <v>148</v>
      </c>
      <c r="F94" t="s">
        <v>20</v>
      </c>
      <c r="G94" t="s">
        <v>21</v>
      </c>
      <c r="H94" t="s">
        <v>114</v>
      </c>
      <c r="I94" t="s">
        <v>23</v>
      </c>
      <c r="J94" t="s">
        <v>31</v>
      </c>
      <c r="K94" s="2" t="s">
        <v>268</v>
      </c>
      <c r="L94" t="s">
        <v>26</v>
      </c>
      <c r="M94">
        <v>350319</v>
      </c>
      <c r="N94">
        <v>1</v>
      </c>
      <c r="O94" s="3">
        <v>59990</v>
      </c>
      <c r="P94" s="3">
        <v>28912</v>
      </c>
      <c r="Q94" s="5">
        <f t="shared" si="3"/>
        <v>50411.764705882357</v>
      </c>
      <c r="R94" s="5">
        <f t="shared" si="4"/>
        <v>28912</v>
      </c>
      <c r="S94" s="5">
        <f t="shared" si="5"/>
        <v>21499.764705882357</v>
      </c>
    </row>
    <row r="95" spans="1:19" hidden="1" x14ac:dyDescent="0.3">
      <c r="A95">
        <v>100</v>
      </c>
      <c r="B95" t="s">
        <v>16</v>
      </c>
      <c r="C95" t="s">
        <v>320</v>
      </c>
      <c r="D95" s="2" t="s">
        <v>321</v>
      </c>
      <c r="E95" t="s">
        <v>322</v>
      </c>
      <c r="F95" t="s">
        <v>20</v>
      </c>
      <c r="G95" t="s">
        <v>21</v>
      </c>
      <c r="H95" t="s">
        <v>323</v>
      </c>
      <c r="I95" t="s">
        <v>23</v>
      </c>
      <c r="J95" t="s">
        <v>49</v>
      </c>
      <c r="K95" s="2" t="s">
        <v>268</v>
      </c>
      <c r="L95" t="s">
        <v>26</v>
      </c>
      <c r="M95">
        <v>350320</v>
      </c>
      <c r="N95">
        <v>1</v>
      </c>
      <c r="O95" s="3">
        <v>49990</v>
      </c>
      <c r="P95" s="3">
        <v>35112</v>
      </c>
      <c r="Q95" s="5">
        <f t="shared" si="3"/>
        <v>42008.403361344543</v>
      </c>
      <c r="R95" s="5">
        <f t="shared" si="4"/>
        <v>35112</v>
      </c>
      <c r="S95" s="5">
        <f t="shared" si="5"/>
        <v>6896.4033613445426</v>
      </c>
    </row>
    <row r="96" spans="1:19" hidden="1" x14ac:dyDescent="0.3">
      <c r="A96">
        <v>100</v>
      </c>
      <c r="B96" t="s">
        <v>16</v>
      </c>
      <c r="C96" t="s">
        <v>324</v>
      </c>
      <c r="D96" s="2" t="s">
        <v>325</v>
      </c>
      <c r="E96" t="s">
        <v>326</v>
      </c>
      <c r="F96" t="s">
        <v>20</v>
      </c>
      <c r="G96" t="s">
        <v>21</v>
      </c>
      <c r="H96" t="s">
        <v>327</v>
      </c>
      <c r="I96" t="s">
        <v>23</v>
      </c>
      <c r="J96" t="s">
        <v>207</v>
      </c>
      <c r="K96" s="2" t="s">
        <v>268</v>
      </c>
      <c r="L96" t="s">
        <v>26</v>
      </c>
      <c r="M96">
        <v>350321</v>
      </c>
      <c r="N96">
        <v>1</v>
      </c>
      <c r="O96" s="3">
        <v>59990</v>
      </c>
      <c r="P96" s="3">
        <v>25441</v>
      </c>
      <c r="Q96" s="5">
        <f t="shared" si="3"/>
        <v>50411.764705882357</v>
      </c>
      <c r="R96" s="5">
        <f t="shared" si="4"/>
        <v>25441</v>
      </c>
      <c r="S96" s="5">
        <f t="shared" si="5"/>
        <v>24970.764705882357</v>
      </c>
    </row>
    <row r="97" spans="1:19" hidden="1" x14ac:dyDescent="0.3">
      <c r="A97">
        <v>100</v>
      </c>
      <c r="B97" t="s">
        <v>16</v>
      </c>
      <c r="C97" t="s">
        <v>328</v>
      </c>
      <c r="D97" s="2" t="s">
        <v>329</v>
      </c>
      <c r="E97" t="s">
        <v>330</v>
      </c>
      <c r="F97" t="s">
        <v>20</v>
      </c>
      <c r="G97" t="s">
        <v>21</v>
      </c>
      <c r="H97" t="s">
        <v>331</v>
      </c>
      <c r="I97" t="s">
        <v>23</v>
      </c>
      <c r="J97" t="s">
        <v>49</v>
      </c>
      <c r="K97" s="2" t="s">
        <v>268</v>
      </c>
      <c r="L97" t="s">
        <v>26</v>
      </c>
      <c r="M97">
        <v>350322</v>
      </c>
      <c r="N97">
        <v>1</v>
      </c>
      <c r="O97" s="3">
        <v>39990</v>
      </c>
      <c r="P97" s="3">
        <v>25155</v>
      </c>
      <c r="Q97" s="5">
        <f t="shared" si="3"/>
        <v>33605.042016806721</v>
      </c>
      <c r="R97" s="5">
        <f t="shared" si="4"/>
        <v>25155</v>
      </c>
      <c r="S97" s="5">
        <f t="shared" si="5"/>
        <v>8450.0420168067212</v>
      </c>
    </row>
    <row r="98" spans="1:19" hidden="1" x14ac:dyDescent="0.3">
      <c r="A98">
        <v>100</v>
      </c>
      <c r="B98" t="s">
        <v>16</v>
      </c>
      <c r="C98" t="s">
        <v>332</v>
      </c>
      <c r="D98" s="2" t="s">
        <v>333</v>
      </c>
      <c r="E98" t="s">
        <v>334</v>
      </c>
      <c r="F98" t="s">
        <v>20</v>
      </c>
      <c r="G98" t="s">
        <v>21</v>
      </c>
      <c r="H98" t="s">
        <v>199</v>
      </c>
      <c r="I98" t="s">
        <v>23</v>
      </c>
      <c r="J98" t="s">
        <v>35</v>
      </c>
      <c r="K98" s="2" t="s">
        <v>268</v>
      </c>
      <c r="L98" t="s">
        <v>26</v>
      </c>
      <c r="M98">
        <v>350323</v>
      </c>
      <c r="N98">
        <v>1</v>
      </c>
      <c r="O98" s="3">
        <v>64990</v>
      </c>
      <c r="P98" s="3">
        <v>34695</v>
      </c>
      <c r="Q98" s="5">
        <f t="shared" si="3"/>
        <v>54613.445378151264</v>
      </c>
      <c r="R98" s="5">
        <f t="shared" si="4"/>
        <v>34695</v>
      </c>
      <c r="S98" s="5">
        <f t="shared" si="5"/>
        <v>19918.445378151264</v>
      </c>
    </row>
    <row r="99" spans="1:19" hidden="1" x14ac:dyDescent="0.3">
      <c r="A99">
        <v>100</v>
      </c>
      <c r="B99" t="s">
        <v>16</v>
      </c>
      <c r="C99" t="s">
        <v>335</v>
      </c>
      <c r="D99" s="2" t="s">
        <v>336</v>
      </c>
      <c r="E99" t="s">
        <v>337</v>
      </c>
      <c r="F99" t="s">
        <v>20</v>
      </c>
      <c r="G99" t="s">
        <v>338</v>
      </c>
      <c r="H99">
        <v>23746</v>
      </c>
      <c r="I99" t="s">
        <v>23</v>
      </c>
      <c r="J99" t="s">
        <v>40</v>
      </c>
      <c r="K99" s="2" t="s">
        <v>268</v>
      </c>
      <c r="L99" t="s">
        <v>26</v>
      </c>
      <c r="M99">
        <v>350324</v>
      </c>
      <c r="N99">
        <v>1</v>
      </c>
      <c r="O99" s="3">
        <v>79950</v>
      </c>
      <c r="P99" s="3">
        <v>27470</v>
      </c>
      <c r="Q99" s="5">
        <f t="shared" si="3"/>
        <v>67184.873949579836</v>
      </c>
      <c r="R99" s="5">
        <f t="shared" si="4"/>
        <v>27470</v>
      </c>
      <c r="S99" s="5">
        <f t="shared" si="5"/>
        <v>39714.873949579836</v>
      </c>
    </row>
    <row r="100" spans="1:19" hidden="1" x14ac:dyDescent="0.3">
      <c r="A100">
        <v>100</v>
      </c>
      <c r="B100" t="s">
        <v>16</v>
      </c>
      <c r="C100" t="s">
        <v>339</v>
      </c>
      <c r="D100" s="2" t="s">
        <v>340</v>
      </c>
      <c r="E100" t="s">
        <v>341</v>
      </c>
      <c r="F100" t="s">
        <v>20</v>
      </c>
      <c r="G100" t="s">
        <v>21</v>
      </c>
      <c r="H100" t="s">
        <v>342</v>
      </c>
      <c r="I100" t="s">
        <v>23</v>
      </c>
      <c r="J100" t="s">
        <v>35</v>
      </c>
      <c r="K100" s="2" t="s">
        <v>268</v>
      </c>
      <c r="L100" t="s">
        <v>26</v>
      </c>
      <c r="M100">
        <v>350325</v>
      </c>
      <c r="N100">
        <v>1</v>
      </c>
      <c r="O100" s="3">
        <v>49990</v>
      </c>
      <c r="P100" s="3">
        <v>28867</v>
      </c>
      <c r="Q100" s="5">
        <f t="shared" si="3"/>
        <v>42008.403361344543</v>
      </c>
      <c r="R100" s="5">
        <f t="shared" si="4"/>
        <v>28867</v>
      </c>
      <c r="S100" s="5">
        <f t="shared" si="5"/>
        <v>13141.403361344543</v>
      </c>
    </row>
    <row r="101" spans="1:19" hidden="1" x14ac:dyDescent="0.3">
      <c r="A101">
        <v>100</v>
      </c>
      <c r="B101" t="s">
        <v>16</v>
      </c>
      <c r="C101" t="s">
        <v>343</v>
      </c>
      <c r="D101" s="2" t="s">
        <v>344</v>
      </c>
      <c r="E101" t="s">
        <v>345</v>
      </c>
      <c r="F101" t="s">
        <v>20</v>
      </c>
      <c r="G101" t="s">
        <v>21</v>
      </c>
      <c r="H101" t="s">
        <v>346</v>
      </c>
      <c r="I101" t="s">
        <v>23</v>
      </c>
      <c r="J101" t="s">
        <v>49</v>
      </c>
      <c r="K101" s="2" t="s">
        <v>268</v>
      </c>
      <c r="L101" t="s">
        <v>26</v>
      </c>
      <c r="M101">
        <v>350326</v>
      </c>
      <c r="N101">
        <v>1</v>
      </c>
      <c r="O101" s="3">
        <v>49990</v>
      </c>
      <c r="P101" s="3">
        <v>21039</v>
      </c>
      <c r="Q101" s="5">
        <f t="shared" si="3"/>
        <v>42008.403361344543</v>
      </c>
      <c r="R101" s="5">
        <f t="shared" si="4"/>
        <v>21039</v>
      </c>
      <c r="S101" s="5">
        <f t="shared" si="5"/>
        <v>20969.403361344543</v>
      </c>
    </row>
    <row r="102" spans="1:19" hidden="1" x14ac:dyDescent="0.3">
      <c r="A102">
        <v>100</v>
      </c>
      <c r="B102" t="s">
        <v>16</v>
      </c>
      <c r="C102" t="s">
        <v>347</v>
      </c>
      <c r="D102" s="2" t="s">
        <v>348</v>
      </c>
      <c r="E102" t="s">
        <v>349</v>
      </c>
      <c r="F102" t="s">
        <v>20</v>
      </c>
      <c r="G102" t="s">
        <v>21</v>
      </c>
      <c r="H102" t="s">
        <v>261</v>
      </c>
      <c r="I102" t="s">
        <v>23</v>
      </c>
      <c r="J102" t="s">
        <v>95</v>
      </c>
      <c r="K102" s="2" t="s">
        <v>268</v>
      </c>
      <c r="L102" t="s">
        <v>26</v>
      </c>
      <c r="M102">
        <v>350327</v>
      </c>
      <c r="N102">
        <v>1</v>
      </c>
      <c r="O102" s="3">
        <v>34990</v>
      </c>
      <c r="P102" s="3">
        <v>23094</v>
      </c>
      <c r="Q102" s="5">
        <f t="shared" si="3"/>
        <v>29403.361344537818</v>
      </c>
      <c r="R102" s="5">
        <f t="shared" si="4"/>
        <v>23094</v>
      </c>
      <c r="S102" s="5">
        <f t="shared" si="5"/>
        <v>6309.3613445378178</v>
      </c>
    </row>
    <row r="103" spans="1:19" hidden="1" x14ac:dyDescent="0.3">
      <c r="A103">
        <v>100</v>
      </c>
      <c r="B103" t="s">
        <v>16</v>
      </c>
      <c r="C103" t="s">
        <v>350</v>
      </c>
      <c r="D103" s="2" t="s">
        <v>351</v>
      </c>
      <c r="E103" t="s">
        <v>352</v>
      </c>
      <c r="F103" t="s">
        <v>20</v>
      </c>
      <c r="G103" t="s">
        <v>21</v>
      </c>
      <c r="H103" t="s">
        <v>353</v>
      </c>
      <c r="I103" t="s">
        <v>23</v>
      </c>
      <c r="J103" t="s">
        <v>95</v>
      </c>
      <c r="K103" s="2" t="s">
        <v>268</v>
      </c>
      <c r="L103" t="s">
        <v>26</v>
      </c>
      <c r="M103">
        <v>350328</v>
      </c>
      <c r="N103">
        <v>1</v>
      </c>
      <c r="O103" s="3">
        <v>39990</v>
      </c>
      <c r="P103" s="3">
        <v>31000</v>
      </c>
      <c r="Q103" s="5">
        <f t="shared" si="3"/>
        <v>33605.042016806721</v>
      </c>
      <c r="R103" s="5">
        <f t="shared" si="4"/>
        <v>31000</v>
      </c>
      <c r="S103" s="5">
        <f t="shared" si="5"/>
        <v>2605.0420168067212</v>
      </c>
    </row>
    <row r="104" spans="1:19" hidden="1" x14ac:dyDescent="0.3">
      <c r="A104">
        <v>100</v>
      </c>
      <c r="B104" t="s">
        <v>16</v>
      </c>
      <c r="C104" t="s">
        <v>354</v>
      </c>
      <c r="D104" s="2" t="s">
        <v>355</v>
      </c>
      <c r="E104" t="s">
        <v>356</v>
      </c>
      <c r="F104" t="s">
        <v>20</v>
      </c>
      <c r="G104" t="s">
        <v>21</v>
      </c>
      <c r="H104" t="s">
        <v>357</v>
      </c>
      <c r="I104" t="s">
        <v>23</v>
      </c>
      <c r="J104" t="s">
        <v>49</v>
      </c>
      <c r="K104" s="2" t="s">
        <v>268</v>
      </c>
      <c r="L104" t="s">
        <v>26</v>
      </c>
      <c r="M104">
        <v>350329</v>
      </c>
      <c r="N104">
        <v>1</v>
      </c>
      <c r="O104" s="3">
        <v>44990</v>
      </c>
      <c r="P104" s="3">
        <v>27671</v>
      </c>
      <c r="Q104" s="5">
        <f t="shared" si="3"/>
        <v>37806.722689075636</v>
      </c>
      <c r="R104" s="5">
        <f t="shared" si="4"/>
        <v>27671</v>
      </c>
      <c r="S104" s="5">
        <f t="shared" si="5"/>
        <v>10135.722689075636</v>
      </c>
    </row>
    <row r="105" spans="1:19" hidden="1" x14ac:dyDescent="0.3">
      <c r="A105">
        <v>100</v>
      </c>
      <c r="B105" t="s">
        <v>16</v>
      </c>
      <c r="C105" t="s">
        <v>358</v>
      </c>
      <c r="D105" s="2" t="s">
        <v>359</v>
      </c>
      <c r="E105" t="s">
        <v>360</v>
      </c>
      <c r="F105" t="s">
        <v>20</v>
      </c>
      <c r="G105" t="s">
        <v>21</v>
      </c>
      <c r="H105" t="s">
        <v>30</v>
      </c>
      <c r="I105" t="s">
        <v>23</v>
      </c>
      <c r="J105" t="s">
        <v>49</v>
      </c>
      <c r="K105" s="2" t="s">
        <v>268</v>
      </c>
      <c r="L105" t="s">
        <v>26</v>
      </c>
      <c r="M105">
        <v>350330</v>
      </c>
      <c r="N105">
        <v>1</v>
      </c>
      <c r="O105" s="3">
        <v>34990</v>
      </c>
      <c r="P105" s="3">
        <v>17688</v>
      </c>
      <c r="Q105" s="5">
        <f t="shared" si="3"/>
        <v>29403.361344537818</v>
      </c>
      <c r="R105" s="5">
        <f t="shared" si="4"/>
        <v>17688</v>
      </c>
      <c r="S105" s="5">
        <f t="shared" si="5"/>
        <v>11715.361344537818</v>
      </c>
    </row>
    <row r="106" spans="1:19" hidden="1" x14ac:dyDescent="0.3">
      <c r="A106">
        <v>100</v>
      </c>
      <c r="B106" t="s">
        <v>16</v>
      </c>
      <c r="C106">
        <v>1687976791</v>
      </c>
      <c r="D106" s="2" t="s">
        <v>200</v>
      </c>
      <c r="E106" t="s">
        <v>201</v>
      </c>
      <c r="F106" t="s">
        <v>201</v>
      </c>
      <c r="G106" t="s">
        <v>202</v>
      </c>
      <c r="H106" t="s">
        <v>202</v>
      </c>
      <c r="I106" t="s">
        <v>23</v>
      </c>
      <c r="J106" t="s">
        <v>202</v>
      </c>
      <c r="K106" s="2" t="s">
        <v>268</v>
      </c>
      <c r="L106" t="s">
        <v>26</v>
      </c>
      <c r="M106">
        <v>350330</v>
      </c>
      <c r="N106">
        <v>1</v>
      </c>
      <c r="O106" s="3">
        <v>3200</v>
      </c>
      <c r="P106">
        <v>1</v>
      </c>
      <c r="Q106" s="5">
        <f t="shared" si="3"/>
        <v>2689.0756302521008</v>
      </c>
      <c r="R106" s="5">
        <f t="shared" si="4"/>
        <v>1</v>
      </c>
      <c r="S106" s="5">
        <f t="shared" si="5"/>
        <v>2688.0756302521008</v>
      </c>
    </row>
    <row r="107" spans="1:19" hidden="1" x14ac:dyDescent="0.3">
      <c r="A107">
        <v>100</v>
      </c>
      <c r="B107" t="s">
        <v>16</v>
      </c>
      <c r="C107" t="s">
        <v>361</v>
      </c>
      <c r="D107" s="2" t="s">
        <v>362</v>
      </c>
      <c r="E107" t="s">
        <v>363</v>
      </c>
      <c r="F107" t="s">
        <v>20</v>
      </c>
      <c r="G107" t="s">
        <v>21</v>
      </c>
      <c r="H107" t="s">
        <v>364</v>
      </c>
      <c r="I107" t="s">
        <v>23</v>
      </c>
      <c r="J107" t="s">
        <v>35</v>
      </c>
      <c r="K107" s="2" t="s">
        <v>268</v>
      </c>
      <c r="L107" t="s">
        <v>26</v>
      </c>
      <c r="M107">
        <v>350331</v>
      </c>
      <c r="N107">
        <v>1</v>
      </c>
      <c r="O107" s="3">
        <v>54990</v>
      </c>
      <c r="P107" s="3">
        <v>36279</v>
      </c>
      <c r="Q107" s="5">
        <f t="shared" si="3"/>
        <v>46210.08403361345</v>
      </c>
      <c r="R107" s="5">
        <f t="shared" si="4"/>
        <v>36279</v>
      </c>
      <c r="S107" s="5">
        <f t="shared" si="5"/>
        <v>9931.0840336134497</v>
      </c>
    </row>
    <row r="108" spans="1:19" hidden="1" x14ac:dyDescent="0.3">
      <c r="A108">
        <v>100</v>
      </c>
      <c r="B108" t="s">
        <v>16</v>
      </c>
      <c r="C108">
        <v>1687976791</v>
      </c>
      <c r="D108" s="2" t="s">
        <v>200</v>
      </c>
      <c r="E108" t="s">
        <v>201</v>
      </c>
      <c r="F108" t="s">
        <v>201</v>
      </c>
      <c r="G108" t="s">
        <v>202</v>
      </c>
      <c r="H108" t="s">
        <v>202</v>
      </c>
      <c r="I108" t="s">
        <v>23</v>
      </c>
      <c r="J108" t="s">
        <v>202</v>
      </c>
      <c r="K108" s="2" t="s">
        <v>268</v>
      </c>
      <c r="L108" t="s">
        <v>26</v>
      </c>
      <c r="M108">
        <v>350331</v>
      </c>
      <c r="N108">
        <v>1</v>
      </c>
      <c r="O108" s="3">
        <v>3200</v>
      </c>
      <c r="P108">
        <v>1</v>
      </c>
      <c r="Q108" s="5">
        <f t="shared" si="3"/>
        <v>2689.0756302521008</v>
      </c>
      <c r="R108" s="5">
        <f t="shared" si="4"/>
        <v>1</v>
      </c>
      <c r="S108" s="5">
        <f t="shared" si="5"/>
        <v>2688.0756302521008</v>
      </c>
    </row>
    <row r="109" spans="1:19" hidden="1" x14ac:dyDescent="0.3">
      <c r="A109">
        <v>100</v>
      </c>
      <c r="B109" t="s">
        <v>16</v>
      </c>
      <c r="C109" t="s">
        <v>365</v>
      </c>
      <c r="D109" s="2" t="s">
        <v>366</v>
      </c>
      <c r="E109" t="s">
        <v>367</v>
      </c>
      <c r="F109" t="s">
        <v>20</v>
      </c>
      <c r="G109" t="s">
        <v>21</v>
      </c>
      <c r="H109" t="s">
        <v>368</v>
      </c>
      <c r="I109" t="s">
        <v>23</v>
      </c>
      <c r="J109" t="s">
        <v>40</v>
      </c>
      <c r="K109" s="2" t="s">
        <v>268</v>
      </c>
      <c r="L109" t="s">
        <v>26</v>
      </c>
      <c r="M109">
        <v>350332</v>
      </c>
      <c r="N109">
        <v>1</v>
      </c>
      <c r="O109" s="3">
        <v>34990</v>
      </c>
      <c r="P109" s="3">
        <v>21047</v>
      </c>
      <c r="Q109" s="5">
        <f t="shared" si="3"/>
        <v>29403.361344537818</v>
      </c>
      <c r="R109" s="5">
        <f t="shared" si="4"/>
        <v>21047</v>
      </c>
      <c r="S109" s="5">
        <f t="shared" si="5"/>
        <v>8356.3613445378178</v>
      </c>
    </row>
    <row r="110" spans="1:19" hidden="1" x14ac:dyDescent="0.3">
      <c r="A110">
        <v>100</v>
      </c>
      <c r="B110" t="s">
        <v>16</v>
      </c>
      <c r="C110">
        <v>1687976791</v>
      </c>
      <c r="D110" s="2" t="s">
        <v>200</v>
      </c>
      <c r="E110" t="s">
        <v>201</v>
      </c>
      <c r="F110" t="s">
        <v>201</v>
      </c>
      <c r="G110" t="s">
        <v>202</v>
      </c>
      <c r="H110" t="s">
        <v>202</v>
      </c>
      <c r="I110" t="s">
        <v>23</v>
      </c>
      <c r="J110" t="s">
        <v>202</v>
      </c>
      <c r="K110" s="2" t="s">
        <v>268</v>
      </c>
      <c r="L110" t="s">
        <v>26</v>
      </c>
      <c r="M110">
        <v>350332</v>
      </c>
      <c r="N110">
        <v>1</v>
      </c>
      <c r="O110" s="3">
        <v>3200</v>
      </c>
      <c r="P110">
        <v>1</v>
      </c>
      <c r="Q110" s="5">
        <f t="shared" si="3"/>
        <v>2689.0756302521008</v>
      </c>
      <c r="R110" s="5">
        <f t="shared" si="4"/>
        <v>1</v>
      </c>
      <c r="S110" s="5">
        <f t="shared" si="5"/>
        <v>2688.0756302521008</v>
      </c>
    </row>
    <row r="111" spans="1:19" hidden="1" x14ac:dyDescent="0.3">
      <c r="A111">
        <v>100</v>
      </c>
      <c r="B111" t="s">
        <v>16</v>
      </c>
      <c r="C111" t="s">
        <v>369</v>
      </c>
      <c r="D111" s="2" t="s">
        <v>370</v>
      </c>
      <c r="E111" t="s">
        <v>86</v>
      </c>
      <c r="F111" t="s">
        <v>20</v>
      </c>
      <c r="G111" t="s">
        <v>21</v>
      </c>
      <c r="H111" t="s">
        <v>30</v>
      </c>
      <c r="I111" t="s">
        <v>23</v>
      </c>
      <c r="J111" t="s">
        <v>35</v>
      </c>
      <c r="K111" s="2" t="s">
        <v>268</v>
      </c>
      <c r="L111" t="s">
        <v>26</v>
      </c>
      <c r="M111">
        <v>350333</v>
      </c>
      <c r="N111">
        <v>1</v>
      </c>
      <c r="O111" s="3">
        <v>49990</v>
      </c>
      <c r="P111" s="3">
        <v>28254</v>
      </c>
      <c r="Q111" s="5">
        <f t="shared" si="3"/>
        <v>42008.403361344543</v>
      </c>
      <c r="R111" s="5">
        <f t="shared" si="4"/>
        <v>28254</v>
      </c>
      <c r="S111" s="5">
        <f t="shared" si="5"/>
        <v>13754.403361344543</v>
      </c>
    </row>
    <row r="112" spans="1:19" hidden="1" x14ac:dyDescent="0.3">
      <c r="A112">
        <v>100</v>
      </c>
      <c r="B112" t="s">
        <v>16</v>
      </c>
      <c r="C112">
        <v>1687976791</v>
      </c>
      <c r="D112" s="2" t="s">
        <v>200</v>
      </c>
      <c r="E112" t="s">
        <v>201</v>
      </c>
      <c r="F112" t="s">
        <v>201</v>
      </c>
      <c r="G112" t="s">
        <v>202</v>
      </c>
      <c r="H112" t="s">
        <v>202</v>
      </c>
      <c r="I112" t="s">
        <v>23</v>
      </c>
      <c r="J112" t="s">
        <v>202</v>
      </c>
      <c r="K112" s="2" t="s">
        <v>268</v>
      </c>
      <c r="L112" t="s">
        <v>26</v>
      </c>
      <c r="M112">
        <v>350333</v>
      </c>
      <c r="N112">
        <v>1</v>
      </c>
      <c r="O112" s="3">
        <v>3200</v>
      </c>
      <c r="P112">
        <v>1</v>
      </c>
      <c r="Q112" s="5">
        <f t="shared" si="3"/>
        <v>2689.0756302521008</v>
      </c>
      <c r="R112" s="5">
        <f t="shared" si="4"/>
        <v>1</v>
      </c>
      <c r="S112" s="5">
        <f t="shared" si="5"/>
        <v>2688.0756302521008</v>
      </c>
    </row>
    <row r="113" spans="1:19" hidden="1" x14ac:dyDescent="0.3">
      <c r="A113">
        <v>100</v>
      </c>
      <c r="B113" t="s">
        <v>16</v>
      </c>
      <c r="C113" t="s">
        <v>371</v>
      </c>
      <c r="D113" s="2" t="s">
        <v>372</v>
      </c>
      <c r="E113" t="s">
        <v>373</v>
      </c>
      <c r="F113" t="s">
        <v>20</v>
      </c>
      <c r="G113" t="s">
        <v>21</v>
      </c>
      <c r="H113" t="s">
        <v>224</v>
      </c>
      <c r="I113" t="s">
        <v>23</v>
      </c>
      <c r="J113" t="s">
        <v>35</v>
      </c>
      <c r="K113" s="2" t="s">
        <v>268</v>
      </c>
      <c r="L113" t="s">
        <v>26</v>
      </c>
      <c r="M113">
        <v>350334</v>
      </c>
      <c r="N113">
        <v>1</v>
      </c>
      <c r="O113" s="3">
        <v>59990</v>
      </c>
      <c r="P113" s="3">
        <v>32011</v>
      </c>
      <c r="Q113" s="5">
        <f t="shared" si="3"/>
        <v>50411.764705882357</v>
      </c>
      <c r="R113" s="5">
        <f t="shared" si="4"/>
        <v>32011</v>
      </c>
      <c r="S113" s="5">
        <f t="shared" si="5"/>
        <v>18400.764705882357</v>
      </c>
    </row>
    <row r="114" spans="1:19" hidden="1" x14ac:dyDescent="0.3">
      <c r="A114">
        <v>100</v>
      </c>
      <c r="B114" t="s">
        <v>16</v>
      </c>
      <c r="C114">
        <v>1687976791</v>
      </c>
      <c r="D114" s="2" t="s">
        <v>200</v>
      </c>
      <c r="E114" t="s">
        <v>201</v>
      </c>
      <c r="F114" t="s">
        <v>201</v>
      </c>
      <c r="G114" t="s">
        <v>202</v>
      </c>
      <c r="H114" t="s">
        <v>202</v>
      </c>
      <c r="I114" t="s">
        <v>23</v>
      </c>
      <c r="J114" t="s">
        <v>202</v>
      </c>
      <c r="K114" s="2" t="s">
        <v>268</v>
      </c>
      <c r="L114" t="s">
        <v>26</v>
      </c>
      <c r="M114">
        <v>350334</v>
      </c>
      <c r="N114">
        <v>1</v>
      </c>
      <c r="O114" s="3">
        <v>3200</v>
      </c>
      <c r="P114">
        <v>1</v>
      </c>
      <c r="Q114" s="5">
        <f t="shared" si="3"/>
        <v>2689.0756302521008</v>
      </c>
      <c r="R114" s="5">
        <f t="shared" si="4"/>
        <v>1</v>
      </c>
      <c r="S114" s="5">
        <f t="shared" si="5"/>
        <v>2688.0756302521008</v>
      </c>
    </row>
    <row r="115" spans="1:19" hidden="1" x14ac:dyDescent="0.3">
      <c r="A115">
        <v>100</v>
      </c>
      <c r="B115" t="s">
        <v>16</v>
      </c>
      <c r="C115" t="s">
        <v>374</v>
      </c>
      <c r="D115" s="2" t="s">
        <v>375</v>
      </c>
      <c r="E115" t="s">
        <v>376</v>
      </c>
      <c r="F115" t="s">
        <v>377</v>
      </c>
      <c r="G115" t="s">
        <v>21</v>
      </c>
      <c r="H115" t="s">
        <v>378</v>
      </c>
      <c r="I115" t="s">
        <v>23</v>
      </c>
      <c r="J115" t="s">
        <v>379</v>
      </c>
      <c r="K115" s="2" t="s">
        <v>268</v>
      </c>
      <c r="L115" t="s">
        <v>26</v>
      </c>
      <c r="M115">
        <v>350334</v>
      </c>
      <c r="N115">
        <v>1</v>
      </c>
      <c r="O115" s="3">
        <v>3950</v>
      </c>
      <c r="P115" s="3">
        <v>1041</v>
      </c>
      <c r="Q115" s="5">
        <f t="shared" si="3"/>
        <v>3319.3277310924373</v>
      </c>
      <c r="R115" s="5">
        <f t="shared" si="4"/>
        <v>1041</v>
      </c>
      <c r="S115" s="5">
        <f t="shared" si="5"/>
        <v>2278.3277310924373</v>
      </c>
    </row>
    <row r="116" spans="1:19" hidden="1" x14ac:dyDescent="0.3">
      <c r="A116">
        <v>100</v>
      </c>
      <c r="B116" t="s">
        <v>16</v>
      </c>
      <c r="C116" t="s">
        <v>380</v>
      </c>
      <c r="D116" s="2" t="s">
        <v>381</v>
      </c>
      <c r="E116" t="s">
        <v>382</v>
      </c>
      <c r="F116" t="s">
        <v>377</v>
      </c>
      <c r="G116" t="s">
        <v>21</v>
      </c>
      <c r="H116" t="s">
        <v>378</v>
      </c>
      <c r="I116" t="s">
        <v>23</v>
      </c>
      <c r="J116" t="s">
        <v>379</v>
      </c>
      <c r="K116" s="2" t="s">
        <v>268</v>
      </c>
      <c r="L116" t="s">
        <v>26</v>
      </c>
      <c r="M116">
        <v>350334</v>
      </c>
      <c r="N116">
        <v>1</v>
      </c>
      <c r="O116" s="3">
        <v>2450</v>
      </c>
      <c r="P116" s="3">
        <v>1249</v>
      </c>
      <c r="Q116" s="5">
        <f t="shared" si="3"/>
        <v>2058.8235294117649</v>
      </c>
      <c r="R116" s="5">
        <f t="shared" si="4"/>
        <v>1249</v>
      </c>
      <c r="S116" s="5">
        <f t="shared" si="5"/>
        <v>809.82352941176487</v>
      </c>
    </row>
    <row r="117" spans="1:19" hidden="1" x14ac:dyDescent="0.3">
      <c r="A117">
        <v>100</v>
      </c>
      <c r="B117" t="s">
        <v>16</v>
      </c>
      <c r="C117" t="s">
        <v>383</v>
      </c>
      <c r="D117" s="2" t="s">
        <v>384</v>
      </c>
      <c r="E117" t="s">
        <v>385</v>
      </c>
      <c r="F117" t="s">
        <v>20</v>
      </c>
      <c r="G117" t="s">
        <v>21</v>
      </c>
      <c r="H117" t="s">
        <v>306</v>
      </c>
      <c r="I117" t="s">
        <v>23</v>
      </c>
      <c r="J117" t="s">
        <v>35</v>
      </c>
      <c r="K117" s="2" t="s">
        <v>268</v>
      </c>
      <c r="L117" t="s">
        <v>26</v>
      </c>
      <c r="M117">
        <v>350335</v>
      </c>
      <c r="N117">
        <v>1</v>
      </c>
      <c r="O117" s="3">
        <v>59990</v>
      </c>
      <c r="P117" s="3">
        <v>33227</v>
      </c>
      <c r="Q117" s="5">
        <f t="shared" si="3"/>
        <v>50411.764705882357</v>
      </c>
      <c r="R117" s="5">
        <f t="shared" si="4"/>
        <v>33227</v>
      </c>
      <c r="S117" s="5">
        <f t="shared" si="5"/>
        <v>17184.764705882357</v>
      </c>
    </row>
    <row r="118" spans="1:19" hidden="1" x14ac:dyDescent="0.3">
      <c r="A118">
        <v>100</v>
      </c>
      <c r="B118" t="s">
        <v>16</v>
      </c>
      <c r="C118" t="s">
        <v>386</v>
      </c>
      <c r="D118" s="2" t="s">
        <v>387</v>
      </c>
      <c r="E118" t="s">
        <v>388</v>
      </c>
      <c r="F118" t="s">
        <v>20</v>
      </c>
      <c r="G118" t="s">
        <v>21</v>
      </c>
      <c r="H118" t="s">
        <v>171</v>
      </c>
      <c r="I118" t="s">
        <v>23</v>
      </c>
      <c r="J118" t="s">
        <v>40</v>
      </c>
      <c r="K118" s="2" t="s">
        <v>268</v>
      </c>
      <c r="L118" t="s">
        <v>26</v>
      </c>
      <c r="M118">
        <v>350336</v>
      </c>
      <c r="N118">
        <v>1</v>
      </c>
      <c r="O118" s="3">
        <v>34990</v>
      </c>
      <c r="P118" s="3">
        <v>29970</v>
      </c>
      <c r="Q118" s="5">
        <f t="shared" si="3"/>
        <v>29403.361344537818</v>
      </c>
      <c r="R118" s="5">
        <f t="shared" si="4"/>
        <v>29970</v>
      </c>
      <c r="S118" s="5">
        <f t="shared" si="5"/>
        <v>-566.63865546218221</v>
      </c>
    </row>
    <row r="119" spans="1:19" hidden="1" x14ac:dyDescent="0.3">
      <c r="A119">
        <v>100</v>
      </c>
      <c r="B119" t="s">
        <v>16</v>
      </c>
      <c r="C119" t="s">
        <v>389</v>
      </c>
      <c r="D119" s="2" t="s">
        <v>390</v>
      </c>
      <c r="E119" t="s">
        <v>391</v>
      </c>
      <c r="F119" t="s">
        <v>20</v>
      </c>
      <c r="G119" t="s">
        <v>21</v>
      </c>
      <c r="H119" t="s">
        <v>285</v>
      </c>
      <c r="I119" t="s">
        <v>23</v>
      </c>
      <c r="J119" t="s">
        <v>35</v>
      </c>
      <c r="K119" s="2" t="s">
        <v>268</v>
      </c>
      <c r="L119" t="s">
        <v>26</v>
      </c>
      <c r="M119">
        <v>350337</v>
      </c>
      <c r="N119">
        <v>1</v>
      </c>
      <c r="O119" s="3">
        <v>52990</v>
      </c>
      <c r="P119" s="3">
        <v>30881</v>
      </c>
      <c r="Q119" s="5">
        <f t="shared" si="3"/>
        <v>44529.411764705881</v>
      </c>
      <c r="R119" s="5">
        <f t="shared" si="4"/>
        <v>30881</v>
      </c>
      <c r="S119" s="5">
        <f t="shared" si="5"/>
        <v>13648.411764705881</v>
      </c>
    </row>
    <row r="120" spans="1:19" hidden="1" x14ac:dyDescent="0.3">
      <c r="A120">
        <v>100</v>
      </c>
      <c r="B120" t="s">
        <v>16</v>
      </c>
      <c r="C120" t="s">
        <v>392</v>
      </c>
      <c r="D120" s="2" t="s">
        <v>393</v>
      </c>
      <c r="E120" t="s">
        <v>394</v>
      </c>
      <c r="F120" t="s">
        <v>20</v>
      </c>
      <c r="G120" t="s">
        <v>21</v>
      </c>
      <c r="H120" t="s">
        <v>395</v>
      </c>
      <c r="I120" t="s">
        <v>23</v>
      </c>
      <c r="J120" t="s">
        <v>49</v>
      </c>
      <c r="K120" s="2" t="s">
        <v>268</v>
      </c>
      <c r="L120" t="s">
        <v>26</v>
      </c>
      <c r="M120">
        <v>350338</v>
      </c>
      <c r="N120">
        <v>1</v>
      </c>
      <c r="O120" s="3">
        <v>43990</v>
      </c>
      <c r="P120" s="3">
        <v>28952</v>
      </c>
      <c r="Q120" s="5">
        <f t="shared" si="3"/>
        <v>36966.386554621851</v>
      </c>
      <c r="R120" s="5">
        <f t="shared" si="4"/>
        <v>28952</v>
      </c>
      <c r="S120" s="5">
        <f t="shared" si="5"/>
        <v>8014.3865546218512</v>
      </c>
    </row>
    <row r="121" spans="1:19" hidden="1" x14ac:dyDescent="0.3">
      <c r="A121">
        <v>100</v>
      </c>
      <c r="B121" t="s">
        <v>16</v>
      </c>
      <c r="C121" t="s">
        <v>396</v>
      </c>
      <c r="D121" s="2" t="s">
        <v>397</v>
      </c>
      <c r="E121" t="s">
        <v>47</v>
      </c>
      <c r="F121" t="s">
        <v>20</v>
      </c>
      <c r="G121" t="s">
        <v>21</v>
      </c>
      <c r="H121" t="s">
        <v>48</v>
      </c>
      <c r="I121" t="s">
        <v>23</v>
      </c>
      <c r="J121" t="s">
        <v>49</v>
      </c>
      <c r="K121" s="2" t="s">
        <v>268</v>
      </c>
      <c r="L121" t="s">
        <v>26</v>
      </c>
      <c r="M121">
        <v>350339</v>
      </c>
      <c r="N121">
        <v>1</v>
      </c>
      <c r="O121" s="3">
        <v>39990</v>
      </c>
      <c r="P121" s="3">
        <v>24460</v>
      </c>
      <c r="Q121" s="5">
        <f t="shared" si="3"/>
        <v>33605.042016806721</v>
      </c>
      <c r="R121" s="5">
        <f t="shared" si="4"/>
        <v>24460</v>
      </c>
      <c r="S121" s="5">
        <f t="shared" si="5"/>
        <v>9145.0420168067212</v>
      </c>
    </row>
    <row r="122" spans="1:19" hidden="1" x14ac:dyDescent="0.3">
      <c r="A122">
        <v>100</v>
      </c>
      <c r="B122" t="s">
        <v>16</v>
      </c>
      <c r="C122" t="s">
        <v>398</v>
      </c>
      <c r="D122" s="2" t="s">
        <v>399</v>
      </c>
      <c r="E122" t="s">
        <v>250</v>
      </c>
      <c r="F122" t="s">
        <v>20</v>
      </c>
      <c r="G122" t="s">
        <v>21</v>
      </c>
      <c r="H122" t="s">
        <v>251</v>
      </c>
      <c r="I122" t="s">
        <v>23</v>
      </c>
      <c r="J122" t="s">
        <v>49</v>
      </c>
      <c r="K122" s="2" t="s">
        <v>268</v>
      </c>
      <c r="L122" t="s">
        <v>26</v>
      </c>
      <c r="M122">
        <v>350340</v>
      </c>
      <c r="N122">
        <v>1</v>
      </c>
      <c r="O122" s="3">
        <v>34990</v>
      </c>
      <c r="P122" s="3">
        <v>25469</v>
      </c>
      <c r="Q122" s="5">
        <f t="shared" si="3"/>
        <v>29403.361344537818</v>
      </c>
      <c r="R122" s="5">
        <f t="shared" si="4"/>
        <v>25469</v>
      </c>
      <c r="S122" s="5">
        <f t="shared" si="5"/>
        <v>3934.3613445378178</v>
      </c>
    </row>
    <row r="123" spans="1:19" hidden="1" x14ac:dyDescent="0.3">
      <c r="A123">
        <v>100</v>
      </c>
      <c r="B123" t="s">
        <v>16</v>
      </c>
      <c r="C123" t="s">
        <v>400</v>
      </c>
      <c r="D123" s="2" t="s">
        <v>401</v>
      </c>
      <c r="E123" t="s">
        <v>402</v>
      </c>
      <c r="F123" t="s">
        <v>20</v>
      </c>
      <c r="G123" t="s">
        <v>21</v>
      </c>
      <c r="H123" t="s">
        <v>285</v>
      </c>
      <c r="I123" t="s">
        <v>23</v>
      </c>
      <c r="J123" t="s">
        <v>49</v>
      </c>
      <c r="K123" s="2" t="s">
        <v>268</v>
      </c>
      <c r="L123" t="s">
        <v>26</v>
      </c>
      <c r="M123">
        <v>350341</v>
      </c>
      <c r="N123">
        <v>1</v>
      </c>
      <c r="O123" s="3">
        <v>39990</v>
      </c>
      <c r="P123" s="3">
        <v>25961</v>
      </c>
      <c r="Q123" s="5">
        <f t="shared" si="3"/>
        <v>33605.042016806721</v>
      </c>
      <c r="R123" s="5">
        <f t="shared" si="4"/>
        <v>25961</v>
      </c>
      <c r="S123" s="5">
        <f t="shared" si="5"/>
        <v>7644.0420168067212</v>
      </c>
    </row>
    <row r="124" spans="1:19" hidden="1" x14ac:dyDescent="0.3">
      <c r="A124">
        <v>100</v>
      </c>
      <c r="B124" t="s">
        <v>16</v>
      </c>
      <c r="C124" t="s">
        <v>396</v>
      </c>
      <c r="D124" s="2" t="s">
        <v>397</v>
      </c>
      <c r="E124" t="s">
        <v>47</v>
      </c>
      <c r="F124" t="s">
        <v>20</v>
      </c>
      <c r="G124" t="s">
        <v>21</v>
      </c>
      <c r="H124" t="s">
        <v>48</v>
      </c>
      <c r="I124" t="s">
        <v>23</v>
      </c>
      <c r="J124" t="s">
        <v>49</v>
      </c>
      <c r="K124" s="2" t="s">
        <v>268</v>
      </c>
      <c r="L124" t="s">
        <v>26</v>
      </c>
      <c r="M124">
        <v>350341</v>
      </c>
      <c r="N124">
        <v>1</v>
      </c>
      <c r="O124" s="3">
        <v>39990</v>
      </c>
      <c r="P124" s="3">
        <v>24460</v>
      </c>
      <c r="Q124" s="5">
        <f t="shared" si="3"/>
        <v>33605.042016806721</v>
      </c>
      <c r="R124" s="5">
        <f t="shared" si="4"/>
        <v>24460</v>
      </c>
      <c r="S124" s="5">
        <f t="shared" si="5"/>
        <v>9145.0420168067212</v>
      </c>
    </row>
    <row r="125" spans="1:19" hidden="1" x14ac:dyDescent="0.3">
      <c r="A125">
        <v>100</v>
      </c>
      <c r="B125" t="s">
        <v>16</v>
      </c>
      <c r="C125" t="s">
        <v>403</v>
      </c>
      <c r="D125" s="2" t="s">
        <v>404</v>
      </c>
      <c r="E125" t="s">
        <v>405</v>
      </c>
      <c r="F125" t="s">
        <v>20</v>
      </c>
      <c r="G125" t="s">
        <v>21</v>
      </c>
      <c r="H125" t="s">
        <v>406</v>
      </c>
      <c r="I125" t="s">
        <v>23</v>
      </c>
      <c r="J125" t="s">
        <v>407</v>
      </c>
      <c r="K125" s="2" t="s">
        <v>268</v>
      </c>
      <c r="L125" t="s">
        <v>26</v>
      </c>
      <c r="M125">
        <v>350342</v>
      </c>
      <c r="N125">
        <v>1</v>
      </c>
      <c r="O125" s="3">
        <v>64950</v>
      </c>
      <c r="P125" s="3">
        <v>19806</v>
      </c>
      <c r="Q125" s="5">
        <f t="shared" si="3"/>
        <v>54579.831932773115</v>
      </c>
      <c r="R125" s="5">
        <f t="shared" si="4"/>
        <v>19806</v>
      </c>
      <c r="S125" s="5">
        <f t="shared" si="5"/>
        <v>34773.831932773115</v>
      </c>
    </row>
    <row r="126" spans="1:19" hidden="1" x14ac:dyDescent="0.3">
      <c r="A126">
        <v>100</v>
      </c>
      <c r="B126" t="s">
        <v>16</v>
      </c>
      <c r="C126" t="s">
        <v>408</v>
      </c>
      <c r="D126" s="2" t="s">
        <v>409</v>
      </c>
      <c r="E126" t="s">
        <v>410</v>
      </c>
      <c r="F126" t="s">
        <v>20</v>
      </c>
      <c r="G126" t="s">
        <v>21</v>
      </c>
      <c r="H126" t="s">
        <v>411</v>
      </c>
      <c r="I126" t="s">
        <v>23</v>
      </c>
      <c r="J126" t="s">
        <v>49</v>
      </c>
      <c r="K126" s="2" t="s">
        <v>268</v>
      </c>
      <c r="L126" t="s">
        <v>26</v>
      </c>
      <c r="M126">
        <v>350343</v>
      </c>
      <c r="N126">
        <v>1</v>
      </c>
      <c r="O126" s="3">
        <v>39990</v>
      </c>
      <c r="P126" s="3">
        <v>23220</v>
      </c>
      <c r="Q126" s="5">
        <f t="shared" si="3"/>
        <v>33605.042016806721</v>
      </c>
      <c r="R126" s="5">
        <f t="shared" si="4"/>
        <v>23220</v>
      </c>
      <c r="S126" s="5">
        <f t="shared" si="5"/>
        <v>10385.042016806721</v>
      </c>
    </row>
    <row r="127" spans="1:19" hidden="1" x14ac:dyDescent="0.3">
      <c r="A127">
        <v>100</v>
      </c>
      <c r="B127" t="s">
        <v>16</v>
      </c>
      <c r="C127" t="s">
        <v>412</v>
      </c>
      <c r="D127" s="2" t="s">
        <v>413</v>
      </c>
      <c r="E127" t="s">
        <v>414</v>
      </c>
      <c r="F127" t="s">
        <v>20</v>
      </c>
      <c r="G127" t="s">
        <v>338</v>
      </c>
      <c r="H127">
        <v>23731</v>
      </c>
      <c r="I127" t="s">
        <v>23</v>
      </c>
      <c r="J127" t="s">
        <v>40</v>
      </c>
      <c r="K127" s="2" t="s">
        <v>268</v>
      </c>
      <c r="L127" t="s">
        <v>26</v>
      </c>
      <c r="M127">
        <v>350344</v>
      </c>
      <c r="N127">
        <v>1</v>
      </c>
      <c r="O127" s="3">
        <v>69950</v>
      </c>
      <c r="P127" s="3">
        <v>23473</v>
      </c>
      <c r="Q127" s="5">
        <f t="shared" si="3"/>
        <v>58781.512605042022</v>
      </c>
      <c r="R127" s="5">
        <f t="shared" si="4"/>
        <v>23473</v>
      </c>
      <c r="S127" s="5">
        <f t="shared" si="5"/>
        <v>35308.512605042022</v>
      </c>
    </row>
    <row r="128" spans="1:19" hidden="1" x14ac:dyDescent="0.3">
      <c r="A128">
        <v>100</v>
      </c>
      <c r="B128" t="s">
        <v>16</v>
      </c>
      <c r="C128" t="s">
        <v>415</v>
      </c>
      <c r="D128" s="2" t="s">
        <v>416</v>
      </c>
      <c r="E128" t="s">
        <v>417</v>
      </c>
      <c r="F128" t="s">
        <v>20</v>
      </c>
      <c r="G128" t="s">
        <v>21</v>
      </c>
      <c r="H128" t="s">
        <v>353</v>
      </c>
      <c r="I128" t="s">
        <v>23</v>
      </c>
      <c r="J128" t="s">
        <v>95</v>
      </c>
      <c r="K128" s="2" t="s">
        <v>268</v>
      </c>
      <c r="L128" t="s">
        <v>26</v>
      </c>
      <c r="M128">
        <v>350345</v>
      </c>
      <c r="N128">
        <v>1</v>
      </c>
      <c r="O128" s="3">
        <v>34990</v>
      </c>
      <c r="P128" s="3">
        <v>25747</v>
      </c>
      <c r="Q128" s="5">
        <f t="shared" si="3"/>
        <v>29403.361344537818</v>
      </c>
      <c r="R128" s="5">
        <f t="shared" si="4"/>
        <v>25747</v>
      </c>
      <c r="S128" s="5">
        <f t="shared" si="5"/>
        <v>3656.3613445378178</v>
      </c>
    </row>
    <row r="129" spans="1:19" hidden="1" x14ac:dyDescent="0.3">
      <c r="A129">
        <v>100</v>
      </c>
      <c r="B129" t="s">
        <v>16</v>
      </c>
      <c r="C129" t="s">
        <v>418</v>
      </c>
      <c r="D129" s="2" t="s">
        <v>419</v>
      </c>
      <c r="E129" t="s">
        <v>420</v>
      </c>
      <c r="F129" t="s">
        <v>20</v>
      </c>
      <c r="G129" t="s">
        <v>21</v>
      </c>
      <c r="H129" t="s">
        <v>421</v>
      </c>
      <c r="I129" t="s">
        <v>23</v>
      </c>
      <c r="J129" t="s">
        <v>207</v>
      </c>
      <c r="K129" s="2" t="s">
        <v>422</v>
      </c>
      <c r="L129" t="s">
        <v>26</v>
      </c>
      <c r="M129">
        <v>350346</v>
      </c>
      <c r="N129">
        <v>1</v>
      </c>
      <c r="O129" s="3">
        <v>29990</v>
      </c>
      <c r="P129" s="3">
        <v>15655</v>
      </c>
      <c r="Q129" s="5">
        <f t="shared" si="3"/>
        <v>25201.680672268907</v>
      </c>
      <c r="R129" s="5">
        <f t="shared" si="4"/>
        <v>15655</v>
      </c>
      <c r="S129" s="5">
        <f t="shared" si="5"/>
        <v>9546.6806722689071</v>
      </c>
    </row>
    <row r="130" spans="1:19" hidden="1" x14ac:dyDescent="0.3">
      <c r="A130">
        <v>100</v>
      </c>
      <c r="B130" t="s">
        <v>16</v>
      </c>
      <c r="C130" t="s">
        <v>423</v>
      </c>
      <c r="D130" s="2" t="s">
        <v>424</v>
      </c>
      <c r="E130" t="s">
        <v>425</v>
      </c>
      <c r="F130" t="s">
        <v>20</v>
      </c>
      <c r="G130" t="s">
        <v>21</v>
      </c>
      <c r="H130" t="s">
        <v>22</v>
      </c>
      <c r="I130" t="s">
        <v>23</v>
      </c>
      <c r="J130" t="s">
        <v>24</v>
      </c>
      <c r="K130" s="2" t="s">
        <v>422</v>
      </c>
      <c r="L130" t="s">
        <v>26</v>
      </c>
      <c r="M130">
        <v>350347</v>
      </c>
      <c r="N130">
        <v>1</v>
      </c>
      <c r="O130" s="3">
        <v>79950</v>
      </c>
      <c r="P130" s="3">
        <v>27848</v>
      </c>
      <c r="Q130" s="5">
        <f t="shared" si="3"/>
        <v>67184.873949579836</v>
      </c>
      <c r="R130" s="5">
        <f t="shared" si="4"/>
        <v>27848</v>
      </c>
      <c r="S130" s="5">
        <f t="shared" si="5"/>
        <v>39336.873949579836</v>
      </c>
    </row>
    <row r="131" spans="1:19" hidden="1" x14ac:dyDescent="0.3">
      <c r="A131">
        <v>100</v>
      </c>
      <c r="B131" t="s">
        <v>16</v>
      </c>
      <c r="C131" t="s">
        <v>139</v>
      </c>
      <c r="D131" s="2" t="s">
        <v>140</v>
      </c>
      <c r="E131" t="s">
        <v>141</v>
      </c>
      <c r="F131" t="s">
        <v>20</v>
      </c>
      <c r="G131" t="s">
        <v>21</v>
      </c>
      <c r="H131" t="s">
        <v>142</v>
      </c>
      <c r="I131" t="s">
        <v>23</v>
      </c>
      <c r="J131" t="s">
        <v>35</v>
      </c>
      <c r="K131" s="2" t="s">
        <v>422</v>
      </c>
      <c r="L131" t="s">
        <v>26</v>
      </c>
      <c r="M131">
        <v>350348</v>
      </c>
      <c r="N131">
        <v>1</v>
      </c>
      <c r="O131" s="3">
        <v>49990</v>
      </c>
      <c r="P131" s="3">
        <v>32381</v>
      </c>
      <c r="Q131" s="5">
        <f t="shared" si="3"/>
        <v>42008.403361344543</v>
      </c>
      <c r="R131" s="5">
        <f t="shared" si="4"/>
        <v>32381</v>
      </c>
      <c r="S131" s="5">
        <f t="shared" si="5"/>
        <v>9627.4033613445426</v>
      </c>
    </row>
    <row r="132" spans="1:19" hidden="1" x14ac:dyDescent="0.3">
      <c r="A132">
        <v>100</v>
      </c>
      <c r="B132" t="s">
        <v>16</v>
      </c>
      <c r="C132" t="s">
        <v>426</v>
      </c>
      <c r="D132" s="2" t="s">
        <v>427</v>
      </c>
      <c r="E132" t="s">
        <v>428</v>
      </c>
      <c r="F132" t="s">
        <v>20</v>
      </c>
      <c r="G132" t="s">
        <v>21</v>
      </c>
      <c r="H132" t="s">
        <v>429</v>
      </c>
      <c r="I132" t="s">
        <v>23</v>
      </c>
      <c r="J132" t="s">
        <v>49</v>
      </c>
      <c r="K132" s="2" t="s">
        <v>422</v>
      </c>
      <c r="L132" t="s">
        <v>26</v>
      </c>
      <c r="M132">
        <v>350349</v>
      </c>
      <c r="N132">
        <v>1</v>
      </c>
      <c r="O132" s="3">
        <v>59990</v>
      </c>
      <c r="P132" s="3">
        <v>28897</v>
      </c>
      <c r="Q132" s="5">
        <f t="shared" si="3"/>
        <v>50411.764705882357</v>
      </c>
      <c r="R132" s="5">
        <f t="shared" si="4"/>
        <v>28897</v>
      </c>
      <c r="S132" s="5">
        <f t="shared" si="5"/>
        <v>21514.764705882357</v>
      </c>
    </row>
    <row r="133" spans="1:19" hidden="1" x14ac:dyDescent="0.3">
      <c r="A133">
        <v>100</v>
      </c>
      <c r="B133" t="s">
        <v>16</v>
      </c>
      <c r="C133" t="s">
        <v>430</v>
      </c>
      <c r="D133" s="2" t="s">
        <v>431</v>
      </c>
      <c r="E133" t="s">
        <v>432</v>
      </c>
      <c r="F133" t="s">
        <v>20</v>
      </c>
      <c r="G133" t="s">
        <v>21</v>
      </c>
      <c r="H133" t="s">
        <v>433</v>
      </c>
      <c r="I133" t="s">
        <v>23</v>
      </c>
      <c r="J133" t="s">
        <v>407</v>
      </c>
      <c r="K133" s="2" t="s">
        <v>422</v>
      </c>
      <c r="L133" t="s">
        <v>26</v>
      </c>
      <c r="M133">
        <v>350350</v>
      </c>
      <c r="N133">
        <v>1</v>
      </c>
      <c r="O133" s="3">
        <v>44990</v>
      </c>
      <c r="P133" s="3">
        <v>24999</v>
      </c>
      <c r="Q133" s="5">
        <f t="shared" si="3"/>
        <v>37806.722689075636</v>
      </c>
      <c r="R133" s="5">
        <f t="shared" si="4"/>
        <v>24999</v>
      </c>
      <c r="S133" s="5">
        <f t="shared" si="5"/>
        <v>12807.722689075636</v>
      </c>
    </row>
    <row r="134" spans="1:19" hidden="1" x14ac:dyDescent="0.3">
      <c r="A134">
        <v>100</v>
      </c>
      <c r="B134" t="s">
        <v>16</v>
      </c>
      <c r="C134" t="s">
        <v>434</v>
      </c>
      <c r="D134" s="2" t="s">
        <v>435</v>
      </c>
      <c r="E134" t="s">
        <v>436</v>
      </c>
      <c r="F134" t="s">
        <v>20</v>
      </c>
      <c r="G134" t="s">
        <v>21</v>
      </c>
      <c r="H134" t="s">
        <v>160</v>
      </c>
      <c r="I134" t="s">
        <v>23</v>
      </c>
      <c r="J134" t="s">
        <v>49</v>
      </c>
      <c r="K134" s="2" t="s">
        <v>422</v>
      </c>
      <c r="L134" t="s">
        <v>26</v>
      </c>
      <c r="M134">
        <v>350351</v>
      </c>
      <c r="N134">
        <v>1</v>
      </c>
      <c r="O134" s="3">
        <v>49990</v>
      </c>
      <c r="P134" s="3">
        <v>26374</v>
      </c>
      <c r="Q134" s="5">
        <f t="shared" ref="Q134:Q197" si="6">O134/1.19</f>
        <v>42008.403361344543</v>
      </c>
      <c r="R134" s="5">
        <f t="shared" ref="R134:R197" si="7">N134*P134</f>
        <v>26374</v>
      </c>
      <c r="S134" s="5">
        <f t="shared" ref="S134:S197" si="8">Q134-R134</f>
        <v>15634.403361344543</v>
      </c>
    </row>
    <row r="135" spans="1:19" hidden="1" x14ac:dyDescent="0.3">
      <c r="A135">
        <v>100</v>
      </c>
      <c r="B135" t="s">
        <v>16</v>
      </c>
      <c r="C135" t="s">
        <v>172</v>
      </c>
      <c r="D135" s="2" t="s">
        <v>173</v>
      </c>
      <c r="E135" t="s">
        <v>163</v>
      </c>
      <c r="F135" t="s">
        <v>20</v>
      </c>
      <c r="G135" t="s">
        <v>21</v>
      </c>
      <c r="H135" t="s">
        <v>156</v>
      </c>
      <c r="I135" t="s">
        <v>23</v>
      </c>
      <c r="J135" t="s">
        <v>35</v>
      </c>
      <c r="K135" s="2" t="s">
        <v>422</v>
      </c>
      <c r="L135" t="s">
        <v>26</v>
      </c>
      <c r="M135">
        <v>350352</v>
      </c>
      <c r="N135">
        <v>1</v>
      </c>
      <c r="O135" s="3">
        <v>69990</v>
      </c>
      <c r="P135" s="3">
        <v>38240</v>
      </c>
      <c r="Q135" s="5">
        <f t="shared" si="6"/>
        <v>58815.126050420171</v>
      </c>
      <c r="R135" s="5">
        <f t="shared" si="7"/>
        <v>38240</v>
      </c>
      <c r="S135" s="5">
        <f t="shared" si="8"/>
        <v>20575.126050420171</v>
      </c>
    </row>
    <row r="136" spans="1:19" hidden="1" x14ac:dyDescent="0.3">
      <c r="A136">
        <v>100</v>
      </c>
      <c r="B136" t="s">
        <v>16</v>
      </c>
      <c r="C136" t="s">
        <v>437</v>
      </c>
      <c r="D136" s="2" t="s">
        <v>438</v>
      </c>
      <c r="E136" t="s">
        <v>439</v>
      </c>
      <c r="F136" t="s">
        <v>20</v>
      </c>
      <c r="G136" t="s">
        <v>21</v>
      </c>
      <c r="H136" t="s">
        <v>122</v>
      </c>
      <c r="I136" t="s">
        <v>23</v>
      </c>
      <c r="J136" t="s">
        <v>35</v>
      </c>
      <c r="K136" s="2" t="s">
        <v>422</v>
      </c>
      <c r="L136" t="s">
        <v>26</v>
      </c>
      <c r="M136">
        <v>350353</v>
      </c>
      <c r="N136">
        <v>1</v>
      </c>
      <c r="O136" s="3">
        <v>49990</v>
      </c>
      <c r="P136" s="3">
        <v>31826</v>
      </c>
      <c r="Q136" s="5">
        <f t="shared" si="6"/>
        <v>42008.403361344543</v>
      </c>
      <c r="R136" s="5">
        <f t="shared" si="7"/>
        <v>31826</v>
      </c>
      <c r="S136" s="5">
        <f t="shared" si="8"/>
        <v>10182.403361344543</v>
      </c>
    </row>
    <row r="137" spans="1:19" hidden="1" x14ac:dyDescent="0.3">
      <c r="A137">
        <v>100</v>
      </c>
      <c r="B137" t="s">
        <v>16</v>
      </c>
      <c r="C137" t="s">
        <v>440</v>
      </c>
      <c r="D137" s="2" t="s">
        <v>441</v>
      </c>
      <c r="E137" t="s">
        <v>442</v>
      </c>
      <c r="F137" t="s">
        <v>20</v>
      </c>
      <c r="G137" t="s">
        <v>21</v>
      </c>
      <c r="H137" t="s">
        <v>357</v>
      </c>
      <c r="I137" t="s">
        <v>23</v>
      </c>
      <c r="J137" t="s">
        <v>49</v>
      </c>
      <c r="K137" s="2" t="s">
        <v>422</v>
      </c>
      <c r="L137" t="s">
        <v>26</v>
      </c>
      <c r="M137">
        <v>350354</v>
      </c>
      <c r="N137">
        <v>1</v>
      </c>
      <c r="O137" s="3">
        <v>44990</v>
      </c>
      <c r="P137" s="3">
        <v>22416</v>
      </c>
      <c r="Q137" s="5">
        <f t="shared" si="6"/>
        <v>37806.722689075636</v>
      </c>
      <c r="R137" s="5">
        <f t="shared" si="7"/>
        <v>22416</v>
      </c>
      <c r="S137" s="5">
        <f t="shared" si="8"/>
        <v>15390.722689075636</v>
      </c>
    </row>
    <row r="138" spans="1:19" hidden="1" x14ac:dyDescent="0.3">
      <c r="A138">
        <v>100</v>
      </c>
      <c r="B138" t="s">
        <v>16</v>
      </c>
      <c r="C138" t="s">
        <v>443</v>
      </c>
      <c r="D138" s="2" t="s">
        <v>444</v>
      </c>
      <c r="E138" t="s">
        <v>121</v>
      </c>
      <c r="F138" t="s">
        <v>20</v>
      </c>
      <c r="G138" t="s">
        <v>21</v>
      </c>
      <c r="H138" t="s">
        <v>122</v>
      </c>
      <c r="I138" t="s">
        <v>23</v>
      </c>
      <c r="J138" t="s">
        <v>35</v>
      </c>
      <c r="K138" s="2" t="s">
        <v>422</v>
      </c>
      <c r="L138" t="s">
        <v>26</v>
      </c>
      <c r="M138">
        <v>350355</v>
      </c>
      <c r="N138">
        <v>1</v>
      </c>
      <c r="O138" s="3">
        <v>49990</v>
      </c>
      <c r="P138" s="3">
        <v>33994</v>
      </c>
      <c r="Q138" s="5">
        <f t="shared" si="6"/>
        <v>42008.403361344543</v>
      </c>
      <c r="R138" s="5">
        <f t="shared" si="7"/>
        <v>33994</v>
      </c>
      <c r="S138" s="5">
        <f t="shared" si="8"/>
        <v>8014.4033613445426</v>
      </c>
    </row>
    <row r="139" spans="1:19" hidden="1" x14ac:dyDescent="0.3">
      <c r="A139">
        <v>100</v>
      </c>
      <c r="B139" t="s">
        <v>16</v>
      </c>
      <c r="C139" t="s">
        <v>445</v>
      </c>
      <c r="D139" s="2" t="s">
        <v>446</v>
      </c>
      <c r="E139" t="s">
        <v>447</v>
      </c>
      <c r="F139" t="s">
        <v>20</v>
      </c>
      <c r="G139" t="s">
        <v>21</v>
      </c>
      <c r="H139" t="s">
        <v>448</v>
      </c>
      <c r="I139" t="s">
        <v>23</v>
      </c>
      <c r="J139" t="s">
        <v>207</v>
      </c>
      <c r="K139" s="2" t="s">
        <v>422</v>
      </c>
      <c r="L139" t="s">
        <v>26</v>
      </c>
      <c r="M139">
        <v>350356</v>
      </c>
      <c r="N139">
        <v>1</v>
      </c>
      <c r="O139" s="3">
        <v>39990</v>
      </c>
      <c r="P139" s="3">
        <v>29036</v>
      </c>
      <c r="Q139" s="5">
        <f t="shared" si="6"/>
        <v>33605.042016806721</v>
      </c>
      <c r="R139" s="5">
        <f t="shared" si="7"/>
        <v>29036</v>
      </c>
      <c r="S139" s="5">
        <f t="shared" si="8"/>
        <v>4569.0420168067212</v>
      </c>
    </row>
    <row r="140" spans="1:19" hidden="1" x14ac:dyDescent="0.3">
      <c r="A140">
        <v>100</v>
      </c>
      <c r="B140" t="s">
        <v>16</v>
      </c>
      <c r="C140" t="s">
        <v>449</v>
      </c>
      <c r="D140" s="2" t="s">
        <v>450</v>
      </c>
      <c r="E140" t="s">
        <v>288</v>
      </c>
      <c r="F140" t="s">
        <v>20</v>
      </c>
      <c r="G140" t="s">
        <v>21</v>
      </c>
      <c r="H140" t="s">
        <v>160</v>
      </c>
      <c r="I140" t="s">
        <v>23</v>
      </c>
      <c r="J140" t="s">
        <v>35</v>
      </c>
      <c r="K140" s="2" t="s">
        <v>422</v>
      </c>
      <c r="L140" t="s">
        <v>26</v>
      </c>
      <c r="M140">
        <v>350357</v>
      </c>
      <c r="N140">
        <v>1</v>
      </c>
      <c r="O140" s="3">
        <v>59990</v>
      </c>
      <c r="P140" s="3">
        <v>32791</v>
      </c>
      <c r="Q140" s="5">
        <f t="shared" si="6"/>
        <v>50411.764705882357</v>
      </c>
      <c r="R140" s="5">
        <f t="shared" si="7"/>
        <v>32791</v>
      </c>
      <c r="S140" s="5">
        <f t="shared" si="8"/>
        <v>17620.764705882357</v>
      </c>
    </row>
    <row r="141" spans="1:19" hidden="1" x14ac:dyDescent="0.3">
      <c r="A141">
        <v>100</v>
      </c>
      <c r="B141" t="s">
        <v>16</v>
      </c>
      <c r="C141" t="s">
        <v>451</v>
      </c>
      <c r="D141" s="2" t="s">
        <v>452</v>
      </c>
      <c r="E141" t="s">
        <v>453</v>
      </c>
      <c r="F141" t="s">
        <v>20</v>
      </c>
      <c r="G141" t="s">
        <v>21</v>
      </c>
      <c r="H141" t="s">
        <v>454</v>
      </c>
      <c r="I141" t="s">
        <v>23</v>
      </c>
      <c r="J141" t="s">
        <v>407</v>
      </c>
      <c r="K141" s="2" t="s">
        <v>422</v>
      </c>
      <c r="L141" t="s">
        <v>26</v>
      </c>
      <c r="M141">
        <v>350358</v>
      </c>
      <c r="N141">
        <v>1</v>
      </c>
      <c r="O141" s="3">
        <v>44990</v>
      </c>
      <c r="P141" s="3">
        <v>21039</v>
      </c>
      <c r="Q141" s="5">
        <f t="shared" si="6"/>
        <v>37806.722689075636</v>
      </c>
      <c r="R141" s="5">
        <f t="shared" si="7"/>
        <v>21039</v>
      </c>
      <c r="S141" s="5">
        <f t="shared" si="8"/>
        <v>16767.722689075636</v>
      </c>
    </row>
    <row r="142" spans="1:19" hidden="1" x14ac:dyDescent="0.3">
      <c r="A142">
        <v>100</v>
      </c>
      <c r="B142" t="s">
        <v>16</v>
      </c>
      <c r="C142" t="s">
        <v>455</v>
      </c>
      <c r="D142" s="2" t="s">
        <v>456</v>
      </c>
      <c r="E142" t="s">
        <v>457</v>
      </c>
      <c r="F142" t="s">
        <v>20</v>
      </c>
      <c r="G142" t="s">
        <v>21</v>
      </c>
      <c r="H142" t="s">
        <v>79</v>
      </c>
      <c r="I142" t="s">
        <v>23</v>
      </c>
      <c r="J142" t="s">
        <v>35</v>
      </c>
      <c r="K142" s="2" t="s">
        <v>422</v>
      </c>
      <c r="L142" t="s">
        <v>26</v>
      </c>
      <c r="M142">
        <v>350359</v>
      </c>
      <c r="N142">
        <v>1</v>
      </c>
      <c r="O142" s="3">
        <v>59990</v>
      </c>
      <c r="P142" s="3">
        <v>36052</v>
      </c>
      <c r="Q142" s="5">
        <f t="shared" si="6"/>
        <v>50411.764705882357</v>
      </c>
      <c r="R142" s="5">
        <f t="shared" si="7"/>
        <v>36052</v>
      </c>
      <c r="S142" s="5">
        <f t="shared" si="8"/>
        <v>14359.764705882357</v>
      </c>
    </row>
    <row r="143" spans="1:19" hidden="1" x14ac:dyDescent="0.3">
      <c r="A143">
        <v>100</v>
      </c>
      <c r="B143" t="s">
        <v>16</v>
      </c>
      <c r="C143" t="s">
        <v>458</v>
      </c>
      <c r="D143" s="2" t="s">
        <v>459</v>
      </c>
      <c r="E143" t="s">
        <v>460</v>
      </c>
      <c r="F143" t="s">
        <v>20</v>
      </c>
      <c r="G143" t="s">
        <v>21</v>
      </c>
      <c r="H143" t="s">
        <v>461</v>
      </c>
      <c r="I143" t="s">
        <v>23</v>
      </c>
      <c r="J143" t="s">
        <v>35</v>
      </c>
      <c r="K143" s="2" t="s">
        <v>422</v>
      </c>
      <c r="L143" t="s">
        <v>26</v>
      </c>
      <c r="M143">
        <v>350360</v>
      </c>
      <c r="N143">
        <v>1</v>
      </c>
      <c r="O143" s="3">
        <v>49990</v>
      </c>
      <c r="P143" s="3">
        <v>30929</v>
      </c>
      <c r="Q143" s="5">
        <f t="shared" si="6"/>
        <v>42008.403361344543</v>
      </c>
      <c r="R143" s="5">
        <f t="shared" si="7"/>
        <v>30929</v>
      </c>
      <c r="S143" s="5">
        <f t="shared" si="8"/>
        <v>11079.403361344543</v>
      </c>
    </row>
    <row r="144" spans="1:19" hidden="1" x14ac:dyDescent="0.3">
      <c r="A144">
        <v>100</v>
      </c>
      <c r="B144" t="s">
        <v>16</v>
      </c>
      <c r="C144" t="s">
        <v>462</v>
      </c>
      <c r="D144" s="2" t="s">
        <v>463</v>
      </c>
      <c r="E144" t="s">
        <v>464</v>
      </c>
      <c r="F144" t="s">
        <v>20</v>
      </c>
      <c r="G144" t="s">
        <v>21</v>
      </c>
      <c r="H144" t="s">
        <v>461</v>
      </c>
      <c r="I144" t="s">
        <v>23</v>
      </c>
      <c r="J144" t="s">
        <v>35</v>
      </c>
      <c r="K144" s="2" t="s">
        <v>422</v>
      </c>
      <c r="L144" t="s">
        <v>26</v>
      </c>
      <c r="M144">
        <v>350360</v>
      </c>
      <c r="N144">
        <v>1</v>
      </c>
      <c r="O144" s="3">
        <v>49990</v>
      </c>
      <c r="P144" s="3">
        <v>28309</v>
      </c>
      <c r="Q144" s="5">
        <f t="shared" si="6"/>
        <v>42008.403361344543</v>
      </c>
      <c r="R144" s="5">
        <f t="shared" si="7"/>
        <v>28309</v>
      </c>
      <c r="S144" s="5">
        <f t="shared" si="8"/>
        <v>13699.403361344543</v>
      </c>
    </row>
    <row r="145" spans="1:19" hidden="1" x14ac:dyDescent="0.3">
      <c r="A145">
        <v>100</v>
      </c>
      <c r="B145" t="s">
        <v>16</v>
      </c>
      <c r="C145" t="s">
        <v>465</v>
      </c>
      <c r="D145" s="2" t="s">
        <v>466</v>
      </c>
      <c r="E145" t="s">
        <v>467</v>
      </c>
      <c r="F145" t="s">
        <v>20</v>
      </c>
      <c r="G145" t="s">
        <v>21</v>
      </c>
      <c r="H145" t="s">
        <v>171</v>
      </c>
      <c r="I145" t="s">
        <v>23</v>
      </c>
      <c r="J145" t="s">
        <v>40</v>
      </c>
      <c r="K145" s="2" t="s">
        <v>422</v>
      </c>
      <c r="L145" t="s">
        <v>26</v>
      </c>
      <c r="M145">
        <v>350361</v>
      </c>
      <c r="N145">
        <v>1</v>
      </c>
      <c r="O145" s="3">
        <v>59990</v>
      </c>
      <c r="P145" s="3">
        <v>29948</v>
      </c>
      <c r="Q145" s="5">
        <f t="shared" si="6"/>
        <v>50411.764705882357</v>
      </c>
      <c r="R145" s="5">
        <f t="shared" si="7"/>
        <v>29948</v>
      </c>
      <c r="S145" s="5">
        <f t="shared" si="8"/>
        <v>20463.764705882357</v>
      </c>
    </row>
    <row r="146" spans="1:19" hidden="1" x14ac:dyDescent="0.3">
      <c r="A146">
        <v>100</v>
      </c>
      <c r="B146" t="s">
        <v>16</v>
      </c>
      <c r="C146" t="s">
        <v>468</v>
      </c>
      <c r="D146" s="2" t="s">
        <v>469</v>
      </c>
      <c r="E146" t="s">
        <v>145</v>
      </c>
      <c r="F146" t="s">
        <v>20</v>
      </c>
      <c r="G146" t="s">
        <v>21</v>
      </c>
      <c r="H146" t="s">
        <v>30</v>
      </c>
      <c r="I146" t="s">
        <v>23</v>
      </c>
      <c r="J146" t="s">
        <v>31</v>
      </c>
      <c r="K146" s="2" t="s">
        <v>422</v>
      </c>
      <c r="L146" t="s">
        <v>26</v>
      </c>
      <c r="M146">
        <v>350362</v>
      </c>
      <c r="N146">
        <v>1</v>
      </c>
      <c r="O146" s="3">
        <v>79990</v>
      </c>
      <c r="P146" s="3">
        <v>40035</v>
      </c>
      <c r="Q146" s="5">
        <f t="shared" si="6"/>
        <v>67218.487394957992</v>
      </c>
      <c r="R146" s="5">
        <f t="shared" si="7"/>
        <v>40035</v>
      </c>
      <c r="S146" s="5">
        <f t="shared" si="8"/>
        <v>27183.487394957992</v>
      </c>
    </row>
    <row r="147" spans="1:19" hidden="1" x14ac:dyDescent="0.3">
      <c r="A147">
        <v>100</v>
      </c>
      <c r="B147" t="s">
        <v>16</v>
      </c>
      <c r="C147" t="s">
        <v>470</v>
      </c>
      <c r="D147" s="2" t="s">
        <v>471</v>
      </c>
      <c r="E147" t="s">
        <v>402</v>
      </c>
      <c r="F147" t="s">
        <v>20</v>
      </c>
      <c r="G147" t="s">
        <v>21</v>
      </c>
      <c r="H147" t="s">
        <v>285</v>
      </c>
      <c r="I147" t="s">
        <v>23</v>
      </c>
      <c r="J147" t="s">
        <v>49</v>
      </c>
      <c r="K147" s="2" t="s">
        <v>422</v>
      </c>
      <c r="L147" t="s">
        <v>26</v>
      </c>
      <c r="M147">
        <v>350363</v>
      </c>
      <c r="N147">
        <v>1</v>
      </c>
      <c r="O147" s="3">
        <v>39990</v>
      </c>
      <c r="P147" s="3">
        <v>25931</v>
      </c>
      <c r="Q147" s="5">
        <f t="shared" si="6"/>
        <v>33605.042016806721</v>
      </c>
      <c r="R147" s="5">
        <f t="shared" si="7"/>
        <v>25931</v>
      </c>
      <c r="S147" s="5">
        <f t="shared" si="8"/>
        <v>7674.0420168067212</v>
      </c>
    </row>
    <row r="148" spans="1:19" hidden="1" x14ac:dyDescent="0.3">
      <c r="A148">
        <v>100</v>
      </c>
      <c r="B148" t="s">
        <v>16</v>
      </c>
      <c r="C148" t="s">
        <v>472</v>
      </c>
      <c r="D148" s="2" t="s">
        <v>473</v>
      </c>
      <c r="E148" t="s">
        <v>474</v>
      </c>
      <c r="F148" t="s">
        <v>20</v>
      </c>
      <c r="G148" t="s">
        <v>21</v>
      </c>
      <c r="H148" t="s">
        <v>48</v>
      </c>
      <c r="I148" t="s">
        <v>23</v>
      </c>
      <c r="J148" t="s">
        <v>49</v>
      </c>
      <c r="K148" s="2" t="s">
        <v>422</v>
      </c>
      <c r="L148" t="s">
        <v>26</v>
      </c>
      <c r="M148">
        <v>350364</v>
      </c>
      <c r="N148">
        <v>1</v>
      </c>
      <c r="O148" s="3">
        <v>39990</v>
      </c>
      <c r="P148" s="3">
        <v>26741</v>
      </c>
      <c r="Q148" s="5">
        <f t="shared" si="6"/>
        <v>33605.042016806721</v>
      </c>
      <c r="R148" s="5">
        <f t="shared" si="7"/>
        <v>26741</v>
      </c>
      <c r="S148" s="5">
        <f t="shared" si="8"/>
        <v>6864.0420168067212</v>
      </c>
    </row>
    <row r="149" spans="1:19" hidden="1" x14ac:dyDescent="0.3">
      <c r="A149">
        <v>100</v>
      </c>
      <c r="B149" t="s">
        <v>16</v>
      </c>
      <c r="C149" t="s">
        <v>475</v>
      </c>
      <c r="D149" s="2" t="s">
        <v>476</v>
      </c>
      <c r="E149" t="s">
        <v>477</v>
      </c>
      <c r="F149" t="s">
        <v>20</v>
      </c>
      <c r="G149" t="s">
        <v>21</v>
      </c>
      <c r="H149" t="s">
        <v>48</v>
      </c>
      <c r="I149" t="s">
        <v>23</v>
      </c>
      <c r="J149" t="s">
        <v>35</v>
      </c>
      <c r="K149" s="2" t="s">
        <v>422</v>
      </c>
      <c r="L149" t="s">
        <v>26</v>
      </c>
      <c r="M149">
        <v>350365</v>
      </c>
      <c r="N149">
        <v>1</v>
      </c>
      <c r="O149" s="3">
        <v>49990</v>
      </c>
      <c r="P149" s="3">
        <v>29024</v>
      </c>
      <c r="Q149" s="5">
        <f t="shared" si="6"/>
        <v>42008.403361344543</v>
      </c>
      <c r="R149" s="5">
        <f t="shared" si="7"/>
        <v>29024</v>
      </c>
      <c r="S149" s="5">
        <f t="shared" si="8"/>
        <v>12984.403361344543</v>
      </c>
    </row>
    <row r="150" spans="1:19" hidden="1" x14ac:dyDescent="0.3">
      <c r="A150">
        <v>100</v>
      </c>
      <c r="B150" t="s">
        <v>16</v>
      </c>
      <c r="C150" t="s">
        <v>478</v>
      </c>
      <c r="D150" s="2" t="s">
        <v>479</v>
      </c>
      <c r="E150" t="s">
        <v>195</v>
      </c>
      <c r="F150" t="s">
        <v>20</v>
      </c>
      <c r="G150" t="s">
        <v>21</v>
      </c>
      <c r="H150" t="s">
        <v>22</v>
      </c>
      <c r="I150" t="s">
        <v>23</v>
      </c>
      <c r="J150" t="s">
        <v>35</v>
      </c>
      <c r="K150" s="2" t="s">
        <v>422</v>
      </c>
      <c r="L150" t="s">
        <v>26</v>
      </c>
      <c r="M150">
        <v>350366</v>
      </c>
      <c r="N150">
        <v>1</v>
      </c>
      <c r="O150" s="3">
        <v>69990</v>
      </c>
      <c r="P150" s="3">
        <v>35338</v>
      </c>
      <c r="Q150" s="5">
        <f t="shared" si="6"/>
        <v>58815.126050420171</v>
      </c>
      <c r="R150" s="5">
        <f t="shared" si="7"/>
        <v>35338</v>
      </c>
      <c r="S150" s="5">
        <f t="shared" si="8"/>
        <v>23477.126050420171</v>
      </c>
    </row>
    <row r="151" spans="1:19" hidden="1" x14ac:dyDescent="0.3">
      <c r="A151">
        <v>100</v>
      </c>
      <c r="B151" t="s">
        <v>16</v>
      </c>
      <c r="C151" t="s">
        <v>480</v>
      </c>
      <c r="D151" s="2" t="s">
        <v>481</v>
      </c>
      <c r="E151" t="s">
        <v>482</v>
      </c>
      <c r="F151" t="s">
        <v>20</v>
      </c>
      <c r="G151" t="s">
        <v>21</v>
      </c>
      <c r="H151" t="s">
        <v>285</v>
      </c>
      <c r="I151" t="s">
        <v>23</v>
      </c>
      <c r="J151" t="s">
        <v>49</v>
      </c>
      <c r="K151" s="2" t="s">
        <v>422</v>
      </c>
      <c r="L151" t="s">
        <v>26</v>
      </c>
      <c r="M151">
        <v>350367</v>
      </c>
      <c r="N151">
        <v>1</v>
      </c>
      <c r="O151" s="3">
        <v>39990</v>
      </c>
      <c r="P151" s="3">
        <v>26229</v>
      </c>
      <c r="Q151" s="5">
        <f t="shared" si="6"/>
        <v>33605.042016806721</v>
      </c>
      <c r="R151" s="5">
        <f t="shared" si="7"/>
        <v>26229</v>
      </c>
      <c r="S151" s="5">
        <f t="shared" si="8"/>
        <v>7376.0420168067212</v>
      </c>
    </row>
    <row r="152" spans="1:19" hidden="1" x14ac:dyDescent="0.3">
      <c r="A152">
        <v>100</v>
      </c>
      <c r="B152" t="s">
        <v>16</v>
      </c>
      <c r="C152" t="s">
        <v>483</v>
      </c>
      <c r="D152" s="2" t="s">
        <v>484</v>
      </c>
      <c r="E152" t="s">
        <v>485</v>
      </c>
      <c r="F152" t="s">
        <v>20</v>
      </c>
      <c r="G152" t="s">
        <v>21</v>
      </c>
      <c r="H152" t="s">
        <v>247</v>
      </c>
      <c r="I152" t="s">
        <v>23</v>
      </c>
      <c r="J152" t="s">
        <v>40</v>
      </c>
      <c r="K152" s="2" t="s">
        <v>422</v>
      </c>
      <c r="L152" t="s">
        <v>26</v>
      </c>
      <c r="M152">
        <v>350368</v>
      </c>
      <c r="N152">
        <v>1</v>
      </c>
      <c r="O152" s="3">
        <v>41990</v>
      </c>
      <c r="P152" s="3">
        <v>17221</v>
      </c>
      <c r="Q152" s="5">
        <f t="shared" si="6"/>
        <v>35285.71428571429</v>
      </c>
      <c r="R152" s="5">
        <f t="shared" si="7"/>
        <v>17221</v>
      </c>
      <c r="S152" s="5">
        <f t="shared" si="8"/>
        <v>18064.71428571429</v>
      </c>
    </row>
    <row r="153" spans="1:19" hidden="1" x14ac:dyDescent="0.3">
      <c r="A153">
        <v>100</v>
      </c>
      <c r="B153" t="s">
        <v>16</v>
      </c>
      <c r="C153" t="s">
        <v>486</v>
      </c>
      <c r="D153" s="2" t="s">
        <v>487</v>
      </c>
      <c r="E153" t="s">
        <v>488</v>
      </c>
      <c r="F153" t="s">
        <v>20</v>
      </c>
      <c r="G153" t="s">
        <v>21</v>
      </c>
      <c r="H153" t="s">
        <v>489</v>
      </c>
      <c r="I153" t="s">
        <v>23</v>
      </c>
      <c r="J153" t="s">
        <v>207</v>
      </c>
      <c r="K153" s="2" t="s">
        <v>422</v>
      </c>
      <c r="L153" t="s">
        <v>26</v>
      </c>
      <c r="M153">
        <v>350369</v>
      </c>
      <c r="N153">
        <v>1</v>
      </c>
      <c r="O153" s="3">
        <v>39990</v>
      </c>
      <c r="P153" s="3">
        <v>27820</v>
      </c>
      <c r="Q153" s="5">
        <f t="shared" si="6"/>
        <v>33605.042016806721</v>
      </c>
      <c r="R153" s="5">
        <f t="shared" si="7"/>
        <v>27820</v>
      </c>
      <c r="S153" s="5">
        <f t="shared" si="8"/>
        <v>5785.0420168067212</v>
      </c>
    </row>
    <row r="154" spans="1:19" hidden="1" x14ac:dyDescent="0.3">
      <c r="A154">
        <v>100</v>
      </c>
      <c r="B154" t="s">
        <v>16</v>
      </c>
      <c r="C154" t="s">
        <v>490</v>
      </c>
      <c r="D154" s="2" t="s">
        <v>491</v>
      </c>
      <c r="E154" t="s">
        <v>439</v>
      </c>
      <c r="F154" t="s">
        <v>20</v>
      </c>
      <c r="G154" t="s">
        <v>21</v>
      </c>
      <c r="H154" t="s">
        <v>122</v>
      </c>
      <c r="I154" t="s">
        <v>23</v>
      </c>
      <c r="J154" t="s">
        <v>35</v>
      </c>
      <c r="K154" s="2" t="s">
        <v>422</v>
      </c>
      <c r="L154" t="s">
        <v>26</v>
      </c>
      <c r="M154">
        <v>350370</v>
      </c>
      <c r="N154">
        <v>1</v>
      </c>
      <c r="O154" s="3">
        <v>49990</v>
      </c>
      <c r="P154" s="3">
        <v>31951</v>
      </c>
      <c r="Q154" s="5">
        <f t="shared" si="6"/>
        <v>42008.403361344543</v>
      </c>
      <c r="R154" s="5">
        <f t="shared" si="7"/>
        <v>31951</v>
      </c>
      <c r="S154" s="5">
        <f t="shared" si="8"/>
        <v>10057.403361344543</v>
      </c>
    </row>
    <row r="155" spans="1:19" hidden="1" x14ac:dyDescent="0.3">
      <c r="A155">
        <v>100</v>
      </c>
      <c r="B155" t="s">
        <v>16</v>
      </c>
      <c r="C155" t="s">
        <v>492</v>
      </c>
      <c r="D155" s="2" t="s">
        <v>493</v>
      </c>
      <c r="E155" t="s">
        <v>494</v>
      </c>
      <c r="F155" t="s">
        <v>20</v>
      </c>
      <c r="G155" t="s">
        <v>21</v>
      </c>
      <c r="H155" t="s">
        <v>317</v>
      </c>
      <c r="I155" t="s">
        <v>23</v>
      </c>
      <c r="J155" t="s">
        <v>35</v>
      </c>
      <c r="K155" s="2" t="s">
        <v>422</v>
      </c>
      <c r="L155" t="s">
        <v>26</v>
      </c>
      <c r="M155">
        <v>350371</v>
      </c>
      <c r="N155">
        <v>1</v>
      </c>
      <c r="O155" s="3">
        <v>69950</v>
      </c>
      <c r="P155" s="3">
        <v>23619</v>
      </c>
      <c r="Q155" s="5">
        <f t="shared" si="6"/>
        <v>58781.512605042022</v>
      </c>
      <c r="R155" s="5">
        <f t="shared" si="7"/>
        <v>23619</v>
      </c>
      <c r="S155" s="5">
        <f t="shared" si="8"/>
        <v>35162.512605042022</v>
      </c>
    </row>
    <row r="156" spans="1:19" hidden="1" x14ac:dyDescent="0.3">
      <c r="A156">
        <v>100</v>
      </c>
      <c r="B156" t="s">
        <v>16</v>
      </c>
      <c r="C156" t="s">
        <v>495</v>
      </c>
      <c r="D156" s="2" t="s">
        <v>496</v>
      </c>
      <c r="E156" t="s">
        <v>309</v>
      </c>
      <c r="F156" t="s">
        <v>20</v>
      </c>
      <c r="G156" t="s">
        <v>21</v>
      </c>
      <c r="H156" t="s">
        <v>310</v>
      </c>
      <c r="I156" t="s">
        <v>23</v>
      </c>
      <c r="J156" t="s">
        <v>49</v>
      </c>
      <c r="K156" s="2" t="s">
        <v>422</v>
      </c>
      <c r="L156" t="s">
        <v>26</v>
      </c>
      <c r="M156">
        <v>350372</v>
      </c>
      <c r="N156">
        <v>1</v>
      </c>
      <c r="O156" s="3">
        <v>74950</v>
      </c>
      <c r="P156" s="3">
        <v>29347</v>
      </c>
      <c r="Q156" s="5">
        <f t="shared" si="6"/>
        <v>62983.193277310929</v>
      </c>
      <c r="R156" s="5">
        <f t="shared" si="7"/>
        <v>29347</v>
      </c>
      <c r="S156" s="5">
        <f t="shared" si="8"/>
        <v>33636.193277310929</v>
      </c>
    </row>
    <row r="157" spans="1:19" hidden="1" x14ac:dyDescent="0.3">
      <c r="A157">
        <v>100</v>
      </c>
      <c r="B157" t="s">
        <v>16</v>
      </c>
      <c r="C157" t="s">
        <v>497</v>
      </c>
      <c r="D157" s="2" t="s">
        <v>498</v>
      </c>
      <c r="E157" t="s">
        <v>499</v>
      </c>
      <c r="F157" t="s">
        <v>20</v>
      </c>
      <c r="G157" t="s">
        <v>21</v>
      </c>
      <c r="H157" t="s">
        <v>500</v>
      </c>
      <c r="I157" t="s">
        <v>23</v>
      </c>
      <c r="J157" t="s">
        <v>40</v>
      </c>
      <c r="K157" s="2" t="s">
        <v>422</v>
      </c>
      <c r="L157" t="s">
        <v>26</v>
      </c>
      <c r="M157">
        <v>350373</v>
      </c>
      <c r="N157">
        <v>1</v>
      </c>
      <c r="O157" s="3">
        <v>59950</v>
      </c>
      <c r="P157" s="3">
        <v>17416</v>
      </c>
      <c r="Q157" s="5">
        <f t="shared" si="6"/>
        <v>50378.151260504201</v>
      </c>
      <c r="R157" s="5">
        <f t="shared" si="7"/>
        <v>17416</v>
      </c>
      <c r="S157" s="5">
        <f t="shared" si="8"/>
        <v>32962.151260504201</v>
      </c>
    </row>
    <row r="158" spans="1:19" hidden="1" x14ac:dyDescent="0.3">
      <c r="A158">
        <v>100</v>
      </c>
      <c r="B158" t="s">
        <v>16</v>
      </c>
      <c r="C158" t="s">
        <v>501</v>
      </c>
      <c r="D158" s="2" t="s">
        <v>502</v>
      </c>
      <c r="E158" t="s">
        <v>503</v>
      </c>
      <c r="F158" t="s">
        <v>20</v>
      </c>
      <c r="G158" t="s">
        <v>21</v>
      </c>
      <c r="H158" t="s">
        <v>131</v>
      </c>
      <c r="I158" t="s">
        <v>23</v>
      </c>
      <c r="J158" t="s">
        <v>49</v>
      </c>
      <c r="K158" s="2" t="s">
        <v>422</v>
      </c>
      <c r="L158" t="s">
        <v>26</v>
      </c>
      <c r="M158">
        <v>350374</v>
      </c>
      <c r="N158">
        <v>1</v>
      </c>
      <c r="O158" s="3">
        <v>69950</v>
      </c>
      <c r="P158" s="3">
        <v>25828</v>
      </c>
      <c r="Q158" s="5">
        <f t="shared" si="6"/>
        <v>58781.512605042022</v>
      </c>
      <c r="R158" s="5">
        <f t="shared" si="7"/>
        <v>25828</v>
      </c>
      <c r="S158" s="5">
        <f t="shared" si="8"/>
        <v>32953.512605042022</v>
      </c>
    </row>
    <row r="159" spans="1:19" hidden="1" x14ac:dyDescent="0.3">
      <c r="A159">
        <v>100</v>
      </c>
      <c r="B159" t="s">
        <v>16</v>
      </c>
      <c r="C159" t="s">
        <v>504</v>
      </c>
      <c r="D159" s="2" t="s">
        <v>505</v>
      </c>
      <c r="E159" t="s">
        <v>506</v>
      </c>
      <c r="F159" t="s">
        <v>20</v>
      </c>
      <c r="G159" t="s">
        <v>21</v>
      </c>
      <c r="H159" t="s">
        <v>357</v>
      </c>
      <c r="I159" t="s">
        <v>23</v>
      </c>
      <c r="J159" t="s">
        <v>49</v>
      </c>
      <c r="K159" s="2" t="s">
        <v>422</v>
      </c>
      <c r="L159" t="s">
        <v>26</v>
      </c>
      <c r="M159">
        <v>350375</v>
      </c>
      <c r="N159">
        <v>1</v>
      </c>
      <c r="O159" s="3">
        <v>69950</v>
      </c>
      <c r="P159" s="3">
        <v>26636</v>
      </c>
      <c r="Q159" s="5">
        <f t="shared" si="6"/>
        <v>58781.512605042022</v>
      </c>
      <c r="R159" s="5">
        <f t="shared" si="7"/>
        <v>26636</v>
      </c>
      <c r="S159" s="5">
        <f t="shared" si="8"/>
        <v>32145.512605042022</v>
      </c>
    </row>
    <row r="160" spans="1:19" hidden="1" x14ac:dyDescent="0.3">
      <c r="A160">
        <v>100</v>
      </c>
      <c r="B160" t="s">
        <v>16</v>
      </c>
      <c r="C160" t="s">
        <v>507</v>
      </c>
      <c r="D160" s="2" t="s">
        <v>508</v>
      </c>
      <c r="E160" t="s">
        <v>509</v>
      </c>
      <c r="F160" t="s">
        <v>20</v>
      </c>
      <c r="G160" t="s">
        <v>21</v>
      </c>
      <c r="H160" t="s">
        <v>357</v>
      </c>
      <c r="I160" t="s">
        <v>23</v>
      </c>
      <c r="J160" t="s">
        <v>49</v>
      </c>
      <c r="K160" s="2" t="s">
        <v>422</v>
      </c>
      <c r="L160" t="s">
        <v>26</v>
      </c>
      <c r="M160">
        <v>350376</v>
      </c>
      <c r="N160">
        <v>1</v>
      </c>
      <c r="O160" s="3">
        <v>44990</v>
      </c>
      <c r="P160" s="3">
        <v>22420</v>
      </c>
      <c r="Q160" s="5">
        <f t="shared" si="6"/>
        <v>37806.722689075636</v>
      </c>
      <c r="R160" s="5">
        <f t="shared" si="7"/>
        <v>22420</v>
      </c>
      <c r="S160" s="5">
        <f t="shared" si="8"/>
        <v>15386.722689075636</v>
      </c>
    </row>
    <row r="161" spans="1:19" hidden="1" x14ac:dyDescent="0.3">
      <c r="A161">
        <v>100</v>
      </c>
      <c r="B161" t="s">
        <v>16</v>
      </c>
      <c r="C161" t="s">
        <v>510</v>
      </c>
      <c r="D161" s="2" t="s">
        <v>511</v>
      </c>
      <c r="E161" t="s">
        <v>512</v>
      </c>
      <c r="F161" t="s">
        <v>20</v>
      </c>
      <c r="G161" t="s">
        <v>21</v>
      </c>
      <c r="H161" t="s">
        <v>513</v>
      </c>
      <c r="I161" t="s">
        <v>23</v>
      </c>
      <c r="J161" t="s">
        <v>35</v>
      </c>
      <c r="K161" s="2" t="s">
        <v>422</v>
      </c>
      <c r="L161" t="s">
        <v>26</v>
      </c>
      <c r="M161">
        <v>350377</v>
      </c>
      <c r="N161">
        <v>1</v>
      </c>
      <c r="O161" s="3">
        <v>119950</v>
      </c>
      <c r="P161" s="3">
        <v>63050</v>
      </c>
      <c r="Q161" s="5">
        <f t="shared" si="6"/>
        <v>100798.31932773109</v>
      </c>
      <c r="R161" s="5">
        <f t="shared" si="7"/>
        <v>63050</v>
      </c>
      <c r="S161" s="5">
        <f t="shared" si="8"/>
        <v>37748.319327731093</v>
      </c>
    </row>
    <row r="162" spans="1:19" hidden="1" x14ac:dyDescent="0.3">
      <c r="A162">
        <v>100</v>
      </c>
      <c r="B162" t="s">
        <v>16</v>
      </c>
      <c r="C162" t="s">
        <v>514</v>
      </c>
      <c r="D162" s="2" t="s">
        <v>515</v>
      </c>
      <c r="E162" t="s">
        <v>516</v>
      </c>
      <c r="F162" t="s">
        <v>20</v>
      </c>
      <c r="G162" t="s">
        <v>338</v>
      </c>
      <c r="H162">
        <v>23763</v>
      </c>
      <c r="I162" t="s">
        <v>23</v>
      </c>
      <c r="J162" t="s">
        <v>40</v>
      </c>
      <c r="K162" s="2" t="s">
        <v>422</v>
      </c>
      <c r="L162" t="s">
        <v>26</v>
      </c>
      <c r="M162">
        <v>350378</v>
      </c>
      <c r="N162">
        <v>1</v>
      </c>
      <c r="O162" s="3">
        <v>59950</v>
      </c>
      <c r="P162" s="3">
        <v>19813</v>
      </c>
      <c r="Q162" s="5">
        <f t="shared" si="6"/>
        <v>50378.151260504201</v>
      </c>
      <c r="R162" s="5">
        <f t="shared" si="7"/>
        <v>19813</v>
      </c>
      <c r="S162" s="5">
        <f t="shared" si="8"/>
        <v>30565.151260504201</v>
      </c>
    </row>
    <row r="163" spans="1:19" hidden="1" x14ac:dyDescent="0.3">
      <c r="A163">
        <v>100</v>
      </c>
      <c r="B163" t="s">
        <v>16</v>
      </c>
      <c r="C163" t="s">
        <v>517</v>
      </c>
      <c r="D163" s="2" t="s">
        <v>518</v>
      </c>
      <c r="E163" t="s">
        <v>519</v>
      </c>
      <c r="F163" t="s">
        <v>20</v>
      </c>
      <c r="G163" t="s">
        <v>21</v>
      </c>
      <c r="H163" t="s">
        <v>520</v>
      </c>
      <c r="I163" t="s">
        <v>23</v>
      </c>
      <c r="J163" t="s">
        <v>35</v>
      </c>
      <c r="K163" s="2" t="s">
        <v>422</v>
      </c>
      <c r="L163" t="s">
        <v>26</v>
      </c>
      <c r="M163">
        <v>350379</v>
      </c>
      <c r="N163">
        <v>1</v>
      </c>
      <c r="O163" s="3">
        <v>89950</v>
      </c>
      <c r="P163" s="3">
        <v>36238</v>
      </c>
      <c r="Q163" s="5">
        <f t="shared" si="6"/>
        <v>75588.23529411765</v>
      </c>
      <c r="R163" s="5">
        <f t="shared" si="7"/>
        <v>36238</v>
      </c>
      <c r="S163" s="5">
        <f t="shared" si="8"/>
        <v>39350.23529411765</v>
      </c>
    </row>
    <row r="164" spans="1:19" hidden="1" x14ac:dyDescent="0.3">
      <c r="A164">
        <v>100</v>
      </c>
      <c r="B164" t="s">
        <v>16</v>
      </c>
      <c r="C164" t="s">
        <v>521</v>
      </c>
      <c r="D164" s="2" t="s">
        <v>522</v>
      </c>
      <c r="E164" t="s">
        <v>523</v>
      </c>
      <c r="F164" t="s">
        <v>20</v>
      </c>
      <c r="G164" t="s">
        <v>338</v>
      </c>
      <c r="H164">
        <v>23603</v>
      </c>
      <c r="I164" t="s">
        <v>23</v>
      </c>
      <c r="J164" t="s">
        <v>40</v>
      </c>
      <c r="K164" s="2" t="s">
        <v>422</v>
      </c>
      <c r="L164" t="s">
        <v>26</v>
      </c>
      <c r="M164">
        <v>350380</v>
      </c>
      <c r="N164">
        <v>1</v>
      </c>
      <c r="O164" s="3">
        <v>69950</v>
      </c>
      <c r="P164" s="3">
        <v>22607</v>
      </c>
      <c r="Q164" s="5">
        <f t="shared" si="6"/>
        <v>58781.512605042022</v>
      </c>
      <c r="R164" s="5">
        <f t="shared" si="7"/>
        <v>22607</v>
      </c>
      <c r="S164" s="5">
        <f t="shared" si="8"/>
        <v>36174.512605042022</v>
      </c>
    </row>
    <row r="165" spans="1:19" hidden="1" x14ac:dyDescent="0.3">
      <c r="A165">
        <v>100</v>
      </c>
      <c r="B165" t="s">
        <v>16</v>
      </c>
      <c r="C165" t="s">
        <v>524</v>
      </c>
      <c r="D165" s="2" t="s">
        <v>525</v>
      </c>
      <c r="E165" t="s">
        <v>526</v>
      </c>
      <c r="F165" t="s">
        <v>20</v>
      </c>
      <c r="G165" t="s">
        <v>21</v>
      </c>
      <c r="H165" t="s">
        <v>527</v>
      </c>
      <c r="I165" t="s">
        <v>23</v>
      </c>
      <c r="J165" t="s">
        <v>35</v>
      </c>
      <c r="K165" s="2" t="s">
        <v>422</v>
      </c>
      <c r="L165" t="s">
        <v>26</v>
      </c>
      <c r="M165">
        <v>350381</v>
      </c>
      <c r="N165">
        <v>1</v>
      </c>
      <c r="O165" s="3">
        <v>84950</v>
      </c>
      <c r="P165" s="3">
        <v>35050</v>
      </c>
      <c r="Q165" s="5">
        <f t="shared" si="6"/>
        <v>71386.554621848743</v>
      </c>
      <c r="R165" s="5">
        <f t="shared" si="7"/>
        <v>35050</v>
      </c>
      <c r="S165" s="5">
        <f t="shared" si="8"/>
        <v>36336.554621848743</v>
      </c>
    </row>
    <row r="166" spans="1:19" hidden="1" x14ac:dyDescent="0.3">
      <c r="A166">
        <v>100</v>
      </c>
      <c r="B166" t="s">
        <v>16</v>
      </c>
      <c r="C166" t="s">
        <v>528</v>
      </c>
      <c r="D166" s="2" t="s">
        <v>529</v>
      </c>
      <c r="E166" t="s">
        <v>530</v>
      </c>
      <c r="F166" t="s">
        <v>20</v>
      </c>
      <c r="G166" t="s">
        <v>21</v>
      </c>
      <c r="H166" t="s">
        <v>527</v>
      </c>
      <c r="I166" t="s">
        <v>23</v>
      </c>
      <c r="J166" t="s">
        <v>35</v>
      </c>
      <c r="K166" s="2" t="s">
        <v>422</v>
      </c>
      <c r="L166" t="s">
        <v>26</v>
      </c>
      <c r="M166">
        <v>350381</v>
      </c>
      <c r="N166">
        <v>1</v>
      </c>
      <c r="O166" s="3">
        <v>84950</v>
      </c>
      <c r="P166" s="3">
        <v>34296</v>
      </c>
      <c r="Q166" s="5">
        <f t="shared" si="6"/>
        <v>71386.554621848743</v>
      </c>
      <c r="R166" s="5">
        <f t="shared" si="7"/>
        <v>34296</v>
      </c>
      <c r="S166" s="5">
        <f t="shared" si="8"/>
        <v>37090.554621848743</v>
      </c>
    </row>
    <row r="167" spans="1:19" hidden="1" x14ac:dyDescent="0.3">
      <c r="A167">
        <v>100</v>
      </c>
      <c r="B167" t="s">
        <v>16</v>
      </c>
      <c r="C167" t="s">
        <v>531</v>
      </c>
      <c r="D167" s="2" t="s">
        <v>532</v>
      </c>
      <c r="E167" t="s">
        <v>533</v>
      </c>
      <c r="F167" t="s">
        <v>20</v>
      </c>
      <c r="G167" t="s">
        <v>21</v>
      </c>
      <c r="H167" t="s">
        <v>534</v>
      </c>
      <c r="I167" t="s">
        <v>23</v>
      </c>
      <c r="J167" t="s">
        <v>35</v>
      </c>
      <c r="K167" s="2" t="s">
        <v>422</v>
      </c>
      <c r="L167" t="s">
        <v>26</v>
      </c>
      <c r="M167">
        <v>350382</v>
      </c>
      <c r="N167">
        <v>1</v>
      </c>
      <c r="O167" s="3">
        <v>89950</v>
      </c>
      <c r="P167" s="3">
        <v>36200</v>
      </c>
      <c r="Q167" s="5">
        <f t="shared" si="6"/>
        <v>75588.23529411765</v>
      </c>
      <c r="R167" s="5">
        <f t="shared" si="7"/>
        <v>36200</v>
      </c>
      <c r="S167" s="5">
        <f t="shared" si="8"/>
        <v>39388.23529411765</v>
      </c>
    </row>
    <row r="168" spans="1:19" hidden="1" x14ac:dyDescent="0.3">
      <c r="A168">
        <v>100</v>
      </c>
      <c r="B168" t="s">
        <v>16</v>
      </c>
      <c r="C168" t="s">
        <v>535</v>
      </c>
      <c r="D168" s="2" t="s">
        <v>536</v>
      </c>
      <c r="E168" t="s">
        <v>537</v>
      </c>
      <c r="F168" t="s">
        <v>20</v>
      </c>
      <c r="G168" t="s">
        <v>21</v>
      </c>
      <c r="H168" t="s">
        <v>368</v>
      </c>
      <c r="I168" t="s">
        <v>23</v>
      </c>
      <c r="J168" t="s">
        <v>40</v>
      </c>
      <c r="K168" s="2" t="s">
        <v>422</v>
      </c>
      <c r="L168" t="s">
        <v>26</v>
      </c>
      <c r="M168">
        <v>350383</v>
      </c>
      <c r="N168">
        <v>1</v>
      </c>
      <c r="O168" s="3">
        <v>34990</v>
      </c>
      <c r="P168" s="3">
        <v>21072</v>
      </c>
      <c r="Q168" s="5">
        <f t="shared" si="6"/>
        <v>29403.361344537818</v>
      </c>
      <c r="R168" s="5">
        <f t="shared" si="7"/>
        <v>21072</v>
      </c>
      <c r="S168" s="5">
        <f t="shared" si="8"/>
        <v>8331.3613445378178</v>
      </c>
    </row>
    <row r="169" spans="1:19" hidden="1" x14ac:dyDescent="0.3">
      <c r="A169">
        <v>100</v>
      </c>
      <c r="B169" t="s">
        <v>16</v>
      </c>
      <c r="C169" t="s">
        <v>538</v>
      </c>
      <c r="D169" s="2" t="s">
        <v>539</v>
      </c>
      <c r="E169" t="s">
        <v>540</v>
      </c>
      <c r="F169" t="s">
        <v>20</v>
      </c>
      <c r="G169" t="s">
        <v>21</v>
      </c>
      <c r="H169" t="s">
        <v>527</v>
      </c>
      <c r="I169" t="s">
        <v>23</v>
      </c>
      <c r="J169" t="s">
        <v>35</v>
      </c>
      <c r="K169" s="2" t="s">
        <v>422</v>
      </c>
      <c r="L169" t="s">
        <v>26</v>
      </c>
      <c r="M169">
        <v>350384</v>
      </c>
      <c r="N169">
        <v>1</v>
      </c>
      <c r="O169" s="3">
        <v>64990</v>
      </c>
      <c r="P169" s="3">
        <v>33935</v>
      </c>
      <c r="Q169" s="5">
        <f t="shared" si="6"/>
        <v>54613.445378151264</v>
      </c>
      <c r="R169" s="5">
        <f t="shared" si="7"/>
        <v>33935</v>
      </c>
      <c r="S169" s="5">
        <f t="shared" si="8"/>
        <v>20678.445378151264</v>
      </c>
    </row>
    <row r="170" spans="1:19" hidden="1" x14ac:dyDescent="0.3">
      <c r="A170">
        <v>100</v>
      </c>
      <c r="B170" t="s">
        <v>16</v>
      </c>
      <c r="C170" t="s">
        <v>541</v>
      </c>
      <c r="D170" s="2" t="s">
        <v>542</v>
      </c>
      <c r="E170" t="s">
        <v>533</v>
      </c>
      <c r="F170" t="s">
        <v>20</v>
      </c>
      <c r="G170" t="s">
        <v>21</v>
      </c>
      <c r="H170" t="s">
        <v>534</v>
      </c>
      <c r="I170" t="s">
        <v>23</v>
      </c>
      <c r="J170" t="s">
        <v>35</v>
      </c>
      <c r="K170" s="2" t="s">
        <v>422</v>
      </c>
      <c r="L170" t="s">
        <v>26</v>
      </c>
      <c r="M170">
        <v>350385</v>
      </c>
      <c r="N170">
        <v>1</v>
      </c>
      <c r="O170" s="3">
        <v>59990</v>
      </c>
      <c r="P170" s="3">
        <v>36200</v>
      </c>
      <c r="Q170" s="5">
        <f t="shared" si="6"/>
        <v>50411.764705882357</v>
      </c>
      <c r="R170" s="5">
        <f t="shared" si="7"/>
        <v>36200</v>
      </c>
      <c r="S170" s="5">
        <f t="shared" si="8"/>
        <v>14211.764705882357</v>
      </c>
    </row>
    <row r="171" spans="1:19" hidden="1" x14ac:dyDescent="0.3">
      <c r="A171">
        <v>100</v>
      </c>
      <c r="B171" t="s">
        <v>16</v>
      </c>
      <c r="C171" t="s">
        <v>543</v>
      </c>
      <c r="D171" s="2" t="s">
        <v>544</v>
      </c>
      <c r="E171" t="s">
        <v>545</v>
      </c>
      <c r="F171" t="s">
        <v>20</v>
      </c>
      <c r="G171" t="s">
        <v>21</v>
      </c>
      <c r="H171" t="s">
        <v>368</v>
      </c>
      <c r="I171" t="s">
        <v>23</v>
      </c>
      <c r="J171" t="s">
        <v>40</v>
      </c>
      <c r="K171" s="2" t="s">
        <v>422</v>
      </c>
      <c r="L171" t="s">
        <v>26</v>
      </c>
      <c r="M171">
        <v>350386</v>
      </c>
      <c r="N171">
        <v>1</v>
      </c>
      <c r="O171" s="3">
        <v>39990</v>
      </c>
      <c r="P171" s="3">
        <v>24060</v>
      </c>
      <c r="Q171" s="5">
        <f t="shared" si="6"/>
        <v>33605.042016806721</v>
      </c>
      <c r="R171" s="5">
        <f t="shared" si="7"/>
        <v>24060</v>
      </c>
      <c r="S171" s="5">
        <f t="shared" si="8"/>
        <v>9545.0420168067212</v>
      </c>
    </row>
    <row r="172" spans="1:19" hidden="1" x14ac:dyDescent="0.3">
      <c r="A172">
        <v>100</v>
      </c>
      <c r="B172" t="s">
        <v>16</v>
      </c>
      <c r="C172" t="s">
        <v>546</v>
      </c>
      <c r="D172" s="2" t="s">
        <v>547</v>
      </c>
      <c r="E172" t="s">
        <v>548</v>
      </c>
      <c r="F172" t="s">
        <v>20</v>
      </c>
      <c r="G172" t="s">
        <v>21</v>
      </c>
      <c r="H172" t="s">
        <v>199</v>
      </c>
      <c r="I172" t="s">
        <v>23</v>
      </c>
      <c r="J172" t="s">
        <v>31</v>
      </c>
      <c r="K172" s="2" t="s">
        <v>422</v>
      </c>
      <c r="L172" t="s">
        <v>26</v>
      </c>
      <c r="M172">
        <v>350387</v>
      </c>
      <c r="N172">
        <v>1</v>
      </c>
      <c r="O172" s="3">
        <v>89990</v>
      </c>
      <c r="P172" s="3">
        <v>39896</v>
      </c>
      <c r="Q172" s="5">
        <f t="shared" si="6"/>
        <v>75621.848739495807</v>
      </c>
      <c r="R172" s="5">
        <f t="shared" si="7"/>
        <v>39896</v>
      </c>
      <c r="S172" s="5">
        <f t="shared" si="8"/>
        <v>35725.848739495807</v>
      </c>
    </row>
    <row r="173" spans="1:19" hidden="1" x14ac:dyDescent="0.3">
      <c r="A173">
        <v>100</v>
      </c>
      <c r="B173" t="s">
        <v>16</v>
      </c>
      <c r="C173" t="s">
        <v>458</v>
      </c>
      <c r="D173" s="2" t="s">
        <v>459</v>
      </c>
      <c r="E173" t="s">
        <v>460</v>
      </c>
      <c r="F173" t="s">
        <v>20</v>
      </c>
      <c r="G173" t="s">
        <v>21</v>
      </c>
      <c r="H173" t="s">
        <v>461</v>
      </c>
      <c r="I173" t="s">
        <v>23</v>
      </c>
      <c r="J173" t="s">
        <v>35</v>
      </c>
      <c r="K173" s="2" t="s">
        <v>422</v>
      </c>
      <c r="L173" t="s">
        <v>26</v>
      </c>
      <c r="M173">
        <v>350388</v>
      </c>
      <c r="N173">
        <v>1</v>
      </c>
      <c r="O173" s="3">
        <v>49990</v>
      </c>
      <c r="P173" s="3">
        <v>30929</v>
      </c>
      <c r="Q173" s="5">
        <f t="shared" si="6"/>
        <v>42008.403361344543</v>
      </c>
      <c r="R173" s="5">
        <f t="shared" si="7"/>
        <v>30929</v>
      </c>
      <c r="S173" s="5">
        <f t="shared" si="8"/>
        <v>11079.403361344543</v>
      </c>
    </row>
    <row r="174" spans="1:19" hidden="1" x14ac:dyDescent="0.3">
      <c r="A174">
        <v>100</v>
      </c>
      <c r="B174" t="s">
        <v>16</v>
      </c>
      <c r="C174" t="s">
        <v>549</v>
      </c>
      <c r="D174" s="2" t="s">
        <v>550</v>
      </c>
      <c r="E174" t="s">
        <v>271</v>
      </c>
      <c r="F174" t="s">
        <v>20</v>
      </c>
      <c r="G174" t="s">
        <v>21</v>
      </c>
      <c r="H174" t="s">
        <v>272</v>
      </c>
      <c r="I174" t="s">
        <v>23</v>
      </c>
      <c r="J174" t="s">
        <v>35</v>
      </c>
      <c r="K174" s="2" t="s">
        <v>422</v>
      </c>
      <c r="L174" t="s">
        <v>26</v>
      </c>
      <c r="M174">
        <v>350389</v>
      </c>
      <c r="N174">
        <v>1</v>
      </c>
      <c r="O174" s="3">
        <v>49990</v>
      </c>
      <c r="P174" s="3">
        <v>28184</v>
      </c>
      <c r="Q174" s="5">
        <f t="shared" si="6"/>
        <v>42008.403361344543</v>
      </c>
      <c r="R174" s="5">
        <f t="shared" si="7"/>
        <v>28184</v>
      </c>
      <c r="S174" s="5">
        <f t="shared" si="8"/>
        <v>13824.403361344543</v>
      </c>
    </row>
    <row r="175" spans="1:19" hidden="1" x14ac:dyDescent="0.3">
      <c r="A175">
        <v>100</v>
      </c>
      <c r="B175" t="s">
        <v>16</v>
      </c>
      <c r="C175" t="s">
        <v>289</v>
      </c>
      <c r="D175" s="2" t="s">
        <v>290</v>
      </c>
      <c r="E175" t="s">
        <v>291</v>
      </c>
      <c r="F175" t="s">
        <v>20</v>
      </c>
      <c r="G175" t="s">
        <v>21</v>
      </c>
      <c r="H175" t="s">
        <v>99</v>
      </c>
      <c r="I175" t="s">
        <v>23</v>
      </c>
      <c r="J175" t="s">
        <v>40</v>
      </c>
      <c r="K175" s="2" t="s">
        <v>422</v>
      </c>
      <c r="L175" t="s">
        <v>26</v>
      </c>
      <c r="M175">
        <v>350390</v>
      </c>
      <c r="N175">
        <v>1</v>
      </c>
      <c r="O175" s="3">
        <v>39990</v>
      </c>
      <c r="P175" s="3">
        <v>31785</v>
      </c>
      <c r="Q175" s="5">
        <f t="shared" si="6"/>
        <v>33605.042016806721</v>
      </c>
      <c r="R175" s="5">
        <f t="shared" si="7"/>
        <v>31785</v>
      </c>
      <c r="S175" s="5">
        <f t="shared" si="8"/>
        <v>1820.0420168067212</v>
      </c>
    </row>
    <row r="176" spans="1:19" hidden="1" x14ac:dyDescent="0.3">
      <c r="A176">
        <v>100</v>
      </c>
      <c r="B176" t="s">
        <v>16</v>
      </c>
      <c r="C176" t="s">
        <v>551</v>
      </c>
      <c r="D176" s="2" t="s">
        <v>552</v>
      </c>
      <c r="E176" t="s">
        <v>553</v>
      </c>
      <c r="F176" t="s">
        <v>20</v>
      </c>
      <c r="G176" t="s">
        <v>21</v>
      </c>
      <c r="H176" t="s">
        <v>353</v>
      </c>
      <c r="I176" t="s">
        <v>23</v>
      </c>
      <c r="J176" t="s">
        <v>95</v>
      </c>
      <c r="K176" s="2" t="s">
        <v>422</v>
      </c>
      <c r="L176" t="s">
        <v>26</v>
      </c>
      <c r="M176">
        <v>350391</v>
      </c>
      <c r="N176">
        <v>1</v>
      </c>
      <c r="O176" s="3">
        <v>48990</v>
      </c>
      <c r="P176" s="3">
        <v>31000</v>
      </c>
      <c r="Q176" s="5">
        <f t="shared" si="6"/>
        <v>41168.067226890758</v>
      </c>
      <c r="R176" s="5">
        <f t="shared" si="7"/>
        <v>31000</v>
      </c>
      <c r="S176" s="5">
        <f t="shared" si="8"/>
        <v>10168.067226890758</v>
      </c>
    </row>
    <row r="177" spans="1:19" hidden="1" x14ac:dyDescent="0.3">
      <c r="A177">
        <v>100</v>
      </c>
      <c r="B177" t="s">
        <v>16</v>
      </c>
      <c r="C177" t="s">
        <v>554</v>
      </c>
      <c r="D177" s="2" t="s">
        <v>555</v>
      </c>
      <c r="E177" t="s">
        <v>556</v>
      </c>
      <c r="F177" t="s">
        <v>20</v>
      </c>
      <c r="G177" t="s">
        <v>21</v>
      </c>
      <c r="H177" t="s">
        <v>557</v>
      </c>
      <c r="I177" t="s">
        <v>23</v>
      </c>
      <c r="J177" t="s">
        <v>40</v>
      </c>
      <c r="K177" s="2" t="s">
        <v>422</v>
      </c>
      <c r="L177" t="s">
        <v>26</v>
      </c>
      <c r="M177">
        <v>350392</v>
      </c>
      <c r="N177">
        <v>1</v>
      </c>
      <c r="O177" s="3">
        <v>54990</v>
      </c>
      <c r="P177" s="3">
        <v>28049</v>
      </c>
      <c r="Q177" s="5">
        <f t="shared" si="6"/>
        <v>46210.08403361345</v>
      </c>
      <c r="R177" s="5">
        <f t="shared" si="7"/>
        <v>28049</v>
      </c>
      <c r="S177" s="5">
        <f t="shared" si="8"/>
        <v>18161.08403361345</v>
      </c>
    </row>
    <row r="178" spans="1:19" hidden="1" x14ac:dyDescent="0.3">
      <c r="A178">
        <v>100</v>
      </c>
      <c r="B178" t="s">
        <v>16</v>
      </c>
      <c r="C178" t="s">
        <v>558</v>
      </c>
      <c r="D178" s="2" t="s">
        <v>559</v>
      </c>
      <c r="E178" t="s">
        <v>560</v>
      </c>
      <c r="F178" t="s">
        <v>20</v>
      </c>
      <c r="G178" t="s">
        <v>21</v>
      </c>
      <c r="H178" t="s">
        <v>561</v>
      </c>
      <c r="I178" t="s">
        <v>23</v>
      </c>
      <c r="J178" t="s">
        <v>40</v>
      </c>
      <c r="K178" s="2" t="s">
        <v>422</v>
      </c>
      <c r="L178" t="s">
        <v>26</v>
      </c>
      <c r="M178">
        <v>350393</v>
      </c>
      <c r="N178">
        <v>1</v>
      </c>
      <c r="O178" s="3">
        <v>39990</v>
      </c>
      <c r="P178" s="3">
        <v>30153</v>
      </c>
      <c r="Q178" s="5">
        <f t="shared" si="6"/>
        <v>33605.042016806721</v>
      </c>
      <c r="R178" s="5">
        <f t="shared" si="7"/>
        <v>30153</v>
      </c>
      <c r="S178" s="5">
        <f t="shared" si="8"/>
        <v>3452.0420168067212</v>
      </c>
    </row>
    <row r="179" spans="1:19" hidden="1" x14ac:dyDescent="0.3">
      <c r="A179">
        <v>100</v>
      </c>
      <c r="B179" t="s">
        <v>16</v>
      </c>
      <c r="C179" t="s">
        <v>562</v>
      </c>
      <c r="D179" s="2" t="s">
        <v>563</v>
      </c>
      <c r="E179" t="s">
        <v>564</v>
      </c>
      <c r="F179" t="s">
        <v>20</v>
      </c>
      <c r="G179" t="s">
        <v>21</v>
      </c>
      <c r="H179" t="s">
        <v>565</v>
      </c>
      <c r="I179" t="s">
        <v>23</v>
      </c>
      <c r="J179" t="s">
        <v>49</v>
      </c>
      <c r="K179" s="2" t="s">
        <v>422</v>
      </c>
      <c r="L179" t="s">
        <v>26</v>
      </c>
      <c r="M179">
        <v>350394</v>
      </c>
      <c r="N179">
        <v>1</v>
      </c>
      <c r="O179" s="3">
        <v>49990</v>
      </c>
      <c r="P179" s="3">
        <v>27663</v>
      </c>
      <c r="Q179" s="5">
        <f t="shared" si="6"/>
        <v>42008.403361344543</v>
      </c>
      <c r="R179" s="5">
        <f t="shared" si="7"/>
        <v>27663</v>
      </c>
      <c r="S179" s="5">
        <f t="shared" si="8"/>
        <v>14345.403361344543</v>
      </c>
    </row>
    <row r="180" spans="1:19" hidden="1" x14ac:dyDescent="0.3">
      <c r="A180">
        <v>100</v>
      </c>
      <c r="B180" t="s">
        <v>16</v>
      </c>
      <c r="C180" t="s">
        <v>566</v>
      </c>
      <c r="D180" s="2" t="s">
        <v>567</v>
      </c>
      <c r="E180" t="s">
        <v>568</v>
      </c>
      <c r="F180" t="s">
        <v>20</v>
      </c>
      <c r="G180" t="s">
        <v>21</v>
      </c>
      <c r="H180" t="s">
        <v>569</v>
      </c>
      <c r="I180" t="s">
        <v>23</v>
      </c>
      <c r="J180" t="s">
        <v>207</v>
      </c>
      <c r="K180" s="2" t="s">
        <v>422</v>
      </c>
      <c r="L180" t="s">
        <v>26</v>
      </c>
      <c r="M180">
        <v>350395</v>
      </c>
      <c r="N180">
        <v>1</v>
      </c>
      <c r="O180" s="3">
        <v>34990</v>
      </c>
      <c r="P180" s="3">
        <v>22783</v>
      </c>
      <c r="Q180" s="5">
        <f t="shared" si="6"/>
        <v>29403.361344537818</v>
      </c>
      <c r="R180" s="5">
        <f t="shared" si="7"/>
        <v>22783</v>
      </c>
      <c r="S180" s="5">
        <f t="shared" si="8"/>
        <v>6620.3613445378178</v>
      </c>
    </row>
    <row r="181" spans="1:19" hidden="1" x14ac:dyDescent="0.3">
      <c r="A181">
        <v>100</v>
      </c>
      <c r="B181" t="s">
        <v>16</v>
      </c>
      <c r="C181" t="s">
        <v>570</v>
      </c>
      <c r="D181" s="2" t="s">
        <v>571</v>
      </c>
      <c r="E181" t="s">
        <v>572</v>
      </c>
      <c r="F181" t="s">
        <v>20</v>
      </c>
      <c r="G181" t="s">
        <v>21</v>
      </c>
      <c r="H181" t="s">
        <v>573</v>
      </c>
      <c r="I181" t="s">
        <v>23</v>
      </c>
      <c r="J181" t="s">
        <v>35</v>
      </c>
      <c r="K181" s="2" t="s">
        <v>422</v>
      </c>
      <c r="L181" t="s">
        <v>26</v>
      </c>
      <c r="M181">
        <v>350395</v>
      </c>
      <c r="N181">
        <v>1</v>
      </c>
      <c r="O181" s="3">
        <v>59990</v>
      </c>
      <c r="P181" s="3">
        <v>26835</v>
      </c>
      <c r="Q181" s="5">
        <f t="shared" si="6"/>
        <v>50411.764705882357</v>
      </c>
      <c r="R181" s="5">
        <f t="shared" si="7"/>
        <v>26835</v>
      </c>
      <c r="S181" s="5">
        <f t="shared" si="8"/>
        <v>23576.764705882357</v>
      </c>
    </row>
    <row r="182" spans="1:19" hidden="1" x14ac:dyDescent="0.3">
      <c r="A182">
        <v>100</v>
      </c>
      <c r="B182" t="s">
        <v>16</v>
      </c>
      <c r="C182" t="s">
        <v>574</v>
      </c>
      <c r="D182" s="2" t="s">
        <v>575</v>
      </c>
      <c r="E182" t="s">
        <v>556</v>
      </c>
      <c r="F182" t="s">
        <v>20</v>
      </c>
      <c r="G182" t="s">
        <v>21</v>
      </c>
      <c r="H182" t="s">
        <v>557</v>
      </c>
      <c r="I182" t="s">
        <v>23</v>
      </c>
      <c r="J182" t="s">
        <v>40</v>
      </c>
      <c r="K182" s="2" t="s">
        <v>422</v>
      </c>
      <c r="L182" t="s">
        <v>26</v>
      </c>
      <c r="M182">
        <v>350396</v>
      </c>
      <c r="N182">
        <v>1</v>
      </c>
      <c r="O182" s="3">
        <v>54990</v>
      </c>
      <c r="P182" s="3">
        <v>28049</v>
      </c>
      <c r="Q182" s="5">
        <f t="shared" si="6"/>
        <v>46210.08403361345</v>
      </c>
      <c r="R182" s="5">
        <f t="shared" si="7"/>
        <v>28049</v>
      </c>
      <c r="S182" s="5">
        <f t="shared" si="8"/>
        <v>18161.08403361345</v>
      </c>
    </row>
    <row r="183" spans="1:19" hidden="1" x14ac:dyDescent="0.3">
      <c r="A183">
        <v>100</v>
      </c>
      <c r="B183" t="s">
        <v>16</v>
      </c>
      <c r="C183" t="s">
        <v>576</v>
      </c>
      <c r="D183" s="2" t="s">
        <v>577</v>
      </c>
      <c r="E183" t="s">
        <v>578</v>
      </c>
      <c r="F183" t="s">
        <v>20</v>
      </c>
      <c r="G183" t="s">
        <v>21</v>
      </c>
      <c r="H183" t="s">
        <v>579</v>
      </c>
      <c r="I183" t="s">
        <v>23</v>
      </c>
      <c r="J183" t="s">
        <v>49</v>
      </c>
      <c r="K183" s="2" t="s">
        <v>422</v>
      </c>
      <c r="L183" t="s">
        <v>26</v>
      </c>
      <c r="M183">
        <v>350397</v>
      </c>
      <c r="N183">
        <v>1</v>
      </c>
      <c r="O183" s="3">
        <v>44990</v>
      </c>
      <c r="P183" s="3">
        <v>27480</v>
      </c>
      <c r="Q183" s="5">
        <f t="shared" si="6"/>
        <v>37806.722689075636</v>
      </c>
      <c r="R183" s="5">
        <f t="shared" si="7"/>
        <v>27480</v>
      </c>
      <c r="S183" s="5">
        <f t="shared" si="8"/>
        <v>10326.722689075636</v>
      </c>
    </row>
    <row r="184" spans="1:19" hidden="1" x14ac:dyDescent="0.3">
      <c r="A184">
        <v>100</v>
      </c>
      <c r="B184" t="s">
        <v>16</v>
      </c>
      <c r="C184" t="s">
        <v>580</v>
      </c>
      <c r="D184" s="2" t="s">
        <v>581</v>
      </c>
      <c r="E184" t="s">
        <v>582</v>
      </c>
      <c r="F184" t="s">
        <v>20</v>
      </c>
      <c r="G184" t="s">
        <v>21</v>
      </c>
      <c r="H184" t="s">
        <v>53</v>
      </c>
      <c r="I184" t="s">
        <v>23</v>
      </c>
      <c r="J184" t="s">
        <v>49</v>
      </c>
      <c r="K184" s="2" t="s">
        <v>422</v>
      </c>
      <c r="L184" t="s">
        <v>26</v>
      </c>
      <c r="M184">
        <v>350398</v>
      </c>
      <c r="N184">
        <v>1</v>
      </c>
      <c r="O184" s="3">
        <v>34990</v>
      </c>
      <c r="P184" s="3">
        <v>18335</v>
      </c>
      <c r="Q184" s="5">
        <f t="shared" si="6"/>
        <v>29403.361344537818</v>
      </c>
      <c r="R184" s="5">
        <f t="shared" si="7"/>
        <v>18335</v>
      </c>
      <c r="S184" s="5">
        <f t="shared" si="8"/>
        <v>11068.361344537818</v>
      </c>
    </row>
    <row r="185" spans="1:19" hidden="1" x14ac:dyDescent="0.3">
      <c r="A185">
        <v>100</v>
      </c>
      <c r="B185" t="s">
        <v>16</v>
      </c>
      <c r="C185" t="s">
        <v>583</v>
      </c>
      <c r="D185" s="2" t="s">
        <v>584</v>
      </c>
      <c r="E185" t="s">
        <v>585</v>
      </c>
      <c r="F185" t="s">
        <v>20</v>
      </c>
      <c r="G185" t="s">
        <v>21</v>
      </c>
      <c r="H185" t="s">
        <v>586</v>
      </c>
      <c r="I185" t="s">
        <v>23</v>
      </c>
      <c r="J185" t="s">
        <v>40</v>
      </c>
      <c r="K185" s="2" t="s">
        <v>422</v>
      </c>
      <c r="L185" t="s">
        <v>26</v>
      </c>
      <c r="M185">
        <v>350399</v>
      </c>
      <c r="N185">
        <v>1</v>
      </c>
      <c r="O185" s="3">
        <v>49990</v>
      </c>
      <c r="P185" s="3">
        <v>29257</v>
      </c>
      <c r="Q185" s="5">
        <f t="shared" si="6"/>
        <v>42008.403361344543</v>
      </c>
      <c r="R185" s="5">
        <f t="shared" si="7"/>
        <v>29257</v>
      </c>
      <c r="S185" s="5">
        <f t="shared" si="8"/>
        <v>12751.403361344543</v>
      </c>
    </row>
    <row r="186" spans="1:19" hidden="1" x14ac:dyDescent="0.3">
      <c r="A186">
        <v>100</v>
      </c>
      <c r="B186" t="s">
        <v>16</v>
      </c>
      <c r="C186" t="s">
        <v>396</v>
      </c>
      <c r="D186" s="2" t="s">
        <v>397</v>
      </c>
      <c r="E186" t="s">
        <v>47</v>
      </c>
      <c r="F186" t="s">
        <v>20</v>
      </c>
      <c r="G186" t="s">
        <v>21</v>
      </c>
      <c r="H186" t="s">
        <v>48</v>
      </c>
      <c r="I186" t="s">
        <v>23</v>
      </c>
      <c r="J186" t="s">
        <v>49</v>
      </c>
      <c r="K186" s="2" t="s">
        <v>422</v>
      </c>
      <c r="L186" t="s">
        <v>26</v>
      </c>
      <c r="M186">
        <v>350400</v>
      </c>
      <c r="N186">
        <v>1</v>
      </c>
      <c r="O186" s="3">
        <v>39990</v>
      </c>
      <c r="P186" s="3">
        <v>24460</v>
      </c>
      <c r="Q186" s="5">
        <f t="shared" si="6"/>
        <v>33605.042016806721</v>
      </c>
      <c r="R186" s="5">
        <f t="shared" si="7"/>
        <v>24460</v>
      </c>
      <c r="S186" s="5">
        <f t="shared" si="8"/>
        <v>9145.0420168067212</v>
      </c>
    </row>
    <row r="187" spans="1:19" hidden="1" x14ac:dyDescent="0.3">
      <c r="A187">
        <v>100</v>
      </c>
      <c r="B187" t="s">
        <v>16</v>
      </c>
      <c r="C187" t="s">
        <v>587</v>
      </c>
      <c r="D187" s="2" t="s">
        <v>588</v>
      </c>
      <c r="E187" t="s">
        <v>589</v>
      </c>
      <c r="F187" t="s">
        <v>20</v>
      </c>
      <c r="G187" t="s">
        <v>21</v>
      </c>
      <c r="H187" t="s">
        <v>590</v>
      </c>
      <c r="I187" t="s">
        <v>23</v>
      </c>
      <c r="J187" t="s">
        <v>40</v>
      </c>
      <c r="K187" s="2" t="s">
        <v>422</v>
      </c>
      <c r="L187" t="s">
        <v>26</v>
      </c>
      <c r="M187">
        <v>350401</v>
      </c>
      <c r="N187">
        <v>1</v>
      </c>
      <c r="O187" s="3">
        <v>39990</v>
      </c>
      <c r="P187" s="3">
        <v>21850</v>
      </c>
      <c r="Q187" s="5">
        <f t="shared" si="6"/>
        <v>33605.042016806721</v>
      </c>
      <c r="R187" s="5">
        <f t="shared" si="7"/>
        <v>21850</v>
      </c>
      <c r="S187" s="5">
        <f t="shared" si="8"/>
        <v>11755.042016806721</v>
      </c>
    </row>
    <row r="188" spans="1:19" hidden="1" x14ac:dyDescent="0.3">
      <c r="A188">
        <v>100</v>
      </c>
      <c r="B188" t="s">
        <v>16</v>
      </c>
      <c r="C188" t="s">
        <v>591</v>
      </c>
      <c r="D188" s="2" t="s">
        <v>592</v>
      </c>
      <c r="E188" t="s">
        <v>121</v>
      </c>
      <c r="F188" t="s">
        <v>20</v>
      </c>
      <c r="G188" t="s">
        <v>21</v>
      </c>
      <c r="H188" t="s">
        <v>122</v>
      </c>
      <c r="I188" t="s">
        <v>23</v>
      </c>
      <c r="J188" t="s">
        <v>35</v>
      </c>
      <c r="K188" s="2" t="s">
        <v>422</v>
      </c>
      <c r="L188" t="s">
        <v>26</v>
      </c>
      <c r="M188">
        <v>350402</v>
      </c>
      <c r="N188">
        <v>1</v>
      </c>
      <c r="O188" s="3">
        <v>49990</v>
      </c>
      <c r="P188" s="3">
        <v>35068</v>
      </c>
      <c r="Q188" s="5">
        <f t="shared" si="6"/>
        <v>42008.403361344543</v>
      </c>
      <c r="R188" s="5">
        <f t="shared" si="7"/>
        <v>35068</v>
      </c>
      <c r="S188" s="5">
        <f t="shared" si="8"/>
        <v>6940.4033613445426</v>
      </c>
    </row>
    <row r="189" spans="1:19" hidden="1" x14ac:dyDescent="0.3">
      <c r="A189">
        <v>100</v>
      </c>
      <c r="B189" t="s">
        <v>16</v>
      </c>
      <c r="C189" t="s">
        <v>593</v>
      </c>
      <c r="D189" s="2" t="s">
        <v>594</v>
      </c>
      <c r="E189" t="s">
        <v>595</v>
      </c>
      <c r="F189" t="s">
        <v>20</v>
      </c>
      <c r="G189" t="s">
        <v>21</v>
      </c>
      <c r="H189" t="s">
        <v>596</v>
      </c>
      <c r="I189" t="s">
        <v>23</v>
      </c>
      <c r="J189" t="s">
        <v>207</v>
      </c>
      <c r="K189" s="2" t="s">
        <v>422</v>
      </c>
      <c r="L189" t="s">
        <v>26</v>
      </c>
      <c r="M189">
        <v>350402</v>
      </c>
      <c r="N189">
        <v>1</v>
      </c>
      <c r="O189" s="3">
        <v>39990</v>
      </c>
      <c r="P189" s="3">
        <v>29851</v>
      </c>
      <c r="Q189" s="5">
        <f t="shared" si="6"/>
        <v>33605.042016806721</v>
      </c>
      <c r="R189" s="5">
        <f t="shared" si="7"/>
        <v>29851</v>
      </c>
      <c r="S189" s="5">
        <f t="shared" si="8"/>
        <v>3754.0420168067212</v>
      </c>
    </row>
    <row r="190" spans="1:19" hidden="1" x14ac:dyDescent="0.3">
      <c r="A190">
        <v>100</v>
      </c>
      <c r="B190" t="s">
        <v>16</v>
      </c>
      <c r="C190" t="s">
        <v>597</v>
      </c>
      <c r="D190" s="2" t="s">
        <v>598</v>
      </c>
      <c r="E190" t="s">
        <v>599</v>
      </c>
      <c r="F190" t="s">
        <v>20</v>
      </c>
      <c r="G190" t="s">
        <v>21</v>
      </c>
      <c r="H190" t="s">
        <v>600</v>
      </c>
      <c r="I190" t="s">
        <v>23</v>
      </c>
      <c r="J190" t="s">
        <v>40</v>
      </c>
      <c r="K190" s="2" t="s">
        <v>422</v>
      </c>
      <c r="L190" t="s">
        <v>26</v>
      </c>
      <c r="M190">
        <v>350403</v>
      </c>
      <c r="N190">
        <v>1</v>
      </c>
      <c r="O190" s="3">
        <v>49990</v>
      </c>
      <c r="P190" s="3">
        <v>21327</v>
      </c>
      <c r="Q190" s="5">
        <f t="shared" si="6"/>
        <v>42008.403361344543</v>
      </c>
      <c r="R190" s="5">
        <f t="shared" si="7"/>
        <v>21327</v>
      </c>
      <c r="S190" s="5">
        <f t="shared" si="8"/>
        <v>20681.403361344543</v>
      </c>
    </row>
    <row r="191" spans="1:19" hidden="1" x14ac:dyDescent="0.3">
      <c r="A191">
        <v>100</v>
      </c>
      <c r="B191" t="s">
        <v>16</v>
      </c>
      <c r="C191" t="s">
        <v>601</v>
      </c>
      <c r="D191" s="2" t="s">
        <v>602</v>
      </c>
      <c r="E191" t="s">
        <v>603</v>
      </c>
      <c r="F191" t="s">
        <v>20</v>
      </c>
      <c r="G191" t="s">
        <v>21</v>
      </c>
      <c r="H191" t="s">
        <v>604</v>
      </c>
      <c r="I191" t="s">
        <v>23</v>
      </c>
      <c r="J191" t="s">
        <v>40</v>
      </c>
      <c r="K191" s="2" t="s">
        <v>422</v>
      </c>
      <c r="L191" t="s">
        <v>26</v>
      </c>
      <c r="M191">
        <v>350404</v>
      </c>
      <c r="N191">
        <v>1</v>
      </c>
      <c r="O191" s="3">
        <v>29990</v>
      </c>
      <c r="P191" s="3">
        <v>17994</v>
      </c>
      <c r="Q191" s="5">
        <f t="shared" si="6"/>
        <v>25201.680672268907</v>
      </c>
      <c r="R191" s="5">
        <f t="shared" si="7"/>
        <v>17994</v>
      </c>
      <c r="S191" s="5">
        <f t="shared" si="8"/>
        <v>7207.6806722689071</v>
      </c>
    </row>
    <row r="192" spans="1:19" hidden="1" x14ac:dyDescent="0.3">
      <c r="A192">
        <v>100</v>
      </c>
      <c r="B192" t="s">
        <v>16</v>
      </c>
      <c r="C192" t="s">
        <v>605</v>
      </c>
      <c r="D192" s="2" t="s">
        <v>606</v>
      </c>
      <c r="E192" t="s">
        <v>117</v>
      </c>
      <c r="F192" t="s">
        <v>20</v>
      </c>
      <c r="G192" t="s">
        <v>21</v>
      </c>
      <c r="H192" t="s">
        <v>118</v>
      </c>
      <c r="I192" t="s">
        <v>23</v>
      </c>
      <c r="J192" t="s">
        <v>49</v>
      </c>
      <c r="K192" s="2" t="s">
        <v>422</v>
      </c>
      <c r="L192" t="s">
        <v>26</v>
      </c>
      <c r="M192">
        <v>350405</v>
      </c>
      <c r="N192">
        <v>1</v>
      </c>
      <c r="O192" s="3">
        <v>39990</v>
      </c>
      <c r="P192" s="3">
        <v>26877</v>
      </c>
      <c r="Q192" s="5">
        <f t="shared" si="6"/>
        <v>33605.042016806721</v>
      </c>
      <c r="R192" s="5">
        <f t="shared" si="7"/>
        <v>26877</v>
      </c>
      <c r="S192" s="5">
        <f t="shared" si="8"/>
        <v>6728.0420168067212</v>
      </c>
    </row>
    <row r="193" spans="1:19" hidden="1" x14ac:dyDescent="0.3">
      <c r="A193">
        <v>100</v>
      </c>
      <c r="B193" t="s">
        <v>16</v>
      </c>
      <c r="C193" t="s">
        <v>607</v>
      </c>
      <c r="D193" s="2" t="s">
        <v>608</v>
      </c>
      <c r="E193" t="s">
        <v>609</v>
      </c>
      <c r="F193" t="s">
        <v>20</v>
      </c>
      <c r="G193" t="s">
        <v>21</v>
      </c>
      <c r="H193" t="s">
        <v>610</v>
      </c>
      <c r="I193" t="s">
        <v>23</v>
      </c>
      <c r="J193" t="s">
        <v>40</v>
      </c>
      <c r="K193" s="2" t="s">
        <v>422</v>
      </c>
      <c r="L193" t="s">
        <v>26</v>
      </c>
      <c r="M193">
        <v>350406</v>
      </c>
      <c r="N193">
        <v>1</v>
      </c>
      <c r="O193" s="3">
        <v>37990</v>
      </c>
      <c r="P193" s="3">
        <v>14680</v>
      </c>
      <c r="Q193" s="5">
        <f t="shared" si="6"/>
        <v>31924.36974789916</v>
      </c>
      <c r="R193" s="5">
        <f t="shared" si="7"/>
        <v>14680</v>
      </c>
      <c r="S193" s="5">
        <f t="shared" si="8"/>
        <v>17244.36974789916</v>
      </c>
    </row>
    <row r="194" spans="1:19" hidden="1" x14ac:dyDescent="0.3">
      <c r="A194">
        <v>100</v>
      </c>
      <c r="B194" t="s">
        <v>16</v>
      </c>
      <c r="C194" t="s">
        <v>611</v>
      </c>
      <c r="D194" s="2" t="s">
        <v>612</v>
      </c>
      <c r="E194" t="s">
        <v>613</v>
      </c>
      <c r="F194" t="s">
        <v>20</v>
      </c>
      <c r="G194" t="s">
        <v>21</v>
      </c>
      <c r="H194" t="s">
        <v>614</v>
      </c>
      <c r="I194" t="s">
        <v>23</v>
      </c>
      <c r="J194" t="s">
        <v>40</v>
      </c>
      <c r="K194" s="2" t="s">
        <v>422</v>
      </c>
      <c r="L194" t="s">
        <v>26</v>
      </c>
      <c r="M194">
        <v>350407</v>
      </c>
      <c r="N194">
        <v>1</v>
      </c>
      <c r="O194" s="3">
        <v>29990</v>
      </c>
      <c r="P194" s="3">
        <v>16869</v>
      </c>
      <c r="Q194" s="5">
        <f t="shared" si="6"/>
        <v>25201.680672268907</v>
      </c>
      <c r="R194" s="5">
        <f t="shared" si="7"/>
        <v>16869</v>
      </c>
      <c r="S194" s="5">
        <f t="shared" si="8"/>
        <v>8332.6806722689071</v>
      </c>
    </row>
    <row r="195" spans="1:19" hidden="1" x14ac:dyDescent="0.3">
      <c r="A195">
        <v>100</v>
      </c>
      <c r="B195" t="s">
        <v>16</v>
      </c>
      <c r="C195" t="s">
        <v>615</v>
      </c>
      <c r="D195" s="2" t="s">
        <v>616</v>
      </c>
      <c r="E195" t="s">
        <v>617</v>
      </c>
      <c r="F195" t="s">
        <v>20</v>
      </c>
      <c r="G195" t="s">
        <v>21</v>
      </c>
      <c r="H195" t="s">
        <v>618</v>
      </c>
      <c r="I195" t="s">
        <v>23</v>
      </c>
      <c r="J195" t="s">
        <v>40</v>
      </c>
      <c r="K195" s="2" t="s">
        <v>422</v>
      </c>
      <c r="L195" t="s">
        <v>26</v>
      </c>
      <c r="M195">
        <v>350408</v>
      </c>
      <c r="N195">
        <v>1</v>
      </c>
      <c r="O195" s="3">
        <v>41990</v>
      </c>
      <c r="P195" s="3">
        <v>16817</v>
      </c>
      <c r="Q195" s="5">
        <f t="shared" si="6"/>
        <v>35285.71428571429</v>
      </c>
      <c r="R195" s="5">
        <f t="shared" si="7"/>
        <v>16817</v>
      </c>
      <c r="S195" s="5">
        <f t="shared" si="8"/>
        <v>18468.71428571429</v>
      </c>
    </row>
    <row r="196" spans="1:19" hidden="1" x14ac:dyDescent="0.3">
      <c r="A196">
        <v>100</v>
      </c>
      <c r="B196" t="s">
        <v>16</v>
      </c>
      <c r="C196" t="s">
        <v>132</v>
      </c>
      <c r="D196" s="2" t="s">
        <v>133</v>
      </c>
      <c r="E196" t="s">
        <v>134</v>
      </c>
      <c r="F196" t="s">
        <v>20</v>
      </c>
      <c r="G196" t="s">
        <v>21</v>
      </c>
      <c r="H196" t="s">
        <v>135</v>
      </c>
      <c r="I196" t="s">
        <v>23</v>
      </c>
      <c r="J196" t="s">
        <v>49</v>
      </c>
      <c r="K196" s="2" t="s">
        <v>422</v>
      </c>
      <c r="L196" t="s">
        <v>26</v>
      </c>
      <c r="M196">
        <v>350409</v>
      </c>
      <c r="N196">
        <v>1</v>
      </c>
      <c r="O196" s="3">
        <v>39990</v>
      </c>
      <c r="P196" s="3">
        <v>25127</v>
      </c>
      <c r="Q196" s="5">
        <f t="shared" si="6"/>
        <v>33605.042016806721</v>
      </c>
      <c r="R196" s="5">
        <f t="shared" si="7"/>
        <v>25127</v>
      </c>
      <c r="S196" s="5">
        <f t="shared" si="8"/>
        <v>8478.0420168067212</v>
      </c>
    </row>
    <row r="197" spans="1:19" hidden="1" x14ac:dyDescent="0.3">
      <c r="A197">
        <v>100</v>
      </c>
      <c r="B197" t="s">
        <v>16</v>
      </c>
      <c r="C197">
        <v>1687976791</v>
      </c>
      <c r="D197" s="2" t="s">
        <v>200</v>
      </c>
      <c r="E197" t="s">
        <v>201</v>
      </c>
      <c r="F197" t="s">
        <v>201</v>
      </c>
      <c r="G197" t="s">
        <v>202</v>
      </c>
      <c r="H197" t="s">
        <v>202</v>
      </c>
      <c r="I197" t="s">
        <v>23</v>
      </c>
      <c r="J197" t="s">
        <v>202</v>
      </c>
      <c r="K197" s="2" t="s">
        <v>422</v>
      </c>
      <c r="L197" t="s">
        <v>26</v>
      </c>
      <c r="M197">
        <v>350409</v>
      </c>
      <c r="N197">
        <v>1</v>
      </c>
      <c r="O197" s="3">
        <v>10500</v>
      </c>
      <c r="P197">
        <v>1</v>
      </c>
      <c r="Q197" s="5">
        <f t="shared" si="6"/>
        <v>8823.5294117647063</v>
      </c>
      <c r="R197" s="5">
        <f t="shared" si="7"/>
        <v>1</v>
      </c>
      <c r="S197" s="5">
        <f t="shared" si="8"/>
        <v>8822.5294117647063</v>
      </c>
    </row>
    <row r="198" spans="1:19" hidden="1" x14ac:dyDescent="0.3">
      <c r="A198">
        <v>100</v>
      </c>
      <c r="B198" t="s">
        <v>16</v>
      </c>
      <c r="C198" t="s">
        <v>619</v>
      </c>
      <c r="D198" s="2" t="s">
        <v>620</v>
      </c>
      <c r="E198" t="s">
        <v>621</v>
      </c>
      <c r="F198" t="s">
        <v>20</v>
      </c>
      <c r="G198" t="s">
        <v>215</v>
      </c>
      <c r="H198" t="s">
        <v>216</v>
      </c>
      <c r="I198" t="s">
        <v>23</v>
      </c>
      <c r="J198" t="s">
        <v>35</v>
      </c>
      <c r="K198" s="2" t="s">
        <v>422</v>
      </c>
      <c r="L198" t="s">
        <v>26</v>
      </c>
      <c r="M198">
        <v>350410</v>
      </c>
      <c r="N198">
        <v>1</v>
      </c>
      <c r="O198" s="3">
        <v>89990</v>
      </c>
      <c r="P198" s="3">
        <v>46326</v>
      </c>
      <c r="Q198" s="5">
        <f t="shared" ref="Q198:Q261" si="9">O198/1.19</f>
        <v>75621.848739495807</v>
      </c>
      <c r="R198" s="5">
        <f t="shared" ref="R198:R261" si="10">N198*P198</f>
        <v>46326</v>
      </c>
      <c r="S198" s="5">
        <f t="shared" ref="S198:S261" si="11">Q198-R198</f>
        <v>29295.848739495807</v>
      </c>
    </row>
    <row r="199" spans="1:19" hidden="1" x14ac:dyDescent="0.3">
      <c r="A199">
        <v>100</v>
      </c>
      <c r="B199" t="s">
        <v>16</v>
      </c>
      <c r="C199">
        <v>1687976791</v>
      </c>
      <c r="D199" s="2" t="s">
        <v>200</v>
      </c>
      <c r="E199" t="s">
        <v>201</v>
      </c>
      <c r="F199" t="s">
        <v>201</v>
      </c>
      <c r="G199" t="s">
        <v>202</v>
      </c>
      <c r="H199" t="s">
        <v>202</v>
      </c>
      <c r="I199" t="s">
        <v>23</v>
      </c>
      <c r="J199" t="s">
        <v>202</v>
      </c>
      <c r="K199" s="2" t="s">
        <v>422</v>
      </c>
      <c r="L199" t="s">
        <v>26</v>
      </c>
      <c r="M199">
        <v>350411</v>
      </c>
      <c r="N199">
        <v>1</v>
      </c>
      <c r="O199" s="3">
        <v>7790</v>
      </c>
      <c r="P199">
        <v>1</v>
      </c>
      <c r="Q199" s="5">
        <f t="shared" si="9"/>
        <v>6546.2184873949582</v>
      </c>
      <c r="R199" s="5">
        <f t="shared" si="10"/>
        <v>1</v>
      </c>
      <c r="S199" s="5">
        <f t="shared" si="11"/>
        <v>6545.2184873949582</v>
      </c>
    </row>
    <row r="200" spans="1:19" hidden="1" x14ac:dyDescent="0.3">
      <c r="A200">
        <v>100</v>
      </c>
      <c r="B200" t="s">
        <v>16</v>
      </c>
      <c r="C200" t="s">
        <v>622</v>
      </c>
      <c r="D200" s="2" t="s">
        <v>623</v>
      </c>
      <c r="E200" t="s">
        <v>624</v>
      </c>
      <c r="F200" t="s">
        <v>20</v>
      </c>
      <c r="G200" t="s">
        <v>21</v>
      </c>
      <c r="H200" t="s">
        <v>625</v>
      </c>
      <c r="I200" t="s">
        <v>23</v>
      </c>
      <c r="J200" t="s">
        <v>35</v>
      </c>
      <c r="K200" s="2" t="s">
        <v>422</v>
      </c>
      <c r="L200" t="s">
        <v>26</v>
      </c>
      <c r="M200">
        <v>350411</v>
      </c>
      <c r="N200">
        <v>1</v>
      </c>
      <c r="O200" s="3">
        <v>49990</v>
      </c>
      <c r="P200" s="3">
        <v>26977</v>
      </c>
      <c r="Q200" s="5">
        <f t="shared" si="9"/>
        <v>42008.403361344543</v>
      </c>
      <c r="R200" s="5">
        <f t="shared" si="10"/>
        <v>26977</v>
      </c>
      <c r="S200" s="5">
        <f t="shared" si="11"/>
        <v>15031.403361344543</v>
      </c>
    </row>
    <row r="201" spans="1:19" hidden="1" x14ac:dyDescent="0.3">
      <c r="A201">
        <v>100</v>
      </c>
      <c r="B201" t="s">
        <v>16</v>
      </c>
      <c r="C201" t="s">
        <v>626</v>
      </c>
      <c r="D201" s="2" t="s">
        <v>627</v>
      </c>
      <c r="E201" t="s">
        <v>628</v>
      </c>
      <c r="F201" t="s">
        <v>20</v>
      </c>
      <c r="G201" t="s">
        <v>21</v>
      </c>
      <c r="H201" t="s">
        <v>39</v>
      </c>
      <c r="I201" t="s">
        <v>23</v>
      </c>
      <c r="J201" t="s">
        <v>40</v>
      </c>
      <c r="K201" s="2" t="s">
        <v>422</v>
      </c>
      <c r="L201" t="s">
        <v>26</v>
      </c>
      <c r="M201">
        <v>350412</v>
      </c>
      <c r="N201">
        <v>1</v>
      </c>
      <c r="O201" s="3">
        <v>39990</v>
      </c>
      <c r="P201" s="3">
        <v>25974</v>
      </c>
      <c r="Q201" s="5">
        <f t="shared" si="9"/>
        <v>33605.042016806721</v>
      </c>
      <c r="R201" s="5">
        <f t="shared" si="10"/>
        <v>25974</v>
      </c>
      <c r="S201" s="5">
        <f t="shared" si="11"/>
        <v>7631.0420168067212</v>
      </c>
    </row>
    <row r="202" spans="1:19" hidden="1" x14ac:dyDescent="0.3">
      <c r="A202">
        <v>100</v>
      </c>
      <c r="B202" t="s">
        <v>16</v>
      </c>
      <c r="C202">
        <v>1687976791</v>
      </c>
      <c r="D202" s="2" t="s">
        <v>200</v>
      </c>
      <c r="E202" t="s">
        <v>201</v>
      </c>
      <c r="F202" t="s">
        <v>201</v>
      </c>
      <c r="G202" t="s">
        <v>202</v>
      </c>
      <c r="H202" t="s">
        <v>202</v>
      </c>
      <c r="I202" t="s">
        <v>23</v>
      </c>
      <c r="J202" t="s">
        <v>202</v>
      </c>
      <c r="K202" s="2" t="s">
        <v>422</v>
      </c>
      <c r="L202" t="s">
        <v>26</v>
      </c>
      <c r="M202">
        <v>350412</v>
      </c>
      <c r="N202">
        <v>1</v>
      </c>
      <c r="O202" s="3">
        <v>3200</v>
      </c>
      <c r="P202">
        <v>1</v>
      </c>
      <c r="Q202" s="5">
        <f t="shared" si="9"/>
        <v>2689.0756302521008</v>
      </c>
      <c r="R202" s="5">
        <f t="shared" si="10"/>
        <v>1</v>
      </c>
      <c r="S202" s="5">
        <f t="shared" si="11"/>
        <v>2688.0756302521008</v>
      </c>
    </row>
    <row r="203" spans="1:19" hidden="1" x14ac:dyDescent="0.3">
      <c r="A203">
        <v>100</v>
      </c>
      <c r="B203" t="s">
        <v>16</v>
      </c>
      <c r="C203">
        <v>1687976791</v>
      </c>
      <c r="D203" s="2" t="s">
        <v>200</v>
      </c>
      <c r="E203" t="s">
        <v>201</v>
      </c>
      <c r="F203" t="s">
        <v>201</v>
      </c>
      <c r="G203" t="s">
        <v>202</v>
      </c>
      <c r="H203" t="s">
        <v>202</v>
      </c>
      <c r="I203" t="s">
        <v>23</v>
      </c>
      <c r="J203" t="s">
        <v>202</v>
      </c>
      <c r="K203" s="2" t="s">
        <v>422</v>
      </c>
      <c r="L203" t="s">
        <v>26</v>
      </c>
      <c r="M203">
        <v>350413</v>
      </c>
      <c r="N203">
        <v>1</v>
      </c>
      <c r="O203" s="3">
        <v>3200</v>
      </c>
      <c r="P203">
        <v>1</v>
      </c>
      <c r="Q203" s="5">
        <f t="shared" si="9"/>
        <v>2689.0756302521008</v>
      </c>
      <c r="R203" s="5">
        <f t="shared" si="10"/>
        <v>1</v>
      </c>
      <c r="S203" s="5">
        <f t="shared" si="11"/>
        <v>2688.0756302521008</v>
      </c>
    </row>
    <row r="204" spans="1:19" hidden="1" x14ac:dyDescent="0.3">
      <c r="A204">
        <v>100</v>
      </c>
      <c r="B204" t="s">
        <v>16</v>
      </c>
      <c r="C204" t="s">
        <v>629</v>
      </c>
      <c r="D204" s="2" t="s">
        <v>630</v>
      </c>
      <c r="E204" t="s">
        <v>631</v>
      </c>
      <c r="F204" t="s">
        <v>20</v>
      </c>
      <c r="G204" t="s">
        <v>21</v>
      </c>
      <c r="H204" t="s">
        <v>632</v>
      </c>
      <c r="I204" t="s">
        <v>23</v>
      </c>
      <c r="J204" t="s">
        <v>40</v>
      </c>
      <c r="K204" s="2" t="s">
        <v>422</v>
      </c>
      <c r="L204" t="s">
        <v>26</v>
      </c>
      <c r="M204">
        <v>350413</v>
      </c>
      <c r="N204">
        <v>1</v>
      </c>
      <c r="O204" s="3">
        <v>49950</v>
      </c>
      <c r="P204" s="3">
        <v>19155</v>
      </c>
      <c r="Q204" s="5">
        <f t="shared" si="9"/>
        <v>41974.789915966387</v>
      </c>
      <c r="R204" s="5">
        <f t="shared" si="10"/>
        <v>19155</v>
      </c>
      <c r="S204" s="5">
        <f t="shared" si="11"/>
        <v>22819.789915966387</v>
      </c>
    </row>
    <row r="205" spans="1:19" hidden="1" x14ac:dyDescent="0.3">
      <c r="A205">
        <v>100</v>
      </c>
      <c r="B205" t="s">
        <v>16</v>
      </c>
      <c r="C205">
        <v>1687976791</v>
      </c>
      <c r="D205" s="2" t="s">
        <v>200</v>
      </c>
      <c r="E205" t="s">
        <v>201</v>
      </c>
      <c r="F205" t="s">
        <v>201</v>
      </c>
      <c r="G205" t="s">
        <v>202</v>
      </c>
      <c r="H205" t="s">
        <v>202</v>
      </c>
      <c r="I205" t="s">
        <v>23</v>
      </c>
      <c r="J205" t="s">
        <v>202</v>
      </c>
      <c r="K205" s="2" t="s">
        <v>422</v>
      </c>
      <c r="L205" t="s">
        <v>26</v>
      </c>
      <c r="M205">
        <v>350414</v>
      </c>
      <c r="N205">
        <v>1</v>
      </c>
      <c r="O205" s="3">
        <v>5990</v>
      </c>
      <c r="P205">
        <v>1</v>
      </c>
      <c r="Q205" s="5">
        <f t="shared" si="9"/>
        <v>5033.6134453781515</v>
      </c>
      <c r="R205" s="5">
        <f t="shared" si="10"/>
        <v>1</v>
      </c>
      <c r="S205" s="5">
        <f t="shared" si="11"/>
        <v>5032.6134453781515</v>
      </c>
    </row>
    <row r="206" spans="1:19" hidden="1" x14ac:dyDescent="0.3">
      <c r="A206">
        <v>100</v>
      </c>
      <c r="B206" t="s">
        <v>16</v>
      </c>
      <c r="C206" t="s">
        <v>633</v>
      </c>
      <c r="D206" s="2" t="s">
        <v>634</v>
      </c>
      <c r="E206" t="s">
        <v>635</v>
      </c>
      <c r="F206" t="s">
        <v>20</v>
      </c>
      <c r="G206" t="s">
        <v>21</v>
      </c>
      <c r="H206" t="s">
        <v>53</v>
      </c>
      <c r="I206" t="s">
        <v>23</v>
      </c>
      <c r="J206" t="s">
        <v>35</v>
      </c>
      <c r="K206" s="2" t="s">
        <v>422</v>
      </c>
      <c r="L206" t="s">
        <v>26</v>
      </c>
      <c r="M206">
        <v>350414</v>
      </c>
      <c r="N206">
        <v>1</v>
      </c>
      <c r="O206" s="3">
        <v>39990</v>
      </c>
      <c r="P206" s="3">
        <v>30223</v>
      </c>
      <c r="Q206" s="5">
        <f t="shared" si="9"/>
        <v>33605.042016806721</v>
      </c>
      <c r="R206" s="5">
        <f t="shared" si="10"/>
        <v>30223</v>
      </c>
      <c r="S206" s="5">
        <f t="shared" si="11"/>
        <v>3382.0420168067212</v>
      </c>
    </row>
    <row r="207" spans="1:19" hidden="1" x14ac:dyDescent="0.3">
      <c r="A207">
        <v>100</v>
      </c>
      <c r="B207" t="s">
        <v>16</v>
      </c>
      <c r="C207" t="s">
        <v>636</v>
      </c>
      <c r="D207" s="2" t="s">
        <v>637</v>
      </c>
      <c r="E207" t="s">
        <v>638</v>
      </c>
      <c r="F207" t="s">
        <v>20</v>
      </c>
      <c r="G207" t="s">
        <v>21</v>
      </c>
      <c r="H207" t="s">
        <v>272</v>
      </c>
      <c r="I207" t="s">
        <v>23</v>
      </c>
      <c r="J207" t="s">
        <v>35</v>
      </c>
      <c r="K207" s="2" t="s">
        <v>422</v>
      </c>
      <c r="L207" t="s">
        <v>26</v>
      </c>
      <c r="M207">
        <v>350415</v>
      </c>
      <c r="N207">
        <v>1</v>
      </c>
      <c r="O207" s="3">
        <v>49990</v>
      </c>
      <c r="P207" s="3">
        <v>28079</v>
      </c>
      <c r="Q207" s="5">
        <f t="shared" si="9"/>
        <v>42008.403361344543</v>
      </c>
      <c r="R207" s="5">
        <f t="shared" si="10"/>
        <v>28079</v>
      </c>
      <c r="S207" s="5">
        <f t="shared" si="11"/>
        <v>13929.403361344543</v>
      </c>
    </row>
    <row r="208" spans="1:19" hidden="1" x14ac:dyDescent="0.3">
      <c r="A208">
        <v>100</v>
      </c>
      <c r="B208" t="s">
        <v>16</v>
      </c>
      <c r="C208">
        <v>1687976791</v>
      </c>
      <c r="D208" s="2" t="s">
        <v>200</v>
      </c>
      <c r="E208" t="s">
        <v>201</v>
      </c>
      <c r="F208" t="s">
        <v>201</v>
      </c>
      <c r="G208" t="s">
        <v>202</v>
      </c>
      <c r="H208" t="s">
        <v>202</v>
      </c>
      <c r="I208" t="s">
        <v>23</v>
      </c>
      <c r="J208" t="s">
        <v>202</v>
      </c>
      <c r="K208" s="2" t="s">
        <v>422</v>
      </c>
      <c r="L208" t="s">
        <v>26</v>
      </c>
      <c r="M208">
        <v>350415</v>
      </c>
      <c r="N208">
        <v>1</v>
      </c>
      <c r="O208" s="3">
        <v>3200</v>
      </c>
      <c r="P208">
        <v>1</v>
      </c>
      <c r="Q208" s="5">
        <f t="shared" si="9"/>
        <v>2689.0756302521008</v>
      </c>
      <c r="R208" s="5">
        <f t="shared" si="10"/>
        <v>1</v>
      </c>
      <c r="S208" s="5">
        <f t="shared" si="11"/>
        <v>2688.0756302521008</v>
      </c>
    </row>
    <row r="209" spans="1:19" hidden="1" x14ac:dyDescent="0.3">
      <c r="A209">
        <v>100</v>
      </c>
      <c r="B209" t="s">
        <v>16</v>
      </c>
      <c r="C209" t="s">
        <v>639</v>
      </c>
      <c r="D209" s="2" t="s">
        <v>640</v>
      </c>
      <c r="E209" t="s">
        <v>281</v>
      </c>
      <c r="F209" t="s">
        <v>20</v>
      </c>
      <c r="G209" t="s">
        <v>21</v>
      </c>
      <c r="H209" t="s">
        <v>122</v>
      </c>
      <c r="I209" t="s">
        <v>23</v>
      </c>
      <c r="J209" t="s">
        <v>35</v>
      </c>
      <c r="K209" s="2" t="s">
        <v>422</v>
      </c>
      <c r="L209" t="s">
        <v>26</v>
      </c>
      <c r="M209">
        <v>350416</v>
      </c>
      <c r="N209">
        <v>1</v>
      </c>
      <c r="O209" s="3">
        <v>49990</v>
      </c>
      <c r="P209" s="3">
        <v>31953</v>
      </c>
      <c r="Q209" s="5">
        <f t="shared" si="9"/>
        <v>42008.403361344543</v>
      </c>
      <c r="R209" s="5">
        <f t="shared" si="10"/>
        <v>31953</v>
      </c>
      <c r="S209" s="5">
        <f t="shared" si="11"/>
        <v>10055.403361344543</v>
      </c>
    </row>
    <row r="210" spans="1:19" hidden="1" x14ac:dyDescent="0.3">
      <c r="A210">
        <v>100</v>
      </c>
      <c r="B210" t="s">
        <v>16</v>
      </c>
      <c r="C210" t="s">
        <v>641</v>
      </c>
      <c r="D210" s="2" t="s">
        <v>642</v>
      </c>
      <c r="E210" t="s">
        <v>643</v>
      </c>
      <c r="F210" t="s">
        <v>20</v>
      </c>
      <c r="G210" t="s">
        <v>21</v>
      </c>
      <c r="H210" t="s">
        <v>364</v>
      </c>
      <c r="I210" t="s">
        <v>23</v>
      </c>
      <c r="J210" t="s">
        <v>35</v>
      </c>
      <c r="K210" s="2" t="s">
        <v>422</v>
      </c>
      <c r="L210" t="s">
        <v>26</v>
      </c>
      <c r="M210">
        <v>350416</v>
      </c>
      <c r="N210">
        <v>1</v>
      </c>
      <c r="O210" s="3">
        <v>54990</v>
      </c>
      <c r="P210" s="3">
        <v>36149</v>
      </c>
      <c r="Q210" s="5">
        <f t="shared" si="9"/>
        <v>46210.08403361345</v>
      </c>
      <c r="R210" s="5">
        <f t="shared" si="10"/>
        <v>36149</v>
      </c>
      <c r="S210" s="5">
        <f t="shared" si="11"/>
        <v>10061.08403361345</v>
      </c>
    </row>
    <row r="211" spans="1:19" hidden="1" x14ac:dyDescent="0.3">
      <c r="A211">
        <v>100</v>
      </c>
      <c r="B211" t="s">
        <v>16</v>
      </c>
      <c r="C211">
        <v>1687976791</v>
      </c>
      <c r="D211" s="2" t="s">
        <v>200</v>
      </c>
      <c r="E211" t="s">
        <v>201</v>
      </c>
      <c r="F211" t="s">
        <v>201</v>
      </c>
      <c r="G211" t="s">
        <v>202</v>
      </c>
      <c r="H211" t="s">
        <v>202</v>
      </c>
      <c r="I211" t="s">
        <v>23</v>
      </c>
      <c r="J211" t="s">
        <v>202</v>
      </c>
      <c r="K211" s="2" t="s">
        <v>422</v>
      </c>
      <c r="L211" t="s">
        <v>26</v>
      </c>
      <c r="M211">
        <v>350417</v>
      </c>
      <c r="N211">
        <v>1</v>
      </c>
      <c r="O211" s="3">
        <v>3200</v>
      </c>
      <c r="P211">
        <v>1</v>
      </c>
      <c r="Q211" s="5">
        <f t="shared" si="9"/>
        <v>2689.0756302521008</v>
      </c>
      <c r="R211" s="5">
        <f t="shared" si="10"/>
        <v>1</v>
      </c>
      <c r="S211" s="5">
        <f t="shared" si="11"/>
        <v>2688.0756302521008</v>
      </c>
    </row>
    <row r="212" spans="1:19" hidden="1" x14ac:dyDescent="0.3">
      <c r="A212">
        <v>100</v>
      </c>
      <c r="B212" t="s">
        <v>16</v>
      </c>
      <c r="C212" t="s">
        <v>644</v>
      </c>
      <c r="D212" s="2" t="s">
        <v>645</v>
      </c>
      <c r="E212" t="s">
        <v>646</v>
      </c>
      <c r="F212" t="s">
        <v>20</v>
      </c>
      <c r="G212" t="s">
        <v>21</v>
      </c>
      <c r="H212" t="s">
        <v>579</v>
      </c>
      <c r="I212" t="s">
        <v>23</v>
      </c>
      <c r="J212" t="s">
        <v>49</v>
      </c>
      <c r="K212" s="2" t="s">
        <v>422</v>
      </c>
      <c r="L212" t="s">
        <v>26</v>
      </c>
      <c r="M212">
        <v>350417</v>
      </c>
      <c r="N212">
        <v>1</v>
      </c>
      <c r="O212" s="3">
        <v>44990</v>
      </c>
      <c r="P212" s="3">
        <v>27862</v>
      </c>
      <c r="Q212" s="5">
        <f t="shared" si="9"/>
        <v>37806.722689075636</v>
      </c>
      <c r="R212" s="5">
        <f t="shared" si="10"/>
        <v>27862</v>
      </c>
      <c r="S212" s="5">
        <f t="shared" si="11"/>
        <v>9944.7226890756356</v>
      </c>
    </row>
    <row r="213" spans="1:19" hidden="1" x14ac:dyDescent="0.3">
      <c r="A213">
        <v>100</v>
      </c>
      <c r="B213" t="s">
        <v>16</v>
      </c>
      <c r="C213">
        <v>1687976791</v>
      </c>
      <c r="D213" s="2" t="s">
        <v>200</v>
      </c>
      <c r="E213" t="s">
        <v>201</v>
      </c>
      <c r="F213" t="s">
        <v>201</v>
      </c>
      <c r="G213" t="s">
        <v>202</v>
      </c>
      <c r="H213" t="s">
        <v>202</v>
      </c>
      <c r="I213" t="s">
        <v>23</v>
      </c>
      <c r="J213" t="s">
        <v>202</v>
      </c>
      <c r="K213" s="2" t="s">
        <v>422</v>
      </c>
      <c r="L213" t="s">
        <v>26</v>
      </c>
      <c r="M213">
        <v>350418</v>
      </c>
      <c r="N213">
        <v>1</v>
      </c>
      <c r="O213" s="3">
        <v>3200</v>
      </c>
      <c r="P213">
        <v>1</v>
      </c>
      <c r="Q213" s="5">
        <f t="shared" si="9"/>
        <v>2689.0756302521008</v>
      </c>
      <c r="R213" s="5">
        <f t="shared" si="10"/>
        <v>1</v>
      </c>
      <c r="S213" s="5">
        <f t="shared" si="11"/>
        <v>2688.0756302521008</v>
      </c>
    </row>
    <row r="214" spans="1:19" hidden="1" x14ac:dyDescent="0.3">
      <c r="A214">
        <v>100</v>
      </c>
      <c r="B214" t="s">
        <v>16</v>
      </c>
      <c r="C214" t="s">
        <v>647</v>
      </c>
      <c r="D214" s="2" t="s">
        <v>648</v>
      </c>
      <c r="E214" t="s">
        <v>71</v>
      </c>
      <c r="F214" t="s">
        <v>20</v>
      </c>
      <c r="G214" t="s">
        <v>21</v>
      </c>
      <c r="H214" t="s">
        <v>53</v>
      </c>
      <c r="I214" t="s">
        <v>23</v>
      </c>
      <c r="J214" t="s">
        <v>35</v>
      </c>
      <c r="K214" s="2" t="s">
        <v>422</v>
      </c>
      <c r="L214" t="s">
        <v>26</v>
      </c>
      <c r="M214">
        <v>350418</v>
      </c>
      <c r="N214">
        <v>1</v>
      </c>
      <c r="O214" s="3">
        <v>49990</v>
      </c>
      <c r="P214" s="3">
        <v>25147</v>
      </c>
      <c r="Q214" s="5">
        <f t="shared" si="9"/>
        <v>42008.403361344543</v>
      </c>
      <c r="R214" s="5">
        <f t="shared" si="10"/>
        <v>25147</v>
      </c>
      <c r="S214" s="5">
        <f t="shared" si="11"/>
        <v>16861.403361344543</v>
      </c>
    </row>
    <row r="215" spans="1:19" hidden="1" x14ac:dyDescent="0.3">
      <c r="A215">
        <v>100</v>
      </c>
      <c r="B215" t="s">
        <v>16</v>
      </c>
      <c r="C215" t="s">
        <v>649</v>
      </c>
      <c r="D215" s="2" t="s">
        <v>650</v>
      </c>
      <c r="E215" t="s">
        <v>651</v>
      </c>
      <c r="F215" t="s">
        <v>20</v>
      </c>
      <c r="G215" t="s">
        <v>21</v>
      </c>
      <c r="H215" t="s">
        <v>65</v>
      </c>
      <c r="I215" t="s">
        <v>23</v>
      </c>
      <c r="J215" t="s">
        <v>49</v>
      </c>
      <c r="K215" s="2" t="s">
        <v>422</v>
      </c>
      <c r="L215" t="s">
        <v>26</v>
      </c>
      <c r="M215">
        <v>350419</v>
      </c>
      <c r="N215">
        <v>1</v>
      </c>
      <c r="O215" s="3">
        <v>39990</v>
      </c>
      <c r="P215" s="3">
        <v>16644</v>
      </c>
      <c r="Q215" s="5">
        <f t="shared" si="9"/>
        <v>33605.042016806721</v>
      </c>
      <c r="R215" s="5">
        <f t="shared" si="10"/>
        <v>16644</v>
      </c>
      <c r="S215" s="5">
        <f t="shared" si="11"/>
        <v>16961.042016806721</v>
      </c>
    </row>
    <row r="216" spans="1:19" hidden="1" x14ac:dyDescent="0.3">
      <c r="A216">
        <v>100</v>
      </c>
      <c r="B216" t="s">
        <v>16</v>
      </c>
      <c r="C216">
        <v>1687976791</v>
      </c>
      <c r="D216" s="2" t="s">
        <v>200</v>
      </c>
      <c r="E216" t="s">
        <v>201</v>
      </c>
      <c r="F216" t="s">
        <v>201</v>
      </c>
      <c r="G216" t="s">
        <v>202</v>
      </c>
      <c r="H216" t="s">
        <v>202</v>
      </c>
      <c r="I216" t="s">
        <v>23</v>
      </c>
      <c r="J216" t="s">
        <v>202</v>
      </c>
      <c r="K216" s="2" t="s">
        <v>422</v>
      </c>
      <c r="L216" t="s">
        <v>26</v>
      </c>
      <c r="M216">
        <v>350419</v>
      </c>
      <c r="N216">
        <v>1</v>
      </c>
      <c r="O216" s="3">
        <v>3200</v>
      </c>
      <c r="P216">
        <v>1</v>
      </c>
      <c r="Q216" s="5">
        <f t="shared" si="9"/>
        <v>2689.0756302521008</v>
      </c>
      <c r="R216" s="5">
        <f t="shared" si="10"/>
        <v>1</v>
      </c>
      <c r="S216" s="5">
        <f t="shared" si="11"/>
        <v>2688.0756302521008</v>
      </c>
    </row>
    <row r="217" spans="1:19" hidden="1" x14ac:dyDescent="0.3">
      <c r="A217">
        <v>100</v>
      </c>
      <c r="B217" t="s">
        <v>16</v>
      </c>
      <c r="C217">
        <v>1687976791</v>
      </c>
      <c r="D217" s="2" t="s">
        <v>200</v>
      </c>
      <c r="E217" t="s">
        <v>201</v>
      </c>
      <c r="F217" t="s">
        <v>201</v>
      </c>
      <c r="G217" t="s">
        <v>202</v>
      </c>
      <c r="H217" t="s">
        <v>202</v>
      </c>
      <c r="I217" t="s">
        <v>23</v>
      </c>
      <c r="J217" t="s">
        <v>202</v>
      </c>
      <c r="K217" s="2" t="s">
        <v>422</v>
      </c>
      <c r="L217" t="s">
        <v>26</v>
      </c>
      <c r="M217">
        <v>350420</v>
      </c>
      <c r="N217">
        <v>1</v>
      </c>
      <c r="O217" s="3">
        <v>3200</v>
      </c>
      <c r="P217">
        <v>1</v>
      </c>
      <c r="Q217" s="5">
        <f t="shared" si="9"/>
        <v>2689.0756302521008</v>
      </c>
      <c r="R217" s="5">
        <f t="shared" si="10"/>
        <v>1</v>
      </c>
      <c r="S217" s="5">
        <f t="shared" si="11"/>
        <v>2688.0756302521008</v>
      </c>
    </row>
    <row r="218" spans="1:19" hidden="1" x14ac:dyDescent="0.3">
      <c r="A218">
        <v>100</v>
      </c>
      <c r="B218" t="s">
        <v>16</v>
      </c>
      <c r="C218" t="s">
        <v>652</v>
      </c>
      <c r="D218" s="2" t="s">
        <v>653</v>
      </c>
      <c r="E218" t="s">
        <v>654</v>
      </c>
      <c r="F218" t="s">
        <v>20</v>
      </c>
      <c r="G218" t="s">
        <v>21</v>
      </c>
      <c r="H218" t="s">
        <v>565</v>
      </c>
      <c r="I218" t="s">
        <v>23</v>
      </c>
      <c r="J218" t="s">
        <v>35</v>
      </c>
      <c r="K218" s="2" t="s">
        <v>422</v>
      </c>
      <c r="L218" t="s">
        <v>26</v>
      </c>
      <c r="M218">
        <v>350420</v>
      </c>
      <c r="N218">
        <v>1</v>
      </c>
      <c r="O218" s="3">
        <v>54990</v>
      </c>
      <c r="P218" s="3">
        <v>30841</v>
      </c>
      <c r="Q218" s="5">
        <f t="shared" si="9"/>
        <v>46210.08403361345</v>
      </c>
      <c r="R218" s="5">
        <f t="shared" si="10"/>
        <v>30841</v>
      </c>
      <c r="S218" s="5">
        <f t="shared" si="11"/>
        <v>15369.08403361345</v>
      </c>
    </row>
    <row r="219" spans="1:19" hidden="1" x14ac:dyDescent="0.3">
      <c r="A219">
        <v>100</v>
      </c>
      <c r="B219" t="s">
        <v>16</v>
      </c>
      <c r="C219" t="s">
        <v>655</v>
      </c>
      <c r="D219" s="2" t="s">
        <v>656</v>
      </c>
      <c r="E219" t="s">
        <v>349</v>
      </c>
      <c r="F219" t="s">
        <v>20</v>
      </c>
      <c r="G219" t="s">
        <v>21</v>
      </c>
      <c r="H219" t="s">
        <v>261</v>
      </c>
      <c r="I219" t="s">
        <v>23</v>
      </c>
      <c r="J219" t="s">
        <v>95</v>
      </c>
      <c r="K219" s="2" t="s">
        <v>422</v>
      </c>
      <c r="L219" t="s">
        <v>26</v>
      </c>
      <c r="M219">
        <v>350421</v>
      </c>
      <c r="N219">
        <v>1</v>
      </c>
      <c r="O219" s="3">
        <v>34990</v>
      </c>
      <c r="P219" s="3">
        <v>23670</v>
      </c>
      <c r="Q219" s="5">
        <f t="shared" si="9"/>
        <v>29403.361344537818</v>
      </c>
      <c r="R219" s="5">
        <f t="shared" si="10"/>
        <v>23670</v>
      </c>
      <c r="S219" s="5">
        <f t="shared" si="11"/>
        <v>5733.3613445378178</v>
      </c>
    </row>
    <row r="220" spans="1:19" hidden="1" x14ac:dyDescent="0.3">
      <c r="A220">
        <v>100</v>
      </c>
      <c r="B220" t="s">
        <v>16</v>
      </c>
      <c r="C220">
        <v>1687976791</v>
      </c>
      <c r="D220" s="2" t="s">
        <v>200</v>
      </c>
      <c r="E220" t="s">
        <v>201</v>
      </c>
      <c r="F220" t="s">
        <v>201</v>
      </c>
      <c r="G220" t="s">
        <v>202</v>
      </c>
      <c r="H220" t="s">
        <v>202</v>
      </c>
      <c r="I220" t="s">
        <v>23</v>
      </c>
      <c r="J220" t="s">
        <v>202</v>
      </c>
      <c r="K220" s="2" t="s">
        <v>422</v>
      </c>
      <c r="L220" t="s">
        <v>26</v>
      </c>
      <c r="M220">
        <v>350421</v>
      </c>
      <c r="N220">
        <v>1</v>
      </c>
      <c r="O220" s="3">
        <v>3200</v>
      </c>
      <c r="P220">
        <v>1</v>
      </c>
      <c r="Q220" s="5">
        <f t="shared" si="9"/>
        <v>2689.0756302521008</v>
      </c>
      <c r="R220" s="5">
        <f t="shared" si="10"/>
        <v>1</v>
      </c>
      <c r="S220" s="5">
        <f t="shared" si="11"/>
        <v>2688.0756302521008</v>
      </c>
    </row>
    <row r="221" spans="1:19" hidden="1" x14ac:dyDescent="0.3">
      <c r="A221">
        <v>100</v>
      </c>
      <c r="B221" t="s">
        <v>16</v>
      </c>
      <c r="C221" t="s">
        <v>657</v>
      </c>
      <c r="D221" s="2" t="s">
        <v>658</v>
      </c>
      <c r="E221" t="s">
        <v>121</v>
      </c>
      <c r="F221" t="s">
        <v>20</v>
      </c>
      <c r="G221" t="s">
        <v>21</v>
      </c>
      <c r="H221" t="s">
        <v>122</v>
      </c>
      <c r="I221" t="s">
        <v>23</v>
      </c>
      <c r="J221" t="s">
        <v>35</v>
      </c>
      <c r="K221" s="2" t="s">
        <v>422</v>
      </c>
      <c r="L221" t="s">
        <v>26</v>
      </c>
      <c r="M221">
        <v>350422</v>
      </c>
      <c r="N221">
        <v>1</v>
      </c>
      <c r="O221" s="3">
        <v>49990</v>
      </c>
      <c r="P221" s="3">
        <v>34171</v>
      </c>
      <c r="Q221" s="5">
        <f t="shared" si="9"/>
        <v>42008.403361344543</v>
      </c>
      <c r="R221" s="5">
        <f t="shared" si="10"/>
        <v>34171</v>
      </c>
      <c r="S221" s="5">
        <f t="shared" si="11"/>
        <v>7837.4033613445426</v>
      </c>
    </row>
    <row r="222" spans="1:19" hidden="1" x14ac:dyDescent="0.3">
      <c r="A222">
        <v>100</v>
      </c>
      <c r="B222" t="s">
        <v>16</v>
      </c>
      <c r="C222">
        <v>1687976791</v>
      </c>
      <c r="D222" s="2" t="s">
        <v>200</v>
      </c>
      <c r="E222" t="s">
        <v>201</v>
      </c>
      <c r="F222" t="s">
        <v>201</v>
      </c>
      <c r="G222" t="s">
        <v>202</v>
      </c>
      <c r="H222" t="s">
        <v>202</v>
      </c>
      <c r="I222" t="s">
        <v>23</v>
      </c>
      <c r="J222" t="s">
        <v>202</v>
      </c>
      <c r="K222" s="2" t="s">
        <v>422</v>
      </c>
      <c r="L222" t="s">
        <v>26</v>
      </c>
      <c r="M222">
        <v>350422</v>
      </c>
      <c r="N222">
        <v>1</v>
      </c>
      <c r="O222" s="3">
        <v>6490</v>
      </c>
      <c r="P222">
        <v>1</v>
      </c>
      <c r="Q222" s="5">
        <f t="shared" si="9"/>
        <v>5453.7815126050418</v>
      </c>
      <c r="R222" s="5">
        <f t="shared" si="10"/>
        <v>1</v>
      </c>
      <c r="S222" s="5">
        <f t="shared" si="11"/>
        <v>5452.7815126050418</v>
      </c>
    </row>
    <row r="223" spans="1:19" hidden="1" x14ac:dyDescent="0.3">
      <c r="A223">
        <v>100</v>
      </c>
      <c r="B223" t="s">
        <v>16</v>
      </c>
      <c r="C223" t="s">
        <v>659</v>
      </c>
      <c r="D223" s="2" t="s">
        <v>660</v>
      </c>
      <c r="E223" t="s">
        <v>661</v>
      </c>
      <c r="F223" t="s">
        <v>20</v>
      </c>
      <c r="G223" t="s">
        <v>21</v>
      </c>
      <c r="H223" t="s">
        <v>106</v>
      </c>
      <c r="I223" t="s">
        <v>23</v>
      </c>
      <c r="J223" t="s">
        <v>35</v>
      </c>
      <c r="K223" s="2" t="s">
        <v>422</v>
      </c>
      <c r="L223" t="s">
        <v>26</v>
      </c>
      <c r="M223">
        <v>350423</v>
      </c>
      <c r="N223">
        <v>1</v>
      </c>
      <c r="O223" s="3">
        <v>69990</v>
      </c>
      <c r="P223" s="3">
        <v>30957</v>
      </c>
      <c r="Q223" s="5">
        <f t="shared" si="9"/>
        <v>58815.126050420171</v>
      </c>
      <c r="R223" s="5">
        <f t="shared" si="10"/>
        <v>30957</v>
      </c>
      <c r="S223" s="5">
        <f t="shared" si="11"/>
        <v>27858.126050420171</v>
      </c>
    </row>
    <row r="224" spans="1:19" hidden="1" x14ac:dyDescent="0.3">
      <c r="A224">
        <v>100</v>
      </c>
      <c r="B224" t="s">
        <v>16</v>
      </c>
      <c r="C224" t="s">
        <v>662</v>
      </c>
      <c r="D224" s="2" t="s">
        <v>663</v>
      </c>
      <c r="E224" t="s">
        <v>664</v>
      </c>
      <c r="F224" t="s">
        <v>20</v>
      </c>
      <c r="G224" t="s">
        <v>21</v>
      </c>
      <c r="H224" t="s">
        <v>557</v>
      </c>
      <c r="I224" t="s">
        <v>23</v>
      </c>
      <c r="J224" t="s">
        <v>40</v>
      </c>
      <c r="K224" s="2" t="s">
        <v>422</v>
      </c>
      <c r="L224" t="s">
        <v>26</v>
      </c>
      <c r="M224">
        <v>350423</v>
      </c>
      <c r="N224">
        <v>1</v>
      </c>
      <c r="O224" s="3">
        <v>49990</v>
      </c>
      <c r="P224" s="3">
        <v>28049</v>
      </c>
      <c r="Q224" s="5">
        <f t="shared" si="9"/>
        <v>42008.403361344543</v>
      </c>
      <c r="R224" s="5">
        <f t="shared" si="10"/>
        <v>28049</v>
      </c>
      <c r="S224" s="5">
        <f t="shared" si="11"/>
        <v>13959.403361344543</v>
      </c>
    </row>
    <row r="225" spans="1:19" hidden="1" x14ac:dyDescent="0.3">
      <c r="A225">
        <v>100</v>
      </c>
      <c r="B225" t="s">
        <v>16</v>
      </c>
      <c r="C225" t="s">
        <v>665</v>
      </c>
      <c r="D225" s="2" t="s">
        <v>666</v>
      </c>
      <c r="E225" t="s">
        <v>439</v>
      </c>
      <c r="F225" t="s">
        <v>20</v>
      </c>
      <c r="G225" t="s">
        <v>21</v>
      </c>
      <c r="H225" t="s">
        <v>122</v>
      </c>
      <c r="I225" t="s">
        <v>23</v>
      </c>
      <c r="J225" t="s">
        <v>35</v>
      </c>
      <c r="K225" s="2" t="s">
        <v>422</v>
      </c>
      <c r="L225" t="s">
        <v>26</v>
      </c>
      <c r="M225">
        <v>350424</v>
      </c>
      <c r="N225">
        <v>1</v>
      </c>
      <c r="O225" s="3">
        <v>49990</v>
      </c>
      <c r="P225" s="3">
        <v>31897</v>
      </c>
      <c r="Q225" s="5">
        <f t="shared" si="9"/>
        <v>42008.403361344543</v>
      </c>
      <c r="R225" s="5">
        <f t="shared" si="10"/>
        <v>31897</v>
      </c>
      <c r="S225" s="5">
        <f t="shared" si="11"/>
        <v>10111.403361344543</v>
      </c>
    </row>
    <row r="226" spans="1:19" hidden="1" x14ac:dyDescent="0.3">
      <c r="A226">
        <v>100</v>
      </c>
      <c r="B226" t="s">
        <v>16</v>
      </c>
      <c r="C226">
        <v>1687976791</v>
      </c>
      <c r="D226" s="2" t="s">
        <v>200</v>
      </c>
      <c r="E226" t="s">
        <v>201</v>
      </c>
      <c r="F226" t="s">
        <v>201</v>
      </c>
      <c r="G226" t="s">
        <v>202</v>
      </c>
      <c r="H226" t="s">
        <v>202</v>
      </c>
      <c r="I226" t="s">
        <v>23</v>
      </c>
      <c r="J226" t="s">
        <v>202</v>
      </c>
      <c r="K226" s="2" t="s">
        <v>422</v>
      </c>
      <c r="L226" t="s">
        <v>26</v>
      </c>
      <c r="M226">
        <v>350424</v>
      </c>
      <c r="N226">
        <v>1</v>
      </c>
      <c r="O226" s="3">
        <v>7790</v>
      </c>
      <c r="P226">
        <v>1</v>
      </c>
      <c r="Q226" s="5">
        <f t="shared" si="9"/>
        <v>6546.2184873949582</v>
      </c>
      <c r="R226" s="5">
        <f t="shared" si="10"/>
        <v>1</v>
      </c>
      <c r="S226" s="5">
        <f t="shared" si="11"/>
        <v>6545.2184873949582</v>
      </c>
    </row>
    <row r="227" spans="1:19" hidden="1" x14ac:dyDescent="0.3">
      <c r="A227">
        <v>100</v>
      </c>
      <c r="B227" t="s">
        <v>16</v>
      </c>
      <c r="C227">
        <v>1687976791</v>
      </c>
      <c r="D227" s="2" t="s">
        <v>200</v>
      </c>
      <c r="E227" t="s">
        <v>201</v>
      </c>
      <c r="F227" t="s">
        <v>201</v>
      </c>
      <c r="G227" t="s">
        <v>202</v>
      </c>
      <c r="H227" t="s">
        <v>202</v>
      </c>
      <c r="I227" t="s">
        <v>23</v>
      </c>
      <c r="J227" t="s">
        <v>202</v>
      </c>
      <c r="K227" s="2" t="s">
        <v>422</v>
      </c>
      <c r="L227" t="s">
        <v>26</v>
      </c>
      <c r="M227">
        <v>350425</v>
      </c>
      <c r="N227">
        <v>1</v>
      </c>
      <c r="O227" s="3">
        <v>3200</v>
      </c>
      <c r="P227">
        <v>1</v>
      </c>
      <c r="Q227" s="5">
        <f t="shared" si="9"/>
        <v>2689.0756302521008</v>
      </c>
      <c r="R227" s="5">
        <f t="shared" si="10"/>
        <v>1</v>
      </c>
      <c r="S227" s="5">
        <f t="shared" si="11"/>
        <v>2688.0756302521008</v>
      </c>
    </row>
    <row r="228" spans="1:19" hidden="1" x14ac:dyDescent="0.3">
      <c r="A228">
        <v>100</v>
      </c>
      <c r="B228" t="s">
        <v>16</v>
      </c>
      <c r="C228" t="s">
        <v>667</v>
      </c>
      <c r="D228" s="2" t="s">
        <v>668</v>
      </c>
      <c r="E228" t="s">
        <v>669</v>
      </c>
      <c r="F228" t="s">
        <v>20</v>
      </c>
      <c r="G228" t="s">
        <v>21</v>
      </c>
      <c r="H228" t="s">
        <v>57</v>
      </c>
      <c r="I228" t="s">
        <v>23</v>
      </c>
      <c r="J228" t="s">
        <v>35</v>
      </c>
      <c r="K228" s="2" t="s">
        <v>422</v>
      </c>
      <c r="L228" t="s">
        <v>26</v>
      </c>
      <c r="M228">
        <v>350425</v>
      </c>
      <c r="N228">
        <v>1</v>
      </c>
      <c r="O228" s="3">
        <v>49990</v>
      </c>
      <c r="P228" s="3">
        <v>30986</v>
      </c>
      <c r="Q228" s="5">
        <f t="shared" si="9"/>
        <v>42008.403361344543</v>
      </c>
      <c r="R228" s="5">
        <f t="shared" si="10"/>
        <v>30986</v>
      </c>
      <c r="S228" s="5">
        <f t="shared" si="11"/>
        <v>11022.403361344543</v>
      </c>
    </row>
    <row r="229" spans="1:19" hidden="1" x14ac:dyDescent="0.3">
      <c r="A229">
        <v>100</v>
      </c>
      <c r="B229" t="s">
        <v>16</v>
      </c>
      <c r="C229" t="s">
        <v>670</v>
      </c>
      <c r="D229" s="2" t="s">
        <v>671</v>
      </c>
      <c r="E229" t="s">
        <v>672</v>
      </c>
      <c r="F229" t="s">
        <v>20</v>
      </c>
      <c r="G229" t="s">
        <v>21</v>
      </c>
      <c r="H229" t="s">
        <v>673</v>
      </c>
      <c r="I229" t="s">
        <v>23</v>
      </c>
      <c r="J229" t="s">
        <v>35</v>
      </c>
      <c r="K229" s="2" t="s">
        <v>422</v>
      </c>
      <c r="L229" t="s">
        <v>26</v>
      </c>
      <c r="M229">
        <v>350426</v>
      </c>
      <c r="N229">
        <v>1</v>
      </c>
      <c r="O229" s="3">
        <v>69990</v>
      </c>
      <c r="P229" s="3">
        <v>33837</v>
      </c>
      <c r="Q229" s="5">
        <f t="shared" si="9"/>
        <v>58815.126050420171</v>
      </c>
      <c r="R229" s="5">
        <f t="shared" si="10"/>
        <v>33837</v>
      </c>
      <c r="S229" s="5">
        <f t="shared" si="11"/>
        <v>24978.126050420171</v>
      </c>
    </row>
    <row r="230" spans="1:19" hidden="1" x14ac:dyDescent="0.3">
      <c r="A230">
        <v>100</v>
      </c>
      <c r="B230" t="s">
        <v>16</v>
      </c>
      <c r="C230" t="s">
        <v>386</v>
      </c>
      <c r="D230" s="2" t="s">
        <v>387</v>
      </c>
      <c r="E230" t="s">
        <v>388</v>
      </c>
      <c r="F230" t="s">
        <v>20</v>
      </c>
      <c r="G230" t="s">
        <v>21</v>
      </c>
      <c r="H230" t="s">
        <v>171</v>
      </c>
      <c r="I230" t="s">
        <v>23</v>
      </c>
      <c r="J230" t="s">
        <v>40</v>
      </c>
      <c r="K230" s="2" t="s">
        <v>422</v>
      </c>
      <c r="L230" t="s">
        <v>26</v>
      </c>
      <c r="M230">
        <v>350427</v>
      </c>
      <c r="N230">
        <v>1</v>
      </c>
      <c r="O230" s="3">
        <v>39990</v>
      </c>
      <c r="P230" s="3">
        <v>29970</v>
      </c>
      <c r="Q230" s="5">
        <f t="shared" si="9"/>
        <v>33605.042016806721</v>
      </c>
      <c r="R230" s="5">
        <f t="shared" si="10"/>
        <v>29970</v>
      </c>
      <c r="S230" s="5">
        <f t="shared" si="11"/>
        <v>3635.0420168067212</v>
      </c>
    </row>
    <row r="231" spans="1:19" hidden="1" x14ac:dyDescent="0.3">
      <c r="A231">
        <v>100</v>
      </c>
      <c r="B231" t="s">
        <v>16</v>
      </c>
      <c r="C231" t="s">
        <v>674</v>
      </c>
      <c r="D231" s="2" t="s">
        <v>675</v>
      </c>
      <c r="E231" t="s">
        <v>503</v>
      </c>
      <c r="F231" t="s">
        <v>20</v>
      </c>
      <c r="G231" t="s">
        <v>21</v>
      </c>
      <c r="H231" t="s">
        <v>131</v>
      </c>
      <c r="I231" t="s">
        <v>23</v>
      </c>
      <c r="J231" t="s">
        <v>49</v>
      </c>
      <c r="K231" s="2" t="s">
        <v>422</v>
      </c>
      <c r="L231" t="s">
        <v>26</v>
      </c>
      <c r="M231">
        <v>350427</v>
      </c>
      <c r="N231">
        <v>1</v>
      </c>
      <c r="O231" s="3">
        <v>39990</v>
      </c>
      <c r="P231" s="3">
        <v>25828</v>
      </c>
      <c r="Q231" s="5">
        <f t="shared" si="9"/>
        <v>33605.042016806721</v>
      </c>
      <c r="R231" s="5">
        <f t="shared" si="10"/>
        <v>25828</v>
      </c>
      <c r="S231" s="5">
        <f t="shared" si="11"/>
        <v>7777.0420168067212</v>
      </c>
    </row>
    <row r="232" spans="1:19" hidden="1" x14ac:dyDescent="0.3">
      <c r="A232">
        <v>100</v>
      </c>
      <c r="B232" t="s">
        <v>16</v>
      </c>
      <c r="C232" t="s">
        <v>676</v>
      </c>
      <c r="D232" s="2" t="s">
        <v>677</v>
      </c>
      <c r="E232" t="s">
        <v>678</v>
      </c>
      <c r="F232" t="s">
        <v>20</v>
      </c>
      <c r="G232" t="s">
        <v>21</v>
      </c>
      <c r="H232" t="s">
        <v>22</v>
      </c>
      <c r="I232" t="s">
        <v>23</v>
      </c>
      <c r="J232" t="s">
        <v>31</v>
      </c>
      <c r="K232" s="2" t="s">
        <v>422</v>
      </c>
      <c r="L232" t="s">
        <v>26</v>
      </c>
      <c r="M232">
        <v>350427</v>
      </c>
      <c r="N232">
        <v>1</v>
      </c>
      <c r="O232" s="3">
        <v>84990</v>
      </c>
      <c r="P232" s="3">
        <v>49625</v>
      </c>
      <c r="Q232" s="5">
        <f t="shared" si="9"/>
        <v>71420.168067226899</v>
      </c>
      <c r="R232" s="5">
        <f t="shared" si="10"/>
        <v>49625</v>
      </c>
      <c r="S232" s="5">
        <f t="shared" si="11"/>
        <v>21795.168067226899</v>
      </c>
    </row>
    <row r="233" spans="1:19" hidden="1" x14ac:dyDescent="0.3">
      <c r="A233">
        <v>100</v>
      </c>
      <c r="B233" t="s">
        <v>16</v>
      </c>
      <c r="C233" t="s">
        <v>679</v>
      </c>
      <c r="D233" s="2" t="s">
        <v>680</v>
      </c>
      <c r="E233" t="s">
        <v>681</v>
      </c>
      <c r="F233" t="s">
        <v>20</v>
      </c>
      <c r="G233" t="s">
        <v>21</v>
      </c>
      <c r="H233" t="s">
        <v>682</v>
      </c>
      <c r="I233" t="s">
        <v>23</v>
      </c>
      <c r="J233" t="s">
        <v>40</v>
      </c>
      <c r="K233" s="2" t="s">
        <v>422</v>
      </c>
      <c r="L233" t="s">
        <v>26</v>
      </c>
      <c r="M233">
        <v>350428</v>
      </c>
      <c r="N233">
        <v>1</v>
      </c>
      <c r="O233" s="3">
        <v>29990</v>
      </c>
      <c r="P233" s="3">
        <v>22071</v>
      </c>
      <c r="Q233" s="5">
        <f t="shared" si="9"/>
        <v>25201.680672268907</v>
      </c>
      <c r="R233" s="5">
        <f t="shared" si="10"/>
        <v>22071</v>
      </c>
      <c r="S233" s="5">
        <f t="shared" si="11"/>
        <v>3130.6806722689071</v>
      </c>
    </row>
    <row r="234" spans="1:19" hidden="1" x14ac:dyDescent="0.3">
      <c r="A234">
        <v>100</v>
      </c>
      <c r="B234" t="s">
        <v>16</v>
      </c>
      <c r="C234" t="s">
        <v>371</v>
      </c>
      <c r="D234" s="2" t="s">
        <v>372</v>
      </c>
      <c r="E234" t="s">
        <v>373</v>
      </c>
      <c r="F234" t="s">
        <v>20</v>
      </c>
      <c r="G234" t="s">
        <v>21</v>
      </c>
      <c r="H234" t="s">
        <v>224</v>
      </c>
      <c r="I234" t="s">
        <v>23</v>
      </c>
      <c r="J234" t="s">
        <v>35</v>
      </c>
      <c r="K234" s="2" t="s">
        <v>422</v>
      </c>
      <c r="L234" t="s">
        <v>26</v>
      </c>
      <c r="M234">
        <v>350428</v>
      </c>
      <c r="N234">
        <v>1</v>
      </c>
      <c r="O234" s="3">
        <v>59990</v>
      </c>
      <c r="P234" s="3">
        <v>32011</v>
      </c>
      <c r="Q234" s="5">
        <f t="shared" si="9"/>
        <v>50411.764705882357</v>
      </c>
      <c r="R234" s="5">
        <f t="shared" si="10"/>
        <v>32011</v>
      </c>
      <c r="S234" s="5">
        <f t="shared" si="11"/>
        <v>18400.764705882357</v>
      </c>
    </row>
    <row r="235" spans="1:19" hidden="1" x14ac:dyDescent="0.3">
      <c r="A235">
        <v>100</v>
      </c>
      <c r="B235" t="s">
        <v>16</v>
      </c>
      <c r="C235" t="s">
        <v>683</v>
      </c>
      <c r="D235" s="2" t="s">
        <v>684</v>
      </c>
      <c r="E235" t="s">
        <v>685</v>
      </c>
      <c r="F235" t="s">
        <v>20</v>
      </c>
      <c r="G235" t="s">
        <v>21</v>
      </c>
      <c r="H235" t="s">
        <v>686</v>
      </c>
      <c r="I235" t="s">
        <v>23</v>
      </c>
      <c r="J235" t="s">
        <v>31</v>
      </c>
      <c r="K235" s="2" t="s">
        <v>422</v>
      </c>
      <c r="L235" t="s">
        <v>26</v>
      </c>
      <c r="M235">
        <v>350429</v>
      </c>
      <c r="N235">
        <v>1</v>
      </c>
      <c r="O235" s="3">
        <v>139950</v>
      </c>
      <c r="P235" s="3">
        <v>67844</v>
      </c>
      <c r="Q235" s="5">
        <f t="shared" si="9"/>
        <v>117605.04201680672</v>
      </c>
      <c r="R235" s="5">
        <f t="shared" si="10"/>
        <v>67844</v>
      </c>
      <c r="S235" s="5">
        <f t="shared" si="11"/>
        <v>49761.042016806721</v>
      </c>
    </row>
    <row r="236" spans="1:19" hidden="1" x14ac:dyDescent="0.3">
      <c r="A236">
        <v>100</v>
      </c>
      <c r="B236" t="s">
        <v>16</v>
      </c>
      <c r="C236" t="s">
        <v>687</v>
      </c>
      <c r="D236" s="2" t="s">
        <v>688</v>
      </c>
      <c r="E236" t="s">
        <v>689</v>
      </c>
      <c r="F236" t="s">
        <v>20</v>
      </c>
      <c r="G236" t="s">
        <v>21</v>
      </c>
      <c r="H236" t="s">
        <v>22</v>
      </c>
      <c r="I236" t="s">
        <v>23</v>
      </c>
      <c r="J236" t="s">
        <v>24</v>
      </c>
      <c r="K236" s="2" t="s">
        <v>422</v>
      </c>
      <c r="L236" t="s">
        <v>26</v>
      </c>
      <c r="M236">
        <v>350430</v>
      </c>
      <c r="N236">
        <v>1</v>
      </c>
      <c r="O236" s="3">
        <v>49990</v>
      </c>
      <c r="P236" s="3">
        <v>29080</v>
      </c>
      <c r="Q236" s="5">
        <f t="shared" si="9"/>
        <v>42008.403361344543</v>
      </c>
      <c r="R236" s="5">
        <f t="shared" si="10"/>
        <v>29080</v>
      </c>
      <c r="S236" s="5">
        <f t="shared" si="11"/>
        <v>12928.403361344543</v>
      </c>
    </row>
    <row r="237" spans="1:19" hidden="1" x14ac:dyDescent="0.3">
      <c r="A237">
        <v>100</v>
      </c>
      <c r="B237" t="s">
        <v>16</v>
      </c>
      <c r="C237">
        <v>1687976791</v>
      </c>
      <c r="D237" s="2" t="s">
        <v>200</v>
      </c>
      <c r="E237" t="s">
        <v>201</v>
      </c>
      <c r="F237" t="s">
        <v>201</v>
      </c>
      <c r="G237" t="s">
        <v>202</v>
      </c>
      <c r="H237" t="s">
        <v>202</v>
      </c>
      <c r="I237" t="s">
        <v>23</v>
      </c>
      <c r="J237" t="s">
        <v>202</v>
      </c>
      <c r="K237" s="2" t="s">
        <v>422</v>
      </c>
      <c r="L237" t="s">
        <v>26</v>
      </c>
      <c r="M237">
        <v>350430</v>
      </c>
      <c r="N237">
        <v>1</v>
      </c>
      <c r="O237" s="3">
        <v>6250</v>
      </c>
      <c r="P237">
        <v>1</v>
      </c>
      <c r="Q237" s="5">
        <f t="shared" si="9"/>
        <v>5252.1008403361348</v>
      </c>
      <c r="R237" s="5">
        <f t="shared" si="10"/>
        <v>1</v>
      </c>
      <c r="S237" s="5">
        <f t="shared" si="11"/>
        <v>5251.1008403361348</v>
      </c>
    </row>
    <row r="238" spans="1:19" hidden="1" x14ac:dyDescent="0.3">
      <c r="A238">
        <v>100</v>
      </c>
      <c r="B238" t="s">
        <v>16</v>
      </c>
      <c r="C238" t="s">
        <v>690</v>
      </c>
      <c r="D238" s="2" t="s">
        <v>691</v>
      </c>
      <c r="E238" t="s">
        <v>692</v>
      </c>
      <c r="F238" t="s">
        <v>20</v>
      </c>
      <c r="G238" t="s">
        <v>21</v>
      </c>
      <c r="H238" t="s">
        <v>693</v>
      </c>
      <c r="I238" t="s">
        <v>23</v>
      </c>
      <c r="J238" t="s">
        <v>49</v>
      </c>
      <c r="K238" s="2" t="s">
        <v>422</v>
      </c>
      <c r="L238" t="s">
        <v>26</v>
      </c>
      <c r="M238">
        <v>350431</v>
      </c>
      <c r="N238">
        <v>1</v>
      </c>
      <c r="O238" s="3">
        <v>44990</v>
      </c>
      <c r="P238" s="3">
        <v>21709</v>
      </c>
      <c r="Q238" s="5">
        <f t="shared" si="9"/>
        <v>37806.722689075636</v>
      </c>
      <c r="R238" s="5">
        <f t="shared" si="10"/>
        <v>21709</v>
      </c>
      <c r="S238" s="5">
        <f t="shared" si="11"/>
        <v>16097.722689075636</v>
      </c>
    </row>
    <row r="239" spans="1:19" hidden="1" x14ac:dyDescent="0.3">
      <c r="A239">
        <v>100</v>
      </c>
      <c r="B239" t="s">
        <v>16</v>
      </c>
      <c r="C239">
        <v>1687976791</v>
      </c>
      <c r="D239" s="2" t="s">
        <v>200</v>
      </c>
      <c r="E239" t="s">
        <v>201</v>
      </c>
      <c r="F239" t="s">
        <v>201</v>
      </c>
      <c r="G239" t="s">
        <v>202</v>
      </c>
      <c r="H239" t="s">
        <v>202</v>
      </c>
      <c r="I239" t="s">
        <v>23</v>
      </c>
      <c r="J239" t="s">
        <v>202</v>
      </c>
      <c r="K239" s="2" t="s">
        <v>422</v>
      </c>
      <c r="L239" t="s">
        <v>26</v>
      </c>
      <c r="M239">
        <v>350431</v>
      </c>
      <c r="N239">
        <v>1</v>
      </c>
      <c r="O239" s="3">
        <v>6400</v>
      </c>
      <c r="P239">
        <v>1</v>
      </c>
      <c r="Q239" s="5">
        <f t="shared" si="9"/>
        <v>5378.1512605042017</v>
      </c>
      <c r="R239" s="5">
        <f t="shared" si="10"/>
        <v>1</v>
      </c>
      <c r="S239" s="5">
        <f t="shared" si="11"/>
        <v>5377.1512605042017</v>
      </c>
    </row>
    <row r="240" spans="1:19" hidden="1" x14ac:dyDescent="0.3">
      <c r="A240">
        <v>100</v>
      </c>
      <c r="B240" t="s">
        <v>16</v>
      </c>
      <c r="C240">
        <v>1687976791</v>
      </c>
      <c r="D240" s="2" t="s">
        <v>200</v>
      </c>
      <c r="E240" t="s">
        <v>201</v>
      </c>
      <c r="F240" t="s">
        <v>201</v>
      </c>
      <c r="G240" t="s">
        <v>202</v>
      </c>
      <c r="H240" t="s">
        <v>202</v>
      </c>
      <c r="I240" t="s">
        <v>23</v>
      </c>
      <c r="J240" t="s">
        <v>202</v>
      </c>
      <c r="K240" s="2" t="s">
        <v>422</v>
      </c>
      <c r="L240" t="s">
        <v>26</v>
      </c>
      <c r="M240">
        <v>350432</v>
      </c>
      <c r="N240">
        <v>1</v>
      </c>
      <c r="O240" s="3">
        <v>3200</v>
      </c>
      <c r="P240">
        <v>1</v>
      </c>
      <c r="Q240" s="5">
        <f t="shared" si="9"/>
        <v>2689.0756302521008</v>
      </c>
      <c r="R240" s="5">
        <f t="shared" si="10"/>
        <v>1</v>
      </c>
      <c r="S240" s="5">
        <f t="shared" si="11"/>
        <v>2688.0756302521008</v>
      </c>
    </row>
    <row r="241" spans="1:19" hidden="1" x14ac:dyDescent="0.3">
      <c r="A241">
        <v>100</v>
      </c>
      <c r="B241" t="s">
        <v>16</v>
      </c>
      <c r="C241" t="s">
        <v>694</v>
      </c>
      <c r="D241" s="2" t="s">
        <v>695</v>
      </c>
      <c r="E241" t="s">
        <v>696</v>
      </c>
      <c r="F241" t="s">
        <v>20</v>
      </c>
      <c r="G241" t="s">
        <v>215</v>
      </c>
      <c r="H241" t="s">
        <v>216</v>
      </c>
      <c r="I241" t="s">
        <v>23</v>
      </c>
      <c r="J241" t="s">
        <v>220</v>
      </c>
      <c r="K241" s="2" t="s">
        <v>422</v>
      </c>
      <c r="L241" t="s">
        <v>26</v>
      </c>
      <c r="M241">
        <v>350432</v>
      </c>
      <c r="N241">
        <v>1</v>
      </c>
      <c r="O241" s="3">
        <v>69990</v>
      </c>
      <c r="P241" s="3">
        <v>40434</v>
      </c>
      <c r="Q241" s="5">
        <f t="shared" si="9"/>
        <v>58815.126050420171</v>
      </c>
      <c r="R241" s="5">
        <f t="shared" si="10"/>
        <v>40434</v>
      </c>
      <c r="S241" s="5">
        <f t="shared" si="11"/>
        <v>18381.126050420171</v>
      </c>
    </row>
    <row r="242" spans="1:19" hidden="1" x14ac:dyDescent="0.3">
      <c r="A242">
        <v>100</v>
      </c>
      <c r="B242" t="s">
        <v>16</v>
      </c>
      <c r="C242" t="s">
        <v>697</v>
      </c>
      <c r="D242" s="2" t="s">
        <v>698</v>
      </c>
      <c r="E242" t="s">
        <v>699</v>
      </c>
      <c r="F242" t="s">
        <v>20</v>
      </c>
      <c r="G242" t="s">
        <v>21</v>
      </c>
      <c r="H242" t="s">
        <v>433</v>
      </c>
      <c r="I242" t="s">
        <v>23</v>
      </c>
      <c r="J242" t="s">
        <v>407</v>
      </c>
      <c r="K242" s="2" t="s">
        <v>422</v>
      </c>
      <c r="L242" t="s">
        <v>26</v>
      </c>
      <c r="M242">
        <v>350433</v>
      </c>
      <c r="N242">
        <v>1</v>
      </c>
      <c r="O242" s="3">
        <v>29990</v>
      </c>
      <c r="P242" s="3">
        <v>22800</v>
      </c>
      <c r="Q242" s="5">
        <f t="shared" si="9"/>
        <v>25201.680672268907</v>
      </c>
      <c r="R242" s="5">
        <f t="shared" si="10"/>
        <v>22800</v>
      </c>
      <c r="S242" s="5">
        <f t="shared" si="11"/>
        <v>2401.6806722689071</v>
      </c>
    </row>
    <row r="243" spans="1:19" hidden="1" x14ac:dyDescent="0.3">
      <c r="A243">
        <v>100</v>
      </c>
      <c r="B243" t="s">
        <v>16</v>
      </c>
      <c r="C243">
        <v>1687976791</v>
      </c>
      <c r="D243" s="2" t="s">
        <v>200</v>
      </c>
      <c r="E243" t="s">
        <v>201</v>
      </c>
      <c r="F243" t="s">
        <v>201</v>
      </c>
      <c r="G243" t="s">
        <v>202</v>
      </c>
      <c r="H243" t="s">
        <v>202</v>
      </c>
      <c r="I243" t="s">
        <v>23</v>
      </c>
      <c r="J243" t="s">
        <v>202</v>
      </c>
      <c r="K243" s="2" t="s">
        <v>422</v>
      </c>
      <c r="L243" t="s">
        <v>26</v>
      </c>
      <c r="M243">
        <v>350433</v>
      </c>
      <c r="N243">
        <v>1</v>
      </c>
      <c r="O243" s="3">
        <v>5350</v>
      </c>
      <c r="P243">
        <v>1</v>
      </c>
      <c r="Q243" s="5">
        <f t="shared" si="9"/>
        <v>4495.7983193277314</v>
      </c>
      <c r="R243" s="5">
        <f t="shared" si="10"/>
        <v>1</v>
      </c>
      <c r="S243" s="5">
        <f t="shared" si="11"/>
        <v>4494.7983193277314</v>
      </c>
    </row>
    <row r="244" spans="1:19" hidden="1" x14ac:dyDescent="0.3">
      <c r="A244">
        <v>100</v>
      </c>
      <c r="B244" t="s">
        <v>16</v>
      </c>
      <c r="C244" t="s">
        <v>700</v>
      </c>
      <c r="D244" s="2" t="s">
        <v>701</v>
      </c>
      <c r="E244" t="s">
        <v>702</v>
      </c>
      <c r="F244" t="s">
        <v>377</v>
      </c>
      <c r="G244" t="s">
        <v>21</v>
      </c>
      <c r="H244" t="s">
        <v>378</v>
      </c>
      <c r="I244" t="s">
        <v>23</v>
      </c>
      <c r="J244" t="s">
        <v>379</v>
      </c>
      <c r="K244" s="2" t="s">
        <v>422</v>
      </c>
      <c r="L244" t="s">
        <v>26</v>
      </c>
      <c r="M244">
        <v>350433</v>
      </c>
      <c r="N244">
        <v>1</v>
      </c>
      <c r="O244" s="3">
        <v>4950</v>
      </c>
      <c r="P244" s="3">
        <v>2529</v>
      </c>
      <c r="Q244" s="5">
        <f t="shared" si="9"/>
        <v>4159.6638655462184</v>
      </c>
      <c r="R244" s="5">
        <f t="shared" si="10"/>
        <v>2529</v>
      </c>
      <c r="S244" s="5">
        <f t="shared" si="11"/>
        <v>1630.6638655462184</v>
      </c>
    </row>
    <row r="245" spans="1:19" hidden="1" x14ac:dyDescent="0.3">
      <c r="A245">
        <v>100</v>
      </c>
      <c r="B245" t="s">
        <v>16</v>
      </c>
      <c r="C245">
        <v>1687976791</v>
      </c>
      <c r="D245" s="2" t="s">
        <v>200</v>
      </c>
      <c r="E245" t="s">
        <v>201</v>
      </c>
      <c r="F245" t="s">
        <v>201</v>
      </c>
      <c r="G245" t="s">
        <v>202</v>
      </c>
      <c r="H245" t="s">
        <v>202</v>
      </c>
      <c r="I245" t="s">
        <v>23</v>
      </c>
      <c r="J245" t="s">
        <v>202</v>
      </c>
      <c r="K245" s="2" t="s">
        <v>422</v>
      </c>
      <c r="L245" t="s">
        <v>26</v>
      </c>
      <c r="M245">
        <v>350434</v>
      </c>
      <c r="N245">
        <v>1</v>
      </c>
      <c r="O245" s="3">
        <v>3200</v>
      </c>
      <c r="P245">
        <v>1</v>
      </c>
      <c r="Q245" s="5">
        <f t="shared" si="9"/>
        <v>2689.0756302521008</v>
      </c>
      <c r="R245" s="5">
        <f t="shared" si="10"/>
        <v>1</v>
      </c>
      <c r="S245" s="5">
        <f t="shared" si="11"/>
        <v>2688.0756302521008</v>
      </c>
    </row>
    <row r="246" spans="1:19" hidden="1" x14ac:dyDescent="0.3">
      <c r="A246">
        <v>100</v>
      </c>
      <c r="B246" t="s">
        <v>16</v>
      </c>
      <c r="C246" t="s">
        <v>622</v>
      </c>
      <c r="D246" s="2" t="s">
        <v>623</v>
      </c>
      <c r="E246" t="s">
        <v>624</v>
      </c>
      <c r="F246" t="s">
        <v>20</v>
      </c>
      <c r="G246" t="s">
        <v>21</v>
      </c>
      <c r="H246" t="s">
        <v>625</v>
      </c>
      <c r="I246" t="s">
        <v>23</v>
      </c>
      <c r="J246" t="s">
        <v>35</v>
      </c>
      <c r="K246" s="2" t="s">
        <v>422</v>
      </c>
      <c r="L246" t="s">
        <v>26</v>
      </c>
      <c r="M246">
        <v>350434</v>
      </c>
      <c r="N246">
        <v>1</v>
      </c>
      <c r="O246" s="3">
        <v>49990</v>
      </c>
      <c r="P246" s="3">
        <v>26977</v>
      </c>
      <c r="Q246" s="5">
        <f t="shared" si="9"/>
        <v>42008.403361344543</v>
      </c>
      <c r="R246" s="5">
        <f t="shared" si="10"/>
        <v>26977</v>
      </c>
      <c r="S246" s="5">
        <f t="shared" si="11"/>
        <v>15031.403361344543</v>
      </c>
    </row>
    <row r="247" spans="1:19" hidden="1" x14ac:dyDescent="0.3">
      <c r="A247">
        <v>100</v>
      </c>
      <c r="B247" t="s">
        <v>16</v>
      </c>
      <c r="C247">
        <v>1687976791</v>
      </c>
      <c r="D247" s="2" t="s">
        <v>200</v>
      </c>
      <c r="E247" t="s">
        <v>201</v>
      </c>
      <c r="F247" t="s">
        <v>201</v>
      </c>
      <c r="G247" t="s">
        <v>202</v>
      </c>
      <c r="H247" t="s">
        <v>202</v>
      </c>
      <c r="I247" t="s">
        <v>23</v>
      </c>
      <c r="J247" t="s">
        <v>202</v>
      </c>
      <c r="K247" s="2" t="s">
        <v>422</v>
      </c>
      <c r="L247" t="s">
        <v>26</v>
      </c>
      <c r="M247">
        <v>350435</v>
      </c>
      <c r="N247">
        <v>1</v>
      </c>
      <c r="O247" s="3">
        <v>3200</v>
      </c>
      <c r="P247">
        <v>1</v>
      </c>
      <c r="Q247" s="5">
        <f t="shared" si="9"/>
        <v>2689.0756302521008</v>
      </c>
      <c r="R247" s="5">
        <f t="shared" si="10"/>
        <v>1</v>
      </c>
      <c r="S247" s="5">
        <f t="shared" si="11"/>
        <v>2688.0756302521008</v>
      </c>
    </row>
    <row r="248" spans="1:19" hidden="1" x14ac:dyDescent="0.3">
      <c r="A248">
        <v>100</v>
      </c>
      <c r="B248" t="s">
        <v>16</v>
      </c>
      <c r="C248" t="s">
        <v>703</v>
      </c>
      <c r="D248" s="2" t="s">
        <v>704</v>
      </c>
      <c r="E248" t="s">
        <v>705</v>
      </c>
      <c r="F248" t="s">
        <v>20</v>
      </c>
      <c r="G248" t="s">
        <v>21</v>
      </c>
      <c r="H248" t="s">
        <v>323</v>
      </c>
      <c r="I248" t="s">
        <v>23</v>
      </c>
      <c r="J248" t="s">
        <v>49</v>
      </c>
      <c r="K248" s="2" t="s">
        <v>422</v>
      </c>
      <c r="L248" t="s">
        <v>26</v>
      </c>
      <c r="M248">
        <v>350435</v>
      </c>
      <c r="N248">
        <v>1</v>
      </c>
      <c r="O248" s="3">
        <v>49990</v>
      </c>
      <c r="P248" s="3">
        <v>30746</v>
      </c>
      <c r="Q248" s="5">
        <f t="shared" si="9"/>
        <v>42008.403361344543</v>
      </c>
      <c r="R248" s="5">
        <f t="shared" si="10"/>
        <v>30746</v>
      </c>
      <c r="S248" s="5">
        <f t="shared" si="11"/>
        <v>11262.403361344543</v>
      </c>
    </row>
    <row r="249" spans="1:19" hidden="1" x14ac:dyDescent="0.3">
      <c r="A249">
        <v>100</v>
      </c>
      <c r="B249" t="s">
        <v>16</v>
      </c>
      <c r="C249">
        <v>1687976791</v>
      </c>
      <c r="D249" s="2" t="s">
        <v>200</v>
      </c>
      <c r="E249" t="s">
        <v>201</v>
      </c>
      <c r="F249" t="s">
        <v>201</v>
      </c>
      <c r="G249" t="s">
        <v>202</v>
      </c>
      <c r="H249" t="s">
        <v>202</v>
      </c>
      <c r="I249" t="s">
        <v>23</v>
      </c>
      <c r="J249" t="s">
        <v>202</v>
      </c>
      <c r="K249" s="2" t="s">
        <v>422</v>
      </c>
      <c r="L249" t="s">
        <v>26</v>
      </c>
      <c r="M249">
        <v>350436</v>
      </c>
      <c r="N249">
        <v>1</v>
      </c>
      <c r="O249" s="3">
        <v>3200</v>
      </c>
      <c r="P249">
        <v>1</v>
      </c>
      <c r="Q249" s="5">
        <f t="shared" si="9"/>
        <v>2689.0756302521008</v>
      </c>
      <c r="R249" s="5">
        <f t="shared" si="10"/>
        <v>1</v>
      </c>
      <c r="S249" s="5">
        <f t="shared" si="11"/>
        <v>2688.0756302521008</v>
      </c>
    </row>
    <row r="250" spans="1:19" hidden="1" x14ac:dyDescent="0.3">
      <c r="A250">
        <v>100</v>
      </c>
      <c r="B250" t="s">
        <v>16</v>
      </c>
      <c r="C250" t="s">
        <v>706</v>
      </c>
      <c r="D250" s="2" t="s">
        <v>707</v>
      </c>
      <c r="E250" t="s">
        <v>708</v>
      </c>
      <c r="F250" t="s">
        <v>20</v>
      </c>
      <c r="G250" t="s">
        <v>21</v>
      </c>
      <c r="H250" t="s">
        <v>53</v>
      </c>
      <c r="I250" t="s">
        <v>23</v>
      </c>
      <c r="J250" t="s">
        <v>35</v>
      </c>
      <c r="K250" s="2" t="s">
        <v>422</v>
      </c>
      <c r="L250" t="s">
        <v>26</v>
      </c>
      <c r="M250">
        <v>350436</v>
      </c>
      <c r="N250">
        <v>1</v>
      </c>
      <c r="O250" s="3">
        <v>39990</v>
      </c>
      <c r="P250" s="3">
        <v>19734</v>
      </c>
      <c r="Q250" s="5">
        <f t="shared" si="9"/>
        <v>33605.042016806721</v>
      </c>
      <c r="R250" s="5">
        <f t="shared" si="10"/>
        <v>19734</v>
      </c>
      <c r="S250" s="5">
        <f t="shared" si="11"/>
        <v>13871.042016806721</v>
      </c>
    </row>
    <row r="251" spans="1:19" hidden="1" x14ac:dyDescent="0.3">
      <c r="A251">
        <v>100</v>
      </c>
      <c r="B251" t="s">
        <v>16</v>
      </c>
      <c r="C251" t="s">
        <v>709</v>
      </c>
      <c r="D251" s="2" t="s">
        <v>710</v>
      </c>
      <c r="E251" t="s">
        <v>711</v>
      </c>
      <c r="F251" t="s">
        <v>20</v>
      </c>
      <c r="G251" t="s">
        <v>21</v>
      </c>
      <c r="H251" t="s">
        <v>251</v>
      </c>
      <c r="I251" t="s">
        <v>23</v>
      </c>
      <c r="J251" t="s">
        <v>49</v>
      </c>
      <c r="K251" s="2" t="s">
        <v>422</v>
      </c>
      <c r="L251" t="s">
        <v>26</v>
      </c>
      <c r="M251">
        <v>350437</v>
      </c>
      <c r="N251">
        <v>1</v>
      </c>
      <c r="O251" s="3">
        <v>34990</v>
      </c>
      <c r="P251" s="3">
        <v>22685</v>
      </c>
      <c r="Q251" s="5">
        <f t="shared" si="9"/>
        <v>29403.361344537818</v>
      </c>
      <c r="R251" s="5">
        <f t="shared" si="10"/>
        <v>22685</v>
      </c>
      <c r="S251" s="5">
        <f t="shared" si="11"/>
        <v>6718.3613445378178</v>
      </c>
    </row>
    <row r="252" spans="1:19" hidden="1" x14ac:dyDescent="0.3">
      <c r="A252">
        <v>100</v>
      </c>
      <c r="B252" t="s">
        <v>16</v>
      </c>
      <c r="C252">
        <v>1687976791</v>
      </c>
      <c r="D252" s="2" t="s">
        <v>200</v>
      </c>
      <c r="E252" t="s">
        <v>201</v>
      </c>
      <c r="F252" t="s">
        <v>201</v>
      </c>
      <c r="G252" t="s">
        <v>202</v>
      </c>
      <c r="H252" t="s">
        <v>202</v>
      </c>
      <c r="I252" t="s">
        <v>23</v>
      </c>
      <c r="J252" t="s">
        <v>202</v>
      </c>
      <c r="K252" s="2" t="s">
        <v>422</v>
      </c>
      <c r="L252" t="s">
        <v>26</v>
      </c>
      <c r="M252">
        <v>350437</v>
      </c>
      <c r="N252">
        <v>1</v>
      </c>
      <c r="O252" s="3">
        <v>3200</v>
      </c>
      <c r="P252">
        <v>1</v>
      </c>
      <c r="Q252" s="5">
        <f t="shared" si="9"/>
        <v>2689.0756302521008</v>
      </c>
      <c r="R252" s="5">
        <f t="shared" si="10"/>
        <v>1</v>
      </c>
      <c r="S252" s="5">
        <f t="shared" si="11"/>
        <v>2688.0756302521008</v>
      </c>
    </row>
    <row r="253" spans="1:19" hidden="1" x14ac:dyDescent="0.3">
      <c r="A253">
        <v>100</v>
      </c>
      <c r="B253" t="s">
        <v>16</v>
      </c>
      <c r="C253" t="s">
        <v>712</v>
      </c>
      <c r="D253" s="2" t="s">
        <v>713</v>
      </c>
      <c r="E253" t="s">
        <v>714</v>
      </c>
      <c r="F253" t="s">
        <v>20</v>
      </c>
      <c r="G253" t="s">
        <v>21</v>
      </c>
      <c r="H253" t="s">
        <v>30</v>
      </c>
      <c r="I253" t="s">
        <v>23</v>
      </c>
      <c r="J253" t="s">
        <v>49</v>
      </c>
      <c r="K253" s="2" t="s">
        <v>422</v>
      </c>
      <c r="L253" t="s">
        <v>26</v>
      </c>
      <c r="M253">
        <v>350438</v>
      </c>
      <c r="N253">
        <v>1</v>
      </c>
      <c r="O253" s="3">
        <v>69950</v>
      </c>
      <c r="P253" s="3">
        <v>24583</v>
      </c>
      <c r="Q253" s="5">
        <f t="shared" si="9"/>
        <v>58781.512605042022</v>
      </c>
      <c r="R253" s="5">
        <f t="shared" si="10"/>
        <v>24583</v>
      </c>
      <c r="S253" s="5">
        <f t="shared" si="11"/>
        <v>34198.512605042022</v>
      </c>
    </row>
    <row r="254" spans="1:19" hidden="1" x14ac:dyDescent="0.3">
      <c r="A254">
        <v>100</v>
      </c>
      <c r="B254" t="s">
        <v>16</v>
      </c>
      <c r="C254">
        <v>1687976791</v>
      </c>
      <c r="D254" s="2" t="s">
        <v>200</v>
      </c>
      <c r="E254" t="s">
        <v>201</v>
      </c>
      <c r="F254" t="s">
        <v>201</v>
      </c>
      <c r="G254" t="s">
        <v>202</v>
      </c>
      <c r="H254" t="s">
        <v>202</v>
      </c>
      <c r="I254" t="s">
        <v>23</v>
      </c>
      <c r="J254" t="s">
        <v>202</v>
      </c>
      <c r="K254" s="2" t="s">
        <v>422</v>
      </c>
      <c r="L254" t="s">
        <v>26</v>
      </c>
      <c r="M254">
        <v>350438</v>
      </c>
      <c r="N254">
        <v>1</v>
      </c>
      <c r="O254" s="3">
        <v>3200</v>
      </c>
      <c r="P254">
        <v>1</v>
      </c>
      <c r="Q254" s="5">
        <f t="shared" si="9"/>
        <v>2689.0756302521008</v>
      </c>
      <c r="R254" s="5">
        <f t="shared" si="10"/>
        <v>1</v>
      </c>
      <c r="S254" s="5">
        <f t="shared" si="11"/>
        <v>2688.0756302521008</v>
      </c>
    </row>
    <row r="255" spans="1:19" hidden="1" x14ac:dyDescent="0.3">
      <c r="A255">
        <v>100</v>
      </c>
      <c r="B255" t="s">
        <v>16</v>
      </c>
      <c r="C255" t="s">
        <v>715</v>
      </c>
      <c r="D255" s="2" t="s">
        <v>716</v>
      </c>
      <c r="E255" t="s">
        <v>717</v>
      </c>
      <c r="F255" t="s">
        <v>20</v>
      </c>
      <c r="G255" t="s">
        <v>21</v>
      </c>
      <c r="H255" t="s">
        <v>718</v>
      </c>
      <c r="I255" t="s">
        <v>23</v>
      </c>
      <c r="J255" t="s">
        <v>49</v>
      </c>
      <c r="K255" s="2" t="s">
        <v>422</v>
      </c>
      <c r="L255" t="s">
        <v>26</v>
      </c>
      <c r="M255">
        <v>350439</v>
      </c>
      <c r="N255">
        <v>1</v>
      </c>
      <c r="O255" s="3">
        <v>39990</v>
      </c>
      <c r="P255" s="3">
        <v>26649</v>
      </c>
      <c r="Q255" s="5">
        <f t="shared" si="9"/>
        <v>33605.042016806721</v>
      </c>
      <c r="R255" s="5">
        <f t="shared" si="10"/>
        <v>26649</v>
      </c>
      <c r="S255" s="5">
        <f t="shared" si="11"/>
        <v>6956.0420168067212</v>
      </c>
    </row>
    <row r="256" spans="1:19" hidden="1" x14ac:dyDescent="0.3">
      <c r="A256">
        <v>100</v>
      </c>
      <c r="B256" t="s">
        <v>16</v>
      </c>
      <c r="C256">
        <v>1687976791</v>
      </c>
      <c r="D256" s="2" t="s">
        <v>200</v>
      </c>
      <c r="E256" t="s">
        <v>201</v>
      </c>
      <c r="F256" t="s">
        <v>201</v>
      </c>
      <c r="G256" t="s">
        <v>202</v>
      </c>
      <c r="H256" t="s">
        <v>202</v>
      </c>
      <c r="I256" t="s">
        <v>23</v>
      </c>
      <c r="J256" t="s">
        <v>202</v>
      </c>
      <c r="K256" s="2" t="s">
        <v>422</v>
      </c>
      <c r="L256" t="s">
        <v>26</v>
      </c>
      <c r="M256">
        <v>350439</v>
      </c>
      <c r="N256">
        <v>1</v>
      </c>
      <c r="O256" s="3">
        <v>3200</v>
      </c>
      <c r="P256">
        <v>1</v>
      </c>
      <c r="Q256" s="5">
        <f t="shared" si="9"/>
        <v>2689.0756302521008</v>
      </c>
      <c r="R256" s="5">
        <f t="shared" si="10"/>
        <v>1</v>
      </c>
      <c r="S256" s="5">
        <f t="shared" si="11"/>
        <v>2688.0756302521008</v>
      </c>
    </row>
    <row r="257" spans="1:19" hidden="1" x14ac:dyDescent="0.3">
      <c r="A257">
        <v>100</v>
      </c>
      <c r="B257" t="s">
        <v>16</v>
      </c>
      <c r="C257" t="s">
        <v>535</v>
      </c>
      <c r="D257" s="2" t="s">
        <v>536</v>
      </c>
      <c r="E257" t="s">
        <v>537</v>
      </c>
      <c r="F257" t="s">
        <v>20</v>
      </c>
      <c r="G257" t="s">
        <v>21</v>
      </c>
      <c r="H257" t="s">
        <v>368</v>
      </c>
      <c r="I257" t="s">
        <v>23</v>
      </c>
      <c r="J257" t="s">
        <v>40</v>
      </c>
      <c r="K257" s="2" t="s">
        <v>422</v>
      </c>
      <c r="L257" t="s">
        <v>26</v>
      </c>
      <c r="M257">
        <v>350440</v>
      </c>
      <c r="N257">
        <v>1</v>
      </c>
      <c r="O257" s="3">
        <v>34990</v>
      </c>
      <c r="P257" s="3">
        <v>21072</v>
      </c>
      <c r="Q257" s="5">
        <f t="shared" si="9"/>
        <v>29403.361344537818</v>
      </c>
      <c r="R257" s="5">
        <f t="shared" si="10"/>
        <v>21072</v>
      </c>
      <c r="S257" s="5">
        <f t="shared" si="11"/>
        <v>8331.3613445378178</v>
      </c>
    </row>
    <row r="258" spans="1:19" hidden="1" x14ac:dyDescent="0.3">
      <c r="A258">
        <v>100</v>
      </c>
      <c r="B258" t="s">
        <v>16</v>
      </c>
      <c r="C258" t="s">
        <v>719</v>
      </c>
      <c r="D258" s="2" t="s">
        <v>720</v>
      </c>
      <c r="E258" t="s">
        <v>721</v>
      </c>
      <c r="F258" t="s">
        <v>20</v>
      </c>
      <c r="G258" t="s">
        <v>21</v>
      </c>
      <c r="H258" t="s">
        <v>722</v>
      </c>
      <c r="I258" t="s">
        <v>23</v>
      </c>
      <c r="J258" t="s">
        <v>207</v>
      </c>
      <c r="K258" s="2" t="s">
        <v>422</v>
      </c>
      <c r="L258" t="s">
        <v>26</v>
      </c>
      <c r="M258">
        <v>350440</v>
      </c>
      <c r="N258">
        <v>1</v>
      </c>
      <c r="O258" s="3">
        <v>34990</v>
      </c>
      <c r="P258" s="3">
        <v>13709</v>
      </c>
      <c r="Q258" s="5">
        <f t="shared" si="9"/>
        <v>29403.361344537818</v>
      </c>
      <c r="R258" s="5">
        <f t="shared" si="10"/>
        <v>13709</v>
      </c>
      <c r="S258" s="5">
        <f t="shared" si="11"/>
        <v>15694.361344537818</v>
      </c>
    </row>
    <row r="259" spans="1:19" hidden="1" x14ac:dyDescent="0.3">
      <c r="A259">
        <v>100</v>
      </c>
      <c r="B259" t="s">
        <v>16</v>
      </c>
      <c r="C259" t="s">
        <v>723</v>
      </c>
      <c r="D259" s="2" t="s">
        <v>724</v>
      </c>
      <c r="E259" t="s">
        <v>725</v>
      </c>
      <c r="F259" t="s">
        <v>20</v>
      </c>
      <c r="G259" t="s">
        <v>21</v>
      </c>
      <c r="H259" t="s">
        <v>228</v>
      </c>
      <c r="I259" t="s">
        <v>23</v>
      </c>
      <c r="J259" t="s">
        <v>207</v>
      </c>
      <c r="K259" s="2" t="s">
        <v>422</v>
      </c>
      <c r="L259" t="s">
        <v>26</v>
      </c>
      <c r="M259">
        <v>350441</v>
      </c>
      <c r="N259">
        <v>1</v>
      </c>
      <c r="O259" s="3">
        <v>39990</v>
      </c>
      <c r="P259" s="3">
        <v>26248</v>
      </c>
      <c r="Q259" s="5">
        <f t="shared" si="9"/>
        <v>33605.042016806721</v>
      </c>
      <c r="R259" s="5">
        <f t="shared" si="10"/>
        <v>26248</v>
      </c>
      <c r="S259" s="5">
        <f t="shared" si="11"/>
        <v>7357.0420168067212</v>
      </c>
    </row>
    <row r="260" spans="1:19" hidden="1" x14ac:dyDescent="0.3">
      <c r="A260">
        <v>100</v>
      </c>
      <c r="B260" t="s">
        <v>16</v>
      </c>
      <c r="C260">
        <v>1687976791</v>
      </c>
      <c r="D260" s="2" t="s">
        <v>200</v>
      </c>
      <c r="E260" t="s">
        <v>201</v>
      </c>
      <c r="F260" t="s">
        <v>201</v>
      </c>
      <c r="G260" t="s">
        <v>202</v>
      </c>
      <c r="H260" t="s">
        <v>202</v>
      </c>
      <c r="I260" t="s">
        <v>23</v>
      </c>
      <c r="J260" t="s">
        <v>202</v>
      </c>
      <c r="K260" s="2" t="s">
        <v>422</v>
      </c>
      <c r="L260" t="s">
        <v>26</v>
      </c>
      <c r="M260">
        <v>350441</v>
      </c>
      <c r="N260">
        <v>1</v>
      </c>
      <c r="O260" s="3">
        <v>6250</v>
      </c>
      <c r="P260">
        <v>1</v>
      </c>
      <c r="Q260" s="5">
        <f t="shared" si="9"/>
        <v>5252.1008403361348</v>
      </c>
      <c r="R260" s="5">
        <f t="shared" si="10"/>
        <v>1</v>
      </c>
      <c r="S260" s="5">
        <f t="shared" si="11"/>
        <v>5251.1008403361348</v>
      </c>
    </row>
    <row r="261" spans="1:19" hidden="1" x14ac:dyDescent="0.3">
      <c r="A261">
        <v>100</v>
      </c>
      <c r="B261" t="s">
        <v>16</v>
      </c>
      <c r="C261" t="s">
        <v>415</v>
      </c>
      <c r="D261" s="2" t="s">
        <v>416</v>
      </c>
      <c r="E261" t="s">
        <v>417</v>
      </c>
      <c r="F261" t="s">
        <v>20</v>
      </c>
      <c r="G261" t="s">
        <v>21</v>
      </c>
      <c r="H261" t="s">
        <v>353</v>
      </c>
      <c r="I261" t="s">
        <v>23</v>
      </c>
      <c r="J261" t="s">
        <v>95</v>
      </c>
      <c r="K261" s="2" t="s">
        <v>422</v>
      </c>
      <c r="L261" t="s">
        <v>26</v>
      </c>
      <c r="M261">
        <v>350442</v>
      </c>
      <c r="N261">
        <v>1</v>
      </c>
      <c r="O261" s="3">
        <v>34990</v>
      </c>
      <c r="P261" s="3">
        <v>25747</v>
      </c>
      <c r="Q261" s="5">
        <f t="shared" si="9"/>
        <v>29403.361344537818</v>
      </c>
      <c r="R261" s="5">
        <f t="shared" si="10"/>
        <v>25747</v>
      </c>
      <c r="S261" s="5">
        <f t="shared" si="11"/>
        <v>3656.3613445378178</v>
      </c>
    </row>
    <row r="262" spans="1:19" hidden="1" x14ac:dyDescent="0.3">
      <c r="A262">
        <v>100</v>
      </c>
      <c r="B262" t="s">
        <v>16</v>
      </c>
      <c r="C262" t="s">
        <v>726</v>
      </c>
      <c r="D262" s="2" t="s">
        <v>727</v>
      </c>
      <c r="E262" t="s">
        <v>728</v>
      </c>
      <c r="F262" t="s">
        <v>20</v>
      </c>
      <c r="G262" t="s">
        <v>21</v>
      </c>
      <c r="H262" t="s">
        <v>729</v>
      </c>
      <c r="I262" t="s">
        <v>23</v>
      </c>
      <c r="J262" t="s">
        <v>207</v>
      </c>
      <c r="K262" s="2" t="s">
        <v>422</v>
      </c>
      <c r="L262" t="s">
        <v>26</v>
      </c>
      <c r="M262">
        <v>350443</v>
      </c>
      <c r="N262">
        <v>1</v>
      </c>
      <c r="O262" s="3">
        <v>39990</v>
      </c>
      <c r="P262" s="3">
        <v>29974</v>
      </c>
      <c r="Q262" s="5">
        <f t="shared" ref="Q262:Q325" si="12">O262/1.19</f>
        <v>33605.042016806721</v>
      </c>
      <c r="R262" s="5">
        <f t="shared" ref="R262:R325" si="13">N262*P262</f>
        <v>29974</v>
      </c>
      <c r="S262" s="5">
        <f t="shared" ref="S262:S325" si="14">Q262-R262</f>
        <v>3631.0420168067212</v>
      </c>
    </row>
    <row r="263" spans="1:19" hidden="1" x14ac:dyDescent="0.3">
      <c r="A263">
        <v>100</v>
      </c>
      <c r="B263" t="s">
        <v>16</v>
      </c>
      <c r="C263">
        <v>1687976791</v>
      </c>
      <c r="D263" s="2" t="s">
        <v>200</v>
      </c>
      <c r="E263" t="s">
        <v>201</v>
      </c>
      <c r="F263" t="s">
        <v>201</v>
      </c>
      <c r="G263" t="s">
        <v>202</v>
      </c>
      <c r="H263" t="s">
        <v>202</v>
      </c>
      <c r="I263" t="s">
        <v>23</v>
      </c>
      <c r="J263" t="s">
        <v>202</v>
      </c>
      <c r="K263" s="2" t="s">
        <v>422</v>
      </c>
      <c r="L263" t="s">
        <v>26</v>
      </c>
      <c r="M263">
        <v>350443</v>
      </c>
      <c r="N263">
        <v>1</v>
      </c>
      <c r="O263" s="3">
        <v>3200</v>
      </c>
      <c r="P263">
        <v>1</v>
      </c>
      <c r="Q263" s="5">
        <f t="shared" si="12"/>
        <v>2689.0756302521008</v>
      </c>
      <c r="R263" s="5">
        <f t="shared" si="13"/>
        <v>1</v>
      </c>
      <c r="S263" s="5">
        <f t="shared" si="14"/>
        <v>2688.0756302521008</v>
      </c>
    </row>
    <row r="264" spans="1:19" hidden="1" x14ac:dyDescent="0.3">
      <c r="A264">
        <v>100</v>
      </c>
      <c r="B264" t="s">
        <v>16</v>
      </c>
      <c r="C264" t="s">
        <v>730</v>
      </c>
      <c r="D264" s="2" t="s">
        <v>731</v>
      </c>
      <c r="E264" t="s">
        <v>685</v>
      </c>
      <c r="F264" t="s">
        <v>20</v>
      </c>
      <c r="G264" t="s">
        <v>21</v>
      </c>
      <c r="H264" t="s">
        <v>686</v>
      </c>
      <c r="I264" t="s">
        <v>23</v>
      </c>
      <c r="J264" t="s">
        <v>31</v>
      </c>
      <c r="K264" s="2" t="s">
        <v>422</v>
      </c>
      <c r="L264" t="s">
        <v>26</v>
      </c>
      <c r="M264">
        <v>350444</v>
      </c>
      <c r="N264">
        <v>1</v>
      </c>
      <c r="O264" s="3">
        <v>139950</v>
      </c>
      <c r="P264" s="3">
        <v>67844</v>
      </c>
      <c r="Q264" s="5">
        <f t="shared" si="12"/>
        <v>117605.04201680672</v>
      </c>
      <c r="R264" s="5">
        <f t="shared" si="13"/>
        <v>67844</v>
      </c>
      <c r="S264" s="5">
        <f t="shared" si="14"/>
        <v>49761.042016806721</v>
      </c>
    </row>
    <row r="265" spans="1:19" hidden="1" x14ac:dyDescent="0.3">
      <c r="A265">
        <v>100</v>
      </c>
      <c r="B265" t="s">
        <v>16</v>
      </c>
      <c r="C265" t="s">
        <v>282</v>
      </c>
      <c r="D265" s="2" t="s">
        <v>283</v>
      </c>
      <c r="E265" t="s">
        <v>284</v>
      </c>
      <c r="F265" t="s">
        <v>20</v>
      </c>
      <c r="G265" t="s">
        <v>21</v>
      </c>
      <c r="H265" t="s">
        <v>285</v>
      </c>
      <c r="I265" t="s">
        <v>23</v>
      </c>
      <c r="J265" t="s">
        <v>35</v>
      </c>
      <c r="K265" s="2" t="s">
        <v>422</v>
      </c>
      <c r="L265" t="s">
        <v>26</v>
      </c>
      <c r="M265">
        <v>350445</v>
      </c>
      <c r="N265">
        <v>1</v>
      </c>
      <c r="O265" s="3">
        <v>59990</v>
      </c>
      <c r="P265" s="3">
        <v>30703</v>
      </c>
      <c r="Q265" s="5">
        <f t="shared" si="12"/>
        <v>50411.764705882357</v>
      </c>
      <c r="R265" s="5">
        <f t="shared" si="13"/>
        <v>30703</v>
      </c>
      <c r="S265" s="5">
        <f t="shared" si="14"/>
        <v>19708.764705882357</v>
      </c>
    </row>
    <row r="266" spans="1:19" hidden="1" x14ac:dyDescent="0.3">
      <c r="A266">
        <v>100</v>
      </c>
      <c r="B266" t="s">
        <v>16</v>
      </c>
      <c r="C266">
        <v>1687976791</v>
      </c>
      <c r="D266" s="2" t="s">
        <v>200</v>
      </c>
      <c r="E266" t="s">
        <v>201</v>
      </c>
      <c r="F266" t="s">
        <v>201</v>
      </c>
      <c r="G266" t="s">
        <v>202</v>
      </c>
      <c r="H266" t="s">
        <v>202</v>
      </c>
      <c r="I266" t="s">
        <v>23</v>
      </c>
      <c r="J266" t="s">
        <v>202</v>
      </c>
      <c r="K266" s="2" t="s">
        <v>422</v>
      </c>
      <c r="L266" t="s">
        <v>26</v>
      </c>
      <c r="M266">
        <v>350445</v>
      </c>
      <c r="N266">
        <v>1</v>
      </c>
      <c r="O266" s="3">
        <v>3200</v>
      </c>
      <c r="P266">
        <v>1</v>
      </c>
      <c r="Q266" s="5">
        <f t="shared" si="12"/>
        <v>2689.0756302521008</v>
      </c>
      <c r="R266" s="5">
        <f t="shared" si="13"/>
        <v>1</v>
      </c>
      <c r="S266" s="5">
        <f t="shared" si="14"/>
        <v>2688.0756302521008</v>
      </c>
    </row>
    <row r="267" spans="1:19" hidden="1" x14ac:dyDescent="0.3">
      <c r="A267">
        <v>100</v>
      </c>
      <c r="B267" t="s">
        <v>16</v>
      </c>
      <c r="C267" t="s">
        <v>732</v>
      </c>
      <c r="D267" s="2" t="s">
        <v>733</v>
      </c>
      <c r="E267" t="s">
        <v>734</v>
      </c>
      <c r="F267" t="s">
        <v>20</v>
      </c>
      <c r="G267" t="s">
        <v>21</v>
      </c>
      <c r="H267" t="s">
        <v>722</v>
      </c>
      <c r="I267" t="s">
        <v>23</v>
      </c>
      <c r="J267" t="s">
        <v>207</v>
      </c>
      <c r="K267" s="2" t="s">
        <v>422</v>
      </c>
      <c r="L267" t="s">
        <v>26</v>
      </c>
      <c r="M267">
        <v>350446</v>
      </c>
      <c r="N267">
        <v>1</v>
      </c>
      <c r="O267" s="3">
        <v>39990</v>
      </c>
      <c r="P267" s="3">
        <v>15690</v>
      </c>
      <c r="Q267" s="5">
        <f t="shared" si="12"/>
        <v>33605.042016806721</v>
      </c>
      <c r="R267" s="5">
        <f t="shared" si="13"/>
        <v>15690</v>
      </c>
      <c r="S267" s="5">
        <f t="shared" si="14"/>
        <v>17915.042016806721</v>
      </c>
    </row>
    <row r="268" spans="1:19" hidden="1" x14ac:dyDescent="0.3">
      <c r="A268">
        <v>100</v>
      </c>
      <c r="B268" t="s">
        <v>16</v>
      </c>
      <c r="C268">
        <v>1687976791</v>
      </c>
      <c r="D268" s="2" t="s">
        <v>200</v>
      </c>
      <c r="E268" t="s">
        <v>201</v>
      </c>
      <c r="F268" t="s">
        <v>201</v>
      </c>
      <c r="G268" t="s">
        <v>202</v>
      </c>
      <c r="H268" t="s">
        <v>202</v>
      </c>
      <c r="I268" t="s">
        <v>23</v>
      </c>
      <c r="J268" t="s">
        <v>202</v>
      </c>
      <c r="K268" s="2" t="s">
        <v>422</v>
      </c>
      <c r="L268" t="s">
        <v>26</v>
      </c>
      <c r="M268">
        <v>350446</v>
      </c>
      <c r="N268">
        <v>1</v>
      </c>
      <c r="O268" s="3">
        <v>3200</v>
      </c>
      <c r="P268">
        <v>1</v>
      </c>
      <c r="Q268" s="5">
        <f t="shared" si="12"/>
        <v>2689.0756302521008</v>
      </c>
      <c r="R268" s="5">
        <f t="shared" si="13"/>
        <v>1</v>
      </c>
      <c r="S268" s="5">
        <f t="shared" si="14"/>
        <v>2688.0756302521008</v>
      </c>
    </row>
    <row r="269" spans="1:19" hidden="1" x14ac:dyDescent="0.3">
      <c r="A269">
        <v>100</v>
      </c>
      <c r="B269" t="s">
        <v>16</v>
      </c>
      <c r="C269">
        <v>1687976791</v>
      </c>
      <c r="D269" s="2" t="s">
        <v>200</v>
      </c>
      <c r="E269" t="s">
        <v>201</v>
      </c>
      <c r="F269" t="s">
        <v>201</v>
      </c>
      <c r="G269" t="s">
        <v>202</v>
      </c>
      <c r="H269" t="s">
        <v>202</v>
      </c>
      <c r="I269" t="s">
        <v>23</v>
      </c>
      <c r="J269" t="s">
        <v>202</v>
      </c>
      <c r="K269" s="2" t="s">
        <v>422</v>
      </c>
      <c r="L269" t="s">
        <v>26</v>
      </c>
      <c r="M269">
        <v>350447</v>
      </c>
      <c r="N269">
        <v>1</v>
      </c>
      <c r="O269" s="3">
        <v>3200</v>
      </c>
      <c r="P269">
        <v>1</v>
      </c>
      <c r="Q269" s="5">
        <f t="shared" si="12"/>
        <v>2689.0756302521008</v>
      </c>
      <c r="R269" s="5">
        <f t="shared" si="13"/>
        <v>1</v>
      </c>
      <c r="S269" s="5">
        <f t="shared" si="14"/>
        <v>2688.0756302521008</v>
      </c>
    </row>
    <row r="270" spans="1:19" hidden="1" x14ac:dyDescent="0.3">
      <c r="A270">
        <v>100</v>
      </c>
      <c r="B270" t="s">
        <v>16</v>
      </c>
      <c r="C270" t="s">
        <v>735</v>
      </c>
      <c r="D270" s="2" t="s">
        <v>736</v>
      </c>
      <c r="E270" t="s">
        <v>737</v>
      </c>
      <c r="F270" t="s">
        <v>20</v>
      </c>
      <c r="G270" t="s">
        <v>21</v>
      </c>
      <c r="H270" t="s">
        <v>738</v>
      </c>
      <c r="I270" t="s">
        <v>23</v>
      </c>
      <c r="J270" t="s">
        <v>49</v>
      </c>
      <c r="K270" s="2" t="s">
        <v>422</v>
      </c>
      <c r="L270" t="s">
        <v>26</v>
      </c>
      <c r="M270">
        <v>350447</v>
      </c>
      <c r="N270">
        <v>1</v>
      </c>
      <c r="O270" s="3">
        <v>39990</v>
      </c>
      <c r="P270" s="3">
        <v>21039</v>
      </c>
      <c r="Q270" s="5">
        <f t="shared" si="12"/>
        <v>33605.042016806721</v>
      </c>
      <c r="R270" s="5">
        <f t="shared" si="13"/>
        <v>21039</v>
      </c>
      <c r="S270" s="5">
        <f t="shared" si="14"/>
        <v>12566.042016806721</v>
      </c>
    </row>
    <row r="271" spans="1:19" hidden="1" x14ac:dyDescent="0.3">
      <c r="A271">
        <v>100</v>
      </c>
      <c r="B271" t="s">
        <v>16</v>
      </c>
      <c r="C271" t="s">
        <v>54</v>
      </c>
      <c r="D271" s="2" t="s">
        <v>55</v>
      </c>
      <c r="E271" t="s">
        <v>56</v>
      </c>
      <c r="F271" t="s">
        <v>20</v>
      </c>
      <c r="G271" t="s">
        <v>21</v>
      </c>
      <c r="H271" t="s">
        <v>57</v>
      </c>
      <c r="I271" t="s">
        <v>23</v>
      </c>
      <c r="J271" t="s">
        <v>35</v>
      </c>
      <c r="K271" s="2" t="s">
        <v>422</v>
      </c>
      <c r="L271" t="s">
        <v>26</v>
      </c>
      <c r="M271">
        <v>350448</v>
      </c>
      <c r="N271">
        <v>1</v>
      </c>
      <c r="O271" s="3">
        <v>43990</v>
      </c>
      <c r="P271" s="3">
        <v>33673</v>
      </c>
      <c r="Q271" s="5">
        <f t="shared" si="12"/>
        <v>36966.386554621851</v>
      </c>
      <c r="R271" s="5">
        <f t="shared" si="13"/>
        <v>33673</v>
      </c>
      <c r="S271" s="5">
        <f t="shared" si="14"/>
        <v>3293.3865546218512</v>
      </c>
    </row>
    <row r="272" spans="1:19" hidden="1" x14ac:dyDescent="0.3">
      <c r="A272">
        <v>100</v>
      </c>
      <c r="B272" t="s">
        <v>16</v>
      </c>
      <c r="C272" t="s">
        <v>739</v>
      </c>
      <c r="D272" s="2" t="s">
        <v>740</v>
      </c>
      <c r="E272" t="s">
        <v>741</v>
      </c>
      <c r="F272" t="s">
        <v>20</v>
      </c>
      <c r="G272" t="s">
        <v>21</v>
      </c>
      <c r="H272" t="s">
        <v>742</v>
      </c>
      <c r="I272" t="s">
        <v>23</v>
      </c>
      <c r="J272" t="s">
        <v>40</v>
      </c>
      <c r="K272" s="2" t="s">
        <v>422</v>
      </c>
      <c r="L272" t="s">
        <v>26</v>
      </c>
      <c r="M272">
        <v>350449</v>
      </c>
      <c r="N272">
        <v>1</v>
      </c>
      <c r="O272" s="3">
        <v>66990</v>
      </c>
      <c r="P272" s="3">
        <v>24225</v>
      </c>
      <c r="Q272" s="5">
        <f t="shared" si="12"/>
        <v>56294.117647058825</v>
      </c>
      <c r="R272" s="5">
        <f t="shared" si="13"/>
        <v>24225</v>
      </c>
      <c r="S272" s="5">
        <f t="shared" si="14"/>
        <v>32069.117647058825</v>
      </c>
    </row>
    <row r="273" spans="1:19" hidden="1" x14ac:dyDescent="0.3">
      <c r="A273">
        <v>100</v>
      </c>
      <c r="B273" t="s">
        <v>16</v>
      </c>
      <c r="C273" t="s">
        <v>743</v>
      </c>
      <c r="D273" s="2" t="s">
        <v>744</v>
      </c>
      <c r="E273" t="s">
        <v>745</v>
      </c>
      <c r="F273" t="s">
        <v>20</v>
      </c>
      <c r="G273" t="s">
        <v>21</v>
      </c>
      <c r="H273" t="s">
        <v>206</v>
      </c>
      <c r="I273" t="s">
        <v>23</v>
      </c>
      <c r="J273" t="s">
        <v>207</v>
      </c>
      <c r="K273" s="2" t="s">
        <v>422</v>
      </c>
      <c r="L273" t="s">
        <v>26</v>
      </c>
      <c r="M273">
        <v>350450</v>
      </c>
      <c r="N273">
        <v>1</v>
      </c>
      <c r="O273" s="3">
        <v>34990</v>
      </c>
      <c r="P273" s="3">
        <v>27463</v>
      </c>
      <c r="Q273" s="5">
        <f t="shared" si="12"/>
        <v>29403.361344537818</v>
      </c>
      <c r="R273" s="5">
        <f t="shared" si="13"/>
        <v>27463</v>
      </c>
      <c r="S273" s="5">
        <f t="shared" si="14"/>
        <v>1940.3613445378178</v>
      </c>
    </row>
    <row r="274" spans="1:19" hidden="1" x14ac:dyDescent="0.3">
      <c r="A274">
        <v>100</v>
      </c>
      <c r="B274" t="s">
        <v>16</v>
      </c>
      <c r="C274" t="s">
        <v>746</v>
      </c>
      <c r="D274" s="2" t="s">
        <v>747</v>
      </c>
      <c r="E274" t="s">
        <v>47</v>
      </c>
      <c r="F274" t="s">
        <v>20</v>
      </c>
      <c r="G274" t="s">
        <v>21</v>
      </c>
      <c r="H274" t="s">
        <v>48</v>
      </c>
      <c r="I274" t="s">
        <v>23</v>
      </c>
      <c r="J274" t="s">
        <v>49</v>
      </c>
      <c r="K274" s="2" t="s">
        <v>422</v>
      </c>
      <c r="L274" t="s">
        <v>26</v>
      </c>
      <c r="M274">
        <v>350451</v>
      </c>
      <c r="N274">
        <v>1</v>
      </c>
      <c r="O274" s="3">
        <v>34990</v>
      </c>
      <c r="P274" s="3">
        <v>23466</v>
      </c>
      <c r="Q274" s="5">
        <f t="shared" si="12"/>
        <v>29403.361344537818</v>
      </c>
      <c r="R274" s="5">
        <f t="shared" si="13"/>
        <v>23466</v>
      </c>
      <c r="S274" s="5">
        <f t="shared" si="14"/>
        <v>5937.3613445378178</v>
      </c>
    </row>
    <row r="275" spans="1:19" hidden="1" x14ac:dyDescent="0.3">
      <c r="A275">
        <v>100</v>
      </c>
      <c r="B275" t="s">
        <v>16</v>
      </c>
      <c r="C275" t="s">
        <v>748</v>
      </c>
      <c r="D275" s="2" t="s">
        <v>749</v>
      </c>
      <c r="E275" t="s">
        <v>750</v>
      </c>
      <c r="F275" t="s">
        <v>20</v>
      </c>
      <c r="G275" t="s">
        <v>21</v>
      </c>
      <c r="H275" t="s">
        <v>48</v>
      </c>
      <c r="I275" t="s">
        <v>23</v>
      </c>
      <c r="J275" t="s">
        <v>49</v>
      </c>
      <c r="K275" s="2" t="s">
        <v>422</v>
      </c>
      <c r="L275" t="s">
        <v>26</v>
      </c>
      <c r="M275">
        <v>350451</v>
      </c>
      <c r="N275">
        <v>1</v>
      </c>
      <c r="O275" s="3">
        <v>34990</v>
      </c>
      <c r="P275" s="3">
        <v>24940</v>
      </c>
      <c r="Q275" s="5">
        <f t="shared" si="12"/>
        <v>29403.361344537818</v>
      </c>
      <c r="R275" s="5">
        <f t="shared" si="13"/>
        <v>24940</v>
      </c>
      <c r="S275" s="5">
        <f t="shared" si="14"/>
        <v>4463.3613445378178</v>
      </c>
    </row>
    <row r="276" spans="1:19" hidden="1" x14ac:dyDescent="0.3">
      <c r="A276">
        <v>100</v>
      </c>
      <c r="B276" t="s">
        <v>16</v>
      </c>
      <c r="C276" t="s">
        <v>751</v>
      </c>
      <c r="D276" s="2" t="s">
        <v>752</v>
      </c>
      <c r="E276" t="s">
        <v>753</v>
      </c>
      <c r="F276" t="s">
        <v>20</v>
      </c>
      <c r="G276" t="s">
        <v>21</v>
      </c>
      <c r="H276" t="s">
        <v>156</v>
      </c>
      <c r="I276" t="s">
        <v>23</v>
      </c>
      <c r="J276" t="s">
        <v>35</v>
      </c>
      <c r="K276" s="2" t="s">
        <v>422</v>
      </c>
      <c r="L276" t="s">
        <v>26</v>
      </c>
      <c r="M276">
        <v>350452</v>
      </c>
      <c r="N276">
        <v>1</v>
      </c>
      <c r="O276" s="3">
        <v>69990</v>
      </c>
      <c r="P276" s="3">
        <v>38466</v>
      </c>
      <c r="Q276" s="5">
        <f t="shared" si="12"/>
        <v>58815.126050420171</v>
      </c>
      <c r="R276" s="5">
        <f t="shared" si="13"/>
        <v>38466</v>
      </c>
      <c r="S276" s="5">
        <f t="shared" si="14"/>
        <v>20349.126050420171</v>
      </c>
    </row>
    <row r="277" spans="1:19" hidden="1" x14ac:dyDescent="0.3">
      <c r="A277">
        <v>100</v>
      </c>
      <c r="B277" t="s">
        <v>16</v>
      </c>
      <c r="C277" t="s">
        <v>754</v>
      </c>
      <c r="D277" s="2" t="s">
        <v>755</v>
      </c>
      <c r="E277" t="s">
        <v>756</v>
      </c>
      <c r="F277" t="s">
        <v>20</v>
      </c>
      <c r="G277" t="s">
        <v>21</v>
      </c>
      <c r="H277" t="s">
        <v>131</v>
      </c>
      <c r="I277" t="s">
        <v>23</v>
      </c>
      <c r="J277" t="s">
        <v>49</v>
      </c>
      <c r="K277" s="2" t="s">
        <v>422</v>
      </c>
      <c r="L277" t="s">
        <v>26</v>
      </c>
      <c r="M277">
        <v>350453</v>
      </c>
      <c r="N277">
        <v>1</v>
      </c>
      <c r="O277" s="3">
        <v>34990</v>
      </c>
      <c r="P277" s="3">
        <v>28069</v>
      </c>
      <c r="Q277" s="5">
        <f t="shared" si="12"/>
        <v>29403.361344537818</v>
      </c>
      <c r="R277" s="5">
        <f t="shared" si="13"/>
        <v>28069</v>
      </c>
      <c r="S277" s="5">
        <f t="shared" si="14"/>
        <v>1334.3613445378178</v>
      </c>
    </row>
    <row r="278" spans="1:19" hidden="1" x14ac:dyDescent="0.3">
      <c r="A278">
        <v>100</v>
      </c>
      <c r="B278" t="s">
        <v>16</v>
      </c>
      <c r="C278" t="s">
        <v>757</v>
      </c>
      <c r="D278" s="2" t="s">
        <v>758</v>
      </c>
      <c r="E278" t="s">
        <v>47</v>
      </c>
      <c r="F278" t="s">
        <v>20</v>
      </c>
      <c r="G278" t="s">
        <v>21</v>
      </c>
      <c r="H278" t="s">
        <v>48</v>
      </c>
      <c r="I278" t="s">
        <v>23</v>
      </c>
      <c r="J278" t="s">
        <v>49</v>
      </c>
      <c r="K278" s="2" t="s">
        <v>422</v>
      </c>
      <c r="L278" t="s">
        <v>26</v>
      </c>
      <c r="M278">
        <v>350454</v>
      </c>
      <c r="N278">
        <v>1</v>
      </c>
      <c r="O278" s="3">
        <v>39990</v>
      </c>
      <c r="P278" s="3">
        <v>23466</v>
      </c>
      <c r="Q278" s="5">
        <f t="shared" si="12"/>
        <v>33605.042016806721</v>
      </c>
      <c r="R278" s="5">
        <f t="shared" si="13"/>
        <v>23466</v>
      </c>
      <c r="S278" s="5">
        <f t="shared" si="14"/>
        <v>10139.042016806721</v>
      </c>
    </row>
    <row r="279" spans="1:19" hidden="1" x14ac:dyDescent="0.3">
      <c r="A279">
        <v>100</v>
      </c>
      <c r="B279" t="s">
        <v>16</v>
      </c>
      <c r="C279" t="s">
        <v>759</v>
      </c>
      <c r="D279" s="2" t="s">
        <v>760</v>
      </c>
      <c r="E279" t="s">
        <v>761</v>
      </c>
      <c r="F279" t="s">
        <v>20</v>
      </c>
      <c r="G279" t="s">
        <v>21</v>
      </c>
      <c r="H279" t="s">
        <v>718</v>
      </c>
      <c r="I279" t="s">
        <v>23</v>
      </c>
      <c r="J279" t="s">
        <v>35</v>
      </c>
      <c r="K279" s="2" t="s">
        <v>422</v>
      </c>
      <c r="L279" t="s">
        <v>26</v>
      </c>
      <c r="M279">
        <v>350455</v>
      </c>
      <c r="N279">
        <v>1</v>
      </c>
      <c r="O279" s="3">
        <v>59990</v>
      </c>
      <c r="P279" s="3">
        <v>31977</v>
      </c>
      <c r="Q279" s="5">
        <f t="shared" si="12"/>
        <v>50411.764705882357</v>
      </c>
      <c r="R279" s="5">
        <f t="shared" si="13"/>
        <v>31977</v>
      </c>
      <c r="S279" s="5">
        <f t="shared" si="14"/>
        <v>18434.764705882357</v>
      </c>
    </row>
    <row r="280" spans="1:19" hidden="1" x14ac:dyDescent="0.3">
      <c r="A280">
        <v>100</v>
      </c>
      <c r="B280" t="s">
        <v>16</v>
      </c>
      <c r="C280" t="s">
        <v>762</v>
      </c>
      <c r="D280" s="2" t="s">
        <v>763</v>
      </c>
      <c r="E280" t="s">
        <v>183</v>
      </c>
      <c r="F280" t="s">
        <v>20</v>
      </c>
      <c r="G280" t="s">
        <v>21</v>
      </c>
      <c r="H280" t="s">
        <v>61</v>
      </c>
      <c r="I280" t="s">
        <v>23</v>
      </c>
      <c r="J280" t="s">
        <v>40</v>
      </c>
      <c r="K280" s="2" t="s">
        <v>422</v>
      </c>
      <c r="L280" t="s">
        <v>26</v>
      </c>
      <c r="M280">
        <v>350456</v>
      </c>
      <c r="N280">
        <v>1</v>
      </c>
      <c r="O280" s="3">
        <v>39990</v>
      </c>
      <c r="P280" s="3">
        <v>23582</v>
      </c>
      <c r="Q280" s="5">
        <f t="shared" si="12"/>
        <v>33605.042016806721</v>
      </c>
      <c r="R280" s="5">
        <f t="shared" si="13"/>
        <v>23582</v>
      </c>
      <c r="S280" s="5">
        <f t="shared" si="14"/>
        <v>10023.042016806721</v>
      </c>
    </row>
    <row r="281" spans="1:19" hidden="1" x14ac:dyDescent="0.3">
      <c r="A281">
        <v>100</v>
      </c>
      <c r="B281" t="s">
        <v>16</v>
      </c>
      <c r="C281" t="s">
        <v>764</v>
      </c>
      <c r="D281" s="2" t="s">
        <v>765</v>
      </c>
      <c r="E281" t="s">
        <v>145</v>
      </c>
      <c r="F281" t="s">
        <v>20</v>
      </c>
      <c r="G281" t="s">
        <v>21</v>
      </c>
      <c r="H281" t="s">
        <v>30</v>
      </c>
      <c r="I281" t="s">
        <v>23</v>
      </c>
      <c r="J281" t="s">
        <v>31</v>
      </c>
      <c r="K281" s="2" t="s">
        <v>422</v>
      </c>
      <c r="L281" t="s">
        <v>26</v>
      </c>
      <c r="M281">
        <v>350457</v>
      </c>
      <c r="N281">
        <v>1</v>
      </c>
      <c r="O281" s="3">
        <v>79990</v>
      </c>
      <c r="P281" s="3">
        <v>40035</v>
      </c>
      <c r="Q281" s="5">
        <f t="shared" si="12"/>
        <v>67218.487394957992</v>
      </c>
      <c r="R281" s="5">
        <f t="shared" si="13"/>
        <v>40035</v>
      </c>
      <c r="S281" s="5">
        <f t="shared" si="14"/>
        <v>27183.487394957992</v>
      </c>
    </row>
    <row r="282" spans="1:19" hidden="1" x14ac:dyDescent="0.3">
      <c r="A282">
        <v>100</v>
      </c>
      <c r="B282" t="s">
        <v>16</v>
      </c>
      <c r="C282" t="s">
        <v>766</v>
      </c>
      <c r="D282" s="2" t="s">
        <v>767</v>
      </c>
      <c r="E282" t="s">
        <v>117</v>
      </c>
      <c r="F282" t="s">
        <v>20</v>
      </c>
      <c r="G282" t="s">
        <v>21</v>
      </c>
      <c r="H282" t="s">
        <v>118</v>
      </c>
      <c r="I282" t="s">
        <v>23</v>
      </c>
      <c r="J282" t="s">
        <v>49</v>
      </c>
      <c r="K282" s="2" t="s">
        <v>422</v>
      </c>
      <c r="L282" t="s">
        <v>26</v>
      </c>
      <c r="M282">
        <v>350458</v>
      </c>
      <c r="N282">
        <v>1</v>
      </c>
      <c r="O282" s="3">
        <v>39990</v>
      </c>
      <c r="P282" s="3">
        <v>26061</v>
      </c>
      <c r="Q282" s="5">
        <f t="shared" si="12"/>
        <v>33605.042016806721</v>
      </c>
      <c r="R282" s="5">
        <f t="shared" si="13"/>
        <v>26061</v>
      </c>
      <c r="S282" s="5">
        <f t="shared" si="14"/>
        <v>7544.0420168067212</v>
      </c>
    </row>
    <row r="283" spans="1:19" hidden="1" x14ac:dyDescent="0.3">
      <c r="A283">
        <v>100</v>
      </c>
      <c r="B283" t="s">
        <v>16</v>
      </c>
      <c r="C283" t="s">
        <v>768</v>
      </c>
      <c r="D283" s="2" t="s">
        <v>769</v>
      </c>
      <c r="E283" t="s">
        <v>47</v>
      </c>
      <c r="F283" t="s">
        <v>20</v>
      </c>
      <c r="G283" t="s">
        <v>21</v>
      </c>
      <c r="H283" t="s">
        <v>48</v>
      </c>
      <c r="I283" t="s">
        <v>23</v>
      </c>
      <c r="J283" t="s">
        <v>49</v>
      </c>
      <c r="K283" s="2" t="s">
        <v>422</v>
      </c>
      <c r="L283" t="s">
        <v>26</v>
      </c>
      <c r="M283">
        <v>350459</v>
      </c>
      <c r="N283">
        <v>1</v>
      </c>
      <c r="O283" s="3">
        <v>39990</v>
      </c>
      <c r="P283" s="3">
        <v>24245</v>
      </c>
      <c r="Q283" s="5">
        <f t="shared" si="12"/>
        <v>33605.042016806721</v>
      </c>
      <c r="R283" s="5">
        <f t="shared" si="13"/>
        <v>24245</v>
      </c>
      <c r="S283" s="5">
        <f t="shared" si="14"/>
        <v>9360.0420168067212</v>
      </c>
    </row>
    <row r="284" spans="1:19" hidden="1" x14ac:dyDescent="0.3">
      <c r="A284">
        <v>100</v>
      </c>
      <c r="B284" t="s">
        <v>16</v>
      </c>
      <c r="C284" t="s">
        <v>770</v>
      </c>
      <c r="D284" s="2" t="s">
        <v>771</v>
      </c>
      <c r="E284" t="s">
        <v>772</v>
      </c>
      <c r="F284" t="s">
        <v>20</v>
      </c>
      <c r="G284" t="s">
        <v>21</v>
      </c>
      <c r="H284" t="s">
        <v>604</v>
      </c>
      <c r="I284" t="s">
        <v>23</v>
      </c>
      <c r="J284" t="s">
        <v>40</v>
      </c>
      <c r="K284" s="2" t="s">
        <v>422</v>
      </c>
      <c r="L284" t="s">
        <v>26</v>
      </c>
      <c r="M284">
        <v>350460</v>
      </c>
      <c r="N284">
        <v>1</v>
      </c>
      <c r="O284" s="3">
        <v>29990</v>
      </c>
      <c r="P284" s="3">
        <v>17994</v>
      </c>
      <c r="Q284" s="5">
        <f t="shared" si="12"/>
        <v>25201.680672268907</v>
      </c>
      <c r="R284" s="5">
        <f t="shared" si="13"/>
        <v>17994</v>
      </c>
      <c r="S284" s="5">
        <f t="shared" si="14"/>
        <v>7207.6806722689071</v>
      </c>
    </row>
    <row r="285" spans="1:19" hidden="1" x14ac:dyDescent="0.3">
      <c r="A285">
        <v>100</v>
      </c>
      <c r="B285" t="s">
        <v>16</v>
      </c>
      <c r="C285" t="s">
        <v>773</v>
      </c>
      <c r="D285" s="2" t="s">
        <v>774</v>
      </c>
      <c r="E285" t="s">
        <v>775</v>
      </c>
      <c r="F285" t="s">
        <v>20</v>
      </c>
      <c r="G285" t="s">
        <v>21</v>
      </c>
      <c r="H285" t="s">
        <v>247</v>
      </c>
      <c r="I285" t="s">
        <v>23</v>
      </c>
      <c r="J285" t="s">
        <v>40</v>
      </c>
      <c r="K285" s="2" t="s">
        <v>422</v>
      </c>
      <c r="L285" t="s">
        <v>26</v>
      </c>
      <c r="M285">
        <v>350461</v>
      </c>
      <c r="N285">
        <v>1</v>
      </c>
      <c r="O285" s="3">
        <v>29990</v>
      </c>
      <c r="P285" s="3">
        <v>17738</v>
      </c>
      <c r="Q285" s="5">
        <f t="shared" si="12"/>
        <v>25201.680672268907</v>
      </c>
      <c r="R285" s="5">
        <f t="shared" si="13"/>
        <v>17738</v>
      </c>
      <c r="S285" s="5">
        <f t="shared" si="14"/>
        <v>7463.6806722689071</v>
      </c>
    </row>
    <row r="286" spans="1:19" hidden="1" x14ac:dyDescent="0.3">
      <c r="A286">
        <v>100</v>
      </c>
      <c r="B286" t="s">
        <v>16</v>
      </c>
      <c r="C286" t="s">
        <v>776</v>
      </c>
      <c r="D286" s="2" t="s">
        <v>777</v>
      </c>
      <c r="E286" t="s">
        <v>34</v>
      </c>
      <c r="F286" t="s">
        <v>20</v>
      </c>
      <c r="G286" t="s">
        <v>21</v>
      </c>
      <c r="H286" t="s">
        <v>22</v>
      </c>
      <c r="I286" t="s">
        <v>23</v>
      </c>
      <c r="J286" t="s">
        <v>35</v>
      </c>
      <c r="K286" s="2" t="s">
        <v>422</v>
      </c>
      <c r="L286" t="s">
        <v>26</v>
      </c>
      <c r="M286">
        <v>350462</v>
      </c>
      <c r="N286">
        <v>1</v>
      </c>
      <c r="O286" s="3">
        <v>61990</v>
      </c>
      <c r="P286" s="3">
        <v>35279</v>
      </c>
      <c r="Q286" s="5">
        <f t="shared" si="12"/>
        <v>52092.436974789918</v>
      </c>
      <c r="R286" s="5">
        <f t="shared" si="13"/>
        <v>35279</v>
      </c>
      <c r="S286" s="5">
        <f t="shared" si="14"/>
        <v>16813.436974789918</v>
      </c>
    </row>
    <row r="287" spans="1:19" hidden="1" x14ac:dyDescent="0.3">
      <c r="A287">
        <v>100</v>
      </c>
      <c r="B287" t="s">
        <v>16</v>
      </c>
      <c r="C287" t="s">
        <v>778</v>
      </c>
      <c r="D287" s="2" t="s">
        <v>779</v>
      </c>
      <c r="E287" t="s">
        <v>34</v>
      </c>
      <c r="F287" t="s">
        <v>20</v>
      </c>
      <c r="G287" t="s">
        <v>21</v>
      </c>
      <c r="H287" t="s">
        <v>22</v>
      </c>
      <c r="I287" t="s">
        <v>23</v>
      </c>
      <c r="J287" t="s">
        <v>35</v>
      </c>
      <c r="K287" s="2" t="s">
        <v>422</v>
      </c>
      <c r="L287" t="s">
        <v>26</v>
      </c>
      <c r="M287">
        <v>350463</v>
      </c>
      <c r="N287">
        <v>1</v>
      </c>
      <c r="O287" s="3">
        <v>61990</v>
      </c>
      <c r="P287" s="3">
        <v>35254</v>
      </c>
      <c r="Q287" s="5">
        <f t="shared" si="12"/>
        <v>52092.436974789918</v>
      </c>
      <c r="R287" s="5">
        <f t="shared" si="13"/>
        <v>35254</v>
      </c>
      <c r="S287" s="5">
        <f t="shared" si="14"/>
        <v>16838.436974789918</v>
      </c>
    </row>
    <row r="288" spans="1:19" hidden="1" x14ac:dyDescent="0.3">
      <c r="A288">
        <v>100</v>
      </c>
      <c r="B288" t="s">
        <v>16</v>
      </c>
      <c r="C288" t="s">
        <v>780</v>
      </c>
      <c r="D288" s="2" t="s">
        <v>781</v>
      </c>
      <c r="E288" t="s">
        <v>782</v>
      </c>
      <c r="F288" t="s">
        <v>20</v>
      </c>
      <c r="G288" t="s">
        <v>21</v>
      </c>
      <c r="H288" t="s">
        <v>783</v>
      </c>
      <c r="I288" t="s">
        <v>23</v>
      </c>
      <c r="J288" t="s">
        <v>40</v>
      </c>
      <c r="K288" s="2" t="s">
        <v>422</v>
      </c>
      <c r="L288" t="s">
        <v>26</v>
      </c>
      <c r="M288">
        <v>350464</v>
      </c>
      <c r="N288">
        <v>1</v>
      </c>
      <c r="O288" s="3">
        <v>25990</v>
      </c>
      <c r="P288" s="3">
        <v>15745</v>
      </c>
      <c r="Q288" s="5">
        <f t="shared" si="12"/>
        <v>21840.336134453781</v>
      </c>
      <c r="R288" s="5">
        <f t="shared" si="13"/>
        <v>15745</v>
      </c>
      <c r="S288" s="5">
        <f t="shared" si="14"/>
        <v>6095.3361344537807</v>
      </c>
    </row>
    <row r="289" spans="1:19" hidden="1" x14ac:dyDescent="0.3">
      <c r="A289">
        <v>100</v>
      </c>
      <c r="B289" t="s">
        <v>16</v>
      </c>
      <c r="C289" t="s">
        <v>784</v>
      </c>
      <c r="D289" s="2" t="s">
        <v>785</v>
      </c>
      <c r="E289" t="s">
        <v>786</v>
      </c>
      <c r="F289" t="s">
        <v>20</v>
      </c>
      <c r="G289" t="s">
        <v>21</v>
      </c>
      <c r="H289" t="s">
        <v>534</v>
      </c>
      <c r="I289" t="s">
        <v>23</v>
      </c>
      <c r="J289" t="s">
        <v>35</v>
      </c>
      <c r="K289" s="2" t="s">
        <v>422</v>
      </c>
      <c r="L289" t="s">
        <v>26</v>
      </c>
      <c r="M289">
        <v>350465</v>
      </c>
      <c r="N289">
        <v>1</v>
      </c>
      <c r="O289" s="3">
        <v>52990</v>
      </c>
      <c r="P289" s="3">
        <v>35337</v>
      </c>
      <c r="Q289" s="5">
        <f t="shared" si="12"/>
        <v>44529.411764705881</v>
      </c>
      <c r="R289" s="5">
        <f t="shared" si="13"/>
        <v>35337</v>
      </c>
      <c r="S289" s="5">
        <f t="shared" si="14"/>
        <v>9192.4117647058811</v>
      </c>
    </row>
    <row r="290" spans="1:19" hidden="1" x14ac:dyDescent="0.3">
      <c r="A290">
        <v>100</v>
      </c>
      <c r="B290" t="s">
        <v>16</v>
      </c>
      <c r="C290" t="s">
        <v>787</v>
      </c>
      <c r="D290" s="2" t="s">
        <v>788</v>
      </c>
      <c r="E290" t="s">
        <v>789</v>
      </c>
      <c r="F290" t="s">
        <v>20</v>
      </c>
      <c r="G290" t="s">
        <v>21</v>
      </c>
      <c r="H290" t="s">
        <v>790</v>
      </c>
      <c r="I290" t="s">
        <v>23</v>
      </c>
      <c r="J290" t="s">
        <v>40</v>
      </c>
      <c r="K290" s="2" t="s">
        <v>422</v>
      </c>
      <c r="L290" t="s">
        <v>26</v>
      </c>
      <c r="M290">
        <v>350466</v>
      </c>
      <c r="N290">
        <v>1</v>
      </c>
      <c r="O290" s="3">
        <v>70990</v>
      </c>
      <c r="P290" s="3">
        <v>30692</v>
      </c>
      <c r="Q290" s="5">
        <f t="shared" si="12"/>
        <v>59655.462184873955</v>
      </c>
      <c r="R290" s="5">
        <f t="shared" si="13"/>
        <v>30692</v>
      </c>
      <c r="S290" s="5">
        <f t="shared" si="14"/>
        <v>28963.462184873955</v>
      </c>
    </row>
    <row r="291" spans="1:19" hidden="1" x14ac:dyDescent="0.3">
      <c r="A291">
        <v>100</v>
      </c>
      <c r="B291" t="s">
        <v>16</v>
      </c>
      <c r="C291" t="s">
        <v>791</v>
      </c>
      <c r="D291" s="2" t="s">
        <v>792</v>
      </c>
      <c r="E291" t="s">
        <v>793</v>
      </c>
      <c r="F291" t="s">
        <v>20</v>
      </c>
      <c r="G291" t="s">
        <v>21</v>
      </c>
      <c r="H291" t="s">
        <v>794</v>
      </c>
      <c r="I291" t="s">
        <v>23</v>
      </c>
      <c r="J291" t="s">
        <v>40</v>
      </c>
      <c r="K291" s="2" t="s">
        <v>422</v>
      </c>
      <c r="L291" t="s">
        <v>26</v>
      </c>
      <c r="M291">
        <v>350467</v>
      </c>
      <c r="N291">
        <v>1</v>
      </c>
      <c r="O291" s="3">
        <v>49990</v>
      </c>
      <c r="P291" s="3">
        <v>21475</v>
      </c>
      <c r="Q291" s="5">
        <f t="shared" si="12"/>
        <v>42008.403361344543</v>
      </c>
      <c r="R291" s="5">
        <f t="shared" si="13"/>
        <v>21475</v>
      </c>
      <c r="S291" s="5">
        <f t="shared" si="14"/>
        <v>20533.403361344543</v>
      </c>
    </row>
    <row r="292" spans="1:19" hidden="1" x14ac:dyDescent="0.3">
      <c r="A292">
        <v>100</v>
      </c>
      <c r="B292" t="s">
        <v>16</v>
      </c>
      <c r="C292" t="s">
        <v>795</v>
      </c>
      <c r="D292" s="2" t="s">
        <v>796</v>
      </c>
      <c r="E292" t="s">
        <v>692</v>
      </c>
      <c r="F292" t="s">
        <v>20</v>
      </c>
      <c r="G292" t="s">
        <v>21</v>
      </c>
      <c r="H292" t="s">
        <v>693</v>
      </c>
      <c r="I292" t="s">
        <v>23</v>
      </c>
      <c r="J292" t="s">
        <v>49</v>
      </c>
      <c r="K292" s="2" t="s">
        <v>422</v>
      </c>
      <c r="L292" t="s">
        <v>26</v>
      </c>
      <c r="M292">
        <v>350468</v>
      </c>
      <c r="N292">
        <v>1</v>
      </c>
      <c r="O292" s="3">
        <v>39990</v>
      </c>
      <c r="P292" s="3">
        <v>21709</v>
      </c>
      <c r="Q292" s="5">
        <f t="shared" si="12"/>
        <v>33605.042016806721</v>
      </c>
      <c r="R292" s="5">
        <f t="shared" si="13"/>
        <v>21709</v>
      </c>
      <c r="S292" s="5">
        <f t="shared" si="14"/>
        <v>11896.042016806721</v>
      </c>
    </row>
    <row r="293" spans="1:19" hidden="1" x14ac:dyDescent="0.3">
      <c r="A293">
        <v>100</v>
      </c>
      <c r="B293" t="s">
        <v>16</v>
      </c>
      <c r="C293" t="s">
        <v>797</v>
      </c>
      <c r="D293" s="2" t="s">
        <v>798</v>
      </c>
      <c r="E293" t="s">
        <v>799</v>
      </c>
      <c r="F293" t="s">
        <v>20</v>
      </c>
      <c r="G293" t="s">
        <v>21</v>
      </c>
      <c r="H293" t="s">
        <v>586</v>
      </c>
      <c r="I293" t="s">
        <v>23</v>
      </c>
      <c r="J293" t="s">
        <v>40</v>
      </c>
      <c r="K293" s="2" t="s">
        <v>422</v>
      </c>
      <c r="L293" t="s">
        <v>26</v>
      </c>
      <c r="M293">
        <v>350469</v>
      </c>
      <c r="N293">
        <v>1</v>
      </c>
      <c r="O293" s="3">
        <v>43990</v>
      </c>
      <c r="P293" s="3">
        <v>26943</v>
      </c>
      <c r="Q293" s="5">
        <f t="shared" si="12"/>
        <v>36966.386554621851</v>
      </c>
      <c r="R293" s="5">
        <f t="shared" si="13"/>
        <v>26943</v>
      </c>
      <c r="S293" s="5">
        <f t="shared" si="14"/>
        <v>10023.386554621851</v>
      </c>
    </row>
    <row r="294" spans="1:19" hidden="1" x14ac:dyDescent="0.3">
      <c r="A294">
        <v>100</v>
      </c>
      <c r="B294" t="s">
        <v>16</v>
      </c>
      <c r="C294" t="s">
        <v>800</v>
      </c>
      <c r="D294" s="2" t="s">
        <v>801</v>
      </c>
      <c r="E294" t="s">
        <v>802</v>
      </c>
      <c r="F294" t="s">
        <v>20</v>
      </c>
      <c r="G294" t="s">
        <v>21</v>
      </c>
      <c r="H294" t="s">
        <v>673</v>
      </c>
      <c r="I294" t="s">
        <v>23</v>
      </c>
      <c r="J294" t="s">
        <v>35</v>
      </c>
      <c r="K294" s="2" t="s">
        <v>422</v>
      </c>
      <c r="L294" t="s">
        <v>26</v>
      </c>
      <c r="M294">
        <v>350470</v>
      </c>
      <c r="N294">
        <v>1</v>
      </c>
      <c r="O294" s="3">
        <v>61990</v>
      </c>
      <c r="P294" s="3">
        <v>33944</v>
      </c>
      <c r="Q294" s="5">
        <f t="shared" si="12"/>
        <v>52092.436974789918</v>
      </c>
      <c r="R294" s="5">
        <f t="shared" si="13"/>
        <v>33944</v>
      </c>
      <c r="S294" s="5">
        <f t="shared" si="14"/>
        <v>18148.436974789918</v>
      </c>
    </row>
    <row r="295" spans="1:19" hidden="1" x14ac:dyDescent="0.3">
      <c r="A295">
        <v>100</v>
      </c>
      <c r="B295" t="s">
        <v>16</v>
      </c>
      <c r="C295" t="s">
        <v>803</v>
      </c>
      <c r="D295" s="2" t="s">
        <v>804</v>
      </c>
      <c r="E295" t="s">
        <v>805</v>
      </c>
      <c r="F295" t="s">
        <v>20</v>
      </c>
      <c r="G295" t="s">
        <v>21</v>
      </c>
      <c r="H295" t="s">
        <v>114</v>
      </c>
      <c r="I295" t="s">
        <v>23</v>
      </c>
      <c r="J295" t="s">
        <v>49</v>
      </c>
      <c r="K295" s="2" t="s">
        <v>422</v>
      </c>
      <c r="L295" t="s">
        <v>26</v>
      </c>
      <c r="M295">
        <v>350471</v>
      </c>
      <c r="N295">
        <v>1</v>
      </c>
      <c r="O295" s="3">
        <v>34990</v>
      </c>
      <c r="P295" s="3">
        <v>19177</v>
      </c>
      <c r="Q295" s="5">
        <f t="shared" si="12"/>
        <v>29403.361344537818</v>
      </c>
      <c r="R295" s="5">
        <f t="shared" si="13"/>
        <v>19177</v>
      </c>
      <c r="S295" s="5">
        <f t="shared" si="14"/>
        <v>10226.361344537818</v>
      </c>
    </row>
    <row r="296" spans="1:19" hidden="1" x14ac:dyDescent="0.3">
      <c r="A296">
        <v>100</v>
      </c>
      <c r="B296" t="s">
        <v>16</v>
      </c>
      <c r="C296">
        <v>1687976791</v>
      </c>
      <c r="D296" s="2" t="s">
        <v>200</v>
      </c>
      <c r="E296" t="s">
        <v>201</v>
      </c>
      <c r="F296" t="s">
        <v>201</v>
      </c>
      <c r="G296" t="s">
        <v>202</v>
      </c>
      <c r="H296" t="s">
        <v>202</v>
      </c>
      <c r="I296" t="s">
        <v>23</v>
      </c>
      <c r="J296" t="s">
        <v>202</v>
      </c>
      <c r="K296" s="2" t="s">
        <v>422</v>
      </c>
      <c r="L296" t="s">
        <v>26</v>
      </c>
      <c r="M296">
        <v>350471</v>
      </c>
      <c r="N296">
        <v>1</v>
      </c>
      <c r="O296" s="3">
        <v>3200</v>
      </c>
      <c r="P296">
        <v>1</v>
      </c>
      <c r="Q296" s="5">
        <f t="shared" si="12"/>
        <v>2689.0756302521008</v>
      </c>
      <c r="R296" s="5">
        <f t="shared" si="13"/>
        <v>1</v>
      </c>
      <c r="S296" s="5">
        <f t="shared" si="14"/>
        <v>2688.0756302521008</v>
      </c>
    </row>
    <row r="297" spans="1:19" hidden="1" x14ac:dyDescent="0.3">
      <c r="A297">
        <v>100</v>
      </c>
      <c r="B297" t="s">
        <v>16</v>
      </c>
      <c r="C297" t="s">
        <v>806</v>
      </c>
      <c r="D297" s="2" t="s">
        <v>807</v>
      </c>
      <c r="E297" t="s">
        <v>728</v>
      </c>
      <c r="F297" t="s">
        <v>20</v>
      </c>
      <c r="G297" t="s">
        <v>21</v>
      </c>
      <c r="H297" t="s">
        <v>729</v>
      </c>
      <c r="I297" t="s">
        <v>23</v>
      </c>
      <c r="J297" t="s">
        <v>207</v>
      </c>
      <c r="K297" s="2" t="s">
        <v>422</v>
      </c>
      <c r="L297" t="s">
        <v>26</v>
      </c>
      <c r="M297">
        <v>350472</v>
      </c>
      <c r="N297">
        <v>1</v>
      </c>
      <c r="O297" s="3">
        <v>39991</v>
      </c>
      <c r="P297" s="3">
        <v>29699</v>
      </c>
      <c r="Q297" s="5">
        <f t="shared" si="12"/>
        <v>33605.882352941175</v>
      </c>
      <c r="R297" s="5">
        <f t="shared" si="13"/>
        <v>29699</v>
      </c>
      <c r="S297" s="5">
        <f t="shared" si="14"/>
        <v>3906.8823529411748</v>
      </c>
    </row>
    <row r="298" spans="1:19" hidden="1" x14ac:dyDescent="0.3">
      <c r="A298">
        <v>100</v>
      </c>
      <c r="B298" t="s">
        <v>16</v>
      </c>
      <c r="C298" t="s">
        <v>808</v>
      </c>
      <c r="D298" s="2" t="s">
        <v>809</v>
      </c>
      <c r="E298" t="s">
        <v>810</v>
      </c>
      <c r="F298" t="s">
        <v>20</v>
      </c>
      <c r="G298" t="s">
        <v>21</v>
      </c>
      <c r="H298" t="s">
        <v>448</v>
      </c>
      <c r="I298" t="s">
        <v>23</v>
      </c>
      <c r="J298" t="s">
        <v>207</v>
      </c>
      <c r="K298" s="2" t="s">
        <v>422</v>
      </c>
      <c r="L298" t="s">
        <v>26</v>
      </c>
      <c r="M298">
        <v>350472</v>
      </c>
      <c r="N298">
        <v>-1</v>
      </c>
      <c r="O298" s="3">
        <v>-39990</v>
      </c>
      <c r="P298" s="3">
        <v>28164</v>
      </c>
      <c r="Q298" s="5">
        <f t="shared" si="12"/>
        <v>-33605.042016806721</v>
      </c>
      <c r="R298" s="5">
        <f t="shared" si="13"/>
        <v>-28164</v>
      </c>
      <c r="S298" s="5">
        <f t="shared" si="14"/>
        <v>-5441.0420168067212</v>
      </c>
    </row>
    <row r="299" spans="1:19" hidden="1" x14ac:dyDescent="0.3">
      <c r="A299">
        <v>100</v>
      </c>
      <c r="B299" t="s">
        <v>16</v>
      </c>
      <c r="C299" t="s">
        <v>811</v>
      </c>
      <c r="D299" s="2" t="s">
        <v>812</v>
      </c>
      <c r="E299" t="s">
        <v>813</v>
      </c>
      <c r="F299" t="s">
        <v>20</v>
      </c>
      <c r="G299" t="s">
        <v>21</v>
      </c>
      <c r="H299" t="s">
        <v>317</v>
      </c>
      <c r="I299" t="s">
        <v>23</v>
      </c>
      <c r="J299" t="s">
        <v>207</v>
      </c>
      <c r="K299" s="2" t="s">
        <v>814</v>
      </c>
      <c r="L299" t="s">
        <v>26</v>
      </c>
      <c r="M299">
        <v>350473</v>
      </c>
      <c r="N299">
        <v>1</v>
      </c>
      <c r="O299" s="3">
        <v>39990</v>
      </c>
      <c r="P299" s="3">
        <v>25770</v>
      </c>
      <c r="Q299" s="5">
        <f t="shared" si="12"/>
        <v>33605.042016806721</v>
      </c>
      <c r="R299" s="5">
        <f t="shared" si="13"/>
        <v>25770</v>
      </c>
      <c r="S299" s="5">
        <f t="shared" si="14"/>
        <v>7835.0420168067212</v>
      </c>
    </row>
    <row r="300" spans="1:19" hidden="1" x14ac:dyDescent="0.3">
      <c r="A300">
        <v>100</v>
      </c>
      <c r="B300" t="s">
        <v>16</v>
      </c>
      <c r="C300" t="s">
        <v>815</v>
      </c>
      <c r="D300" s="2" t="s">
        <v>816</v>
      </c>
      <c r="E300" t="s">
        <v>817</v>
      </c>
      <c r="F300" t="s">
        <v>20</v>
      </c>
      <c r="G300" t="s">
        <v>21</v>
      </c>
      <c r="H300" t="s">
        <v>818</v>
      </c>
      <c r="I300" t="s">
        <v>23</v>
      </c>
      <c r="J300" t="s">
        <v>35</v>
      </c>
      <c r="K300" s="2" t="s">
        <v>814</v>
      </c>
      <c r="L300" t="s">
        <v>26</v>
      </c>
      <c r="M300">
        <v>350474</v>
      </c>
      <c r="N300">
        <v>1</v>
      </c>
      <c r="O300" s="3">
        <v>49990</v>
      </c>
      <c r="P300" s="3">
        <v>28592</v>
      </c>
      <c r="Q300" s="5">
        <f t="shared" si="12"/>
        <v>42008.403361344543</v>
      </c>
      <c r="R300" s="5">
        <f t="shared" si="13"/>
        <v>28592</v>
      </c>
      <c r="S300" s="5">
        <f t="shared" si="14"/>
        <v>13416.403361344543</v>
      </c>
    </row>
    <row r="301" spans="1:19" hidden="1" x14ac:dyDescent="0.3">
      <c r="A301">
        <v>100</v>
      </c>
      <c r="B301" t="s">
        <v>16</v>
      </c>
      <c r="C301" t="s">
        <v>819</v>
      </c>
      <c r="D301" s="2" t="s">
        <v>820</v>
      </c>
      <c r="E301" t="s">
        <v>821</v>
      </c>
      <c r="F301" t="s">
        <v>20</v>
      </c>
      <c r="G301" t="s">
        <v>21</v>
      </c>
      <c r="H301" t="s">
        <v>682</v>
      </c>
      <c r="I301" t="s">
        <v>23</v>
      </c>
      <c r="J301" t="s">
        <v>40</v>
      </c>
      <c r="K301" s="2" t="s">
        <v>814</v>
      </c>
      <c r="L301" t="s">
        <v>26</v>
      </c>
      <c r="M301">
        <v>350475</v>
      </c>
      <c r="N301">
        <v>1</v>
      </c>
      <c r="O301" s="3">
        <v>29990</v>
      </c>
      <c r="P301" s="3">
        <v>22172</v>
      </c>
      <c r="Q301" s="5">
        <f t="shared" si="12"/>
        <v>25201.680672268907</v>
      </c>
      <c r="R301" s="5">
        <f t="shared" si="13"/>
        <v>22172</v>
      </c>
      <c r="S301" s="5">
        <f t="shared" si="14"/>
        <v>3029.6806722689071</v>
      </c>
    </row>
    <row r="302" spans="1:19" hidden="1" x14ac:dyDescent="0.3">
      <c r="A302">
        <v>100</v>
      </c>
      <c r="B302" t="s">
        <v>16</v>
      </c>
      <c r="C302" t="s">
        <v>822</v>
      </c>
      <c r="D302" s="2" t="s">
        <v>823</v>
      </c>
      <c r="E302" t="s">
        <v>824</v>
      </c>
      <c r="F302" t="s">
        <v>20</v>
      </c>
      <c r="G302" t="s">
        <v>21</v>
      </c>
      <c r="H302" t="s">
        <v>825</v>
      </c>
      <c r="I302" t="s">
        <v>23</v>
      </c>
      <c r="J302" t="s">
        <v>40</v>
      </c>
      <c r="K302" s="2" t="s">
        <v>814</v>
      </c>
      <c r="L302" t="s">
        <v>26</v>
      </c>
      <c r="M302">
        <v>350475</v>
      </c>
      <c r="N302">
        <v>1</v>
      </c>
      <c r="O302" s="3">
        <v>29990</v>
      </c>
      <c r="P302" s="3">
        <v>19065</v>
      </c>
      <c r="Q302" s="5">
        <f t="shared" si="12"/>
        <v>25201.680672268907</v>
      </c>
      <c r="R302" s="5">
        <f t="shared" si="13"/>
        <v>19065</v>
      </c>
      <c r="S302" s="5">
        <f t="shared" si="14"/>
        <v>6136.6806722689071</v>
      </c>
    </row>
    <row r="303" spans="1:19" hidden="1" x14ac:dyDescent="0.3">
      <c r="A303">
        <v>100</v>
      </c>
      <c r="B303" t="s">
        <v>16</v>
      </c>
      <c r="C303" t="s">
        <v>826</v>
      </c>
      <c r="D303" s="2" t="s">
        <v>827</v>
      </c>
      <c r="E303" t="s">
        <v>828</v>
      </c>
      <c r="F303" t="s">
        <v>20</v>
      </c>
      <c r="G303" t="s">
        <v>21</v>
      </c>
      <c r="H303" t="s">
        <v>48</v>
      </c>
      <c r="I303" t="s">
        <v>23</v>
      </c>
      <c r="J303" t="s">
        <v>49</v>
      </c>
      <c r="K303" s="2" t="s">
        <v>814</v>
      </c>
      <c r="L303" t="s">
        <v>26</v>
      </c>
      <c r="M303">
        <v>350476</v>
      </c>
      <c r="N303">
        <v>1</v>
      </c>
      <c r="O303" s="3">
        <v>39990</v>
      </c>
      <c r="P303" s="3">
        <v>22646</v>
      </c>
      <c r="Q303" s="5">
        <f t="shared" si="12"/>
        <v>33605.042016806721</v>
      </c>
      <c r="R303" s="5">
        <f t="shared" si="13"/>
        <v>22646</v>
      </c>
      <c r="S303" s="5">
        <f t="shared" si="14"/>
        <v>10959.042016806721</v>
      </c>
    </row>
    <row r="304" spans="1:19" hidden="1" x14ac:dyDescent="0.3">
      <c r="A304">
        <v>100</v>
      </c>
      <c r="B304" t="s">
        <v>16</v>
      </c>
      <c r="C304" t="s">
        <v>54</v>
      </c>
      <c r="D304" s="2" t="s">
        <v>55</v>
      </c>
      <c r="E304" t="s">
        <v>56</v>
      </c>
      <c r="F304" t="s">
        <v>20</v>
      </c>
      <c r="G304" t="s">
        <v>21</v>
      </c>
      <c r="H304" t="s">
        <v>57</v>
      </c>
      <c r="I304" t="s">
        <v>23</v>
      </c>
      <c r="J304" t="s">
        <v>35</v>
      </c>
      <c r="K304" s="2" t="s">
        <v>814</v>
      </c>
      <c r="L304" t="s">
        <v>26</v>
      </c>
      <c r="M304">
        <v>350477</v>
      </c>
      <c r="N304">
        <v>1</v>
      </c>
      <c r="O304" s="3">
        <v>49990</v>
      </c>
      <c r="P304" s="3">
        <v>33673</v>
      </c>
      <c r="Q304" s="5">
        <f t="shared" si="12"/>
        <v>42008.403361344543</v>
      </c>
      <c r="R304" s="5">
        <f t="shared" si="13"/>
        <v>33673</v>
      </c>
      <c r="S304" s="5">
        <f t="shared" si="14"/>
        <v>8335.4033613445426</v>
      </c>
    </row>
    <row r="305" spans="1:19" hidden="1" x14ac:dyDescent="0.3">
      <c r="A305">
        <v>100</v>
      </c>
      <c r="B305" t="s">
        <v>16</v>
      </c>
      <c r="C305" t="s">
        <v>74</v>
      </c>
      <c r="D305" s="2" t="s">
        <v>75</v>
      </c>
      <c r="E305" t="s">
        <v>71</v>
      </c>
      <c r="F305" t="s">
        <v>20</v>
      </c>
      <c r="G305" t="s">
        <v>21</v>
      </c>
      <c r="H305" t="s">
        <v>53</v>
      </c>
      <c r="I305" t="s">
        <v>23</v>
      </c>
      <c r="J305" t="s">
        <v>35</v>
      </c>
      <c r="K305" s="2" t="s">
        <v>814</v>
      </c>
      <c r="L305" t="s">
        <v>26</v>
      </c>
      <c r="M305">
        <v>350478</v>
      </c>
      <c r="N305">
        <v>1</v>
      </c>
      <c r="O305" s="3">
        <v>49990</v>
      </c>
      <c r="P305" s="3">
        <v>27439</v>
      </c>
      <c r="Q305" s="5">
        <f t="shared" si="12"/>
        <v>42008.403361344543</v>
      </c>
      <c r="R305" s="5">
        <f t="shared" si="13"/>
        <v>27439</v>
      </c>
      <c r="S305" s="5">
        <f t="shared" si="14"/>
        <v>14569.403361344543</v>
      </c>
    </row>
    <row r="306" spans="1:19" hidden="1" x14ac:dyDescent="0.3">
      <c r="A306">
        <v>100</v>
      </c>
      <c r="B306" t="s">
        <v>16</v>
      </c>
      <c r="C306" t="s">
        <v>829</v>
      </c>
      <c r="D306" s="2" t="s">
        <v>830</v>
      </c>
      <c r="E306" t="s">
        <v>831</v>
      </c>
      <c r="F306" t="s">
        <v>20</v>
      </c>
      <c r="G306" t="s">
        <v>21</v>
      </c>
      <c r="H306" t="s">
        <v>421</v>
      </c>
      <c r="I306" t="s">
        <v>23</v>
      </c>
      <c r="J306" t="s">
        <v>207</v>
      </c>
      <c r="K306" s="2" t="s">
        <v>814</v>
      </c>
      <c r="L306" t="s">
        <v>26</v>
      </c>
      <c r="M306">
        <v>350479</v>
      </c>
      <c r="N306">
        <v>1</v>
      </c>
      <c r="O306" s="3">
        <v>29990</v>
      </c>
      <c r="P306" s="3">
        <v>15655</v>
      </c>
      <c r="Q306" s="5">
        <f t="shared" si="12"/>
        <v>25201.680672268907</v>
      </c>
      <c r="R306" s="5">
        <f t="shared" si="13"/>
        <v>15655</v>
      </c>
      <c r="S306" s="5">
        <f t="shared" si="14"/>
        <v>9546.6806722689071</v>
      </c>
    </row>
    <row r="307" spans="1:19" hidden="1" x14ac:dyDescent="0.3">
      <c r="A307">
        <v>100</v>
      </c>
      <c r="B307" t="s">
        <v>16</v>
      </c>
      <c r="C307" t="s">
        <v>832</v>
      </c>
      <c r="D307" s="2" t="s">
        <v>833</v>
      </c>
      <c r="E307" t="s">
        <v>834</v>
      </c>
      <c r="F307" t="s">
        <v>20</v>
      </c>
      <c r="G307" t="s">
        <v>21</v>
      </c>
      <c r="H307" t="s">
        <v>835</v>
      </c>
      <c r="I307" t="s">
        <v>23</v>
      </c>
      <c r="J307" t="s">
        <v>40</v>
      </c>
      <c r="K307" s="2" t="s">
        <v>814</v>
      </c>
      <c r="L307" t="s">
        <v>26</v>
      </c>
      <c r="M307">
        <v>350480</v>
      </c>
      <c r="N307">
        <v>1</v>
      </c>
      <c r="O307" s="3">
        <v>39990</v>
      </c>
      <c r="P307" s="3">
        <v>26012</v>
      </c>
      <c r="Q307" s="5">
        <f t="shared" si="12"/>
        <v>33605.042016806721</v>
      </c>
      <c r="R307" s="5">
        <f t="shared" si="13"/>
        <v>26012</v>
      </c>
      <c r="S307" s="5">
        <f t="shared" si="14"/>
        <v>7593.0420168067212</v>
      </c>
    </row>
    <row r="308" spans="1:19" hidden="1" x14ac:dyDescent="0.3">
      <c r="A308">
        <v>100</v>
      </c>
      <c r="B308" t="s">
        <v>16</v>
      </c>
      <c r="C308" t="s">
        <v>836</v>
      </c>
      <c r="D308" s="2" t="s">
        <v>837</v>
      </c>
      <c r="E308" t="s">
        <v>838</v>
      </c>
      <c r="F308" t="s">
        <v>20</v>
      </c>
      <c r="G308" t="s">
        <v>21</v>
      </c>
      <c r="H308" t="s">
        <v>839</v>
      </c>
      <c r="I308" t="s">
        <v>23</v>
      </c>
      <c r="J308" t="s">
        <v>40</v>
      </c>
      <c r="K308" s="2" t="s">
        <v>814</v>
      </c>
      <c r="L308" t="s">
        <v>26</v>
      </c>
      <c r="M308">
        <v>350481</v>
      </c>
      <c r="N308">
        <v>1</v>
      </c>
      <c r="O308" s="3">
        <v>39990</v>
      </c>
      <c r="P308" s="3">
        <v>13945</v>
      </c>
      <c r="Q308" s="5">
        <f t="shared" si="12"/>
        <v>33605.042016806721</v>
      </c>
      <c r="R308" s="5">
        <f t="shared" si="13"/>
        <v>13945</v>
      </c>
      <c r="S308" s="5">
        <f t="shared" si="14"/>
        <v>19660.042016806721</v>
      </c>
    </row>
    <row r="309" spans="1:19" hidden="1" x14ac:dyDescent="0.3">
      <c r="A309">
        <v>100</v>
      </c>
      <c r="B309" t="s">
        <v>16</v>
      </c>
      <c r="C309" t="s">
        <v>840</v>
      </c>
      <c r="D309" s="2" t="s">
        <v>841</v>
      </c>
      <c r="E309" t="s">
        <v>842</v>
      </c>
      <c r="F309" t="s">
        <v>20</v>
      </c>
      <c r="G309" t="s">
        <v>21</v>
      </c>
      <c r="H309" t="s">
        <v>99</v>
      </c>
      <c r="I309" t="s">
        <v>23</v>
      </c>
      <c r="J309" t="s">
        <v>40</v>
      </c>
      <c r="K309" s="2" t="s">
        <v>814</v>
      </c>
      <c r="L309" t="s">
        <v>26</v>
      </c>
      <c r="M309">
        <v>350482</v>
      </c>
      <c r="N309">
        <v>1</v>
      </c>
      <c r="O309" s="3">
        <v>39990</v>
      </c>
      <c r="P309" s="3">
        <v>24533</v>
      </c>
      <c r="Q309" s="5">
        <f t="shared" si="12"/>
        <v>33605.042016806721</v>
      </c>
      <c r="R309" s="5">
        <f t="shared" si="13"/>
        <v>24533</v>
      </c>
      <c r="S309" s="5">
        <f t="shared" si="14"/>
        <v>9072.0420168067212</v>
      </c>
    </row>
    <row r="310" spans="1:19" hidden="1" x14ac:dyDescent="0.3">
      <c r="A310">
        <v>100</v>
      </c>
      <c r="B310" t="s">
        <v>16</v>
      </c>
      <c r="C310" t="s">
        <v>843</v>
      </c>
      <c r="D310" s="2" t="s">
        <v>844</v>
      </c>
      <c r="E310" t="s">
        <v>845</v>
      </c>
      <c r="F310" t="s">
        <v>20</v>
      </c>
      <c r="G310" t="s">
        <v>21</v>
      </c>
      <c r="H310" t="s">
        <v>243</v>
      </c>
      <c r="I310" t="s">
        <v>23</v>
      </c>
      <c r="J310" t="s">
        <v>35</v>
      </c>
      <c r="K310" s="2" t="s">
        <v>814</v>
      </c>
      <c r="L310" t="s">
        <v>26</v>
      </c>
      <c r="M310">
        <v>350483</v>
      </c>
      <c r="N310">
        <v>1</v>
      </c>
      <c r="O310" s="3">
        <v>109950</v>
      </c>
      <c r="P310" s="3">
        <v>62858</v>
      </c>
      <c r="Q310" s="5">
        <f t="shared" si="12"/>
        <v>92394.957983193279</v>
      </c>
      <c r="R310" s="5">
        <f t="shared" si="13"/>
        <v>62858</v>
      </c>
      <c r="S310" s="5">
        <f t="shared" si="14"/>
        <v>29536.957983193279</v>
      </c>
    </row>
    <row r="311" spans="1:19" hidden="1" x14ac:dyDescent="0.3">
      <c r="A311">
        <v>100</v>
      </c>
      <c r="B311" t="s">
        <v>16</v>
      </c>
      <c r="C311" t="s">
        <v>846</v>
      </c>
      <c r="D311" s="2" t="s">
        <v>847</v>
      </c>
      <c r="E311" t="s">
        <v>848</v>
      </c>
      <c r="F311" t="s">
        <v>20</v>
      </c>
      <c r="G311" t="s">
        <v>21</v>
      </c>
      <c r="H311" t="s">
        <v>342</v>
      </c>
      <c r="I311" t="s">
        <v>23</v>
      </c>
      <c r="J311" t="s">
        <v>35</v>
      </c>
      <c r="K311" s="2" t="s">
        <v>814</v>
      </c>
      <c r="L311" t="s">
        <v>26</v>
      </c>
      <c r="M311">
        <v>350484</v>
      </c>
      <c r="N311">
        <v>1</v>
      </c>
      <c r="O311" s="3">
        <v>49990</v>
      </c>
      <c r="P311" s="3">
        <v>28952</v>
      </c>
      <c r="Q311" s="5">
        <f t="shared" si="12"/>
        <v>42008.403361344543</v>
      </c>
      <c r="R311" s="5">
        <f t="shared" si="13"/>
        <v>28952</v>
      </c>
      <c r="S311" s="5">
        <f t="shared" si="14"/>
        <v>13056.403361344543</v>
      </c>
    </row>
    <row r="312" spans="1:19" hidden="1" x14ac:dyDescent="0.3">
      <c r="A312">
        <v>100</v>
      </c>
      <c r="B312" t="s">
        <v>16</v>
      </c>
      <c r="C312" t="s">
        <v>849</v>
      </c>
      <c r="D312" s="2" t="s">
        <v>850</v>
      </c>
      <c r="E312" t="s">
        <v>845</v>
      </c>
      <c r="F312" t="s">
        <v>20</v>
      </c>
      <c r="G312" t="s">
        <v>21</v>
      </c>
      <c r="H312" t="s">
        <v>243</v>
      </c>
      <c r="I312" t="s">
        <v>23</v>
      </c>
      <c r="J312" t="s">
        <v>35</v>
      </c>
      <c r="K312" s="2" t="s">
        <v>814</v>
      </c>
      <c r="L312" t="s">
        <v>26</v>
      </c>
      <c r="M312">
        <v>350484</v>
      </c>
      <c r="N312">
        <v>1</v>
      </c>
      <c r="O312" s="3">
        <v>109950</v>
      </c>
      <c r="P312" s="3">
        <v>62858</v>
      </c>
      <c r="Q312" s="5">
        <f t="shared" si="12"/>
        <v>92394.957983193279</v>
      </c>
      <c r="R312" s="5">
        <f t="shared" si="13"/>
        <v>62858</v>
      </c>
      <c r="S312" s="5">
        <f t="shared" si="14"/>
        <v>29536.957983193279</v>
      </c>
    </row>
    <row r="313" spans="1:19" hidden="1" x14ac:dyDescent="0.3">
      <c r="A313">
        <v>100</v>
      </c>
      <c r="B313" t="s">
        <v>16</v>
      </c>
      <c r="C313" t="s">
        <v>851</v>
      </c>
      <c r="D313" s="2" t="s">
        <v>852</v>
      </c>
      <c r="E313" t="s">
        <v>853</v>
      </c>
      <c r="F313" t="s">
        <v>20</v>
      </c>
      <c r="G313" t="s">
        <v>21</v>
      </c>
      <c r="H313" t="s">
        <v>854</v>
      </c>
      <c r="I313" t="s">
        <v>23</v>
      </c>
      <c r="J313" t="s">
        <v>95</v>
      </c>
      <c r="K313" s="2" t="s">
        <v>814</v>
      </c>
      <c r="L313" t="s">
        <v>26</v>
      </c>
      <c r="M313">
        <v>350485</v>
      </c>
      <c r="N313">
        <v>1</v>
      </c>
      <c r="O313" s="3">
        <v>49990</v>
      </c>
      <c r="P313" s="3">
        <v>35442</v>
      </c>
      <c r="Q313" s="5">
        <f t="shared" si="12"/>
        <v>42008.403361344543</v>
      </c>
      <c r="R313" s="5">
        <f t="shared" si="13"/>
        <v>35442</v>
      </c>
      <c r="S313" s="5">
        <f t="shared" si="14"/>
        <v>6566.4033613445426</v>
      </c>
    </row>
    <row r="314" spans="1:19" hidden="1" x14ac:dyDescent="0.3">
      <c r="A314">
        <v>100</v>
      </c>
      <c r="B314" t="s">
        <v>16</v>
      </c>
      <c r="C314" t="s">
        <v>855</v>
      </c>
      <c r="D314" s="2" t="s">
        <v>856</v>
      </c>
      <c r="E314" t="s">
        <v>857</v>
      </c>
      <c r="F314" t="s">
        <v>20</v>
      </c>
      <c r="G314" t="s">
        <v>21</v>
      </c>
      <c r="H314" t="s">
        <v>224</v>
      </c>
      <c r="I314" t="s">
        <v>23</v>
      </c>
      <c r="J314" t="s">
        <v>49</v>
      </c>
      <c r="K314" s="2" t="s">
        <v>814</v>
      </c>
      <c r="L314" t="s">
        <v>26</v>
      </c>
      <c r="M314">
        <v>350486</v>
      </c>
      <c r="N314">
        <v>1</v>
      </c>
      <c r="O314" s="3">
        <v>51990</v>
      </c>
      <c r="P314" s="3">
        <v>32229</v>
      </c>
      <c r="Q314" s="5">
        <f t="shared" si="12"/>
        <v>43689.075630252104</v>
      </c>
      <c r="R314" s="5">
        <f t="shared" si="13"/>
        <v>32229</v>
      </c>
      <c r="S314" s="5">
        <f t="shared" si="14"/>
        <v>11460.075630252104</v>
      </c>
    </row>
    <row r="315" spans="1:19" hidden="1" x14ac:dyDescent="0.3">
      <c r="A315">
        <v>100</v>
      </c>
      <c r="B315" t="s">
        <v>16</v>
      </c>
      <c r="C315" t="s">
        <v>858</v>
      </c>
      <c r="D315" s="2" t="s">
        <v>859</v>
      </c>
      <c r="E315" t="s">
        <v>860</v>
      </c>
      <c r="F315" t="s">
        <v>20</v>
      </c>
      <c r="G315" t="s">
        <v>21</v>
      </c>
      <c r="H315" t="s">
        <v>285</v>
      </c>
      <c r="I315" t="s">
        <v>23</v>
      </c>
      <c r="J315" t="s">
        <v>49</v>
      </c>
      <c r="K315" s="2" t="s">
        <v>814</v>
      </c>
      <c r="L315" t="s">
        <v>26</v>
      </c>
      <c r="M315">
        <v>350487</v>
      </c>
      <c r="N315">
        <v>1</v>
      </c>
      <c r="O315" s="3">
        <v>39990</v>
      </c>
      <c r="P315" s="3">
        <v>20310</v>
      </c>
      <c r="Q315" s="5">
        <f t="shared" si="12"/>
        <v>33605.042016806721</v>
      </c>
      <c r="R315" s="5">
        <f t="shared" si="13"/>
        <v>20310</v>
      </c>
      <c r="S315" s="5">
        <f t="shared" si="14"/>
        <v>13295.042016806721</v>
      </c>
    </row>
    <row r="316" spans="1:19" hidden="1" x14ac:dyDescent="0.3">
      <c r="A316">
        <v>100</v>
      </c>
      <c r="B316" t="s">
        <v>16</v>
      </c>
      <c r="C316" t="s">
        <v>861</v>
      </c>
      <c r="D316" s="2" t="s">
        <v>862</v>
      </c>
      <c r="E316" t="s">
        <v>863</v>
      </c>
      <c r="F316" t="s">
        <v>20</v>
      </c>
      <c r="G316" t="s">
        <v>21</v>
      </c>
      <c r="H316" t="s">
        <v>48</v>
      </c>
      <c r="I316" t="s">
        <v>23</v>
      </c>
      <c r="J316" t="s">
        <v>35</v>
      </c>
      <c r="K316" s="2" t="s">
        <v>814</v>
      </c>
      <c r="L316" t="s">
        <v>26</v>
      </c>
      <c r="M316">
        <v>350487</v>
      </c>
      <c r="N316">
        <v>1</v>
      </c>
      <c r="O316" s="3">
        <v>49990</v>
      </c>
      <c r="P316" s="3">
        <v>28617</v>
      </c>
      <c r="Q316" s="5">
        <f t="shared" si="12"/>
        <v>42008.403361344543</v>
      </c>
      <c r="R316" s="5">
        <f t="shared" si="13"/>
        <v>28617</v>
      </c>
      <c r="S316" s="5">
        <f t="shared" si="14"/>
        <v>13391.403361344543</v>
      </c>
    </row>
    <row r="317" spans="1:19" hidden="1" x14ac:dyDescent="0.3">
      <c r="A317">
        <v>100</v>
      </c>
      <c r="B317" t="s">
        <v>16</v>
      </c>
      <c r="C317" t="s">
        <v>161</v>
      </c>
      <c r="D317" s="2" t="s">
        <v>162</v>
      </c>
      <c r="E317" t="s">
        <v>163</v>
      </c>
      <c r="F317" t="s">
        <v>20</v>
      </c>
      <c r="G317" t="s">
        <v>21</v>
      </c>
      <c r="H317" t="s">
        <v>156</v>
      </c>
      <c r="I317" t="s">
        <v>23</v>
      </c>
      <c r="J317" t="s">
        <v>35</v>
      </c>
      <c r="K317" s="2" t="s">
        <v>814</v>
      </c>
      <c r="L317" t="s">
        <v>26</v>
      </c>
      <c r="M317">
        <v>350488</v>
      </c>
      <c r="N317">
        <v>1</v>
      </c>
      <c r="O317" s="3">
        <v>69990</v>
      </c>
      <c r="P317" s="3">
        <v>38314</v>
      </c>
      <c r="Q317" s="5">
        <f t="shared" si="12"/>
        <v>58815.126050420171</v>
      </c>
      <c r="R317" s="5">
        <f t="shared" si="13"/>
        <v>38314</v>
      </c>
      <c r="S317" s="5">
        <f t="shared" si="14"/>
        <v>20501.126050420171</v>
      </c>
    </row>
    <row r="318" spans="1:19" hidden="1" x14ac:dyDescent="0.3">
      <c r="A318">
        <v>100</v>
      </c>
      <c r="B318" t="s">
        <v>16</v>
      </c>
      <c r="C318" t="s">
        <v>864</v>
      </c>
      <c r="D318" s="2" t="s">
        <v>865</v>
      </c>
      <c r="E318" t="s">
        <v>866</v>
      </c>
      <c r="F318" t="s">
        <v>20</v>
      </c>
      <c r="G318" t="s">
        <v>21</v>
      </c>
      <c r="H318" t="s">
        <v>90</v>
      </c>
      <c r="I318" t="s">
        <v>23</v>
      </c>
      <c r="J318" t="s">
        <v>35</v>
      </c>
      <c r="K318" s="2" t="s">
        <v>814</v>
      </c>
      <c r="L318" t="s">
        <v>26</v>
      </c>
      <c r="M318">
        <v>350489</v>
      </c>
      <c r="N318">
        <v>1</v>
      </c>
      <c r="O318" s="3">
        <v>84950</v>
      </c>
      <c r="P318" s="3">
        <v>35325</v>
      </c>
      <c r="Q318" s="5">
        <f t="shared" si="12"/>
        <v>71386.554621848743</v>
      </c>
      <c r="R318" s="5">
        <f t="shared" si="13"/>
        <v>35325</v>
      </c>
      <c r="S318" s="5">
        <f t="shared" si="14"/>
        <v>36061.554621848743</v>
      </c>
    </row>
    <row r="319" spans="1:19" hidden="1" x14ac:dyDescent="0.3">
      <c r="A319">
        <v>100</v>
      </c>
      <c r="B319" t="s">
        <v>16</v>
      </c>
      <c r="C319" t="s">
        <v>867</v>
      </c>
      <c r="D319" s="2" t="s">
        <v>868</v>
      </c>
      <c r="E319" t="s">
        <v>869</v>
      </c>
      <c r="F319" t="s">
        <v>20</v>
      </c>
      <c r="G319" t="s">
        <v>21</v>
      </c>
      <c r="H319" t="s">
        <v>870</v>
      </c>
      <c r="I319" t="s">
        <v>23</v>
      </c>
      <c r="J319" t="s">
        <v>35</v>
      </c>
      <c r="K319" s="2" t="s">
        <v>814</v>
      </c>
      <c r="L319" t="s">
        <v>26</v>
      </c>
      <c r="M319">
        <v>350490</v>
      </c>
      <c r="N319">
        <v>1</v>
      </c>
      <c r="O319" s="3">
        <v>69950</v>
      </c>
      <c r="P319" s="3">
        <v>25434</v>
      </c>
      <c r="Q319" s="5">
        <f t="shared" si="12"/>
        <v>58781.512605042022</v>
      </c>
      <c r="R319" s="5">
        <f t="shared" si="13"/>
        <v>25434</v>
      </c>
      <c r="S319" s="5">
        <f t="shared" si="14"/>
        <v>33347.512605042022</v>
      </c>
    </row>
    <row r="320" spans="1:19" hidden="1" x14ac:dyDescent="0.3">
      <c r="A320">
        <v>100</v>
      </c>
      <c r="B320" t="s">
        <v>16</v>
      </c>
      <c r="C320" t="s">
        <v>871</v>
      </c>
      <c r="D320" s="2" t="s">
        <v>872</v>
      </c>
      <c r="E320" t="s">
        <v>873</v>
      </c>
      <c r="F320" t="s">
        <v>20</v>
      </c>
      <c r="G320" t="s">
        <v>21</v>
      </c>
      <c r="H320" t="s">
        <v>874</v>
      </c>
      <c r="I320" t="s">
        <v>23</v>
      </c>
      <c r="J320" t="s">
        <v>95</v>
      </c>
      <c r="K320" s="2" t="s">
        <v>814</v>
      </c>
      <c r="L320" t="s">
        <v>26</v>
      </c>
      <c r="M320">
        <v>350491</v>
      </c>
      <c r="N320">
        <v>1</v>
      </c>
      <c r="O320" s="3">
        <v>69950</v>
      </c>
      <c r="P320" s="3">
        <v>20699</v>
      </c>
      <c r="Q320" s="5">
        <f t="shared" si="12"/>
        <v>58781.512605042022</v>
      </c>
      <c r="R320" s="5">
        <f t="shared" si="13"/>
        <v>20699</v>
      </c>
      <c r="S320" s="5">
        <f t="shared" si="14"/>
        <v>38082.512605042022</v>
      </c>
    </row>
    <row r="321" spans="1:19" hidden="1" x14ac:dyDescent="0.3">
      <c r="A321">
        <v>100</v>
      </c>
      <c r="B321" t="s">
        <v>16</v>
      </c>
      <c r="C321" t="s">
        <v>256</v>
      </c>
      <c r="D321" s="2" t="s">
        <v>257</v>
      </c>
      <c r="E321" t="s">
        <v>159</v>
      </c>
      <c r="F321" t="s">
        <v>20</v>
      </c>
      <c r="G321" t="s">
        <v>21</v>
      </c>
      <c r="H321" t="s">
        <v>160</v>
      </c>
      <c r="I321" t="s">
        <v>23</v>
      </c>
      <c r="J321" t="s">
        <v>35</v>
      </c>
      <c r="K321" s="2" t="s">
        <v>814</v>
      </c>
      <c r="L321" t="s">
        <v>26</v>
      </c>
      <c r="M321">
        <v>350492</v>
      </c>
      <c r="N321">
        <v>1</v>
      </c>
      <c r="O321" s="3">
        <v>79950</v>
      </c>
      <c r="P321" s="3">
        <v>32560</v>
      </c>
      <c r="Q321" s="5">
        <f t="shared" si="12"/>
        <v>67184.873949579836</v>
      </c>
      <c r="R321" s="5">
        <f t="shared" si="13"/>
        <v>32560</v>
      </c>
      <c r="S321" s="5">
        <f t="shared" si="14"/>
        <v>34624.873949579836</v>
      </c>
    </row>
    <row r="322" spans="1:19" hidden="1" x14ac:dyDescent="0.3">
      <c r="A322">
        <v>100</v>
      </c>
      <c r="B322" t="s">
        <v>16</v>
      </c>
      <c r="C322" t="s">
        <v>762</v>
      </c>
      <c r="D322" s="2" t="s">
        <v>763</v>
      </c>
      <c r="E322" t="s">
        <v>183</v>
      </c>
      <c r="F322" t="s">
        <v>20</v>
      </c>
      <c r="G322" t="s">
        <v>21</v>
      </c>
      <c r="H322" t="s">
        <v>61</v>
      </c>
      <c r="I322" t="s">
        <v>23</v>
      </c>
      <c r="J322" t="s">
        <v>40</v>
      </c>
      <c r="K322" s="2" t="s">
        <v>814</v>
      </c>
      <c r="L322" t="s">
        <v>26</v>
      </c>
      <c r="M322">
        <v>350493</v>
      </c>
      <c r="N322">
        <v>1</v>
      </c>
      <c r="O322" s="3">
        <v>39990</v>
      </c>
      <c r="P322" s="3">
        <v>23582</v>
      </c>
      <c r="Q322" s="5">
        <f t="shared" si="12"/>
        <v>33605.042016806721</v>
      </c>
      <c r="R322" s="5">
        <f t="shared" si="13"/>
        <v>23582</v>
      </c>
      <c r="S322" s="5">
        <f t="shared" si="14"/>
        <v>10023.042016806721</v>
      </c>
    </row>
    <row r="323" spans="1:19" hidden="1" x14ac:dyDescent="0.3">
      <c r="A323">
        <v>100</v>
      </c>
      <c r="B323" t="s">
        <v>16</v>
      </c>
      <c r="C323" t="s">
        <v>174</v>
      </c>
      <c r="D323" s="2" t="s">
        <v>175</v>
      </c>
      <c r="E323" t="s">
        <v>176</v>
      </c>
      <c r="F323" t="s">
        <v>20</v>
      </c>
      <c r="G323" t="s">
        <v>21</v>
      </c>
      <c r="H323" t="s">
        <v>61</v>
      </c>
      <c r="I323" t="s">
        <v>23</v>
      </c>
      <c r="J323" t="s">
        <v>40</v>
      </c>
      <c r="K323" s="2" t="s">
        <v>814</v>
      </c>
      <c r="L323" t="s">
        <v>26</v>
      </c>
      <c r="M323">
        <v>350493</v>
      </c>
      <c r="N323">
        <v>1</v>
      </c>
      <c r="O323" s="3">
        <v>39990</v>
      </c>
      <c r="P323" s="3">
        <v>23618</v>
      </c>
      <c r="Q323" s="5">
        <f t="shared" si="12"/>
        <v>33605.042016806721</v>
      </c>
      <c r="R323" s="5">
        <f t="shared" si="13"/>
        <v>23618</v>
      </c>
      <c r="S323" s="5">
        <f t="shared" si="14"/>
        <v>9987.0420168067212</v>
      </c>
    </row>
    <row r="324" spans="1:19" hidden="1" x14ac:dyDescent="0.3">
      <c r="A324">
        <v>100</v>
      </c>
      <c r="B324" t="s">
        <v>16</v>
      </c>
      <c r="C324" t="s">
        <v>875</v>
      </c>
      <c r="D324" s="2" t="s">
        <v>876</v>
      </c>
      <c r="E324" t="s">
        <v>877</v>
      </c>
      <c r="F324" t="s">
        <v>20</v>
      </c>
      <c r="G324" t="s">
        <v>21</v>
      </c>
      <c r="H324" t="s">
        <v>433</v>
      </c>
      <c r="I324" t="s">
        <v>23</v>
      </c>
      <c r="J324" t="s">
        <v>407</v>
      </c>
      <c r="K324" s="2" t="s">
        <v>814</v>
      </c>
      <c r="L324" t="s">
        <v>26</v>
      </c>
      <c r="M324">
        <v>350494</v>
      </c>
      <c r="N324">
        <v>1</v>
      </c>
      <c r="O324" s="3">
        <v>39990</v>
      </c>
      <c r="P324" s="3">
        <v>24999</v>
      </c>
      <c r="Q324" s="5">
        <f t="shared" si="12"/>
        <v>33605.042016806721</v>
      </c>
      <c r="R324" s="5">
        <f t="shared" si="13"/>
        <v>24999</v>
      </c>
      <c r="S324" s="5">
        <f t="shared" si="14"/>
        <v>8606.0420168067212</v>
      </c>
    </row>
    <row r="325" spans="1:19" hidden="1" x14ac:dyDescent="0.3">
      <c r="A325">
        <v>100</v>
      </c>
      <c r="B325" t="s">
        <v>16</v>
      </c>
      <c r="C325" t="s">
        <v>697</v>
      </c>
      <c r="D325" s="2" t="s">
        <v>698</v>
      </c>
      <c r="E325" t="s">
        <v>699</v>
      </c>
      <c r="F325" t="s">
        <v>20</v>
      </c>
      <c r="G325" t="s">
        <v>21</v>
      </c>
      <c r="H325" t="s">
        <v>433</v>
      </c>
      <c r="I325" t="s">
        <v>23</v>
      </c>
      <c r="J325" t="s">
        <v>407</v>
      </c>
      <c r="K325" s="2" t="s">
        <v>814</v>
      </c>
      <c r="L325" t="s">
        <v>26</v>
      </c>
      <c r="M325">
        <v>350495</v>
      </c>
      <c r="N325">
        <v>1</v>
      </c>
      <c r="O325" s="3">
        <v>29990</v>
      </c>
      <c r="P325" s="3">
        <v>22800</v>
      </c>
      <c r="Q325" s="5">
        <f t="shared" si="12"/>
        <v>25201.680672268907</v>
      </c>
      <c r="R325" s="5">
        <f t="shared" si="13"/>
        <v>22800</v>
      </c>
      <c r="S325" s="5">
        <f t="shared" si="14"/>
        <v>2401.6806722689071</v>
      </c>
    </row>
    <row r="326" spans="1:19" hidden="1" x14ac:dyDescent="0.3">
      <c r="A326">
        <v>100</v>
      </c>
      <c r="B326" t="s">
        <v>16</v>
      </c>
      <c r="C326">
        <v>1687976791</v>
      </c>
      <c r="D326" s="2" t="s">
        <v>200</v>
      </c>
      <c r="E326" t="s">
        <v>201</v>
      </c>
      <c r="F326" t="s">
        <v>201</v>
      </c>
      <c r="G326" t="s">
        <v>202</v>
      </c>
      <c r="H326" t="s">
        <v>202</v>
      </c>
      <c r="I326" t="s">
        <v>23</v>
      </c>
      <c r="J326" t="s">
        <v>202</v>
      </c>
      <c r="K326" s="2" t="s">
        <v>814</v>
      </c>
      <c r="L326" t="s">
        <v>26</v>
      </c>
      <c r="M326">
        <v>350495</v>
      </c>
      <c r="N326">
        <v>1</v>
      </c>
      <c r="O326" s="3">
        <v>5350</v>
      </c>
      <c r="P326">
        <v>1</v>
      </c>
      <c r="Q326" s="5">
        <f t="shared" ref="Q326:Q389" si="15">O326/1.19</f>
        <v>4495.7983193277314</v>
      </c>
      <c r="R326" s="5">
        <f t="shared" ref="R326:R389" si="16">N326*P326</f>
        <v>1</v>
      </c>
      <c r="S326" s="5">
        <f t="shared" ref="S326:S389" si="17">Q326-R326</f>
        <v>4494.7983193277314</v>
      </c>
    </row>
    <row r="327" spans="1:19" hidden="1" x14ac:dyDescent="0.3">
      <c r="A327">
        <v>100</v>
      </c>
      <c r="B327" t="s">
        <v>16</v>
      </c>
      <c r="C327" t="s">
        <v>700</v>
      </c>
      <c r="D327" s="2" t="s">
        <v>701</v>
      </c>
      <c r="E327" t="s">
        <v>702</v>
      </c>
      <c r="F327" t="s">
        <v>377</v>
      </c>
      <c r="G327" t="s">
        <v>21</v>
      </c>
      <c r="H327" t="s">
        <v>378</v>
      </c>
      <c r="I327" t="s">
        <v>23</v>
      </c>
      <c r="J327" t="s">
        <v>379</v>
      </c>
      <c r="K327" s="2" t="s">
        <v>814</v>
      </c>
      <c r="L327" t="s">
        <v>26</v>
      </c>
      <c r="M327">
        <v>350495</v>
      </c>
      <c r="N327">
        <v>1</v>
      </c>
      <c r="O327" s="3">
        <v>4950</v>
      </c>
      <c r="P327" s="3">
        <v>2529</v>
      </c>
      <c r="Q327" s="5">
        <f t="shared" si="15"/>
        <v>4159.6638655462184</v>
      </c>
      <c r="R327" s="5">
        <f t="shared" si="16"/>
        <v>2529</v>
      </c>
      <c r="S327" s="5">
        <f t="shared" si="17"/>
        <v>1630.6638655462184</v>
      </c>
    </row>
    <row r="328" spans="1:19" hidden="1" x14ac:dyDescent="0.3">
      <c r="A328">
        <v>100</v>
      </c>
      <c r="B328" t="s">
        <v>16</v>
      </c>
      <c r="C328" t="s">
        <v>878</v>
      </c>
      <c r="D328" s="2" t="s">
        <v>879</v>
      </c>
      <c r="E328" t="s">
        <v>880</v>
      </c>
      <c r="F328" t="s">
        <v>20</v>
      </c>
      <c r="G328" t="s">
        <v>21</v>
      </c>
      <c r="H328" t="s">
        <v>881</v>
      </c>
      <c r="I328" t="s">
        <v>23</v>
      </c>
      <c r="J328" t="s">
        <v>35</v>
      </c>
      <c r="K328" s="2" t="s">
        <v>814</v>
      </c>
      <c r="L328" t="s">
        <v>26</v>
      </c>
      <c r="M328">
        <v>350496</v>
      </c>
      <c r="N328">
        <v>1</v>
      </c>
      <c r="O328" s="3">
        <v>57990</v>
      </c>
      <c r="P328" s="3">
        <v>33892</v>
      </c>
      <c r="Q328" s="5">
        <f t="shared" si="15"/>
        <v>48731.092436974795</v>
      </c>
      <c r="R328" s="5">
        <f t="shared" si="16"/>
        <v>33892</v>
      </c>
      <c r="S328" s="5">
        <f t="shared" si="17"/>
        <v>14839.092436974795</v>
      </c>
    </row>
    <row r="329" spans="1:19" hidden="1" x14ac:dyDescent="0.3">
      <c r="A329">
        <v>100</v>
      </c>
      <c r="B329" t="s">
        <v>16</v>
      </c>
      <c r="C329" t="s">
        <v>882</v>
      </c>
      <c r="D329" s="2" t="s">
        <v>883</v>
      </c>
      <c r="E329" t="s">
        <v>884</v>
      </c>
      <c r="F329" t="s">
        <v>20</v>
      </c>
      <c r="G329" t="s">
        <v>21</v>
      </c>
      <c r="H329" t="s">
        <v>48</v>
      </c>
      <c r="I329" t="s">
        <v>23</v>
      </c>
      <c r="J329" t="s">
        <v>49</v>
      </c>
      <c r="K329" s="2" t="s">
        <v>814</v>
      </c>
      <c r="L329" t="s">
        <v>26</v>
      </c>
      <c r="M329">
        <v>350497</v>
      </c>
      <c r="N329">
        <v>1</v>
      </c>
      <c r="O329" s="3">
        <v>39990</v>
      </c>
      <c r="P329" s="3">
        <v>26043</v>
      </c>
      <c r="Q329" s="5">
        <f t="shared" si="15"/>
        <v>33605.042016806721</v>
      </c>
      <c r="R329" s="5">
        <f t="shared" si="16"/>
        <v>26043</v>
      </c>
      <c r="S329" s="5">
        <f t="shared" si="17"/>
        <v>7562.0420168067212</v>
      </c>
    </row>
    <row r="330" spans="1:19" hidden="1" x14ac:dyDescent="0.3">
      <c r="A330">
        <v>100</v>
      </c>
      <c r="B330" t="s">
        <v>16</v>
      </c>
      <c r="C330" t="s">
        <v>885</v>
      </c>
      <c r="D330" s="2" t="s">
        <v>886</v>
      </c>
      <c r="E330" t="s">
        <v>887</v>
      </c>
      <c r="F330" t="s">
        <v>20</v>
      </c>
      <c r="G330" t="s">
        <v>21</v>
      </c>
      <c r="H330" t="s">
        <v>310</v>
      </c>
      <c r="I330" t="s">
        <v>23</v>
      </c>
      <c r="J330" t="s">
        <v>49</v>
      </c>
      <c r="K330" s="2" t="s">
        <v>814</v>
      </c>
      <c r="L330" t="s">
        <v>26</v>
      </c>
      <c r="M330">
        <v>350498</v>
      </c>
      <c r="N330">
        <v>1</v>
      </c>
      <c r="O330" s="3">
        <v>44990</v>
      </c>
      <c r="P330" s="3">
        <v>25742</v>
      </c>
      <c r="Q330" s="5">
        <f t="shared" si="15"/>
        <v>37806.722689075636</v>
      </c>
      <c r="R330" s="5">
        <f t="shared" si="16"/>
        <v>25742</v>
      </c>
      <c r="S330" s="5">
        <f t="shared" si="17"/>
        <v>12064.722689075636</v>
      </c>
    </row>
    <row r="331" spans="1:19" hidden="1" x14ac:dyDescent="0.3">
      <c r="A331">
        <v>100</v>
      </c>
      <c r="B331" t="s">
        <v>16</v>
      </c>
      <c r="C331" t="s">
        <v>888</v>
      </c>
      <c r="D331" s="2" t="s">
        <v>889</v>
      </c>
      <c r="E331" t="s">
        <v>890</v>
      </c>
      <c r="F331" t="s">
        <v>20</v>
      </c>
      <c r="G331" t="s">
        <v>21</v>
      </c>
      <c r="H331" t="s">
        <v>454</v>
      </c>
      <c r="I331" t="s">
        <v>23</v>
      </c>
      <c r="J331" t="s">
        <v>407</v>
      </c>
      <c r="K331" s="2" t="s">
        <v>814</v>
      </c>
      <c r="L331" t="s">
        <v>26</v>
      </c>
      <c r="M331">
        <v>350499</v>
      </c>
      <c r="N331">
        <v>1</v>
      </c>
      <c r="O331" s="3">
        <v>41990</v>
      </c>
      <c r="P331" s="3">
        <v>19066</v>
      </c>
      <c r="Q331" s="5">
        <f t="shared" si="15"/>
        <v>35285.71428571429</v>
      </c>
      <c r="R331" s="5">
        <f t="shared" si="16"/>
        <v>19066</v>
      </c>
      <c r="S331" s="5">
        <f t="shared" si="17"/>
        <v>16219.71428571429</v>
      </c>
    </row>
    <row r="332" spans="1:19" hidden="1" x14ac:dyDescent="0.3">
      <c r="A332">
        <v>100</v>
      </c>
      <c r="B332" t="s">
        <v>16</v>
      </c>
      <c r="C332" t="s">
        <v>891</v>
      </c>
      <c r="D332" s="2" t="s">
        <v>892</v>
      </c>
      <c r="E332" t="s">
        <v>893</v>
      </c>
      <c r="F332" t="s">
        <v>20</v>
      </c>
      <c r="G332" t="s">
        <v>21</v>
      </c>
      <c r="H332" t="s">
        <v>454</v>
      </c>
      <c r="I332" t="s">
        <v>23</v>
      </c>
      <c r="J332" t="s">
        <v>407</v>
      </c>
      <c r="K332" s="2" t="s">
        <v>814</v>
      </c>
      <c r="L332" t="s">
        <v>26</v>
      </c>
      <c r="M332">
        <v>350499</v>
      </c>
      <c r="N332">
        <v>1</v>
      </c>
      <c r="O332" s="3">
        <v>41990</v>
      </c>
      <c r="P332" s="3">
        <v>19061</v>
      </c>
      <c r="Q332" s="5">
        <f t="shared" si="15"/>
        <v>35285.71428571429</v>
      </c>
      <c r="R332" s="5">
        <f t="shared" si="16"/>
        <v>19061</v>
      </c>
      <c r="S332" s="5">
        <f t="shared" si="17"/>
        <v>16224.71428571429</v>
      </c>
    </row>
    <row r="333" spans="1:19" hidden="1" x14ac:dyDescent="0.3">
      <c r="A333">
        <v>100</v>
      </c>
      <c r="B333" t="s">
        <v>16</v>
      </c>
      <c r="C333" t="s">
        <v>894</v>
      </c>
      <c r="D333" s="2" t="s">
        <v>895</v>
      </c>
      <c r="E333" t="s">
        <v>896</v>
      </c>
      <c r="F333" t="s">
        <v>20</v>
      </c>
      <c r="G333" t="s">
        <v>21</v>
      </c>
      <c r="H333" t="s">
        <v>114</v>
      </c>
      <c r="I333" t="s">
        <v>23</v>
      </c>
      <c r="J333" t="s">
        <v>35</v>
      </c>
      <c r="K333" s="2" t="s">
        <v>814</v>
      </c>
      <c r="L333" t="s">
        <v>26</v>
      </c>
      <c r="M333">
        <v>350500</v>
      </c>
      <c r="N333">
        <v>1</v>
      </c>
      <c r="O333" s="3">
        <v>69990</v>
      </c>
      <c r="P333" s="3">
        <v>34884</v>
      </c>
      <c r="Q333" s="5">
        <f t="shared" si="15"/>
        <v>58815.126050420171</v>
      </c>
      <c r="R333" s="5">
        <f t="shared" si="16"/>
        <v>34884</v>
      </c>
      <c r="S333" s="5">
        <f t="shared" si="17"/>
        <v>23931.126050420171</v>
      </c>
    </row>
    <row r="334" spans="1:19" hidden="1" x14ac:dyDescent="0.3">
      <c r="A334">
        <v>100</v>
      </c>
      <c r="B334" t="s">
        <v>16</v>
      </c>
      <c r="C334" t="s">
        <v>897</v>
      </c>
      <c r="D334" s="2" t="s">
        <v>898</v>
      </c>
      <c r="E334" t="s">
        <v>34</v>
      </c>
      <c r="F334" t="s">
        <v>20</v>
      </c>
      <c r="G334" t="s">
        <v>21</v>
      </c>
      <c r="H334" t="s">
        <v>22</v>
      </c>
      <c r="I334" t="s">
        <v>23</v>
      </c>
      <c r="J334" t="s">
        <v>35</v>
      </c>
      <c r="K334" s="2" t="s">
        <v>814</v>
      </c>
      <c r="L334" t="s">
        <v>26</v>
      </c>
      <c r="M334">
        <v>350500</v>
      </c>
      <c r="N334">
        <v>1</v>
      </c>
      <c r="O334" s="3">
        <v>69990</v>
      </c>
      <c r="P334" s="3">
        <v>35267</v>
      </c>
      <c r="Q334" s="5">
        <f t="shared" si="15"/>
        <v>58815.126050420171</v>
      </c>
      <c r="R334" s="5">
        <f t="shared" si="16"/>
        <v>35267</v>
      </c>
      <c r="S334" s="5">
        <f t="shared" si="17"/>
        <v>23548.126050420171</v>
      </c>
    </row>
    <row r="335" spans="1:19" hidden="1" x14ac:dyDescent="0.3">
      <c r="A335">
        <v>100</v>
      </c>
      <c r="B335" t="s">
        <v>16</v>
      </c>
      <c r="C335" t="s">
        <v>899</v>
      </c>
      <c r="D335" s="2" t="s">
        <v>900</v>
      </c>
      <c r="E335" t="s">
        <v>901</v>
      </c>
      <c r="F335" t="s">
        <v>20</v>
      </c>
      <c r="G335" t="s">
        <v>21</v>
      </c>
      <c r="H335" t="s">
        <v>251</v>
      </c>
      <c r="I335" t="s">
        <v>23</v>
      </c>
      <c r="J335" t="s">
        <v>49</v>
      </c>
      <c r="K335" s="2" t="s">
        <v>814</v>
      </c>
      <c r="L335" t="s">
        <v>26</v>
      </c>
      <c r="M335">
        <v>350501</v>
      </c>
      <c r="N335">
        <v>1</v>
      </c>
      <c r="O335" s="3">
        <v>34990</v>
      </c>
      <c r="P335" s="3">
        <v>20899</v>
      </c>
      <c r="Q335" s="5">
        <f t="shared" si="15"/>
        <v>29403.361344537818</v>
      </c>
      <c r="R335" s="5">
        <f t="shared" si="16"/>
        <v>20899</v>
      </c>
      <c r="S335" s="5">
        <f t="shared" si="17"/>
        <v>8504.3613445378178</v>
      </c>
    </row>
    <row r="336" spans="1:19" hidden="1" x14ac:dyDescent="0.3">
      <c r="A336">
        <v>100</v>
      </c>
      <c r="B336" t="s">
        <v>16</v>
      </c>
      <c r="C336">
        <v>1687976791</v>
      </c>
      <c r="D336" s="2" t="s">
        <v>200</v>
      </c>
      <c r="E336" t="s">
        <v>201</v>
      </c>
      <c r="F336" t="s">
        <v>201</v>
      </c>
      <c r="G336" t="s">
        <v>202</v>
      </c>
      <c r="H336" t="s">
        <v>202</v>
      </c>
      <c r="I336" t="s">
        <v>23</v>
      </c>
      <c r="J336" t="s">
        <v>202</v>
      </c>
      <c r="K336" s="2" t="s">
        <v>814</v>
      </c>
      <c r="L336" t="s">
        <v>26</v>
      </c>
      <c r="M336">
        <v>350501</v>
      </c>
      <c r="N336">
        <v>1</v>
      </c>
      <c r="O336" s="3">
        <v>3200</v>
      </c>
      <c r="P336">
        <v>1</v>
      </c>
      <c r="Q336" s="5">
        <f t="shared" si="15"/>
        <v>2689.0756302521008</v>
      </c>
      <c r="R336" s="5">
        <f t="shared" si="16"/>
        <v>1</v>
      </c>
      <c r="S336" s="5">
        <f t="shared" si="17"/>
        <v>2688.0756302521008</v>
      </c>
    </row>
    <row r="337" spans="1:19" hidden="1" x14ac:dyDescent="0.3">
      <c r="A337">
        <v>100</v>
      </c>
      <c r="B337" t="s">
        <v>16</v>
      </c>
      <c r="C337" t="s">
        <v>709</v>
      </c>
      <c r="D337" s="2" t="s">
        <v>710</v>
      </c>
      <c r="E337" t="s">
        <v>711</v>
      </c>
      <c r="F337" t="s">
        <v>20</v>
      </c>
      <c r="G337" t="s">
        <v>21</v>
      </c>
      <c r="H337" t="s">
        <v>251</v>
      </c>
      <c r="I337" t="s">
        <v>23</v>
      </c>
      <c r="J337" t="s">
        <v>49</v>
      </c>
      <c r="K337" s="2" t="s">
        <v>902</v>
      </c>
      <c r="L337" t="s">
        <v>26</v>
      </c>
      <c r="M337">
        <v>350502</v>
      </c>
      <c r="N337">
        <v>1</v>
      </c>
      <c r="O337" s="3">
        <v>34990</v>
      </c>
      <c r="P337" s="3">
        <v>22685</v>
      </c>
      <c r="Q337" s="5">
        <f t="shared" si="15"/>
        <v>29403.361344537818</v>
      </c>
      <c r="R337" s="5">
        <f t="shared" si="16"/>
        <v>22685</v>
      </c>
      <c r="S337" s="5">
        <f t="shared" si="17"/>
        <v>6718.3613445378178</v>
      </c>
    </row>
    <row r="338" spans="1:19" hidden="1" x14ac:dyDescent="0.3">
      <c r="A338">
        <v>100</v>
      </c>
      <c r="B338" t="s">
        <v>16</v>
      </c>
      <c r="C338" t="s">
        <v>903</v>
      </c>
      <c r="D338" s="2" t="s">
        <v>904</v>
      </c>
      <c r="E338" t="s">
        <v>905</v>
      </c>
      <c r="F338" t="s">
        <v>20</v>
      </c>
      <c r="G338" t="s">
        <v>21</v>
      </c>
      <c r="H338" t="s">
        <v>224</v>
      </c>
      <c r="I338" t="s">
        <v>23</v>
      </c>
      <c r="J338" t="s">
        <v>49</v>
      </c>
      <c r="K338" s="2" t="s">
        <v>902</v>
      </c>
      <c r="L338" t="s">
        <v>26</v>
      </c>
      <c r="M338">
        <v>350502</v>
      </c>
      <c r="N338">
        <v>1</v>
      </c>
      <c r="O338" s="3">
        <v>51990</v>
      </c>
      <c r="P338" s="3">
        <v>27356</v>
      </c>
      <c r="Q338" s="5">
        <f t="shared" si="15"/>
        <v>43689.075630252104</v>
      </c>
      <c r="R338" s="5">
        <f t="shared" si="16"/>
        <v>27356</v>
      </c>
      <c r="S338" s="5">
        <f t="shared" si="17"/>
        <v>16333.075630252104</v>
      </c>
    </row>
    <row r="339" spans="1:19" hidden="1" x14ac:dyDescent="0.3">
      <c r="A339">
        <v>100</v>
      </c>
      <c r="B339" t="s">
        <v>16</v>
      </c>
      <c r="C339" t="s">
        <v>906</v>
      </c>
      <c r="D339" s="2" t="s">
        <v>907</v>
      </c>
      <c r="E339" t="s">
        <v>163</v>
      </c>
      <c r="F339" t="s">
        <v>20</v>
      </c>
      <c r="G339" t="s">
        <v>21</v>
      </c>
      <c r="H339" t="s">
        <v>156</v>
      </c>
      <c r="I339" t="s">
        <v>23</v>
      </c>
      <c r="J339" t="s">
        <v>35</v>
      </c>
      <c r="K339" s="2" t="s">
        <v>902</v>
      </c>
      <c r="L339" t="s">
        <v>26</v>
      </c>
      <c r="M339">
        <v>350503</v>
      </c>
      <c r="N339">
        <v>1</v>
      </c>
      <c r="O339" s="3">
        <v>69990</v>
      </c>
      <c r="P339" s="3">
        <v>38206</v>
      </c>
      <c r="Q339" s="5">
        <f t="shared" si="15"/>
        <v>58815.126050420171</v>
      </c>
      <c r="R339" s="5">
        <f t="shared" si="16"/>
        <v>38206</v>
      </c>
      <c r="S339" s="5">
        <f t="shared" si="17"/>
        <v>20609.126050420171</v>
      </c>
    </row>
    <row r="340" spans="1:19" hidden="1" x14ac:dyDescent="0.3">
      <c r="A340">
        <v>100</v>
      </c>
      <c r="B340" t="s">
        <v>16</v>
      </c>
      <c r="C340" t="s">
        <v>549</v>
      </c>
      <c r="D340" s="2" t="s">
        <v>550</v>
      </c>
      <c r="E340" t="s">
        <v>271</v>
      </c>
      <c r="F340" t="s">
        <v>20</v>
      </c>
      <c r="G340" t="s">
        <v>21</v>
      </c>
      <c r="H340" t="s">
        <v>272</v>
      </c>
      <c r="I340" t="s">
        <v>23</v>
      </c>
      <c r="J340" t="s">
        <v>35</v>
      </c>
      <c r="K340" s="2" t="s">
        <v>902</v>
      </c>
      <c r="L340" t="s">
        <v>26</v>
      </c>
      <c r="M340">
        <v>350504</v>
      </c>
      <c r="N340">
        <v>1</v>
      </c>
      <c r="O340" s="3">
        <v>49990</v>
      </c>
      <c r="P340" s="3">
        <v>28184</v>
      </c>
      <c r="Q340" s="5">
        <f t="shared" si="15"/>
        <v>42008.403361344543</v>
      </c>
      <c r="R340" s="5">
        <f t="shared" si="16"/>
        <v>28184</v>
      </c>
      <c r="S340" s="5">
        <f t="shared" si="17"/>
        <v>13824.403361344543</v>
      </c>
    </row>
    <row r="341" spans="1:19" hidden="1" x14ac:dyDescent="0.3">
      <c r="A341">
        <v>100</v>
      </c>
      <c r="B341" t="s">
        <v>16</v>
      </c>
      <c r="C341" t="s">
        <v>908</v>
      </c>
      <c r="D341" s="2" t="s">
        <v>909</v>
      </c>
      <c r="E341" t="s">
        <v>910</v>
      </c>
      <c r="F341" t="s">
        <v>20</v>
      </c>
      <c r="G341" t="s">
        <v>21</v>
      </c>
      <c r="H341" t="s">
        <v>911</v>
      </c>
      <c r="I341" t="s">
        <v>23</v>
      </c>
      <c r="J341" t="s">
        <v>95</v>
      </c>
      <c r="K341" s="2" t="s">
        <v>902</v>
      </c>
      <c r="L341" t="s">
        <v>26</v>
      </c>
      <c r="M341">
        <v>350505</v>
      </c>
      <c r="N341">
        <v>1</v>
      </c>
      <c r="O341" s="3">
        <v>34990</v>
      </c>
      <c r="P341" s="3">
        <v>26435</v>
      </c>
      <c r="Q341" s="5">
        <f t="shared" si="15"/>
        <v>29403.361344537818</v>
      </c>
      <c r="R341" s="5">
        <f t="shared" si="16"/>
        <v>26435</v>
      </c>
      <c r="S341" s="5">
        <f t="shared" si="17"/>
        <v>2968.3613445378178</v>
      </c>
    </row>
    <row r="342" spans="1:19" hidden="1" x14ac:dyDescent="0.3">
      <c r="A342">
        <v>100</v>
      </c>
      <c r="B342" t="s">
        <v>16</v>
      </c>
      <c r="C342" t="s">
        <v>912</v>
      </c>
      <c r="D342" s="2" t="s">
        <v>913</v>
      </c>
      <c r="E342" t="s">
        <v>60</v>
      </c>
      <c r="F342" t="s">
        <v>20</v>
      </c>
      <c r="G342" t="s">
        <v>21</v>
      </c>
      <c r="H342" t="s">
        <v>61</v>
      </c>
      <c r="I342" t="s">
        <v>23</v>
      </c>
      <c r="J342" t="s">
        <v>40</v>
      </c>
      <c r="K342" s="2" t="s">
        <v>902</v>
      </c>
      <c r="L342" t="s">
        <v>26</v>
      </c>
      <c r="M342">
        <v>350506</v>
      </c>
      <c r="N342">
        <v>1</v>
      </c>
      <c r="O342" s="3">
        <v>39990</v>
      </c>
      <c r="P342" s="3">
        <v>21284</v>
      </c>
      <c r="Q342" s="5">
        <f t="shared" si="15"/>
        <v>33605.042016806721</v>
      </c>
      <c r="R342" s="5">
        <f t="shared" si="16"/>
        <v>21284</v>
      </c>
      <c r="S342" s="5">
        <f t="shared" si="17"/>
        <v>12321.042016806721</v>
      </c>
    </row>
    <row r="343" spans="1:19" hidden="1" x14ac:dyDescent="0.3">
      <c r="A343">
        <v>100</v>
      </c>
      <c r="B343" t="s">
        <v>16</v>
      </c>
      <c r="C343" t="s">
        <v>914</v>
      </c>
      <c r="D343" s="2" t="s">
        <v>915</v>
      </c>
      <c r="E343" t="s">
        <v>916</v>
      </c>
      <c r="F343" t="s">
        <v>20</v>
      </c>
      <c r="G343" t="s">
        <v>21</v>
      </c>
      <c r="H343" t="s">
        <v>917</v>
      </c>
      <c r="I343" t="s">
        <v>23</v>
      </c>
      <c r="J343" t="s">
        <v>35</v>
      </c>
      <c r="K343" s="2" t="s">
        <v>902</v>
      </c>
      <c r="L343" t="s">
        <v>26</v>
      </c>
      <c r="M343">
        <v>350507</v>
      </c>
      <c r="N343">
        <v>1</v>
      </c>
      <c r="O343" s="3">
        <v>59990</v>
      </c>
      <c r="P343" s="3">
        <v>33839</v>
      </c>
      <c r="Q343" s="5">
        <f t="shared" si="15"/>
        <v>50411.764705882357</v>
      </c>
      <c r="R343" s="5">
        <f t="shared" si="16"/>
        <v>33839</v>
      </c>
      <c r="S343" s="5">
        <f t="shared" si="17"/>
        <v>16572.764705882357</v>
      </c>
    </row>
    <row r="344" spans="1:19" hidden="1" x14ac:dyDescent="0.3">
      <c r="A344">
        <v>100</v>
      </c>
      <c r="B344" t="s">
        <v>16</v>
      </c>
      <c r="C344" t="s">
        <v>918</v>
      </c>
      <c r="D344" s="2" t="s">
        <v>919</v>
      </c>
      <c r="E344" t="s">
        <v>432</v>
      </c>
      <c r="F344" t="s">
        <v>20</v>
      </c>
      <c r="G344" t="s">
        <v>21</v>
      </c>
      <c r="H344" t="s">
        <v>433</v>
      </c>
      <c r="I344" t="s">
        <v>23</v>
      </c>
      <c r="J344" t="s">
        <v>407</v>
      </c>
      <c r="K344" s="2" t="s">
        <v>902</v>
      </c>
      <c r="L344" t="s">
        <v>26</v>
      </c>
      <c r="M344">
        <v>350508</v>
      </c>
      <c r="N344">
        <v>1</v>
      </c>
      <c r="O344" s="3">
        <v>44990</v>
      </c>
      <c r="P344" s="3">
        <v>25000</v>
      </c>
      <c r="Q344" s="5">
        <f t="shared" si="15"/>
        <v>37806.722689075636</v>
      </c>
      <c r="R344" s="5">
        <f t="shared" si="16"/>
        <v>25000</v>
      </c>
      <c r="S344" s="5">
        <f t="shared" si="17"/>
        <v>12806.722689075636</v>
      </c>
    </row>
    <row r="345" spans="1:19" hidden="1" x14ac:dyDescent="0.3">
      <c r="A345">
        <v>100</v>
      </c>
      <c r="B345" t="s">
        <v>16</v>
      </c>
      <c r="C345" t="s">
        <v>920</v>
      </c>
      <c r="D345" s="2" t="s">
        <v>921</v>
      </c>
      <c r="E345" t="s">
        <v>170</v>
      </c>
      <c r="F345" t="s">
        <v>20</v>
      </c>
      <c r="G345" t="s">
        <v>21</v>
      </c>
      <c r="H345" t="s">
        <v>171</v>
      </c>
      <c r="I345" t="s">
        <v>23</v>
      </c>
      <c r="J345" t="s">
        <v>40</v>
      </c>
      <c r="K345" s="2" t="s">
        <v>902</v>
      </c>
      <c r="L345" t="s">
        <v>26</v>
      </c>
      <c r="M345">
        <v>350509</v>
      </c>
      <c r="N345">
        <v>1</v>
      </c>
      <c r="O345" s="3">
        <v>39990</v>
      </c>
      <c r="P345" s="3">
        <v>23083</v>
      </c>
      <c r="Q345" s="5">
        <f t="shared" si="15"/>
        <v>33605.042016806721</v>
      </c>
      <c r="R345" s="5">
        <f t="shared" si="16"/>
        <v>23083</v>
      </c>
      <c r="S345" s="5">
        <f t="shared" si="17"/>
        <v>10522.042016806721</v>
      </c>
    </row>
    <row r="346" spans="1:19" hidden="1" x14ac:dyDescent="0.3">
      <c r="A346">
        <v>100</v>
      </c>
      <c r="B346" t="s">
        <v>16</v>
      </c>
      <c r="C346" t="s">
        <v>45</v>
      </c>
      <c r="D346" s="2" t="s">
        <v>46</v>
      </c>
      <c r="E346" t="s">
        <v>47</v>
      </c>
      <c r="F346" t="s">
        <v>20</v>
      </c>
      <c r="G346" t="s">
        <v>21</v>
      </c>
      <c r="H346" t="s">
        <v>48</v>
      </c>
      <c r="I346" t="s">
        <v>23</v>
      </c>
      <c r="J346" t="s">
        <v>49</v>
      </c>
      <c r="K346" s="2" t="s">
        <v>902</v>
      </c>
      <c r="L346" t="s">
        <v>26</v>
      </c>
      <c r="M346">
        <v>350510</v>
      </c>
      <c r="N346">
        <v>1</v>
      </c>
      <c r="O346" s="3">
        <v>39990</v>
      </c>
      <c r="P346" s="3">
        <v>24260</v>
      </c>
      <c r="Q346" s="5">
        <f t="shared" si="15"/>
        <v>33605.042016806721</v>
      </c>
      <c r="R346" s="5">
        <f t="shared" si="16"/>
        <v>24260</v>
      </c>
      <c r="S346" s="5">
        <f t="shared" si="17"/>
        <v>9345.0420168067212</v>
      </c>
    </row>
    <row r="347" spans="1:19" hidden="1" x14ac:dyDescent="0.3">
      <c r="A347">
        <v>100</v>
      </c>
      <c r="B347" t="s">
        <v>16</v>
      </c>
      <c r="C347" t="s">
        <v>922</v>
      </c>
      <c r="D347" s="2" t="s">
        <v>923</v>
      </c>
      <c r="E347" t="s">
        <v>924</v>
      </c>
      <c r="F347" t="s">
        <v>20</v>
      </c>
      <c r="G347" t="s">
        <v>21</v>
      </c>
      <c r="H347" t="s">
        <v>30</v>
      </c>
      <c r="I347" t="s">
        <v>23</v>
      </c>
      <c r="J347" t="s">
        <v>35</v>
      </c>
      <c r="K347" s="2" t="s">
        <v>902</v>
      </c>
      <c r="L347" t="s">
        <v>26</v>
      </c>
      <c r="M347">
        <v>350511</v>
      </c>
      <c r="N347">
        <v>1</v>
      </c>
      <c r="O347" s="3">
        <v>79950</v>
      </c>
      <c r="P347" s="3">
        <v>29988</v>
      </c>
      <c r="Q347" s="5">
        <f t="shared" si="15"/>
        <v>67184.873949579836</v>
      </c>
      <c r="R347" s="5">
        <f t="shared" si="16"/>
        <v>29988</v>
      </c>
      <c r="S347" s="5">
        <f t="shared" si="17"/>
        <v>37196.873949579836</v>
      </c>
    </row>
    <row r="348" spans="1:19" hidden="1" x14ac:dyDescent="0.3">
      <c r="A348">
        <v>100</v>
      </c>
      <c r="B348" t="s">
        <v>16</v>
      </c>
      <c r="C348" t="s">
        <v>925</v>
      </c>
      <c r="D348" s="2" t="s">
        <v>926</v>
      </c>
      <c r="E348" t="s">
        <v>927</v>
      </c>
      <c r="F348" t="s">
        <v>20</v>
      </c>
      <c r="G348" t="s">
        <v>21</v>
      </c>
      <c r="H348" t="s">
        <v>738</v>
      </c>
      <c r="I348" t="s">
        <v>23</v>
      </c>
      <c r="J348" t="s">
        <v>49</v>
      </c>
      <c r="K348" s="2" t="s">
        <v>902</v>
      </c>
      <c r="L348" t="s">
        <v>26</v>
      </c>
      <c r="M348">
        <v>350512</v>
      </c>
      <c r="N348">
        <v>1</v>
      </c>
      <c r="O348" s="3">
        <v>39990</v>
      </c>
      <c r="P348" s="3">
        <v>21039</v>
      </c>
      <c r="Q348" s="5">
        <f t="shared" si="15"/>
        <v>33605.042016806721</v>
      </c>
      <c r="R348" s="5">
        <f t="shared" si="16"/>
        <v>21039</v>
      </c>
      <c r="S348" s="5">
        <f t="shared" si="17"/>
        <v>12566.042016806721</v>
      </c>
    </row>
    <row r="349" spans="1:19" hidden="1" x14ac:dyDescent="0.3">
      <c r="A349">
        <v>100</v>
      </c>
      <c r="B349" t="s">
        <v>16</v>
      </c>
      <c r="C349" t="s">
        <v>928</v>
      </c>
      <c r="D349" s="2" t="s">
        <v>929</v>
      </c>
      <c r="E349" t="s">
        <v>930</v>
      </c>
      <c r="F349" t="s">
        <v>20</v>
      </c>
      <c r="G349" t="s">
        <v>21</v>
      </c>
      <c r="H349" t="s">
        <v>331</v>
      </c>
      <c r="I349" t="s">
        <v>23</v>
      </c>
      <c r="J349" t="s">
        <v>49</v>
      </c>
      <c r="K349" s="2" t="s">
        <v>902</v>
      </c>
      <c r="L349" t="s">
        <v>26</v>
      </c>
      <c r="M349">
        <v>350513</v>
      </c>
      <c r="N349">
        <v>1</v>
      </c>
      <c r="O349" s="3">
        <v>39990</v>
      </c>
      <c r="P349" s="3">
        <v>24530</v>
      </c>
      <c r="Q349" s="5">
        <f t="shared" si="15"/>
        <v>33605.042016806721</v>
      </c>
      <c r="R349" s="5">
        <f t="shared" si="16"/>
        <v>24530</v>
      </c>
      <c r="S349" s="5">
        <f t="shared" si="17"/>
        <v>9075.0420168067212</v>
      </c>
    </row>
    <row r="350" spans="1:19" hidden="1" x14ac:dyDescent="0.3">
      <c r="A350">
        <v>100</v>
      </c>
      <c r="B350" t="s">
        <v>16</v>
      </c>
      <c r="C350" t="s">
        <v>931</v>
      </c>
      <c r="D350" s="2" t="s">
        <v>932</v>
      </c>
      <c r="E350" t="s">
        <v>933</v>
      </c>
      <c r="F350" t="s">
        <v>20</v>
      </c>
      <c r="G350" t="s">
        <v>21</v>
      </c>
      <c r="H350" t="s">
        <v>718</v>
      </c>
      <c r="I350" t="s">
        <v>23</v>
      </c>
      <c r="J350" t="s">
        <v>35</v>
      </c>
      <c r="K350" s="2" t="s">
        <v>902</v>
      </c>
      <c r="L350" t="s">
        <v>26</v>
      </c>
      <c r="M350">
        <v>350514</v>
      </c>
      <c r="N350">
        <v>1</v>
      </c>
      <c r="O350" s="3">
        <v>59990</v>
      </c>
      <c r="P350" s="3">
        <v>32017</v>
      </c>
      <c r="Q350" s="5">
        <f t="shared" si="15"/>
        <v>50411.764705882357</v>
      </c>
      <c r="R350" s="5">
        <f t="shared" si="16"/>
        <v>32017</v>
      </c>
      <c r="S350" s="5">
        <f t="shared" si="17"/>
        <v>18394.764705882357</v>
      </c>
    </row>
    <row r="351" spans="1:19" hidden="1" x14ac:dyDescent="0.3">
      <c r="A351">
        <v>100</v>
      </c>
      <c r="B351" t="s">
        <v>16</v>
      </c>
      <c r="C351" t="s">
        <v>934</v>
      </c>
      <c r="D351" s="2" t="s">
        <v>935</v>
      </c>
      <c r="E351" t="s">
        <v>141</v>
      </c>
      <c r="F351" t="s">
        <v>20</v>
      </c>
      <c r="G351" t="s">
        <v>21</v>
      </c>
      <c r="H351" t="s">
        <v>142</v>
      </c>
      <c r="I351" t="s">
        <v>23</v>
      </c>
      <c r="J351" t="s">
        <v>35</v>
      </c>
      <c r="K351" s="2" t="s">
        <v>902</v>
      </c>
      <c r="L351" t="s">
        <v>26</v>
      </c>
      <c r="M351">
        <v>350515</v>
      </c>
      <c r="N351">
        <v>1</v>
      </c>
      <c r="O351" s="3">
        <v>49990</v>
      </c>
      <c r="P351" s="3">
        <v>32389</v>
      </c>
      <c r="Q351" s="5">
        <f t="shared" si="15"/>
        <v>42008.403361344543</v>
      </c>
      <c r="R351" s="5">
        <f t="shared" si="16"/>
        <v>32389</v>
      </c>
      <c r="S351" s="5">
        <f t="shared" si="17"/>
        <v>9619.4033613445426</v>
      </c>
    </row>
    <row r="352" spans="1:19" hidden="1" x14ac:dyDescent="0.3">
      <c r="A352">
        <v>100</v>
      </c>
      <c r="B352" t="s">
        <v>16</v>
      </c>
      <c r="C352" t="s">
        <v>54</v>
      </c>
      <c r="D352" s="2" t="s">
        <v>55</v>
      </c>
      <c r="E352" t="s">
        <v>56</v>
      </c>
      <c r="F352" t="s">
        <v>20</v>
      </c>
      <c r="G352" t="s">
        <v>21</v>
      </c>
      <c r="H352" t="s">
        <v>57</v>
      </c>
      <c r="I352" t="s">
        <v>23</v>
      </c>
      <c r="J352" t="s">
        <v>35</v>
      </c>
      <c r="K352" s="2" t="s">
        <v>902</v>
      </c>
      <c r="L352" t="s">
        <v>26</v>
      </c>
      <c r="M352">
        <v>350516</v>
      </c>
      <c r="N352">
        <v>1</v>
      </c>
      <c r="O352" s="3">
        <v>49990</v>
      </c>
      <c r="P352" s="3">
        <v>33673</v>
      </c>
      <c r="Q352" s="5">
        <f t="shared" si="15"/>
        <v>42008.403361344543</v>
      </c>
      <c r="R352" s="5">
        <f t="shared" si="16"/>
        <v>33673</v>
      </c>
      <c r="S352" s="5">
        <f t="shared" si="17"/>
        <v>8335.4033613445426</v>
      </c>
    </row>
    <row r="353" spans="1:19" hidden="1" x14ac:dyDescent="0.3">
      <c r="A353">
        <v>100</v>
      </c>
      <c r="B353" t="s">
        <v>16</v>
      </c>
      <c r="C353" t="s">
        <v>936</v>
      </c>
      <c r="D353" s="2" t="s">
        <v>937</v>
      </c>
      <c r="E353" t="s">
        <v>938</v>
      </c>
      <c r="F353" t="s">
        <v>20</v>
      </c>
      <c r="G353" t="s">
        <v>21</v>
      </c>
      <c r="H353" t="s">
        <v>317</v>
      </c>
      <c r="I353" t="s">
        <v>23</v>
      </c>
      <c r="J353" t="s">
        <v>35</v>
      </c>
      <c r="K353" s="2" t="s">
        <v>902</v>
      </c>
      <c r="L353" t="s">
        <v>26</v>
      </c>
      <c r="M353">
        <v>350517</v>
      </c>
      <c r="N353">
        <v>1</v>
      </c>
      <c r="O353" s="3">
        <v>69950</v>
      </c>
      <c r="P353" s="3">
        <v>25640</v>
      </c>
      <c r="Q353" s="5">
        <f t="shared" si="15"/>
        <v>58781.512605042022</v>
      </c>
      <c r="R353" s="5">
        <f t="shared" si="16"/>
        <v>25640</v>
      </c>
      <c r="S353" s="5">
        <f t="shared" si="17"/>
        <v>33141.512605042022</v>
      </c>
    </row>
    <row r="354" spans="1:19" hidden="1" x14ac:dyDescent="0.3">
      <c r="A354">
        <v>100</v>
      </c>
      <c r="B354" t="s">
        <v>16</v>
      </c>
      <c r="C354" t="s">
        <v>939</v>
      </c>
      <c r="D354" s="2" t="s">
        <v>940</v>
      </c>
      <c r="E354" t="s">
        <v>933</v>
      </c>
      <c r="F354" t="s">
        <v>20</v>
      </c>
      <c r="G354" t="s">
        <v>21</v>
      </c>
      <c r="H354" t="s">
        <v>718</v>
      </c>
      <c r="I354" t="s">
        <v>23</v>
      </c>
      <c r="J354" t="s">
        <v>35</v>
      </c>
      <c r="K354" s="2" t="s">
        <v>902</v>
      </c>
      <c r="L354" t="s">
        <v>26</v>
      </c>
      <c r="M354">
        <v>350518</v>
      </c>
      <c r="N354">
        <v>1</v>
      </c>
      <c r="O354" s="3">
        <v>59990</v>
      </c>
      <c r="P354" s="3">
        <v>32034</v>
      </c>
      <c r="Q354" s="5">
        <f t="shared" si="15"/>
        <v>50411.764705882357</v>
      </c>
      <c r="R354" s="5">
        <f t="shared" si="16"/>
        <v>32034</v>
      </c>
      <c r="S354" s="5">
        <f t="shared" si="17"/>
        <v>18377.764705882357</v>
      </c>
    </row>
    <row r="355" spans="1:19" hidden="1" x14ac:dyDescent="0.3">
      <c r="A355">
        <v>100</v>
      </c>
      <c r="B355" t="s">
        <v>16</v>
      </c>
      <c r="C355" t="s">
        <v>941</v>
      </c>
      <c r="D355" s="2" t="s">
        <v>942</v>
      </c>
      <c r="E355" t="s">
        <v>235</v>
      </c>
      <c r="F355" t="s">
        <v>20</v>
      </c>
      <c r="G355" t="s">
        <v>21</v>
      </c>
      <c r="H355" t="s">
        <v>236</v>
      </c>
      <c r="I355" t="s">
        <v>23</v>
      </c>
      <c r="J355" t="s">
        <v>40</v>
      </c>
      <c r="K355" s="2" t="s">
        <v>902</v>
      </c>
      <c r="L355" t="s">
        <v>26</v>
      </c>
      <c r="M355">
        <v>350519</v>
      </c>
      <c r="N355">
        <v>1</v>
      </c>
      <c r="O355" s="3">
        <v>34990</v>
      </c>
      <c r="P355" s="3">
        <v>27750</v>
      </c>
      <c r="Q355" s="5">
        <f t="shared" si="15"/>
        <v>29403.361344537818</v>
      </c>
      <c r="R355" s="5">
        <f t="shared" si="16"/>
        <v>27750</v>
      </c>
      <c r="S355" s="5">
        <f t="shared" si="17"/>
        <v>1653.3613445378178</v>
      </c>
    </row>
    <row r="356" spans="1:19" hidden="1" x14ac:dyDescent="0.3">
      <c r="A356">
        <v>100</v>
      </c>
      <c r="B356" t="s">
        <v>16</v>
      </c>
      <c r="C356" t="s">
        <v>943</v>
      </c>
      <c r="D356" s="2" t="s">
        <v>944</v>
      </c>
      <c r="E356" t="s">
        <v>159</v>
      </c>
      <c r="F356" t="s">
        <v>20</v>
      </c>
      <c r="G356" t="s">
        <v>21</v>
      </c>
      <c r="H356" t="s">
        <v>160</v>
      </c>
      <c r="I356" t="s">
        <v>23</v>
      </c>
      <c r="J356" t="s">
        <v>35</v>
      </c>
      <c r="K356" s="2" t="s">
        <v>902</v>
      </c>
      <c r="L356" t="s">
        <v>26</v>
      </c>
      <c r="M356">
        <v>350520</v>
      </c>
      <c r="N356">
        <v>1</v>
      </c>
      <c r="O356" s="3">
        <v>59990</v>
      </c>
      <c r="P356" s="3">
        <v>32316</v>
      </c>
      <c r="Q356" s="5">
        <f t="shared" si="15"/>
        <v>50411.764705882357</v>
      </c>
      <c r="R356" s="5">
        <f t="shared" si="16"/>
        <v>32316</v>
      </c>
      <c r="S356" s="5">
        <f t="shared" si="17"/>
        <v>18095.764705882357</v>
      </c>
    </row>
    <row r="357" spans="1:19" hidden="1" x14ac:dyDescent="0.3">
      <c r="A357">
        <v>100</v>
      </c>
      <c r="B357" t="s">
        <v>16</v>
      </c>
      <c r="C357">
        <v>1687976791</v>
      </c>
      <c r="D357" s="2" t="s">
        <v>200</v>
      </c>
      <c r="E357" t="s">
        <v>201</v>
      </c>
      <c r="F357" t="s">
        <v>201</v>
      </c>
      <c r="G357" t="s">
        <v>202</v>
      </c>
      <c r="H357" t="s">
        <v>202</v>
      </c>
      <c r="I357" t="s">
        <v>23</v>
      </c>
      <c r="J357" t="s">
        <v>202</v>
      </c>
      <c r="K357" s="2" t="s">
        <v>902</v>
      </c>
      <c r="L357" t="s">
        <v>26</v>
      </c>
      <c r="M357">
        <v>350521</v>
      </c>
      <c r="N357">
        <v>1</v>
      </c>
      <c r="O357" s="3">
        <v>3200</v>
      </c>
      <c r="P357">
        <v>1</v>
      </c>
      <c r="Q357" s="5">
        <f t="shared" si="15"/>
        <v>2689.0756302521008</v>
      </c>
      <c r="R357" s="5">
        <f t="shared" si="16"/>
        <v>1</v>
      </c>
      <c r="S357" s="5">
        <f t="shared" si="17"/>
        <v>2688.0756302521008</v>
      </c>
    </row>
    <row r="358" spans="1:19" hidden="1" x14ac:dyDescent="0.3">
      <c r="A358">
        <v>100</v>
      </c>
      <c r="B358" t="s">
        <v>16</v>
      </c>
      <c r="C358" t="s">
        <v>945</v>
      </c>
      <c r="D358" s="2" t="s">
        <v>946</v>
      </c>
      <c r="E358" t="s">
        <v>947</v>
      </c>
      <c r="F358" t="s">
        <v>20</v>
      </c>
      <c r="G358" t="s">
        <v>215</v>
      </c>
      <c r="H358" t="s">
        <v>948</v>
      </c>
      <c r="I358" t="s">
        <v>23</v>
      </c>
      <c r="J358" t="s">
        <v>95</v>
      </c>
      <c r="K358" s="2" t="s">
        <v>902</v>
      </c>
      <c r="L358" t="s">
        <v>26</v>
      </c>
      <c r="M358">
        <v>350521</v>
      </c>
      <c r="N358">
        <v>1</v>
      </c>
      <c r="O358" s="3">
        <v>39990</v>
      </c>
      <c r="P358" s="3">
        <v>24046</v>
      </c>
      <c r="Q358" s="5">
        <f t="shared" si="15"/>
        <v>33605.042016806721</v>
      </c>
      <c r="R358" s="5">
        <f t="shared" si="16"/>
        <v>24046</v>
      </c>
      <c r="S358" s="5">
        <f t="shared" si="17"/>
        <v>9559.0420168067212</v>
      </c>
    </row>
    <row r="359" spans="1:19" hidden="1" x14ac:dyDescent="0.3">
      <c r="A359">
        <v>100</v>
      </c>
      <c r="B359" t="s">
        <v>16</v>
      </c>
      <c r="C359" t="s">
        <v>386</v>
      </c>
      <c r="D359" s="2" t="s">
        <v>387</v>
      </c>
      <c r="E359" t="s">
        <v>388</v>
      </c>
      <c r="F359" t="s">
        <v>20</v>
      </c>
      <c r="G359" t="s">
        <v>21</v>
      </c>
      <c r="H359" t="s">
        <v>171</v>
      </c>
      <c r="I359" t="s">
        <v>23</v>
      </c>
      <c r="J359" t="s">
        <v>40</v>
      </c>
      <c r="K359" s="2" t="s">
        <v>902</v>
      </c>
      <c r="L359" t="s">
        <v>26</v>
      </c>
      <c r="M359">
        <v>350522</v>
      </c>
      <c r="N359">
        <v>1</v>
      </c>
      <c r="O359" s="3">
        <v>39990</v>
      </c>
      <c r="P359" s="3">
        <v>29970</v>
      </c>
      <c r="Q359" s="5">
        <f t="shared" si="15"/>
        <v>33605.042016806721</v>
      </c>
      <c r="R359" s="5">
        <f t="shared" si="16"/>
        <v>29970</v>
      </c>
      <c r="S359" s="5">
        <f t="shared" si="17"/>
        <v>3635.0420168067212</v>
      </c>
    </row>
    <row r="360" spans="1:19" hidden="1" x14ac:dyDescent="0.3">
      <c r="A360">
        <v>100</v>
      </c>
      <c r="B360" t="s">
        <v>16</v>
      </c>
      <c r="C360" t="s">
        <v>54</v>
      </c>
      <c r="D360" s="2" t="s">
        <v>55</v>
      </c>
      <c r="E360" t="s">
        <v>56</v>
      </c>
      <c r="F360" t="s">
        <v>20</v>
      </c>
      <c r="G360" t="s">
        <v>21</v>
      </c>
      <c r="H360" t="s">
        <v>57</v>
      </c>
      <c r="I360" t="s">
        <v>23</v>
      </c>
      <c r="J360" t="s">
        <v>35</v>
      </c>
      <c r="K360" s="2" t="s">
        <v>902</v>
      </c>
      <c r="L360" t="s">
        <v>26</v>
      </c>
      <c r="M360">
        <v>350522</v>
      </c>
      <c r="N360">
        <v>1</v>
      </c>
      <c r="O360" s="3">
        <v>49990</v>
      </c>
      <c r="P360" s="3">
        <v>33673</v>
      </c>
      <c r="Q360" s="5">
        <f t="shared" si="15"/>
        <v>42008.403361344543</v>
      </c>
      <c r="R360" s="5">
        <f t="shared" si="16"/>
        <v>33673</v>
      </c>
      <c r="S360" s="5">
        <f t="shared" si="17"/>
        <v>8335.4033613445426</v>
      </c>
    </row>
    <row r="361" spans="1:19" hidden="1" x14ac:dyDescent="0.3">
      <c r="A361">
        <v>100</v>
      </c>
      <c r="B361" t="s">
        <v>16</v>
      </c>
      <c r="C361" t="s">
        <v>949</v>
      </c>
      <c r="D361" s="2" t="s">
        <v>950</v>
      </c>
      <c r="E361" t="s">
        <v>951</v>
      </c>
      <c r="F361" t="s">
        <v>20</v>
      </c>
      <c r="G361" t="s">
        <v>21</v>
      </c>
      <c r="H361" t="s">
        <v>79</v>
      </c>
      <c r="I361" t="s">
        <v>23</v>
      </c>
      <c r="J361" t="s">
        <v>31</v>
      </c>
      <c r="K361" s="2" t="s">
        <v>902</v>
      </c>
      <c r="L361" t="s">
        <v>26</v>
      </c>
      <c r="M361">
        <v>350523</v>
      </c>
      <c r="N361">
        <v>1</v>
      </c>
      <c r="O361" s="3">
        <v>84990</v>
      </c>
      <c r="P361" s="3">
        <v>40725</v>
      </c>
      <c r="Q361" s="5">
        <f t="shared" si="15"/>
        <v>71420.168067226899</v>
      </c>
      <c r="R361" s="5">
        <f t="shared" si="16"/>
        <v>40725</v>
      </c>
      <c r="S361" s="5">
        <f t="shared" si="17"/>
        <v>30695.168067226899</v>
      </c>
    </row>
    <row r="362" spans="1:19" hidden="1" x14ac:dyDescent="0.3">
      <c r="A362">
        <v>100</v>
      </c>
      <c r="B362" t="s">
        <v>16</v>
      </c>
      <c r="C362" t="s">
        <v>952</v>
      </c>
      <c r="D362" s="2" t="s">
        <v>953</v>
      </c>
      <c r="E362" t="s">
        <v>954</v>
      </c>
      <c r="F362" t="s">
        <v>20</v>
      </c>
      <c r="G362" t="s">
        <v>21</v>
      </c>
      <c r="H362" t="s">
        <v>557</v>
      </c>
      <c r="I362" t="s">
        <v>23</v>
      </c>
      <c r="J362" t="s">
        <v>40</v>
      </c>
      <c r="K362" s="2" t="s">
        <v>902</v>
      </c>
      <c r="L362" t="s">
        <v>26</v>
      </c>
      <c r="M362">
        <v>350524</v>
      </c>
      <c r="N362">
        <v>1</v>
      </c>
      <c r="O362" s="3">
        <v>79950</v>
      </c>
      <c r="P362" s="3">
        <v>26779</v>
      </c>
      <c r="Q362" s="5">
        <f t="shared" si="15"/>
        <v>67184.873949579836</v>
      </c>
      <c r="R362" s="5">
        <f t="shared" si="16"/>
        <v>26779</v>
      </c>
      <c r="S362" s="5">
        <f t="shared" si="17"/>
        <v>40405.873949579836</v>
      </c>
    </row>
    <row r="363" spans="1:19" hidden="1" x14ac:dyDescent="0.3">
      <c r="A363">
        <v>100</v>
      </c>
      <c r="B363" t="s">
        <v>16</v>
      </c>
      <c r="C363">
        <v>1687976791</v>
      </c>
      <c r="D363" s="2" t="s">
        <v>200</v>
      </c>
      <c r="E363" t="s">
        <v>201</v>
      </c>
      <c r="F363" t="s">
        <v>201</v>
      </c>
      <c r="G363" t="s">
        <v>202</v>
      </c>
      <c r="H363" t="s">
        <v>202</v>
      </c>
      <c r="I363" t="s">
        <v>23</v>
      </c>
      <c r="J363" t="s">
        <v>202</v>
      </c>
      <c r="K363" s="2" t="s">
        <v>902</v>
      </c>
      <c r="L363" t="s">
        <v>26</v>
      </c>
      <c r="M363">
        <v>350525</v>
      </c>
      <c r="N363">
        <v>1</v>
      </c>
      <c r="O363" s="3">
        <v>3200</v>
      </c>
      <c r="P363">
        <v>1</v>
      </c>
      <c r="Q363" s="5">
        <f t="shared" si="15"/>
        <v>2689.0756302521008</v>
      </c>
      <c r="R363" s="5">
        <f t="shared" si="16"/>
        <v>1</v>
      </c>
      <c r="S363" s="5">
        <f t="shared" si="17"/>
        <v>2688.0756302521008</v>
      </c>
    </row>
    <row r="364" spans="1:19" hidden="1" x14ac:dyDescent="0.3">
      <c r="A364">
        <v>100</v>
      </c>
      <c r="B364" t="s">
        <v>16</v>
      </c>
      <c r="C364" t="s">
        <v>955</v>
      </c>
      <c r="D364" s="2" t="s">
        <v>956</v>
      </c>
      <c r="E364" t="s">
        <v>957</v>
      </c>
      <c r="F364" t="s">
        <v>20</v>
      </c>
      <c r="G364" t="s">
        <v>21</v>
      </c>
      <c r="H364" t="s">
        <v>958</v>
      </c>
      <c r="I364" t="s">
        <v>23</v>
      </c>
      <c r="J364" t="s">
        <v>40</v>
      </c>
      <c r="K364" s="2" t="s">
        <v>902</v>
      </c>
      <c r="L364" t="s">
        <v>26</v>
      </c>
      <c r="M364">
        <v>350525</v>
      </c>
      <c r="N364">
        <v>1</v>
      </c>
      <c r="O364" s="3">
        <v>34990</v>
      </c>
      <c r="P364" s="3">
        <v>15744</v>
      </c>
      <c r="Q364" s="5">
        <f t="shared" si="15"/>
        <v>29403.361344537818</v>
      </c>
      <c r="R364" s="5">
        <f t="shared" si="16"/>
        <v>15744</v>
      </c>
      <c r="S364" s="5">
        <f t="shared" si="17"/>
        <v>13659.361344537818</v>
      </c>
    </row>
    <row r="365" spans="1:19" hidden="1" x14ac:dyDescent="0.3">
      <c r="A365">
        <v>100</v>
      </c>
      <c r="B365" t="s">
        <v>16</v>
      </c>
      <c r="C365" t="s">
        <v>959</v>
      </c>
      <c r="D365" s="2" t="s">
        <v>960</v>
      </c>
      <c r="E365" t="s">
        <v>961</v>
      </c>
      <c r="F365" t="s">
        <v>20</v>
      </c>
      <c r="G365" t="s">
        <v>21</v>
      </c>
      <c r="H365" t="s">
        <v>962</v>
      </c>
      <c r="I365" t="s">
        <v>23</v>
      </c>
      <c r="J365" t="s">
        <v>40</v>
      </c>
      <c r="K365" s="2" t="s">
        <v>902</v>
      </c>
      <c r="L365" t="s">
        <v>26</v>
      </c>
      <c r="M365">
        <v>350526</v>
      </c>
      <c r="N365">
        <v>1</v>
      </c>
      <c r="O365" s="3">
        <v>29990</v>
      </c>
      <c r="P365" s="3">
        <v>22250</v>
      </c>
      <c r="Q365" s="5">
        <f t="shared" si="15"/>
        <v>25201.680672268907</v>
      </c>
      <c r="R365" s="5">
        <f t="shared" si="16"/>
        <v>22250</v>
      </c>
      <c r="S365" s="5">
        <f t="shared" si="17"/>
        <v>2951.6806722689071</v>
      </c>
    </row>
    <row r="366" spans="1:19" hidden="1" x14ac:dyDescent="0.3">
      <c r="A366">
        <v>100</v>
      </c>
      <c r="B366" t="s">
        <v>16</v>
      </c>
      <c r="C366" t="s">
        <v>963</v>
      </c>
      <c r="D366" s="2" t="s">
        <v>964</v>
      </c>
      <c r="E366" t="s">
        <v>965</v>
      </c>
      <c r="F366" t="s">
        <v>20</v>
      </c>
      <c r="G366" t="s">
        <v>21</v>
      </c>
      <c r="H366" t="s">
        <v>966</v>
      </c>
      <c r="I366" t="s">
        <v>23</v>
      </c>
      <c r="J366" t="s">
        <v>40</v>
      </c>
      <c r="K366" s="2" t="s">
        <v>902</v>
      </c>
      <c r="L366" t="s">
        <v>26</v>
      </c>
      <c r="M366">
        <v>350527</v>
      </c>
      <c r="N366">
        <v>1</v>
      </c>
      <c r="O366" s="3">
        <v>44990</v>
      </c>
      <c r="P366" s="3">
        <v>23549</v>
      </c>
      <c r="Q366" s="5">
        <f t="shared" si="15"/>
        <v>37806.722689075636</v>
      </c>
      <c r="R366" s="5">
        <f t="shared" si="16"/>
        <v>23549</v>
      </c>
      <c r="S366" s="5">
        <f t="shared" si="17"/>
        <v>14257.722689075636</v>
      </c>
    </row>
    <row r="367" spans="1:19" hidden="1" x14ac:dyDescent="0.3">
      <c r="A367">
        <v>100</v>
      </c>
      <c r="B367" t="s">
        <v>16</v>
      </c>
      <c r="C367" t="s">
        <v>967</v>
      </c>
      <c r="D367" s="2" t="s">
        <v>968</v>
      </c>
      <c r="E367" t="s">
        <v>969</v>
      </c>
      <c r="F367" t="s">
        <v>20</v>
      </c>
      <c r="G367" t="s">
        <v>21</v>
      </c>
      <c r="H367" t="s">
        <v>970</v>
      </c>
      <c r="I367" t="s">
        <v>23</v>
      </c>
      <c r="J367" t="s">
        <v>40</v>
      </c>
      <c r="K367" s="2" t="s">
        <v>902</v>
      </c>
      <c r="L367" t="s">
        <v>26</v>
      </c>
      <c r="M367">
        <v>350528</v>
      </c>
      <c r="N367">
        <v>1</v>
      </c>
      <c r="O367" s="3">
        <v>34990</v>
      </c>
      <c r="P367" s="3">
        <v>17498</v>
      </c>
      <c r="Q367" s="5">
        <f t="shared" si="15"/>
        <v>29403.361344537818</v>
      </c>
      <c r="R367" s="5">
        <f t="shared" si="16"/>
        <v>17498</v>
      </c>
      <c r="S367" s="5">
        <f t="shared" si="17"/>
        <v>11905.361344537818</v>
      </c>
    </row>
    <row r="368" spans="1:19" hidden="1" x14ac:dyDescent="0.3">
      <c r="A368">
        <v>100</v>
      </c>
      <c r="B368" t="s">
        <v>16</v>
      </c>
      <c r="C368" t="s">
        <v>971</v>
      </c>
      <c r="D368" s="2" t="s">
        <v>972</v>
      </c>
      <c r="E368" t="s">
        <v>857</v>
      </c>
      <c r="F368" t="s">
        <v>20</v>
      </c>
      <c r="G368" t="s">
        <v>21</v>
      </c>
      <c r="H368" t="s">
        <v>224</v>
      </c>
      <c r="I368" t="s">
        <v>23</v>
      </c>
      <c r="J368" t="s">
        <v>49</v>
      </c>
      <c r="K368" s="2" t="s">
        <v>902</v>
      </c>
      <c r="L368" t="s">
        <v>26</v>
      </c>
      <c r="M368">
        <v>350529</v>
      </c>
      <c r="N368">
        <v>1</v>
      </c>
      <c r="O368" s="3">
        <v>51990</v>
      </c>
      <c r="P368" s="3">
        <v>32200</v>
      </c>
      <c r="Q368" s="5">
        <f t="shared" si="15"/>
        <v>43689.075630252104</v>
      </c>
      <c r="R368" s="5">
        <f t="shared" si="16"/>
        <v>32200</v>
      </c>
      <c r="S368" s="5">
        <f t="shared" si="17"/>
        <v>11489.075630252104</v>
      </c>
    </row>
    <row r="369" spans="1:19" hidden="1" x14ac:dyDescent="0.3">
      <c r="A369">
        <v>100</v>
      </c>
      <c r="B369" t="s">
        <v>16</v>
      </c>
      <c r="C369" t="s">
        <v>973</v>
      </c>
      <c r="D369" s="2" t="s">
        <v>974</v>
      </c>
      <c r="E369" t="s">
        <v>975</v>
      </c>
      <c r="F369" t="s">
        <v>20</v>
      </c>
      <c r="G369" t="s">
        <v>338</v>
      </c>
      <c r="H369">
        <v>28204</v>
      </c>
      <c r="I369" t="s">
        <v>23</v>
      </c>
      <c r="J369" t="s">
        <v>207</v>
      </c>
      <c r="K369" s="2" t="s">
        <v>902</v>
      </c>
      <c r="L369" t="s">
        <v>26</v>
      </c>
      <c r="M369">
        <v>350530</v>
      </c>
      <c r="N369">
        <v>1</v>
      </c>
      <c r="O369" s="3">
        <v>44990</v>
      </c>
      <c r="P369" s="3">
        <v>20434</v>
      </c>
      <c r="Q369" s="5">
        <f t="shared" si="15"/>
        <v>37806.722689075636</v>
      </c>
      <c r="R369" s="5">
        <f t="shared" si="16"/>
        <v>20434</v>
      </c>
      <c r="S369" s="5">
        <f t="shared" si="17"/>
        <v>17372.722689075636</v>
      </c>
    </row>
    <row r="370" spans="1:19" hidden="1" x14ac:dyDescent="0.3">
      <c r="A370">
        <v>100</v>
      </c>
      <c r="B370" t="s">
        <v>16</v>
      </c>
      <c r="C370" t="s">
        <v>920</v>
      </c>
      <c r="D370" s="2" t="s">
        <v>921</v>
      </c>
      <c r="E370" t="s">
        <v>170</v>
      </c>
      <c r="F370" t="s">
        <v>20</v>
      </c>
      <c r="G370" t="s">
        <v>21</v>
      </c>
      <c r="H370" t="s">
        <v>171</v>
      </c>
      <c r="I370" t="s">
        <v>23</v>
      </c>
      <c r="J370" t="s">
        <v>40</v>
      </c>
      <c r="K370" s="2" t="s">
        <v>902</v>
      </c>
      <c r="L370" t="s">
        <v>26</v>
      </c>
      <c r="M370">
        <v>350531</v>
      </c>
      <c r="N370">
        <v>1</v>
      </c>
      <c r="O370" s="3">
        <v>39990</v>
      </c>
      <c r="P370" s="3">
        <v>23083</v>
      </c>
      <c r="Q370" s="5">
        <f t="shared" si="15"/>
        <v>33605.042016806721</v>
      </c>
      <c r="R370" s="5">
        <f t="shared" si="16"/>
        <v>23083</v>
      </c>
      <c r="S370" s="5">
        <f t="shared" si="17"/>
        <v>10522.042016806721</v>
      </c>
    </row>
    <row r="371" spans="1:19" hidden="1" x14ac:dyDescent="0.3">
      <c r="A371">
        <v>100</v>
      </c>
      <c r="B371" t="s">
        <v>16</v>
      </c>
      <c r="C371" t="s">
        <v>976</v>
      </c>
      <c r="D371" s="2" t="s">
        <v>977</v>
      </c>
      <c r="E371" t="s">
        <v>978</v>
      </c>
      <c r="F371" t="s">
        <v>20</v>
      </c>
      <c r="G371" t="s">
        <v>21</v>
      </c>
      <c r="H371" t="s">
        <v>596</v>
      </c>
      <c r="I371" t="s">
        <v>23</v>
      </c>
      <c r="J371" t="s">
        <v>207</v>
      </c>
      <c r="K371" s="2" t="s">
        <v>902</v>
      </c>
      <c r="L371" t="s">
        <v>26</v>
      </c>
      <c r="M371">
        <v>350532</v>
      </c>
      <c r="N371">
        <v>1</v>
      </c>
      <c r="O371" s="3">
        <v>39990</v>
      </c>
      <c r="P371" s="3">
        <v>25438</v>
      </c>
      <c r="Q371" s="5">
        <f t="shared" si="15"/>
        <v>33605.042016806721</v>
      </c>
      <c r="R371" s="5">
        <f t="shared" si="16"/>
        <v>25438</v>
      </c>
      <c r="S371" s="5">
        <f t="shared" si="17"/>
        <v>8167.0420168067212</v>
      </c>
    </row>
    <row r="372" spans="1:19" hidden="1" x14ac:dyDescent="0.3">
      <c r="A372">
        <v>100</v>
      </c>
      <c r="B372" t="s">
        <v>16</v>
      </c>
      <c r="C372" t="s">
        <v>979</v>
      </c>
      <c r="D372" s="2" t="s">
        <v>980</v>
      </c>
      <c r="E372" t="s">
        <v>981</v>
      </c>
      <c r="F372" t="s">
        <v>20</v>
      </c>
      <c r="G372" t="s">
        <v>21</v>
      </c>
      <c r="H372" t="s">
        <v>982</v>
      </c>
      <c r="I372" t="s">
        <v>23</v>
      </c>
      <c r="J372" t="s">
        <v>40</v>
      </c>
      <c r="K372" s="2" t="s">
        <v>902</v>
      </c>
      <c r="L372" t="s">
        <v>26</v>
      </c>
      <c r="M372">
        <v>350533</v>
      </c>
      <c r="N372">
        <v>1</v>
      </c>
      <c r="O372" s="3">
        <v>25990</v>
      </c>
      <c r="P372" s="3">
        <v>18227</v>
      </c>
      <c r="Q372" s="5">
        <f t="shared" si="15"/>
        <v>21840.336134453781</v>
      </c>
      <c r="R372" s="5">
        <f t="shared" si="16"/>
        <v>18227</v>
      </c>
      <c r="S372" s="5">
        <f t="shared" si="17"/>
        <v>3613.3361344537807</v>
      </c>
    </row>
    <row r="373" spans="1:19" hidden="1" x14ac:dyDescent="0.3">
      <c r="A373">
        <v>100</v>
      </c>
      <c r="B373" t="s">
        <v>16</v>
      </c>
      <c r="C373" t="s">
        <v>386</v>
      </c>
      <c r="D373" s="2" t="s">
        <v>387</v>
      </c>
      <c r="E373" t="s">
        <v>388</v>
      </c>
      <c r="F373" t="s">
        <v>20</v>
      </c>
      <c r="G373" t="s">
        <v>21</v>
      </c>
      <c r="H373" t="s">
        <v>171</v>
      </c>
      <c r="I373" t="s">
        <v>23</v>
      </c>
      <c r="J373" t="s">
        <v>40</v>
      </c>
      <c r="K373" s="2" t="s">
        <v>902</v>
      </c>
      <c r="L373" t="s">
        <v>26</v>
      </c>
      <c r="M373">
        <v>350534</v>
      </c>
      <c r="N373">
        <v>1</v>
      </c>
      <c r="O373" s="3">
        <v>34990</v>
      </c>
      <c r="P373" s="3">
        <v>29970</v>
      </c>
      <c r="Q373" s="5">
        <f t="shared" si="15"/>
        <v>29403.361344537818</v>
      </c>
      <c r="R373" s="5">
        <f t="shared" si="16"/>
        <v>29970</v>
      </c>
      <c r="S373" s="5">
        <f t="shared" si="17"/>
        <v>-566.63865546218221</v>
      </c>
    </row>
    <row r="374" spans="1:19" hidden="1" x14ac:dyDescent="0.3">
      <c r="A374">
        <v>100</v>
      </c>
      <c r="B374" t="s">
        <v>16</v>
      </c>
      <c r="C374" t="s">
        <v>276</v>
      </c>
      <c r="D374" s="2" t="s">
        <v>277</v>
      </c>
      <c r="E374" t="s">
        <v>278</v>
      </c>
      <c r="F374" t="s">
        <v>20</v>
      </c>
      <c r="G374" t="s">
        <v>21</v>
      </c>
      <c r="H374" t="s">
        <v>114</v>
      </c>
      <c r="I374" t="s">
        <v>23</v>
      </c>
      <c r="J374" t="s">
        <v>31</v>
      </c>
      <c r="K374" s="2" t="s">
        <v>902</v>
      </c>
      <c r="L374" t="s">
        <v>26</v>
      </c>
      <c r="M374">
        <v>350535</v>
      </c>
      <c r="N374">
        <v>1</v>
      </c>
      <c r="O374" s="3">
        <v>59990</v>
      </c>
      <c r="P374" s="3">
        <v>34857</v>
      </c>
      <c r="Q374" s="5">
        <f t="shared" si="15"/>
        <v>50411.764705882357</v>
      </c>
      <c r="R374" s="5">
        <f t="shared" si="16"/>
        <v>34857</v>
      </c>
      <c r="S374" s="5">
        <f t="shared" si="17"/>
        <v>15554.764705882357</v>
      </c>
    </row>
    <row r="375" spans="1:19" hidden="1" x14ac:dyDescent="0.3">
      <c r="A375">
        <v>100</v>
      </c>
      <c r="B375" t="s">
        <v>16</v>
      </c>
      <c r="C375" t="s">
        <v>983</v>
      </c>
      <c r="D375" s="2" t="s">
        <v>984</v>
      </c>
      <c r="E375" t="s">
        <v>985</v>
      </c>
      <c r="F375" t="s">
        <v>20</v>
      </c>
      <c r="G375" t="s">
        <v>21</v>
      </c>
      <c r="H375" t="s">
        <v>565</v>
      </c>
      <c r="I375" t="s">
        <v>23</v>
      </c>
      <c r="J375" t="s">
        <v>49</v>
      </c>
      <c r="K375" s="2" t="s">
        <v>902</v>
      </c>
      <c r="L375" t="s">
        <v>26</v>
      </c>
      <c r="M375">
        <v>350536</v>
      </c>
      <c r="N375">
        <v>1</v>
      </c>
      <c r="O375" s="3">
        <v>69950</v>
      </c>
      <c r="P375" s="3">
        <v>27883</v>
      </c>
      <c r="Q375" s="5">
        <f t="shared" si="15"/>
        <v>58781.512605042022</v>
      </c>
      <c r="R375" s="5">
        <f t="shared" si="16"/>
        <v>27883</v>
      </c>
      <c r="S375" s="5">
        <f t="shared" si="17"/>
        <v>30898.512605042022</v>
      </c>
    </row>
    <row r="376" spans="1:19" hidden="1" x14ac:dyDescent="0.3">
      <c r="A376">
        <v>100</v>
      </c>
      <c r="B376" t="s">
        <v>16</v>
      </c>
      <c r="C376" t="s">
        <v>986</v>
      </c>
      <c r="D376" s="2" t="s">
        <v>987</v>
      </c>
      <c r="E376" t="s">
        <v>661</v>
      </c>
      <c r="F376" t="s">
        <v>20</v>
      </c>
      <c r="G376" t="s">
        <v>21</v>
      </c>
      <c r="H376" t="s">
        <v>106</v>
      </c>
      <c r="I376" t="s">
        <v>23</v>
      </c>
      <c r="J376" t="s">
        <v>35</v>
      </c>
      <c r="K376" s="2" t="s">
        <v>902</v>
      </c>
      <c r="L376" t="s">
        <v>26</v>
      </c>
      <c r="M376">
        <v>350537</v>
      </c>
      <c r="N376">
        <v>1</v>
      </c>
      <c r="O376" s="3">
        <v>69990</v>
      </c>
      <c r="P376" s="3">
        <v>30916</v>
      </c>
      <c r="Q376" s="5">
        <f t="shared" si="15"/>
        <v>58815.126050420171</v>
      </c>
      <c r="R376" s="5">
        <f t="shared" si="16"/>
        <v>30916</v>
      </c>
      <c r="S376" s="5">
        <f t="shared" si="17"/>
        <v>27899.126050420171</v>
      </c>
    </row>
    <row r="377" spans="1:19" hidden="1" x14ac:dyDescent="0.3">
      <c r="A377">
        <v>100</v>
      </c>
      <c r="B377" t="s">
        <v>16</v>
      </c>
      <c r="C377" t="s">
        <v>988</v>
      </c>
      <c r="D377" s="2" t="s">
        <v>989</v>
      </c>
      <c r="E377" t="s">
        <v>990</v>
      </c>
      <c r="F377" t="s">
        <v>20</v>
      </c>
      <c r="G377" t="s">
        <v>21</v>
      </c>
      <c r="H377" t="s">
        <v>991</v>
      </c>
      <c r="I377" t="s">
        <v>23</v>
      </c>
      <c r="J377" t="s">
        <v>49</v>
      </c>
      <c r="K377" s="2" t="s">
        <v>902</v>
      </c>
      <c r="L377" t="s">
        <v>26</v>
      </c>
      <c r="M377">
        <v>350538</v>
      </c>
      <c r="N377">
        <v>1</v>
      </c>
      <c r="O377" s="3">
        <v>69950</v>
      </c>
      <c r="P377" s="3">
        <v>22162</v>
      </c>
      <c r="Q377" s="5">
        <f t="shared" si="15"/>
        <v>58781.512605042022</v>
      </c>
      <c r="R377" s="5">
        <f t="shared" si="16"/>
        <v>22162</v>
      </c>
      <c r="S377" s="5">
        <f t="shared" si="17"/>
        <v>36619.512605042022</v>
      </c>
    </row>
    <row r="378" spans="1:19" hidden="1" x14ac:dyDescent="0.3">
      <c r="A378">
        <v>100</v>
      </c>
      <c r="B378" t="s">
        <v>16</v>
      </c>
      <c r="C378" t="s">
        <v>992</v>
      </c>
      <c r="D378" s="2" t="s">
        <v>993</v>
      </c>
      <c r="E378" t="s">
        <v>994</v>
      </c>
      <c r="F378" t="s">
        <v>20</v>
      </c>
      <c r="G378" t="s">
        <v>21</v>
      </c>
      <c r="H378" t="s">
        <v>995</v>
      </c>
      <c r="I378" t="s">
        <v>23</v>
      </c>
      <c r="J378" t="s">
        <v>407</v>
      </c>
      <c r="K378" s="2" t="s">
        <v>902</v>
      </c>
      <c r="L378" t="s">
        <v>26</v>
      </c>
      <c r="M378">
        <v>350539</v>
      </c>
      <c r="N378">
        <v>1</v>
      </c>
      <c r="O378" s="3">
        <v>29990</v>
      </c>
      <c r="P378" s="3">
        <v>19896</v>
      </c>
      <c r="Q378" s="5">
        <f t="shared" si="15"/>
        <v>25201.680672268907</v>
      </c>
      <c r="R378" s="5">
        <f t="shared" si="16"/>
        <v>19896</v>
      </c>
      <c r="S378" s="5">
        <f t="shared" si="17"/>
        <v>5305.6806722689071</v>
      </c>
    </row>
    <row r="379" spans="1:19" hidden="1" x14ac:dyDescent="0.3">
      <c r="A379">
        <v>100</v>
      </c>
      <c r="B379" t="s">
        <v>16</v>
      </c>
      <c r="C379" t="s">
        <v>996</v>
      </c>
      <c r="D379" s="2" t="s">
        <v>997</v>
      </c>
      <c r="E379" t="s">
        <v>998</v>
      </c>
      <c r="F379" t="s">
        <v>20</v>
      </c>
      <c r="G379" t="s">
        <v>21</v>
      </c>
      <c r="H379" t="s">
        <v>251</v>
      </c>
      <c r="I379" t="s">
        <v>23</v>
      </c>
      <c r="J379" t="s">
        <v>49</v>
      </c>
      <c r="K379" s="2" t="s">
        <v>999</v>
      </c>
      <c r="L379" t="s">
        <v>26</v>
      </c>
      <c r="M379">
        <v>350540</v>
      </c>
      <c r="N379">
        <v>1</v>
      </c>
      <c r="O379" s="3">
        <v>34990</v>
      </c>
      <c r="P379" s="3">
        <v>26228</v>
      </c>
      <c r="Q379" s="5">
        <f t="shared" si="15"/>
        <v>29403.361344537818</v>
      </c>
      <c r="R379" s="5">
        <f t="shared" si="16"/>
        <v>26228</v>
      </c>
      <c r="S379" s="5">
        <f t="shared" si="17"/>
        <v>3175.3613445378178</v>
      </c>
    </row>
    <row r="380" spans="1:19" hidden="1" x14ac:dyDescent="0.3">
      <c r="A380">
        <v>100</v>
      </c>
      <c r="B380" t="s">
        <v>16</v>
      </c>
      <c r="C380" t="s">
        <v>1000</v>
      </c>
      <c r="D380" s="2" t="s">
        <v>1001</v>
      </c>
      <c r="E380" t="s">
        <v>1002</v>
      </c>
      <c r="F380" t="s">
        <v>20</v>
      </c>
      <c r="G380" t="s">
        <v>21</v>
      </c>
      <c r="H380" t="s">
        <v>48</v>
      </c>
      <c r="I380" t="s">
        <v>23</v>
      </c>
      <c r="J380" t="s">
        <v>35</v>
      </c>
      <c r="K380" s="2" t="s">
        <v>999</v>
      </c>
      <c r="L380" t="s">
        <v>26</v>
      </c>
      <c r="M380">
        <v>350541</v>
      </c>
      <c r="N380">
        <v>1</v>
      </c>
      <c r="O380" s="3">
        <v>49990</v>
      </c>
      <c r="P380" s="3">
        <v>24798</v>
      </c>
      <c r="Q380" s="5">
        <f t="shared" si="15"/>
        <v>42008.403361344543</v>
      </c>
      <c r="R380" s="5">
        <f t="shared" si="16"/>
        <v>24798</v>
      </c>
      <c r="S380" s="5">
        <f t="shared" si="17"/>
        <v>17210.403361344543</v>
      </c>
    </row>
    <row r="381" spans="1:19" hidden="1" x14ac:dyDescent="0.3">
      <c r="A381">
        <v>100</v>
      </c>
      <c r="B381" t="s">
        <v>16</v>
      </c>
      <c r="C381" t="s">
        <v>992</v>
      </c>
      <c r="D381" s="2" t="s">
        <v>993</v>
      </c>
      <c r="E381" t="s">
        <v>994</v>
      </c>
      <c r="F381" t="s">
        <v>20</v>
      </c>
      <c r="G381" t="s">
        <v>21</v>
      </c>
      <c r="H381" t="s">
        <v>995</v>
      </c>
      <c r="I381" t="s">
        <v>23</v>
      </c>
      <c r="J381" t="s">
        <v>407</v>
      </c>
      <c r="K381" s="2" t="s">
        <v>999</v>
      </c>
      <c r="L381" t="s">
        <v>26</v>
      </c>
      <c r="M381">
        <v>350542</v>
      </c>
      <c r="N381">
        <v>1</v>
      </c>
      <c r="O381" s="3">
        <v>29990</v>
      </c>
      <c r="P381" s="3">
        <v>19896</v>
      </c>
      <c r="Q381" s="5">
        <f t="shared" si="15"/>
        <v>25201.680672268907</v>
      </c>
      <c r="R381" s="5">
        <f t="shared" si="16"/>
        <v>19896</v>
      </c>
      <c r="S381" s="5">
        <f t="shared" si="17"/>
        <v>5305.6806722689071</v>
      </c>
    </row>
    <row r="382" spans="1:19" hidden="1" x14ac:dyDescent="0.3">
      <c r="A382">
        <v>100</v>
      </c>
      <c r="B382" t="s">
        <v>16</v>
      </c>
      <c r="C382" t="s">
        <v>1003</v>
      </c>
      <c r="D382" s="2" t="s">
        <v>1004</v>
      </c>
      <c r="E382" t="s">
        <v>330</v>
      </c>
      <c r="F382" t="s">
        <v>20</v>
      </c>
      <c r="G382" t="s">
        <v>21</v>
      </c>
      <c r="H382" t="s">
        <v>331</v>
      </c>
      <c r="I382" t="s">
        <v>23</v>
      </c>
      <c r="J382" t="s">
        <v>49</v>
      </c>
      <c r="K382" s="2" t="s">
        <v>999</v>
      </c>
      <c r="L382" t="s">
        <v>26</v>
      </c>
      <c r="M382">
        <v>350543</v>
      </c>
      <c r="N382">
        <v>1</v>
      </c>
      <c r="O382" s="3">
        <v>39990</v>
      </c>
      <c r="P382" s="3">
        <v>25157</v>
      </c>
      <c r="Q382" s="5">
        <f t="shared" si="15"/>
        <v>33605.042016806721</v>
      </c>
      <c r="R382" s="5">
        <f t="shared" si="16"/>
        <v>25157</v>
      </c>
      <c r="S382" s="5">
        <f t="shared" si="17"/>
        <v>8448.0420168067212</v>
      </c>
    </row>
    <row r="383" spans="1:19" hidden="1" x14ac:dyDescent="0.3">
      <c r="A383">
        <v>100</v>
      </c>
      <c r="B383" t="s">
        <v>16</v>
      </c>
      <c r="C383" t="s">
        <v>1005</v>
      </c>
      <c r="D383" s="2" t="s">
        <v>1006</v>
      </c>
      <c r="E383" t="s">
        <v>1007</v>
      </c>
      <c r="F383" t="s">
        <v>20</v>
      </c>
      <c r="G383" t="s">
        <v>21</v>
      </c>
      <c r="H383" t="s">
        <v>22</v>
      </c>
      <c r="I383" t="s">
        <v>23</v>
      </c>
      <c r="J383" t="s">
        <v>31</v>
      </c>
      <c r="K383" s="2" t="s">
        <v>999</v>
      </c>
      <c r="L383" t="s">
        <v>26</v>
      </c>
      <c r="M383">
        <v>350544</v>
      </c>
      <c r="N383">
        <v>1</v>
      </c>
      <c r="O383" s="3">
        <v>84990</v>
      </c>
      <c r="P383" s="3">
        <v>49625</v>
      </c>
      <c r="Q383" s="5">
        <f t="shared" si="15"/>
        <v>71420.168067226899</v>
      </c>
      <c r="R383" s="5">
        <f t="shared" si="16"/>
        <v>49625</v>
      </c>
      <c r="S383" s="5">
        <f t="shared" si="17"/>
        <v>21795.168067226899</v>
      </c>
    </row>
    <row r="384" spans="1:19" hidden="1" x14ac:dyDescent="0.3">
      <c r="A384">
        <v>100</v>
      </c>
      <c r="B384" t="s">
        <v>16</v>
      </c>
      <c r="C384" t="s">
        <v>1008</v>
      </c>
      <c r="D384" s="2" t="s">
        <v>1009</v>
      </c>
      <c r="E384" t="s">
        <v>227</v>
      </c>
      <c r="F384" t="s">
        <v>20</v>
      </c>
      <c r="G384" t="s">
        <v>21</v>
      </c>
      <c r="H384" t="s">
        <v>228</v>
      </c>
      <c r="I384" t="s">
        <v>23</v>
      </c>
      <c r="J384" t="s">
        <v>207</v>
      </c>
      <c r="K384" s="2" t="s">
        <v>999</v>
      </c>
      <c r="L384" t="s">
        <v>26</v>
      </c>
      <c r="M384">
        <v>350545</v>
      </c>
      <c r="N384">
        <v>1</v>
      </c>
      <c r="O384" s="3">
        <v>34990</v>
      </c>
      <c r="P384" s="3">
        <v>19235</v>
      </c>
      <c r="Q384" s="5">
        <f t="shared" si="15"/>
        <v>29403.361344537818</v>
      </c>
      <c r="R384" s="5">
        <f t="shared" si="16"/>
        <v>19235</v>
      </c>
      <c r="S384" s="5">
        <f t="shared" si="17"/>
        <v>10168.361344537818</v>
      </c>
    </row>
    <row r="385" spans="1:19" hidden="1" x14ac:dyDescent="0.3">
      <c r="A385">
        <v>100</v>
      </c>
      <c r="B385" t="s">
        <v>16</v>
      </c>
      <c r="C385" t="s">
        <v>1010</v>
      </c>
      <c r="D385" s="2" t="s">
        <v>1011</v>
      </c>
      <c r="E385" t="s">
        <v>1012</v>
      </c>
      <c r="F385" t="s">
        <v>20</v>
      </c>
      <c r="G385" t="s">
        <v>21</v>
      </c>
      <c r="H385" t="s">
        <v>1013</v>
      </c>
      <c r="I385" t="s">
        <v>23</v>
      </c>
      <c r="J385" t="s">
        <v>49</v>
      </c>
      <c r="K385" s="2" t="s">
        <v>999</v>
      </c>
      <c r="L385" t="s">
        <v>26</v>
      </c>
      <c r="M385">
        <v>350546</v>
      </c>
      <c r="N385">
        <v>1</v>
      </c>
      <c r="O385" s="3">
        <v>49990</v>
      </c>
      <c r="P385" s="3">
        <v>32455</v>
      </c>
      <c r="Q385" s="5">
        <f t="shared" si="15"/>
        <v>42008.403361344543</v>
      </c>
      <c r="R385" s="5">
        <f t="shared" si="16"/>
        <v>32455</v>
      </c>
      <c r="S385" s="5">
        <f t="shared" si="17"/>
        <v>9553.4033613445426</v>
      </c>
    </row>
    <row r="386" spans="1:19" hidden="1" x14ac:dyDescent="0.3">
      <c r="A386">
        <v>100</v>
      </c>
      <c r="B386" t="s">
        <v>16</v>
      </c>
      <c r="C386" t="s">
        <v>1014</v>
      </c>
      <c r="D386" s="2" t="s">
        <v>1015</v>
      </c>
      <c r="E386" t="s">
        <v>1016</v>
      </c>
      <c r="F386" t="s">
        <v>20</v>
      </c>
      <c r="G386" t="s">
        <v>21</v>
      </c>
      <c r="H386" t="s">
        <v>966</v>
      </c>
      <c r="I386" t="s">
        <v>23</v>
      </c>
      <c r="J386" t="s">
        <v>40</v>
      </c>
      <c r="K386" s="2" t="s">
        <v>999</v>
      </c>
      <c r="L386" t="s">
        <v>26</v>
      </c>
      <c r="M386">
        <v>350547</v>
      </c>
      <c r="N386">
        <v>1</v>
      </c>
      <c r="O386" s="3">
        <v>44990</v>
      </c>
      <c r="P386" s="3">
        <v>26880</v>
      </c>
      <c r="Q386" s="5">
        <f t="shared" si="15"/>
        <v>37806.722689075636</v>
      </c>
      <c r="R386" s="5">
        <f t="shared" si="16"/>
        <v>26880</v>
      </c>
      <c r="S386" s="5">
        <f t="shared" si="17"/>
        <v>10926.722689075636</v>
      </c>
    </row>
    <row r="387" spans="1:19" hidden="1" x14ac:dyDescent="0.3">
      <c r="A387">
        <v>100</v>
      </c>
      <c r="B387" t="s">
        <v>16</v>
      </c>
      <c r="C387" t="s">
        <v>1017</v>
      </c>
      <c r="D387" s="2" t="s">
        <v>1018</v>
      </c>
      <c r="E387" t="s">
        <v>1019</v>
      </c>
      <c r="F387" t="s">
        <v>20</v>
      </c>
      <c r="G387" t="s">
        <v>21</v>
      </c>
      <c r="H387" t="s">
        <v>1020</v>
      </c>
      <c r="I387" t="s">
        <v>23</v>
      </c>
      <c r="J387" t="s">
        <v>49</v>
      </c>
      <c r="K387" s="2" t="s">
        <v>999</v>
      </c>
      <c r="L387" t="s">
        <v>26</v>
      </c>
      <c r="M387">
        <v>350548</v>
      </c>
      <c r="N387">
        <v>1</v>
      </c>
      <c r="O387" s="3">
        <v>34990</v>
      </c>
      <c r="P387" s="3">
        <v>24825</v>
      </c>
      <c r="Q387" s="5">
        <f t="shared" si="15"/>
        <v>29403.361344537818</v>
      </c>
      <c r="R387" s="5">
        <f t="shared" si="16"/>
        <v>24825</v>
      </c>
      <c r="S387" s="5">
        <f t="shared" si="17"/>
        <v>4578.3613445378178</v>
      </c>
    </row>
    <row r="388" spans="1:19" hidden="1" x14ac:dyDescent="0.3">
      <c r="A388">
        <v>100</v>
      </c>
      <c r="B388" t="s">
        <v>16</v>
      </c>
      <c r="C388" t="s">
        <v>1021</v>
      </c>
      <c r="D388" s="2" t="s">
        <v>1022</v>
      </c>
      <c r="E388" t="s">
        <v>1023</v>
      </c>
      <c r="F388" t="s">
        <v>20</v>
      </c>
      <c r="G388" t="s">
        <v>21</v>
      </c>
      <c r="H388" t="s">
        <v>783</v>
      </c>
      <c r="I388" t="s">
        <v>23</v>
      </c>
      <c r="J388" t="s">
        <v>40</v>
      </c>
      <c r="K388" s="2" t="s">
        <v>999</v>
      </c>
      <c r="L388" t="s">
        <v>26</v>
      </c>
      <c r="M388">
        <v>350548</v>
      </c>
      <c r="N388">
        <v>1</v>
      </c>
      <c r="O388" s="3">
        <v>37990</v>
      </c>
      <c r="P388" s="3">
        <v>17194</v>
      </c>
      <c r="Q388" s="5">
        <f t="shared" si="15"/>
        <v>31924.36974789916</v>
      </c>
      <c r="R388" s="5">
        <f t="shared" si="16"/>
        <v>17194</v>
      </c>
      <c r="S388" s="5">
        <f t="shared" si="17"/>
        <v>14730.36974789916</v>
      </c>
    </row>
    <row r="389" spans="1:19" hidden="1" x14ac:dyDescent="0.3">
      <c r="A389">
        <v>100</v>
      </c>
      <c r="B389" t="s">
        <v>16</v>
      </c>
      <c r="C389" t="s">
        <v>1024</v>
      </c>
      <c r="D389" s="2" t="s">
        <v>1025</v>
      </c>
      <c r="E389" t="s">
        <v>1007</v>
      </c>
      <c r="F389" t="s">
        <v>20</v>
      </c>
      <c r="G389" t="s">
        <v>21</v>
      </c>
      <c r="H389" t="s">
        <v>22</v>
      </c>
      <c r="I389" t="s">
        <v>23</v>
      </c>
      <c r="J389" t="s">
        <v>31</v>
      </c>
      <c r="K389" s="2" t="s">
        <v>999</v>
      </c>
      <c r="L389" t="s">
        <v>26</v>
      </c>
      <c r="M389">
        <v>350549</v>
      </c>
      <c r="N389">
        <v>1</v>
      </c>
      <c r="O389" s="3">
        <v>84990</v>
      </c>
      <c r="P389" s="3">
        <v>49625</v>
      </c>
      <c r="Q389" s="5">
        <f t="shared" si="15"/>
        <v>71420.168067226899</v>
      </c>
      <c r="R389" s="5">
        <f t="shared" si="16"/>
        <v>49625</v>
      </c>
      <c r="S389" s="5">
        <f t="shared" si="17"/>
        <v>21795.168067226899</v>
      </c>
    </row>
    <row r="390" spans="1:19" hidden="1" x14ac:dyDescent="0.3">
      <c r="A390">
        <v>100</v>
      </c>
      <c r="B390" t="s">
        <v>16</v>
      </c>
      <c r="C390" t="s">
        <v>1026</v>
      </c>
      <c r="D390" s="2" t="s">
        <v>1027</v>
      </c>
      <c r="E390" t="s">
        <v>113</v>
      </c>
      <c r="F390" t="s">
        <v>20</v>
      </c>
      <c r="G390" t="s">
        <v>21</v>
      </c>
      <c r="H390" t="s">
        <v>114</v>
      </c>
      <c r="I390" t="s">
        <v>23</v>
      </c>
      <c r="J390" t="s">
        <v>49</v>
      </c>
      <c r="K390" s="2" t="s">
        <v>999</v>
      </c>
      <c r="L390" t="s">
        <v>26</v>
      </c>
      <c r="M390">
        <v>350550</v>
      </c>
      <c r="N390">
        <v>1</v>
      </c>
      <c r="O390" s="3">
        <v>48990</v>
      </c>
      <c r="P390" s="3">
        <v>21520</v>
      </c>
      <c r="Q390" s="5">
        <f t="shared" ref="Q390:Q453" si="18">O390/1.19</f>
        <v>41168.067226890758</v>
      </c>
      <c r="R390" s="5">
        <f t="shared" ref="R390:R453" si="19">N390*P390</f>
        <v>21520</v>
      </c>
      <c r="S390" s="5">
        <f t="shared" ref="S390:S453" si="20">Q390-R390</f>
        <v>19648.067226890758</v>
      </c>
    </row>
    <row r="391" spans="1:19" hidden="1" x14ac:dyDescent="0.3">
      <c r="A391">
        <v>100</v>
      </c>
      <c r="B391" t="s">
        <v>16</v>
      </c>
      <c r="C391" t="s">
        <v>1028</v>
      </c>
      <c r="D391" s="2" t="s">
        <v>1029</v>
      </c>
      <c r="E391" t="s">
        <v>1030</v>
      </c>
      <c r="F391" t="s">
        <v>20</v>
      </c>
      <c r="G391" t="s">
        <v>21</v>
      </c>
      <c r="H391" t="s">
        <v>461</v>
      </c>
      <c r="I391" t="s">
        <v>23</v>
      </c>
      <c r="J391" t="s">
        <v>35</v>
      </c>
      <c r="K391" s="2" t="s">
        <v>999</v>
      </c>
      <c r="L391" t="s">
        <v>26</v>
      </c>
      <c r="M391">
        <v>350551</v>
      </c>
      <c r="N391">
        <v>1</v>
      </c>
      <c r="O391" s="3">
        <v>49990</v>
      </c>
      <c r="P391" s="3">
        <v>28310</v>
      </c>
      <c r="Q391" s="5">
        <f t="shared" si="18"/>
        <v>42008.403361344543</v>
      </c>
      <c r="R391" s="5">
        <f t="shared" si="19"/>
        <v>28310</v>
      </c>
      <c r="S391" s="5">
        <f t="shared" si="20"/>
        <v>13698.403361344543</v>
      </c>
    </row>
    <row r="392" spans="1:19" hidden="1" x14ac:dyDescent="0.3">
      <c r="A392">
        <v>100</v>
      </c>
      <c r="B392" t="s">
        <v>16</v>
      </c>
      <c r="C392">
        <v>1687976791</v>
      </c>
      <c r="D392" s="2" t="s">
        <v>200</v>
      </c>
      <c r="E392" t="s">
        <v>201</v>
      </c>
      <c r="F392" t="s">
        <v>201</v>
      </c>
      <c r="G392" t="s">
        <v>202</v>
      </c>
      <c r="H392" t="s">
        <v>202</v>
      </c>
      <c r="I392" t="s">
        <v>23</v>
      </c>
      <c r="J392" t="s">
        <v>202</v>
      </c>
      <c r="K392" s="2" t="s">
        <v>999</v>
      </c>
      <c r="L392" t="s">
        <v>26</v>
      </c>
      <c r="M392">
        <v>350551</v>
      </c>
      <c r="N392">
        <v>1</v>
      </c>
      <c r="O392" s="3">
        <v>6390</v>
      </c>
      <c r="P392">
        <v>1</v>
      </c>
      <c r="Q392" s="5">
        <f t="shared" si="18"/>
        <v>5369.7478991596645</v>
      </c>
      <c r="R392" s="5">
        <f t="shared" si="19"/>
        <v>1</v>
      </c>
      <c r="S392" s="5">
        <f t="shared" si="20"/>
        <v>5368.7478991596645</v>
      </c>
    </row>
    <row r="393" spans="1:19" hidden="1" x14ac:dyDescent="0.3">
      <c r="A393">
        <v>100</v>
      </c>
      <c r="B393" t="s">
        <v>16</v>
      </c>
      <c r="C393" t="s">
        <v>177</v>
      </c>
      <c r="D393" s="2" t="s">
        <v>178</v>
      </c>
      <c r="E393" t="s">
        <v>179</v>
      </c>
      <c r="F393" t="s">
        <v>20</v>
      </c>
      <c r="G393" t="s">
        <v>21</v>
      </c>
      <c r="H393" t="s">
        <v>180</v>
      </c>
      <c r="I393" t="s">
        <v>23</v>
      </c>
      <c r="J393" t="s">
        <v>49</v>
      </c>
      <c r="K393" s="2" t="s">
        <v>999</v>
      </c>
      <c r="L393" t="s">
        <v>26</v>
      </c>
      <c r="M393">
        <v>350552</v>
      </c>
      <c r="N393">
        <v>1</v>
      </c>
      <c r="O393" s="3">
        <v>34990</v>
      </c>
      <c r="P393" s="3">
        <v>23011</v>
      </c>
      <c r="Q393" s="5">
        <f t="shared" si="18"/>
        <v>29403.361344537818</v>
      </c>
      <c r="R393" s="5">
        <f t="shared" si="19"/>
        <v>23011</v>
      </c>
      <c r="S393" s="5">
        <f t="shared" si="20"/>
        <v>6392.3613445378178</v>
      </c>
    </row>
    <row r="394" spans="1:19" hidden="1" x14ac:dyDescent="0.3">
      <c r="A394">
        <v>100</v>
      </c>
      <c r="B394" t="s">
        <v>16</v>
      </c>
      <c r="C394">
        <v>1687976791</v>
      </c>
      <c r="D394" s="2" t="s">
        <v>200</v>
      </c>
      <c r="E394" t="s">
        <v>201</v>
      </c>
      <c r="F394" t="s">
        <v>201</v>
      </c>
      <c r="G394" t="s">
        <v>202</v>
      </c>
      <c r="H394" t="s">
        <v>202</v>
      </c>
      <c r="I394" t="s">
        <v>23</v>
      </c>
      <c r="J394" t="s">
        <v>202</v>
      </c>
      <c r="K394" s="2" t="s">
        <v>999</v>
      </c>
      <c r="L394" t="s">
        <v>26</v>
      </c>
      <c r="M394">
        <v>350553</v>
      </c>
      <c r="N394">
        <v>1</v>
      </c>
      <c r="O394" s="3">
        <v>3200</v>
      </c>
      <c r="P394">
        <v>1</v>
      </c>
      <c r="Q394" s="5">
        <f t="shared" si="18"/>
        <v>2689.0756302521008</v>
      </c>
      <c r="R394" s="5">
        <f t="shared" si="19"/>
        <v>1</v>
      </c>
      <c r="S394" s="5">
        <f t="shared" si="20"/>
        <v>2688.0756302521008</v>
      </c>
    </row>
    <row r="395" spans="1:19" hidden="1" x14ac:dyDescent="0.3">
      <c r="A395">
        <v>100</v>
      </c>
      <c r="B395" t="s">
        <v>16</v>
      </c>
      <c r="C395" t="s">
        <v>1031</v>
      </c>
      <c r="D395" s="2" t="s">
        <v>1032</v>
      </c>
      <c r="E395" t="s">
        <v>1033</v>
      </c>
      <c r="F395" t="s">
        <v>20</v>
      </c>
      <c r="G395" t="s">
        <v>215</v>
      </c>
      <c r="H395" t="s">
        <v>948</v>
      </c>
      <c r="I395" t="s">
        <v>23</v>
      </c>
      <c r="J395" t="s">
        <v>95</v>
      </c>
      <c r="K395" s="2" t="s">
        <v>999</v>
      </c>
      <c r="L395" t="s">
        <v>26</v>
      </c>
      <c r="M395">
        <v>350553</v>
      </c>
      <c r="N395">
        <v>1</v>
      </c>
      <c r="O395" s="3">
        <v>39990</v>
      </c>
      <c r="P395" s="3">
        <v>24046</v>
      </c>
      <c r="Q395" s="5">
        <f t="shared" si="18"/>
        <v>33605.042016806721</v>
      </c>
      <c r="R395" s="5">
        <f t="shared" si="19"/>
        <v>24046</v>
      </c>
      <c r="S395" s="5">
        <f t="shared" si="20"/>
        <v>9559.0420168067212</v>
      </c>
    </row>
    <row r="396" spans="1:19" hidden="1" x14ac:dyDescent="0.3">
      <c r="A396">
        <v>100</v>
      </c>
      <c r="B396" t="s">
        <v>16</v>
      </c>
      <c r="C396" t="s">
        <v>1034</v>
      </c>
      <c r="D396" s="2" t="s">
        <v>1035</v>
      </c>
      <c r="E396" t="s">
        <v>1036</v>
      </c>
      <c r="F396" t="s">
        <v>377</v>
      </c>
      <c r="G396" t="s">
        <v>21</v>
      </c>
      <c r="H396" t="s">
        <v>378</v>
      </c>
      <c r="I396" t="s">
        <v>23</v>
      </c>
      <c r="J396" t="s">
        <v>379</v>
      </c>
      <c r="K396" s="2" t="s">
        <v>999</v>
      </c>
      <c r="L396" t="s">
        <v>26</v>
      </c>
      <c r="M396">
        <v>350553</v>
      </c>
      <c r="N396">
        <v>1</v>
      </c>
      <c r="O396" s="3">
        <v>5950</v>
      </c>
      <c r="P396" s="3">
        <v>2832</v>
      </c>
      <c r="Q396" s="5">
        <f t="shared" si="18"/>
        <v>5000</v>
      </c>
      <c r="R396" s="5">
        <f t="shared" si="19"/>
        <v>2832</v>
      </c>
      <c r="S396" s="5">
        <f t="shared" si="20"/>
        <v>2168</v>
      </c>
    </row>
    <row r="397" spans="1:19" hidden="1" x14ac:dyDescent="0.3">
      <c r="A397">
        <v>100</v>
      </c>
      <c r="B397" t="s">
        <v>16</v>
      </c>
      <c r="C397" t="s">
        <v>1037</v>
      </c>
      <c r="D397" s="2" t="s">
        <v>1038</v>
      </c>
      <c r="E397" t="s">
        <v>1039</v>
      </c>
      <c r="F397" t="s">
        <v>377</v>
      </c>
      <c r="G397" t="s">
        <v>21</v>
      </c>
      <c r="H397" t="s">
        <v>378</v>
      </c>
      <c r="I397" t="s">
        <v>23</v>
      </c>
      <c r="J397" t="s">
        <v>379</v>
      </c>
      <c r="K397" s="2" t="s">
        <v>999</v>
      </c>
      <c r="L397" t="s">
        <v>26</v>
      </c>
      <c r="M397">
        <v>350553</v>
      </c>
      <c r="N397">
        <v>1</v>
      </c>
      <c r="O397" s="3">
        <v>5950</v>
      </c>
      <c r="P397" s="3">
        <v>3257</v>
      </c>
      <c r="Q397" s="5">
        <f t="shared" si="18"/>
        <v>5000</v>
      </c>
      <c r="R397" s="5">
        <f t="shared" si="19"/>
        <v>3257</v>
      </c>
      <c r="S397" s="5">
        <f t="shared" si="20"/>
        <v>1743</v>
      </c>
    </row>
    <row r="398" spans="1:19" hidden="1" x14ac:dyDescent="0.3">
      <c r="A398">
        <v>100</v>
      </c>
      <c r="B398" t="s">
        <v>16</v>
      </c>
      <c r="C398">
        <v>1687976791</v>
      </c>
      <c r="D398" s="2" t="s">
        <v>200</v>
      </c>
      <c r="E398" t="s">
        <v>201</v>
      </c>
      <c r="F398" t="s">
        <v>201</v>
      </c>
      <c r="G398" t="s">
        <v>202</v>
      </c>
      <c r="H398" t="s">
        <v>202</v>
      </c>
      <c r="I398" t="s">
        <v>23</v>
      </c>
      <c r="J398" t="s">
        <v>202</v>
      </c>
      <c r="K398" s="2" t="s">
        <v>999</v>
      </c>
      <c r="L398" t="s">
        <v>26</v>
      </c>
      <c r="M398">
        <v>350554</v>
      </c>
      <c r="N398">
        <v>1</v>
      </c>
      <c r="O398" s="3">
        <v>3200</v>
      </c>
      <c r="P398">
        <v>1</v>
      </c>
      <c r="Q398" s="5">
        <f t="shared" si="18"/>
        <v>2689.0756302521008</v>
      </c>
      <c r="R398" s="5">
        <f t="shared" si="19"/>
        <v>1</v>
      </c>
      <c r="S398" s="5">
        <f t="shared" si="20"/>
        <v>2688.0756302521008</v>
      </c>
    </row>
    <row r="399" spans="1:19" hidden="1" x14ac:dyDescent="0.3">
      <c r="A399">
        <v>100</v>
      </c>
      <c r="B399" t="s">
        <v>16</v>
      </c>
      <c r="C399" t="s">
        <v>1040</v>
      </c>
      <c r="D399" s="2" t="s">
        <v>1041</v>
      </c>
      <c r="E399" t="s">
        <v>1042</v>
      </c>
      <c r="F399" t="s">
        <v>20</v>
      </c>
      <c r="G399" t="s">
        <v>21</v>
      </c>
      <c r="H399" t="s">
        <v>317</v>
      </c>
      <c r="I399" t="s">
        <v>23</v>
      </c>
      <c r="J399" t="s">
        <v>35</v>
      </c>
      <c r="K399" s="2" t="s">
        <v>999</v>
      </c>
      <c r="L399" t="s">
        <v>26</v>
      </c>
      <c r="M399">
        <v>350554</v>
      </c>
      <c r="N399">
        <v>1</v>
      </c>
      <c r="O399" s="3">
        <v>49990</v>
      </c>
      <c r="P399" s="3">
        <v>23072</v>
      </c>
      <c r="Q399" s="5">
        <f t="shared" si="18"/>
        <v>42008.403361344543</v>
      </c>
      <c r="R399" s="5">
        <f t="shared" si="19"/>
        <v>23072</v>
      </c>
      <c r="S399" s="5">
        <f t="shared" si="20"/>
        <v>18936.403361344543</v>
      </c>
    </row>
    <row r="400" spans="1:19" hidden="1" x14ac:dyDescent="0.3">
      <c r="A400">
        <v>100</v>
      </c>
      <c r="B400" t="s">
        <v>16</v>
      </c>
      <c r="C400" t="s">
        <v>1043</v>
      </c>
      <c r="D400" s="2" t="s">
        <v>1044</v>
      </c>
      <c r="E400" t="s">
        <v>1045</v>
      </c>
      <c r="F400" t="s">
        <v>20</v>
      </c>
      <c r="G400" t="s">
        <v>21</v>
      </c>
      <c r="H400" t="s">
        <v>368</v>
      </c>
      <c r="I400" t="s">
        <v>23</v>
      </c>
      <c r="J400" t="s">
        <v>40</v>
      </c>
      <c r="K400" s="2" t="s">
        <v>999</v>
      </c>
      <c r="L400" t="s">
        <v>26</v>
      </c>
      <c r="M400">
        <v>350555</v>
      </c>
      <c r="N400">
        <v>1</v>
      </c>
      <c r="O400" s="3">
        <v>39990</v>
      </c>
      <c r="P400" s="3">
        <v>22992</v>
      </c>
      <c r="Q400" s="5">
        <f t="shared" si="18"/>
        <v>33605.042016806721</v>
      </c>
      <c r="R400" s="5">
        <f t="shared" si="19"/>
        <v>22992</v>
      </c>
      <c r="S400" s="5">
        <f t="shared" si="20"/>
        <v>10613.042016806721</v>
      </c>
    </row>
    <row r="401" spans="1:19" hidden="1" x14ac:dyDescent="0.3">
      <c r="A401">
        <v>100</v>
      </c>
      <c r="B401" t="s">
        <v>16</v>
      </c>
      <c r="C401">
        <v>1687976791</v>
      </c>
      <c r="D401" s="2" t="s">
        <v>200</v>
      </c>
      <c r="E401" t="s">
        <v>201</v>
      </c>
      <c r="F401" t="s">
        <v>201</v>
      </c>
      <c r="G401" t="s">
        <v>202</v>
      </c>
      <c r="H401" t="s">
        <v>202</v>
      </c>
      <c r="I401" t="s">
        <v>23</v>
      </c>
      <c r="J401" t="s">
        <v>202</v>
      </c>
      <c r="K401" s="2" t="s">
        <v>999</v>
      </c>
      <c r="L401" t="s">
        <v>26</v>
      </c>
      <c r="M401">
        <v>350555</v>
      </c>
      <c r="N401">
        <v>1</v>
      </c>
      <c r="O401" s="3">
        <v>3200</v>
      </c>
      <c r="P401">
        <v>1</v>
      </c>
      <c r="Q401" s="5">
        <f t="shared" si="18"/>
        <v>2689.0756302521008</v>
      </c>
      <c r="R401" s="5">
        <f t="shared" si="19"/>
        <v>1</v>
      </c>
      <c r="S401" s="5">
        <f t="shared" si="20"/>
        <v>2688.0756302521008</v>
      </c>
    </row>
    <row r="402" spans="1:19" hidden="1" x14ac:dyDescent="0.3">
      <c r="A402">
        <v>100</v>
      </c>
      <c r="B402" t="s">
        <v>16</v>
      </c>
      <c r="C402" t="s">
        <v>1046</v>
      </c>
      <c r="D402" s="2" t="s">
        <v>1047</v>
      </c>
      <c r="E402" t="s">
        <v>82</v>
      </c>
      <c r="F402" t="s">
        <v>20</v>
      </c>
      <c r="G402" t="s">
        <v>21</v>
      </c>
      <c r="H402" t="s">
        <v>83</v>
      </c>
      <c r="I402" t="s">
        <v>23</v>
      </c>
      <c r="J402" t="s">
        <v>40</v>
      </c>
      <c r="K402" s="2" t="s">
        <v>999</v>
      </c>
      <c r="L402" t="s">
        <v>26</v>
      </c>
      <c r="M402">
        <v>350556</v>
      </c>
      <c r="N402">
        <v>1</v>
      </c>
      <c r="O402" s="3">
        <v>39990</v>
      </c>
      <c r="P402" s="3">
        <v>27326</v>
      </c>
      <c r="Q402" s="5">
        <f t="shared" si="18"/>
        <v>33605.042016806721</v>
      </c>
      <c r="R402" s="5">
        <f t="shared" si="19"/>
        <v>27326</v>
      </c>
      <c r="S402" s="5">
        <f t="shared" si="20"/>
        <v>6279.0420168067212</v>
      </c>
    </row>
    <row r="403" spans="1:19" hidden="1" x14ac:dyDescent="0.3">
      <c r="A403">
        <v>100</v>
      </c>
      <c r="B403" t="s">
        <v>16</v>
      </c>
      <c r="C403" t="s">
        <v>1048</v>
      </c>
      <c r="D403" s="2" t="s">
        <v>1049</v>
      </c>
      <c r="E403" t="s">
        <v>1050</v>
      </c>
      <c r="F403" t="s">
        <v>20</v>
      </c>
      <c r="G403" t="s">
        <v>21</v>
      </c>
      <c r="H403" t="s">
        <v>61</v>
      </c>
      <c r="I403" t="s">
        <v>23</v>
      </c>
      <c r="J403" t="s">
        <v>40</v>
      </c>
      <c r="K403" s="2" t="s">
        <v>999</v>
      </c>
      <c r="L403" t="s">
        <v>26</v>
      </c>
      <c r="M403">
        <v>350557</v>
      </c>
      <c r="N403">
        <v>1</v>
      </c>
      <c r="O403" s="3">
        <v>49990</v>
      </c>
      <c r="P403" s="3">
        <v>25171</v>
      </c>
      <c r="Q403" s="5">
        <f t="shared" si="18"/>
        <v>42008.403361344543</v>
      </c>
      <c r="R403" s="5">
        <f t="shared" si="19"/>
        <v>25171</v>
      </c>
      <c r="S403" s="5">
        <f t="shared" si="20"/>
        <v>16837.403361344543</v>
      </c>
    </row>
    <row r="404" spans="1:19" hidden="1" x14ac:dyDescent="0.3">
      <c r="A404">
        <v>100</v>
      </c>
      <c r="B404" t="s">
        <v>16</v>
      </c>
      <c r="C404" t="s">
        <v>1051</v>
      </c>
      <c r="D404" s="2" t="s">
        <v>1052</v>
      </c>
      <c r="E404" t="s">
        <v>1053</v>
      </c>
      <c r="F404" t="s">
        <v>20</v>
      </c>
      <c r="G404" t="s">
        <v>21</v>
      </c>
      <c r="H404" t="s">
        <v>310</v>
      </c>
      <c r="I404" t="s">
        <v>23</v>
      </c>
      <c r="J404" t="s">
        <v>49</v>
      </c>
      <c r="K404" s="2" t="s">
        <v>999</v>
      </c>
      <c r="L404" t="s">
        <v>26</v>
      </c>
      <c r="M404">
        <v>350558</v>
      </c>
      <c r="N404">
        <v>1</v>
      </c>
      <c r="O404" s="3">
        <v>44990</v>
      </c>
      <c r="P404" s="3">
        <v>25332</v>
      </c>
      <c r="Q404" s="5">
        <f t="shared" si="18"/>
        <v>37806.722689075636</v>
      </c>
      <c r="R404" s="5">
        <f t="shared" si="19"/>
        <v>25332</v>
      </c>
      <c r="S404" s="5">
        <f t="shared" si="20"/>
        <v>12474.722689075636</v>
      </c>
    </row>
    <row r="405" spans="1:19" hidden="1" x14ac:dyDescent="0.3">
      <c r="A405">
        <v>100</v>
      </c>
      <c r="B405" t="s">
        <v>16</v>
      </c>
      <c r="C405" t="s">
        <v>1054</v>
      </c>
      <c r="D405" s="2" t="s">
        <v>1055</v>
      </c>
      <c r="E405" t="s">
        <v>260</v>
      </c>
      <c r="F405" t="s">
        <v>20</v>
      </c>
      <c r="G405" t="s">
        <v>21</v>
      </c>
      <c r="H405" t="s">
        <v>261</v>
      </c>
      <c r="I405" t="s">
        <v>23</v>
      </c>
      <c r="J405" t="s">
        <v>95</v>
      </c>
      <c r="K405" s="2" t="s">
        <v>999</v>
      </c>
      <c r="L405" t="s">
        <v>26</v>
      </c>
      <c r="M405">
        <v>350559</v>
      </c>
      <c r="N405">
        <v>1</v>
      </c>
      <c r="O405" s="3">
        <v>30990</v>
      </c>
      <c r="P405" s="3">
        <v>20109</v>
      </c>
      <c r="Q405" s="5">
        <f t="shared" si="18"/>
        <v>26042.016806722691</v>
      </c>
      <c r="R405" s="5">
        <f t="shared" si="19"/>
        <v>20109</v>
      </c>
      <c r="S405" s="5">
        <f t="shared" si="20"/>
        <v>5933.0168067226914</v>
      </c>
    </row>
    <row r="406" spans="1:19" hidden="1" x14ac:dyDescent="0.3">
      <c r="A406">
        <v>100</v>
      </c>
      <c r="B406" t="s">
        <v>16</v>
      </c>
      <c r="C406" t="s">
        <v>1056</v>
      </c>
      <c r="D406" s="2" t="s">
        <v>1057</v>
      </c>
      <c r="E406" t="s">
        <v>1058</v>
      </c>
      <c r="F406" t="s">
        <v>20</v>
      </c>
      <c r="G406" t="s">
        <v>21</v>
      </c>
      <c r="H406" t="s">
        <v>160</v>
      </c>
      <c r="I406" t="s">
        <v>23</v>
      </c>
      <c r="J406" t="s">
        <v>49</v>
      </c>
      <c r="K406" s="2" t="s">
        <v>999</v>
      </c>
      <c r="L406" t="s">
        <v>26</v>
      </c>
      <c r="M406">
        <v>350560</v>
      </c>
      <c r="N406">
        <v>1</v>
      </c>
      <c r="O406" s="3">
        <v>49990</v>
      </c>
      <c r="P406" s="3">
        <v>25647</v>
      </c>
      <c r="Q406" s="5">
        <f t="shared" si="18"/>
        <v>42008.403361344543</v>
      </c>
      <c r="R406" s="5">
        <f t="shared" si="19"/>
        <v>25647</v>
      </c>
      <c r="S406" s="5">
        <f t="shared" si="20"/>
        <v>16361.403361344543</v>
      </c>
    </row>
    <row r="407" spans="1:19" hidden="1" x14ac:dyDescent="0.3">
      <c r="A407">
        <v>100</v>
      </c>
      <c r="B407" t="s">
        <v>16</v>
      </c>
      <c r="C407" t="s">
        <v>1059</v>
      </c>
      <c r="D407" s="2" t="s">
        <v>1060</v>
      </c>
      <c r="E407" t="s">
        <v>537</v>
      </c>
      <c r="F407" t="s">
        <v>20</v>
      </c>
      <c r="G407" t="s">
        <v>21</v>
      </c>
      <c r="H407" t="s">
        <v>368</v>
      </c>
      <c r="I407" t="s">
        <v>23</v>
      </c>
      <c r="J407" t="s">
        <v>40</v>
      </c>
      <c r="K407" s="2" t="s">
        <v>999</v>
      </c>
      <c r="L407" t="s">
        <v>26</v>
      </c>
      <c r="M407">
        <v>350561</v>
      </c>
      <c r="N407">
        <v>1</v>
      </c>
      <c r="O407" s="3">
        <v>34990</v>
      </c>
      <c r="P407" s="3">
        <v>21030</v>
      </c>
      <c r="Q407" s="5">
        <f t="shared" si="18"/>
        <v>29403.361344537818</v>
      </c>
      <c r="R407" s="5">
        <f t="shared" si="19"/>
        <v>21030</v>
      </c>
      <c r="S407" s="5">
        <f t="shared" si="20"/>
        <v>8373.3613445378178</v>
      </c>
    </row>
    <row r="408" spans="1:19" hidden="1" x14ac:dyDescent="0.3">
      <c r="A408">
        <v>100</v>
      </c>
      <c r="B408" t="s">
        <v>16</v>
      </c>
      <c r="C408" t="s">
        <v>1061</v>
      </c>
      <c r="D408" s="2" t="s">
        <v>1062</v>
      </c>
      <c r="E408" t="s">
        <v>860</v>
      </c>
      <c r="F408" t="s">
        <v>20</v>
      </c>
      <c r="G408" t="s">
        <v>21</v>
      </c>
      <c r="H408" t="s">
        <v>285</v>
      </c>
      <c r="I408" t="s">
        <v>23</v>
      </c>
      <c r="J408" t="s">
        <v>49</v>
      </c>
      <c r="K408" s="2" t="s">
        <v>999</v>
      </c>
      <c r="L408" t="s">
        <v>26</v>
      </c>
      <c r="M408">
        <v>350562</v>
      </c>
      <c r="N408">
        <v>1</v>
      </c>
      <c r="O408" s="3">
        <v>39990</v>
      </c>
      <c r="P408" s="3">
        <v>20310</v>
      </c>
      <c r="Q408" s="5">
        <f t="shared" si="18"/>
        <v>33605.042016806721</v>
      </c>
      <c r="R408" s="5">
        <f t="shared" si="19"/>
        <v>20310</v>
      </c>
      <c r="S408" s="5">
        <f t="shared" si="20"/>
        <v>13295.042016806721</v>
      </c>
    </row>
    <row r="409" spans="1:19" hidden="1" x14ac:dyDescent="0.3">
      <c r="A409">
        <v>100</v>
      </c>
      <c r="B409" t="s">
        <v>16</v>
      </c>
      <c r="C409" t="s">
        <v>1063</v>
      </c>
      <c r="D409" s="2" t="s">
        <v>1064</v>
      </c>
      <c r="E409" t="s">
        <v>1065</v>
      </c>
      <c r="F409" t="s">
        <v>20</v>
      </c>
      <c r="G409" t="s">
        <v>21</v>
      </c>
      <c r="H409" t="s">
        <v>1066</v>
      </c>
      <c r="I409" t="s">
        <v>23</v>
      </c>
      <c r="J409" t="s">
        <v>49</v>
      </c>
      <c r="K409" s="2" t="s">
        <v>999</v>
      </c>
      <c r="L409" t="s">
        <v>26</v>
      </c>
      <c r="M409">
        <v>350562</v>
      </c>
      <c r="N409">
        <v>1</v>
      </c>
      <c r="O409" s="3">
        <v>39990</v>
      </c>
      <c r="P409" s="3">
        <v>25989</v>
      </c>
      <c r="Q409" s="5">
        <f t="shared" si="18"/>
        <v>33605.042016806721</v>
      </c>
      <c r="R409" s="5">
        <f t="shared" si="19"/>
        <v>25989</v>
      </c>
      <c r="S409" s="5">
        <f t="shared" si="20"/>
        <v>7616.0420168067212</v>
      </c>
    </row>
    <row r="410" spans="1:19" hidden="1" x14ac:dyDescent="0.3">
      <c r="A410">
        <v>100</v>
      </c>
      <c r="B410" t="s">
        <v>16</v>
      </c>
      <c r="C410" t="s">
        <v>925</v>
      </c>
      <c r="D410" s="2" t="s">
        <v>926</v>
      </c>
      <c r="E410" t="s">
        <v>927</v>
      </c>
      <c r="F410" t="s">
        <v>20</v>
      </c>
      <c r="G410" t="s">
        <v>21</v>
      </c>
      <c r="H410" t="s">
        <v>738</v>
      </c>
      <c r="I410" t="s">
        <v>23</v>
      </c>
      <c r="J410" t="s">
        <v>49</v>
      </c>
      <c r="K410" s="2" t="s">
        <v>999</v>
      </c>
      <c r="L410" t="s">
        <v>26</v>
      </c>
      <c r="M410">
        <v>350562</v>
      </c>
      <c r="N410">
        <v>1</v>
      </c>
      <c r="O410" s="3">
        <v>39990</v>
      </c>
      <c r="P410" s="3">
        <v>21039</v>
      </c>
      <c r="Q410" s="5">
        <f t="shared" si="18"/>
        <v>33605.042016806721</v>
      </c>
      <c r="R410" s="5">
        <f t="shared" si="19"/>
        <v>21039</v>
      </c>
      <c r="S410" s="5">
        <f t="shared" si="20"/>
        <v>12566.042016806721</v>
      </c>
    </row>
    <row r="411" spans="1:19" hidden="1" x14ac:dyDescent="0.3">
      <c r="A411">
        <v>100</v>
      </c>
      <c r="B411" t="s">
        <v>16</v>
      </c>
      <c r="C411" t="s">
        <v>1067</v>
      </c>
      <c r="D411" s="2" t="s">
        <v>1068</v>
      </c>
      <c r="E411" t="s">
        <v>1069</v>
      </c>
      <c r="F411" t="s">
        <v>20</v>
      </c>
      <c r="G411" t="s">
        <v>21</v>
      </c>
      <c r="H411" t="s">
        <v>461</v>
      </c>
      <c r="I411" t="s">
        <v>23</v>
      </c>
      <c r="J411" t="s">
        <v>35</v>
      </c>
      <c r="K411" s="2" t="s">
        <v>999</v>
      </c>
      <c r="L411" t="s">
        <v>26</v>
      </c>
      <c r="M411">
        <v>350563</v>
      </c>
      <c r="N411">
        <v>1</v>
      </c>
      <c r="O411" s="3">
        <v>49990</v>
      </c>
      <c r="P411" s="3">
        <v>30600</v>
      </c>
      <c r="Q411" s="5">
        <f t="shared" si="18"/>
        <v>42008.403361344543</v>
      </c>
      <c r="R411" s="5">
        <f t="shared" si="19"/>
        <v>30600</v>
      </c>
      <c r="S411" s="5">
        <f t="shared" si="20"/>
        <v>11408.403361344543</v>
      </c>
    </row>
    <row r="412" spans="1:19" hidden="1" x14ac:dyDescent="0.3">
      <c r="A412">
        <v>100</v>
      </c>
      <c r="B412" t="s">
        <v>16</v>
      </c>
      <c r="C412" t="s">
        <v>1070</v>
      </c>
      <c r="D412" s="2" t="s">
        <v>1071</v>
      </c>
      <c r="E412" t="s">
        <v>352</v>
      </c>
      <c r="F412" t="s">
        <v>20</v>
      </c>
      <c r="G412" t="s">
        <v>21</v>
      </c>
      <c r="H412" t="s">
        <v>353</v>
      </c>
      <c r="I412" t="s">
        <v>23</v>
      </c>
      <c r="J412" t="s">
        <v>95</v>
      </c>
      <c r="K412" s="2" t="s">
        <v>1072</v>
      </c>
      <c r="L412" t="s">
        <v>26</v>
      </c>
      <c r="M412">
        <v>350564</v>
      </c>
      <c r="N412">
        <v>1</v>
      </c>
      <c r="O412" s="3">
        <v>39990</v>
      </c>
      <c r="P412" s="3">
        <v>31000</v>
      </c>
      <c r="Q412" s="5">
        <f t="shared" si="18"/>
        <v>33605.042016806721</v>
      </c>
      <c r="R412" s="5">
        <f t="shared" si="19"/>
        <v>31000</v>
      </c>
      <c r="S412" s="5">
        <f t="shared" si="20"/>
        <v>2605.0420168067212</v>
      </c>
    </row>
    <row r="413" spans="1:19" hidden="1" x14ac:dyDescent="0.3">
      <c r="A413">
        <v>100</v>
      </c>
      <c r="B413" t="s">
        <v>16</v>
      </c>
      <c r="C413" t="s">
        <v>1073</v>
      </c>
      <c r="D413" s="2" t="s">
        <v>1074</v>
      </c>
      <c r="E413" t="s">
        <v>1075</v>
      </c>
      <c r="F413" t="s">
        <v>20</v>
      </c>
      <c r="G413" t="s">
        <v>338</v>
      </c>
      <c r="H413">
        <v>25097</v>
      </c>
      <c r="I413" t="s">
        <v>23</v>
      </c>
      <c r="J413" t="s">
        <v>24</v>
      </c>
      <c r="K413" s="2" t="s">
        <v>1072</v>
      </c>
      <c r="L413" t="s">
        <v>26</v>
      </c>
      <c r="M413">
        <v>350565</v>
      </c>
      <c r="N413">
        <v>1</v>
      </c>
      <c r="O413" s="3">
        <v>74950</v>
      </c>
      <c r="P413" s="3">
        <v>23242</v>
      </c>
      <c r="Q413" s="5">
        <f t="shared" si="18"/>
        <v>62983.193277310929</v>
      </c>
      <c r="R413" s="5">
        <f t="shared" si="19"/>
        <v>23242</v>
      </c>
      <c r="S413" s="5">
        <f t="shared" si="20"/>
        <v>39741.193277310929</v>
      </c>
    </row>
    <row r="414" spans="1:19" hidden="1" x14ac:dyDescent="0.3">
      <c r="A414">
        <v>100</v>
      </c>
      <c r="B414" t="s">
        <v>16</v>
      </c>
      <c r="C414" t="s">
        <v>1076</v>
      </c>
      <c r="D414" s="2" t="s">
        <v>1077</v>
      </c>
      <c r="E414" t="s">
        <v>125</v>
      </c>
      <c r="F414" t="s">
        <v>20</v>
      </c>
      <c r="G414" t="s">
        <v>21</v>
      </c>
      <c r="H414" t="s">
        <v>48</v>
      </c>
      <c r="I414" t="s">
        <v>23</v>
      </c>
      <c r="J414" t="s">
        <v>35</v>
      </c>
      <c r="K414" s="2" t="s">
        <v>1072</v>
      </c>
      <c r="L414" t="s">
        <v>26</v>
      </c>
      <c r="M414">
        <v>350566</v>
      </c>
      <c r="N414">
        <v>1</v>
      </c>
      <c r="O414" s="3">
        <v>59990</v>
      </c>
      <c r="P414" s="3">
        <v>31336</v>
      </c>
      <c r="Q414" s="5">
        <f t="shared" si="18"/>
        <v>50411.764705882357</v>
      </c>
      <c r="R414" s="5">
        <f t="shared" si="19"/>
        <v>31336</v>
      </c>
      <c r="S414" s="5">
        <f t="shared" si="20"/>
        <v>19075.764705882357</v>
      </c>
    </row>
    <row r="415" spans="1:19" hidden="1" x14ac:dyDescent="0.3">
      <c r="A415">
        <v>100</v>
      </c>
      <c r="B415" t="s">
        <v>16</v>
      </c>
      <c r="C415" t="s">
        <v>1078</v>
      </c>
      <c r="D415" s="2" t="s">
        <v>1079</v>
      </c>
      <c r="E415" t="s">
        <v>1080</v>
      </c>
      <c r="F415" t="s">
        <v>20</v>
      </c>
      <c r="G415" t="s">
        <v>21</v>
      </c>
      <c r="H415" t="s">
        <v>368</v>
      </c>
      <c r="I415" t="s">
        <v>23</v>
      </c>
      <c r="J415" t="s">
        <v>40</v>
      </c>
      <c r="K415" s="2" t="s">
        <v>1072</v>
      </c>
      <c r="L415" t="s">
        <v>26</v>
      </c>
      <c r="M415">
        <v>350567</v>
      </c>
      <c r="N415">
        <v>1</v>
      </c>
      <c r="O415" s="3">
        <v>34990</v>
      </c>
      <c r="P415" s="3">
        <v>21031</v>
      </c>
      <c r="Q415" s="5">
        <f t="shared" si="18"/>
        <v>29403.361344537818</v>
      </c>
      <c r="R415" s="5">
        <f t="shared" si="19"/>
        <v>21031</v>
      </c>
      <c r="S415" s="5">
        <f t="shared" si="20"/>
        <v>8372.3613445378178</v>
      </c>
    </row>
    <row r="416" spans="1:19" hidden="1" x14ac:dyDescent="0.3">
      <c r="A416">
        <v>100</v>
      </c>
      <c r="B416" t="s">
        <v>16</v>
      </c>
      <c r="C416" t="s">
        <v>1081</v>
      </c>
      <c r="D416" s="2" t="s">
        <v>1082</v>
      </c>
      <c r="E416" t="s">
        <v>1083</v>
      </c>
      <c r="F416" t="s">
        <v>20</v>
      </c>
      <c r="G416" t="s">
        <v>21</v>
      </c>
      <c r="H416" t="s">
        <v>1084</v>
      </c>
      <c r="I416" t="s">
        <v>23</v>
      </c>
      <c r="J416" t="s">
        <v>35</v>
      </c>
      <c r="K416" s="2" t="s">
        <v>1072</v>
      </c>
      <c r="L416" t="s">
        <v>26</v>
      </c>
      <c r="M416">
        <v>350568</v>
      </c>
      <c r="N416">
        <v>1</v>
      </c>
      <c r="O416" s="3">
        <v>54990</v>
      </c>
      <c r="P416" s="3">
        <v>32720</v>
      </c>
      <c r="Q416" s="5">
        <f t="shared" si="18"/>
        <v>46210.08403361345</v>
      </c>
      <c r="R416" s="5">
        <f t="shared" si="19"/>
        <v>32720</v>
      </c>
      <c r="S416" s="5">
        <f t="shared" si="20"/>
        <v>13490.08403361345</v>
      </c>
    </row>
    <row r="417" spans="1:19" hidden="1" x14ac:dyDescent="0.3">
      <c r="A417">
        <v>100</v>
      </c>
      <c r="B417" t="s">
        <v>16</v>
      </c>
      <c r="C417" t="s">
        <v>1085</v>
      </c>
      <c r="D417" s="2" t="s">
        <v>1086</v>
      </c>
      <c r="E417" t="s">
        <v>1050</v>
      </c>
      <c r="F417" t="s">
        <v>20</v>
      </c>
      <c r="G417" t="s">
        <v>21</v>
      </c>
      <c r="H417" t="s">
        <v>61</v>
      </c>
      <c r="I417" t="s">
        <v>23</v>
      </c>
      <c r="J417" t="s">
        <v>40</v>
      </c>
      <c r="K417" s="2" t="s">
        <v>1072</v>
      </c>
      <c r="L417" t="s">
        <v>26</v>
      </c>
      <c r="M417">
        <v>350569</v>
      </c>
      <c r="N417">
        <v>1</v>
      </c>
      <c r="O417" s="3">
        <v>49990</v>
      </c>
      <c r="P417" s="3">
        <v>24543</v>
      </c>
      <c r="Q417" s="5">
        <f t="shared" si="18"/>
        <v>42008.403361344543</v>
      </c>
      <c r="R417" s="5">
        <f t="shared" si="19"/>
        <v>24543</v>
      </c>
      <c r="S417" s="5">
        <f t="shared" si="20"/>
        <v>17465.403361344543</v>
      </c>
    </row>
    <row r="418" spans="1:19" hidden="1" x14ac:dyDescent="0.3">
      <c r="A418">
        <v>100</v>
      </c>
      <c r="B418" t="s">
        <v>16</v>
      </c>
      <c r="C418" t="s">
        <v>1087</v>
      </c>
      <c r="D418" s="2" t="s">
        <v>1088</v>
      </c>
      <c r="E418" t="s">
        <v>1089</v>
      </c>
      <c r="F418" t="s">
        <v>20</v>
      </c>
      <c r="G418" t="s">
        <v>21</v>
      </c>
      <c r="H418" t="s">
        <v>610</v>
      </c>
      <c r="I418" t="s">
        <v>23</v>
      </c>
      <c r="J418" t="s">
        <v>40</v>
      </c>
      <c r="K418" s="2" t="s">
        <v>1072</v>
      </c>
      <c r="L418" t="s">
        <v>26</v>
      </c>
      <c r="M418">
        <v>350570</v>
      </c>
      <c r="N418">
        <v>1</v>
      </c>
      <c r="O418" s="3">
        <v>29990</v>
      </c>
      <c r="P418" s="3">
        <v>12681</v>
      </c>
      <c r="Q418" s="5">
        <f t="shared" si="18"/>
        <v>25201.680672268907</v>
      </c>
      <c r="R418" s="5">
        <f t="shared" si="19"/>
        <v>12681</v>
      </c>
      <c r="S418" s="5">
        <f t="shared" si="20"/>
        <v>12520.680672268907</v>
      </c>
    </row>
    <row r="419" spans="1:19" hidden="1" x14ac:dyDescent="0.3">
      <c r="A419">
        <v>100</v>
      </c>
      <c r="B419" t="s">
        <v>16</v>
      </c>
      <c r="C419" t="s">
        <v>1087</v>
      </c>
      <c r="D419" s="2" t="s">
        <v>1088</v>
      </c>
      <c r="E419" t="s">
        <v>1089</v>
      </c>
      <c r="F419" t="s">
        <v>20</v>
      </c>
      <c r="G419" t="s">
        <v>21</v>
      </c>
      <c r="H419" t="s">
        <v>610</v>
      </c>
      <c r="I419" t="s">
        <v>23</v>
      </c>
      <c r="J419" t="s">
        <v>40</v>
      </c>
      <c r="K419" s="2" t="s">
        <v>1072</v>
      </c>
      <c r="L419" t="s">
        <v>26</v>
      </c>
      <c r="M419">
        <v>350571</v>
      </c>
      <c r="N419">
        <v>1</v>
      </c>
      <c r="O419" s="3">
        <v>29990</v>
      </c>
      <c r="P419" s="3">
        <v>12681</v>
      </c>
      <c r="Q419" s="5">
        <f t="shared" si="18"/>
        <v>25201.680672268907</v>
      </c>
      <c r="R419" s="5">
        <f t="shared" si="19"/>
        <v>12681</v>
      </c>
      <c r="S419" s="5">
        <f t="shared" si="20"/>
        <v>12520.680672268907</v>
      </c>
    </row>
    <row r="420" spans="1:19" hidden="1" x14ac:dyDescent="0.3">
      <c r="A420">
        <v>100</v>
      </c>
      <c r="B420" t="s">
        <v>16</v>
      </c>
      <c r="C420" t="s">
        <v>1090</v>
      </c>
      <c r="D420" s="2" t="s">
        <v>1091</v>
      </c>
      <c r="E420" t="s">
        <v>1092</v>
      </c>
      <c r="F420" t="s">
        <v>20</v>
      </c>
      <c r="G420" t="s">
        <v>21</v>
      </c>
      <c r="H420" t="s">
        <v>48</v>
      </c>
      <c r="I420" t="s">
        <v>23</v>
      </c>
      <c r="J420" t="s">
        <v>49</v>
      </c>
      <c r="K420" s="2" t="s">
        <v>1072</v>
      </c>
      <c r="L420" t="s">
        <v>26</v>
      </c>
      <c r="M420">
        <v>350572</v>
      </c>
      <c r="N420">
        <v>1</v>
      </c>
      <c r="O420" s="3">
        <v>39990</v>
      </c>
      <c r="P420" s="3">
        <v>26741</v>
      </c>
      <c r="Q420" s="5">
        <f t="shared" si="18"/>
        <v>33605.042016806721</v>
      </c>
      <c r="R420" s="5">
        <f t="shared" si="19"/>
        <v>26741</v>
      </c>
      <c r="S420" s="5">
        <f t="shared" si="20"/>
        <v>6864.0420168067212</v>
      </c>
    </row>
    <row r="421" spans="1:19" hidden="1" x14ac:dyDescent="0.3">
      <c r="A421">
        <v>100</v>
      </c>
      <c r="B421" t="s">
        <v>16</v>
      </c>
      <c r="C421" t="s">
        <v>1093</v>
      </c>
      <c r="D421" s="2" t="s">
        <v>1094</v>
      </c>
      <c r="E421" t="s">
        <v>1095</v>
      </c>
      <c r="F421" t="s">
        <v>20</v>
      </c>
      <c r="G421" t="s">
        <v>21</v>
      </c>
      <c r="H421" t="s">
        <v>1096</v>
      </c>
      <c r="I421" t="s">
        <v>23</v>
      </c>
      <c r="J421" t="s">
        <v>35</v>
      </c>
      <c r="K421" s="2" t="s">
        <v>1072</v>
      </c>
      <c r="L421" t="s">
        <v>26</v>
      </c>
      <c r="M421">
        <v>350573</v>
      </c>
      <c r="N421">
        <v>1</v>
      </c>
      <c r="O421" s="3">
        <v>59990</v>
      </c>
      <c r="P421" s="3">
        <v>35831</v>
      </c>
      <c r="Q421" s="5">
        <f t="shared" si="18"/>
        <v>50411.764705882357</v>
      </c>
      <c r="R421" s="5">
        <f t="shared" si="19"/>
        <v>35831</v>
      </c>
      <c r="S421" s="5">
        <f t="shared" si="20"/>
        <v>14580.764705882357</v>
      </c>
    </row>
    <row r="422" spans="1:19" hidden="1" x14ac:dyDescent="0.3">
      <c r="A422">
        <v>100</v>
      </c>
      <c r="B422" t="s">
        <v>16</v>
      </c>
      <c r="C422" t="s">
        <v>1097</v>
      </c>
      <c r="D422" s="2" t="s">
        <v>1098</v>
      </c>
      <c r="E422" t="s">
        <v>155</v>
      </c>
      <c r="F422" t="s">
        <v>20</v>
      </c>
      <c r="G422" t="s">
        <v>21</v>
      </c>
      <c r="H422" t="s">
        <v>156</v>
      </c>
      <c r="I422" t="s">
        <v>23</v>
      </c>
      <c r="J422" t="s">
        <v>35</v>
      </c>
      <c r="K422" s="2" t="s">
        <v>1072</v>
      </c>
      <c r="L422" t="s">
        <v>26</v>
      </c>
      <c r="M422">
        <v>350574</v>
      </c>
      <c r="N422">
        <v>1</v>
      </c>
      <c r="O422" s="3">
        <v>69990</v>
      </c>
      <c r="P422" s="3">
        <v>38150</v>
      </c>
      <c r="Q422" s="5">
        <f t="shared" si="18"/>
        <v>58815.126050420171</v>
      </c>
      <c r="R422" s="5">
        <f t="shared" si="19"/>
        <v>38150</v>
      </c>
      <c r="S422" s="5">
        <f t="shared" si="20"/>
        <v>20665.126050420171</v>
      </c>
    </row>
    <row r="423" spans="1:19" hidden="1" x14ac:dyDescent="0.3">
      <c r="A423">
        <v>100</v>
      </c>
      <c r="B423" t="s">
        <v>16</v>
      </c>
      <c r="C423" t="s">
        <v>1099</v>
      </c>
      <c r="D423" s="2" t="s">
        <v>1100</v>
      </c>
      <c r="E423" t="s">
        <v>930</v>
      </c>
      <c r="F423" t="s">
        <v>20</v>
      </c>
      <c r="G423" t="s">
        <v>21</v>
      </c>
      <c r="H423" t="s">
        <v>331</v>
      </c>
      <c r="I423" t="s">
        <v>23</v>
      </c>
      <c r="J423" t="s">
        <v>49</v>
      </c>
      <c r="K423" s="2" t="s">
        <v>1072</v>
      </c>
      <c r="L423" t="s">
        <v>26</v>
      </c>
      <c r="M423">
        <v>350575</v>
      </c>
      <c r="N423">
        <v>1</v>
      </c>
      <c r="O423" s="3">
        <v>39990</v>
      </c>
      <c r="P423" s="3">
        <v>24823</v>
      </c>
      <c r="Q423" s="5">
        <f t="shared" si="18"/>
        <v>33605.042016806721</v>
      </c>
      <c r="R423" s="5">
        <f t="shared" si="19"/>
        <v>24823</v>
      </c>
      <c r="S423" s="5">
        <f t="shared" si="20"/>
        <v>8782.0420168067212</v>
      </c>
    </row>
    <row r="424" spans="1:19" hidden="1" x14ac:dyDescent="0.3">
      <c r="A424">
        <v>100</v>
      </c>
      <c r="B424" t="s">
        <v>16</v>
      </c>
      <c r="C424" t="s">
        <v>1101</v>
      </c>
      <c r="D424" s="2" t="s">
        <v>1102</v>
      </c>
      <c r="E424" t="s">
        <v>477</v>
      </c>
      <c r="F424" t="s">
        <v>20</v>
      </c>
      <c r="G424" t="s">
        <v>21</v>
      </c>
      <c r="H424" t="s">
        <v>48</v>
      </c>
      <c r="I424" t="s">
        <v>23</v>
      </c>
      <c r="J424" t="s">
        <v>35</v>
      </c>
      <c r="K424" s="2" t="s">
        <v>1072</v>
      </c>
      <c r="L424" t="s">
        <v>26</v>
      </c>
      <c r="M424">
        <v>350576</v>
      </c>
      <c r="N424">
        <v>1</v>
      </c>
      <c r="O424" s="3">
        <v>49990</v>
      </c>
      <c r="P424" s="3">
        <v>28974</v>
      </c>
      <c r="Q424" s="5">
        <f t="shared" si="18"/>
        <v>42008.403361344543</v>
      </c>
      <c r="R424" s="5">
        <f t="shared" si="19"/>
        <v>28974</v>
      </c>
      <c r="S424" s="5">
        <f t="shared" si="20"/>
        <v>13034.403361344543</v>
      </c>
    </row>
    <row r="425" spans="1:19" hidden="1" x14ac:dyDescent="0.3">
      <c r="A425">
        <v>100</v>
      </c>
      <c r="B425" t="s">
        <v>16</v>
      </c>
      <c r="C425" t="s">
        <v>1103</v>
      </c>
      <c r="D425" s="2" t="s">
        <v>1104</v>
      </c>
      <c r="E425" t="s">
        <v>499</v>
      </c>
      <c r="F425" t="s">
        <v>20</v>
      </c>
      <c r="G425" t="s">
        <v>21</v>
      </c>
      <c r="H425" t="s">
        <v>500</v>
      </c>
      <c r="I425" t="s">
        <v>23</v>
      </c>
      <c r="J425" t="s">
        <v>40</v>
      </c>
      <c r="K425" s="2" t="s">
        <v>1072</v>
      </c>
      <c r="L425" t="s">
        <v>26</v>
      </c>
      <c r="M425">
        <v>350577</v>
      </c>
      <c r="N425">
        <v>1</v>
      </c>
      <c r="O425" s="3">
        <v>59950</v>
      </c>
      <c r="P425" s="3">
        <v>17416</v>
      </c>
      <c r="Q425" s="5">
        <f t="shared" si="18"/>
        <v>50378.151260504201</v>
      </c>
      <c r="R425" s="5">
        <f t="shared" si="19"/>
        <v>17416</v>
      </c>
      <c r="S425" s="5">
        <f t="shared" si="20"/>
        <v>32962.151260504201</v>
      </c>
    </row>
    <row r="426" spans="1:19" hidden="1" x14ac:dyDescent="0.3">
      <c r="A426">
        <v>100</v>
      </c>
      <c r="B426" t="s">
        <v>16</v>
      </c>
      <c r="C426" t="s">
        <v>269</v>
      </c>
      <c r="D426" s="2" t="s">
        <v>270</v>
      </c>
      <c r="E426" t="s">
        <v>271</v>
      </c>
      <c r="F426" t="s">
        <v>20</v>
      </c>
      <c r="G426" t="s">
        <v>21</v>
      </c>
      <c r="H426" t="s">
        <v>272</v>
      </c>
      <c r="I426" t="s">
        <v>23</v>
      </c>
      <c r="J426" t="s">
        <v>35</v>
      </c>
      <c r="K426" s="2" t="s">
        <v>1072</v>
      </c>
      <c r="L426" t="s">
        <v>26</v>
      </c>
      <c r="M426">
        <v>350578</v>
      </c>
      <c r="N426">
        <v>1</v>
      </c>
      <c r="O426" s="3">
        <v>49990</v>
      </c>
      <c r="P426" s="3">
        <v>28126</v>
      </c>
      <c r="Q426" s="5">
        <f t="shared" si="18"/>
        <v>42008.403361344543</v>
      </c>
      <c r="R426" s="5">
        <f t="shared" si="19"/>
        <v>28126</v>
      </c>
      <c r="S426" s="5">
        <f t="shared" si="20"/>
        <v>13882.403361344543</v>
      </c>
    </row>
    <row r="427" spans="1:19" hidden="1" x14ac:dyDescent="0.3">
      <c r="A427">
        <v>100</v>
      </c>
      <c r="B427" t="s">
        <v>16</v>
      </c>
      <c r="C427" t="s">
        <v>1105</v>
      </c>
      <c r="D427" s="2" t="s">
        <v>1106</v>
      </c>
      <c r="E427" t="s">
        <v>316</v>
      </c>
      <c r="F427" t="s">
        <v>20</v>
      </c>
      <c r="G427" t="s">
        <v>21</v>
      </c>
      <c r="H427" t="s">
        <v>317</v>
      </c>
      <c r="I427" t="s">
        <v>23</v>
      </c>
      <c r="J427" t="s">
        <v>35</v>
      </c>
      <c r="K427" s="2" t="s">
        <v>1072</v>
      </c>
      <c r="L427" t="s">
        <v>26</v>
      </c>
      <c r="M427">
        <v>350579</v>
      </c>
      <c r="N427">
        <v>1</v>
      </c>
      <c r="O427" s="3">
        <v>69950</v>
      </c>
      <c r="P427" s="3">
        <v>24908</v>
      </c>
      <c r="Q427" s="5">
        <f t="shared" si="18"/>
        <v>58781.512605042022</v>
      </c>
      <c r="R427" s="5">
        <f t="shared" si="19"/>
        <v>24908</v>
      </c>
      <c r="S427" s="5">
        <f t="shared" si="20"/>
        <v>33873.512605042022</v>
      </c>
    </row>
    <row r="428" spans="1:19" hidden="1" x14ac:dyDescent="0.3">
      <c r="A428">
        <v>100</v>
      </c>
      <c r="B428" t="s">
        <v>16</v>
      </c>
      <c r="C428" t="s">
        <v>1107</v>
      </c>
      <c r="D428" s="2" t="s">
        <v>1108</v>
      </c>
      <c r="E428" t="s">
        <v>391</v>
      </c>
      <c r="F428" t="s">
        <v>20</v>
      </c>
      <c r="G428" t="s">
        <v>21</v>
      </c>
      <c r="H428" t="s">
        <v>285</v>
      </c>
      <c r="I428" t="s">
        <v>23</v>
      </c>
      <c r="J428" t="s">
        <v>35</v>
      </c>
      <c r="K428" s="2" t="s">
        <v>1072</v>
      </c>
      <c r="L428" t="s">
        <v>26</v>
      </c>
      <c r="M428">
        <v>350580</v>
      </c>
      <c r="N428">
        <v>1</v>
      </c>
      <c r="O428" s="3">
        <v>59990</v>
      </c>
      <c r="P428" s="3">
        <v>30839</v>
      </c>
      <c r="Q428" s="5">
        <f t="shared" si="18"/>
        <v>50411.764705882357</v>
      </c>
      <c r="R428" s="5">
        <f t="shared" si="19"/>
        <v>30839</v>
      </c>
      <c r="S428" s="5">
        <f t="shared" si="20"/>
        <v>19572.764705882357</v>
      </c>
    </row>
    <row r="429" spans="1:19" hidden="1" x14ac:dyDescent="0.3">
      <c r="A429">
        <v>100</v>
      </c>
      <c r="B429" t="s">
        <v>16</v>
      </c>
      <c r="C429" t="s">
        <v>1109</v>
      </c>
      <c r="D429" s="2" t="s">
        <v>1110</v>
      </c>
      <c r="E429" t="s">
        <v>1111</v>
      </c>
      <c r="F429" t="s">
        <v>20</v>
      </c>
      <c r="G429" t="s">
        <v>21</v>
      </c>
      <c r="H429" t="s">
        <v>199</v>
      </c>
      <c r="I429" t="s">
        <v>23</v>
      </c>
      <c r="J429" t="s">
        <v>35</v>
      </c>
      <c r="K429" s="2" t="s">
        <v>1072</v>
      </c>
      <c r="L429" t="s">
        <v>26</v>
      </c>
      <c r="M429">
        <v>350581</v>
      </c>
      <c r="N429">
        <v>1</v>
      </c>
      <c r="O429" s="3">
        <v>49990</v>
      </c>
      <c r="P429" s="3">
        <v>31480</v>
      </c>
      <c r="Q429" s="5">
        <f t="shared" si="18"/>
        <v>42008.403361344543</v>
      </c>
      <c r="R429" s="5">
        <f t="shared" si="19"/>
        <v>31480</v>
      </c>
      <c r="S429" s="5">
        <f t="shared" si="20"/>
        <v>10528.403361344543</v>
      </c>
    </row>
    <row r="430" spans="1:19" hidden="1" x14ac:dyDescent="0.3">
      <c r="A430">
        <v>100</v>
      </c>
      <c r="B430" t="s">
        <v>16</v>
      </c>
      <c r="C430" t="s">
        <v>1112</v>
      </c>
      <c r="D430" s="2" t="s">
        <v>1113</v>
      </c>
      <c r="E430" t="s">
        <v>385</v>
      </c>
      <c r="F430" t="s">
        <v>20</v>
      </c>
      <c r="G430" t="s">
        <v>21</v>
      </c>
      <c r="H430" t="s">
        <v>306</v>
      </c>
      <c r="I430" t="s">
        <v>23</v>
      </c>
      <c r="J430" t="s">
        <v>35</v>
      </c>
      <c r="K430" s="2" t="s">
        <v>1072</v>
      </c>
      <c r="L430" t="s">
        <v>26</v>
      </c>
      <c r="M430">
        <v>350582</v>
      </c>
      <c r="N430">
        <v>1</v>
      </c>
      <c r="O430" s="3">
        <v>59990</v>
      </c>
      <c r="P430" s="3">
        <v>33227</v>
      </c>
      <c r="Q430" s="5">
        <f t="shared" si="18"/>
        <v>50411.764705882357</v>
      </c>
      <c r="R430" s="5">
        <f t="shared" si="19"/>
        <v>33227</v>
      </c>
      <c r="S430" s="5">
        <f t="shared" si="20"/>
        <v>17184.764705882357</v>
      </c>
    </row>
    <row r="431" spans="1:19" hidden="1" x14ac:dyDescent="0.3">
      <c r="A431">
        <v>100</v>
      </c>
      <c r="B431" t="s">
        <v>16</v>
      </c>
      <c r="C431" t="s">
        <v>780</v>
      </c>
      <c r="D431" s="2" t="s">
        <v>781</v>
      </c>
      <c r="E431" t="s">
        <v>782</v>
      </c>
      <c r="F431" t="s">
        <v>20</v>
      </c>
      <c r="G431" t="s">
        <v>21</v>
      </c>
      <c r="H431" t="s">
        <v>783</v>
      </c>
      <c r="I431" t="s">
        <v>23</v>
      </c>
      <c r="J431" t="s">
        <v>40</v>
      </c>
      <c r="K431" s="2" t="s">
        <v>1072</v>
      </c>
      <c r="L431" t="s">
        <v>26</v>
      </c>
      <c r="M431">
        <v>350583</v>
      </c>
      <c r="N431">
        <v>1</v>
      </c>
      <c r="O431" s="3">
        <v>29990</v>
      </c>
      <c r="P431" s="3">
        <v>15745</v>
      </c>
      <c r="Q431" s="5">
        <f t="shared" si="18"/>
        <v>25201.680672268907</v>
      </c>
      <c r="R431" s="5">
        <f t="shared" si="19"/>
        <v>15745</v>
      </c>
      <c r="S431" s="5">
        <f t="shared" si="20"/>
        <v>9456.6806722689071</v>
      </c>
    </row>
    <row r="432" spans="1:19" hidden="1" x14ac:dyDescent="0.3">
      <c r="A432">
        <v>100</v>
      </c>
      <c r="B432" t="s">
        <v>16</v>
      </c>
      <c r="C432" t="s">
        <v>1114</v>
      </c>
      <c r="D432" s="2" t="s">
        <v>1115</v>
      </c>
      <c r="E432" t="s">
        <v>1116</v>
      </c>
      <c r="F432" t="s">
        <v>20</v>
      </c>
      <c r="G432" t="s">
        <v>21</v>
      </c>
      <c r="H432" t="s">
        <v>1117</v>
      </c>
      <c r="I432" t="s">
        <v>23</v>
      </c>
      <c r="J432" t="s">
        <v>95</v>
      </c>
      <c r="K432" s="2" t="s">
        <v>1072</v>
      </c>
      <c r="L432" t="s">
        <v>26</v>
      </c>
      <c r="M432">
        <v>350584</v>
      </c>
      <c r="N432">
        <v>1</v>
      </c>
      <c r="O432" s="3">
        <v>49990</v>
      </c>
      <c r="P432" s="3">
        <v>28039</v>
      </c>
      <c r="Q432" s="5">
        <f t="shared" si="18"/>
        <v>42008.403361344543</v>
      </c>
      <c r="R432" s="5">
        <f t="shared" si="19"/>
        <v>28039</v>
      </c>
      <c r="S432" s="5">
        <f t="shared" si="20"/>
        <v>13969.403361344543</v>
      </c>
    </row>
    <row r="433" spans="1:19" hidden="1" x14ac:dyDescent="0.3">
      <c r="A433">
        <v>100</v>
      </c>
      <c r="B433" t="s">
        <v>16</v>
      </c>
      <c r="C433" t="s">
        <v>674</v>
      </c>
      <c r="D433" s="2" t="s">
        <v>675</v>
      </c>
      <c r="E433" t="s">
        <v>503</v>
      </c>
      <c r="F433" t="s">
        <v>20</v>
      </c>
      <c r="G433" t="s">
        <v>21</v>
      </c>
      <c r="H433" t="s">
        <v>131</v>
      </c>
      <c r="I433" t="s">
        <v>23</v>
      </c>
      <c r="J433" t="s">
        <v>49</v>
      </c>
      <c r="K433" s="2" t="s">
        <v>1072</v>
      </c>
      <c r="L433" t="s">
        <v>26</v>
      </c>
      <c r="M433">
        <v>350585</v>
      </c>
      <c r="N433">
        <v>1</v>
      </c>
      <c r="O433" s="3">
        <v>39990</v>
      </c>
      <c r="P433" s="3">
        <v>25828</v>
      </c>
      <c r="Q433" s="5">
        <f t="shared" si="18"/>
        <v>33605.042016806721</v>
      </c>
      <c r="R433" s="5">
        <f t="shared" si="19"/>
        <v>25828</v>
      </c>
      <c r="S433" s="5">
        <f t="shared" si="20"/>
        <v>7777.0420168067212</v>
      </c>
    </row>
    <row r="434" spans="1:19" hidden="1" x14ac:dyDescent="0.3">
      <c r="A434">
        <v>100</v>
      </c>
      <c r="B434" t="s">
        <v>16</v>
      </c>
      <c r="C434" t="s">
        <v>1118</v>
      </c>
      <c r="D434" s="2" t="s">
        <v>1119</v>
      </c>
      <c r="E434" t="s">
        <v>1120</v>
      </c>
      <c r="F434" t="s">
        <v>20</v>
      </c>
      <c r="G434" t="s">
        <v>21</v>
      </c>
      <c r="H434" t="s">
        <v>285</v>
      </c>
      <c r="I434" t="s">
        <v>23</v>
      </c>
      <c r="J434" t="s">
        <v>49</v>
      </c>
      <c r="K434" s="2" t="s">
        <v>1072</v>
      </c>
      <c r="L434" t="s">
        <v>26</v>
      </c>
      <c r="M434">
        <v>350586</v>
      </c>
      <c r="N434">
        <v>1</v>
      </c>
      <c r="O434" s="3">
        <v>59990</v>
      </c>
      <c r="P434" s="3">
        <v>28001</v>
      </c>
      <c r="Q434" s="5">
        <f t="shared" si="18"/>
        <v>50411.764705882357</v>
      </c>
      <c r="R434" s="5">
        <f t="shared" si="19"/>
        <v>28001</v>
      </c>
      <c r="S434" s="5">
        <f t="shared" si="20"/>
        <v>22410.764705882357</v>
      </c>
    </row>
    <row r="435" spans="1:19" hidden="1" x14ac:dyDescent="0.3">
      <c r="A435">
        <v>100</v>
      </c>
      <c r="B435" t="s">
        <v>16</v>
      </c>
      <c r="C435" t="s">
        <v>458</v>
      </c>
      <c r="D435" s="2" t="s">
        <v>459</v>
      </c>
      <c r="E435" t="s">
        <v>460</v>
      </c>
      <c r="F435" t="s">
        <v>20</v>
      </c>
      <c r="G435" t="s">
        <v>21</v>
      </c>
      <c r="H435" t="s">
        <v>461</v>
      </c>
      <c r="I435" t="s">
        <v>23</v>
      </c>
      <c r="J435" t="s">
        <v>35</v>
      </c>
      <c r="K435" s="2" t="s">
        <v>1072</v>
      </c>
      <c r="L435" t="s">
        <v>26</v>
      </c>
      <c r="M435">
        <v>350587</v>
      </c>
      <c r="N435">
        <v>1</v>
      </c>
      <c r="O435" s="3">
        <v>49990</v>
      </c>
      <c r="P435" s="3">
        <v>30929</v>
      </c>
      <c r="Q435" s="5">
        <f t="shared" si="18"/>
        <v>42008.403361344543</v>
      </c>
      <c r="R435" s="5">
        <f t="shared" si="19"/>
        <v>30929</v>
      </c>
      <c r="S435" s="5">
        <f t="shared" si="20"/>
        <v>11079.403361344543</v>
      </c>
    </row>
    <row r="436" spans="1:19" hidden="1" x14ac:dyDescent="0.3">
      <c r="A436">
        <v>100</v>
      </c>
      <c r="B436" t="s">
        <v>16</v>
      </c>
      <c r="C436" t="s">
        <v>1121</v>
      </c>
      <c r="D436" s="2" t="s">
        <v>1122</v>
      </c>
      <c r="E436" t="s">
        <v>1123</v>
      </c>
      <c r="F436" t="s">
        <v>20</v>
      </c>
      <c r="G436" t="s">
        <v>21</v>
      </c>
      <c r="H436" t="s">
        <v>1124</v>
      </c>
      <c r="I436" t="s">
        <v>23</v>
      </c>
      <c r="J436" t="s">
        <v>24</v>
      </c>
      <c r="K436" s="2" t="s">
        <v>1072</v>
      </c>
      <c r="L436" t="s">
        <v>26</v>
      </c>
      <c r="M436">
        <v>350588</v>
      </c>
      <c r="N436">
        <v>1</v>
      </c>
      <c r="O436" s="3">
        <v>74950</v>
      </c>
      <c r="P436" s="3">
        <v>25834</v>
      </c>
      <c r="Q436" s="5">
        <f t="shared" si="18"/>
        <v>62983.193277310929</v>
      </c>
      <c r="R436" s="5">
        <f t="shared" si="19"/>
        <v>25834</v>
      </c>
      <c r="S436" s="5">
        <f t="shared" si="20"/>
        <v>37149.193277310929</v>
      </c>
    </row>
    <row r="437" spans="1:19" hidden="1" x14ac:dyDescent="0.3">
      <c r="A437">
        <v>100</v>
      </c>
      <c r="B437" t="s">
        <v>16</v>
      </c>
      <c r="C437" t="s">
        <v>593</v>
      </c>
      <c r="D437" s="2" t="s">
        <v>594</v>
      </c>
      <c r="E437" t="s">
        <v>595</v>
      </c>
      <c r="F437" t="s">
        <v>20</v>
      </c>
      <c r="G437" t="s">
        <v>21</v>
      </c>
      <c r="H437" t="s">
        <v>596</v>
      </c>
      <c r="I437" t="s">
        <v>23</v>
      </c>
      <c r="J437" t="s">
        <v>207</v>
      </c>
      <c r="K437" s="2" t="s">
        <v>1072</v>
      </c>
      <c r="L437" t="s">
        <v>26</v>
      </c>
      <c r="M437">
        <v>350589</v>
      </c>
      <c r="N437">
        <v>1</v>
      </c>
      <c r="O437" s="3">
        <v>39990</v>
      </c>
      <c r="P437" s="3">
        <v>29851</v>
      </c>
      <c r="Q437" s="5">
        <f t="shared" si="18"/>
        <v>33605.042016806721</v>
      </c>
      <c r="R437" s="5">
        <f t="shared" si="19"/>
        <v>29851</v>
      </c>
      <c r="S437" s="5">
        <f t="shared" si="20"/>
        <v>3754.0420168067212</v>
      </c>
    </row>
    <row r="438" spans="1:19" hidden="1" x14ac:dyDescent="0.3">
      <c r="A438">
        <v>100</v>
      </c>
      <c r="B438" t="s">
        <v>16</v>
      </c>
      <c r="C438" t="s">
        <v>1125</v>
      </c>
      <c r="D438" s="2" t="s">
        <v>1126</v>
      </c>
      <c r="E438" t="s">
        <v>933</v>
      </c>
      <c r="F438" t="s">
        <v>20</v>
      </c>
      <c r="G438" t="s">
        <v>21</v>
      </c>
      <c r="H438" t="s">
        <v>718</v>
      </c>
      <c r="I438" t="s">
        <v>23</v>
      </c>
      <c r="J438" t="s">
        <v>35</v>
      </c>
      <c r="K438" s="2" t="s">
        <v>1072</v>
      </c>
      <c r="L438" t="s">
        <v>26</v>
      </c>
      <c r="M438">
        <v>350590</v>
      </c>
      <c r="N438">
        <v>1</v>
      </c>
      <c r="O438" s="3">
        <v>59990</v>
      </c>
      <c r="P438" s="3">
        <v>32101</v>
      </c>
      <c r="Q438" s="5">
        <f t="shared" si="18"/>
        <v>50411.764705882357</v>
      </c>
      <c r="R438" s="5">
        <f t="shared" si="19"/>
        <v>32101</v>
      </c>
      <c r="S438" s="5">
        <f t="shared" si="20"/>
        <v>18310.764705882357</v>
      </c>
    </row>
    <row r="439" spans="1:19" hidden="1" x14ac:dyDescent="0.3">
      <c r="A439">
        <v>100</v>
      </c>
      <c r="B439" t="s">
        <v>16</v>
      </c>
      <c r="C439">
        <v>1687976791</v>
      </c>
      <c r="D439" s="2" t="s">
        <v>200</v>
      </c>
      <c r="E439" t="s">
        <v>201</v>
      </c>
      <c r="F439" t="s">
        <v>201</v>
      </c>
      <c r="G439" t="s">
        <v>202</v>
      </c>
      <c r="H439" t="s">
        <v>202</v>
      </c>
      <c r="I439" t="s">
        <v>23</v>
      </c>
      <c r="J439" t="s">
        <v>202</v>
      </c>
      <c r="K439" s="2" t="s">
        <v>1072</v>
      </c>
      <c r="L439" t="s">
        <v>26</v>
      </c>
      <c r="M439">
        <v>350590</v>
      </c>
      <c r="N439">
        <v>1</v>
      </c>
      <c r="O439" s="3">
        <v>5990</v>
      </c>
      <c r="P439">
        <v>1</v>
      </c>
      <c r="Q439" s="5">
        <f t="shared" si="18"/>
        <v>5033.6134453781515</v>
      </c>
      <c r="R439" s="5">
        <f t="shared" si="19"/>
        <v>1</v>
      </c>
      <c r="S439" s="5">
        <f t="shared" si="20"/>
        <v>5032.6134453781515</v>
      </c>
    </row>
    <row r="440" spans="1:19" hidden="1" x14ac:dyDescent="0.3">
      <c r="A440">
        <v>100</v>
      </c>
      <c r="B440" t="s">
        <v>16</v>
      </c>
      <c r="C440">
        <v>1687976791</v>
      </c>
      <c r="D440" s="2" t="s">
        <v>200</v>
      </c>
      <c r="E440" t="s">
        <v>201</v>
      </c>
      <c r="F440" t="s">
        <v>201</v>
      </c>
      <c r="G440" t="s">
        <v>202</v>
      </c>
      <c r="H440" t="s">
        <v>202</v>
      </c>
      <c r="I440" t="s">
        <v>23</v>
      </c>
      <c r="J440" t="s">
        <v>202</v>
      </c>
      <c r="K440" s="2" t="s">
        <v>1072</v>
      </c>
      <c r="L440" t="s">
        <v>26</v>
      </c>
      <c r="M440">
        <v>350591</v>
      </c>
      <c r="N440">
        <v>1</v>
      </c>
      <c r="O440" s="3">
        <v>3200</v>
      </c>
      <c r="P440">
        <v>1</v>
      </c>
      <c r="Q440" s="5">
        <f t="shared" si="18"/>
        <v>2689.0756302521008</v>
      </c>
      <c r="R440" s="5">
        <f t="shared" si="19"/>
        <v>1</v>
      </c>
      <c r="S440" s="5">
        <f t="shared" si="20"/>
        <v>2688.0756302521008</v>
      </c>
    </row>
    <row r="441" spans="1:19" hidden="1" x14ac:dyDescent="0.3">
      <c r="A441">
        <v>100</v>
      </c>
      <c r="B441" t="s">
        <v>16</v>
      </c>
      <c r="C441" t="s">
        <v>50</v>
      </c>
      <c r="D441" s="2" t="s">
        <v>51</v>
      </c>
      <c r="E441" t="s">
        <v>52</v>
      </c>
      <c r="F441" t="s">
        <v>20</v>
      </c>
      <c r="G441" t="s">
        <v>21</v>
      </c>
      <c r="H441" t="s">
        <v>53</v>
      </c>
      <c r="I441" t="s">
        <v>23</v>
      </c>
      <c r="J441" t="s">
        <v>49</v>
      </c>
      <c r="K441" s="2" t="s">
        <v>1072</v>
      </c>
      <c r="L441" t="s">
        <v>26</v>
      </c>
      <c r="M441">
        <v>350591</v>
      </c>
      <c r="N441">
        <v>1</v>
      </c>
      <c r="O441" s="3">
        <v>49990</v>
      </c>
      <c r="P441" s="3">
        <v>21123</v>
      </c>
      <c r="Q441" s="5">
        <f t="shared" si="18"/>
        <v>42008.403361344543</v>
      </c>
      <c r="R441" s="5">
        <f t="shared" si="19"/>
        <v>21123</v>
      </c>
      <c r="S441" s="5">
        <f t="shared" si="20"/>
        <v>20885.403361344543</v>
      </c>
    </row>
    <row r="442" spans="1:19" hidden="1" x14ac:dyDescent="0.3">
      <c r="A442">
        <v>100</v>
      </c>
      <c r="B442" t="s">
        <v>16</v>
      </c>
      <c r="C442" t="s">
        <v>1127</v>
      </c>
      <c r="D442" s="2" t="s">
        <v>1128</v>
      </c>
      <c r="E442" t="s">
        <v>1129</v>
      </c>
      <c r="F442" t="s">
        <v>377</v>
      </c>
      <c r="G442" t="s">
        <v>21</v>
      </c>
      <c r="H442" t="s">
        <v>378</v>
      </c>
      <c r="I442" t="s">
        <v>23</v>
      </c>
      <c r="J442" t="s">
        <v>379</v>
      </c>
      <c r="K442" s="2" t="s">
        <v>1072</v>
      </c>
      <c r="L442" t="s">
        <v>26</v>
      </c>
      <c r="M442">
        <v>350591</v>
      </c>
      <c r="N442">
        <v>1</v>
      </c>
      <c r="O442" s="3">
        <v>5950</v>
      </c>
      <c r="P442" s="3">
        <v>2793</v>
      </c>
      <c r="Q442" s="5">
        <f t="shared" si="18"/>
        <v>5000</v>
      </c>
      <c r="R442" s="5">
        <f t="shared" si="19"/>
        <v>2793</v>
      </c>
      <c r="S442" s="5">
        <f t="shared" si="20"/>
        <v>2207</v>
      </c>
    </row>
    <row r="443" spans="1:19" hidden="1" x14ac:dyDescent="0.3">
      <c r="A443">
        <v>100</v>
      </c>
      <c r="B443" t="s">
        <v>16</v>
      </c>
      <c r="C443" t="s">
        <v>1130</v>
      </c>
      <c r="D443" s="2" t="s">
        <v>1131</v>
      </c>
      <c r="E443" t="s">
        <v>1132</v>
      </c>
      <c r="F443" t="s">
        <v>20</v>
      </c>
      <c r="G443" t="s">
        <v>21</v>
      </c>
      <c r="H443" t="s">
        <v>686</v>
      </c>
      <c r="I443" t="s">
        <v>23</v>
      </c>
      <c r="J443" t="s">
        <v>31</v>
      </c>
      <c r="K443" s="2" t="s">
        <v>1072</v>
      </c>
      <c r="L443" t="s">
        <v>26</v>
      </c>
      <c r="M443">
        <v>350592</v>
      </c>
      <c r="N443">
        <v>1</v>
      </c>
      <c r="O443" s="3">
        <v>139950</v>
      </c>
      <c r="P443" s="3">
        <v>67844</v>
      </c>
      <c r="Q443" s="5">
        <f t="shared" si="18"/>
        <v>117605.04201680672</v>
      </c>
      <c r="R443" s="5">
        <f t="shared" si="19"/>
        <v>67844</v>
      </c>
      <c r="S443" s="5">
        <f t="shared" si="20"/>
        <v>49761.042016806721</v>
      </c>
    </row>
    <row r="444" spans="1:19" hidden="1" x14ac:dyDescent="0.3">
      <c r="A444">
        <v>100</v>
      </c>
      <c r="B444" t="s">
        <v>16</v>
      </c>
      <c r="C444" t="s">
        <v>1133</v>
      </c>
      <c r="D444" s="2" t="s">
        <v>1134</v>
      </c>
      <c r="E444" t="s">
        <v>477</v>
      </c>
      <c r="F444" t="s">
        <v>20</v>
      </c>
      <c r="G444" t="s">
        <v>21</v>
      </c>
      <c r="H444" t="s">
        <v>48</v>
      </c>
      <c r="I444" t="s">
        <v>23</v>
      </c>
      <c r="J444" t="s">
        <v>35</v>
      </c>
      <c r="K444" s="2" t="s">
        <v>1072</v>
      </c>
      <c r="L444" t="s">
        <v>26</v>
      </c>
      <c r="M444">
        <v>350593</v>
      </c>
      <c r="N444">
        <v>1</v>
      </c>
      <c r="O444" s="3">
        <v>43990</v>
      </c>
      <c r="P444" s="3">
        <v>28968</v>
      </c>
      <c r="Q444" s="5">
        <f t="shared" si="18"/>
        <v>36966.386554621851</v>
      </c>
      <c r="R444" s="5">
        <f t="shared" si="19"/>
        <v>28968</v>
      </c>
      <c r="S444" s="5">
        <f t="shared" si="20"/>
        <v>7998.3865546218512</v>
      </c>
    </row>
    <row r="445" spans="1:19" hidden="1" x14ac:dyDescent="0.3">
      <c r="A445">
        <v>100</v>
      </c>
      <c r="B445" t="s">
        <v>16</v>
      </c>
      <c r="C445" t="s">
        <v>164</v>
      </c>
      <c r="D445" s="2" t="s">
        <v>165</v>
      </c>
      <c r="E445" t="s">
        <v>166</v>
      </c>
      <c r="F445" t="s">
        <v>20</v>
      </c>
      <c r="G445" t="s">
        <v>21</v>
      </c>
      <c r="H445" t="s">
        <v>167</v>
      </c>
      <c r="I445" t="s">
        <v>23</v>
      </c>
      <c r="J445" t="s">
        <v>35</v>
      </c>
      <c r="K445" s="2" t="s">
        <v>1072</v>
      </c>
      <c r="L445" t="s">
        <v>26</v>
      </c>
      <c r="M445">
        <v>350594</v>
      </c>
      <c r="N445">
        <v>1</v>
      </c>
      <c r="O445" s="3">
        <v>43990</v>
      </c>
      <c r="P445" s="3">
        <v>36218</v>
      </c>
      <c r="Q445" s="5">
        <f t="shared" si="18"/>
        <v>36966.386554621851</v>
      </c>
      <c r="R445" s="5">
        <f t="shared" si="19"/>
        <v>36218</v>
      </c>
      <c r="S445" s="5">
        <f t="shared" si="20"/>
        <v>748.38655462185125</v>
      </c>
    </row>
    <row r="446" spans="1:19" hidden="1" x14ac:dyDescent="0.3">
      <c r="A446">
        <v>100</v>
      </c>
      <c r="B446" t="s">
        <v>16</v>
      </c>
      <c r="C446" t="s">
        <v>751</v>
      </c>
      <c r="D446" s="2" t="s">
        <v>752</v>
      </c>
      <c r="E446" t="s">
        <v>753</v>
      </c>
      <c r="F446" t="s">
        <v>20</v>
      </c>
      <c r="G446" t="s">
        <v>21</v>
      </c>
      <c r="H446" t="s">
        <v>156</v>
      </c>
      <c r="I446" t="s">
        <v>23</v>
      </c>
      <c r="J446" t="s">
        <v>35</v>
      </c>
      <c r="K446" s="2" t="s">
        <v>1072</v>
      </c>
      <c r="L446" t="s">
        <v>26</v>
      </c>
      <c r="M446">
        <v>350595</v>
      </c>
      <c r="N446">
        <v>1</v>
      </c>
      <c r="O446" s="3">
        <v>61990</v>
      </c>
      <c r="P446" s="3">
        <v>38466</v>
      </c>
      <c r="Q446" s="5">
        <f t="shared" si="18"/>
        <v>52092.436974789918</v>
      </c>
      <c r="R446" s="5">
        <f t="shared" si="19"/>
        <v>38466</v>
      </c>
      <c r="S446" s="5">
        <f t="shared" si="20"/>
        <v>13626.436974789918</v>
      </c>
    </row>
    <row r="447" spans="1:19" hidden="1" x14ac:dyDescent="0.3">
      <c r="A447">
        <v>100</v>
      </c>
      <c r="B447" t="s">
        <v>16</v>
      </c>
      <c r="C447" t="s">
        <v>1135</v>
      </c>
      <c r="D447" s="2" t="s">
        <v>1136</v>
      </c>
      <c r="E447" t="s">
        <v>1137</v>
      </c>
      <c r="F447" t="s">
        <v>20</v>
      </c>
      <c r="G447" t="s">
        <v>21</v>
      </c>
      <c r="H447" t="s">
        <v>224</v>
      </c>
      <c r="I447" t="s">
        <v>23</v>
      </c>
      <c r="J447" t="s">
        <v>49</v>
      </c>
      <c r="K447" s="2" t="s">
        <v>1072</v>
      </c>
      <c r="L447" t="s">
        <v>26</v>
      </c>
      <c r="M447">
        <v>350596</v>
      </c>
      <c r="N447">
        <v>1</v>
      </c>
      <c r="O447" s="3">
        <v>51990</v>
      </c>
      <c r="P447" s="3">
        <v>31921</v>
      </c>
      <c r="Q447" s="5">
        <f t="shared" si="18"/>
        <v>43689.075630252104</v>
      </c>
      <c r="R447" s="5">
        <f t="shared" si="19"/>
        <v>31921</v>
      </c>
      <c r="S447" s="5">
        <f t="shared" si="20"/>
        <v>11768.075630252104</v>
      </c>
    </row>
    <row r="448" spans="1:19" hidden="1" x14ac:dyDescent="0.3">
      <c r="A448">
        <v>100</v>
      </c>
      <c r="B448" t="s">
        <v>16</v>
      </c>
      <c r="C448" t="s">
        <v>1138</v>
      </c>
      <c r="D448" s="2" t="s">
        <v>1139</v>
      </c>
      <c r="E448" t="s">
        <v>905</v>
      </c>
      <c r="F448" t="s">
        <v>20</v>
      </c>
      <c r="G448" t="s">
        <v>21</v>
      </c>
      <c r="H448" t="s">
        <v>224</v>
      </c>
      <c r="I448" t="s">
        <v>23</v>
      </c>
      <c r="J448" t="s">
        <v>49</v>
      </c>
      <c r="K448" s="2" t="s">
        <v>1072</v>
      </c>
      <c r="L448" t="s">
        <v>26</v>
      </c>
      <c r="M448">
        <v>350596</v>
      </c>
      <c r="N448">
        <v>1</v>
      </c>
      <c r="O448" s="3">
        <v>51990</v>
      </c>
      <c r="P448" s="3">
        <v>27358</v>
      </c>
      <c r="Q448" s="5">
        <f t="shared" si="18"/>
        <v>43689.075630252104</v>
      </c>
      <c r="R448" s="5">
        <f t="shared" si="19"/>
        <v>27358</v>
      </c>
      <c r="S448" s="5">
        <f t="shared" si="20"/>
        <v>16331.075630252104</v>
      </c>
    </row>
    <row r="449" spans="1:19" hidden="1" x14ac:dyDescent="0.3">
      <c r="A449">
        <v>100</v>
      </c>
      <c r="B449" t="s">
        <v>16</v>
      </c>
      <c r="C449" t="s">
        <v>1140</v>
      </c>
      <c r="D449" s="2" t="s">
        <v>1141</v>
      </c>
      <c r="E449" t="s">
        <v>1142</v>
      </c>
      <c r="F449" t="s">
        <v>20</v>
      </c>
      <c r="G449" t="s">
        <v>21</v>
      </c>
      <c r="H449" t="s">
        <v>1143</v>
      </c>
      <c r="I449" t="s">
        <v>23</v>
      </c>
      <c r="J449" t="s">
        <v>40</v>
      </c>
      <c r="K449" s="2" t="s">
        <v>1072</v>
      </c>
      <c r="L449" t="s">
        <v>26</v>
      </c>
      <c r="M449">
        <v>350597</v>
      </c>
      <c r="N449">
        <v>1</v>
      </c>
      <c r="O449" s="3">
        <v>30990</v>
      </c>
      <c r="P449" s="3">
        <v>27337</v>
      </c>
      <c r="Q449" s="5">
        <f t="shared" si="18"/>
        <v>26042.016806722691</v>
      </c>
      <c r="R449" s="5">
        <f t="shared" si="19"/>
        <v>27337</v>
      </c>
      <c r="S449" s="5">
        <f t="shared" si="20"/>
        <v>-1294.9831932773086</v>
      </c>
    </row>
    <row r="450" spans="1:19" hidden="1" x14ac:dyDescent="0.3">
      <c r="A450">
        <v>100</v>
      </c>
      <c r="B450" t="s">
        <v>16</v>
      </c>
      <c r="C450" t="s">
        <v>1144</v>
      </c>
      <c r="D450" s="2" t="s">
        <v>1145</v>
      </c>
      <c r="E450" t="s">
        <v>1146</v>
      </c>
      <c r="F450" t="s">
        <v>20</v>
      </c>
      <c r="G450" t="s">
        <v>21</v>
      </c>
      <c r="H450" t="s">
        <v>1020</v>
      </c>
      <c r="I450" t="s">
        <v>23</v>
      </c>
      <c r="J450" t="s">
        <v>49</v>
      </c>
      <c r="K450" s="2" t="s">
        <v>1072</v>
      </c>
      <c r="L450" t="s">
        <v>26</v>
      </c>
      <c r="M450">
        <v>350598</v>
      </c>
      <c r="N450">
        <v>2</v>
      </c>
      <c r="O450" s="3">
        <v>61980</v>
      </c>
      <c r="P450" s="3">
        <v>21466</v>
      </c>
      <c r="Q450" s="5">
        <f t="shared" si="18"/>
        <v>52084.033613445383</v>
      </c>
      <c r="R450" s="5">
        <f t="shared" si="19"/>
        <v>42932</v>
      </c>
      <c r="S450" s="5">
        <f t="shared" si="20"/>
        <v>9152.0336134453828</v>
      </c>
    </row>
    <row r="451" spans="1:19" hidden="1" x14ac:dyDescent="0.3">
      <c r="A451">
        <v>100</v>
      </c>
      <c r="B451" t="s">
        <v>16</v>
      </c>
      <c r="C451">
        <v>1687976791</v>
      </c>
      <c r="D451" s="2" t="s">
        <v>200</v>
      </c>
      <c r="E451" t="s">
        <v>201</v>
      </c>
      <c r="F451" t="s">
        <v>201</v>
      </c>
      <c r="G451" t="s">
        <v>202</v>
      </c>
      <c r="H451" t="s">
        <v>202</v>
      </c>
      <c r="I451" t="s">
        <v>23</v>
      </c>
      <c r="J451" t="s">
        <v>202</v>
      </c>
      <c r="K451" s="2" t="s">
        <v>1072</v>
      </c>
      <c r="L451" t="s">
        <v>26</v>
      </c>
      <c r="M451">
        <v>350599</v>
      </c>
      <c r="N451">
        <v>1</v>
      </c>
      <c r="O451" s="3">
        <v>6390</v>
      </c>
      <c r="P451">
        <v>1</v>
      </c>
      <c r="Q451" s="5">
        <f t="shared" si="18"/>
        <v>5369.7478991596645</v>
      </c>
      <c r="R451" s="5">
        <f t="shared" si="19"/>
        <v>1</v>
      </c>
      <c r="S451" s="5">
        <f t="shared" si="20"/>
        <v>5368.7478991596645</v>
      </c>
    </row>
    <row r="452" spans="1:19" hidden="1" x14ac:dyDescent="0.3">
      <c r="A452">
        <v>100</v>
      </c>
      <c r="B452" t="s">
        <v>16</v>
      </c>
      <c r="C452" t="s">
        <v>1147</v>
      </c>
      <c r="D452" s="2" t="s">
        <v>1148</v>
      </c>
      <c r="E452" t="s">
        <v>1042</v>
      </c>
      <c r="F452" t="s">
        <v>20</v>
      </c>
      <c r="G452" t="s">
        <v>21</v>
      </c>
      <c r="H452" t="s">
        <v>317</v>
      </c>
      <c r="I452" t="s">
        <v>23</v>
      </c>
      <c r="J452" t="s">
        <v>35</v>
      </c>
      <c r="K452" s="2" t="s">
        <v>1072</v>
      </c>
      <c r="L452" t="s">
        <v>26</v>
      </c>
      <c r="M452">
        <v>350599</v>
      </c>
      <c r="N452">
        <v>1</v>
      </c>
      <c r="O452" s="3">
        <v>49990</v>
      </c>
      <c r="P452" s="3">
        <v>24344</v>
      </c>
      <c r="Q452" s="5">
        <f t="shared" si="18"/>
        <v>42008.403361344543</v>
      </c>
      <c r="R452" s="5">
        <f t="shared" si="19"/>
        <v>24344</v>
      </c>
      <c r="S452" s="5">
        <f t="shared" si="20"/>
        <v>17664.403361344543</v>
      </c>
    </row>
    <row r="453" spans="1:19" hidden="1" x14ac:dyDescent="0.3">
      <c r="A453">
        <v>100</v>
      </c>
      <c r="B453" t="s">
        <v>16</v>
      </c>
      <c r="C453" t="s">
        <v>1149</v>
      </c>
      <c r="D453" s="2" t="s">
        <v>1150</v>
      </c>
      <c r="E453" t="s">
        <v>1151</v>
      </c>
      <c r="F453" t="s">
        <v>20</v>
      </c>
      <c r="G453" t="s">
        <v>338</v>
      </c>
      <c r="H453">
        <v>25362</v>
      </c>
      <c r="I453" t="s">
        <v>23</v>
      </c>
      <c r="J453" t="s">
        <v>35</v>
      </c>
      <c r="K453" s="2" t="s">
        <v>1152</v>
      </c>
      <c r="L453" t="s">
        <v>26</v>
      </c>
      <c r="M453">
        <v>350600</v>
      </c>
      <c r="N453">
        <v>1</v>
      </c>
      <c r="O453" s="3">
        <v>74950</v>
      </c>
      <c r="P453" s="3">
        <v>23473</v>
      </c>
      <c r="Q453" s="5">
        <f t="shared" si="18"/>
        <v>62983.193277310929</v>
      </c>
      <c r="R453" s="5">
        <f t="shared" si="19"/>
        <v>23473</v>
      </c>
      <c r="S453" s="5">
        <f t="shared" si="20"/>
        <v>39510.193277310929</v>
      </c>
    </row>
    <row r="454" spans="1:19" hidden="1" x14ac:dyDescent="0.3">
      <c r="A454">
        <v>100</v>
      </c>
      <c r="B454" t="s">
        <v>16</v>
      </c>
      <c r="C454" t="s">
        <v>1153</v>
      </c>
      <c r="D454" s="2" t="s">
        <v>1154</v>
      </c>
      <c r="E454" t="s">
        <v>1155</v>
      </c>
      <c r="F454" t="s">
        <v>20</v>
      </c>
      <c r="G454" t="s">
        <v>21</v>
      </c>
      <c r="H454" t="s">
        <v>1156</v>
      </c>
      <c r="I454" t="s">
        <v>23</v>
      </c>
      <c r="J454" t="s">
        <v>40</v>
      </c>
      <c r="K454" s="2" t="s">
        <v>1152</v>
      </c>
      <c r="L454" t="s">
        <v>26</v>
      </c>
      <c r="M454">
        <v>350601</v>
      </c>
      <c r="N454">
        <v>1</v>
      </c>
      <c r="O454" s="3">
        <v>39990</v>
      </c>
      <c r="P454" s="3">
        <v>27718</v>
      </c>
      <c r="Q454" s="5">
        <f t="shared" ref="Q454:Q517" si="21">O454/1.19</f>
        <v>33605.042016806721</v>
      </c>
      <c r="R454" s="5">
        <f t="shared" ref="R454:R517" si="22">N454*P454</f>
        <v>27718</v>
      </c>
      <c r="S454" s="5">
        <f t="shared" ref="S454:S517" si="23">Q454-R454</f>
        <v>5887.0420168067212</v>
      </c>
    </row>
    <row r="455" spans="1:19" hidden="1" x14ac:dyDescent="0.3">
      <c r="A455">
        <v>100</v>
      </c>
      <c r="B455" t="s">
        <v>16</v>
      </c>
      <c r="C455" t="s">
        <v>1157</v>
      </c>
      <c r="D455" s="2" t="s">
        <v>1158</v>
      </c>
      <c r="E455" t="s">
        <v>1159</v>
      </c>
      <c r="F455" t="s">
        <v>20</v>
      </c>
      <c r="G455" t="s">
        <v>21</v>
      </c>
      <c r="H455" t="s">
        <v>411</v>
      </c>
      <c r="I455" t="s">
        <v>23</v>
      </c>
      <c r="J455" t="s">
        <v>49</v>
      </c>
      <c r="K455" s="2" t="s">
        <v>1152</v>
      </c>
      <c r="L455" t="s">
        <v>26</v>
      </c>
      <c r="M455">
        <v>350602</v>
      </c>
      <c r="N455">
        <v>1</v>
      </c>
      <c r="O455" s="3">
        <v>39990</v>
      </c>
      <c r="P455" s="3">
        <v>25246</v>
      </c>
      <c r="Q455" s="5">
        <f t="shared" si="21"/>
        <v>33605.042016806721</v>
      </c>
      <c r="R455" s="5">
        <f t="shared" si="22"/>
        <v>25246</v>
      </c>
      <c r="S455" s="5">
        <f t="shared" si="23"/>
        <v>8359.0420168067212</v>
      </c>
    </row>
    <row r="456" spans="1:19" hidden="1" x14ac:dyDescent="0.3">
      <c r="A456">
        <v>100</v>
      </c>
      <c r="B456" t="s">
        <v>16</v>
      </c>
      <c r="C456" t="s">
        <v>1160</v>
      </c>
      <c r="D456" s="2" t="s">
        <v>1161</v>
      </c>
      <c r="E456" t="s">
        <v>151</v>
      </c>
      <c r="F456" t="s">
        <v>20</v>
      </c>
      <c r="G456" t="s">
        <v>21</v>
      </c>
      <c r="H456" t="s">
        <v>152</v>
      </c>
      <c r="I456" t="s">
        <v>23</v>
      </c>
      <c r="J456" t="s">
        <v>40</v>
      </c>
      <c r="K456" s="2" t="s">
        <v>1152</v>
      </c>
      <c r="L456" t="s">
        <v>26</v>
      </c>
      <c r="M456">
        <v>350603</v>
      </c>
      <c r="N456">
        <v>1</v>
      </c>
      <c r="O456" s="3">
        <v>34990</v>
      </c>
      <c r="P456" s="3">
        <v>16861</v>
      </c>
      <c r="Q456" s="5">
        <f t="shared" si="21"/>
        <v>29403.361344537818</v>
      </c>
      <c r="R456" s="5">
        <f t="shared" si="22"/>
        <v>16861</v>
      </c>
      <c r="S456" s="5">
        <f t="shared" si="23"/>
        <v>12542.361344537818</v>
      </c>
    </row>
    <row r="457" spans="1:19" hidden="1" x14ac:dyDescent="0.3">
      <c r="A457">
        <v>100</v>
      </c>
      <c r="B457" t="s">
        <v>16</v>
      </c>
      <c r="C457" t="s">
        <v>1162</v>
      </c>
      <c r="D457" s="2" t="s">
        <v>1163</v>
      </c>
      <c r="E457" t="s">
        <v>148</v>
      </c>
      <c r="F457" t="s">
        <v>20</v>
      </c>
      <c r="G457" t="s">
        <v>21</v>
      </c>
      <c r="H457" t="s">
        <v>114</v>
      </c>
      <c r="I457" t="s">
        <v>23</v>
      </c>
      <c r="J457" t="s">
        <v>31</v>
      </c>
      <c r="K457" s="2" t="s">
        <v>1152</v>
      </c>
      <c r="L457" t="s">
        <v>26</v>
      </c>
      <c r="M457">
        <v>350604</v>
      </c>
      <c r="N457">
        <v>1</v>
      </c>
      <c r="O457" s="3">
        <v>59990</v>
      </c>
      <c r="P457" s="3">
        <v>28912</v>
      </c>
      <c r="Q457" s="5">
        <f t="shared" si="21"/>
        <v>50411.764705882357</v>
      </c>
      <c r="R457" s="5">
        <f t="shared" si="22"/>
        <v>28912</v>
      </c>
      <c r="S457" s="5">
        <f t="shared" si="23"/>
        <v>21499.764705882357</v>
      </c>
    </row>
    <row r="458" spans="1:19" hidden="1" x14ac:dyDescent="0.3">
      <c r="A458">
        <v>100</v>
      </c>
      <c r="B458" t="s">
        <v>16</v>
      </c>
      <c r="C458" t="s">
        <v>1164</v>
      </c>
      <c r="D458" s="2" t="s">
        <v>1165</v>
      </c>
      <c r="E458" t="s">
        <v>1166</v>
      </c>
      <c r="F458" t="s">
        <v>20</v>
      </c>
      <c r="G458" t="s">
        <v>21</v>
      </c>
      <c r="H458" t="s">
        <v>135</v>
      </c>
      <c r="I458" t="s">
        <v>23</v>
      </c>
      <c r="J458" t="s">
        <v>35</v>
      </c>
      <c r="K458" s="2" t="s">
        <v>1152</v>
      </c>
      <c r="L458" t="s">
        <v>26</v>
      </c>
      <c r="M458">
        <v>350605</v>
      </c>
      <c r="N458">
        <v>1</v>
      </c>
      <c r="O458" s="3">
        <v>59990</v>
      </c>
      <c r="P458" s="3">
        <v>38638</v>
      </c>
      <c r="Q458" s="5">
        <f t="shared" si="21"/>
        <v>50411.764705882357</v>
      </c>
      <c r="R458" s="5">
        <f t="shared" si="22"/>
        <v>38638</v>
      </c>
      <c r="S458" s="5">
        <f t="shared" si="23"/>
        <v>11773.764705882357</v>
      </c>
    </row>
    <row r="459" spans="1:19" hidden="1" x14ac:dyDescent="0.3">
      <c r="A459">
        <v>100</v>
      </c>
      <c r="B459" t="s">
        <v>16</v>
      </c>
      <c r="C459" t="s">
        <v>1167</v>
      </c>
      <c r="D459" s="2" t="s">
        <v>1168</v>
      </c>
      <c r="E459" t="s">
        <v>334</v>
      </c>
      <c r="F459" t="s">
        <v>20</v>
      </c>
      <c r="G459" t="s">
        <v>21</v>
      </c>
      <c r="H459" t="s">
        <v>199</v>
      </c>
      <c r="I459" t="s">
        <v>23</v>
      </c>
      <c r="J459" t="s">
        <v>35</v>
      </c>
      <c r="K459" s="2" t="s">
        <v>1152</v>
      </c>
      <c r="L459" t="s">
        <v>26</v>
      </c>
      <c r="M459">
        <v>350606</v>
      </c>
      <c r="N459">
        <v>1</v>
      </c>
      <c r="O459" s="3">
        <v>64990</v>
      </c>
      <c r="P459" s="3">
        <v>34694</v>
      </c>
      <c r="Q459" s="5">
        <f t="shared" si="21"/>
        <v>54613.445378151264</v>
      </c>
      <c r="R459" s="5">
        <f t="shared" si="22"/>
        <v>34694</v>
      </c>
      <c r="S459" s="5">
        <f t="shared" si="23"/>
        <v>19919.445378151264</v>
      </c>
    </row>
    <row r="460" spans="1:19" hidden="1" x14ac:dyDescent="0.3">
      <c r="A460">
        <v>100</v>
      </c>
      <c r="B460" t="s">
        <v>16</v>
      </c>
      <c r="C460" t="s">
        <v>437</v>
      </c>
      <c r="D460" s="2" t="s">
        <v>438</v>
      </c>
      <c r="E460" t="s">
        <v>439</v>
      </c>
      <c r="F460" t="s">
        <v>20</v>
      </c>
      <c r="G460" t="s">
        <v>21</v>
      </c>
      <c r="H460" t="s">
        <v>122</v>
      </c>
      <c r="I460" t="s">
        <v>23</v>
      </c>
      <c r="J460" t="s">
        <v>35</v>
      </c>
      <c r="K460" s="2" t="s">
        <v>1152</v>
      </c>
      <c r="L460" t="s">
        <v>26</v>
      </c>
      <c r="M460">
        <v>350607</v>
      </c>
      <c r="N460">
        <v>1</v>
      </c>
      <c r="O460" s="3">
        <v>49990</v>
      </c>
      <c r="P460" s="3">
        <v>31826</v>
      </c>
      <c r="Q460" s="5">
        <f t="shared" si="21"/>
        <v>42008.403361344543</v>
      </c>
      <c r="R460" s="5">
        <f t="shared" si="22"/>
        <v>31826</v>
      </c>
      <c r="S460" s="5">
        <f t="shared" si="23"/>
        <v>10182.403361344543</v>
      </c>
    </row>
    <row r="461" spans="1:19" hidden="1" x14ac:dyDescent="0.3">
      <c r="A461">
        <v>100</v>
      </c>
      <c r="B461" t="s">
        <v>16</v>
      </c>
      <c r="C461" t="s">
        <v>1169</v>
      </c>
      <c r="D461" s="2" t="s">
        <v>1170</v>
      </c>
      <c r="E461" t="s">
        <v>1171</v>
      </c>
      <c r="F461" t="s">
        <v>20</v>
      </c>
      <c r="G461" t="s">
        <v>21</v>
      </c>
      <c r="H461" t="s">
        <v>500</v>
      </c>
      <c r="I461" t="s">
        <v>23</v>
      </c>
      <c r="J461" t="s">
        <v>40</v>
      </c>
      <c r="K461" s="2" t="s">
        <v>1152</v>
      </c>
      <c r="L461" t="s">
        <v>26</v>
      </c>
      <c r="M461">
        <v>350608</v>
      </c>
      <c r="N461">
        <v>1</v>
      </c>
      <c r="O461" s="3">
        <v>59950</v>
      </c>
      <c r="P461" s="3">
        <v>17416</v>
      </c>
      <c r="Q461" s="5">
        <f t="shared" si="21"/>
        <v>50378.151260504201</v>
      </c>
      <c r="R461" s="5">
        <f t="shared" si="22"/>
        <v>17416</v>
      </c>
      <c r="S461" s="5">
        <f t="shared" si="23"/>
        <v>32962.151260504201</v>
      </c>
    </row>
    <row r="462" spans="1:19" hidden="1" x14ac:dyDescent="0.3">
      <c r="A462">
        <v>100</v>
      </c>
      <c r="B462" t="s">
        <v>16</v>
      </c>
      <c r="C462" t="s">
        <v>1172</v>
      </c>
      <c r="D462" s="2" t="s">
        <v>1173</v>
      </c>
      <c r="E462" t="s">
        <v>1174</v>
      </c>
      <c r="F462" t="s">
        <v>20</v>
      </c>
      <c r="G462" t="s">
        <v>21</v>
      </c>
      <c r="H462" t="s">
        <v>272</v>
      </c>
      <c r="I462" t="s">
        <v>23</v>
      </c>
      <c r="J462" t="s">
        <v>40</v>
      </c>
      <c r="K462" s="2" t="s">
        <v>1152</v>
      </c>
      <c r="L462" t="s">
        <v>26</v>
      </c>
      <c r="M462">
        <v>350609</v>
      </c>
      <c r="N462">
        <v>1</v>
      </c>
      <c r="O462" s="3">
        <v>74950</v>
      </c>
      <c r="P462" s="3">
        <v>25136</v>
      </c>
      <c r="Q462" s="5">
        <f t="shared" si="21"/>
        <v>62983.193277310929</v>
      </c>
      <c r="R462" s="5">
        <f t="shared" si="22"/>
        <v>25136</v>
      </c>
      <c r="S462" s="5">
        <f t="shared" si="23"/>
        <v>37847.193277310929</v>
      </c>
    </row>
    <row r="463" spans="1:19" hidden="1" x14ac:dyDescent="0.3">
      <c r="A463">
        <v>100</v>
      </c>
      <c r="B463" t="s">
        <v>16</v>
      </c>
      <c r="C463" t="s">
        <v>80</v>
      </c>
      <c r="D463" s="2" t="s">
        <v>81</v>
      </c>
      <c r="E463" t="s">
        <v>82</v>
      </c>
      <c r="F463" t="s">
        <v>20</v>
      </c>
      <c r="G463" t="s">
        <v>21</v>
      </c>
      <c r="H463" t="s">
        <v>83</v>
      </c>
      <c r="I463" t="s">
        <v>23</v>
      </c>
      <c r="J463" t="s">
        <v>40</v>
      </c>
      <c r="K463" s="2" t="s">
        <v>1152</v>
      </c>
      <c r="L463" t="s">
        <v>26</v>
      </c>
      <c r="M463">
        <v>350610</v>
      </c>
      <c r="N463">
        <v>1</v>
      </c>
      <c r="O463" s="3">
        <v>39990</v>
      </c>
      <c r="P463" s="3">
        <v>27224</v>
      </c>
      <c r="Q463" s="5">
        <f t="shared" si="21"/>
        <v>33605.042016806721</v>
      </c>
      <c r="R463" s="5">
        <f t="shared" si="22"/>
        <v>27224</v>
      </c>
      <c r="S463" s="5">
        <f t="shared" si="23"/>
        <v>6381.0420168067212</v>
      </c>
    </row>
    <row r="464" spans="1:19" hidden="1" x14ac:dyDescent="0.3">
      <c r="A464">
        <v>100</v>
      </c>
      <c r="B464" t="s">
        <v>16</v>
      </c>
      <c r="C464" t="s">
        <v>762</v>
      </c>
      <c r="D464" s="2" t="s">
        <v>763</v>
      </c>
      <c r="E464" t="s">
        <v>183</v>
      </c>
      <c r="F464" t="s">
        <v>20</v>
      </c>
      <c r="G464" t="s">
        <v>21</v>
      </c>
      <c r="H464" t="s">
        <v>61</v>
      </c>
      <c r="I464" t="s">
        <v>23</v>
      </c>
      <c r="J464" t="s">
        <v>40</v>
      </c>
      <c r="K464" s="2" t="s">
        <v>1152</v>
      </c>
      <c r="L464" t="s">
        <v>26</v>
      </c>
      <c r="M464">
        <v>350611</v>
      </c>
      <c r="N464">
        <v>1</v>
      </c>
      <c r="O464" s="3">
        <v>39990</v>
      </c>
      <c r="P464" s="3">
        <v>23582</v>
      </c>
      <c r="Q464" s="5">
        <f t="shared" si="21"/>
        <v>33605.042016806721</v>
      </c>
      <c r="R464" s="5">
        <f t="shared" si="22"/>
        <v>23582</v>
      </c>
      <c r="S464" s="5">
        <f t="shared" si="23"/>
        <v>10023.042016806721</v>
      </c>
    </row>
    <row r="465" spans="1:19" hidden="1" x14ac:dyDescent="0.3">
      <c r="A465">
        <v>100</v>
      </c>
      <c r="B465" t="s">
        <v>16</v>
      </c>
      <c r="C465" t="s">
        <v>748</v>
      </c>
      <c r="D465" s="2" t="s">
        <v>749</v>
      </c>
      <c r="E465" t="s">
        <v>750</v>
      </c>
      <c r="F465" t="s">
        <v>20</v>
      </c>
      <c r="G465" t="s">
        <v>21</v>
      </c>
      <c r="H465" t="s">
        <v>48</v>
      </c>
      <c r="I465" t="s">
        <v>23</v>
      </c>
      <c r="J465" t="s">
        <v>49</v>
      </c>
      <c r="K465" s="2" t="s">
        <v>1152</v>
      </c>
      <c r="L465" t="s">
        <v>26</v>
      </c>
      <c r="M465">
        <v>350612</v>
      </c>
      <c r="N465">
        <v>1</v>
      </c>
      <c r="O465" s="3">
        <v>39990</v>
      </c>
      <c r="P465" s="3">
        <v>24940</v>
      </c>
      <c r="Q465" s="5">
        <f t="shared" si="21"/>
        <v>33605.042016806721</v>
      </c>
      <c r="R465" s="5">
        <f t="shared" si="22"/>
        <v>24940</v>
      </c>
      <c r="S465" s="5">
        <f t="shared" si="23"/>
        <v>8665.0420168067212</v>
      </c>
    </row>
    <row r="466" spans="1:19" hidden="1" x14ac:dyDescent="0.3">
      <c r="A466">
        <v>100</v>
      </c>
      <c r="B466" t="s">
        <v>16</v>
      </c>
      <c r="C466" t="s">
        <v>1175</v>
      </c>
      <c r="D466" s="2" t="s">
        <v>1176</v>
      </c>
      <c r="E466" t="s">
        <v>1177</v>
      </c>
      <c r="F466" t="s">
        <v>20</v>
      </c>
      <c r="G466" t="s">
        <v>338</v>
      </c>
      <c r="H466">
        <v>23724</v>
      </c>
      <c r="I466" t="s">
        <v>23</v>
      </c>
      <c r="J466" t="s">
        <v>40</v>
      </c>
      <c r="K466" s="2" t="s">
        <v>1152</v>
      </c>
      <c r="L466" t="s">
        <v>26</v>
      </c>
      <c r="M466">
        <v>350613</v>
      </c>
      <c r="N466">
        <v>1</v>
      </c>
      <c r="O466" s="3">
        <v>79950</v>
      </c>
      <c r="P466" s="3">
        <v>26165</v>
      </c>
      <c r="Q466" s="5">
        <f t="shared" si="21"/>
        <v>67184.873949579836</v>
      </c>
      <c r="R466" s="5">
        <f t="shared" si="22"/>
        <v>26165</v>
      </c>
      <c r="S466" s="5">
        <f t="shared" si="23"/>
        <v>41019.873949579836</v>
      </c>
    </row>
    <row r="467" spans="1:19" hidden="1" x14ac:dyDescent="0.3">
      <c r="A467">
        <v>100</v>
      </c>
      <c r="B467" t="s">
        <v>16</v>
      </c>
      <c r="C467" t="s">
        <v>1178</v>
      </c>
      <c r="D467" s="2" t="s">
        <v>1179</v>
      </c>
      <c r="E467" t="s">
        <v>1180</v>
      </c>
      <c r="F467" t="s">
        <v>20</v>
      </c>
      <c r="G467" t="s">
        <v>21</v>
      </c>
      <c r="H467" t="s">
        <v>90</v>
      </c>
      <c r="I467" t="s">
        <v>23</v>
      </c>
      <c r="J467" t="s">
        <v>35</v>
      </c>
      <c r="K467" s="2" t="s">
        <v>1152</v>
      </c>
      <c r="L467" t="s">
        <v>26</v>
      </c>
      <c r="M467">
        <v>350614</v>
      </c>
      <c r="N467">
        <v>1</v>
      </c>
      <c r="O467" s="3">
        <v>59990</v>
      </c>
      <c r="P467" s="3">
        <v>34176</v>
      </c>
      <c r="Q467" s="5">
        <f t="shared" si="21"/>
        <v>50411.764705882357</v>
      </c>
      <c r="R467" s="5">
        <f t="shared" si="22"/>
        <v>34176</v>
      </c>
      <c r="S467" s="5">
        <f t="shared" si="23"/>
        <v>16235.764705882357</v>
      </c>
    </row>
    <row r="468" spans="1:19" hidden="1" x14ac:dyDescent="0.3">
      <c r="A468">
        <v>100</v>
      </c>
      <c r="B468" t="s">
        <v>16</v>
      </c>
      <c r="C468" t="s">
        <v>543</v>
      </c>
      <c r="D468" s="2" t="s">
        <v>544</v>
      </c>
      <c r="E468" t="s">
        <v>545</v>
      </c>
      <c r="F468" t="s">
        <v>20</v>
      </c>
      <c r="G468" t="s">
        <v>21</v>
      </c>
      <c r="H468" t="s">
        <v>368</v>
      </c>
      <c r="I468" t="s">
        <v>23</v>
      </c>
      <c r="J468" t="s">
        <v>40</v>
      </c>
      <c r="K468" s="2" t="s">
        <v>1152</v>
      </c>
      <c r="L468" t="s">
        <v>26</v>
      </c>
      <c r="M468">
        <v>350615</v>
      </c>
      <c r="N468">
        <v>1</v>
      </c>
      <c r="O468" s="3">
        <v>39990</v>
      </c>
      <c r="P468" s="3">
        <v>24060</v>
      </c>
      <c r="Q468" s="5">
        <f t="shared" si="21"/>
        <v>33605.042016806721</v>
      </c>
      <c r="R468" s="5">
        <f t="shared" si="22"/>
        <v>24060</v>
      </c>
      <c r="S468" s="5">
        <f t="shared" si="23"/>
        <v>9545.0420168067212</v>
      </c>
    </row>
    <row r="469" spans="1:19" hidden="1" x14ac:dyDescent="0.3">
      <c r="A469">
        <v>100</v>
      </c>
      <c r="B469" t="s">
        <v>16</v>
      </c>
      <c r="C469" t="s">
        <v>1181</v>
      </c>
      <c r="D469" s="2" t="s">
        <v>1182</v>
      </c>
      <c r="E469" t="s">
        <v>254</v>
      </c>
      <c r="F469" t="s">
        <v>20</v>
      </c>
      <c r="G469" t="s">
        <v>21</v>
      </c>
      <c r="H469" t="s">
        <v>255</v>
      </c>
      <c r="I469" t="s">
        <v>23</v>
      </c>
      <c r="J469" t="s">
        <v>35</v>
      </c>
      <c r="K469" s="2" t="s">
        <v>1152</v>
      </c>
      <c r="L469" t="s">
        <v>26</v>
      </c>
      <c r="M469">
        <v>350616</v>
      </c>
      <c r="N469">
        <v>1</v>
      </c>
      <c r="O469" s="3">
        <v>69990</v>
      </c>
      <c r="P469" s="3">
        <v>38551</v>
      </c>
      <c r="Q469" s="5">
        <f t="shared" si="21"/>
        <v>58815.126050420171</v>
      </c>
      <c r="R469" s="5">
        <f t="shared" si="22"/>
        <v>38551</v>
      </c>
      <c r="S469" s="5">
        <f t="shared" si="23"/>
        <v>20264.126050420171</v>
      </c>
    </row>
    <row r="470" spans="1:19" hidden="1" x14ac:dyDescent="0.3">
      <c r="A470">
        <v>100</v>
      </c>
      <c r="B470" t="s">
        <v>16</v>
      </c>
      <c r="C470" t="s">
        <v>1183</v>
      </c>
      <c r="D470" s="2" t="s">
        <v>1184</v>
      </c>
      <c r="E470" t="s">
        <v>1185</v>
      </c>
      <c r="F470" t="s">
        <v>20</v>
      </c>
      <c r="G470" t="s">
        <v>21</v>
      </c>
      <c r="H470" t="s">
        <v>285</v>
      </c>
      <c r="I470" t="s">
        <v>23</v>
      </c>
      <c r="J470" t="s">
        <v>49</v>
      </c>
      <c r="K470" s="2" t="s">
        <v>1152</v>
      </c>
      <c r="L470" t="s">
        <v>26</v>
      </c>
      <c r="M470">
        <v>350617</v>
      </c>
      <c r="N470">
        <v>1</v>
      </c>
      <c r="O470" s="3">
        <v>51990</v>
      </c>
      <c r="P470" s="3">
        <v>24896</v>
      </c>
      <c r="Q470" s="5">
        <f t="shared" si="21"/>
        <v>43689.075630252104</v>
      </c>
      <c r="R470" s="5">
        <f t="shared" si="22"/>
        <v>24896</v>
      </c>
      <c r="S470" s="5">
        <f t="shared" si="23"/>
        <v>18793.075630252104</v>
      </c>
    </row>
    <row r="471" spans="1:19" hidden="1" x14ac:dyDescent="0.3">
      <c r="A471">
        <v>100</v>
      </c>
      <c r="B471" t="s">
        <v>16</v>
      </c>
      <c r="C471" t="s">
        <v>1186</v>
      </c>
      <c r="D471" s="2" t="s">
        <v>1187</v>
      </c>
      <c r="E471" t="s">
        <v>1188</v>
      </c>
      <c r="F471" t="s">
        <v>20</v>
      </c>
      <c r="G471" t="s">
        <v>21</v>
      </c>
      <c r="H471" t="s">
        <v>30</v>
      </c>
      <c r="I471" t="s">
        <v>23</v>
      </c>
      <c r="J471" t="s">
        <v>49</v>
      </c>
      <c r="K471" s="2" t="s">
        <v>1152</v>
      </c>
      <c r="L471" t="s">
        <v>26</v>
      </c>
      <c r="M471">
        <v>350618</v>
      </c>
      <c r="N471">
        <v>1</v>
      </c>
      <c r="O471" s="3">
        <v>69950</v>
      </c>
      <c r="P471" s="3">
        <v>24821</v>
      </c>
      <c r="Q471" s="5">
        <f t="shared" si="21"/>
        <v>58781.512605042022</v>
      </c>
      <c r="R471" s="5">
        <f t="shared" si="22"/>
        <v>24821</v>
      </c>
      <c r="S471" s="5">
        <f t="shared" si="23"/>
        <v>33960.512605042022</v>
      </c>
    </row>
    <row r="472" spans="1:19" hidden="1" x14ac:dyDescent="0.3">
      <c r="A472">
        <v>100</v>
      </c>
      <c r="B472" t="s">
        <v>16</v>
      </c>
      <c r="C472" t="s">
        <v>1189</v>
      </c>
      <c r="D472" s="2" t="s">
        <v>1190</v>
      </c>
      <c r="E472" t="s">
        <v>334</v>
      </c>
      <c r="F472" t="s">
        <v>20</v>
      </c>
      <c r="G472" t="s">
        <v>21</v>
      </c>
      <c r="H472" t="s">
        <v>199</v>
      </c>
      <c r="I472" t="s">
        <v>23</v>
      </c>
      <c r="J472" t="s">
        <v>35</v>
      </c>
      <c r="K472" s="2" t="s">
        <v>1152</v>
      </c>
      <c r="L472" t="s">
        <v>26</v>
      </c>
      <c r="M472">
        <v>350618</v>
      </c>
      <c r="N472">
        <v>1</v>
      </c>
      <c r="O472" s="3">
        <v>64990</v>
      </c>
      <c r="P472" s="3">
        <v>34688</v>
      </c>
      <c r="Q472" s="5">
        <f t="shared" si="21"/>
        <v>54613.445378151264</v>
      </c>
      <c r="R472" s="5">
        <f t="shared" si="22"/>
        <v>34688</v>
      </c>
      <c r="S472" s="5">
        <f t="shared" si="23"/>
        <v>19925.445378151264</v>
      </c>
    </row>
    <row r="473" spans="1:19" hidden="1" x14ac:dyDescent="0.3">
      <c r="A473">
        <v>100</v>
      </c>
      <c r="B473" t="s">
        <v>16</v>
      </c>
      <c r="C473" t="s">
        <v>1191</v>
      </c>
      <c r="D473" s="2" t="s">
        <v>1192</v>
      </c>
      <c r="E473" t="s">
        <v>896</v>
      </c>
      <c r="F473" t="s">
        <v>20</v>
      </c>
      <c r="G473" t="s">
        <v>21</v>
      </c>
      <c r="H473" t="s">
        <v>114</v>
      </c>
      <c r="I473" t="s">
        <v>23</v>
      </c>
      <c r="J473" t="s">
        <v>35</v>
      </c>
      <c r="K473" s="2" t="s">
        <v>1152</v>
      </c>
      <c r="L473" t="s">
        <v>26</v>
      </c>
      <c r="M473">
        <v>350619</v>
      </c>
      <c r="N473">
        <v>1</v>
      </c>
      <c r="O473" s="3">
        <v>69990</v>
      </c>
      <c r="P473" s="3">
        <v>34879</v>
      </c>
      <c r="Q473" s="5">
        <f t="shared" si="21"/>
        <v>58815.126050420171</v>
      </c>
      <c r="R473" s="5">
        <f t="shared" si="22"/>
        <v>34879</v>
      </c>
      <c r="S473" s="5">
        <f t="shared" si="23"/>
        <v>23936.126050420171</v>
      </c>
    </row>
    <row r="474" spans="1:19" hidden="1" x14ac:dyDescent="0.3">
      <c r="A474">
        <v>100</v>
      </c>
      <c r="B474" t="s">
        <v>16</v>
      </c>
      <c r="C474" t="s">
        <v>1193</v>
      </c>
      <c r="D474" s="2" t="s">
        <v>1194</v>
      </c>
      <c r="E474" t="s">
        <v>1195</v>
      </c>
      <c r="F474" t="s">
        <v>20</v>
      </c>
      <c r="G474" t="s">
        <v>21</v>
      </c>
      <c r="H474" t="s">
        <v>982</v>
      </c>
      <c r="I474" t="s">
        <v>23</v>
      </c>
      <c r="J474" t="s">
        <v>40</v>
      </c>
      <c r="K474" s="2" t="s">
        <v>1152</v>
      </c>
      <c r="L474" t="s">
        <v>26</v>
      </c>
      <c r="M474">
        <v>350620</v>
      </c>
      <c r="N474">
        <v>1</v>
      </c>
      <c r="O474" s="3">
        <v>29990</v>
      </c>
      <c r="P474" s="3">
        <v>24181</v>
      </c>
      <c r="Q474" s="5">
        <f t="shared" si="21"/>
        <v>25201.680672268907</v>
      </c>
      <c r="R474" s="5">
        <f t="shared" si="22"/>
        <v>24181</v>
      </c>
      <c r="S474" s="5">
        <f t="shared" si="23"/>
        <v>1020.6806722689071</v>
      </c>
    </row>
    <row r="475" spans="1:19" hidden="1" x14ac:dyDescent="0.3">
      <c r="A475">
        <v>100</v>
      </c>
      <c r="B475" t="s">
        <v>16</v>
      </c>
      <c r="C475" t="s">
        <v>1196</v>
      </c>
      <c r="D475" s="2" t="s">
        <v>1197</v>
      </c>
      <c r="E475" t="s">
        <v>1198</v>
      </c>
      <c r="F475" t="s">
        <v>20</v>
      </c>
      <c r="G475" t="s">
        <v>21</v>
      </c>
      <c r="H475" t="s">
        <v>1199</v>
      </c>
      <c r="I475" t="s">
        <v>23</v>
      </c>
      <c r="J475" t="s">
        <v>207</v>
      </c>
      <c r="K475" s="2" t="s">
        <v>1152</v>
      </c>
      <c r="L475" t="s">
        <v>26</v>
      </c>
      <c r="M475">
        <v>350621</v>
      </c>
      <c r="N475">
        <v>1</v>
      </c>
      <c r="O475" s="3">
        <v>48990</v>
      </c>
      <c r="P475" s="3">
        <v>28703</v>
      </c>
      <c r="Q475" s="5">
        <f t="shared" si="21"/>
        <v>41168.067226890758</v>
      </c>
      <c r="R475" s="5">
        <f t="shared" si="22"/>
        <v>28703</v>
      </c>
      <c r="S475" s="5">
        <f t="shared" si="23"/>
        <v>12465.067226890758</v>
      </c>
    </row>
    <row r="476" spans="1:19" hidden="1" x14ac:dyDescent="0.3">
      <c r="A476">
        <v>100</v>
      </c>
      <c r="B476" t="s">
        <v>16</v>
      </c>
      <c r="C476" t="s">
        <v>1200</v>
      </c>
      <c r="D476" s="2" t="s">
        <v>1201</v>
      </c>
      <c r="E476" t="s">
        <v>938</v>
      </c>
      <c r="F476" t="s">
        <v>20</v>
      </c>
      <c r="G476" t="s">
        <v>21</v>
      </c>
      <c r="H476" t="s">
        <v>317</v>
      </c>
      <c r="I476" t="s">
        <v>23</v>
      </c>
      <c r="J476" t="s">
        <v>35</v>
      </c>
      <c r="K476" s="2" t="s">
        <v>1152</v>
      </c>
      <c r="L476" t="s">
        <v>26</v>
      </c>
      <c r="M476">
        <v>350622</v>
      </c>
      <c r="N476">
        <v>1</v>
      </c>
      <c r="O476" s="3">
        <v>69950</v>
      </c>
      <c r="P476" s="3">
        <v>26288</v>
      </c>
      <c r="Q476" s="5">
        <f t="shared" si="21"/>
        <v>58781.512605042022</v>
      </c>
      <c r="R476" s="5">
        <f t="shared" si="22"/>
        <v>26288</v>
      </c>
      <c r="S476" s="5">
        <f t="shared" si="23"/>
        <v>32493.512605042022</v>
      </c>
    </row>
    <row r="477" spans="1:19" hidden="1" x14ac:dyDescent="0.3">
      <c r="A477">
        <v>100</v>
      </c>
      <c r="B477" t="s">
        <v>16</v>
      </c>
      <c r="C477" t="s">
        <v>1061</v>
      </c>
      <c r="D477" s="2" t="s">
        <v>1062</v>
      </c>
      <c r="E477" t="s">
        <v>860</v>
      </c>
      <c r="F477" t="s">
        <v>20</v>
      </c>
      <c r="G477" t="s">
        <v>21</v>
      </c>
      <c r="H477" t="s">
        <v>285</v>
      </c>
      <c r="I477" t="s">
        <v>23</v>
      </c>
      <c r="J477" t="s">
        <v>49</v>
      </c>
      <c r="K477" s="2" t="s">
        <v>1152</v>
      </c>
      <c r="L477" t="s">
        <v>26</v>
      </c>
      <c r="M477">
        <v>350623</v>
      </c>
      <c r="N477">
        <v>1</v>
      </c>
      <c r="O477" s="3">
        <v>39990</v>
      </c>
      <c r="P477" s="3">
        <v>20310</v>
      </c>
      <c r="Q477" s="5">
        <f t="shared" si="21"/>
        <v>33605.042016806721</v>
      </c>
      <c r="R477" s="5">
        <f t="shared" si="22"/>
        <v>20310</v>
      </c>
      <c r="S477" s="5">
        <f t="shared" si="23"/>
        <v>13295.042016806721</v>
      </c>
    </row>
    <row r="478" spans="1:19" hidden="1" x14ac:dyDescent="0.3">
      <c r="A478">
        <v>100</v>
      </c>
      <c r="B478" t="s">
        <v>16</v>
      </c>
      <c r="C478" t="s">
        <v>1003</v>
      </c>
      <c r="D478" s="2" t="s">
        <v>1004</v>
      </c>
      <c r="E478" t="s">
        <v>330</v>
      </c>
      <c r="F478" t="s">
        <v>20</v>
      </c>
      <c r="G478" t="s">
        <v>21</v>
      </c>
      <c r="H478" t="s">
        <v>331</v>
      </c>
      <c r="I478" t="s">
        <v>23</v>
      </c>
      <c r="J478" t="s">
        <v>49</v>
      </c>
      <c r="K478" s="2" t="s">
        <v>1152</v>
      </c>
      <c r="L478" t="s">
        <v>26</v>
      </c>
      <c r="M478">
        <v>350624</v>
      </c>
      <c r="N478">
        <v>1</v>
      </c>
      <c r="O478" s="3">
        <v>39990</v>
      </c>
      <c r="P478" s="3">
        <v>25157</v>
      </c>
      <c r="Q478" s="5">
        <f t="shared" si="21"/>
        <v>33605.042016806721</v>
      </c>
      <c r="R478" s="5">
        <f t="shared" si="22"/>
        <v>25157</v>
      </c>
      <c r="S478" s="5">
        <f t="shared" si="23"/>
        <v>8448.0420168067212</v>
      </c>
    </row>
    <row r="479" spans="1:19" hidden="1" x14ac:dyDescent="0.3">
      <c r="A479">
        <v>100</v>
      </c>
      <c r="B479" t="s">
        <v>16</v>
      </c>
      <c r="C479" t="s">
        <v>1202</v>
      </c>
      <c r="D479" s="2" t="s">
        <v>1203</v>
      </c>
      <c r="E479" t="s">
        <v>305</v>
      </c>
      <c r="F479" t="s">
        <v>20</v>
      </c>
      <c r="G479" t="s">
        <v>21</v>
      </c>
      <c r="H479" t="s">
        <v>306</v>
      </c>
      <c r="I479" t="s">
        <v>23</v>
      </c>
      <c r="J479" t="s">
        <v>35</v>
      </c>
      <c r="K479" s="2" t="s">
        <v>1152</v>
      </c>
      <c r="L479" t="s">
        <v>26</v>
      </c>
      <c r="M479">
        <v>350625</v>
      </c>
      <c r="N479">
        <v>1</v>
      </c>
      <c r="O479" s="3">
        <v>59990</v>
      </c>
      <c r="P479" s="3">
        <v>34565</v>
      </c>
      <c r="Q479" s="5">
        <f t="shared" si="21"/>
        <v>50411.764705882357</v>
      </c>
      <c r="R479" s="5">
        <f t="shared" si="22"/>
        <v>34565</v>
      </c>
      <c r="S479" s="5">
        <f t="shared" si="23"/>
        <v>15846.764705882357</v>
      </c>
    </row>
    <row r="480" spans="1:19" hidden="1" x14ac:dyDescent="0.3">
      <c r="A480">
        <v>100</v>
      </c>
      <c r="B480" t="s">
        <v>16</v>
      </c>
      <c r="C480" t="s">
        <v>1204</v>
      </c>
      <c r="D480" s="2" t="s">
        <v>1205</v>
      </c>
      <c r="E480" t="s">
        <v>1069</v>
      </c>
      <c r="F480" t="s">
        <v>20</v>
      </c>
      <c r="G480" t="s">
        <v>21</v>
      </c>
      <c r="H480" t="s">
        <v>461</v>
      </c>
      <c r="I480" t="s">
        <v>23</v>
      </c>
      <c r="J480" t="s">
        <v>35</v>
      </c>
      <c r="K480" s="2" t="s">
        <v>1152</v>
      </c>
      <c r="L480" t="s">
        <v>26</v>
      </c>
      <c r="M480">
        <v>350626</v>
      </c>
      <c r="N480">
        <v>1</v>
      </c>
      <c r="O480" s="3">
        <v>49990</v>
      </c>
      <c r="P480" s="3">
        <v>30757</v>
      </c>
      <c r="Q480" s="5">
        <f t="shared" si="21"/>
        <v>42008.403361344543</v>
      </c>
      <c r="R480" s="5">
        <f t="shared" si="22"/>
        <v>30757</v>
      </c>
      <c r="S480" s="5">
        <f t="shared" si="23"/>
        <v>11251.403361344543</v>
      </c>
    </row>
    <row r="481" spans="1:19" hidden="1" x14ac:dyDescent="0.3">
      <c r="A481">
        <v>100</v>
      </c>
      <c r="B481" t="s">
        <v>16</v>
      </c>
      <c r="C481" t="s">
        <v>1206</v>
      </c>
      <c r="D481" s="2" t="s">
        <v>1207</v>
      </c>
      <c r="E481" t="s">
        <v>1208</v>
      </c>
      <c r="F481" t="s">
        <v>20</v>
      </c>
      <c r="G481" t="s">
        <v>21</v>
      </c>
      <c r="H481" t="s">
        <v>135</v>
      </c>
      <c r="I481" t="s">
        <v>23</v>
      </c>
      <c r="J481" t="s">
        <v>49</v>
      </c>
      <c r="K481" s="2" t="s">
        <v>1152</v>
      </c>
      <c r="L481" t="s">
        <v>26</v>
      </c>
      <c r="M481">
        <v>350627</v>
      </c>
      <c r="N481">
        <v>1</v>
      </c>
      <c r="O481" s="3">
        <v>39990</v>
      </c>
      <c r="P481" s="3">
        <v>32789</v>
      </c>
      <c r="Q481" s="5">
        <f t="shared" si="21"/>
        <v>33605.042016806721</v>
      </c>
      <c r="R481" s="5">
        <f t="shared" si="22"/>
        <v>32789</v>
      </c>
      <c r="S481" s="5">
        <f t="shared" si="23"/>
        <v>816.04201680672122</v>
      </c>
    </row>
    <row r="482" spans="1:19" hidden="1" x14ac:dyDescent="0.3">
      <c r="A482">
        <v>100</v>
      </c>
      <c r="B482" t="s">
        <v>16</v>
      </c>
      <c r="C482" t="s">
        <v>674</v>
      </c>
      <c r="D482" s="2" t="s">
        <v>675</v>
      </c>
      <c r="E482" t="s">
        <v>503</v>
      </c>
      <c r="F482" t="s">
        <v>20</v>
      </c>
      <c r="G482" t="s">
        <v>21</v>
      </c>
      <c r="H482" t="s">
        <v>131</v>
      </c>
      <c r="I482" t="s">
        <v>23</v>
      </c>
      <c r="J482" t="s">
        <v>49</v>
      </c>
      <c r="K482" s="2" t="s">
        <v>1152</v>
      </c>
      <c r="L482" t="s">
        <v>26</v>
      </c>
      <c r="M482">
        <v>350628</v>
      </c>
      <c r="N482">
        <v>1</v>
      </c>
      <c r="O482" s="3">
        <v>39990</v>
      </c>
      <c r="P482" s="3">
        <v>25828</v>
      </c>
      <c r="Q482" s="5">
        <f t="shared" si="21"/>
        <v>33605.042016806721</v>
      </c>
      <c r="R482" s="5">
        <f t="shared" si="22"/>
        <v>25828</v>
      </c>
      <c r="S482" s="5">
        <f t="shared" si="23"/>
        <v>7777.0420168067212</v>
      </c>
    </row>
    <row r="483" spans="1:19" hidden="1" x14ac:dyDescent="0.3">
      <c r="A483">
        <v>100</v>
      </c>
      <c r="B483" t="s">
        <v>16</v>
      </c>
      <c r="C483" t="s">
        <v>1209</v>
      </c>
      <c r="D483" s="2" t="s">
        <v>1210</v>
      </c>
      <c r="E483" t="s">
        <v>1211</v>
      </c>
      <c r="F483" t="s">
        <v>20</v>
      </c>
      <c r="G483" t="s">
        <v>21</v>
      </c>
      <c r="H483" t="s">
        <v>106</v>
      </c>
      <c r="I483" t="s">
        <v>23</v>
      </c>
      <c r="J483" t="s">
        <v>49</v>
      </c>
      <c r="K483" s="2" t="s">
        <v>1152</v>
      </c>
      <c r="L483" t="s">
        <v>26</v>
      </c>
      <c r="M483">
        <v>350629</v>
      </c>
      <c r="N483">
        <v>1</v>
      </c>
      <c r="O483" s="3">
        <v>44990</v>
      </c>
      <c r="P483" s="3">
        <v>26235</v>
      </c>
      <c r="Q483" s="5">
        <f t="shared" si="21"/>
        <v>37806.722689075636</v>
      </c>
      <c r="R483" s="5">
        <f t="shared" si="22"/>
        <v>26235</v>
      </c>
      <c r="S483" s="5">
        <f t="shared" si="23"/>
        <v>11571.722689075636</v>
      </c>
    </row>
    <row r="484" spans="1:19" hidden="1" x14ac:dyDescent="0.3">
      <c r="A484">
        <v>100</v>
      </c>
      <c r="B484" t="s">
        <v>16</v>
      </c>
      <c r="C484" t="s">
        <v>1212</v>
      </c>
      <c r="D484" s="2" t="s">
        <v>1213</v>
      </c>
      <c r="E484" t="s">
        <v>1214</v>
      </c>
      <c r="F484" t="s">
        <v>20</v>
      </c>
      <c r="G484" t="s">
        <v>21</v>
      </c>
      <c r="H484" t="s">
        <v>224</v>
      </c>
      <c r="I484" t="s">
        <v>23</v>
      </c>
      <c r="J484" t="s">
        <v>49</v>
      </c>
      <c r="K484" s="2" t="s">
        <v>1152</v>
      </c>
      <c r="L484" t="s">
        <v>26</v>
      </c>
      <c r="M484">
        <v>350630</v>
      </c>
      <c r="N484">
        <v>1</v>
      </c>
      <c r="O484" s="3">
        <v>51990</v>
      </c>
      <c r="P484" s="3">
        <v>25245</v>
      </c>
      <c r="Q484" s="5">
        <f t="shared" si="21"/>
        <v>43689.075630252104</v>
      </c>
      <c r="R484" s="5">
        <f t="shared" si="22"/>
        <v>25245</v>
      </c>
      <c r="S484" s="5">
        <f t="shared" si="23"/>
        <v>18444.075630252104</v>
      </c>
    </row>
    <row r="485" spans="1:19" hidden="1" x14ac:dyDescent="0.3">
      <c r="A485">
        <v>100</v>
      </c>
      <c r="B485" t="s">
        <v>16</v>
      </c>
      <c r="C485" t="s">
        <v>1215</v>
      </c>
      <c r="D485" s="2" t="s">
        <v>1216</v>
      </c>
      <c r="E485" t="s">
        <v>1217</v>
      </c>
      <c r="F485" t="s">
        <v>20</v>
      </c>
      <c r="G485" t="s">
        <v>21</v>
      </c>
      <c r="H485" t="s">
        <v>53</v>
      </c>
      <c r="I485" t="s">
        <v>23</v>
      </c>
      <c r="J485" t="s">
        <v>49</v>
      </c>
      <c r="K485" s="2" t="s">
        <v>1152</v>
      </c>
      <c r="L485" t="s">
        <v>26</v>
      </c>
      <c r="M485">
        <v>350630</v>
      </c>
      <c r="N485">
        <v>1</v>
      </c>
      <c r="O485" s="3">
        <v>49990</v>
      </c>
      <c r="P485" s="3">
        <v>20180</v>
      </c>
      <c r="Q485" s="5">
        <f t="shared" si="21"/>
        <v>42008.403361344543</v>
      </c>
      <c r="R485" s="5">
        <f t="shared" si="22"/>
        <v>20180</v>
      </c>
      <c r="S485" s="5">
        <f t="shared" si="23"/>
        <v>21828.403361344543</v>
      </c>
    </row>
    <row r="486" spans="1:19" hidden="1" x14ac:dyDescent="0.3">
      <c r="A486">
        <v>100</v>
      </c>
      <c r="B486" t="s">
        <v>16</v>
      </c>
      <c r="C486" t="s">
        <v>1218</v>
      </c>
      <c r="D486" s="2" t="s">
        <v>1219</v>
      </c>
      <c r="E486" t="s">
        <v>1220</v>
      </c>
      <c r="F486" t="s">
        <v>20</v>
      </c>
      <c r="G486" t="s">
        <v>21</v>
      </c>
      <c r="H486" t="s">
        <v>57</v>
      </c>
      <c r="I486" t="s">
        <v>23</v>
      </c>
      <c r="J486" t="s">
        <v>35</v>
      </c>
      <c r="K486" s="2" t="s">
        <v>1152</v>
      </c>
      <c r="L486" t="s">
        <v>26</v>
      </c>
      <c r="M486">
        <v>350631</v>
      </c>
      <c r="N486">
        <v>1</v>
      </c>
      <c r="O486" s="3">
        <v>69990</v>
      </c>
      <c r="P486" s="3">
        <v>35342</v>
      </c>
      <c r="Q486" s="5">
        <f t="shared" si="21"/>
        <v>58815.126050420171</v>
      </c>
      <c r="R486" s="5">
        <f t="shared" si="22"/>
        <v>35342</v>
      </c>
      <c r="S486" s="5">
        <f t="shared" si="23"/>
        <v>23473.126050420171</v>
      </c>
    </row>
    <row r="487" spans="1:19" hidden="1" x14ac:dyDescent="0.3">
      <c r="A487">
        <v>100</v>
      </c>
      <c r="B487" t="s">
        <v>16</v>
      </c>
      <c r="C487" t="s">
        <v>986</v>
      </c>
      <c r="D487" s="2" t="s">
        <v>987</v>
      </c>
      <c r="E487" t="s">
        <v>661</v>
      </c>
      <c r="F487" t="s">
        <v>20</v>
      </c>
      <c r="G487" t="s">
        <v>21</v>
      </c>
      <c r="H487" t="s">
        <v>106</v>
      </c>
      <c r="I487" t="s">
        <v>23</v>
      </c>
      <c r="J487" t="s">
        <v>35</v>
      </c>
      <c r="K487" s="2" t="s">
        <v>1152</v>
      </c>
      <c r="L487" t="s">
        <v>26</v>
      </c>
      <c r="M487">
        <v>350632</v>
      </c>
      <c r="N487">
        <v>1</v>
      </c>
      <c r="O487" s="3">
        <v>69990</v>
      </c>
      <c r="P487" s="3">
        <v>30916</v>
      </c>
      <c r="Q487" s="5">
        <f t="shared" si="21"/>
        <v>58815.126050420171</v>
      </c>
      <c r="R487" s="5">
        <f t="shared" si="22"/>
        <v>30916</v>
      </c>
      <c r="S487" s="5">
        <f t="shared" si="23"/>
        <v>27899.126050420171</v>
      </c>
    </row>
    <row r="488" spans="1:19" hidden="1" x14ac:dyDescent="0.3">
      <c r="A488">
        <v>100</v>
      </c>
      <c r="B488" t="s">
        <v>16</v>
      </c>
      <c r="C488" t="s">
        <v>1221</v>
      </c>
      <c r="D488" s="2" t="s">
        <v>1222</v>
      </c>
      <c r="E488" t="s">
        <v>1223</v>
      </c>
      <c r="F488" t="s">
        <v>20</v>
      </c>
      <c r="G488" t="s">
        <v>21</v>
      </c>
      <c r="H488" t="s">
        <v>500</v>
      </c>
      <c r="I488" t="s">
        <v>23</v>
      </c>
      <c r="J488" t="s">
        <v>40</v>
      </c>
      <c r="K488" s="2" t="s">
        <v>1152</v>
      </c>
      <c r="L488" t="s">
        <v>26</v>
      </c>
      <c r="M488">
        <v>350633</v>
      </c>
      <c r="N488">
        <v>1</v>
      </c>
      <c r="O488" s="3">
        <v>49990</v>
      </c>
      <c r="P488" s="3">
        <v>20043</v>
      </c>
      <c r="Q488" s="5">
        <f t="shared" si="21"/>
        <v>42008.403361344543</v>
      </c>
      <c r="R488" s="5">
        <f t="shared" si="22"/>
        <v>20043</v>
      </c>
      <c r="S488" s="5">
        <f t="shared" si="23"/>
        <v>21965.403361344543</v>
      </c>
    </row>
    <row r="489" spans="1:19" hidden="1" x14ac:dyDescent="0.3">
      <c r="A489">
        <v>100</v>
      </c>
      <c r="B489" t="s">
        <v>16</v>
      </c>
      <c r="C489" t="s">
        <v>307</v>
      </c>
      <c r="D489" s="2" t="s">
        <v>308</v>
      </c>
      <c r="E489" t="s">
        <v>309</v>
      </c>
      <c r="F489" t="s">
        <v>20</v>
      </c>
      <c r="G489" t="s">
        <v>21</v>
      </c>
      <c r="H489" t="s">
        <v>310</v>
      </c>
      <c r="I489" t="s">
        <v>23</v>
      </c>
      <c r="J489" t="s">
        <v>49</v>
      </c>
      <c r="K489" s="2" t="s">
        <v>1152</v>
      </c>
      <c r="L489" t="s">
        <v>26</v>
      </c>
      <c r="M489">
        <v>350634</v>
      </c>
      <c r="N489">
        <v>1</v>
      </c>
      <c r="O489" s="3">
        <v>44990</v>
      </c>
      <c r="P489" s="3">
        <v>29013</v>
      </c>
      <c r="Q489" s="5">
        <f t="shared" si="21"/>
        <v>37806.722689075636</v>
      </c>
      <c r="R489" s="5">
        <f t="shared" si="22"/>
        <v>29013</v>
      </c>
      <c r="S489" s="5">
        <f t="shared" si="23"/>
        <v>8793.7226890756356</v>
      </c>
    </row>
    <row r="490" spans="1:19" hidden="1" x14ac:dyDescent="0.3">
      <c r="A490">
        <v>100</v>
      </c>
      <c r="B490" t="s">
        <v>16</v>
      </c>
      <c r="C490" t="s">
        <v>1224</v>
      </c>
      <c r="D490" s="2" t="s">
        <v>1225</v>
      </c>
      <c r="E490" t="s">
        <v>1226</v>
      </c>
      <c r="F490" t="s">
        <v>20</v>
      </c>
      <c r="G490" t="s">
        <v>21</v>
      </c>
      <c r="H490" t="s">
        <v>1227</v>
      </c>
      <c r="I490" t="s">
        <v>23</v>
      </c>
      <c r="J490" t="s">
        <v>35</v>
      </c>
      <c r="K490" s="2" t="s">
        <v>1152</v>
      </c>
      <c r="L490" t="s">
        <v>26</v>
      </c>
      <c r="M490">
        <v>350635</v>
      </c>
      <c r="N490">
        <v>1</v>
      </c>
      <c r="O490" s="3">
        <v>99950</v>
      </c>
      <c r="P490" s="3">
        <v>52118</v>
      </c>
      <c r="Q490" s="5">
        <f t="shared" si="21"/>
        <v>83991.596638655465</v>
      </c>
      <c r="R490" s="5">
        <f t="shared" si="22"/>
        <v>52118</v>
      </c>
      <c r="S490" s="5">
        <f t="shared" si="23"/>
        <v>31873.596638655465</v>
      </c>
    </row>
    <row r="491" spans="1:19" hidden="1" x14ac:dyDescent="0.3">
      <c r="A491">
        <v>100</v>
      </c>
      <c r="B491" t="s">
        <v>16</v>
      </c>
      <c r="C491" t="s">
        <v>1021</v>
      </c>
      <c r="D491" s="2" t="s">
        <v>1022</v>
      </c>
      <c r="E491" t="s">
        <v>1023</v>
      </c>
      <c r="F491" t="s">
        <v>20</v>
      </c>
      <c r="G491" t="s">
        <v>21</v>
      </c>
      <c r="H491" t="s">
        <v>783</v>
      </c>
      <c r="I491" t="s">
        <v>23</v>
      </c>
      <c r="J491" t="s">
        <v>40</v>
      </c>
      <c r="K491" s="2" t="s">
        <v>1152</v>
      </c>
      <c r="L491" t="s">
        <v>26</v>
      </c>
      <c r="M491">
        <v>350636</v>
      </c>
      <c r="N491">
        <v>1</v>
      </c>
      <c r="O491" s="3">
        <v>37990</v>
      </c>
      <c r="P491" s="3">
        <v>17194</v>
      </c>
      <c r="Q491" s="5">
        <f t="shared" si="21"/>
        <v>31924.36974789916</v>
      </c>
      <c r="R491" s="5">
        <f t="shared" si="22"/>
        <v>17194</v>
      </c>
      <c r="S491" s="5">
        <f t="shared" si="23"/>
        <v>14730.36974789916</v>
      </c>
    </row>
    <row r="492" spans="1:19" hidden="1" x14ac:dyDescent="0.3">
      <c r="A492">
        <v>100</v>
      </c>
      <c r="B492" t="s">
        <v>16</v>
      </c>
      <c r="C492" t="s">
        <v>746</v>
      </c>
      <c r="D492" s="2" t="s">
        <v>747</v>
      </c>
      <c r="E492" t="s">
        <v>47</v>
      </c>
      <c r="F492" t="s">
        <v>20</v>
      </c>
      <c r="G492" t="s">
        <v>21</v>
      </c>
      <c r="H492" t="s">
        <v>48</v>
      </c>
      <c r="I492" t="s">
        <v>23</v>
      </c>
      <c r="J492" t="s">
        <v>49</v>
      </c>
      <c r="K492" s="2" t="s">
        <v>1152</v>
      </c>
      <c r="L492" t="s">
        <v>26</v>
      </c>
      <c r="M492">
        <v>350637</v>
      </c>
      <c r="N492">
        <v>1</v>
      </c>
      <c r="O492" s="3">
        <v>39990</v>
      </c>
      <c r="P492" s="3">
        <v>23466</v>
      </c>
      <c r="Q492" s="5">
        <f t="shared" si="21"/>
        <v>33605.042016806721</v>
      </c>
      <c r="R492" s="5">
        <f t="shared" si="22"/>
        <v>23466</v>
      </c>
      <c r="S492" s="5">
        <f t="shared" si="23"/>
        <v>10139.042016806721</v>
      </c>
    </row>
    <row r="493" spans="1:19" hidden="1" x14ac:dyDescent="0.3">
      <c r="A493">
        <v>100</v>
      </c>
      <c r="B493" t="s">
        <v>16</v>
      </c>
      <c r="C493" t="s">
        <v>1228</v>
      </c>
      <c r="D493" s="2" t="s">
        <v>1229</v>
      </c>
      <c r="E493" t="s">
        <v>1230</v>
      </c>
      <c r="F493" t="s">
        <v>20</v>
      </c>
      <c r="G493" t="s">
        <v>21</v>
      </c>
      <c r="H493" t="s">
        <v>57</v>
      </c>
      <c r="I493" t="s">
        <v>23</v>
      </c>
      <c r="J493" t="s">
        <v>35</v>
      </c>
      <c r="K493" s="2" t="s">
        <v>1152</v>
      </c>
      <c r="L493" t="s">
        <v>26</v>
      </c>
      <c r="M493">
        <v>350638</v>
      </c>
      <c r="N493">
        <v>1</v>
      </c>
      <c r="O493" s="3">
        <v>69990</v>
      </c>
      <c r="P493" s="3">
        <v>30375</v>
      </c>
      <c r="Q493" s="5">
        <f t="shared" si="21"/>
        <v>58815.126050420171</v>
      </c>
      <c r="R493" s="5">
        <f t="shared" si="22"/>
        <v>30375</v>
      </c>
      <c r="S493" s="5">
        <f t="shared" si="23"/>
        <v>28440.126050420171</v>
      </c>
    </row>
    <row r="494" spans="1:19" hidden="1" x14ac:dyDescent="0.3">
      <c r="A494">
        <v>100</v>
      </c>
      <c r="B494" t="s">
        <v>16</v>
      </c>
      <c r="C494" t="s">
        <v>665</v>
      </c>
      <c r="D494" s="2" t="s">
        <v>666</v>
      </c>
      <c r="E494" t="s">
        <v>439</v>
      </c>
      <c r="F494" t="s">
        <v>20</v>
      </c>
      <c r="G494" t="s">
        <v>21</v>
      </c>
      <c r="H494" t="s">
        <v>122</v>
      </c>
      <c r="I494" t="s">
        <v>23</v>
      </c>
      <c r="J494" t="s">
        <v>35</v>
      </c>
      <c r="K494" s="2" t="s">
        <v>1152</v>
      </c>
      <c r="L494" t="s">
        <v>26</v>
      </c>
      <c r="M494">
        <v>350639</v>
      </c>
      <c r="N494">
        <v>1</v>
      </c>
      <c r="O494" s="3">
        <v>49990</v>
      </c>
      <c r="P494" s="3">
        <v>31897</v>
      </c>
      <c r="Q494" s="5">
        <f t="shared" si="21"/>
        <v>42008.403361344543</v>
      </c>
      <c r="R494" s="5">
        <f t="shared" si="22"/>
        <v>31897</v>
      </c>
      <c r="S494" s="5">
        <f t="shared" si="23"/>
        <v>10111.403361344543</v>
      </c>
    </row>
    <row r="495" spans="1:19" hidden="1" x14ac:dyDescent="0.3">
      <c r="A495">
        <v>100</v>
      </c>
      <c r="B495" t="s">
        <v>16</v>
      </c>
      <c r="C495" t="s">
        <v>894</v>
      </c>
      <c r="D495" s="2" t="s">
        <v>895</v>
      </c>
      <c r="E495" t="s">
        <v>896</v>
      </c>
      <c r="F495" t="s">
        <v>20</v>
      </c>
      <c r="G495" t="s">
        <v>21</v>
      </c>
      <c r="H495" t="s">
        <v>114</v>
      </c>
      <c r="I495" t="s">
        <v>23</v>
      </c>
      <c r="J495" t="s">
        <v>35</v>
      </c>
      <c r="K495" s="2" t="s">
        <v>1152</v>
      </c>
      <c r="L495" t="s">
        <v>26</v>
      </c>
      <c r="M495">
        <v>350640</v>
      </c>
      <c r="N495">
        <v>1</v>
      </c>
      <c r="O495" s="3">
        <v>69990</v>
      </c>
      <c r="P495" s="3">
        <v>34884</v>
      </c>
      <c r="Q495" s="5">
        <f t="shared" si="21"/>
        <v>58815.126050420171</v>
      </c>
      <c r="R495" s="5">
        <f t="shared" si="22"/>
        <v>34884</v>
      </c>
      <c r="S495" s="5">
        <f t="shared" si="23"/>
        <v>23931.126050420171</v>
      </c>
    </row>
    <row r="496" spans="1:19" hidden="1" x14ac:dyDescent="0.3">
      <c r="A496">
        <v>100</v>
      </c>
      <c r="B496" t="s">
        <v>16</v>
      </c>
      <c r="C496" t="s">
        <v>1231</v>
      </c>
      <c r="D496" s="2" t="s">
        <v>1232</v>
      </c>
      <c r="E496" t="s">
        <v>477</v>
      </c>
      <c r="F496" t="s">
        <v>20</v>
      </c>
      <c r="G496" t="s">
        <v>21</v>
      </c>
      <c r="H496" t="s">
        <v>48</v>
      </c>
      <c r="I496" t="s">
        <v>23</v>
      </c>
      <c r="J496" t="s">
        <v>35</v>
      </c>
      <c r="K496" s="2" t="s">
        <v>1152</v>
      </c>
      <c r="L496" t="s">
        <v>26</v>
      </c>
      <c r="M496">
        <v>350641</v>
      </c>
      <c r="N496">
        <v>1</v>
      </c>
      <c r="O496" s="3">
        <v>49990</v>
      </c>
      <c r="P496" s="3">
        <v>28960</v>
      </c>
      <c r="Q496" s="5">
        <f t="shared" si="21"/>
        <v>42008.403361344543</v>
      </c>
      <c r="R496" s="5">
        <f t="shared" si="22"/>
        <v>28960</v>
      </c>
      <c r="S496" s="5">
        <f t="shared" si="23"/>
        <v>13048.403361344543</v>
      </c>
    </row>
    <row r="497" spans="1:19" hidden="1" x14ac:dyDescent="0.3">
      <c r="A497">
        <v>100</v>
      </c>
      <c r="B497" t="s">
        <v>16</v>
      </c>
      <c r="C497" t="s">
        <v>1233</v>
      </c>
      <c r="D497" s="2" t="s">
        <v>1234</v>
      </c>
      <c r="E497" t="s">
        <v>884</v>
      </c>
      <c r="F497" t="s">
        <v>20</v>
      </c>
      <c r="G497" t="s">
        <v>21</v>
      </c>
      <c r="H497" t="s">
        <v>48</v>
      </c>
      <c r="I497" t="s">
        <v>23</v>
      </c>
      <c r="J497" t="s">
        <v>49</v>
      </c>
      <c r="K497" s="2" t="s">
        <v>1152</v>
      </c>
      <c r="L497" t="s">
        <v>26</v>
      </c>
      <c r="M497">
        <v>350642</v>
      </c>
      <c r="N497">
        <v>1</v>
      </c>
      <c r="O497" s="3">
        <v>34990</v>
      </c>
      <c r="P497" s="3">
        <v>26244</v>
      </c>
      <c r="Q497" s="5">
        <f t="shared" si="21"/>
        <v>29403.361344537818</v>
      </c>
      <c r="R497" s="5">
        <f t="shared" si="22"/>
        <v>26244</v>
      </c>
      <c r="S497" s="5">
        <f t="shared" si="23"/>
        <v>3159.3613445378178</v>
      </c>
    </row>
    <row r="498" spans="1:19" hidden="1" x14ac:dyDescent="0.3">
      <c r="A498">
        <v>100</v>
      </c>
      <c r="B498" t="s">
        <v>16</v>
      </c>
      <c r="C498" t="s">
        <v>1235</v>
      </c>
      <c r="D498" s="2" t="s">
        <v>1236</v>
      </c>
      <c r="E498" t="s">
        <v>1237</v>
      </c>
      <c r="F498" t="s">
        <v>20</v>
      </c>
      <c r="G498" t="s">
        <v>21</v>
      </c>
      <c r="H498" t="s">
        <v>618</v>
      </c>
      <c r="I498" t="s">
        <v>23</v>
      </c>
      <c r="J498" t="s">
        <v>40</v>
      </c>
      <c r="K498" s="2" t="s">
        <v>1152</v>
      </c>
      <c r="L498" t="s">
        <v>26</v>
      </c>
      <c r="M498">
        <v>350643</v>
      </c>
      <c r="N498">
        <v>1</v>
      </c>
      <c r="O498" s="3">
        <v>41990</v>
      </c>
      <c r="P498" s="3">
        <v>16817</v>
      </c>
      <c r="Q498" s="5">
        <f t="shared" si="21"/>
        <v>35285.71428571429</v>
      </c>
      <c r="R498" s="5">
        <f t="shared" si="22"/>
        <v>16817</v>
      </c>
      <c r="S498" s="5">
        <f t="shared" si="23"/>
        <v>18468.71428571429</v>
      </c>
    </row>
    <row r="499" spans="1:19" hidden="1" x14ac:dyDescent="0.3">
      <c r="A499">
        <v>100</v>
      </c>
      <c r="B499" t="s">
        <v>16</v>
      </c>
      <c r="C499" t="s">
        <v>1238</v>
      </c>
      <c r="D499" s="2" t="s">
        <v>1239</v>
      </c>
      <c r="E499" t="s">
        <v>905</v>
      </c>
      <c r="F499" t="s">
        <v>20</v>
      </c>
      <c r="G499" t="s">
        <v>21</v>
      </c>
      <c r="H499" t="s">
        <v>224</v>
      </c>
      <c r="I499" t="s">
        <v>23</v>
      </c>
      <c r="J499" t="s">
        <v>49</v>
      </c>
      <c r="K499" s="2" t="s">
        <v>1152</v>
      </c>
      <c r="L499" t="s">
        <v>26</v>
      </c>
      <c r="M499">
        <v>350644</v>
      </c>
      <c r="N499">
        <v>1</v>
      </c>
      <c r="O499" s="3">
        <v>45990</v>
      </c>
      <c r="P499" s="3">
        <v>26725</v>
      </c>
      <c r="Q499" s="5">
        <f t="shared" si="21"/>
        <v>38647.058823529413</v>
      </c>
      <c r="R499" s="5">
        <f t="shared" si="22"/>
        <v>26725</v>
      </c>
      <c r="S499" s="5">
        <f t="shared" si="23"/>
        <v>11922.058823529413</v>
      </c>
    </row>
    <row r="500" spans="1:19" hidden="1" x14ac:dyDescent="0.3">
      <c r="A500">
        <v>100</v>
      </c>
      <c r="B500" t="s">
        <v>16</v>
      </c>
      <c r="C500">
        <v>1687976791</v>
      </c>
      <c r="D500" s="2" t="s">
        <v>200</v>
      </c>
      <c r="E500" t="s">
        <v>201</v>
      </c>
      <c r="F500" t="s">
        <v>201</v>
      </c>
      <c r="G500" t="s">
        <v>202</v>
      </c>
      <c r="H500" t="s">
        <v>202</v>
      </c>
      <c r="I500" t="s">
        <v>23</v>
      </c>
      <c r="J500" t="s">
        <v>202</v>
      </c>
      <c r="K500" s="2" t="s">
        <v>1152</v>
      </c>
      <c r="L500" t="s">
        <v>26</v>
      </c>
      <c r="M500">
        <v>350645</v>
      </c>
      <c r="N500">
        <v>1</v>
      </c>
      <c r="O500" s="3">
        <v>3200</v>
      </c>
      <c r="P500">
        <v>1</v>
      </c>
      <c r="Q500" s="5">
        <f t="shared" si="21"/>
        <v>2689.0756302521008</v>
      </c>
      <c r="R500" s="5">
        <f t="shared" si="22"/>
        <v>1</v>
      </c>
      <c r="S500" s="5">
        <f t="shared" si="23"/>
        <v>2688.0756302521008</v>
      </c>
    </row>
    <row r="501" spans="1:19" hidden="1" x14ac:dyDescent="0.3">
      <c r="A501">
        <v>100</v>
      </c>
      <c r="B501" t="s">
        <v>16</v>
      </c>
      <c r="C501" t="s">
        <v>1240</v>
      </c>
      <c r="D501" s="2" t="s">
        <v>1241</v>
      </c>
      <c r="E501" t="s">
        <v>155</v>
      </c>
      <c r="F501" t="s">
        <v>20</v>
      </c>
      <c r="G501" t="s">
        <v>21</v>
      </c>
      <c r="H501" t="s">
        <v>156</v>
      </c>
      <c r="I501" t="s">
        <v>23</v>
      </c>
      <c r="J501" t="s">
        <v>35</v>
      </c>
      <c r="K501" s="2" t="s">
        <v>1152</v>
      </c>
      <c r="L501" t="s">
        <v>26</v>
      </c>
      <c r="M501">
        <v>350645</v>
      </c>
      <c r="N501">
        <v>1</v>
      </c>
      <c r="O501" s="3">
        <v>69990</v>
      </c>
      <c r="P501" s="3">
        <v>38150</v>
      </c>
      <c r="Q501" s="5">
        <f t="shared" si="21"/>
        <v>58815.126050420171</v>
      </c>
      <c r="R501" s="5">
        <f t="shared" si="22"/>
        <v>38150</v>
      </c>
      <c r="S501" s="5">
        <f t="shared" si="23"/>
        <v>20665.126050420171</v>
      </c>
    </row>
    <row r="502" spans="1:19" hidden="1" x14ac:dyDescent="0.3">
      <c r="A502">
        <v>100</v>
      </c>
      <c r="B502" t="s">
        <v>16</v>
      </c>
      <c r="C502">
        <v>1687976791</v>
      </c>
      <c r="D502" s="2" t="s">
        <v>200</v>
      </c>
      <c r="E502" t="s">
        <v>201</v>
      </c>
      <c r="F502" t="s">
        <v>201</v>
      </c>
      <c r="G502" t="s">
        <v>202</v>
      </c>
      <c r="H502" t="s">
        <v>202</v>
      </c>
      <c r="I502" t="s">
        <v>23</v>
      </c>
      <c r="J502" t="s">
        <v>202</v>
      </c>
      <c r="K502" s="2" t="s">
        <v>1152</v>
      </c>
      <c r="L502" t="s">
        <v>26</v>
      </c>
      <c r="M502">
        <v>350646</v>
      </c>
      <c r="N502">
        <v>1</v>
      </c>
      <c r="O502" s="3">
        <v>3200</v>
      </c>
      <c r="P502">
        <v>1</v>
      </c>
      <c r="Q502" s="5">
        <f t="shared" si="21"/>
        <v>2689.0756302521008</v>
      </c>
      <c r="R502" s="5">
        <f t="shared" si="22"/>
        <v>1</v>
      </c>
      <c r="S502" s="5">
        <f t="shared" si="23"/>
        <v>2688.0756302521008</v>
      </c>
    </row>
    <row r="503" spans="1:19" hidden="1" x14ac:dyDescent="0.3">
      <c r="A503">
        <v>100</v>
      </c>
      <c r="B503" t="s">
        <v>16</v>
      </c>
      <c r="C503" t="s">
        <v>1242</v>
      </c>
      <c r="D503" s="2" t="s">
        <v>1243</v>
      </c>
      <c r="E503" t="s">
        <v>1244</v>
      </c>
      <c r="F503" t="s">
        <v>20</v>
      </c>
      <c r="G503" t="s">
        <v>338</v>
      </c>
      <c r="H503">
        <v>83707</v>
      </c>
      <c r="I503" t="s">
        <v>23</v>
      </c>
      <c r="J503" t="s">
        <v>40</v>
      </c>
      <c r="K503" s="2" t="s">
        <v>1152</v>
      </c>
      <c r="L503" t="s">
        <v>26</v>
      </c>
      <c r="M503">
        <v>350646</v>
      </c>
      <c r="N503">
        <v>1</v>
      </c>
      <c r="O503" s="3">
        <v>69990</v>
      </c>
      <c r="P503" s="3">
        <v>30263</v>
      </c>
      <c r="Q503" s="5">
        <f t="shared" si="21"/>
        <v>58815.126050420171</v>
      </c>
      <c r="R503" s="5">
        <f t="shared" si="22"/>
        <v>30263</v>
      </c>
      <c r="S503" s="5">
        <f t="shared" si="23"/>
        <v>28552.126050420171</v>
      </c>
    </row>
    <row r="504" spans="1:19" hidden="1" x14ac:dyDescent="0.3">
      <c r="A504">
        <v>100</v>
      </c>
      <c r="B504" t="s">
        <v>16</v>
      </c>
      <c r="C504" t="s">
        <v>1245</v>
      </c>
      <c r="D504" s="2" t="s">
        <v>1246</v>
      </c>
      <c r="E504" t="s">
        <v>1247</v>
      </c>
      <c r="F504" t="s">
        <v>20</v>
      </c>
      <c r="G504" t="s">
        <v>21</v>
      </c>
      <c r="H504" t="s">
        <v>1199</v>
      </c>
      <c r="I504" t="s">
        <v>23</v>
      </c>
      <c r="J504" t="s">
        <v>207</v>
      </c>
      <c r="K504" s="2" t="s">
        <v>1152</v>
      </c>
      <c r="L504" t="s">
        <v>26</v>
      </c>
      <c r="M504">
        <v>350647</v>
      </c>
      <c r="N504">
        <v>1</v>
      </c>
      <c r="O504" s="3">
        <v>39990</v>
      </c>
      <c r="P504" s="3">
        <v>28778</v>
      </c>
      <c r="Q504" s="5">
        <f t="shared" si="21"/>
        <v>33605.042016806721</v>
      </c>
      <c r="R504" s="5">
        <f t="shared" si="22"/>
        <v>28778</v>
      </c>
      <c r="S504" s="5">
        <f t="shared" si="23"/>
        <v>4827.0420168067212</v>
      </c>
    </row>
    <row r="505" spans="1:19" hidden="1" x14ac:dyDescent="0.3">
      <c r="A505">
        <v>100</v>
      </c>
      <c r="B505" t="s">
        <v>16</v>
      </c>
      <c r="C505" t="s">
        <v>1248</v>
      </c>
      <c r="D505" s="2" t="s">
        <v>1249</v>
      </c>
      <c r="E505" t="s">
        <v>1250</v>
      </c>
      <c r="F505" t="s">
        <v>20</v>
      </c>
      <c r="G505" t="s">
        <v>21</v>
      </c>
      <c r="H505" t="s">
        <v>1251</v>
      </c>
      <c r="I505" t="s">
        <v>23</v>
      </c>
      <c r="J505" t="s">
        <v>207</v>
      </c>
      <c r="K505" s="2" t="s">
        <v>1152</v>
      </c>
      <c r="L505" t="s">
        <v>26</v>
      </c>
      <c r="M505">
        <v>350647</v>
      </c>
      <c r="N505">
        <v>1</v>
      </c>
      <c r="O505" s="3">
        <v>39990</v>
      </c>
      <c r="P505" s="3">
        <v>26720</v>
      </c>
      <c r="Q505" s="5">
        <f t="shared" si="21"/>
        <v>33605.042016806721</v>
      </c>
      <c r="R505" s="5">
        <f t="shared" si="22"/>
        <v>26720</v>
      </c>
      <c r="S505" s="5">
        <f t="shared" si="23"/>
        <v>6885.0420168067212</v>
      </c>
    </row>
    <row r="506" spans="1:19" hidden="1" x14ac:dyDescent="0.3">
      <c r="A506">
        <v>100</v>
      </c>
      <c r="B506" t="s">
        <v>16</v>
      </c>
      <c r="C506" t="s">
        <v>1252</v>
      </c>
      <c r="D506" s="2" t="s">
        <v>1253</v>
      </c>
      <c r="E506" t="s">
        <v>1254</v>
      </c>
      <c r="F506" t="s">
        <v>20</v>
      </c>
      <c r="G506" t="s">
        <v>21</v>
      </c>
      <c r="H506" t="s">
        <v>1255</v>
      </c>
      <c r="I506" t="s">
        <v>23</v>
      </c>
      <c r="J506" t="s">
        <v>207</v>
      </c>
      <c r="K506" s="2" t="s">
        <v>1152</v>
      </c>
      <c r="L506" t="s">
        <v>26</v>
      </c>
      <c r="M506">
        <v>350647</v>
      </c>
      <c r="N506">
        <v>1</v>
      </c>
      <c r="O506" s="3">
        <v>39990</v>
      </c>
      <c r="P506" s="3">
        <v>26413</v>
      </c>
      <c r="Q506" s="5">
        <f t="shared" si="21"/>
        <v>33605.042016806721</v>
      </c>
      <c r="R506" s="5">
        <f t="shared" si="22"/>
        <v>26413</v>
      </c>
      <c r="S506" s="5">
        <f t="shared" si="23"/>
        <v>7192.0420168067212</v>
      </c>
    </row>
    <row r="507" spans="1:19" hidden="1" x14ac:dyDescent="0.3">
      <c r="A507">
        <v>100</v>
      </c>
      <c r="B507" t="s">
        <v>16</v>
      </c>
      <c r="C507" t="s">
        <v>1256</v>
      </c>
      <c r="D507" s="2" t="s">
        <v>1257</v>
      </c>
      <c r="E507" t="s">
        <v>148</v>
      </c>
      <c r="F507" t="s">
        <v>20</v>
      </c>
      <c r="G507" t="s">
        <v>21</v>
      </c>
      <c r="H507" t="s">
        <v>114</v>
      </c>
      <c r="I507" t="s">
        <v>23</v>
      </c>
      <c r="J507" t="s">
        <v>31</v>
      </c>
      <c r="K507" s="2" t="s">
        <v>1152</v>
      </c>
      <c r="L507" t="s">
        <v>26</v>
      </c>
      <c r="M507">
        <v>350648</v>
      </c>
      <c r="N507">
        <v>1</v>
      </c>
      <c r="O507" s="3">
        <v>59990</v>
      </c>
      <c r="P507" s="3">
        <v>28912</v>
      </c>
      <c r="Q507" s="5">
        <f t="shared" si="21"/>
        <v>50411.764705882357</v>
      </c>
      <c r="R507" s="5">
        <f t="shared" si="22"/>
        <v>28912</v>
      </c>
      <c r="S507" s="5">
        <f t="shared" si="23"/>
        <v>21499.764705882357</v>
      </c>
    </row>
    <row r="508" spans="1:19" hidden="1" x14ac:dyDescent="0.3">
      <c r="A508">
        <v>100</v>
      </c>
      <c r="B508" t="s">
        <v>16</v>
      </c>
      <c r="C508">
        <v>1687976791</v>
      </c>
      <c r="D508" s="2" t="s">
        <v>200</v>
      </c>
      <c r="E508" t="s">
        <v>201</v>
      </c>
      <c r="F508" t="s">
        <v>201</v>
      </c>
      <c r="G508" t="s">
        <v>202</v>
      </c>
      <c r="H508" t="s">
        <v>202</v>
      </c>
      <c r="I508" t="s">
        <v>23</v>
      </c>
      <c r="J508" t="s">
        <v>202</v>
      </c>
      <c r="K508" s="2" t="s">
        <v>1152</v>
      </c>
      <c r="L508" t="s">
        <v>26</v>
      </c>
      <c r="M508">
        <v>350648</v>
      </c>
      <c r="N508">
        <v>1</v>
      </c>
      <c r="O508" s="3">
        <v>3200</v>
      </c>
      <c r="P508">
        <v>1</v>
      </c>
      <c r="Q508" s="5">
        <f t="shared" si="21"/>
        <v>2689.0756302521008</v>
      </c>
      <c r="R508" s="5">
        <f t="shared" si="22"/>
        <v>1</v>
      </c>
      <c r="S508" s="5">
        <f t="shared" si="23"/>
        <v>2688.0756302521008</v>
      </c>
    </row>
    <row r="509" spans="1:19" hidden="1" x14ac:dyDescent="0.3">
      <c r="A509">
        <v>100</v>
      </c>
      <c r="B509" t="s">
        <v>16</v>
      </c>
      <c r="C509" t="s">
        <v>1258</v>
      </c>
      <c r="D509" s="2" t="s">
        <v>1259</v>
      </c>
      <c r="E509" t="s">
        <v>192</v>
      </c>
      <c r="F509" t="s">
        <v>20</v>
      </c>
      <c r="G509" t="s">
        <v>21</v>
      </c>
      <c r="H509" t="s">
        <v>48</v>
      </c>
      <c r="I509" t="s">
        <v>23</v>
      </c>
      <c r="J509" t="s">
        <v>35</v>
      </c>
      <c r="K509" s="2" t="s">
        <v>1152</v>
      </c>
      <c r="L509" t="s">
        <v>26</v>
      </c>
      <c r="M509">
        <v>350649</v>
      </c>
      <c r="N509">
        <v>1</v>
      </c>
      <c r="O509" s="3">
        <v>49990</v>
      </c>
      <c r="P509" s="3">
        <v>28799</v>
      </c>
      <c r="Q509" s="5">
        <f t="shared" si="21"/>
        <v>42008.403361344543</v>
      </c>
      <c r="R509" s="5">
        <f t="shared" si="22"/>
        <v>28799</v>
      </c>
      <c r="S509" s="5">
        <f t="shared" si="23"/>
        <v>13209.403361344543</v>
      </c>
    </row>
    <row r="510" spans="1:19" hidden="1" x14ac:dyDescent="0.3">
      <c r="A510">
        <v>100</v>
      </c>
      <c r="B510" t="s">
        <v>16</v>
      </c>
      <c r="C510">
        <v>1687976791</v>
      </c>
      <c r="D510" s="2" t="s">
        <v>200</v>
      </c>
      <c r="E510" t="s">
        <v>201</v>
      </c>
      <c r="F510" t="s">
        <v>201</v>
      </c>
      <c r="G510" t="s">
        <v>202</v>
      </c>
      <c r="H510" t="s">
        <v>202</v>
      </c>
      <c r="I510" t="s">
        <v>23</v>
      </c>
      <c r="J510" t="s">
        <v>202</v>
      </c>
      <c r="K510" s="2" t="s">
        <v>1152</v>
      </c>
      <c r="L510" t="s">
        <v>26</v>
      </c>
      <c r="M510">
        <v>350649</v>
      </c>
      <c r="N510">
        <v>1</v>
      </c>
      <c r="O510" s="3">
        <v>3200</v>
      </c>
      <c r="P510">
        <v>1</v>
      </c>
      <c r="Q510" s="5">
        <f t="shared" si="21"/>
        <v>2689.0756302521008</v>
      </c>
      <c r="R510" s="5">
        <f t="shared" si="22"/>
        <v>1</v>
      </c>
      <c r="S510" s="5">
        <f t="shared" si="23"/>
        <v>2688.0756302521008</v>
      </c>
    </row>
    <row r="511" spans="1:19" hidden="1" x14ac:dyDescent="0.3">
      <c r="A511">
        <v>100</v>
      </c>
      <c r="B511" t="s">
        <v>16</v>
      </c>
      <c r="C511" t="s">
        <v>1260</v>
      </c>
      <c r="D511" s="2" t="s">
        <v>1261</v>
      </c>
      <c r="E511" t="s">
        <v>148</v>
      </c>
      <c r="F511" t="s">
        <v>20</v>
      </c>
      <c r="G511" t="s">
        <v>21</v>
      </c>
      <c r="H511" t="s">
        <v>114</v>
      </c>
      <c r="I511" t="s">
        <v>23</v>
      </c>
      <c r="J511" t="s">
        <v>31</v>
      </c>
      <c r="K511" s="2" t="s">
        <v>1152</v>
      </c>
      <c r="L511" t="s">
        <v>26</v>
      </c>
      <c r="M511">
        <v>350650</v>
      </c>
      <c r="N511">
        <v>1</v>
      </c>
      <c r="O511" s="3">
        <v>59990</v>
      </c>
      <c r="P511" s="3">
        <v>28912</v>
      </c>
      <c r="Q511" s="5">
        <f t="shared" si="21"/>
        <v>50411.764705882357</v>
      </c>
      <c r="R511" s="5">
        <f t="shared" si="22"/>
        <v>28912</v>
      </c>
      <c r="S511" s="5">
        <f t="shared" si="23"/>
        <v>21499.764705882357</v>
      </c>
    </row>
    <row r="512" spans="1:19" hidden="1" x14ac:dyDescent="0.3">
      <c r="A512">
        <v>100</v>
      </c>
      <c r="B512" t="s">
        <v>16</v>
      </c>
      <c r="C512" t="s">
        <v>252</v>
      </c>
      <c r="D512" s="2" t="s">
        <v>253</v>
      </c>
      <c r="E512" t="s">
        <v>254</v>
      </c>
      <c r="F512" t="s">
        <v>20</v>
      </c>
      <c r="G512" t="s">
        <v>21</v>
      </c>
      <c r="H512" t="s">
        <v>255</v>
      </c>
      <c r="I512" t="s">
        <v>23</v>
      </c>
      <c r="J512" t="s">
        <v>35</v>
      </c>
      <c r="K512" s="2" t="s">
        <v>1152</v>
      </c>
      <c r="L512" t="s">
        <v>26</v>
      </c>
      <c r="M512">
        <v>350650</v>
      </c>
      <c r="N512">
        <v>1</v>
      </c>
      <c r="O512" s="3">
        <v>69990</v>
      </c>
      <c r="P512" s="3">
        <v>38637</v>
      </c>
      <c r="Q512" s="5">
        <f t="shared" si="21"/>
        <v>58815.126050420171</v>
      </c>
      <c r="R512" s="5">
        <f t="shared" si="22"/>
        <v>38637</v>
      </c>
      <c r="S512" s="5">
        <f t="shared" si="23"/>
        <v>20178.126050420171</v>
      </c>
    </row>
    <row r="513" spans="1:19" hidden="1" x14ac:dyDescent="0.3">
      <c r="A513">
        <v>100</v>
      </c>
      <c r="B513" t="s">
        <v>16</v>
      </c>
      <c r="C513" t="s">
        <v>1262</v>
      </c>
      <c r="D513" s="2" t="s">
        <v>1263</v>
      </c>
      <c r="E513" t="s">
        <v>1264</v>
      </c>
      <c r="F513" t="s">
        <v>20</v>
      </c>
      <c r="G513" t="s">
        <v>21</v>
      </c>
      <c r="H513" t="s">
        <v>783</v>
      </c>
      <c r="I513" t="s">
        <v>23</v>
      </c>
      <c r="J513" t="s">
        <v>40</v>
      </c>
      <c r="K513" s="2" t="s">
        <v>1152</v>
      </c>
      <c r="L513" t="s">
        <v>26</v>
      </c>
      <c r="M513">
        <v>350651</v>
      </c>
      <c r="N513">
        <v>1</v>
      </c>
      <c r="O513" s="3">
        <v>29990</v>
      </c>
      <c r="P513" s="3">
        <v>15745</v>
      </c>
      <c r="Q513" s="5">
        <f t="shared" si="21"/>
        <v>25201.680672268907</v>
      </c>
      <c r="R513" s="5">
        <f t="shared" si="22"/>
        <v>15745</v>
      </c>
      <c r="S513" s="5">
        <f t="shared" si="23"/>
        <v>9456.6806722689071</v>
      </c>
    </row>
    <row r="514" spans="1:19" hidden="1" x14ac:dyDescent="0.3">
      <c r="A514">
        <v>100</v>
      </c>
      <c r="B514" t="s">
        <v>16</v>
      </c>
      <c r="C514">
        <v>1687976791</v>
      </c>
      <c r="D514" s="2" t="s">
        <v>200</v>
      </c>
      <c r="E514" t="s">
        <v>201</v>
      </c>
      <c r="F514" t="s">
        <v>201</v>
      </c>
      <c r="G514" t="s">
        <v>202</v>
      </c>
      <c r="H514" t="s">
        <v>202</v>
      </c>
      <c r="I514" t="s">
        <v>23</v>
      </c>
      <c r="J514" t="s">
        <v>202</v>
      </c>
      <c r="K514" s="2" t="s">
        <v>1152</v>
      </c>
      <c r="L514" t="s">
        <v>26</v>
      </c>
      <c r="M514">
        <v>350651</v>
      </c>
      <c r="N514">
        <v>1</v>
      </c>
      <c r="O514" s="3">
        <v>6390</v>
      </c>
      <c r="P514">
        <v>1</v>
      </c>
      <c r="Q514" s="5">
        <f t="shared" si="21"/>
        <v>5369.7478991596645</v>
      </c>
      <c r="R514" s="5">
        <f t="shared" si="22"/>
        <v>1</v>
      </c>
      <c r="S514" s="5">
        <f t="shared" si="23"/>
        <v>5368.7478991596645</v>
      </c>
    </row>
    <row r="515" spans="1:19" hidden="1" x14ac:dyDescent="0.3">
      <c r="A515">
        <v>100</v>
      </c>
      <c r="B515" t="s">
        <v>16</v>
      </c>
      <c r="C515" t="s">
        <v>1265</v>
      </c>
      <c r="D515" s="2" t="s">
        <v>1266</v>
      </c>
      <c r="E515" t="s">
        <v>761</v>
      </c>
      <c r="F515" t="s">
        <v>20</v>
      </c>
      <c r="G515" t="s">
        <v>21</v>
      </c>
      <c r="H515" t="s">
        <v>718</v>
      </c>
      <c r="I515" t="s">
        <v>23</v>
      </c>
      <c r="J515" t="s">
        <v>35</v>
      </c>
      <c r="K515" s="2" t="s">
        <v>1152</v>
      </c>
      <c r="L515" t="s">
        <v>26</v>
      </c>
      <c r="M515">
        <v>350652</v>
      </c>
      <c r="N515">
        <v>1</v>
      </c>
      <c r="O515" s="3">
        <v>59990</v>
      </c>
      <c r="P515" s="3">
        <v>31933</v>
      </c>
      <c r="Q515" s="5">
        <f t="shared" si="21"/>
        <v>50411.764705882357</v>
      </c>
      <c r="R515" s="5">
        <f t="shared" si="22"/>
        <v>31933</v>
      </c>
      <c r="S515" s="5">
        <f t="shared" si="23"/>
        <v>18478.764705882357</v>
      </c>
    </row>
    <row r="516" spans="1:19" hidden="1" x14ac:dyDescent="0.3">
      <c r="A516">
        <v>100</v>
      </c>
      <c r="B516" t="s">
        <v>16</v>
      </c>
      <c r="C516" t="s">
        <v>1267</v>
      </c>
      <c r="D516" s="2" t="s">
        <v>1268</v>
      </c>
      <c r="E516" t="s">
        <v>1269</v>
      </c>
      <c r="F516" t="s">
        <v>377</v>
      </c>
      <c r="G516" t="s">
        <v>21</v>
      </c>
      <c r="H516" t="s">
        <v>378</v>
      </c>
      <c r="I516" t="s">
        <v>23</v>
      </c>
      <c r="J516" t="s">
        <v>379</v>
      </c>
      <c r="K516" s="2" t="s">
        <v>1152</v>
      </c>
      <c r="L516" t="s">
        <v>26</v>
      </c>
      <c r="M516">
        <v>350652</v>
      </c>
      <c r="N516">
        <v>1</v>
      </c>
      <c r="O516" s="3">
        <v>5950</v>
      </c>
      <c r="P516" s="3">
        <v>1850</v>
      </c>
      <c r="Q516" s="5">
        <f t="shared" si="21"/>
        <v>5000</v>
      </c>
      <c r="R516" s="5">
        <f t="shared" si="22"/>
        <v>1850</v>
      </c>
      <c r="S516" s="5">
        <f t="shared" si="23"/>
        <v>3150</v>
      </c>
    </row>
    <row r="517" spans="1:19" hidden="1" x14ac:dyDescent="0.3">
      <c r="A517">
        <v>100</v>
      </c>
      <c r="B517" t="s">
        <v>16</v>
      </c>
      <c r="C517" t="s">
        <v>1270</v>
      </c>
      <c r="D517" s="2" t="s">
        <v>1271</v>
      </c>
      <c r="E517" t="s">
        <v>1272</v>
      </c>
      <c r="F517" t="s">
        <v>20</v>
      </c>
      <c r="G517" t="s">
        <v>21</v>
      </c>
      <c r="H517" t="s">
        <v>353</v>
      </c>
      <c r="I517" t="s">
        <v>23</v>
      </c>
      <c r="J517" t="s">
        <v>95</v>
      </c>
      <c r="K517" s="2" t="s">
        <v>1152</v>
      </c>
      <c r="L517" t="s">
        <v>26</v>
      </c>
      <c r="M517">
        <v>350653</v>
      </c>
      <c r="N517">
        <v>1</v>
      </c>
      <c r="O517" s="3">
        <v>39990</v>
      </c>
      <c r="P517" s="3">
        <v>27296</v>
      </c>
      <c r="Q517" s="5">
        <f t="shared" si="21"/>
        <v>33605.042016806721</v>
      </c>
      <c r="R517" s="5">
        <f t="shared" si="22"/>
        <v>27296</v>
      </c>
      <c r="S517" s="5">
        <f t="shared" si="23"/>
        <v>6309.0420168067212</v>
      </c>
    </row>
    <row r="518" spans="1:19" hidden="1" x14ac:dyDescent="0.3">
      <c r="A518">
        <v>100</v>
      </c>
      <c r="B518" t="s">
        <v>16</v>
      </c>
      <c r="C518">
        <v>1687976791</v>
      </c>
      <c r="D518" s="2" t="s">
        <v>200</v>
      </c>
      <c r="E518" t="s">
        <v>201</v>
      </c>
      <c r="F518" t="s">
        <v>201</v>
      </c>
      <c r="G518" t="s">
        <v>202</v>
      </c>
      <c r="H518" t="s">
        <v>202</v>
      </c>
      <c r="I518" t="s">
        <v>23</v>
      </c>
      <c r="J518" t="s">
        <v>202</v>
      </c>
      <c r="K518" s="2" t="s">
        <v>1152</v>
      </c>
      <c r="L518" t="s">
        <v>26</v>
      </c>
      <c r="M518">
        <v>350653</v>
      </c>
      <c r="N518">
        <v>1</v>
      </c>
      <c r="O518" s="3">
        <v>3200</v>
      </c>
      <c r="P518">
        <v>1</v>
      </c>
      <c r="Q518" s="5">
        <f t="shared" ref="Q518:Q581" si="24">O518/1.19</f>
        <v>2689.0756302521008</v>
      </c>
      <c r="R518" s="5">
        <f t="shared" ref="R518:R581" si="25">N518*P518</f>
        <v>1</v>
      </c>
      <c r="S518" s="5">
        <f t="shared" ref="S518:S581" si="26">Q518-R518</f>
        <v>2688.0756302521008</v>
      </c>
    </row>
    <row r="519" spans="1:19" hidden="1" x14ac:dyDescent="0.3">
      <c r="A519">
        <v>100</v>
      </c>
      <c r="B519" t="s">
        <v>16</v>
      </c>
      <c r="C519" t="s">
        <v>1273</v>
      </c>
      <c r="D519" s="2" t="s">
        <v>1274</v>
      </c>
      <c r="E519" t="s">
        <v>717</v>
      </c>
      <c r="F519" t="s">
        <v>20</v>
      </c>
      <c r="G519" t="s">
        <v>21</v>
      </c>
      <c r="H519" t="s">
        <v>718</v>
      </c>
      <c r="I519" t="s">
        <v>23</v>
      </c>
      <c r="J519" t="s">
        <v>49</v>
      </c>
      <c r="K519" s="2" t="s">
        <v>1152</v>
      </c>
      <c r="L519" t="s">
        <v>26</v>
      </c>
      <c r="M519">
        <v>350654</v>
      </c>
      <c r="N519">
        <v>1</v>
      </c>
      <c r="O519" s="3">
        <v>39990</v>
      </c>
      <c r="P519" s="3">
        <v>26655</v>
      </c>
      <c r="Q519" s="5">
        <f t="shared" si="24"/>
        <v>33605.042016806721</v>
      </c>
      <c r="R519" s="5">
        <f t="shared" si="25"/>
        <v>26655</v>
      </c>
      <c r="S519" s="5">
        <f t="shared" si="26"/>
        <v>6950.0420168067212</v>
      </c>
    </row>
    <row r="520" spans="1:19" hidden="1" x14ac:dyDescent="0.3">
      <c r="A520">
        <v>100</v>
      </c>
      <c r="B520" t="s">
        <v>16</v>
      </c>
      <c r="C520">
        <v>1687976791</v>
      </c>
      <c r="D520" s="2" t="s">
        <v>200</v>
      </c>
      <c r="E520" t="s">
        <v>201</v>
      </c>
      <c r="F520" t="s">
        <v>201</v>
      </c>
      <c r="G520" t="s">
        <v>202</v>
      </c>
      <c r="H520" t="s">
        <v>202</v>
      </c>
      <c r="I520" t="s">
        <v>23</v>
      </c>
      <c r="J520" t="s">
        <v>202</v>
      </c>
      <c r="K520" s="2" t="s">
        <v>1152</v>
      </c>
      <c r="L520" t="s">
        <v>26</v>
      </c>
      <c r="M520">
        <v>350654</v>
      </c>
      <c r="N520">
        <v>1</v>
      </c>
      <c r="O520" s="3">
        <v>3200</v>
      </c>
      <c r="P520">
        <v>1</v>
      </c>
      <c r="Q520" s="5">
        <f t="shared" si="24"/>
        <v>2689.0756302521008</v>
      </c>
      <c r="R520" s="5">
        <f t="shared" si="25"/>
        <v>1</v>
      </c>
      <c r="S520" s="5">
        <f t="shared" si="26"/>
        <v>2688.0756302521008</v>
      </c>
    </row>
    <row r="521" spans="1:19" hidden="1" x14ac:dyDescent="0.3">
      <c r="A521">
        <v>100</v>
      </c>
      <c r="B521" t="s">
        <v>16</v>
      </c>
      <c r="C521" t="s">
        <v>1275</v>
      </c>
      <c r="D521" s="2" t="s">
        <v>1276</v>
      </c>
      <c r="E521" t="s">
        <v>741</v>
      </c>
      <c r="F521" t="s">
        <v>20</v>
      </c>
      <c r="G521" t="s">
        <v>21</v>
      </c>
      <c r="H521" t="s">
        <v>742</v>
      </c>
      <c r="I521" t="s">
        <v>23</v>
      </c>
      <c r="J521" t="s">
        <v>40</v>
      </c>
      <c r="K521" s="2" t="s">
        <v>1152</v>
      </c>
      <c r="L521" t="s">
        <v>26</v>
      </c>
      <c r="M521">
        <v>350655</v>
      </c>
      <c r="N521">
        <v>1</v>
      </c>
      <c r="O521" s="3">
        <v>74950</v>
      </c>
      <c r="P521" s="3">
        <v>24228</v>
      </c>
      <c r="Q521" s="5">
        <f t="shared" si="24"/>
        <v>62983.193277310929</v>
      </c>
      <c r="R521" s="5">
        <f t="shared" si="25"/>
        <v>24228</v>
      </c>
      <c r="S521" s="5">
        <f t="shared" si="26"/>
        <v>38755.193277310929</v>
      </c>
    </row>
    <row r="522" spans="1:19" hidden="1" x14ac:dyDescent="0.3">
      <c r="A522">
        <v>100</v>
      </c>
      <c r="B522" t="s">
        <v>16</v>
      </c>
      <c r="C522" t="s">
        <v>1277</v>
      </c>
      <c r="D522" s="2" t="s">
        <v>1278</v>
      </c>
      <c r="E522" t="s">
        <v>793</v>
      </c>
      <c r="F522" t="s">
        <v>20</v>
      </c>
      <c r="G522" t="s">
        <v>21</v>
      </c>
      <c r="H522" t="s">
        <v>794</v>
      </c>
      <c r="I522" t="s">
        <v>23</v>
      </c>
      <c r="J522" t="s">
        <v>40</v>
      </c>
      <c r="K522" s="2" t="s">
        <v>1152</v>
      </c>
      <c r="L522" t="s">
        <v>26</v>
      </c>
      <c r="M522">
        <v>350655</v>
      </c>
      <c r="N522">
        <v>1</v>
      </c>
      <c r="O522" s="3">
        <v>49990</v>
      </c>
      <c r="P522" s="3">
        <v>21475</v>
      </c>
      <c r="Q522" s="5">
        <f t="shared" si="24"/>
        <v>42008.403361344543</v>
      </c>
      <c r="R522" s="5">
        <f t="shared" si="25"/>
        <v>21475</v>
      </c>
      <c r="S522" s="5">
        <f t="shared" si="26"/>
        <v>20533.403361344543</v>
      </c>
    </row>
    <row r="523" spans="1:19" hidden="1" x14ac:dyDescent="0.3">
      <c r="A523">
        <v>100</v>
      </c>
      <c r="B523" t="s">
        <v>16</v>
      </c>
      <c r="C523" t="s">
        <v>1279</v>
      </c>
      <c r="D523" s="2" t="s">
        <v>1280</v>
      </c>
      <c r="E523" t="s">
        <v>1281</v>
      </c>
      <c r="F523" t="s">
        <v>20</v>
      </c>
      <c r="G523" t="s">
        <v>21</v>
      </c>
      <c r="H523" t="s">
        <v>1282</v>
      </c>
      <c r="I523" t="s">
        <v>23</v>
      </c>
      <c r="J523" t="s">
        <v>40</v>
      </c>
      <c r="K523" s="2" t="s">
        <v>1152</v>
      </c>
      <c r="L523" t="s">
        <v>26</v>
      </c>
      <c r="M523">
        <v>350656</v>
      </c>
      <c r="N523">
        <v>1</v>
      </c>
      <c r="O523" s="3">
        <v>49950</v>
      </c>
      <c r="P523" s="3">
        <v>13922</v>
      </c>
      <c r="Q523" s="5">
        <f t="shared" si="24"/>
        <v>41974.789915966387</v>
      </c>
      <c r="R523" s="5">
        <f t="shared" si="25"/>
        <v>13922</v>
      </c>
      <c r="S523" s="5">
        <f t="shared" si="26"/>
        <v>28052.789915966387</v>
      </c>
    </row>
    <row r="524" spans="1:19" hidden="1" x14ac:dyDescent="0.3">
      <c r="A524">
        <v>100</v>
      </c>
      <c r="B524" t="s">
        <v>16</v>
      </c>
      <c r="C524" t="s">
        <v>1283</v>
      </c>
      <c r="D524" s="2" t="s">
        <v>1284</v>
      </c>
      <c r="E524" t="s">
        <v>1285</v>
      </c>
      <c r="F524" t="s">
        <v>20</v>
      </c>
      <c r="G524" t="s">
        <v>21</v>
      </c>
      <c r="H524" t="s">
        <v>1286</v>
      </c>
      <c r="I524" t="s">
        <v>23</v>
      </c>
      <c r="J524" t="s">
        <v>40</v>
      </c>
      <c r="K524" s="2" t="s">
        <v>1152</v>
      </c>
      <c r="L524" t="s">
        <v>26</v>
      </c>
      <c r="M524">
        <v>350656</v>
      </c>
      <c r="N524">
        <v>1</v>
      </c>
      <c r="O524" s="3">
        <v>69950</v>
      </c>
      <c r="P524" s="3">
        <v>20741</v>
      </c>
      <c r="Q524" s="5">
        <f t="shared" si="24"/>
        <v>58781.512605042022</v>
      </c>
      <c r="R524" s="5">
        <f t="shared" si="25"/>
        <v>20741</v>
      </c>
      <c r="S524" s="5">
        <f t="shared" si="26"/>
        <v>38040.512605042022</v>
      </c>
    </row>
    <row r="525" spans="1:19" hidden="1" x14ac:dyDescent="0.3">
      <c r="A525">
        <v>100</v>
      </c>
      <c r="B525" t="s">
        <v>16</v>
      </c>
      <c r="C525" t="s">
        <v>1078</v>
      </c>
      <c r="D525" s="2" t="s">
        <v>1079</v>
      </c>
      <c r="E525" t="s">
        <v>1080</v>
      </c>
      <c r="F525" t="s">
        <v>20</v>
      </c>
      <c r="G525" t="s">
        <v>21</v>
      </c>
      <c r="H525" t="s">
        <v>368</v>
      </c>
      <c r="I525" t="s">
        <v>23</v>
      </c>
      <c r="J525" t="s">
        <v>40</v>
      </c>
      <c r="K525" s="2" t="s">
        <v>1152</v>
      </c>
      <c r="L525" t="s">
        <v>26</v>
      </c>
      <c r="M525">
        <v>350657</v>
      </c>
      <c r="N525">
        <v>1</v>
      </c>
      <c r="O525" s="3">
        <v>34990</v>
      </c>
      <c r="P525" s="3">
        <v>21031</v>
      </c>
      <c r="Q525" s="5">
        <f t="shared" si="24"/>
        <v>29403.361344537818</v>
      </c>
      <c r="R525" s="5">
        <f t="shared" si="25"/>
        <v>21031</v>
      </c>
      <c r="S525" s="5">
        <f t="shared" si="26"/>
        <v>8372.3613445378178</v>
      </c>
    </row>
    <row r="526" spans="1:19" hidden="1" x14ac:dyDescent="0.3">
      <c r="A526">
        <v>100</v>
      </c>
      <c r="B526" t="s">
        <v>16</v>
      </c>
      <c r="C526">
        <v>1687976791</v>
      </c>
      <c r="D526" s="2" t="s">
        <v>200</v>
      </c>
      <c r="E526" t="s">
        <v>201</v>
      </c>
      <c r="F526" t="s">
        <v>201</v>
      </c>
      <c r="G526" t="s">
        <v>202</v>
      </c>
      <c r="H526" t="s">
        <v>202</v>
      </c>
      <c r="I526" t="s">
        <v>23</v>
      </c>
      <c r="J526" t="s">
        <v>202</v>
      </c>
      <c r="K526" s="2" t="s">
        <v>1152</v>
      </c>
      <c r="L526" t="s">
        <v>26</v>
      </c>
      <c r="M526">
        <v>350658</v>
      </c>
      <c r="N526">
        <v>1</v>
      </c>
      <c r="O526" s="3">
        <v>3200</v>
      </c>
      <c r="P526">
        <v>1</v>
      </c>
      <c r="Q526" s="5">
        <f t="shared" si="24"/>
        <v>2689.0756302521008</v>
      </c>
      <c r="R526" s="5">
        <f t="shared" si="25"/>
        <v>1</v>
      </c>
      <c r="S526" s="5">
        <f t="shared" si="26"/>
        <v>2688.0756302521008</v>
      </c>
    </row>
    <row r="527" spans="1:19" hidden="1" x14ac:dyDescent="0.3">
      <c r="A527">
        <v>100</v>
      </c>
      <c r="B527" t="s">
        <v>16</v>
      </c>
      <c r="C527" t="s">
        <v>41</v>
      </c>
      <c r="D527" s="2" t="s">
        <v>42</v>
      </c>
      <c r="E527" t="s">
        <v>43</v>
      </c>
      <c r="F527" t="s">
        <v>20</v>
      </c>
      <c r="G527" t="s">
        <v>21</v>
      </c>
      <c r="H527" t="s">
        <v>44</v>
      </c>
      <c r="I527" t="s">
        <v>23</v>
      </c>
      <c r="J527" t="s">
        <v>40</v>
      </c>
      <c r="K527" s="2" t="s">
        <v>1152</v>
      </c>
      <c r="L527" t="s">
        <v>26</v>
      </c>
      <c r="M527">
        <v>350658</v>
      </c>
      <c r="N527">
        <v>1</v>
      </c>
      <c r="O527" s="3">
        <v>39990</v>
      </c>
      <c r="P527" s="3">
        <v>15368</v>
      </c>
      <c r="Q527" s="5">
        <f t="shared" si="24"/>
        <v>33605.042016806721</v>
      </c>
      <c r="R527" s="5">
        <f t="shared" si="25"/>
        <v>15368</v>
      </c>
      <c r="S527" s="5">
        <f t="shared" si="26"/>
        <v>18237.042016806721</v>
      </c>
    </row>
    <row r="528" spans="1:19" hidden="1" x14ac:dyDescent="0.3">
      <c r="A528">
        <v>100</v>
      </c>
      <c r="B528" t="s">
        <v>16</v>
      </c>
      <c r="C528" t="s">
        <v>549</v>
      </c>
      <c r="D528" s="2" t="s">
        <v>550</v>
      </c>
      <c r="E528" t="s">
        <v>271</v>
      </c>
      <c r="F528" t="s">
        <v>20</v>
      </c>
      <c r="G528" t="s">
        <v>21</v>
      </c>
      <c r="H528" t="s">
        <v>272</v>
      </c>
      <c r="I528" t="s">
        <v>23</v>
      </c>
      <c r="J528" t="s">
        <v>35</v>
      </c>
      <c r="K528" s="2" t="s">
        <v>1152</v>
      </c>
      <c r="L528" t="s">
        <v>26</v>
      </c>
      <c r="M528">
        <v>350659</v>
      </c>
      <c r="N528">
        <v>1</v>
      </c>
      <c r="O528" s="3">
        <v>49990</v>
      </c>
      <c r="P528" s="3">
        <v>28184</v>
      </c>
      <c r="Q528" s="5">
        <f t="shared" si="24"/>
        <v>42008.403361344543</v>
      </c>
      <c r="R528" s="5">
        <f t="shared" si="25"/>
        <v>28184</v>
      </c>
      <c r="S528" s="5">
        <f t="shared" si="26"/>
        <v>13824.403361344543</v>
      </c>
    </row>
    <row r="529" spans="1:19" hidden="1" x14ac:dyDescent="0.3">
      <c r="A529">
        <v>100</v>
      </c>
      <c r="B529" t="s">
        <v>16</v>
      </c>
      <c r="C529" t="s">
        <v>1287</v>
      </c>
      <c r="D529" s="2" t="s">
        <v>1288</v>
      </c>
      <c r="E529" t="s">
        <v>457</v>
      </c>
      <c r="F529" t="s">
        <v>20</v>
      </c>
      <c r="G529" t="s">
        <v>21</v>
      </c>
      <c r="H529" t="s">
        <v>79</v>
      </c>
      <c r="I529" t="s">
        <v>23</v>
      </c>
      <c r="J529" t="s">
        <v>35</v>
      </c>
      <c r="K529" s="2" t="s">
        <v>1152</v>
      </c>
      <c r="L529" t="s">
        <v>26</v>
      </c>
      <c r="M529">
        <v>350660</v>
      </c>
      <c r="N529">
        <v>1</v>
      </c>
      <c r="O529" s="3">
        <v>59990</v>
      </c>
      <c r="P529" s="3">
        <v>36047</v>
      </c>
      <c r="Q529" s="5">
        <f t="shared" si="24"/>
        <v>50411.764705882357</v>
      </c>
      <c r="R529" s="5">
        <f t="shared" si="25"/>
        <v>36047</v>
      </c>
      <c r="S529" s="5">
        <f t="shared" si="26"/>
        <v>14364.764705882357</v>
      </c>
    </row>
    <row r="530" spans="1:19" hidden="1" x14ac:dyDescent="0.3">
      <c r="A530">
        <v>100</v>
      </c>
      <c r="B530" t="s">
        <v>16</v>
      </c>
      <c r="C530" t="s">
        <v>1289</v>
      </c>
      <c r="D530" s="2" t="s">
        <v>1290</v>
      </c>
      <c r="E530" t="s">
        <v>1291</v>
      </c>
      <c r="F530" t="s">
        <v>20</v>
      </c>
      <c r="G530" t="s">
        <v>21</v>
      </c>
      <c r="H530" t="s">
        <v>1292</v>
      </c>
      <c r="I530" t="s">
        <v>23</v>
      </c>
      <c r="J530" t="s">
        <v>35</v>
      </c>
      <c r="K530" s="2" t="s">
        <v>1152</v>
      </c>
      <c r="L530" t="s">
        <v>26</v>
      </c>
      <c r="M530">
        <v>350661</v>
      </c>
      <c r="N530">
        <v>1</v>
      </c>
      <c r="O530" s="3">
        <v>59990</v>
      </c>
      <c r="P530" s="3">
        <v>38117</v>
      </c>
      <c r="Q530" s="5">
        <f t="shared" si="24"/>
        <v>50411.764705882357</v>
      </c>
      <c r="R530" s="5">
        <f t="shared" si="25"/>
        <v>38117</v>
      </c>
      <c r="S530" s="5">
        <f t="shared" si="26"/>
        <v>12294.764705882357</v>
      </c>
    </row>
    <row r="531" spans="1:19" hidden="1" x14ac:dyDescent="0.3">
      <c r="A531">
        <v>100</v>
      </c>
      <c r="B531" t="s">
        <v>16</v>
      </c>
      <c r="C531" t="s">
        <v>1293</v>
      </c>
      <c r="D531" s="2" t="s">
        <v>1294</v>
      </c>
      <c r="E531" t="s">
        <v>1295</v>
      </c>
      <c r="F531" t="s">
        <v>20</v>
      </c>
      <c r="G531" t="s">
        <v>21</v>
      </c>
      <c r="H531" t="s">
        <v>1296</v>
      </c>
      <c r="I531" t="s">
        <v>23</v>
      </c>
      <c r="J531" t="s">
        <v>35</v>
      </c>
      <c r="K531" s="2" t="s">
        <v>1152</v>
      </c>
      <c r="L531" t="s">
        <v>26</v>
      </c>
      <c r="M531">
        <v>350662</v>
      </c>
      <c r="N531">
        <v>1</v>
      </c>
      <c r="O531" s="3">
        <v>62990</v>
      </c>
      <c r="P531" s="3">
        <v>34590</v>
      </c>
      <c r="Q531" s="5">
        <f t="shared" si="24"/>
        <v>52932.773109243702</v>
      </c>
      <c r="R531" s="5">
        <f t="shared" si="25"/>
        <v>34590</v>
      </c>
      <c r="S531" s="5">
        <f t="shared" si="26"/>
        <v>18342.773109243702</v>
      </c>
    </row>
    <row r="532" spans="1:19" hidden="1" x14ac:dyDescent="0.3">
      <c r="A532">
        <v>100</v>
      </c>
      <c r="B532" t="s">
        <v>16</v>
      </c>
      <c r="C532" t="s">
        <v>1297</v>
      </c>
      <c r="D532" s="2" t="s">
        <v>1298</v>
      </c>
      <c r="E532" t="s">
        <v>1299</v>
      </c>
      <c r="F532" t="s">
        <v>20</v>
      </c>
      <c r="G532" t="s">
        <v>21</v>
      </c>
      <c r="H532" t="s">
        <v>357</v>
      </c>
      <c r="I532" t="s">
        <v>23</v>
      </c>
      <c r="J532" t="s">
        <v>49</v>
      </c>
      <c r="K532" s="2" t="s">
        <v>1152</v>
      </c>
      <c r="L532" t="s">
        <v>26</v>
      </c>
      <c r="M532">
        <v>350663</v>
      </c>
      <c r="N532">
        <v>1</v>
      </c>
      <c r="O532" s="3">
        <v>44990</v>
      </c>
      <c r="P532" s="3">
        <v>27037</v>
      </c>
      <c r="Q532" s="5">
        <f t="shared" si="24"/>
        <v>37806.722689075636</v>
      </c>
      <c r="R532" s="5">
        <f t="shared" si="25"/>
        <v>27037</v>
      </c>
      <c r="S532" s="5">
        <f t="shared" si="26"/>
        <v>10769.722689075636</v>
      </c>
    </row>
    <row r="533" spans="1:19" hidden="1" x14ac:dyDescent="0.3">
      <c r="A533">
        <v>100</v>
      </c>
      <c r="B533" t="s">
        <v>16</v>
      </c>
      <c r="C533" t="s">
        <v>1300</v>
      </c>
      <c r="D533" s="2" t="s">
        <v>1301</v>
      </c>
      <c r="E533" t="s">
        <v>678</v>
      </c>
      <c r="F533" t="s">
        <v>20</v>
      </c>
      <c r="G533" t="s">
        <v>21</v>
      </c>
      <c r="H533" t="s">
        <v>22</v>
      </c>
      <c r="I533" t="s">
        <v>23</v>
      </c>
      <c r="J533" t="s">
        <v>31</v>
      </c>
      <c r="K533" s="2" t="s">
        <v>1152</v>
      </c>
      <c r="L533" t="s">
        <v>26</v>
      </c>
      <c r="M533">
        <v>350664</v>
      </c>
      <c r="N533">
        <v>1</v>
      </c>
      <c r="O533" s="3">
        <v>84990</v>
      </c>
      <c r="P533" s="3">
        <v>49625</v>
      </c>
      <c r="Q533" s="5">
        <f t="shared" si="24"/>
        <v>71420.168067226899</v>
      </c>
      <c r="R533" s="5">
        <f t="shared" si="25"/>
        <v>49625</v>
      </c>
      <c r="S533" s="5">
        <f t="shared" si="26"/>
        <v>21795.168067226899</v>
      </c>
    </row>
    <row r="534" spans="1:19" hidden="1" x14ac:dyDescent="0.3">
      <c r="A534">
        <v>100</v>
      </c>
      <c r="B534" t="s">
        <v>16</v>
      </c>
      <c r="C534" t="s">
        <v>389</v>
      </c>
      <c r="D534" s="2" t="s">
        <v>390</v>
      </c>
      <c r="E534" t="s">
        <v>391</v>
      </c>
      <c r="F534" t="s">
        <v>20</v>
      </c>
      <c r="G534" t="s">
        <v>21</v>
      </c>
      <c r="H534" t="s">
        <v>285</v>
      </c>
      <c r="I534" t="s">
        <v>23</v>
      </c>
      <c r="J534" t="s">
        <v>35</v>
      </c>
      <c r="K534" s="2" t="s">
        <v>1152</v>
      </c>
      <c r="L534" t="s">
        <v>26</v>
      </c>
      <c r="M534">
        <v>350665</v>
      </c>
      <c r="N534">
        <v>1</v>
      </c>
      <c r="O534" s="3">
        <v>52990</v>
      </c>
      <c r="P534" s="3">
        <v>30881</v>
      </c>
      <c r="Q534" s="5">
        <f t="shared" si="24"/>
        <v>44529.411764705881</v>
      </c>
      <c r="R534" s="5">
        <f t="shared" si="25"/>
        <v>30881</v>
      </c>
      <c r="S534" s="5">
        <f t="shared" si="26"/>
        <v>13648.411764705881</v>
      </c>
    </row>
    <row r="535" spans="1:19" hidden="1" x14ac:dyDescent="0.3">
      <c r="A535">
        <v>100</v>
      </c>
      <c r="B535" t="s">
        <v>16</v>
      </c>
      <c r="C535" t="s">
        <v>1302</v>
      </c>
      <c r="D535" s="2" t="s">
        <v>1303</v>
      </c>
      <c r="E535" t="s">
        <v>34</v>
      </c>
      <c r="F535" t="s">
        <v>20</v>
      </c>
      <c r="G535" t="s">
        <v>21</v>
      </c>
      <c r="H535" t="s">
        <v>22</v>
      </c>
      <c r="I535" t="s">
        <v>23</v>
      </c>
      <c r="J535" t="s">
        <v>35</v>
      </c>
      <c r="K535" s="2" t="s">
        <v>1152</v>
      </c>
      <c r="L535" t="s">
        <v>26</v>
      </c>
      <c r="M535">
        <v>350666</v>
      </c>
      <c r="N535">
        <v>1</v>
      </c>
      <c r="O535" s="3">
        <v>61990</v>
      </c>
      <c r="P535" s="3">
        <v>35261</v>
      </c>
      <c r="Q535" s="5">
        <f t="shared" si="24"/>
        <v>52092.436974789918</v>
      </c>
      <c r="R535" s="5">
        <f t="shared" si="25"/>
        <v>35261</v>
      </c>
      <c r="S535" s="5">
        <f t="shared" si="26"/>
        <v>16831.436974789918</v>
      </c>
    </row>
    <row r="536" spans="1:19" hidden="1" x14ac:dyDescent="0.3">
      <c r="A536">
        <v>100</v>
      </c>
      <c r="B536" t="s">
        <v>16</v>
      </c>
      <c r="C536" t="s">
        <v>1304</v>
      </c>
      <c r="D536" s="2" t="s">
        <v>1305</v>
      </c>
      <c r="E536" t="s">
        <v>1306</v>
      </c>
      <c r="F536" t="s">
        <v>20</v>
      </c>
      <c r="G536" t="s">
        <v>21</v>
      </c>
      <c r="H536" t="s">
        <v>48</v>
      </c>
      <c r="I536" t="s">
        <v>23</v>
      </c>
      <c r="J536" t="s">
        <v>35</v>
      </c>
      <c r="K536" s="2" t="s">
        <v>1152</v>
      </c>
      <c r="L536" t="s">
        <v>26</v>
      </c>
      <c r="M536">
        <v>350667</v>
      </c>
      <c r="N536">
        <v>1</v>
      </c>
      <c r="O536" s="3">
        <v>52990</v>
      </c>
      <c r="P536" s="3">
        <v>31449</v>
      </c>
      <c r="Q536" s="5">
        <f t="shared" si="24"/>
        <v>44529.411764705881</v>
      </c>
      <c r="R536" s="5">
        <f t="shared" si="25"/>
        <v>31449</v>
      </c>
      <c r="S536" s="5">
        <f t="shared" si="26"/>
        <v>13080.411764705881</v>
      </c>
    </row>
    <row r="537" spans="1:19" hidden="1" x14ac:dyDescent="0.3">
      <c r="A537">
        <v>100</v>
      </c>
      <c r="B537" t="s">
        <v>16</v>
      </c>
      <c r="C537" t="s">
        <v>1307</v>
      </c>
      <c r="D537" s="2" t="s">
        <v>1308</v>
      </c>
      <c r="E537" t="s">
        <v>869</v>
      </c>
      <c r="F537" t="s">
        <v>20</v>
      </c>
      <c r="G537" t="s">
        <v>21</v>
      </c>
      <c r="H537" t="s">
        <v>870</v>
      </c>
      <c r="I537" t="s">
        <v>23</v>
      </c>
      <c r="J537" t="s">
        <v>35</v>
      </c>
      <c r="K537" s="2" t="s">
        <v>1309</v>
      </c>
      <c r="L537" t="s">
        <v>26</v>
      </c>
      <c r="M537">
        <v>350668</v>
      </c>
      <c r="N537">
        <v>1</v>
      </c>
      <c r="O537" s="3">
        <v>69950</v>
      </c>
      <c r="P537" s="3">
        <v>25434</v>
      </c>
      <c r="Q537" s="5">
        <f t="shared" si="24"/>
        <v>58781.512605042022</v>
      </c>
      <c r="R537" s="5">
        <f t="shared" si="25"/>
        <v>25434</v>
      </c>
      <c r="S537" s="5">
        <f t="shared" si="26"/>
        <v>33347.512605042022</v>
      </c>
    </row>
    <row r="538" spans="1:19" hidden="1" x14ac:dyDescent="0.3">
      <c r="A538">
        <v>100</v>
      </c>
      <c r="B538" t="s">
        <v>16</v>
      </c>
      <c r="C538" t="s">
        <v>1310</v>
      </c>
      <c r="D538" s="2" t="s">
        <v>1311</v>
      </c>
      <c r="E538" t="s">
        <v>1312</v>
      </c>
      <c r="F538" t="s">
        <v>20</v>
      </c>
      <c r="G538" t="s">
        <v>21</v>
      </c>
      <c r="H538" t="s">
        <v>114</v>
      </c>
      <c r="I538" t="s">
        <v>23</v>
      </c>
      <c r="J538" t="s">
        <v>35</v>
      </c>
      <c r="K538" s="2" t="s">
        <v>1309</v>
      </c>
      <c r="L538" t="s">
        <v>26</v>
      </c>
      <c r="M538">
        <v>350669</v>
      </c>
      <c r="N538">
        <v>1</v>
      </c>
      <c r="O538" s="3">
        <v>54990</v>
      </c>
      <c r="P538" s="3">
        <v>31437</v>
      </c>
      <c r="Q538" s="5">
        <f t="shared" si="24"/>
        <v>46210.08403361345</v>
      </c>
      <c r="R538" s="5">
        <f t="shared" si="25"/>
        <v>31437</v>
      </c>
      <c r="S538" s="5">
        <f t="shared" si="26"/>
        <v>14773.08403361345</v>
      </c>
    </row>
    <row r="539" spans="1:19" hidden="1" x14ac:dyDescent="0.3">
      <c r="A539">
        <v>100</v>
      </c>
      <c r="B539" t="s">
        <v>16</v>
      </c>
      <c r="C539" t="s">
        <v>1313</v>
      </c>
      <c r="D539" s="2" t="s">
        <v>1314</v>
      </c>
      <c r="E539" t="s">
        <v>1315</v>
      </c>
      <c r="F539" t="s">
        <v>20</v>
      </c>
      <c r="G539" t="s">
        <v>21</v>
      </c>
      <c r="H539" t="s">
        <v>135</v>
      </c>
      <c r="I539" t="s">
        <v>23</v>
      </c>
      <c r="J539" t="s">
        <v>35</v>
      </c>
      <c r="K539" s="2" t="s">
        <v>1309</v>
      </c>
      <c r="L539" t="s">
        <v>26</v>
      </c>
      <c r="M539">
        <v>350670</v>
      </c>
      <c r="N539">
        <v>1</v>
      </c>
      <c r="O539" s="3">
        <v>59990</v>
      </c>
      <c r="P539" s="3">
        <v>35748</v>
      </c>
      <c r="Q539" s="5">
        <f t="shared" si="24"/>
        <v>50411.764705882357</v>
      </c>
      <c r="R539" s="5">
        <f t="shared" si="25"/>
        <v>35748</v>
      </c>
      <c r="S539" s="5">
        <f t="shared" si="26"/>
        <v>14663.764705882357</v>
      </c>
    </row>
    <row r="540" spans="1:19" hidden="1" x14ac:dyDescent="0.3">
      <c r="A540">
        <v>100</v>
      </c>
      <c r="B540" t="s">
        <v>16</v>
      </c>
      <c r="C540" t="s">
        <v>1316</v>
      </c>
      <c r="D540" s="2" t="s">
        <v>1317</v>
      </c>
      <c r="E540" t="s">
        <v>1318</v>
      </c>
      <c r="F540" t="s">
        <v>20</v>
      </c>
      <c r="G540" t="s">
        <v>21</v>
      </c>
      <c r="H540" t="s">
        <v>272</v>
      </c>
      <c r="I540" t="s">
        <v>23</v>
      </c>
      <c r="J540" t="s">
        <v>40</v>
      </c>
      <c r="K540" s="2" t="s">
        <v>1309</v>
      </c>
      <c r="L540" t="s">
        <v>26</v>
      </c>
      <c r="M540">
        <v>350671</v>
      </c>
      <c r="N540">
        <v>1</v>
      </c>
      <c r="O540" s="3">
        <v>74950</v>
      </c>
      <c r="P540" s="3">
        <v>25579</v>
      </c>
      <c r="Q540" s="5">
        <f t="shared" si="24"/>
        <v>62983.193277310929</v>
      </c>
      <c r="R540" s="5">
        <f t="shared" si="25"/>
        <v>25579</v>
      </c>
      <c r="S540" s="5">
        <f t="shared" si="26"/>
        <v>37404.193277310929</v>
      </c>
    </row>
    <row r="541" spans="1:19" hidden="1" x14ac:dyDescent="0.3">
      <c r="A541">
        <v>100</v>
      </c>
      <c r="B541" t="s">
        <v>16</v>
      </c>
      <c r="C541" t="s">
        <v>1319</v>
      </c>
      <c r="D541" s="2" t="s">
        <v>1320</v>
      </c>
      <c r="E541" t="s">
        <v>799</v>
      </c>
      <c r="F541" t="s">
        <v>20</v>
      </c>
      <c r="G541" t="s">
        <v>21</v>
      </c>
      <c r="H541" t="s">
        <v>586</v>
      </c>
      <c r="I541" t="s">
        <v>23</v>
      </c>
      <c r="J541" t="s">
        <v>40</v>
      </c>
      <c r="K541" s="2" t="s">
        <v>1309</v>
      </c>
      <c r="L541" t="s">
        <v>26</v>
      </c>
      <c r="M541">
        <v>350672</v>
      </c>
      <c r="N541">
        <v>1</v>
      </c>
      <c r="O541" s="3">
        <v>49990</v>
      </c>
      <c r="P541" s="3">
        <v>26887</v>
      </c>
      <c r="Q541" s="5">
        <f t="shared" si="24"/>
        <v>42008.403361344543</v>
      </c>
      <c r="R541" s="5">
        <f t="shared" si="25"/>
        <v>26887</v>
      </c>
      <c r="S541" s="5">
        <f t="shared" si="26"/>
        <v>15121.403361344543</v>
      </c>
    </row>
    <row r="542" spans="1:19" hidden="1" x14ac:dyDescent="0.3">
      <c r="A542">
        <v>100</v>
      </c>
      <c r="B542" t="s">
        <v>16</v>
      </c>
      <c r="C542" t="s">
        <v>1046</v>
      </c>
      <c r="D542" s="2" t="s">
        <v>1047</v>
      </c>
      <c r="E542" t="s">
        <v>82</v>
      </c>
      <c r="F542" t="s">
        <v>20</v>
      </c>
      <c r="G542" t="s">
        <v>21</v>
      </c>
      <c r="H542" t="s">
        <v>83</v>
      </c>
      <c r="I542" t="s">
        <v>23</v>
      </c>
      <c r="J542" t="s">
        <v>40</v>
      </c>
      <c r="K542" s="2" t="s">
        <v>1309</v>
      </c>
      <c r="L542" t="s">
        <v>26</v>
      </c>
      <c r="M542">
        <v>350673</v>
      </c>
      <c r="N542">
        <v>1</v>
      </c>
      <c r="O542" s="3">
        <v>39990</v>
      </c>
      <c r="P542" s="3">
        <v>27326</v>
      </c>
      <c r="Q542" s="5">
        <f t="shared" si="24"/>
        <v>33605.042016806721</v>
      </c>
      <c r="R542" s="5">
        <f t="shared" si="25"/>
        <v>27326</v>
      </c>
      <c r="S542" s="5">
        <f t="shared" si="26"/>
        <v>6279.0420168067212</v>
      </c>
    </row>
    <row r="543" spans="1:19" hidden="1" x14ac:dyDescent="0.3">
      <c r="A543">
        <v>100</v>
      </c>
      <c r="B543" t="s">
        <v>16</v>
      </c>
      <c r="C543" t="s">
        <v>1321</v>
      </c>
      <c r="D543" s="2" t="s">
        <v>1322</v>
      </c>
      <c r="E543" t="s">
        <v>19</v>
      </c>
      <c r="F543" t="s">
        <v>20</v>
      </c>
      <c r="G543" t="s">
        <v>21</v>
      </c>
      <c r="H543" t="s">
        <v>22</v>
      </c>
      <c r="I543" t="s">
        <v>23</v>
      </c>
      <c r="J543" t="s">
        <v>24</v>
      </c>
      <c r="K543" s="2" t="s">
        <v>1309</v>
      </c>
      <c r="L543" t="s">
        <v>26</v>
      </c>
      <c r="M543">
        <v>350674</v>
      </c>
      <c r="N543">
        <v>1</v>
      </c>
      <c r="O543" s="3">
        <v>55990</v>
      </c>
      <c r="P543" s="3">
        <v>29047</v>
      </c>
      <c r="Q543" s="5">
        <f t="shared" si="24"/>
        <v>47050.420168067227</v>
      </c>
      <c r="R543" s="5">
        <f t="shared" si="25"/>
        <v>29047</v>
      </c>
      <c r="S543" s="5">
        <f t="shared" si="26"/>
        <v>18003.420168067227</v>
      </c>
    </row>
    <row r="544" spans="1:19" hidden="1" x14ac:dyDescent="0.3">
      <c r="A544">
        <v>100</v>
      </c>
      <c r="B544" t="s">
        <v>16</v>
      </c>
      <c r="C544" t="s">
        <v>1260</v>
      </c>
      <c r="D544" s="2" t="s">
        <v>1261</v>
      </c>
      <c r="E544" t="s">
        <v>148</v>
      </c>
      <c r="F544" t="s">
        <v>20</v>
      </c>
      <c r="G544" t="s">
        <v>21</v>
      </c>
      <c r="H544" t="s">
        <v>114</v>
      </c>
      <c r="I544" t="s">
        <v>23</v>
      </c>
      <c r="J544" t="s">
        <v>31</v>
      </c>
      <c r="K544" s="2" t="s">
        <v>1309</v>
      </c>
      <c r="L544" t="s">
        <v>26</v>
      </c>
      <c r="M544">
        <v>350675</v>
      </c>
      <c r="N544">
        <v>1</v>
      </c>
      <c r="O544" s="3">
        <v>59990</v>
      </c>
      <c r="P544" s="3">
        <v>28912</v>
      </c>
      <c r="Q544" s="5">
        <f t="shared" si="24"/>
        <v>50411.764705882357</v>
      </c>
      <c r="R544" s="5">
        <f t="shared" si="25"/>
        <v>28912</v>
      </c>
      <c r="S544" s="5">
        <f t="shared" si="26"/>
        <v>21499.764705882357</v>
      </c>
    </row>
    <row r="545" spans="1:19" hidden="1" x14ac:dyDescent="0.3">
      <c r="A545">
        <v>100</v>
      </c>
      <c r="B545" t="s">
        <v>16</v>
      </c>
      <c r="C545" t="s">
        <v>1323</v>
      </c>
      <c r="D545" s="2" t="s">
        <v>1324</v>
      </c>
      <c r="E545" t="s">
        <v>113</v>
      </c>
      <c r="F545" t="s">
        <v>20</v>
      </c>
      <c r="G545" t="s">
        <v>21</v>
      </c>
      <c r="H545" t="s">
        <v>114</v>
      </c>
      <c r="I545" t="s">
        <v>23</v>
      </c>
      <c r="J545" t="s">
        <v>49</v>
      </c>
      <c r="K545" s="2" t="s">
        <v>1309</v>
      </c>
      <c r="L545" t="s">
        <v>26</v>
      </c>
      <c r="M545">
        <v>350676</v>
      </c>
      <c r="N545">
        <v>1</v>
      </c>
      <c r="O545" s="3">
        <v>48990</v>
      </c>
      <c r="P545" s="3">
        <v>21618</v>
      </c>
      <c r="Q545" s="5">
        <f t="shared" si="24"/>
        <v>41168.067226890758</v>
      </c>
      <c r="R545" s="5">
        <f t="shared" si="25"/>
        <v>21618</v>
      </c>
      <c r="S545" s="5">
        <f t="shared" si="26"/>
        <v>19550.067226890758</v>
      </c>
    </row>
    <row r="546" spans="1:19" hidden="1" x14ac:dyDescent="0.3">
      <c r="A546">
        <v>100</v>
      </c>
      <c r="B546" t="s">
        <v>16</v>
      </c>
      <c r="C546" t="s">
        <v>423</v>
      </c>
      <c r="D546" s="2" t="s">
        <v>424</v>
      </c>
      <c r="E546" t="s">
        <v>425</v>
      </c>
      <c r="F546" t="s">
        <v>20</v>
      </c>
      <c r="G546" t="s">
        <v>21</v>
      </c>
      <c r="H546" t="s">
        <v>22</v>
      </c>
      <c r="I546" t="s">
        <v>23</v>
      </c>
      <c r="J546" t="s">
        <v>24</v>
      </c>
      <c r="K546" s="2" t="s">
        <v>1309</v>
      </c>
      <c r="L546" t="s">
        <v>26</v>
      </c>
      <c r="M546">
        <v>350676</v>
      </c>
      <c r="N546">
        <v>1</v>
      </c>
      <c r="O546" s="3">
        <v>79950</v>
      </c>
      <c r="P546" s="3">
        <v>27848</v>
      </c>
      <c r="Q546" s="5">
        <f t="shared" si="24"/>
        <v>67184.873949579836</v>
      </c>
      <c r="R546" s="5">
        <f t="shared" si="25"/>
        <v>27848</v>
      </c>
      <c r="S546" s="5">
        <f t="shared" si="26"/>
        <v>39336.873949579836</v>
      </c>
    </row>
    <row r="547" spans="1:19" hidden="1" x14ac:dyDescent="0.3">
      <c r="A547">
        <v>100</v>
      </c>
      <c r="B547" t="s">
        <v>16</v>
      </c>
      <c r="C547" t="s">
        <v>1325</v>
      </c>
      <c r="D547" s="2" t="s">
        <v>1326</v>
      </c>
      <c r="E547" t="s">
        <v>1327</v>
      </c>
      <c r="F547" t="s">
        <v>20</v>
      </c>
      <c r="G547" t="s">
        <v>21</v>
      </c>
      <c r="H547" t="s">
        <v>247</v>
      </c>
      <c r="I547" t="s">
        <v>23</v>
      </c>
      <c r="J547" t="s">
        <v>40</v>
      </c>
      <c r="K547" s="2" t="s">
        <v>1309</v>
      </c>
      <c r="L547" t="s">
        <v>26</v>
      </c>
      <c r="M547">
        <v>350677</v>
      </c>
      <c r="N547">
        <v>1</v>
      </c>
      <c r="O547" s="3">
        <v>59950</v>
      </c>
      <c r="P547" s="3">
        <v>16541</v>
      </c>
      <c r="Q547" s="5">
        <f t="shared" si="24"/>
        <v>50378.151260504201</v>
      </c>
      <c r="R547" s="5">
        <f t="shared" si="25"/>
        <v>16541</v>
      </c>
      <c r="S547" s="5">
        <f t="shared" si="26"/>
        <v>33837.151260504201</v>
      </c>
    </row>
    <row r="548" spans="1:19" hidden="1" x14ac:dyDescent="0.3">
      <c r="A548">
        <v>100</v>
      </c>
      <c r="B548" t="s">
        <v>16</v>
      </c>
      <c r="C548" t="s">
        <v>1328</v>
      </c>
      <c r="D548" s="2" t="s">
        <v>1329</v>
      </c>
      <c r="E548" t="s">
        <v>1330</v>
      </c>
      <c r="F548" t="s">
        <v>20</v>
      </c>
      <c r="G548" t="s">
        <v>338</v>
      </c>
      <c r="H548">
        <v>25133</v>
      </c>
      <c r="I548" t="s">
        <v>23</v>
      </c>
      <c r="J548" t="s">
        <v>35</v>
      </c>
      <c r="K548" s="2" t="s">
        <v>1309</v>
      </c>
      <c r="L548" t="s">
        <v>26</v>
      </c>
      <c r="M548">
        <v>350678</v>
      </c>
      <c r="N548">
        <v>1</v>
      </c>
      <c r="O548" s="3">
        <v>74950</v>
      </c>
      <c r="P548" s="3">
        <v>21167</v>
      </c>
      <c r="Q548" s="5">
        <f t="shared" si="24"/>
        <v>62983.193277310929</v>
      </c>
      <c r="R548" s="5">
        <f t="shared" si="25"/>
        <v>21167</v>
      </c>
      <c r="S548" s="5">
        <f t="shared" si="26"/>
        <v>41816.193277310929</v>
      </c>
    </row>
    <row r="549" spans="1:19" hidden="1" x14ac:dyDescent="0.3">
      <c r="A549">
        <v>100</v>
      </c>
      <c r="B549" t="s">
        <v>16</v>
      </c>
      <c r="C549" t="s">
        <v>1331</v>
      </c>
      <c r="D549" s="2" t="s">
        <v>1332</v>
      </c>
      <c r="E549" t="s">
        <v>1333</v>
      </c>
      <c r="F549" t="s">
        <v>20</v>
      </c>
      <c r="G549" t="s">
        <v>21</v>
      </c>
      <c r="H549" t="s">
        <v>114</v>
      </c>
      <c r="I549" t="s">
        <v>23</v>
      </c>
      <c r="J549" t="s">
        <v>49</v>
      </c>
      <c r="K549" s="2" t="s">
        <v>1309</v>
      </c>
      <c r="L549" t="s">
        <v>26</v>
      </c>
      <c r="M549">
        <v>350679</v>
      </c>
      <c r="N549">
        <v>1</v>
      </c>
      <c r="O549" s="3">
        <v>49990</v>
      </c>
      <c r="P549" s="3">
        <v>24350</v>
      </c>
      <c r="Q549" s="5">
        <f t="shared" si="24"/>
        <v>42008.403361344543</v>
      </c>
      <c r="R549" s="5">
        <f t="shared" si="25"/>
        <v>24350</v>
      </c>
      <c r="S549" s="5">
        <f t="shared" si="26"/>
        <v>17658.403361344543</v>
      </c>
    </row>
    <row r="550" spans="1:19" hidden="1" x14ac:dyDescent="0.3">
      <c r="A550">
        <v>100</v>
      </c>
      <c r="B550" t="s">
        <v>16</v>
      </c>
      <c r="C550">
        <v>1687976791</v>
      </c>
      <c r="D550" s="2" t="s">
        <v>200</v>
      </c>
      <c r="E550" t="s">
        <v>201</v>
      </c>
      <c r="F550" t="s">
        <v>201</v>
      </c>
      <c r="G550" t="s">
        <v>202</v>
      </c>
      <c r="H550" t="s">
        <v>202</v>
      </c>
      <c r="I550" t="s">
        <v>23</v>
      </c>
      <c r="J550" t="s">
        <v>202</v>
      </c>
      <c r="K550" s="2" t="s">
        <v>1309</v>
      </c>
      <c r="L550" t="s">
        <v>26</v>
      </c>
      <c r="M550">
        <v>350679</v>
      </c>
      <c r="N550">
        <v>1</v>
      </c>
      <c r="O550" s="3">
        <v>3200</v>
      </c>
      <c r="P550">
        <v>1</v>
      </c>
      <c r="Q550" s="5">
        <f t="shared" si="24"/>
        <v>2689.0756302521008</v>
      </c>
      <c r="R550" s="5">
        <f t="shared" si="25"/>
        <v>1</v>
      </c>
      <c r="S550" s="5">
        <f t="shared" si="26"/>
        <v>2688.0756302521008</v>
      </c>
    </row>
    <row r="551" spans="1:19" hidden="1" x14ac:dyDescent="0.3">
      <c r="A551">
        <v>100</v>
      </c>
      <c r="B551" t="s">
        <v>16</v>
      </c>
      <c r="C551">
        <v>1687976791</v>
      </c>
      <c r="D551" s="2" t="s">
        <v>200</v>
      </c>
      <c r="E551" t="s">
        <v>201</v>
      </c>
      <c r="F551" t="s">
        <v>201</v>
      </c>
      <c r="G551" t="s">
        <v>202</v>
      </c>
      <c r="H551" t="s">
        <v>202</v>
      </c>
      <c r="I551" t="s">
        <v>23</v>
      </c>
      <c r="J551" t="s">
        <v>202</v>
      </c>
      <c r="K551" s="2" t="s">
        <v>1309</v>
      </c>
      <c r="L551" t="s">
        <v>26</v>
      </c>
      <c r="M551">
        <v>350680</v>
      </c>
      <c r="N551">
        <v>1</v>
      </c>
      <c r="O551" s="3">
        <v>3200</v>
      </c>
      <c r="P551">
        <v>1</v>
      </c>
      <c r="Q551" s="5">
        <f t="shared" si="24"/>
        <v>2689.0756302521008</v>
      </c>
      <c r="R551" s="5">
        <f t="shared" si="25"/>
        <v>1</v>
      </c>
      <c r="S551" s="5">
        <f t="shared" si="26"/>
        <v>2688.0756302521008</v>
      </c>
    </row>
    <row r="552" spans="1:19" hidden="1" x14ac:dyDescent="0.3">
      <c r="A552">
        <v>100</v>
      </c>
      <c r="B552" t="s">
        <v>16</v>
      </c>
      <c r="C552" t="s">
        <v>1334</v>
      </c>
      <c r="D552" s="2" t="s">
        <v>1335</v>
      </c>
      <c r="E552" t="s">
        <v>1336</v>
      </c>
      <c r="F552" t="s">
        <v>20</v>
      </c>
      <c r="G552" t="s">
        <v>21</v>
      </c>
      <c r="H552" t="s">
        <v>1337</v>
      </c>
      <c r="I552" t="s">
        <v>23</v>
      </c>
      <c r="J552" t="s">
        <v>49</v>
      </c>
      <c r="K552" s="2" t="s">
        <v>1309</v>
      </c>
      <c r="L552" t="s">
        <v>26</v>
      </c>
      <c r="M552">
        <v>350680</v>
      </c>
      <c r="N552">
        <v>1</v>
      </c>
      <c r="O552" s="3">
        <v>59950</v>
      </c>
      <c r="P552" s="3">
        <v>19049</v>
      </c>
      <c r="Q552" s="5">
        <f t="shared" si="24"/>
        <v>50378.151260504201</v>
      </c>
      <c r="R552" s="5">
        <f t="shared" si="25"/>
        <v>19049</v>
      </c>
      <c r="S552" s="5">
        <f t="shared" si="26"/>
        <v>31329.151260504201</v>
      </c>
    </row>
    <row r="553" spans="1:19" hidden="1" x14ac:dyDescent="0.3">
      <c r="A553">
        <v>100</v>
      </c>
      <c r="B553" t="s">
        <v>16</v>
      </c>
      <c r="C553">
        <v>1687976791</v>
      </c>
      <c r="D553" s="2" t="s">
        <v>200</v>
      </c>
      <c r="E553" t="s">
        <v>201</v>
      </c>
      <c r="F553" t="s">
        <v>201</v>
      </c>
      <c r="G553" t="s">
        <v>202</v>
      </c>
      <c r="H553" t="s">
        <v>202</v>
      </c>
      <c r="I553" t="s">
        <v>23</v>
      </c>
      <c r="J553" t="s">
        <v>202</v>
      </c>
      <c r="K553" s="2" t="s">
        <v>1309</v>
      </c>
      <c r="L553" t="s">
        <v>26</v>
      </c>
      <c r="M553">
        <v>350681</v>
      </c>
      <c r="N553">
        <v>1</v>
      </c>
      <c r="O553" s="3">
        <v>3200</v>
      </c>
      <c r="P553">
        <v>1</v>
      </c>
      <c r="Q553" s="5">
        <f t="shared" si="24"/>
        <v>2689.0756302521008</v>
      </c>
      <c r="R553" s="5">
        <f t="shared" si="25"/>
        <v>1</v>
      </c>
      <c r="S553" s="5">
        <f t="shared" si="26"/>
        <v>2688.0756302521008</v>
      </c>
    </row>
    <row r="554" spans="1:19" hidden="1" x14ac:dyDescent="0.3">
      <c r="A554">
        <v>100</v>
      </c>
      <c r="B554" t="s">
        <v>16</v>
      </c>
      <c r="C554" t="s">
        <v>1338</v>
      </c>
      <c r="D554" s="2" t="s">
        <v>1339</v>
      </c>
      <c r="E554" t="s">
        <v>43</v>
      </c>
      <c r="F554" t="s">
        <v>20</v>
      </c>
      <c r="G554" t="s">
        <v>21</v>
      </c>
      <c r="H554" t="s">
        <v>44</v>
      </c>
      <c r="I554" t="s">
        <v>23</v>
      </c>
      <c r="J554" t="s">
        <v>40</v>
      </c>
      <c r="K554" s="2" t="s">
        <v>1309</v>
      </c>
      <c r="L554" t="s">
        <v>26</v>
      </c>
      <c r="M554">
        <v>350681</v>
      </c>
      <c r="N554">
        <v>1</v>
      </c>
      <c r="O554" s="3">
        <v>39990</v>
      </c>
      <c r="P554" s="3">
        <v>15368</v>
      </c>
      <c r="Q554" s="5">
        <f t="shared" si="24"/>
        <v>33605.042016806721</v>
      </c>
      <c r="R554" s="5">
        <f t="shared" si="25"/>
        <v>15368</v>
      </c>
      <c r="S554" s="5">
        <f t="shared" si="26"/>
        <v>18237.042016806721</v>
      </c>
    </row>
    <row r="555" spans="1:19" hidden="1" x14ac:dyDescent="0.3">
      <c r="A555">
        <v>100</v>
      </c>
      <c r="B555" t="s">
        <v>16</v>
      </c>
      <c r="C555" t="s">
        <v>1340</v>
      </c>
      <c r="D555" s="2" t="s">
        <v>1341</v>
      </c>
      <c r="E555" t="s">
        <v>34</v>
      </c>
      <c r="F555" t="s">
        <v>20</v>
      </c>
      <c r="G555" t="s">
        <v>21</v>
      </c>
      <c r="H555" t="s">
        <v>22</v>
      </c>
      <c r="I555" t="s">
        <v>23</v>
      </c>
      <c r="J555" t="s">
        <v>35</v>
      </c>
      <c r="K555" s="2" t="s">
        <v>1309</v>
      </c>
      <c r="L555" t="s">
        <v>26</v>
      </c>
      <c r="M555">
        <v>350682</v>
      </c>
      <c r="N555">
        <v>1</v>
      </c>
      <c r="O555" s="3">
        <v>69990</v>
      </c>
      <c r="P555" s="3">
        <v>35258</v>
      </c>
      <c r="Q555" s="5">
        <f t="shared" si="24"/>
        <v>58815.126050420171</v>
      </c>
      <c r="R555" s="5">
        <f t="shared" si="25"/>
        <v>35258</v>
      </c>
      <c r="S555" s="5">
        <f t="shared" si="26"/>
        <v>23557.126050420171</v>
      </c>
    </row>
    <row r="556" spans="1:19" hidden="1" x14ac:dyDescent="0.3">
      <c r="A556">
        <v>100</v>
      </c>
      <c r="B556" t="s">
        <v>16</v>
      </c>
      <c r="C556">
        <v>1687976791</v>
      </c>
      <c r="D556" s="2" t="s">
        <v>200</v>
      </c>
      <c r="E556" t="s">
        <v>201</v>
      </c>
      <c r="F556" t="s">
        <v>201</v>
      </c>
      <c r="G556" t="s">
        <v>202</v>
      </c>
      <c r="H556" t="s">
        <v>202</v>
      </c>
      <c r="I556" t="s">
        <v>23</v>
      </c>
      <c r="J556" t="s">
        <v>202</v>
      </c>
      <c r="K556" s="2" t="s">
        <v>1309</v>
      </c>
      <c r="L556" t="s">
        <v>26</v>
      </c>
      <c r="M556">
        <v>350682</v>
      </c>
      <c r="N556">
        <v>1</v>
      </c>
      <c r="O556" s="3">
        <v>3200</v>
      </c>
      <c r="P556">
        <v>1</v>
      </c>
      <c r="Q556" s="5">
        <f t="shared" si="24"/>
        <v>2689.0756302521008</v>
      </c>
      <c r="R556" s="5">
        <f t="shared" si="25"/>
        <v>1</v>
      </c>
      <c r="S556" s="5">
        <f t="shared" si="26"/>
        <v>2688.0756302521008</v>
      </c>
    </row>
    <row r="557" spans="1:19" hidden="1" x14ac:dyDescent="0.3">
      <c r="A557">
        <v>100</v>
      </c>
      <c r="B557" t="s">
        <v>16</v>
      </c>
      <c r="C557" t="s">
        <v>1048</v>
      </c>
      <c r="D557" s="2" t="s">
        <v>1049</v>
      </c>
      <c r="E557" t="s">
        <v>1050</v>
      </c>
      <c r="F557" t="s">
        <v>20</v>
      </c>
      <c r="G557" t="s">
        <v>21</v>
      </c>
      <c r="H557" t="s">
        <v>61</v>
      </c>
      <c r="I557" t="s">
        <v>23</v>
      </c>
      <c r="J557" t="s">
        <v>40</v>
      </c>
      <c r="K557" s="2" t="s">
        <v>1309</v>
      </c>
      <c r="L557" t="s">
        <v>26</v>
      </c>
      <c r="M557">
        <v>350683</v>
      </c>
      <c r="N557">
        <v>1</v>
      </c>
      <c r="O557" s="3">
        <v>49990</v>
      </c>
      <c r="P557" s="3">
        <v>25171</v>
      </c>
      <c r="Q557" s="5">
        <f t="shared" si="24"/>
        <v>42008.403361344543</v>
      </c>
      <c r="R557" s="5">
        <f t="shared" si="25"/>
        <v>25171</v>
      </c>
      <c r="S557" s="5">
        <f t="shared" si="26"/>
        <v>16837.403361344543</v>
      </c>
    </row>
    <row r="558" spans="1:19" hidden="1" x14ac:dyDescent="0.3">
      <c r="A558">
        <v>100</v>
      </c>
      <c r="B558" t="s">
        <v>16</v>
      </c>
      <c r="C558">
        <v>1687976791</v>
      </c>
      <c r="D558" s="2" t="s">
        <v>200</v>
      </c>
      <c r="E558" t="s">
        <v>201</v>
      </c>
      <c r="F558" t="s">
        <v>201</v>
      </c>
      <c r="G558" t="s">
        <v>202</v>
      </c>
      <c r="H558" t="s">
        <v>202</v>
      </c>
      <c r="I558" t="s">
        <v>23</v>
      </c>
      <c r="J558" t="s">
        <v>202</v>
      </c>
      <c r="K558" s="2" t="s">
        <v>1309</v>
      </c>
      <c r="L558" t="s">
        <v>26</v>
      </c>
      <c r="M558">
        <v>350683</v>
      </c>
      <c r="N558">
        <v>1</v>
      </c>
      <c r="O558" s="3">
        <v>6400</v>
      </c>
      <c r="P558">
        <v>1</v>
      </c>
      <c r="Q558" s="5">
        <f t="shared" si="24"/>
        <v>5378.1512605042017</v>
      </c>
      <c r="R558" s="5">
        <f t="shared" si="25"/>
        <v>1</v>
      </c>
      <c r="S558" s="5">
        <f t="shared" si="26"/>
        <v>5377.1512605042017</v>
      </c>
    </row>
    <row r="559" spans="1:19" hidden="1" x14ac:dyDescent="0.3">
      <c r="A559">
        <v>100</v>
      </c>
      <c r="B559" t="s">
        <v>16</v>
      </c>
      <c r="C559" t="s">
        <v>1342</v>
      </c>
      <c r="D559" s="2" t="s">
        <v>1343</v>
      </c>
      <c r="E559" t="s">
        <v>1344</v>
      </c>
      <c r="F559" t="s">
        <v>20</v>
      </c>
      <c r="G559" t="s">
        <v>21</v>
      </c>
      <c r="H559" t="s">
        <v>1345</v>
      </c>
      <c r="I559" t="s">
        <v>23</v>
      </c>
      <c r="J559" t="s">
        <v>40</v>
      </c>
      <c r="K559" s="2" t="s">
        <v>1309</v>
      </c>
      <c r="L559" t="s">
        <v>26</v>
      </c>
      <c r="M559">
        <v>350684</v>
      </c>
      <c r="N559">
        <v>1</v>
      </c>
      <c r="O559" s="3">
        <v>29990</v>
      </c>
      <c r="P559" s="3">
        <v>17216</v>
      </c>
      <c r="Q559" s="5">
        <f t="shared" si="24"/>
        <v>25201.680672268907</v>
      </c>
      <c r="R559" s="5">
        <f t="shared" si="25"/>
        <v>17216</v>
      </c>
      <c r="S559" s="5">
        <f t="shared" si="26"/>
        <v>7985.6806722689071</v>
      </c>
    </row>
    <row r="560" spans="1:19" hidden="1" x14ac:dyDescent="0.3">
      <c r="A560">
        <v>100</v>
      </c>
      <c r="B560" t="s">
        <v>16</v>
      </c>
      <c r="C560" t="s">
        <v>1346</v>
      </c>
      <c r="D560" s="2" t="s">
        <v>1347</v>
      </c>
      <c r="E560" t="s">
        <v>82</v>
      </c>
      <c r="F560" t="s">
        <v>20</v>
      </c>
      <c r="G560" t="s">
        <v>21</v>
      </c>
      <c r="H560" t="s">
        <v>83</v>
      </c>
      <c r="I560" t="s">
        <v>23</v>
      </c>
      <c r="J560" t="s">
        <v>40</v>
      </c>
      <c r="K560" s="2" t="s">
        <v>1309</v>
      </c>
      <c r="L560" t="s">
        <v>26</v>
      </c>
      <c r="M560">
        <v>350685</v>
      </c>
      <c r="N560">
        <v>1</v>
      </c>
      <c r="O560" s="3">
        <v>39990</v>
      </c>
      <c r="P560" s="3">
        <v>27224</v>
      </c>
      <c r="Q560" s="5">
        <f t="shared" si="24"/>
        <v>33605.042016806721</v>
      </c>
      <c r="R560" s="5">
        <f t="shared" si="25"/>
        <v>27224</v>
      </c>
      <c r="S560" s="5">
        <f t="shared" si="26"/>
        <v>6381.0420168067212</v>
      </c>
    </row>
    <row r="561" spans="1:19" hidden="1" x14ac:dyDescent="0.3">
      <c r="A561">
        <v>100</v>
      </c>
      <c r="B561" t="s">
        <v>16</v>
      </c>
      <c r="C561" t="s">
        <v>1348</v>
      </c>
      <c r="D561" s="2" t="s">
        <v>1349</v>
      </c>
      <c r="E561" t="s">
        <v>503</v>
      </c>
      <c r="F561" t="s">
        <v>20</v>
      </c>
      <c r="G561" t="s">
        <v>21</v>
      </c>
      <c r="H561" t="s">
        <v>131</v>
      </c>
      <c r="I561" t="s">
        <v>23</v>
      </c>
      <c r="J561" t="s">
        <v>49</v>
      </c>
      <c r="K561" s="2" t="s">
        <v>1309</v>
      </c>
      <c r="L561" t="s">
        <v>26</v>
      </c>
      <c r="M561">
        <v>350686</v>
      </c>
      <c r="N561">
        <v>1</v>
      </c>
      <c r="O561" s="3">
        <v>39990</v>
      </c>
      <c r="P561" s="3">
        <v>25828</v>
      </c>
      <c r="Q561" s="5">
        <f t="shared" si="24"/>
        <v>33605.042016806721</v>
      </c>
      <c r="R561" s="5">
        <f t="shared" si="25"/>
        <v>25828</v>
      </c>
      <c r="S561" s="5">
        <f t="shared" si="26"/>
        <v>7777.0420168067212</v>
      </c>
    </row>
    <row r="562" spans="1:19" hidden="1" x14ac:dyDescent="0.3">
      <c r="A562">
        <v>100</v>
      </c>
      <c r="B562" t="s">
        <v>16</v>
      </c>
      <c r="C562" t="s">
        <v>715</v>
      </c>
      <c r="D562" s="2" t="s">
        <v>716</v>
      </c>
      <c r="E562" t="s">
        <v>717</v>
      </c>
      <c r="F562" t="s">
        <v>20</v>
      </c>
      <c r="G562" t="s">
        <v>21</v>
      </c>
      <c r="H562" t="s">
        <v>718</v>
      </c>
      <c r="I562" t="s">
        <v>23</v>
      </c>
      <c r="J562" t="s">
        <v>49</v>
      </c>
      <c r="K562" s="2" t="s">
        <v>1309</v>
      </c>
      <c r="L562" t="s">
        <v>26</v>
      </c>
      <c r="M562">
        <v>350687</v>
      </c>
      <c r="N562">
        <v>1</v>
      </c>
      <c r="O562" s="3">
        <v>43990</v>
      </c>
      <c r="P562" s="3">
        <v>26649</v>
      </c>
      <c r="Q562" s="5">
        <f t="shared" si="24"/>
        <v>36966.386554621851</v>
      </c>
      <c r="R562" s="5">
        <f t="shared" si="25"/>
        <v>26649</v>
      </c>
      <c r="S562" s="5">
        <f t="shared" si="26"/>
        <v>10317.386554621851</v>
      </c>
    </row>
    <row r="563" spans="1:19" hidden="1" x14ac:dyDescent="0.3">
      <c r="A563">
        <v>100</v>
      </c>
      <c r="B563" t="s">
        <v>16</v>
      </c>
      <c r="C563" t="s">
        <v>1350</v>
      </c>
      <c r="D563" s="2" t="s">
        <v>1351</v>
      </c>
      <c r="E563" t="s">
        <v>47</v>
      </c>
      <c r="F563" t="s">
        <v>20</v>
      </c>
      <c r="G563" t="s">
        <v>21</v>
      </c>
      <c r="H563" t="s">
        <v>48</v>
      </c>
      <c r="I563" t="s">
        <v>23</v>
      </c>
      <c r="J563" t="s">
        <v>49</v>
      </c>
      <c r="K563" s="2" t="s">
        <v>1309</v>
      </c>
      <c r="L563" t="s">
        <v>26</v>
      </c>
      <c r="M563">
        <v>350688</v>
      </c>
      <c r="N563">
        <v>1</v>
      </c>
      <c r="O563" s="3">
        <v>39990</v>
      </c>
      <c r="P563" s="3">
        <v>24376</v>
      </c>
      <c r="Q563" s="5">
        <f t="shared" si="24"/>
        <v>33605.042016806721</v>
      </c>
      <c r="R563" s="5">
        <f t="shared" si="25"/>
        <v>24376</v>
      </c>
      <c r="S563" s="5">
        <f t="shared" si="26"/>
        <v>9229.0420168067212</v>
      </c>
    </row>
    <row r="564" spans="1:19" hidden="1" x14ac:dyDescent="0.3">
      <c r="A564">
        <v>100</v>
      </c>
      <c r="B564" t="s">
        <v>16</v>
      </c>
      <c r="C564" t="s">
        <v>1352</v>
      </c>
      <c r="D564" s="2" t="s">
        <v>1353</v>
      </c>
      <c r="E564" t="s">
        <v>1354</v>
      </c>
      <c r="F564" t="s">
        <v>20</v>
      </c>
      <c r="G564" t="s">
        <v>21</v>
      </c>
      <c r="H564" t="s">
        <v>825</v>
      </c>
      <c r="I564" t="s">
        <v>23</v>
      </c>
      <c r="J564" t="s">
        <v>40</v>
      </c>
      <c r="K564" s="2" t="s">
        <v>1309</v>
      </c>
      <c r="L564" t="s">
        <v>26</v>
      </c>
      <c r="M564">
        <v>350689</v>
      </c>
      <c r="N564">
        <v>1</v>
      </c>
      <c r="O564" s="3">
        <v>29990</v>
      </c>
      <c r="P564" s="3">
        <v>18744</v>
      </c>
      <c r="Q564" s="5">
        <f t="shared" si="24"/>
        <v>25201.680672268907</v>
      </c>
      <c r="R564" s="5">
        <f t="shared" si="25"/>
        <v>18744</v>
      </c>
      <c r="S564" s="5">
        <f t="shared" si="26"/>
        <v>6457.6806722689071</v>
      </c>
    </row>
    <row r="565" spans="1:19" hidden="1" x14ac:dyDescent="0.3">
      <c r="A565">
        <v>100</v>
      </c>
      <c r="B565" t="s">
        <v>16</v>
      </c>
      <c r="C565" t="s">
        <v>1355</v>
      </c>
      <c r="D565" s="2" t="s">
        <v>1356</v>
      </c>
      <c r="E565" t="s">
        <v>1291</v>
      </c>
      <c r="F565" t="s">
        <v>20</v>
      </c>
      <c r="G565" t="s">
        <v>21</v>
      </c>
      <c r="H565" t="s">
        <v>1292</v>
      </c>
      <c r="I565" t="s">
        <v>23</v>
      </c>
      <c r="J565" t="s">
        <v>35</v>
      </c>
      <c r="K565" s="2" t="s">
        <v>1309</v>
      </c>
      <c r="L565" t="s">
        <v>26</v>
      </c>
      <c r="M565">
        <v>350690</v>
      </c>
      <c r="N565">
        <v>1</v>
      </c>
      <c r="O565" s="3">
        <v>52990</v>
      </c>
      <c r="P565" s="3">
        <v>38117</v>
      </c>
      <c r="Q565" s="5">
        <f t="shared" si="24"/>
        <v>44529.411764705881</v>
      </c>
      <c r="R565" s="5">
        <f t="shared" si="25"/>
        <v>38117</v>
      </c>
      <c r="S565" s="5">
        <f t="shared" si="26"/>
        <v>6412.4117647058811</v>
      </c>
    </row>
    <row r="566" spans="1:19" hidden="1" x14ac:dyDescent="0.3">
      <c r="A566">
        <v>100</v>
      </c>
      <c r="B566" t="s">
        <v>16</v>
      </c>
      <c r="C566" t="s">
        <v>1357</v>
      </c>
      <c r="D566" s="2" t="s">
        <v>1358</v>
      </c>
      <c r="E566" t="s">
        <v>148</v>
      </c>
      <c r="F566" t="s">
        <v>20</v>
      </c>
      <c r="G566" t="s">
        <v>21</v>
      </c>
      <c r="H566" t="s">
        <v>114</v>
      </c>
      <c r="I566" t="s">
        <v>23</v>
      </c>
      <c r="J566" t="s">
        <v>31</v>
      </c>
      <c r="K566" s="2" t="s">
        <v>1309</v>
      </c>
      <c r="L566" t="s">
        <v>26</v>
      </c>
      <c r="M566">
        <v>350691</v>
      </c>
      <c r="N566">
        <v>1</v>
      </c>
      <c r="O566" s="3">
        <v>59990</v>
      </c>
      <c r="P566" s="3">
        <v>28912</v>
      </c>
      <c r="Q566" s="5">
        <f t="shared" si="24"/>
        <v>50411.764705882357</v>
      </c>
      <c r="R566" s="5">
        <f t="shared" si="25"/>
        <v>28912</v>
      </c>
      <c r="S566" s="5">
        <f t="shared" si="26"/>
        <v>21499.764705882357</v>
      </c>
    </row>
    <row r="567" spans="1:19" hidden="1" x14ac:dyDescent="0.3">
      <c r="A567">
        <v>100</v>
      </c>
      <c r="B567" t="s">
        <v>16</v>
      </c>
      <c r="C567" t="s">
        <v>1359</v>
      </c>
      <c r="D567" s="2" t="s">
        <v>1360</v>
      </c>
      <c r="E567" t="s">
        <v>772</v>
      </c>
      <c r="F567" t="s">
        <v>20</v>
      </c>
      <c r="G567" t="s">
        <v>21</v>
      </c>
      <c r="H567" t="s">
        <v>604</v>
      </c>
      <c r="I567" t="s">
        <v>23</v>
      </c>
      <c r="J567" t="s">
        <v>40</v>
      </c>
      <c r="K567" s="2" t="s">
        <v>1309</v>
      </c>
      <c r="L567" t="s">
        <v>26</v>
      </c>
      <c r="M567">
        <v>350692</v>
      </c>
      <c r="N567">
        <v>1</v>
      </c>
      <c r="O567" s="3">
        <v>29990</v>
      </c>
      <c r="P567" s="3">
        <v>17994</v>
      </c>
      <c r="Q567" s="5">
        <f t="shared" si="24"/>
        <v>25201.680672268907</v>
      </c>
      <c r="R567" s="5">
        <f t="shared" si="25"/>
        <v>17994</v>
      </c>
      <c r="S567" s="5">
        <f t="shared" si="26"/>
        <v>7207.6806722689071</v>
      </c>
    </row>
    <row r="568" spans="1:19" hidden="1" x14ac:dyDescent="0.3">
      <c r="A568">
        <v>100</v>
      </c>
      <c r="B568" t="s">
        <v>16</v>
      </c>
      <c r="C568" t="s">
        <v>495</v>
      </c>
      <c r="D568" s="2" t="s">
        <v>496</v>
      </c>
      <c r="E568" t="s">
        <v>309</v>
      </c>
      <c r="F568" t="s">
        <v>20</v>
      </c>
      <c r="G568" t="s">
        <v>21</v>
      </c>
      <c r="H568" t="s">
        <v>310</v>
      </c>
      <c r="I568" t="s">
        <v>23</v>
      </c>
      <c r="J568" t="s">
        <v>49</v>
      </c>
      <c r="K568" s="2" t="s">
        <v>1309</v>
      </c>
      <c r="L568" t="s">
        <v>26</v>
      </c>
      <c r="M568">
        <v>350693</v>
      </c>
      <c r="N568">
        <v>1</v>
      </c>
      <c r="O568" s="3">
        <v>44990</v>
      </c>
      <c r="P568" s="3">
        <v>29347</v>
      </c>
      <c r="Q568" s="5">
        <f t="shared" si="24"/>
        <v>37806.722689075636</v>
      </c>
      <c r="R568" s="5">
        <f t="shared" si="25"/>
        <v>29347</v>
      </c>
      <c r="S568" s="5">
        <f t="shared" si="26"/>
        <v>8459.7226890756356</v>
      </c>
    </row>
    <row r="569" spans="1:19" hidden="1" x14ac:dyDescent="0.3">
      <c r="A569">
        <v>100</v>
      </c>
      <c r="B569" t="s">
        <v>16</v>
      </c>
      <c r="C569" t="s">
        <v>1361</v>
      </c>
      <c r="D569" s="2" t="s">
        <v>1362</v>
      </c>
      <c r="E569" t="s">
        <v>385</v>
      </c>
      <c r="F569" t="s">
        <v>20</v>
      </c>
      <c r="G569" t="s">
        <v>21</v>
      </c>
      <c r="H569" t="s">
        <v>306</v>
      </c>
      <c r="I569" t="s">
        <v>23</v>
      </c>
      <c r="J569" t="s">
        <v>35</v>
      </c>
      <c r="K569" s="2" t="s">
        <v>1309</v>
      </c>
      <c r="L569" t="s">
        <v>26</v>
      </c>
      <c r="M569">
        <v>350694</v>
      </c>
      <c r="N569">
        <v>1</v>
      </c>
      <c r="O569" s="3">
        <v>59990</v>
      </c>
      <c r="P569" s="3">
        <v>33227</v>
      </c>
      <c r="Q569" s="5">
        <f t="shared" si="24"/>
        <v>50411.764705882357</v>
      </c>
      <c r="R569" s="5">
        <f t="shared" si="25"/>
        <v>33227</v>
      </c>
      <c r="S569" s="5">
        <f t="shared" si="26"/>
        <v>17184.764705882357</v>
      </c>
    </row>
    <row r="570" spans="1:19" hidden="1" x14ac:dyDescent="0.3">
      <c r="A570">
        <v>100</v>
      </c>
      <c r="B570" t="s">
        <v>16</v>
      </c>
      <c r="C570" t="s">
        <v>318</v>
      </c>
      <c r="D570" s="2" t="s">
        <v>319</v>
      </c>
      <c r="E570" t="s">
        <v>148</v>
      </c>
      <c r="F570" t="s">
        <v>20</v>
      </c>
      <c r="G570" t="s">
        <v>21</v>
      </c>
      <c r="H570" t="s">
        <v>114</v>
      </c>
      <c r="I570" t="s">
        <v>23</v>
      </c>
      <c r="J570" t="s">
        <v>31</v>
      </c>
      <c r="K570" s="2" t="s">
        <v>1309</v>
      </c>
      <c r="L570" t="s">
        <v>26</v>
      </c>
      <c r="M570">
        <v>350695</v>
      </c>
      <c r="N570">
        <v>1</v>
      </c>
      <c r="O570" s="3">
        <v>52990</v>
      </c>
      <c r="P570" s="3">
        <v>28912</v>
      </c>
      <c r="Q570" s="5">
        <f t="shared" si="24"/>
        <v>44529.411764705881</v>
      </c>
      <c r="R570" s="5">
        <f t="shared" si="25"/>
        <v>28912</v>
      </c>
      <c r="S570" s="5">
        <f t="shared" si="26"/>
        <v>15617.411764705881</v>
      </c>
    </row>
    <row r="571" spans="1:19" hidden="1" x14ac:dyDescent="0.3">
      <c r="A571">
        <v>100</v>
      </c>
      <c r="B571" t="s">
        <v>16</v>
      </c>
      <c r="C571" t="s">
        <v>1363</v>
      </c>
      <c r="D571" s="2" t="s">
        <v>1364</v>
      </c>
      <c r="E571" t="s">
        <v>553</v>
      </c>
      <c r="F571" t="s">
        <v>20</v>
      </c>
      <c r="G571" t="s">
        <v>21</v>
      </c>
      <c r="H571" t="s">
        <v>353</v>
      </c>
      <c r="I571" t="s">
        <v>23</v>
      </c>
      <c r="J571" t="s">
        <v>95</v>
      </c>
      <c r="K571" s="2" t="s">
        <v>1365</v>
      </c>
      <c r="L571" t="s">
        <v>26</v>
      </c>
      <c r="M571">
        <v>350696</v>
      </c>
      <c r="N571">
        <v>1</v>
      </c>
      <c r="O571" s="3">
        <v>48990</v>
      </c>
      <c r="P571" s="3">
        <v>31000</v>
      </c>
      <c r="Q571" s="5">
        <f t="shared" si="24"/>
        <v>41168.067226890758</v>
      </c>
      <c r="R571" s="5">
        <f t="shared" si="25"/>
        <v>31000</v>
      </c>
      <c r="S571" s="5">
        <f t="shared" si="26"/>
        <v>10168.067226890758</v>
      </c>
    </row>
    <row r="572" spans="1:19" hidden="1" x14ac:dyDescent="0.3">
      <c r="A572">
        <v>100</v>
      </c>
      <c r="B572" t="s">
        <v>16</v>
      </c>
      <c r="C572" t="s">
        <v>1147</v>
      </c>
      <c r="D572" s="2" t="s">
        <v>1148</v>
      </c>
      <c r="E572" t="s">
        <v>1042</v>
      </c>
      <c r="F572" t="s">
        <v>20</v>
      </c>
      <c r="G572" t="s">
        <v>21</v>
      </c>
      <c r="H572" t="s">
        <v>317</v>
      </c>
      <c r="I572" t="s">
        <v>23</v>
      </c>
      <c r="J572" t="s">
        <v>35</v>
      </c>
      <c r="K572" s="2" t="s">
        <v>1365</v>
      </c>
      <c r="L572" t="s">
        <v>26</v>
      </c>
      <c r="M572">
        <v>350697</v>
      </c>
      <c r="N572">
        <v>1</v>
      </c>
      <c r="O572" s="3">
        <v>49990</v>
      </c>
      <c r="P572" s="3">
        <v>24344</v>
      </c>
      <c r="Q572" s="5">
        <f t="shared" si="24"/>
        <v>42008.403361344543</v>
      </c>
      <c r="R572" s="5">
        <f t="shared" si="25"/>
        <v>24344</v>
      </c>
      <c r="S572" s="5">
        <f t="shared" si="26"/>
        <v>17664.403361344543</v>
      </c>
    </row>
    <row r="573" spans="1:19" hidden="1" x14ac:dyDescent="0.3">
      <c r="A573">
        <v>100</v>
      </c>
      <c r="B573" t="s">
        <v>16</v>
      </c>
      <c r="C573" t="s">
        <v>1366</v>
      </c>
      <c r="D573" s="2" t="s">
        <v>1367</v>
      </c>
      <c r="E573" t="s">
        <v>1132</v>
      </c>
      <c r="F573" t="s">
        <v>20</v>
      </c>
      <c r="G573" t="s">
        <v>21</v>
      </c>
      <c r="H573" t="s">
        <v>686</v>
      </c>
      <c r="I573" t="s">
        <v>23</v>
      </c>
      <c r="J573" t="s">
        <v>31</v>
      </c>
      <c r="K573" s="2" t="s">
        <v>1365</v>
      </c>
      <c r="L573" t="s">
        <v>26</v>
      </c>
      <c r="M573">
        <v>350698</v>
      </c>
      <c r="N573">
        <v>1</v>
      </c>
      <c r="O573" s="3">
        <v>139950</v>
      </c>
      <c r="P573" s="3">
        <v>67844</v>
      </c>
      <c r="Q573" s="5">
        <f t="shared" si="24"/>
        <v>117605.04201680672</v>
      </c>
      <c r="R573" s="5">
        <f t="shared" si="25"/>
        <v>67844</v>
      </c>
      <c r="S573" s="5">
        <f t="shared" si="26"/>
        <v>49761.042016806721</v>
      </c>
    </row>
    <row r="574" spans="1:19" hidden="1" x14ac:dyDescent="0.3">
      <c r="A574">
        <v>100</v>
      </c>
      <c r="B574" t="s">
        <v>16</v>
      </c>
      <c r="C574" t="s">
        <v>1368</v>
      </c>
      <c r="D574" s="2" t="s">
        <v>1369</v>
      </c>
      <c r="E574" t="s">
        <v>1171</v>
      </c>
      <c r="F574" t="s">
        <v>20</v>
      </c>
      <c r="G574" t="s">
        <v>21</v>
      </c>
      <c r="H574" t="s">
        <v>500</v>
      </c>
      <c r="I574" t="s">
        <v>23</v>
      </c>
      <c r="J574" t="s">
        <v>40</v>
      </c>
      <c r="K574" s="2" t="s">
        <v>1365</v>
      </c>
      <c r="L574" t="s">
        <v>26</v>
      </c>
      <c r="M574">
        <v>350699</v>
      </c>
      <c r="N574">
        <v>1</v>
      </c>
      <c r="O574" s="3">
        <v>59950</v>
      </c>
      <c r="P574" s="3">
        <v>17416</v>
      </c>
      <c r="Q574" s="5">
        <f t="shared" si="24"/>
        <v>50378.151260504201</v>
      </c>
      <c r="R574" s="5">
        <f t="shared" si="25"/>
        <v>17416</v>
      </c>
      <c r="S574" s="5">
        <f t="shared" si="26"/>
        <v>32962.151260504201</v>
      </c>
    </row>
    <row r="575" spans="1:19" hidden="1" x14ac:dyDescent="0.3">
      <c r="A575">
        <v>100</v>
      </c>
      <c r="B575" t="s">
        <v>16</v>
      </c>
      <c r="C575" t="s">
        <v>1370</v>
      </c>
      <c r="D575" s="2" t="s">
        <v>1371</v>
      </c>
      <c r="E575" t="s">
        <v>813</v>
      </c>
      <c r="F575" t="s">
        <v>20</v>
      </c>
      <c r="G575" t="s">
        <v>21</v>
      </c>
      <c r="H575" t="s">
        <v>317</v>
      </c>
      <c r="I575" t="s">
        <v>23</v>
      </c>
      <c r="J575" t="s">
        <v>207</v>
      </c>
      <c r="K575" s="2" t="s">
        <v>1365</v>
      </c>
      <c r="L575" t="s">
        <v>26</v>
      </c>
      <c r="M575">
        <v>350700</v>
      </c>
      <c r="N575">
        <v>1</v>
      </c>
      <c r="O575" s="3">
        <v>39990</v>
      </c>
      <c r="P575" s="3">
        <v>25896</v>
      </c>
      <c r="Q575" s="5">
        <f t="shared" si="24"/>
        <v>33605.042016806721</v>
      </c>
      <c r="R575" s="5">
        <f t="shared" si="25"/>
        <v>25896</v>
      </c>
      <c r="S575" s="5">
        <f t="shared" si="26"/>
        <v>7709.0420168067212</v>
      </c>
    </row>
    <row r="576" spans="1:19" hidden="1" x14ac:dyDescent="0.3">
      <c r="A576">
        <v>100</v>
      </c>
      <c r="B576" t="s">
        <v>16</v>
      </c>
      <c r="C576" t="s">
        <v>190</v>
      </c>
      <c r="D576" s="2" t="s">
        <v>191</v>
      </c>
      <c r="E576" t="s">
        <v>192</v>
      </c>
      <c r="F576" t="s">
        <v>20</v>
      </c>
      <c r="G576" t="s">
        <v>21</v>
      </c>
      <c r="H576" t="s">
        <v>48</v>
      </c>
      <c r="I576" t="s">
        <v>23</v>
      </c>
      <c r="J576" t="s">
        <v>35</v>
      </c>
      <c r="K576" s="2" t="s">
        <v>1365</v>
      </c>
      <c r="L576" t="s">
        <v>26</v>
      </c>
      <c r="M576">
        <v>350701</v>
      </c>
      <c r="N576">
        <v>1</v>
      </c>
      <c r="O576" s="3">
        <v>49990</v>
      </c>
      <c r="P576" s="3">
        <v>28909</v>
      </c>
      <c r="Q576" s="5">
        <f t="shared" si="24"/>
        <v>42008.403361344543</v>
      </c>
      <c r="R576" s="5">
        <f t="shared" si="25"/>
        <v>28909</v>
      </c>
      <c r="S576" s="5">
        <f t="shared" si="26"/>
        <v>13099.403361344543</v>
      </c>
    </row>
    <row r="577" spans="1:19" hidden="1" x14ac:dyDescent="0.3">
      <c r="A577">
        <v>100</v>
      </c>
      <c r="B577" t="s">
        <v>16</v>
      </c>
      <c r="C577" t="s">
        <v>1372</v>
      </c>
      <c r="D577" s="2" t="s">
        <v>1373</v>
      </c>
      <c r="E577" t="s">
        <v>1374</v>
      </c>
      <c r="F577" t="s">
        <v>20</v>
      </c>
      <c r="G577" t="s">
        <v>21</v>
      </c>
      <c r="H577" t="s">
        <v>1375</v>
      </c>
      <c r="I577" t="s">
        <v>23</v>
      </c>
      <c r="J577" t="s">
        <v>40</v>
      </c>
      <c r="K577" s="2" t="s">
        <v>1365</v>
      </c>
      <c r="L577" t="s">
        <v>26</v>
      </c>
      <c r="M577">
        <v>350702</v>
      </c>
      <c r="N577">
        <v>1</v>
      </c>
      <c r="O577" s="3">
        <v>39990</v>
      </c>
      <c r="P577" s="3">
        <v>25499</v>
      </c>
      <c r="Q577" s="5">
        <f t="shared" si="24"/>
        <v>33605.042016806721</v>
      </c>
      <c r="R577" s="5">
        <f t="shared" si="25"/>
        <v>25499</v>
      </c>
      <c r="S577" s="5">
        <f t="shared" si="26"/>
        <v>8106.0420168067212</v>
      </c>
    </row>
    <row r="578" spans="1:19" hidden="1" x14ac:dyDescent="0.3">
      <c r="A578">
        <v>100</v>
      </c>
      <c r="B578" t="s">
        <v>16</v>
      </c>
      <c r="C578" t="s">
        <v>1376</v>
      </c>
      <c r="D578" s="2" t="s">
        <v>1377</v>
      </c>
      <c r="E578" t="s">
        <v>1378</v>
      </c>
      <c r="F578" t="s">
        <v>20</v>
      </c>
      <c r="G578" t="s">
        <v>21</v>
      </c>
      <c r="H578" t="s">
        <v>1379</v>
      </c>
      <c r="I578" t="s">
        <v>23</v>
      </c>
      <c r="J578" t="s">
        <v>35</v>
      </c>
      <c r="K578" s="2" t="s">
        <v>1365</v>
      </c>
      <c r="L578" t="s">
        <v>26</v>
      </c>
      <c r="M578">
        <v>350703</v>
      </c>
      <c r="N578">
        <v>1</v>
      </c>
      <c r="O578" s="3">
        <v>39990</v>
      </c>
      <c r="P578" s="3">
        <v>20132</v>
      </c>
      <c r="Q578" s="5">
        <f t="shared" si="24"/>
        <v>33605.042016806721</v>
      </c>
      <c r="R578" s="5">
        <f t="shared" si="25"/>
        <v>20132</v>
      </c>
      <c r="S578" s="5">
        <f t="shared" si="26"/>
        <v>13473.042016806721</v>
      </c>
    </row>
    <row r="579" spans="1:19" hidden="1" x14ac:dyDescent="0.3">
      <c r="A579">
        <v>100</v>
      </c>
      <c r="B579" t="s">
        <v>16</v>
      </c>
      <c r="C579" t="s">
        <v>1380</v>
      </c>
      <c r="D579" s="2" t="s">
        <v>1381</v>
      </c>
      <c r="E579" t="s">
        <v>1382</v>
      </c>
      <c r="F579" t="s">
        <v>20</v>
      </c>
      <c r="G579" t="s">
        <v>21</v>
      </c>
      <c r="H579" t="s">
        <v>561</v>
      </c>
      <c r="I579" t="s">
        <v>23</v>
      </c>
      <c r="J579" t="s">
        <v>35</v>
      </c>
      <c r="K579" s="2" t="s">
        <v>1365</v>
      </c>
      <c r="L579" t="s">
        <v>26</v>
      </c>
      <c r="M579">
        <v>350704</v>
      </c>
      <c r="N579">
        <v>1</v>
      </c>
      <c r="O579" s="3">
        <v>54990</v>
      </c>
      <c r="P579" s="3">
        <v>27979</v>
      </c>
      <c r="Q579" s="5">
        <f t="shared" si="24"/>
        <v>46210.08403361345</v>
      </c>
      <c r="R579" s="5">
        <f t="shared" si="25"/>
        <v>27979</v>
      </c>
      <c r="S579" s="5">
        <f t="shared" si="26"/>
        <v>18231.08403361345</v>
      </c>
    </row>
    <row r="580" spans="1:19" hidden="1" x14ac:dyDescent="0.3">
      <c r="A580">
        <v>100</v>
      </c>
      <c r="B580" t="s">
        <v>16</v>
      </c>
      <c r="C580" t="s">
        <v>1383</v>
      </c>
      <c r="D580" s="2" t="s">
        <v>1384</v>
      </c>
      <c r="E580" t="s">
        <v>1385</v>
      </c>
      <c r="F580" t="s">
        <v>20</v>
      </c>
      <c r="G580" t="s">
        <v>21</v>
      </c>
      <c r="H580" t="s">
        <v>433</v>
      </c>
      <c r="I580" t="s">
        <v>23</v>
      </c>
      <c r="J580" t="s">
        <v>407</v>
      </c>
      <c r="K580" s="2" t="s">
        <v>1365</v>
      </c>
      <c r="L580" t="s">
        <v>26</v>
      </c>
      <c r="M580">
        <v>350705</v>
      </c>
      <c r="N580">
        <v>1</v>
      </c>
      <c r="O580" s="3">
        <v>29990</v>
      </c>
      <c r="P580" s="3">
        <v>20471</v>
      </c>
      <c r="Q580" s="5">
        <f t="shared" si="24"/>
        <v>25201.680672268907</v>
      </c>
      <c r="R580" s="5">
        <f t="shared" si="25"/>
        <v>20471</v>
      </c>
      <c r="S580" s="5">
        <f t="shared" si="26"/>
        <v>4730.6806722689071</v>
      </c>
    </row>
    <row r="581" spans="1:19" hidden="1" x14ac:dyDescent="0.3">
      <c r="A581">
        <v>100</v>
      </c>
      <c r="B581" t="s">
        <v>16</v>
      </c>
      <c r="C581" t="s">
        <v>1258</v>
      </c>
      <c r="D581" s="2" t="s">
        <v>1259</v>
      </c>
      <c r="E581" t="s">
        <v>192</v>
      </c>
      <c r="F581" t="s">
        <v>20</v>
      </c>
      <c r="G581" t="s">
        <v>21</v>
      </c>
      <c r="H581" t="s">
        <v>48</v>
      </c>
      <c r="I581" t="s">
        <v>23</v>
      </c>
      <c r="J581" t="s">
        <v>35</v>
      </c>
      <c r="K581" s="2" t="s">
        <v>1365</v>
      </c>
      <c r="L581" t="s">
        <v>26</v>
      </c>
      <c r="M581">
        <v>350706</v>
      </c>
      <c r="N581">
        <v>1</v>
      </c>
      <c r="O581" s="3">
        <v>49990</v>
      </c>
      <c r="P581" s="3">
        <v>28799</v>
      </c>
      <c r="Q581" s="5">
        <f t="shared" si="24"/>
        <v>42008.403361344543</v>
      </c>
      <c r="R581" s="5">
        <f t="shared" si="25"/>
        <v>28799</v>
      </c>
      <c r="S581" s="5">
        <f t="shared" si="26"/>
        <v>13209.403361344543</v>
      </c>
    </row>
    <row r="582" spans="1:19" hidden="1" x14ac:dyDescent="0.3">
      <c r="A582">
        <v>100</v>
      </c>
      <c r="B582" t="s">
        <v>16</v>
      </c>
      <c r="C582" t="s">
        <v>1386</v>
      </c>
      <c r="D582" s="2" t="s">
        <v>1387</v>
      </c>
      <c r="E582" t="s">
        <v>1388</v>
      </c>
      <c r="F582" t="s">
        <v>20</v>
      </c>
      <c r="G582" t="s">
        <v>21</v>
      </c>
      <c r="H582" t="s">
        <v>421</v>
      </c>
      <c r="I582" t="s">
        <v>23</v>
      </c>
      <c r="J582" t="s">
        <v>207</v>
      </c>
      <c r="K582" s="2" t="s">
        <v>1365</v>
      </c>
      <c r="L582" t="s">
        <v>26</v>
      </c>
      <c r="M582">
        <v>350707</v>
      </c>
      <c r="N582">
        <v>1</v>
      </c>
      <c r="O582" s="3">
        <v>29990</v>
      </c>
      <c r="P582" s="3">
        <v>15655</v>
      </c>
      <c r="Q582" s="5">
        <f t="shared" ref="Q582:Q645" si="27">O582/1.19</f>
        <v>25201.680672268907</v>
      </c>
      <c r="R582" s="5">
        <f t="shared" ref="R582:R645" si="28">N582*P582</f>
        <v>15655</v>
      </c>
      <c r="S582" s="5">
        <f t="shared" ref="S582:S645" si="29">Q582-R582</f>
        <v>9546.6806722689071</v>
      </c>
    </row>
    <row r="583" spans="1:19" hidden="1" x14ac:dyDescent="0.3">
      <c r="A583">
        <v>100</v>
      </c>
      <c r="B583" t="s">
        <v>16</v>
      </c>
      <c r="C583" t="s">
        <v>1389</v>
      </c>
      <c r="D583" s="2" t="s">
        <v>1390</v>
      </c>
      <c r="E583" t="s">
        <v>1391</v>
      </c>
      <c r="F583" t="s">
        <v>20</v>
      </c>
      <c r="G583" t="s">
        <v>21</v>
      </c>
      <c r="H583" t="s">
        <v>79</v>
      </c>
      <c r="I583" t="s">
        <v>23</v>
      </c>
      <c r="J583" t="s">
        <v>49</v>
      </c>
      <c r="K583" s="2" t="s">
        <v>1365</v>
      </c>
      <c r="L583" t="s">
        <v>26</v>
      </c>
      <c r="M583">
        <v>350708</v>
      </c>
      <c r="N583">
        <v>1</v>
      </c>
      <c r="O583" s="3">
        <v>39990</v>
      </c>
      <c r="P583" s="3">
        <v>28280</v>
      </c>
      <c r="Q583" s="5">
        <f t="shared" si="27"/>
        <v>33605.042016806721</v>
      </c>
      <c r="R583" s="5">
        <f t="shared" si="28"/>
        <v>28280</v>
      </c>
      <c r="S583" s="5">
        <f t="shared" si="29"/>
        <v>5325.0420168067212</v>
      </c>
    </row>
    <row r="584" spans="1:19" hidden="1" x14ac:dyDescent="0.3">
      <c r="A584">
        <v>100</v>
      </c>
      <c r="B584" t="s">
        <v>16</v>
      </c>
      <c r="C584" t="s">
        <v>1392</v>
      </c>
      <c r="D584" s="2" t="s">
        <v>1393</v>
      </c>
      <c r="E584" t="s">
        <v>1394</v>
      </c>
      <c r="F584" t="s">
        <v>20</v>
      </c>
      <c r="G584" t="s">
        <v>21</v>
      </c>
      <c r="H584" t="s">
        <v>310</v>
      </c>
      <c r="I584" t="s">
        <v>23</v>
      </c>
      <c r="J584" t="s">
        <v>49</v>
      </c>
      <c r="K584" s="2" t="s">
        <v>1365</v>
      </c>
      <c r="L584" t="s">
        <v>26</v>
      </c>
      <c r="M584">
        <v>350709</v>
      </c>
      <c r="N584">
        <v>1</v>
      </c>
      <c r="O584" s="3">
        <v>44990</v>
      </c>
      <c r="P584" s="3">
        <v>29097</v>
      </c>
      <c r="Q584" s="5">
        <f t="shared" si="27"/>
        <v>37806.722689075636</v>
      </c>
      <c r="R584" s="5">
        <f t="shared" si="28"/>
        <v>29097</v>
      </c>
      <c r="S584" s="5">
        <f t="shared" si="29"/>
        <v>8709.7226890756356</v>
      </c>
    </row>
    <row r="585" spans="1:19" hidden="1" x14ac:dyDescent="0.3">
      <c r="A585">
        <v>100</v>
      </c>
      <c r="B585" t="s">
        <v>16</v>
      </c>
      <c r="C585" t="s">
        <v>1395</v>
      </c>
      <c r="D585" s="2" t="s">
        <v>1396</v>
      </c>
      <c r="E585" t="s">
        <v>1397</v>
      </c>
      <c r="F585" t="s">
        <v>20</v>
      </c>
      <c r="G585" t="s">
        <v>21</v>
      </c>
      <c r="H585" t="s">
        <v>152</v>
      </c>
      <c r="I585" t="s">
        <v>23</v>
      </c>
      <c r="J585" t="s">
        <v>40</v>
      </c>
      <c r="K585" s="2" t="s">
        <v>1365</v>
      </c>
      <c r="L585" t="s">
        <v>26</v>
      </c>
      <c r="M585">
        <v>350710</v>
      </c>
      <c r="N585">
        <v>1</v>
      </c>
      <c r="O585" s="3">
        <v>34990</v>
      </c>
      <c r="P585" s="3">
        <v>15642</v>
      </c>
      <c r="Q585" s="5">
        <f t="shared" si="27"/>
        <v>29403.361344537818</v>
      </c>
      <c r="R585" s="5">
        <f t="shared" si="28"/>
        <v>15642</v>
      </c>
      <c r="S585" s="5">
        <f t="shared" si="29"/>
        <v>13761.361344537818</v>
      </c>
    </row>
    <row r="586" spans="1:19" hidden="1" x14ac:dyDescent="0.3">
      <c r="A586">
        <v>100</v>
      </c>
      <c r="B586" t="s">
        <v>16</v>
      </c>
      <c r="C586" t="s">
        <v>1398</v>
      </c>
      <c r="D586" s="2" t="s">
        <v>1399</v>
      </c>
      <c r="E586" t="s">
        <v>1397</v>
      </c>
      <c r="F586" t="s">
        <v>20</v>
      </c>
      <c r="G586" t="s">
        <v>21</v>
      </c>
      <c r="H586" t="s">
        <v>152</v>
      </c>
      <c r="I586" t="s">
        <v>23</v>
      </c>
      <c r="J586" t="s">
        <v>40</v>
      </c>
      <c r="K586" s="2" t="s">
        <v>1365</v>
      </c>
      <c r="L586" t="s">
        <v>26</v>
      </c>
      <c r="M586">
        <v>350711</v>
      </c>
      <c r="N586">
        <v>1</v>
      </c>
      <c r="O586" s="3">
        <v>34990</v>
      </c>
      <c r="P586" s="3">
        <v>15642</v>
      </c>
      <c r="Q586" s="5">
        <f t="shared" si="27"/>
        <v>29403.361344537818</v>
      </c>
      <c r="R586" s="5">
        <f t="shared" si="28"/>
        <v>15642</v>
      </c>
      <c r="S586" s="5">
        <f t="shared" si="29"/>
        <v>13761.361344537818</v>
      </c>
    </row>
    <row r="587" spans="1:19" hidden="1" x14ac:dyDescent="0.3">
      <c r="A587">
        <v>100</v>
      </c>
      <c r="B587" t="s">
        <v>16</v>
      </c>
      <c r="C587" t="s">
        <v>303</v>
      </c>
      <c r="D587" s="2" t="s">
        <v>304</v>
      </c>
      <c r="E587" t="s">
        <v>305</v>
      </c>
      <c r="F587" t="s">
        <v>20</v>
      </c>
      <c r="G587" t="s">
        <v>21</v>
      </c>
      <c r="H587" t="s">
        <v>306</v>
      </c>
      <c r="I587" t="s">
        <v>23</v>
      </c>
      <c r="J587" t="s">
        <v>35</v>
      </c>
      <c r="K587" s="2" t="s">
        <v>1365</v>
      </c>
      <c r="L587" t="s">
        <v>26</v>
      </c>
      <c r="M587">
        <v>350712</v>
      </c>
      <c r="N587">
        <v>1</v>
      </c>
      <c r="O587" s="3">
        <v>59990</v>
      </c>
      <c r="P587" s="3">
        <v>33912</v>
      </c>
      <c r="Q587" s="5">
        <f t="shared" si="27"/>
        <v>50411.764705882357</v>
      </c>
      <c r="R587" s="5">
        <f t="shared" si="28"/>
        <v>33912</v>
      </c>
      <c r="S587" s="5">
        <f t="shared" si="29"/>
        <v>16499.764705882357</v>
      </c>
    </row>
    <row r="588" spans="1:19" hidden="1" x14ac:dyDescent="0.3">
      <c r="A588">
        <v>100</v>
      </c>
      <c r="B588" t="s">
        <v>16</v>
      </c>
      <c r="C588" t="s">
        <v>1400</v>
      </c>
      <c r="D588" s="2" t="s">
        <v>1401</v>
      </c>
      <c r="E588" t="s">
        <v>385</v>
      </c>
      <c r="F588" t="s">
        <v>20</v>
      </c>
      <c r="G588" t="s">
        <v>21</v>
      </c>
      <c r="H588" t="s">
        <v>306</v>
      </c>
      <c r="I588" t="s">
        <v>23</v>
      </c>
      <c r="J588" t="s">
        <v>35</v>
      </c>
      <c r="K588" s="2" t="s">
        <v>1365</v>
      </c>
      <c r="L588" t="s">
        <v>26</v>
      </c>
      <c r="M588">
        <v>350713</v>
      </c>
      <c r="N588">
        <v>1</v>
      </c>
      <c r="O588" s="3">
        <v>59990</v>
      </c>
      <c r="P588" s="3">
        <v>33227</v>
      </c>
      <c r="Q588" s="5">
        <f t="shared" si="27"/>
        <v>50411.764705882357</v>
      </c>
      <c r="R588" s="5">
        <f t="shared" si="28"/>
        <v>33227</v>
      </c>
      <c r="S588" s="5">
        <f t="shared" si="29"/>
        <v>17184.764705882357</v>
      </c>
    </row>
    <row r="589" spans="1:19" hidden="1" x14ac:dyDescent="0.3">
      <c r="A589">
        <v>100</v>
      </c>
      <c r="B589" t="s">
        <v>16</v>
      </c>
      <c r="C589" t="s">
        <v>1361</v>
      </c>
      <c r="D589" s="2" t="s">
        <v>1362</v>
      </c>
      <c r="E589" t="s">
        <v>385</v>
      </c>
      <c r="F589" t="s">
        <v>20</v>
      </c>
      <c r="G589" t="s">
        <v>21</v>
      </c>
      <c r="H589" t="s">
        <v>306</v>
      </c>
      <c r="I589" t="s">
        <v>23</v>
      </c>
      <c r="J589" t="s">
        <v>35</v>
      </c>
      <c r="K589" s="2" t="s">
        <v>1365</v>
      </c>
      <c r="L589" t="s">
        <v>26</v>
      </c>
      <c r="M589">
        <v>350714</v>
      </c>
      <c r="N589">
        <v>1</v>
      </c>
      <c r="O589" s="3">
        <v>59990</v>
      </c>
      <c r="P589" s="3">
        <v>33227</v>
      </c>
      <c r="Q589" s="5">
        <f t="shared" si="27"/>
        <v>50411.764705882357</v>
      </c>
      <c r="R589" s="5">
        <f t="shared" si="28"/>
        <v>33227</v>
      </c>
      <c r="S589" s="5">
        <f t="shared" si="29"/>
        <v>17184.764705882357</v>
      </c>
    </row>
    <row r="590" spans="1:19" hidden="1" x14ac:dyDescent="0.3">
      <c r="A590">
        <v>100</v>
      </c>
      <c r="B590" t="s">
        <v>16</v>
      </c>
      <c r="C590" t="s">
        <v>570</v>
      </c>
      <c r="D590" s="2" t="s">
        <v>571</v>
      </c>
      <c r="E590" t="s">
        <v>572</v>
      </c>
      <c r="F590" t="s">
        <v>20</v>
      </c>
      <c r="G590" t="s">
        <v>21</v>
      </c>
      <c r="H590" t="s">
        <v>573</v>
      </c>
      <c r="I590" t="s">
        <v>23</v>
      </c>
      <c r="J590" t="s">
        <v>35</v>
      </c>
      <c r="K590" s="2" t="s">
        <v>1365</v>
      </c>
      <c r="L590" t="s">
        <v>26</v>
      </c>
      <c r="M590">
        <v>350715</v>
      </c>
      <c r="N590">
        <v>1</v>
      </c>
      <c r="O590" s="3">
        <v>59990</v>
      </c>
      <c r="P590" s="3">
        <v>26835</v>
      </c>
      <c r="Q590" s="5">
        <f t="shared" si="27"/>
        <v>50411.764705882357</v>
      </c>
      <c r="R590" s="5">
        <f t="shared" si="28"/>
        <v>26835</v>
      </c>
      <c r="S590" s="5">
        <f t="shared" si="29"/>
        <v>23576.764705882357</v>
      </c>
    </row>
    <row r="591" spans="1:19" hidden="1" x14ac:dyDescent="0.3">
      <c r="A591">
        <v>100</v>
      </c>
      <c r="B591" t="s">
        <v>16</v>
      </c>
      <c r="C591" t="s">
        <v>269</v>
      </c>
      <c r="D591" s="2" t="s">
        <v>270</v>
      </c>
      <c r="E591" t="s">
        <v>271</v>
      </c>
      <c r="F591" t="s">
        <v>20</v>
      </c>
      <c r="G591" t="s">
        <v>21</v>
      </c>
      <c r="H591" t="s">
        <v>272</v>
      </c>
      <c r="I591" t="s">
        <v>23</v>
      </c>
      <c r="J591" t="s">
        <v>35</v>
      </c>
      <c r="K591" s="2" t="s">
        <v>1365</v>
      </c>
      <c r="L591" t="s">
        <v>26</v>
      </c>
      <c r="M591">
        <v>350716</v>
      </c>
      <c r="N591">
        <v>1</v>
      </c>
      <c r="O591" s="3">
        <v>49990</v>
      </c>
      <c r="P591" s="3">
        <v>28126</v>
      </c>
      <c r="Q591" s="5">
        <f t="shared" si="27"/>
        <v>42008.403361344543</v>
      </c>
      <c r="R591" s="5">
        <f t="shared" si="28"/>
        <v>28126</v>
      </c>
      <c r="S591" s="5">
        <f t="shared" si="29"/>
        <v>13882.403361344543</v>
      </c>
    </row>
    <row r="592" spans="1:19" hidden="1" x14ac:dyDescent="0.3">
      <c r="A592">
        <v>100</v>
      </c>
      <c r="B592" t="s">
        <v>16</v>
      </c>
      <c r="C592">
        <v>1687976791</v>
      </c>
      <c r="D592" s="2" t="s">
        <v>200</v>
      </c>
      <c r="E592" t="s">
        <v>201</v>
      </c>
      <c r="F592" t="s">
        <v>201</v>
      </c>
      <c r="G592" t="s">
        <v>202</v>
      </c>
      <c r="H592" t="s">
        <v>202</v>
      </c>
      <c r="I592" t="s">
        <v>23</v>
      </c>
      <c r="J592" t="s">
        <v>202</v>
      </c>
      <c r="K592" s="2" t="s">
        <v>1365</v>
      </c>
      <c r="L592" t="s">
        <v>26</v>
      </c>
      <c r="M592">
        <v>350716</v>
      </c>
      <c r="N592">
        <v>1</v>
      </c>
      <c r="O592" s="3">
        <v>5990</v>
      </c>
      <c r="P592">
        <v>1</v>
      </c>
      <c r="Q592" s="5">
        <f t="shared" si="27"/>
        <v>5033.6134453781515</v>
      </c>
      <c r="R592" s="5">
        <f t="shared" si="28"/>
        <v>1</v>
      </c>
      <c r="S592" s="5">
        <f t="shared" si="29"/>
        <v>5032.6134453781515</v>
      </c>
    </row>
    <row r="593" spans="1:19" hidden="1" x14ac:dyDescent="0.3">
      <c r="A593">
        <v>100</v>
      </c>
      <c r="B593" t="s">
        <v>16</v>
      </c>
      <c r="C593" t="s">
        <v>1402</v>
      </c>
      <c r="D593" s="2" t="s">
        <v>1403</v>
      </c>
      <c r="E593" t="s">
        <v>1404</v>
      </c>
      <c r="F593" t="s">
        <v>20</v>
      </c>
      <c r="G593" t="s">
        <v>21</v>
      </c>
      <c r="H593" t="s">
        <v>1405</v>
      </c>
      <c r="I593" t="s">
        <v>23</v>
      </c>
      <c r="J593" t="s">
        <v>40</v>
      </c>
      <c r="K593" s="2" t="s">
        <v>1365</v>
      </c>
      <c r="L593" t="s">
        <v>26</v>
      </c>
      <c r="M593">
        <v>350717</v>
      </c>
      <c r="N593">
        <v>1</v>
      </c>
      <c r="O593" s="3">
        <v>49950</v>
      </c>
      <c r="P593" s="3">
        <v>13302</v>
      </c>
      <c r="Q593" s="5">
        <f t="shared" si="27"/>
        <v>41974.789915966387</v>
      </c>
      <c r="R593" s="5">
        <f t="shared" si="28"/>
        <v>13302</v>
      </c>
      <c r="S593" s="5">
        <f t="shared" si="29"/>
        <v>28672.789915966387</v>
      </c>
    </row>
    <row r="594" spans="1:19" hidden="1" x14ac:dyDescent="0.3">
      <c r="A594">
        <v>100</v>
      </c>
      <c r="B594" t="s">
        <v>16</v>
      </c>
      <c r="C594">
        <v>1687976791</v>
      </c>
      <c r="D594" s="2" t="s">
        <v>200</v>
      </c>
      <c r="E594" t="s">
        <v>201</v>
      </c>
      <c r="F594" t="s">
        <v>201</v>
      </c>
      <c r="G594" t="s">
        <v>202</v>
      </c>
      <c r="H594" t="s">
        <v>202</v>
      </c>
      <c r="I594" t="s">
        <v>23</v>
      </c>
      <c r="J594" t="s">
        <v>202</v>
      </c>
      <c r="K594" s="2" t="s">
        <v>1365</v>
      </c>
      <c r="L594" t="s">
        <v>26</v>
      </c>
      <c r="M594">
        <v>350717</v>
      </c>
      <c r="N594">
        <v>1</v>
      </c>
      <c r="O594" s="3">
        <v>3400</v>
      </c>
      <c r="P594">
        <v>1</v>
      </c>
      <c r="Q594" s="5">
        <f t="shared" si="27"/>
        <v>2857.1428571428573</v>
      </c>
      <c r="R594" s="5">
        <f t="shared" si="28"/>
        <v>1</v>
      </c>
      <c r="S594" s="5">
        <f t="shared" si="29"/>
        <v>2856.1428571428573</v>
      </c>
    </row>
    <row r="595" spans="1:19" hidden="1" x14ac:dyDescent="0.3">
      <c r="A595">
        <v>100</v>
      </c>
      <c r="B595" t="s">
        <v>16</v>
      </c>
      <c r="C595" t="s">
        <v>1406</v>
      </c>
      <c r="D595" s="2" t="s">
        <v>1407</v>
      </c>
      <c r="E595" t="s">
        <v>1408</v>
      </c>
      <c r="F595" t="s">
        <v>20</v>
      </c>
      <c r="G595" t="s">
        <v>21</v>
      </c>
      <c r="H595" t="s">
        <v>1409</v>
      </c>
      <c r="I595" t="s">
        <v>23</v>
      </c>
      <c r="J595" t="s">
        <v>31</v>
      </c>
      <c r="K595" s="2" t="s">
        <v>1365</v>
      </c>
      <c r="L595" t="s">
        <v>26</v>
      </c>
      <c r="M595">
        <v>350718</v>
      </c>
      <c r="N595">
        <v>1</v>
      </c>
      <c r="O595" s="3">
        <v>129950</v>
      </c>
      <c r="P595" s="3">
        <v>69954</v>
      </c>
      <c r="Q595" s="5">
        <f t="shared" si="27"/>
        <v>109201.68067226891</v>
      </c>
      <c r="R595" s="5">
        <f t="shared" si="28"/>
        <v>69954</v>
      </c>
      <c r="S595" s="5">
        <f t="shared" si="29"/>
        <v>39247.680672268907</v>
      </c>
    </row>
    <row r="596" spans="1:19" hidden="1" x14ac:dyDescent="0.3">
      <c r="A596">
        <v>100</v>
      </c>
      <c r="B596" t="s">
        <v>16</v>
      </c>
      <c r="C596">
        <v>1687976791</v>
      </c>
      <c r="D596" s="2" t="s">
        <v>200</v>
      </c>
      <c r="E596" t="s">
        <v>201</v>
      </c>
      <c r="F596" t="s">
        <v>201</v>
      </c>
      <c r="G596" t="s">
        <v>202</v>
      </c>
      <c r="H596" t="s">
        <v>202</v>
      </c>
      <c r="I596" t="s">
        <v>23</v>
      </c>
      <c r="J596" t="s">
        <v>202</v>
      </c>
      <c r="K596" s="2" t="s">
        <v>1365</v>
      </c>
      <c r="L596" t="s">
        <v>26</v>
      </c>
      <c r="M596">
        <v>350719</v>
      </c>
      <c r="N596">
        <v>1</v>
      </c>
      <c r="O596" s="3">
        <v>3200</v>
      </c>
      <c r="P596">
        <v>1</v>
      </c>
      <c r="Q596" s="5">
        <f t="shared" si="27"/>
        <v>2689.0756302521008</v>
      </c>
      <c r="R596" s="5">
        <f t="shared" si="28"/>
        <v>1</v>
      </c>
      <c r="S596" s="5">
        <f t="shared" si="29"/>
        <v>2688.0756302521008</v>
      </c>
    </row>
    <row r="597" spans="1:19" hidden="1" x14ac:dyDescent="0.3">
      <c r="A597">
        <v>100</v>
      </c>
      <c r="B597" t="s">
        <v>16</v>
      </c>
      <c r="C597" t="s">
        <v>1410</v>
      </c>
      <c r="D597" s="2" t="s">
        <v>1411</v>
      </c>
      <c r="E597" t="s">
        <v>1412</v>
      </c>
      <c r="F597" t="s">
        <v>20</v>
      </c>
      <c r="G597" t="s">
        <v>338</v>
      </c>
      <c r="H597">
        <v>23603</v>
      </c>
      <c r="I597" t="s">
        <v>23</v>
      </c>
      <c r="J597" t="s">
        <v>40</v>
      </c>
      <c r="K597" s="2" t="s">
        <v>1365</v>
      </c>
      <c r="L597" t="s">
        <v>26</v>
      </c>
      <c r="M597">
        <v>350719</v>
      </c>
      <c r="N597">
        <v>1</v>
      </c>
      <c r="O597" s="3">
        <v>49990</v>
      </c>
      <c r="P597" s="3">
        <v>22607</v>
      </c>
      <c r="Q597" s="5">
        <f t="shared" si="27"/>
        <v>42008.403361344543</v>
      </c>
      <c r="R597" s="5">
        <f t="shared" si="28"/>
        <v>22607</v>
      </c>
      <c r="S597" s="5">
        <f t="shared" si="29"/>
        <v>19401.403361344543</v>
      </c>
    </row>
    <row r="598" spans="1:19" hidden="1" x14ac:dyDescent="0.3">
      <c r="A598">
        <v>100</v>
      </c>
      <c r="B598" t="s">
        <v>16</v>
      </c>
      <c r="C598" t="s">
        <v>920</v>
      </c>
      <c r="D598" s="2" t="s">
        <v>921</v>
      </c>
      <c r="E598" t="s">
        <v>170</v>
      </c>
      <c r="F598" t="s">
        <v>20</v>
      </c>
      <c r="G598" t="s">
        <v>21</v>
      </c>
      <c r="H598" t="s">
        <v>171</v>
      </c>
      <c r="I598" t="s">
        <v>23</v>
      </c>
      <c r="J598" t="s">
        <v>40</v>
      </c>
      <c r="K598" s="2" t="s">
        <v>1365</v>
      </c>
      <c r="L598" t="s">
        <v>26</v>
      </c>
      <c r="M598">
        <v>350720</v>
      </c>
      <c r="N598">
        <v>1</v>
      </c>
      <c r="O598" s="3">
        <v>34990</v>
      </c>
      <c r="P598" s="3">
        <v>23083</v>
      </c>
      <c r="Q598" s="5">
        <f t="shared" si="27"/>
        <v>29403.361344537818</v>
      </c>
      <c r="R598" s="5">
        <f t="shared" si="28"/>
        <v>23083</v>
      </c>
      <c r="S598" s="5">
        <f t="shared" si="29"/>
        <v>6320.3613445378178</v>
      </c>
    </row>
    <row r="599" spans="1:19" hidden="1" x14ac:dyDescent="0.3">
      <c r="A599">
        <v>100</v>
      </c>
      <c r="B599" t="s">
        <v>16</v>
      </c>
      <c r="C599" t="s">
        <v>939</v>
      </c>
      <c r="D599" s="2" t="s">
        <v>940</v>
      </c>
      <c r="E599" t="s">
        <v>933</v>
      </c>
      <c r="F599" t="s">
        <v>20</v>
      </c>
      <c r="G599" t="s">
        <v>21</v>
      </c>
      <c r="H599" t="s">
        <v>718</v>
      </c>
      <c r="I599" t="s">
        <v>23</v>
      </c>
      <c r="J599" t="s">
        <v>35</v>
      </c>
      <c r="K599" s="2" t="s">
        <v>1365</v>
      </c>
      <c r="L599" t="s">
        <v>26</v>
      </c>
      <c r="M599">
        <v>350721</v>
      </c>
      <c r="N599">
        <v>1</v>
      </c>
      <c r="O599" s="3">
        <v>52990</v>
      </c>
      <c r="P599" s="3">
        <v>32034</v>
      </c>
      <c r="Q599" s="5">
        <f t="shared" si="27"/>
        <v>44529.411764705881</v>
      </c>
      <c r="R599" s="5">
        <f t="shared" si="28"/>
        <v>32034</v>
      </c>
      <c r="S599" s="5">
        <f t="shared" si="29"/>
        <v>12495.411764705881</v>
      </c>
    </row>
    <row r="600" spans="1:19" hidden="1" x14ac:dyDescent="0.3">
      <c r="A600">
        <v>100</v>
      </c>
      <c r="B600" t="s">
        <v>16</v>
      </c>
      <c r="C600" t="s">
        <v>1413</v>
      </c>
      <c r="D600" s="2" t="s">
        <v>1414</v>
      </c>
      <c r="E600" t="s">
        <v>848</v>
      </c>
      <c r="F600" t="s">
        <v>20</v>
      </c>
      <c r="G600" t="s">
        <v>21</v>
      </c>
      <c r="H600" t="s">
        <v>342</v>
      </c>
      <c r="I600" t="s">
        <v>23</v>
      </c>
      <c r="J600" t="s">
        <v>35</v>
      </c>
      <c r="K600" s="2" t="s">
        <v>1365</v>
      </c>
      <c r="L600" t="s">
        <v>26</v>
      </c>
      <c r="M600">
        <v>350722</v>
      </c>
      <c r="N600">
        <v>1</v>
      </c>
      <c r="O600" s="3">
        <v>49990</v>
      </c>
      <c r="P600" s="3">
        <v>29042</v>
      </c>
      <c r="Q600" s="5">
        <f t="shared" si="27"/>
        <v>42008.403361344543</v>
      </c>
      <c r="R600" s="5">
        <f t="shared" si="28"/>
        <v>29042</v>
      </c>
      <c r="S600" s="5">
        <f t="shared" si="29"/>
        <v>12966.403361344543</v>
      </c>
    </row>
    <row r="601" spans="1:19" hidden="1" x14ac:dyDescent="0.3">
      <c r="A601">
        <v>100</v>
      </c>
      <c r="B601" t="s">
        <v>16</v>
      </c>
      <c r="C601" t="s">
        <v>1415</v>
      </c>
      <c r="D601" s="2" t="s">
        <v>1416</v>
      </c>
      <c r="E601" t="s">
        <v>1417</v>
      </c>
      <c r="F601" t="s">
        <v>20</v>
      </c>
      <c r="G601" t="s">
        <v>21</v>
      </c>
      <c r="H601" t="s">
        <v>1418</v>
      </c>
      <c r="I601" t="s">
        <v>23</v>
      </c>
      <c r="J601" t="s">
        <v>35</v>
      </c>
      <c r="K601" s="2" t="s">
        <v>1365</v>
      </c>
      <c r="L601" t="s">
        <v>26</v>
      </c>
      <c r="M601">
        <v>350722</v>
      </c>
      <c r="N601">
        <v>1</v>
      </c>
      <c r="O601" s="3">
        <v>89950</v>
      </c>
      <c r="P601" s="3">
        <v>29189</v>
      </c>
      <c r="Q601" s="5">
        <f t="shared" si="27"/>
        <v>75588.23529411765</v>
      </c>
      <c r="R601" s="5">
        <f t="shared" si="28"/>
        <v>29189</v>
      </c>
      <c r="S601" s="5">
        <f t="shared" si="29"/>
        <v>46399.23529411765</v>
      </c>
    </row>
    <row r="602" spans="1:19" hidden="1" x14ac:dyDescent="0.3">
      <c r="A602">
        <v>100</v>
      </c>
      <c r="B602" t="s">
        <v>16</v>
      </c>
      <c r="C602" t="s">
        <v>1419</v>
      </c>
      <c r="D602" s="2" t="s">
        <v>1420</v>
      </c>
      <c r="E602" t="s">
        <v>1421</v>
      </c>
      <c r="F602" t="s">
        <v>20</v>
      </c>
      <c r="G602" t="s">
        <v>21</v>
      </c>
      <c r="H602" t="s">
        <v>1422</v>
      </c>
      <c r="I602" t="s">
        <v>23</v>
      </c>
      <c r="J602" t="s">
        <v>49</v>
      </c>
      <c r="K602" s="2" t="s">
        <v>1365</v>
      </c>
      <c r="L602" t="s">
        <v>26</v>
      </c>
      <c r="M602">
        <v>350723</v>
      </c>
      <c r="N602">
        <v>1</v>
      </c>
      <c r="O602" s="3">
        <v>74950</v>
      </c>
      <c r="P602" s="3">
        <v>25183</v>
      </c>
      <c r="Q602" s="5">
        <f t="shared" si="27"/>
        <v>62983.193277310929</v>
      </c>
      <c r="R602" s="5">
        <f t="shared" si="28"/>
        <v>25183</v>
      </c>
      <c r="S602" s="5">
        <f t="shared" si="29"/>
        <v>37800.193277310929</v>
      </c>
    </row>
    <row r="603" spans="1:19" hidden="1" x14ac:dyDescent="0.3">
      <c r="A603">
        <v>100</v>
      </c>
      <c r="B603" t="s">
        <v>16</v>
      </c>
      <c r="C603" t="s">
        <v>1423</v>
      </c>
      <c r="D603" s="2" t="s">
        <v>1424</v>
      </c>
      <c r="E603" t="s">
        <v>1425</v>
      </c>
      <c r="F603" t="s">
        <v>20</v>
      </c>
      <c r="G603" t="s">
        <v>21</v>
      </c>
      <c r="H603" t="s">
        <v>224</v>
      </c>
      <c r="I603" t="s">
        <v>23</v>
      </c>
      <c r="J603" t="s">
        <v>35</v>
      </c>
      <c r="K603" s="2" t="s">
        <v>1365</v>
      </c>
      <c r="L603" t="s">
        <v>26</v>
      </c>
      <c r="M603">
        <v>350724</v>
      </c>
      <c r="N603">
        <v>1</v>
      </c>
      <c r="O603" s="3">
        <v>59990</v>
      </c>
      <c r="P603" s="3">
        <v>32021</v>
      </c>
      <c r="Q603" s="5">
        <f t="shared" si="27"/>
        <v>50411.764705882357</v>
      </c>
      <c r="R603" s="5">
        <f t="shared" si="28"/>
        <v>32021</v>
      </c>
      <c r="S603" s="5">
        <f t="shared" si="29"/>
        <v>18390.764705882357</v>
      </c>
    </row>
    <row r="604" spans="1:19" hidden="1" x14ac:dyDescent="0.3">
      <c r="A604">
        <v>100</v>
      </c>
      <c r="B604" t="s">
        <v>16</v>
      </c>
      <c r="C604" t="s">
        <v>1426</v>
      </c>
      <c r="D604" s="2" t="s">
        <v>1427</v>
      </c>
      <c r="E604" t="s">
        <v>1428</v>
      </c>
      <c r="F604" t="s">
        <v>20</v>
      </c>
      <c r="G604" t="s">
        <v>21</v>
      </c>
      <c r="H604" t="s">
        <v>57</v>
      </c>
      <c r="I604" t="s">
        <v>23</v>
      </c>
      <c r="J604" t="s">
        <v>35</v>
      </c>
      <c r="K604" s="2" t="s">
        <v>1365</v>
      </c>
      <c r="L604" t="s">
        <v>26</v>
      </c>
      <c r="M604">
        <v>350725</v>
      </c>
      <c r="N604">
        <v>1</v>
      </c>
      <c r="O604" s="3">
        <v>89950</v>
      </c>
      <c r="P604" s="3">
        <v>31397</v>
      </c>
      <c r="Q604" s="5">
        <f t="shared" si="27"/>
        <v>75588.23529411765</v>
      </c>
      <c r="R604" s="5">
        <f t="shared" si="28"/>
        <v>31397</v>
      </c>
      <c r="S604" s="5">
        <f t="shared" si="29"/>
        <v>44191.23529411765</v>
      </c>
    </row>
    <row r="605" spans="1:19" hidden="1" x14ac:dyDescent="0.3">
      <c r="A605">
        <v>100</v>
      </c>
      <c r="B605" t="s">
        <v>16</v>
      </c>
      <c r="C605" t="s">
        <v>871</v>
      </c>
      <c r="D605" s="2" t="s">
        <v>872</v>
      </c>
      <c r="E605" t="s">
        <v>873</v>
      </c>
      <c r="F605" t="s">
        <v>20</v>
      </c>
      <c r="G605" t="s">
        <v>21</v>
      </c>
      <c r="H605" t="s">
        <v>874</v>
      </c>
      <c r="I605" t="s">
        <v>23</v>
      </c>
      <c r="J605" t="s">
        <v>95</v>
      </c>
      <c r="K605" s="2" t="s">
        <v>1365</v>
      </c>
      <c r="L605" t="s">
        <v>26</v>
      </c>
      <c r="M605">
        <v>350726</v>
      </c>
      <c r="N605">
        <v>1</v>
      </c>
      <c r="O605" s="3">
        <v>39990</v>
      </c>
      <c r="P605" s="3">
        <v>20699</v>
      </c>
      <c r="Q605" s="5">
        <f t="shared" si="27"/>
        <v>33605.042016806721</v>
      </c>
      <c r="R605" s="5">
        <f t="shared" si="28"/>
        <v>20699</v>
      </c>
      <c r="S605" s="5">
        <f t="shared" si="29"/>
        <v>12906.042016806721</v>
      </c>
    </row>
    <row r="606" spans="1:19" hidden="1" x14ac:dyDescent="0.3">
      <c r="A606">
        <v>100</v>
      </c>
      <c r="B606" t="s">
        <v>16</v>
      </c>
      <c r="C606" t="s">
        <v>1429</v>
      </c>
      <c r="D606" s="2" t="s">
        <v>1430</v>
      </c>
      <c r="E606" t="s">
        <v>1431</v>
      </c>
      <c r="F606" t="s">
        <v>20</v>
      </c>
      <c r="G606" t="s">
        <v>21</v>
      </c>
      <c r="H606" t="s">
        <v>61</v>
      </c>
      <c r="I606" t="s">
        <v>23</v>
      </c>
      <c r="J606" t="s">
        <v>40</v>
      </c>
      <c r="K606" s="2" t="s">
        <v>1365</v>
      </c>
      <c r="L606" t="s">
        <v>26</v>
      </c>
      <c r="M606">
        <v>350727</v>
      </c>
      <c r="N606">
        <v>1</v>
      </c>
      <c r="O606" s="3">
        <v>39990</v>
      </c>
      <c r="P606" s="3">
        <v>28634</v>
      </c>
      <c r="Q606" s="5">
        <f t="shared" si="27"/>
        <v>33605.042016806721</v>
      </c>
      <c r="R606" s="5">
        <f t="shared" si="28"/>
        <v>28634</v>
      </c>
      <c r="S606" s="5">
        <f t="shared" si="29"/>
        <v>4971.0420168067212</v>
      </c>
    </row>
    <row r="607" spans="1:19" hidden="1" x14ac:dyDescent="0.3">
      <c r="A607">
        <v>100</v>
      </c>
      <c r="B607" t="s">
        <v>16</v>
      </c>
      <c r="C607" t="s">
        <v>1432</v>
      </c>
      <c r="D607" s="2" t="s">
        <v>1433</v>
      </c>
      <c r="E607" t="s">
        <v>890</v>
      </c>
      <c r="F607" t="s">
        <v>20</v>
      </c>
      <c r="G607" t="s">
        <v>21</v>
      </c>
      <c r="H607" t="s">
        <v>454</v>
      </c>
      <c r="I607" t="s">
        <v>23</v>
      </c>
      <c r="J607" t="s">
        <v>407</v>
      </c>
      <c r="K607" s="2" t="s">
        <v>1365</v>
      </c>
      <c r="L607" t="s">
        <v>26</v>
      </c>
      <c r="M607">
        <v>350728</v>
      </c>
      <c r="N607">
        <v>1</v>
      </c>
      <c r="O607" s="3">
        <v>39990</v>
      </c>
      <c r="P607" s="3">
        <v>19030</v>
      </c>
      <c r="Q607" s="5">
        <f t="shared" si="27"/>
        <v>33605.042016806721</v>
      </c>
      <c r="R607" s="5">
        <f t="shared" si="28"/>
        <v>19030</v>
      </c>
      <c r="S607" s="5">
        <f t="shared" si="29"/>
        <v>14575.042016806721</v>
      </c>
    </row>
    <row r="608" spans="1:19" hidden="1" x14ac:dyDescent="0.3">
      <c r="A608">
        <v>100</v>
      </c>
      <c r="B608" t="s">
        <v>16</v>
      </c>
      <c r="C608">
        <v>1687976791</v>
      </c>
      <c r="D608" s="2" t="s">
        <v>200</v>
      </c>
      <c r="E608" t="s">
        <v>201</v>
      </c>
      <c r="F608" t="s">
        <v>201</v>
      </c>
      <c r="G608" t="s">
        <v>202</v>
      </c>
      <c r="H608" t="s">
        <v>202</v>
      </c>
      <c r="I608" t="s">
        <v>23</v>
      </c>
      <c r="J608" t="s">
        <v>202</v>
      </c>
      <c r="K608" s="2" t="s">
        <v>1365</v>
      </c>
      <c r="L608" t="s">
        <v>26</v>
      </c>
      <c r="M608">
        <v>350728</v>
      </c>
      <c r="N608">
        <v>1</v>
      </c>
      <c r="O608" s="3">
        <v>5990</v>
      </c>
      <c r="P608">
        <v>1</v>
      </c>
      <c r="Q608" s="5">
        <f t="shared" si="27"/>
        <v>5033.6134453781515</v>
      </c>
      <c r="R608" s="5">
        <f t="shared" si="28"/>
        <v>1</v>
      </c>
      <c r="S608" s="5">
        <f t="shared" si="29"/>
        <v>5032.6134453781515</v>
      </c>
    </row>
    <row r="609" spans="1:19" hidden="1" x14ac:dyDescent="0.3">
      <c r="A609">
        <v>100</v>
      </c>
      <c r="B609" t="s">
        <v>16</v>
      </c>
      <c r="C609" t="s">
        <v>303</v>
      </c>
      <c r="D609" s="2" t="s">
        <v>304</v>
      </c>
      <c r="E609" t="s">
        <v>305</v>
      </c>
      <c r="F609" t="s">
        <v>20</v>
      </c>
      <c r="G609" t="s">
        <v>21</v>
      </c>
      <c r="H609" t="s">
        <v>306</v>
      </c>
      <c r="I609" t="s">
        <v>23</v>
      </c>
      <c r="J609" t="s">
        <v>35</v>
      </c>
      <c r="K609" s="2" t="s">
        <v>1365</v>
      </c>
      <c r="L609" t="s">
        <v>26</v>
      </c>
      <c r="M609">
        <v>350729</v>
      </c>
      <c r="N609">
        <v>1</v>
      </c>
      <c r="O609" s="3">
        <v>59990</v>
      </c>
      <c r="P609" s="3">
        <v>33912</v>
      </c>
      <c r="Q609" s="5">
        <f t="shared" si="27"/>
        <v>50411.764705882357</v>
      </c>
      <c r="R609" s="5">
        <f t="shared" si="28"/>
        <v>33912</v>
      </c>
      <c r="S609" s="5">
        <f t="shared" si="29"/>
        <v>16499.764705882357</v>
      </c>
    </row>
    <row r="610" spans="1:19" hidden="1" x14ac:dyDescent="0.3">
      <c r="A610">
        <v>100</v>
      </c>
      <c r="B610" t="s">
        <v>16</v>
      </c>
      <c r="C610" t="s">
        <v>1434</v>
      </c>
      <c r="D610" s="2" t="s">
        <v>1435</v>
      </c>
      <c r="E610" t="s">
        <v>1436</v>
      </c>
      <c r="F610" t="s">
        <v>20</v>
      </c>
      <c r="G610" t="s">
        <v>21</v>
      </c>
      <c r="H610" t="s">
        <v>500</v>
      </c>
      <c r="I610" t="s">
        <v>23</v>
      </c>
      <c r="J610" t="s">
        <v>40</v>
      </c>
      <c r="K610" s="2" t="s">
        <v>1365</v>
      </c>
      <c r="L610" t="s">
        <v>26</v>
      </c>
      <c r="M610">
        <v>350730</v>
      </c>
      <c r="N610">
        <v>1</v>
      </c>
      <c r="O610" s="3">
        <v>59950</v>
      </c>
      <c r="P610" s="3">
        <v>17591</v>
      </c>
      <c r="Q610" s="5">
        <f t="shared" si="27"/>
        <v>50378.151260504201</v>
      </c>
      <c r="R610" s="5">
        <f t="shared" si="28"/>
        <v>17591</v>
      </c>
      <c r="S610" s="5">
        <f t="shared" si="29"/>
        <v>32787.151260504201</v>
      </c>
    </row>
    <row r="611" spans="1:19" hidden="1" x14ac:dyDescent="0.3">
      <c r="A611">
        <v>100</v>
      </c>
      <c r="B611" t="s">
        <v>16</v>
      </c>
      <c r="C611" t="s">
        <v>1437</v>
      </c>
      <c r="D611" s="2" t="s">
        <v>1438</v>
      </c>
      <c r="E611" t="s">
        <v>1439</v>
      </c>
      <c r="F611" t="s">
        <v>20</v>
      </c>
      <c r="G611" t="s">
        <v>21</v>
      </c>
      <c r="H611" t="s">
        <v>1440</v>
      </c>
      <c r="I611" t="s">
        <v>23</v>
      </c>
      <c r="J611" t="s">
        <v>40</v>
      </c>
      <c r="K611" s="2" t="s">
        <v>1365</v>
      </c>
      <c r="L611" t="s">
        <v>26</v>
      </c>
      <c r="M611">
        <v>350730</v>
      </c>
      <c r="N611">
        <v>1</v>
      </c>
      <c r="O611" s="3">
        <v>64950</v>
      </c>
      <c r="P611" s="3">
        <v>17328</v>
      </c>
      <c r="Q611" s="5">
        <f t="shared" si="27"/>
        <v>54579.831932773115</v>
      </c>
      <c r="R611" s="5">
        <f t="shared" si="28"/>
        <v>17328</v>
      </c>
      <c r="S611" s="5">
        <f t="shared" si="29"/>
        <v>37251.831932773115</v>
      </c>
    </row>
    <row r="612" spans="1:19" hidden="1" x14ac:dyDescent="0.3">
      <c r="A612">
        <v>100</v>
      </c>
      <c r="B612" t="s">
        <v>16</v>
      </c>
      <c r="C612" t="s">
        <v>1441</v>
      </c>
      <c r="D612" s="2" t="s">
        <v>1442</v>
      </c>
      <c r="E612" t="s">
        <v>1443</v>
      </c>
      <c r="F612" t="s">
        <v>20</v>
      </c>
      <c r="G612" t="s">
        <v>338</v>
      </c>
      <c r="H612">
        <v>25301</v>
      </c>
      <c r="I612" t="s">
        <v>23</v>
      </c>
      <c r="J612" t="s">
        <v>35</v>
      </c>
      <c r="K612" s="2" t="s">
        <v>1365</v>
      </c>
      <c r="L612" t="s">
        <v>26</v>
      </c>
      <c r="M612">
        <v>350731</v>
      </c>
      <c r="N612">
        <v>1</v>
      </c>
      <c r="O612" s="3">
        <v>99950</v>
      </c>
      <c r="P612" s="3">
        <v>34157</v>
      </c>
      <c r="Q612" s="5">
        <f t="shared" si="27"/>
        <v>83991.596638655465</v>
      </c>
      <c r="R612" s="5">
        <f t="shared" si="28"/>
        <v>34157</v>
      </c>
      <c r="S612" s="5">
        <f t="shared" si="29"/>
        <v>49834.596638655465</v>
      </c>
    </row>
    <row r="613" spans="1:19" hidden="1" x14ac:dyDescent="0.3">
      <c r="A613">
        <v>100</v>
      </c>
      <c r="B613" t="s">
        <v>16</v>
      </c>
      <c r="C613" t="s">
        <v>1444</v>
      </c>
      <c r="D613" s="2" t="s">
        <v>1445</v>
      </c>
      <c r="E613" t="s">
        <v>1446</v>
      </c>
      <c r="F613" t="s">
        <v>20</v>
      </c>
      <c r="G613" t="s">
        <v>338</v>
      </c>
      <c r="H613">
        <v>25321</v>
      </c>
      <c r="I613" t="s">
        <v>23</v>
      </c>
      <c r="J613" t="s">
        <v>35</v>
      </c>
      <c r="K613" s="2" t="s">
        <v>1365</v>
      </c>
      <c r="L613" t="s">
        <v>26</v>
      </c>
      <c r="M613">
        <v>350731</v>
      </c>
      <c r="N613">
        <v>1</v>
      </c>
      <c r="O613" s="3">
        <v>109950</v>
      </c>
      <c r="P613" s="3">
        <v>33748</v>
      </c>
      <c r="Q613" s="5">
        <f t="shared" si="27"/>
        <v>92394.957983193279</v>
      </c>
      <c r="R613" s="5">
        <f t="shared" si="28"/>
        <v>33748</v>
      </c>
      <c r="S613" s="5">
        <f t="shared" si="29"/>
        <v>58646.957983193279</v>
      </c>
    </row>
    <row r="614" spans="1:19" hidden="1" x14ac:dyDescent="0.3">
      <c r="A614">
        <v>100</v>
      </c>
      <c r="B614" t="s">
        <v>16</v>
      </c>
      <c r="C614" t="s">
        <v>1447</v>
      </c>
      <c r="D614" s="2" t="s">
        <v>1448</v>
      </c>
      <c r="E614" t="s">
        <v>1449</v>
      </c>
      <c r="F614" t="s">
        <v>20</v>
      </c>
      <c r="G614" t="s">
        <v>21</v>
      </c>
      <c r="H614" t="s">
        <v>1096</v>
      </c>
      <c r="I614" t="s">
        <v>23</v>
      </c>
      <c r="J614" t="s">
        <v>35</v>
      </c>
      <c r="K614" s="2" t="s">
        <v>1450</v>
      </c>
      <c r="L614" t="s">
        <v>26</v>
      </c>
      <c r="M614">
        <v>350732</v>
      </c>
      <c r="N614">
        <v>1</v>
      </c>
      <c r="O614" s="3">
        <v>59990</v>
      </c>
      <c r="P614" s="3">
        <v>35671</v>
      </c>
      <c r="Q614" s="5">
        <f t="shared" si="27"/>
        <v>50411.764705882357</v>
      </c>
      <c r="R614" s="5">
        <f t="shared" si="28"/>
        <v>35671</v>
      </c>
      <c r="S614" s="5">
        <f t="shared" si="29"/>
        <v>14740.764705882357</v>
      </c>
    </row>
    <row r="615" spans="1:19" hidden="1" x14ac:dyDescent="0.3">
      <c r="A615">
        <v>100</v>
      </c>
      <c r="B615" t="s">
        <v>16</v>
      </c>
      <c r="C615" t="s">
        <v>882</v>
      </c>
      <c r="D615" s="2" t="s">
        <v>883</v>
      </c>
      <c r="E615" t="s">
        <v>884</v>
      </c>
      <c r="F615" t="s">
        <v>20</v>
      </c>
      <c r="G615" t="s">
        <v>21</v>
      </c>
      <c r="H615" t="s">
        <v>48</v>
      </c>
      <c r="I615" t="s">
        <v>23</v>
      </c>
      <c r="J615" t="s">
        <v>49</v>
      </c>
      <c r="K615" s="2" t="s">
        <v>1450</v>
      </c>
      <c r="L615" t="s">
        <v>26</v>
      </c>
      <c r="M615">
        <v>350733</v>
      </c>
      <c r="N615">
        <v>1</v>
      </c>
      <c r="O615" s="3">
        <v>39990</v>
      </c>
      <c r="P615" s="3">
        <v>26043</v>
      </c>
      <c r="Q615" s="5">
        <f t="shared" si="27"/>
        <v>33605.042016806721</v>
      </c>
      <c r="R615" s="5">
        <f t="shared" si="28"/>
        <v>26043</v>
      </c>
      <c r="S615" s="5">
        <f t="shared" si="29"/>
        <v>7562.0420168067212</v>
      </c>
    </row>
    <row r="616" spans="1:19" hidden="1" x14ac:dyDescent="0.3">
      <c r="A616">
        <v>100</v>
      </c>
      <c r="B616" t="s">
        <v>16</v>
      </c>
      <c r="C616" t="s">
        <v>1451</v>
      </c>
      <c r="D616" s="2" t="s">
        <v>1452</v>
      </c>
      <c r="E616" t="s">
        <v>1453</v>
      </c>
      <c r="F616" t="s">
        <v>20</v>
      </c>
      <c r="G616" t="s">
        <v>338</v>
      </c>
      <c r="H616">
        <v>22410</v>
      </c>
      <c r="I616" t="s">
        <v>23</v>
      </c>
      <c r="J616" t="s">
        <v>49</v>
      </c>
      <c r="K616" s="2" t="s">
        <v>1450</v>
      </c>
      <c r="L616" t="s">
        <v>26</v>
      </c>
      <c r="M616">
        <v>350734</v>
      </c>
      <c r="N616">
        <v>1</v>
      </c>
      <c r="O616" s="3">
        <v>69950</v>
      </c>
      <c r="P616" s="3">
        <v>20848</v>
      </c>
      <c r="Q616" s="5">
        <f t="shared" si="27"/>
        <v>58781.512605042022</v>
      </c>
      <c r="R616" s="5">
        <f t="shared" si="28"/>
        <v>20848</v>
      </c>
      <c r="S616" s="5">
        <f t="shared" si="29"/>
        <v>37933.512605042022</v>
      </c>
    </row>
    <row r="617" spans="1:19" hidden="1" x14ac:dyDescent="0.3">
      <c r="A617">
        <v>100</v>
      </c>
      <c r="B617" t="s">
        <v>16</v>
      </c>
      <c r="C617" t="s">
        <v>1454</v>
      </c>
      <c r="D617" s="2" t="s">
        <v>1455</v>
      </c>
      <c r="E617" t="s">
        <v>1456</v>
      </c>
      <c r="F617" t="s">
        <v>20</v>
      </c>
      <c r="G617" t="s">
        <v>21</v>
      </c>
      <c r="H617" t="s">
        <v>1457</v>
      </c>
      <c r="I617" t="s">
        <v>23</v>
      </c>
      <c r="J617" t="s">
        <v>40</v>
      </c>
      <c r="K617" s="2" t="s">
        <v>1450</v>
      </c>
      <c r="L617" t="s">
        <v>26</v>
      </c>
      <c r="M617">
        <v>350735</v>
      </c>
      <c r="N617">
        <v>1</v>
      </c>
      <c r="O617" s="3">
        <v>34990</v>
      </c>
      <c r="P617" s="3">
        <v>14950</v>
      </c>
      <c r="Q617" s="5">
        <f t="shared" si="27"/>
        <v>29403.361344537818</v>
      </c>
      <c r="R617" s="5">
        <f t="shared" si="28"/>
        <v>14950</v>
      </c>
      <c r="S617" s="5">
        <f t="shared" si="29"/>
        <v>14453.361344537818</v>
      </c>
    </row>
    <row r="618" spans="1:19" hidden="1" x14ac:dyDescent="0.3">
      <c r="A618">
        <v>100</v>
      </c>
      <c r="B618" t="s">
        <v>16</v>
      </c>
      <c r="C618" t="s">
        <v>1458</v>
      </c>
      <c r="D618" s="2" t="s">
        <v>1459</v>
      </c>
      <c r="E618" t="s">
        <v>1460</v>
      </c>
      <c r="F618" t="s">
        <v>20</v>
      </c>
      <c r="G618" t="s">
        <v>21</v>
      </c>
      <c r="H618" t="s">
        <v>131</v>
      </c>
      <c r="I618" t="s">
        <v>23</v>
      </c>
      <c r="J618" t="s">
        <v>49</v>
      </c>
      <c r="K618" s="2" t="s">
        <v>1450</v>
      </c>
      <c r="L618" t="s">
        <v>26</v>
      </c>
      <c r="M618">
        <v>350736</v>
      </c>
      <c r="N618">
        <v>1</v>
      </c>
      <c r="O618" s="3">
        <v>39990</v>
      </c>
      <c r="P618" s="3">
        <v>24234</v>
      </c>
      <c r="Q618" s="5">
        <f t="shared" si="27"/>
        <v>33605.042016806721</v>
      </c>
      <c r="R618" s="5">
        <f t="shared" si="28"/>
        <v>24234</v>
      </c>
      <c r="S618" s="5">
        <f t="shared" si="29"/>
        <v>9371.0420168067212</v>
      </c>
    </row>
    <row r="619" spans="1:19" hidden="1" x14ac:dyDescent="0.3">
      <c r="A619">
        <v>100</v>
      </c>
      <c r="B619" t="s">
        <v>16</v>
      </c>
      <c r="C619" t="s">
        <v>1461</v>
      </c>
      <c r="D619" s="2" t="s">
        <v>1462</v>
      </c>
      <c r="E619" t="s">
        <v>1463</v>
      </c>
      <c r="F619" t="s">
        <v>20</v>
      </c>
      <c r="G619" t="s">
        <v>21</v>
      </c>
      <c r="H619" t="s">
        <v>461</v>
      </c>
      <c r="I619" t="s">
        <v>23</v>
      </c>
      <c r="J619" t="s">
        <v>35</v>
      </c>
      <c r="K619" s="2" t="s">
        <v>1450</v>
      </c>
      <c r="L619" t="s">
        <v>26</v>
      </c>
      <c r="M619">
        <v>350737</v>
      </c>
      <c r="N619">
        <v>1</v>
      </c>
      <c r="O619" s="3">
        <v>59990</v>
      </c>
      <c r="P619" s="3">
        <v>29027</v>
      </c>
      <c r="Q619" s="5">
        <f t="shared" si="27"/>
        <v>50411.764705882357</v>
      </c>
      <c r="R619" s="5">
        <f t="shared" si="28"/>
        <v>29027</v>
      </c>
      <c r="S619" s="5">
        <f t="shared" si="29"/>
        <v>21384.764705882357</v>
      </c>
    </row>
    <row r="620" spans="1:19" hidden="1" x14ac:dyDescent="0.3">
      <c r="A620">
        <v>100</v>
      </c>
      <c r="B620" t="s">
        <v>16</v>
      </c>
      <c r="C620" t="s">
        <v>1331</v>
      </c>
      <c r="D620" s="2" t="s">
        <v>1332</v>
      </c>
      <c r="E620" t="s">
        <v>1333</v>
      </c>
      <c r="F620" t="s">
        <v>20</v>
      </c>
      <c r="G620" t="s">
        <v>21</v>
      </c>
      <c r="H620" t="s">
        <v>114</v>
      </c>
      <c r="I620" t="s">
        <v>23</v>
      </c>
      <c r="J620" t="s">
        <v>49</v>
      </c>
      <c r="K620" s="2" t="s">
        <v>1450</v>
      </c>
      <c r="L620" t="s">
        <v>26</v>
      </c>
      <c r="M620">
        <v>350738</v>
      </c>
      <c r="N620">
        <v>1</v>
      </c>
      <c r="O620" s="3">
        <v>49990</v>
      </c>
      <c r="P620" s="3">
        <v>24350</v>
      </c>
      <c r="Q620" s="5">
        <f t="shared" si="27"/>
        <v>42008.403361344543</v>
      </c>
      <c r="R620" s="5">
        <f t="shared" si="28"/>
        <v>24350</v>
      </c>
      <c r="S620" s="5">
        <f t="shared" si="29"/>
        <v>17658.403361344543</v>
      </c>
    </row>
    <row r="621" spans="1:19" hidden="1" x14ac:dyDescent="0.3">
      <c r="A621">
        <v>100</v>
      </c>
      <c r="B621" t="s">
        <v>16</v>
      </c>
      <c r="C621" t="s">
        <v>1464</v>
      </c>
      <c r="D621" s="2" t="s">
        <v>1465</v>
      </c>
      <c r="E621" t="s">
        <v>1466</v>
      </c>
      <c r="F621" t="s">
        <v>20</v>
      </c>
      <c r="G621" t="s">
        <v>21</v>
      </c>
      <c r="H621" t="s">
        <v>65</v>
      </c>
      <c r="I621" t="s">
        <v>23</v>
      </c>
      <c r="J621" t="s">
        <v>49</v>
      </c>
      <c r="K621" s="2" t="s">
        <v>1450</v>
      </c>
      <c r="L621" t="s">
        <v>26</v>
      </c>
      <c r="M621">
        <v>350739</v>
      </c>
      <c r="N621">
        <v>1</v>
      </c>
      <c r="O621" s="3">
        <v>64950</v>
      </c>
      <c r="P621" s="3">
        <v>18663</v>
      </c>
      <c r="Q621" s="5">
        <f t="shared" si="27"/>
        <v>54579.831932773115</v>
      </c>
      <c r="R621" s="5">
        <f t="shared" si="28"/>
        <v>18663</v>
      </c>
      <c r="S621" s="5">
        <f t="shared" si="29"/>
        <v>35916.831932773115</v>
      </c>
    </row>
    <row r="622" spans="1:19" hidden="1" x14ac:dyDescent="0.3">
      <c r="A622">
        <v>100</v>
      </c>
      <c r="B622" t="s">
        <v>16</v>
      </c>
      <c r="C622" t="s">
        <v>1467</v>
      </c>
      <c r="D622" s="2" t="s">
        <v>1468</v>
      </c>
      <c r="E622" t="s">
        <v>678</v>
      </c>
      <c r="F622" t="s">
        <v>20</v>
      </c>
      <c r="G622" t="s">
        <v>21</v>
      </c>
      <c r="H622" t="s">
        <v>22</v>
      </c>
      <c r="I622" t="s">
        <v>23</v>
      </c>
      <c r="J622" t="s">
        <v>31</v>
      </c>
      <c r="K622" s="2" t="s">
        <v>1450</v>
      </c>
      <c r="L622" t="s">
        <v>26</v>
      </c>
      <c r="M622">
        <v>350740</v>
      </c>
      <c r="N622">
        <v>1</v>
      </c>
      <c r="O622" s="3">
        <v>84990</v>
      </c>
      <c r="P622" s="3">
        <v>49625</v>
      </c>
      <c r="Q622" s="5">
        <f t="shared" si="27"/>
        <v>71420.168067226899</v>
      </c>
      <c r="R622" s="5">
        <f t="shared" si="28"/>
        <v>49625</v>
      </c>
      <c r="S622" s="5">
        <f t="shared" si="29"/>
        <v>21795.168067226899</v>
      </c>
    </row>
    <row r="623" spans="1:19" hidden="1" x14ac:dyDescent="0.3">
      <c r="A623">
        <v>100</v>
      </c>
      <c r="B623" t="s">
        <v>16</v>
      </c>
      <c r="C623" t="s">
        <v>787</v>
      </c>
      <c r="D623" s="2" t="s">
        <v>788</v>
      </c>
      <c r="E623" t="s">
        <v>789</v>
      </c>
      <c r="F623" t="s">
        <v>20</v>
      </c>
      <c r="G623" t="s">
        <v>21</v>
      </c>
      <c r="H623" t="s">
        <v>790</v>
      </c>
      <c r="I623" t="s">
        <v>23</v>
      </c>
      <c r="J623" t="s">
        <v>40</v>
      </c>
      <c r="K623" s="2" t="s">
        <v>1450</v>
      </c>
      <c r="L623" t="s">
        <v>26</v>
      </c>
      <c r="M623">
        <v>350741</v>
      </c>
      <c r="N623">
        <v>1</v>
      </c>
      <c r="O623" s="3">
        <v>79950</v>
      </c>
      <c r="P623" s="3">
        <v>30692</v>
      </c>
      <c r="Q623" s="5">
        <f t="shared" si="27"/>
        <v>67184.873949579836</v>
      </c>
      <c r="R623" s="5">
        <f t="shared" si="28"/>
        <v>30692</v>
      </c>
      <c r="S623" s="5">
        <f t="shared" si="29"/>
        <v>36492.873949579836</v>
      </c>
    </row>
    <row r="624" spans="1:19" hidden="1" x14ac:dyDescent="0.3">
      <c r="A624">
        <v>100</v>
      </c>
      <c r="B624" t="s">
        <v>16</v>
      </c>
      <c r="C624" t="s">
        <v>1469</v>
      </c>
      <c r="D624" s="2" t="s">
        <v>1470</v>
      </c>
      <c r="E624" t="s">
        <v>1471</v>
      </c>
      <c r="F624" t="s">
        <v>20</v>
      </c>
      <c r="G624" t="s">
        <v>21</v>
      </c>
      <c r="H624" t="s">
        <v>180</v>
      </c>
      <c r="I624" t="s">
        <v>23</v>
      </c>
      <c r="J624" t="s">
        <v>49</v>
      </c>
      <c r="K624" s="2" t="s">
        <v>1450</v>
      </c>
      <c r="L624" t="s">
        <v>26</v>
      </c>
      <c r="M624">
        <v>350742</v>
      </c>
      <c r="N624">
        <v>1</v>
      </c>
      <c r="O624" s="3">
        <v>34990</v>
      </c>
      <c r="P624" s="3">
        <v>23549</v>
      </c>
      <c r="Q624" s="5">
        <f t="shared" si="27"/>
        <v>29403.361344537818</v>
      </c>
      <c r="R624" s="5">
        <f t="shared" si="28"/>
        <v>23549</v>
      </c>
      <c r="S624" s="5">
        <f t="shared" si="29"/>
        <v>5854.3613445378178</v>
      </c>
    </row>
    <row r="625" spans="1:19" hidden="1" x14ac:dyDescent="0.3">
      <c r="A625">
        <v>100</v>
      </c>
      <c r="B625" t="s">
        <v>16</v>
      </c>
      <c r="C625" t="s">
        <v>1472</v>
      </c>
      <c r="D625" s="2" t="s">
        <v>1473</v>
      </c>
      <c r="E625" t="s">
        <v>1474</v>
      </c>
      <c r="F625" t="s">
        <v>20</v>
      </c>
      <c r="G625" t="s">
        <v>21</v>
      </c>
      <c r="H625" t="s">
        <v>65</v>
      </c>
      <c r="I625" t="s">
        <v>23</v>
      </c>
      <c r="J625" t="s">
        <v>49</v>
      </c>
      <c r="K625" s="2" t="s">
        <v>1450</v>
      </c>
      <c r="L625" t="s">
        <v>26</v>
      </c>
      <c r="M625">
        <v>350743</v>
      </c>
      <c r="N625">
        <v>1</v>
      </c>
      <c r="O625" s="3">
        <v>39990</v>
      </c>
      <c r="P625" s="3">
        <v>22902</v>
      </c>
      <c r="Q625" s="5">
        <f t="shared" si="27"/>
        <v>33605.042016806721</v>
      </c>
      <c r="R625" s="5">
        <f t="shared" si="28"/>
        <v>22902</v>
      </c>
      <c r="S625" s="5">
        <f t="shared" si="29"/>
        <v>10703.042016806721</v>
      </c>
    </row>
    <row r="626" spans="1:19" hidden="1" x14ac:dyDescent="0.3">
      <c r="A626">
        <v>100</v>
      </c>
      <c r="B626" t="s">
        <v>16</v>
      </c>
      <c r="C626" t="s">
        <v>1475</v>
      </c>
      <c r="D626" s="2" t="s">
        <v>1476</v>
      </c>
      <c r="E626" t="s">
        <v>388</v>
      </c>
      <c r="F626" t="s">
        <v>20</v>
      </c>
      <c r="G626" t="s">
        <v>21</v>
      </c>
      <c r="H626" t="s">
        <v>171</v>
      </c>
      <c r="I626" t="s">
        <v>23</v>
      </c>
      <c r="J626" t="s">
        <v>40</v>
      </c>
      <c r="K626" s="2" t="s">
        <v>1450</v>
      </c>
      <c r="L626" t="s">
        <v>26</v>
      </c>
      <c r="M626">
        <v>350744</v>
      </c>
      <c r="N626">
        <v>1</v>
      </c>
      <c r="O626" s="3">
        <v>39990</v>
      </c>
      <c r="P626" s="3">
        <v>27733</v>
      </c>
      <c r="Q626" s="5">
        <f t="shared" si="27"/>
        <v>33605.042016806721</v>
      </c>
      <c r="R626" s="5">
        <f t="shared" si="28"/>
        <v>27733</v>
      </c>
      <c r="S626" s="5">
        <f t="shared" si="29"/>
        <v>5872.0420168067212</v>
      </c>
    </row>
    <row r="627" spans="1:19" hidden="1" x14ac:dyDescent="0.3">
      <c r="A627">
        <v>100</v>
      </c>
      <c r="B627" t="s">
        <v>16</v>
      </c>
      <c r="C627" t="s">
        <v>490</v>
      </c>
      <c r="D627" s="2" t="s">
        <v>491</v>
      </c>
      <c r="E627" t="s">
        <v>439</v>
      </c>
      <c r="F627" t="s">
        <v>20</v>
      </c>
      <c r="G627" t="s">
        <v>21</v>
      </c>
      <c r="H627" t="s">
        <v>122</v>
      </c>
      <c r="I627" t="s">
        <v>23</v>
      </c>
      <c r="J627" t="s">
        <v>35</v>
      </c>
      <c r="K627" s="2" t="s">
        <v>1450</v>
      </c>
      <c r="L627" t="s">
        <v>26</v>
      </c>
      <c r="M627">
        <v>350745</v>
      </c>
      <c r="N627">
        <v>1</v>
      </c>
      <c r="O627" s="3">
        <v>49990</v>
      </c>
      <c r="P627" s="3">
        <v>31951</v>
      </c>
      <c r="Q627" s="5">
        <f t="shared" si="27"/>
        <v>42008.403361344543</v>
      </c>
      <c r="R627" s="5">
        <f t="shared" si="28"/>
        <v>31951</v>
      </c>
      <c r="S627" s="5">
        <f t="shared" si="29"/>
        <v>10057.403361344543</v>
      </c>
    </row>
    <row r="628" spans="1:19" hidden="1" x14ac:dyDescent="0.3">
      <c r="A628">
        <v>100</v>
      </c>
      <c r="B628" t="s">
        <v>16</v>
      </c>
      <c r="C628" t="s">
        <v>279</v>
      </c>
      <c r="D628" s="2" t="s">
        <v>280</v>
      </c>
      <c r="E628" t="s">
        <v>281</v>
      </c>
      <c r="F628" t="s">
        <v>20</v>
      </c>
      <c r="G628" t="s">
        <v>21</v>
      </c>
      <c r="H628" t="s">
        <v>122</v>
      </c>
      <c r="I628" t="s">
        <v>23</v>
      </c>
      <c r="J628" t="s">
        <v>35</v>
      </c>
      <c r="K628" s="2" t="s">
        <v>1450</v>
      </c>
      <c r="L628" t="s">
        <v>26</v>
      </c>
      <c r="M628">
        <v>350746</v>
      </c>
      <c r="N628">
        <v>1</v>
      </c>
      <c r="O628" s="3">
        <v>49990</v>
      </c>
      <c r="P628" s="3">
        <v>31952</v>
      </c>
      <c r="Q628" s="5">
        <f t="shared" si="27"/>
        <v>42008.403361344543</v>
      </c>
      <c r="R628" s="5">
        <f t="shared" si="28"/>
        <v>31952</v>
      </c>
      <c r="S628" s="5">
        <f t="shared" si="29"/>
        <v>10056.403361344543</v>
      </c>
    </row>
    <row r="629" spans="1:19" hidden="1" x14ac:dyDescent="0.3">
      <c r="A629">
        <v>100</v>
      </c>
      <c r="B629" t="s">
        <v>16</v>
      </c>
      <c r="C629" t="s">
        <v>1477</v>
      </c>
      <c r="D629" s="2" t="s">
        <v>1478</v>
      </c>
      <c r="E629" t="s">
        <v>467</v>
      </c>
      <c r="F629" t="s">
        <v>20</v>
      </c>
      <c r="G629" t="s">
        <v>21</v>
      </c>
      <c r="H629" t="s">
        <v>171</v>
      </c>
      <c r="I629" t="s">
        <v>23</v>
      </c>
      <c r="J629" t="s">
        <v>40</v>
      </c>
      <c r="K629" s="2" t="s">
        <v>1450</v>
      </c>
      <c r="L629" t="s">
        <v>26</v>
      </c>
      <c r="M629">
        <v>350747</v>
      </c>
      <c r="N629">
        <v>1</v>
      </c>
      <c r="O629" s="3">
        <v>59990</v>
      </c>
      <c r="P629" s="3">
        <v>29948</v>
      </c>
      <c r="Q629" s="5">
        <f t="shared" si="27"/>
        <v>50411.764705882357</v>
      </c>
      <c r="R629" s="5">
        <f t="shared" si="28"/>
        <v>29948</v>
      </c>
      <c r="S629" s="5">
        <f t="shared" si="29"/>
        <v>20463.764705882357</v>
      </c>
    </row>
    <row r="630" spans="1:19" hidden="1" x14ac:dyDescent="0.3">
      <c r="A630">
        <v>100</v>
      </c>
      <c r="B630" t="s">
        <v>16</v>
      </c>
      <c r="C630" t="s">
        <v>791</v>
      </c>
      <c r="D630" s="2" t="s">
        <v>792</v>
      </c>
      <c r="E630" t="s">
        <v>793</v>
      </c>
      <c r="F630" t="s">
        <v>20</v>
      </c>
      <c r="G630" t="s">
        <v>21</v>
      </c>
      <c r="H630" t="s">
        <v>794</v>
      </c>
      <c r="I630" t="s">
        <v>23</v>
      </c>
      <c r="J630" t="s">
        <v>40</v>
      </c>
      <c r="K630" s="2" t="s">
        <v>1450</v>
      </c>
      <c r="L630" t="s">
        <v>26</v>
      </c>
      <c r="M630">
        <v>350748</v>
      </c>
      <c r="N630">
        <v>1</v>
      </c>
      <c r="O630" s="3">
        <v>49990</v>
      </c>
      <c r="P630" s="3">
        <v>21475</v>
      </c>
      <c r="Q630" s="5">
        <f t="shared" si="27"/>
        <v>42008.403361344543</v>
      </c>
      <c r="R630" s="5">
        <f t="shared" si="28"/>
        <v>21475</v>
      </c>
      <c r="S630" s="5">
        <f t="shared" si="29"/>
        <v>20533.403361344543</v>
      </c>
    </row>
    <row r="631" spans="1:19" hidden="1" x14ac:dyDescent="0.3">
      <c r="A631">
        <v>100</v>
      </c>
      <c r="B631" t="s">
        <v>16</v>
      </c>
      <c r="C631" t="s">
        <v>1233</v>
      </c>
      <c r="D631" s="2" t="s">
        <v>1234</v>
      </c>
      <c r="E631" t="s">
        <v>884</v>
      </c>
      <c r="F631" t="s">
        <v>20</v>
      </c>
      <c r="G631" t="s">
        <v>21</v>
      </c>
      <c r="H631" t="s">
        <v>48</v>
      </c>
      <c r="I631" t="s">
        <v>23</v>
      </c>
      <c r="J631" t="s">
        <v>49</v>
      </c>
      <c r="K631" s="2" t="s">
        <v>1450</v>
      </c>
      <c r="L631" t="s">
        <v>26</v>
      </c>
      <c r="M631">
        <v>350749</v>
      </c>
      <c r="N631">
        <v>1</v>
      </c>
      <c r="O631" s="3">
        <v>39990</v>
      </c>
      <c r="P631" s="3">
        <v>26244</v>
      </c>
      <c r="Q631" s="5">
        <f t="shared" si="27"/>
        <v>33605.042016806721</v>
      </c>
      <c r="R631" s="5">
        <f t="shared" si="28"/>
        <v>26244</v>
      </c>
      <c r="S631" s="5">
        <f t="shared" si="29"/>
        <v>7361.0420168067212</v>
      </c>
    </row>
    <row r="632" spans="1:19" hidden="1" x14ac:dyDescent="0.3">
      <c r="A632">
        <v>100</v>
      </c>
      <c r="B632" t="s">
        <v>16</v>
      </c>
      <c r="C632" t="s">
        <v>146</v>
      </c>
      <c r="D632" s="2" t="s">
        <v>147</v>
      </c>
      <c r="E632" t="s">
        <v>148</v>
      </c>
      <c r="F632" t="s">
        <v>20</v>
      </c>
      <c r="G632" t="s">
        <v>21</v>
      </c>
      <c r="H632" t="s">
        <v>114</v>
      </c>
      <c r="I632" t="s">
        <v>23</v>
      </c>
      <c r="J632" t="s">
        <v>31</v>
      </c>
      <c r="K632" s="2" t="s">
        <v>1450</v>
      </c>
      <c r="L632" t="s">
        <v>26</v>
      </c>
      <c r="M632">
        <v>350750</v>
      </c>
      <c r="N632">
        <v>1</v>
      </c>
      <c r="O632" s="3">
        <v>59990</v>
      </c>
      <c r="P632" s="3">
        <v>28912</v>
      </c>
      <c r="Q632" s="5">
        <f t="shared" si="27"/>
        <v>50411.764705882357</v>
      </c>
      <c r="R632" s="5">
        <f t="shared" si="28"/>
        <v>28912</v>
      </c>
      <c r="S632" s="5">
        <f t="shared" si="29"/>
        <v>21499.764705882357</v>
      </c>
    </row>
    <row r="633" spans="1:19" hidden="1" x14ac:dyDescent="0.3">
      <c r="A633">
        <v>100</v>
      </c>
      <c r="B633" t="s">
        <v>16</v>
      </c>
      <c r="C633" t="s">
        <v>1342</v>
      </c>
      <c r="D633" s="2" t="s">
        <v>1343</v>
      </c>
      <c r="E633" t="s">
        <v>1344</v>
      </c>
      <c r="F633" t="s">
        <v>20</v>
      </c>
      <c r="G633" t="s">
        <v>21</v>
      </c>
      <c r="H633" t="s">
        <v>1345</v>
      </c>
      <c r="I633" t="s">
        <v>23</v>
      </c>
      <c r="J633" t="s">
        <v>40</v>
      </c>
      <c r="K633" s="2" t="s">
        <v>1450</v>
      </c>
      <c r="L633" t="s">
        <v>26</v>
      </c>
      <c r="M633">
        <v>350751</v>
      </c>
      <c r="N633">
        <v>1</v>
      </c>
      <c r="O633" s="3">
        <v>29990</v>
      </c>
      <c r="P633" s="3">
        <v>17216</v>
      </c>
      <c r="Q633" s="5">
        <f t="shared" si="27"/>
        <v>25201.680672268907</v>
      </c>
      <c r="R633" s="5">
        <f t="shared" si="28"/>
        <v>17216</v>
      </c>
      <c r="S633" s="5">
        <f t="shared" si="29"/>
        <v>7985.6806722689071</v>
      </c>
    </row>
    <row r="634" spans="1:19" hidden="1" x14ac:dyDescent="0.3">
      <c r="A634">
        <v>100</v>
      </c>
      <c r="B634" t="s">
        <v>16</v>
      </c>
      <c r="C634" t="s">
        <v>543</v>
      </c>
      <c r="D634" s="2" t="s">
        <v>544</v>
      </c>
      <c r="E634" t="s">
        <v>545</v>
      </c>
      <c r="F634" t="s">
        <v>20</v>
      </c>
      <c r="G634" t="s">
        <v>21</v>
      </c>
      <c r="H634" t="s">
        <v>368</v>
      </c>
      <c r="I634" t="s">
        <v>23</v>
      </c>
      <c r="J634" t="s">
        <v>40</v>
      </c>
      <c r="K634" s="2" t="s">
        <v>1450</v>
      </c>
      <c r="L634" t="s">
        <v>26</v>
      </c>
      <c r="M634">
        <v>350752</v>
      </c>
      <c r="N634">
        <v>1</v>
      </c>
      <c r="O634" s="3">
        <v>39990</v>
      </c>
      <c r="P634" s="3">
        <v>24060</v>
      </c>
      <c r="Q634" s="5">
        <f t="shared" si="27"/>
        <v>33605.042016806721</v>
      </c>
      <c r="R634" s="5">
        <f t="shared" si="28"/>
        <v>24060</v>
      </c>
      <c r="S634" s="5">
        <f t="shared" si="29"/>
        <v>9545.0420168067212</v>
      </c>
    </row>
    <row r="635" spans="1:19" hidden="1" x14ac:dyDescent="0.3">
      <c r="A635">
        <v>100</v>
      </c>
      <c r="B635" t="s">
        <v>16</v>
      </c>
      <c r="C635">
        <v>1687976791</v>
      </c>
      <c r="D635" s="2" t="s">
        <v>200</v>
      </c>
      <c r="E635" t="s">
        <v>201</v>
      </c>
      <c r="F635" t="s">
        <v>201</v>
      </c>
      <c r="G635" t="s">
        <v>202</v>
      </c>
      <c r="H635" t="s">
        <v>202</v>
      </c>
      <c r="I635" t="s">
        <v>23</v>
      </c>
      <c r="J635" t="s">
        <v>202</v>
      </c>
      <c r="K635" s="2" t="s">
        <v>1450</v>
      </c>
      <c r="L635" t="s">
        <v>26</v>
      </c>
      <c r="M635">
        <v>350753</v>
      </c>
      <c r="N635">
        <v>1</v>
      </c>
      <c r="O635" s="3">
        <v>3400</v>
      </c>
      <c r="P635">
        <v>1</v>
      </c>
      <c r="Q635" s="5">
        <f t="shared" si="27"/>
        <v>2857.1428571428573</v>
      </c>
      <c r="R635" s="5">
        <f t="shared" si="28"/>
        <v>1</v>
      </c>
      <c r="S635" s="5">
        <f t="shared" si="29"/>
        <v>2856.1428571428573</v>
      </c>
    </row>
    <row r="636" spans="1:19" hidden="1" x14ac:dyDescent="0.3">
      <c r="A636">
        <v>100</v>
      </c>
      <c r="B636" t="s">
        <v>16</v>
      </c>
      <c r="C636" t="s">
        <v>1479</v>
      </c>
      <c r="D636" s="2" t="s">
        <v>1480</v>
      </c>
      <c r="E636" t="s">
        <v>1481</v>
      </c>
      <c r="F636" t="s">
        <v>20</v>
      </c>
      <c r="G636" t="s">
        <v>21</v>
      </c>
      <c r="H636" t="s">
        <v>331</v>
      </c>
      <c r="I636" t="s">
        <v>23</v>
      </c>
      <c r="J636" t="s">
        <v>49</v>
      </c>
      <c r="K636" s="2" t="s">
        <v>1450</v>
      </c>
      <c r="L636" t="s">
        <v>26</v>
      </c>
      <c r="M636">
        <v>350753</v>
      </c>
      <c r="N636">
        <v>1</v>
      </c>
      <c r="O636" s="3">
        <v>39990</v>
      </c>
      <c r="P636" s="3">
        <v>26852</v>
      </c>
      <c r="Q636" s="5">
        <f t="shared" si="27"/>
        <v>33605.042016806721</v>
      </c>
      <c r="R636" s="5">
        <f t="shared" si="28"/>
        <v>26852</v>
      </c>
      <c r="S636" s="5">
        <f t="shared" si="29"/>
        <v>6753.0420168067212</v>
      </c>
    </row>
    <row r="637" spans="1:19" hidden="1" x14ac:dyDescent="0.3">
      <c r="A637">
        <v>100</v>
      </c>
      <c r="B637" t="s">
        <v>16</v>
      </c>
      <c r="C637">
        <v>1687976791</v>
      </c>
      <c r="D637" s="2" t="s">
        <v>200</v>
      </c>
      <c r="E637" t="s">
        <v>201</v>
      </c>
      <c r="F637" t="s">
        <v>201</v>
      </c>
      <c r="G637" t="s">
        <v>202</v>
      </c>
      <c r="H637" t="s">
        <v>202</v>
      </c>
      <c r="I637" t="s">
        <v>23</v>
      </c>
      <c r="J637" t="s">
        <v>202</v>
      </c>
      <c r="K637" s="2" t="s">
        <v>1450</v>
      </c>
      <c r="L637" t="s">
        <v>26</v>
      </c>
      <c r="M637">
        <v>350754</v>
      </c>
      <c r="N637">
        <v>1</v>
      </c>
      <c r="O637" s="3">
        <v>3400</v>
      </c>
      <c r="P637">
        <v>1</v>
      </c>
      <c r="Q637" s="5">
        <f t="shared" si="27"/>
        <v>2857.1428571428573</v>
      </c>
      <c r="R637" s="5">
        <f t="shared" si="28"/>
        <v>1</v>
      </c>
      <c r="S637" s="5">
        <f t="shared" si="29"/>
        <v>2856.1428571428573</v>
      </c>
    </row>
    <row r="638" spans="1:19" hidden="1" x14ac:dyDescent="0.3">
      <c r="A638">
        <v>100</v>
      </c>
      <c r="B638" t="s">
        <v>16</v>
      </c>
      <c r="C638" t="s">
        <v>1482</v>
      </c>
      <c r="D638" s="2" t="s">
        <v>1483</v>
      </c>
      <c r="E638" t="s">
        <v>43</v>
      </c>
      <c r="F638" t="s">
        <v>20</v>
      </c>
      <c r="G638" t="s">
        <v>21</v>
      </c>
      <c r="H638" t="s">
        <v>44</v>
      </c>
      <c r="I638" t="s">
        <v>23</v>
      </c>
      <c r="J638" t="s">
        <v>40</v>
      </c>
      <c r="K638" s="2" t="s">
        <v>1450</v>
      </c>
      <c r="L638" t="s">
        <v>26</v>
      </c>
      <c r="M638">
        <v>350754</v>
      </c>
      <c r="N638">
        <v>1</v>
      </c>
      <c r="O638" s="3">
        <v>39990</v>
      </c>
      <c r="P638" s="3">
        <v>15368</v>
      </c>
      <c r="Q638" s="5">
        <f t="shared" si="27"/>
        <v>33605.042016806721</v>
      </c>
      <c r="R638" s="5">
        <f t="shared" si="28"/>
        <v>15368</v>
      </c>
      <c r="S638" s="5">
        <f t="shared" si="29"/>
        <v>18237.042016806721</v>
      </c>
    </row>
    <row r="639" spans="1:19" hidden="1" x14ac:dyDescent="0.3">
      <c r="A639">
        <v>100</v>
      </c>
      <c r="B639" t="s">
        <v>16</v>
      </c>
      <c r="C639" t="s">
        <v>1484</v>
      </c>
      <c r="D639" s="2" t="s">
        <v>1485</v>
      </c>
      <c r="E639" t="s">
        <v>689</v>
      </c>
      <c r="F639" t="s">
        <v>20</v>
      </c>
      <c r="G639" t="s">
        <v>21</v>
      </c>
      <c r="H639" t="s">
        <v>22</v>
      </c>
      <c r="I639" t="s">
        <v>23</v>
      </c>
      <c r="J639" t="s">
        <v>24</v>
      </c>
      <c r="K639" s="2" t="s">
        <v>1450</v>
      </c>
      <c r="L639" t="s">
        <v>26</v>
      </c>
      <c r="M639">
        <v>350755</v>
      </c>
      <c r="N639">
        <v>1</v>
      </c>
      <c r="O639" s="3">
        <v>49990</v>
      </c>
      <c r="P639" s="3">
        <v>28970</v>
      </c>
      <c r="Q639" s="5">
        <f t="shared" si="27"/>
        <v>42008.403361344543</v>
      </c>
      <c r="R639" s="5">
        <f t="shared" si="28"/>
        <v>28970</v>
      </c>
      <c r="S639" s="5">
        <f t="shared" si="29"/>
        <v>13038.403361344543</v>
      </c>
    </row>
    <row r="640" spans="1:19" hidden="1" x14ac:dyDescent="0.3">
      <c r="A640">
        <v>100</v>
      </c>
      <c r="B640" t="s">
        <v>16</v>
      </c>
      <c r="C640">
        <v>1687976791</v>
      </c>
      <c r="D640" s="2" t="s">
        <v>200</v>
      </c>
      <c r="E640" t="s">
        <v>201</v>
      </c>
      <c r="F640" t="s">
        <v>201</v>
      </c>
      <c r="G640" t="s">
        <v>202</v>
      </c>
      <c r="H640" t="s">
        <v>202</v>
      </c>
      <c r="I640" t="s">
        <v>23</v>
      </c>
      <c r="J640" t="s">
        <v>202</v>
      </c>
      <c r="K640" s="2" t="s">
        <v>1450</v>
      </c>
      <c r="L640" t="s">
        <v>26</v>
      </c>
      <c r="M640">
        <v>350756</v>
      </c>
      <c r="N640">
        <v>1</v>
      </c>
      <c r="O640" s="3">
        <v>3400</v>
      </c>
      <c r="P640">
        <v>1</v>
      </c>
      <c r="Q640" s="5">
        <f t="shared" si="27"/>
        <v>2857.1428571428573</v>
      </c>
      <c r="R640" s="5">
        <f t="shared" si="28"/>
        <v>1</v>
      </c>
      <c r="S640" s="5">
        <f t="shared" si="29"/>
        <v>2856.1428571428573</v>
      </c>
    </row>
    <row r="641" spans="1:19" hidden="1" x14ac:dyDescent="0.3">
      <c r="A641">
        <v>100</v>
      </c>
      <c r="B641" t="s">
        <v>16</v>
      </c>
      <c r="C641" t="s">
        <v>1486</v>
      </c>
      <c r="D641" s="2" t="s">
        <v>1487</v>
      </c>
      <c r="E641" t="s">
        <v>1488</v>
      </c>
      <c r="F641" t="s">
        <v>20</v>
      </c>
      <c r="G641" t="s">
        <v>21</v>
      </c>
      <c r="H641" t="s">
        <v>57</v>
      </c>
      <c r="I641" t="s">
        <v>23</v>
      </c>
      <c r="J641" t="s">
        <v>35</v>
      </c>
      <c r="K641" s="2" t="s">
        <v>1450</v>
      </c>
      <c r="L641" t="s">
        <v>26</v>
      </c>
      <c r="M641">
        <v>350756</v>
      </c>
      <c r="N641">
        <v>1</v>
      </c>
      <c r="O641" s="3">
        <v>69990</v>
      </c>
      <c r="P641" s="3">
        <v>30324</v>
      </c>
      <c r="Q641" s="5">
        <f t="shared" si="27"/>
        <v>58815.126050420171</v>
      </c>
      <c r="R641" s="5">
        <f t="shared" si="28"/>
        <v>30324</v>
      </c>
      <c r="S641" s="5">
        <f t="shared" si="29"/>
        <v>28491.126050420171</v>
      </c>
    </row>
    <row r="642" spans="1:19" hidden="1" x14ac:dyDescent="0.3">
      <c r="A642">
        <v>100</v>
      </c>
      <c r="B642" t="s">
        <v>16</v>
      </c>
      <c r="C642" t="s">
        <v>1489</v>
      </c>
      <c r="D642" s="2" t="s">
        <v>1490</v>
      </c>
      <c r="E642" t="s">
        <v>1491</v>
      </c>
      <c r="F642" t="s">
        <v>20</v>
      </c>
      <c r="G642" t="s">
        <v>21</v>
      </c>
      <c r="H642" t="s">
        <v>610</v>
      </c>
      <c r="I642" t="s">
        <v>23</v>
      </c>
      <c r="J642" t="s">
        <v>40</v>
      </c>
      <c r="K642" s="2" t="s">
        <v>1450</v>
      </c>
      <c r="L642" t="s">
        <v>26</v>
      </c>
      <c r="M642">
        <v>350757</v>
      </c>
      <c r="N642">
        <v>1</v>
      </c>
      <c r="O642" s="3">
        <v>34990</v>
      </c>
      <c r="P642" s="3">
        <v>14680</v>
      </c>
      <c r="Q642" s="5">
        <f t="shared" si="27"/>
        <v>29403.361344537818</v>
      </c>
      <c r="R642" s="5">
        <f t="shared" si="28"/>
        <v>14680</v>
      </c>
      <c r="S642" s="5">
        <f t="shared" si="29"/>
        <v>14723.361344537818</v>
      </c>
    </row>
    <row r="643" spans="1:19" hidden="1" x14ac:dyDescent="0.3">
      <c r="A643">
        <v>100</v>
      </c>
      <c r="B643" t="s">
        <v>16</v>
      </c>
      <c r="C643" t="s">
        <v>1492</v>
      </c>
      <c r="D643" s="2" t="s">
        <v>1493</v>
      </c>
      <c r="E643" t="s">
        <v>1494</v>
      </c>
      <c r="F643" t="s">
        <v>20</v>
      </c>
      <c r="G643" t="s">
        <v>338</v>
      </c>
      <c r="H643">
        <v>23763</v>
      </c>
      <c r="I643" t="s">
        <v>23</v>
      </c>
      <c r="J643" t="s">
        <v>40</v>
      </c>
      <c r="K643" s="2" t="s">
        <v>1450</v>
      </c>
      <c r="L643" t="s">
        <v>26</v>
      </c>
      <c r="M643">
        <v>350758</v>
      </c>
      <c r="N643">
        <v>1</v>
      </c>
      <c r="O643" s="3">
        <v>59950</v>
      </c>
      <c r="P643" s="3">
        <v>19813</v>
      </c>
      <c r="Q643" s="5">
        <f t="shared" si="27"/>
        <v>50378.151260504201</v>
      </c>
      <c r="R643" s="5">
        <f t="shared" si="28"/>
        <v>19813</v>
      </c>
      <c r="S643" s="5">
        <f t="shared" si="29"/>
        <v>30565.151260504201</v>
      </c>
    </row>
    <row r="644" spans="1:19" hidden="1" x14ac:dyDescent="0.3">
      <c r="A644">
        <v>100</v>
      </c>
      <c r="B644" t="s">
        <v>16</v>
      </c>
      <c r="C644" t="s">
        <v>1370</v>
      </c>
      <c r="D644" s="2" t="s">
        <v>1371</v>
      </c>
      <c r="E644" t="s">
        <v>813</v>
      </c>
      <c r="F644" t="s">
        <v>20</v>
      </c>
      <c r="G644" t="s">
        <v>21</v>
      </c>
      <c r="H644" t="s">
        <v>317</v>
      </c>
      <c r="I644" t="s">
        <v>23</v>
      </c>
      <c r="J644" t="s">
        <v>207</v>
      </c>
      <c r="K644" s="2" t="s">
        <v>1450</v>
      </c>
      <c r="L644" t="s">
        <v>26</v>
      </c>
      <c r="M644">
        <v>350758</v>
      </c>
      <c r="N644">
        <v>1</v>
      </c>
      <c r="O644" s="3">
        <v>39990</v>
      </c>
      <c r="P644" s="3">
        <v>25896</v>
      </c>
      <c r="Q644" s="5">
        <f t="shared" si="27"/>
        <v>33605.042016806721</v>
      </c>
      <c r="R644" s="5">
        <f t="shared" si="28"/>
        <v>25896</v>
      </c>
      <c r="S644" s="5">
        <f t="shared" si="29"/>
        <v>7709.0420168067212</v>
      </c>
    </row>
    <row r="645" spans="1:19" hidden="1" x14ac:dyDescent="0.3">
      <c r="A645">
        <v>100</v>
      </c>
      <c r="B645" t="s">
        <v>16</v>
      </c>
      <c r="C645" t="s">
        <v>1070</v>
      </c>
      <c r="D645" s="2" t="s">
        <v>1071</v>
      </c>
      <c r="E645" t="s">
        <v>352</v>
      </c>
      <c r="F645" t="s">
        <v>20</v>
      </c>
      <c r="G645" t="s">
        <v>21</v>
      </c>
      <c r="H645" t="s">
        <v>353</v>
      </c>
      <c r="I645" t="s">
        <v>23</v>
      </c>
      <c r="J645" t="s">
        <v>95</v>
      </c>
      <c r="K645" s="2" t="s">
        <v>1450</v>
      </c>
      <c r="L645" t="s">
        <v>26</v>
      </c>
      <c r="M645">
        <v>350759</v>
      </c>
      <c r="N645">
        <v>1</v>
      </c>
      <c r="O645" s="3">
        <v>39990</v>
      </c>
      <c r="P645" s="3">
        <v>31000</v>
      </c>
      <c r="Q645" s="5">
        <f t="shared" si="27"/>
        <v>33605.042016806721</v>
      </c>
      <c r="R645" s="5">
        <f t="shared" si="28"/>
        <v>31000</v>
      </c>
      <c r="S645" s="5">
        <f t="shared" si="29"/>
        <v>2605.0420168067212</v>
      </c>
    </row>
    <row r="646" spans="1:19" hidden="1" x14ac:dyDescent="0.3">
      <c r="A646">
        <v>100</v>
      </c>
      <c r="B646" t="s">
        <v>16</v>
      </c>
      <c r="C646">
        <v>1687976791</v>
      </c>
      <c r="D646" s="2" t="s">
        <v>200</v>
      </c>
      <c r="E646" t="s">
        <v>201</v>
      </c>
      <c r="F646" t="s">
        <v>201</v>
      </c>
      <c r="G646" t="s">
        <v>202</v>
      </c>
      <c r="H646" t="s">
        <v>202</v>
      </c>
      <c r="I646" t="s">
        <v>23</v>
      </c>
      <c r="J646" t="s">
        <v>202</v>
      </c>
      <c r="K646" s="2" t="s">
        <v>1450</v>
      </c>
      <c r="L646" t="s">
        <v>26</v>
      </c>
      <c r="M646">
        <v>350759</v>
      </c>
      <c r="N646">
        <v>1</v>
      </c>
      <c r="O646" s="3">
        <v>3400</v>
      </c>
      <c r="P646">
        <v>1</v>
      </c>
      <c r="Q646" s="5">
        <f t="shared" ref="Q646:Q709" si="30">O646/1.19</f>
        <v>2857.1428571428573</v>
      </c>
      <c r="R646" s="5">
        <f t="shared" ref="R646:R709" si="31">N646*P646</f>
        <v>1</v>
      </c>
      <c r="S646" s="5">
        <f t="shared" ref="S646:S709" si="32">Q646-R646</f>
        <v>2856.1428571428573</v>
      </c>
    </row>
    <row r="647" spans="1:19" hidden="1" x14ac:dyDescent="0.3">
      <c r="A647">
        <v>100</v>
      </c>
      <c r="B647" t="s">
        <v>16</v>
      </c>
      <c r="C647" t="s">
        <v>1495</v>
      </c>
      <c r="D647" s="2" t="s">
        <v>1496</v>
      </c>
      <c r="E647" t="s">
        <v>772</v>
      </c>
      <c r="F647" t="s">
        <v>20</v>
      </c>
      <c r="G647" t="s">
        <v>21</v>
      </c>
      <c r="H647" t="s">
        <v>604</v>
      </c>
      <c r="I647" t="s">
        <v>23</v>
      </c>
      <c r="J647" t="s">
        <v>40</v>
      </c>
      <c r="K647" s="2" t="s">
        <v>1450</v>
      </c>
      <c r="L647" t="s">
        <v>26</v>
      </c>
      <c r="M647">
        <v>350760</v>
      </c>
      <c r="N647">
        <v>1</v>
      </c>
      <c r="O647" s="3">
        <v>29990</v>
      </c>
      <c r="P647" s="3">
        <v>17994</v>
      </c>
      <c r="Q647" s="5">
        <f t="shared" si="30"/>
        <v>25201.680672268907</v>
      </c>
      <c r="R647" s="5">
        <f t="shared" si="31"/>
        <v>17994</v>
      </c>
      <c r="S647" s="5">
        <f t="shared" si="32"/>
        <v>7207.6806722689071</v>
      </c>
    </row>
    <row r="648" spans="1:19" hidden="1" x14ac:dyDescent="0.3">
      <c r="A648">
        <v>100</v>
      </c>
      <c r="B648" t="s">
        <v>16</v>
      </c>
      <c r="C648">
        <v>1687976791</v>
      </c>
      <c r="D648" s="2" t="s">
        <v>200</v>
      </c>
      <c r="E648" t="s">
        <v>201</v>
      </c>
      <c r="F648" t="s">
        <v>201</v>
      </c>
      <c r="G648" t="s">
        <v>202</v>
      </c>
      <c r="H648" t="s">
        <v>202</v>
      </c>
      <c r="I648" t="s">
        <v>23</v>
      </c>
      <c r="J648" t="s">
        <v>202</v>
      </c>
      <c r="K648" s="2" t="s">
        <v>1450</v>
      </c>
      <c r="L648" t="s">
        <v>26</v>
      </c>
      <c r="M648">
        <v>350760</v>
      </c>
      <c r="N648">
        <v>1</v>
      </c>
      <c r="O648" s="3">
        <v>3400</v>
      </c>
      <c r="P648">
        <v>1</v>
      </c>
      <c r="Q648" s="5">
        <f t="shared" si="30"/>
        <v>2857.1428571428573</v>
      </c>
      <c r="R648" s="5">
        <f t="shared" si="31"/>
        <v>1</v>
      </c>
      <c r="S648" s="5">
        <f t="shared" si="32"/>
        <v>2856.1428571428573</v>
      </c>
    </row>
    <row r="649" spans="1:19" hidden="1" x14ac:dyDescent="0.3">
      <c r="A649">
        <v>100</v>
      </c>
      <c r="B649" t="s">
        <v>16</v>
      </c>
      <c r="C649" t="s">
        <v>1497</v>
      </c>
      <c r="D649" s="2" t="s">
        <v>1498</v>
      </c>
      <c r="E649" t="s">
        <v>439</v>
      </c>
      <c r="F649" t="s">
        <v>20</v>
      </c>
      <c r="G649" t="s">
        <v>21</v>
      </c>
      <c r="H649" t="s">
        <v>122</v>
      </c>
      <c r="I649" t="s">
        <v>23</v>
      </c>
      <c r="J649" t="s">
        <v>35</v>
      </c>
      <c r="K649" s="2" t="s">
        <v>1450</v>
      </c>
      <c r="L649" t="s">
        <v>26</v>
      </c>
      <c r="M649">
        <v>350761</v>
      </c>
      <c r="N649">
        <v>1</v>
      </c>
      <c r="O649" s="3">
        <v>49990</v>
      </c>
      <c r="P649" s="3">
        <v>31901</v>
      </c>
      <c r="Q649" s="5">
        <f t="shared" si="30"/>
        <v>42008.403361344543</v>
      </c>
      <c r="R649" s="5">
        <f t="shared" si="31"/>
        <v>31901</v>
      </c>
      <c r="S649" s="5">
        <f t="shared" si="32"/>
        <v>10107.403361344543</v>
      </c>
    </row>
    <row r="650" spans="1:19" hidden="1" x14ac:dyDescent="0.3">
      <c r="A650">
        <v>100</v>
      </c>
      <c r="B650" t="s">
        <v>16</v>
      </c>
      <c r="C650">
        <v>1687976791</v>
      </c>
      <c r="D650" s="2" t="s">
        <v>200</v>
      </c>
      <c r="E650" t="s">
        <v>201</v>
      </c>
      <c r="F650" t="s">
        <v>201</v>
      </c>
      <c r="G650" t="s">
        <v>202</v>
      </c>
      <c r="H650" t="s">
        <v>202</v>
      </c>
      <c r="I650" t="s">
        <v>23</v>
      </c>
      <c r="J650" t="s">
        <v>202</v>
      </c>
      <c r="K650" s="2" t="s">
        <v>1450</v>
      </c>
      <c r="L650" t="s">
        <v>26</v>
      </c>
      <c r="M650">
        <v>350761</v>
      </c>
      <c r="N650">
        <v>1</v>
      </c>
      <c r="O650" s="3">
        <v>3400</v>
      </c>
      <c r="P650">
        <v>1</v>
      </c>
      <c r="Q650" s="5">
        <f t="shared" si="30"/>
        <v>2857.1428571428573</v>
      </c>
      <c r="R650" s="5">
        <f t="shared" si="31"/>
        <v>1</v>
      </c>
      <c r="S650" s="5">
        <f t="shared" si="32"/>
        <v>2856.1428571428573</v>
      </c>
    </row>
    <row r="651" spans="1:19" hidden="1" x14ac:dyDescent="0.3">
      <c r="A651">
        <v>100</v>
      </c>
      <c r="B651" t="s">
        <v>16</v>
      </c>
      <c r="C651" t="s">
        <v>1260</v>
      </c>
      <c r="D651" s="2" t="s">
        <v>1261</v>
      </c>
      <c r="E651" t="s">
        <v>148</v>
      </c>
      <c r="F651" t="s">
        <v>20</v>
      </c>
      <c r="G651" t="s">
        <v>21</v>
      </c>
      <c r="H651" t="s">
        <v>114</v>
      </c>
      <c r="I651" t="s">
        <v>23</v>
      </c>
      <c r="J651" t="s">
        <v>31</v>
      </c>
      <c r="K651" s="2" t="s">
        <v>1450</v>
      </c>
      <c r="L651" t="s">
        <v>26</v>
      </c>
      <c r="M651">
        <v>350762</v>
      </c>
      <c r="N651">
        <v>1</v>
      </c>
      <c r="O651" s="3">
        <v>59990</v>
      </c>
      <c r="P651" s="3">
        <v>28912</v>
      </c>
      <c r="Q651" s="5">
        <f t="shared" si="30"/>
        <v>50411.764705882357</v>
      </c>
      <c r="R651" s="5">
        <f t="shared" si="31"/>
        <v>28912</v>
      </c>
      <c r="S651" s="5">
        <f t="shared" si="32"/>
        <v>21499.764705882357</v>
      </c>
    </row>
    <row r="652" spans="1:19" hidden="1" x14ac:dyDescent="0.3">
      <c r="A652">
        <v>100</v>
      </c>
      <c r="B652" t="s">
        <v>16</v>
      </c>
      <c r="C652">
        <v>1687976791</v>
      </c>
      <c r="D652" s="2" t="s">
        <v>200</v>
      </c>
      <c r="E652" t="s">
        <v>201</v>
      </c>
      <c r="F652" t="s">
        <v>201</v>
      </c>
      <c r="G652" t="s">
        <v>202</v>
      </c>
      <c r="H652" t="s">
        <v>202</v>
      </c>
      <c r="I652" t="s">
        <v>23</v>
      </c>
      <c r="J652" t="s">
        <v>202</v>
      </c>
      <c r="K652" s="2" t="s">
        <v>1450</v>
      </c>
      <c r="L652" t="s">
        <v>26</v>
      </c>
      <c r="M652">
        <v>350762</v>
      </c>
      <c r="N652">
        <v>1</v>
      </c>
      <c r="O652" s="3">
        <v>7650</v>
      </c>
      <c r="P652">
        <v>1</v>
      </c>
      <c r="Q652" s="5">
        <f t="shared" si="30"/>
        <v>6428.5714285714284</v>
      </c>
      <c r="R652" s="5">
        <f t="shared" si="31"/>
        <v>1</v>
      </c>
      <c r="S652" s="5">
        <f t="shared" si="32"/>
        <v>6427.5714285714284</v>
      </c>
    </row>
    <row r="653" spans="1:19" hidden="1" x14ac:dyDescent="0.3">
      <c r="A653">
        <v>100</v>
      </c>
      <c r="B653" t="s">
        <v>16</v>
      </c>
      <c r="C653" t="s">
        <v>1499</v>
      </c>
      <c r="D653" s="2" t="s">
        <v>1500</v>
      </c>
      <c r="E653" t="s">
        <v>1501</v>
      </c>
      <c r="F653" t="s">
        <v>20</v>
      </c>
      <c r="G653" t="s">
        <v>21</v>
      </c>
      <c r="H653" t="s">
        <v>742</v>
      </c>
      <c r="I653" t="s">
        <v>23</v>
      </c>
      <c r="J653" t="s">
        <v>40</v>
      </c>
      <c r="K653" s="2" t="s">
        <v>1450</v>
      </c>
      <c r="L653" t="s">
        <v>26</v>
      </c>
      <c r="M653">
        <v>350763</v>
      </c>
      <c r="N653">
        <v>1</v>
      </c>
      <c r="O653" s="3">
        <v>79950</v>
      </c>
      <c r="P653" s="3">
        <v>28727</v>
      </c>
      <c r="Q653" s="5">
        <f t="shared" si="30"/>
        <v>67184.873949579836</v>
      </c>
      <c r="R653" s="5">
        <f t="shared" si="31"/>
        <v>28727</v>
      </c>
      <c r="S653" s="5">
        <f t="shared" si="32"/>
        <v>38457.873949579836</v>
      </c>
    </row>
    <row r="654" spans="1:19" hidden="1" x14ac:dyDescent="0.3">
      <c r="A654">
        <v>100</v>
      </c>
      <c r="B654" t="s">
        <v>16</v>
      </c>
      <c r="C654" t="s">
        <v>1502</v>
      </c>
      <c r="D654" s="2" t="s">
        <v>1503</v>
      </c>
      <c r="E654" t="s">
        <v>1504</v>
      </c>
      <c r="F654" t="s">
        <v>20</v>
      </c>
      <c r="G654" t="s">
        <v>21</v>
      </c>
      <c r="H654" t="s">
        <v>323</v>
      </c>
      <c r="I654" t="s">
        <v>23</v>
      </c>
      <c r="J654" t="s">
        <v>49</v>
      </c>
      <c r="K654" s="2" t="s">
        <v>1450</v>
      </c>
      <c r="L654" t="s">
        <v>26</v>
      </c>
      <c r="M654">
        <v>350764</v>
      </c>
      <c r="N654">
        <v>1</v>
      </c>
      <c r="O654" s="3">
        <v>49990</v>
      </c>
      <c r="P654" s="3">
        <v>27770</v>
      </c>
      <c r="Q654" s="5">
        <f t="shared" si="30"/>
        <v>42008.403361344543</v>
      </c>
      <c r="R654" s="5">
        <f t="shared" si="31"/>
        <v>27770</v>
      </c>
      <c r="S654" s="5">
        <f t="shared" si="32"/>
        <v>14238.403361344543</v>
      </c>
    </row>
    <row r="655" spans="1:19" hidden="1" x14ac:dyDescent="0.3">
      <c r="A655">
        <v>100</v>
      </c>
      <c r="B655" t="s">
        <v>16</v>
      </c>
      <c r="C655" t="s">
        <v>778</v>
      </c>
      <c r="D655" s="2" t="s">
        <v>779</v>
      </c>
      <c r="E655" t="s">
        <v>34</v>
      </c>
      <c r="F655" t="s">
        <v>20</v>
      </c>
      <c r="G655" t="s">
        <v>21</v>
      </c>
      <c r="H655" t="s">
        <v>22</v>
      </c>
      <c r="I655" t="s">
        <v>23</v>
      </c>
      <c r="J655" t="s">
        <v>35</v>
      </c>
      <c r="K655" s="2" t="s">
        <v>1450</v>
      </c>
      <c r="L655" t="s">
        <v>26</v>
      </c>
      <c r="M655">
        <v>350765</v>
      </c>
      <c r="N655">
        <v>1</v>
      </c>
      <c r="O655" s="3">
        <v>69990</v>
      </c>
      <c r="P655" s="3">
        <v>35254</v>
      </c>
      <c r="Q655" s="5">
        <f t="shared" si="30"/>
        <v>58815.126050420171</v>
      </c>
      <c r="R655" s="5">
        <f t="shared" si="31"/>
        <v>35254</v>
      </c>
      <c r="S655" s="5">
        <f t="shared" si="32"/>
        <v>23561.126050420171</v>
      </c>
    </row>
    <row r="656" spans="1:19" hidden="1" x14ac:dyDescent="0.3">
      <c r="A656">
        <v>100</v>
      </c>
      <c r="B656" t="s">
        <v>16</v>
      </c>
      <c r="C656" t="s">
        <v>184</v>
      </c>
      <c r="D656" s="2" t="s">
        <v>185</v>
      </c>
      <c r="E656" t="s">
        <v>186</v>
      </c>
      <c r="F656" t="s">
        <v>20</v>
      </c>
      <c r="G656" t="s">
        <v>21</v>
      </c>
      <c r="H656" t="s">
        <v>57</v>
      </c>
      <c r="I656" t="s">
        <v>23</v>
      </c>
      <c r="J656" t="s">
        <v>35</v>
      </c>
      <c r="K656" s="2" t="s">
        <v>1450</v>
      </c>
      <c r="L656" t="s">
        <v>26</v>
      </c>
      <c r="M656">
        <v>350766</v>
      </c>
      <c r="N656">
        <v>1</v>
      </c>
      <c r="O656" s="3">
        <v>49990</v>
      </c>
      <c r="P656" s="3">
        <v>30867</v>
      </c>
      <c r="Q656" s="5">
        <f t="shared" si="30"/>
        <v>42008.403361344543</v>
      </c>
      <c r="R656" s="5">
        <f t="shared" si="31"/>
        <v>30867</v>
      </c>
      <c r="S656" s="5">
        <f t="shared" si="32"/>
        <v>11141.403361344543</v>
      </c>
    </row>
    <row r="657" spans="1:19" hidden="1" x14ac:dyDescent="0.3">
      <c r="A657">
        <v>100</v>
      </c>
      <c r="B657" t="s">
        <v>16</v>
      </c>
      <c r="C657" t="s">
        <v>1505</v>
      </c>
      <c r="D657" s="2" t="s">
        <v>1506</v>
      </c>
      <c r="E657" t="s">
        <v>866</v>
      </c>
      <c r="F657" t="s">
        <v>20</v>
      </c>
      <c r="G657" t="s">
        <v>21</v>
      </c>
      <c r="H657" t="s">
        <v>90</v>
      </c>
      <c r="I657" t="s">
        <v>23</v>
      </c>
      <c r="J657" t="s">
        <v>35</v>
      </c>
      <c r="K657" s="2" t="s">
        <v>1450</v>
      </c>
      <c r="L657" t="s">
        <v>26</v>
      </c>
      <c r="M657">
        <v>350767</v>
      </c>
      <c r="N657">
        <v>1</v>
      </c>
      <c r="O657" s="3">
        <v>84950</v>
      </c>
      <c r="P657" s="3">
        <v>35352</v>
      </c>
      <c r="Q657" s="5">
        <f t="shared" si="30"/>
        <v>71386.554621848743</v>
      </c>
      <c r="R657" s="5">
        <f t="shared" si="31"/>
        <v>35352</v>
      </c>
      <c r="S657" s="5">
        <f t="shared" si="32"/>
        <v>36034.554621848743</v>
      </c>
    </row>
    <row r="658" spans="1:19" hidden="1" x14ac:dyDescent="0.3">
      <c r="A658">
        <v>100</v>
      </c>
      <c r="B658" t="s">
        <v>16</v>
      </c>
      <c r="C658" t="s">
        <v>1167</v>
      </c>
      <c r="D658" s="2" t="s">
        <v>1168</v>
      </c>
      <c r="E658" t="s">
        <v>334</v>
      </c>
      <c r="F658" t="s">
        <v>20</v>
      </c>
      <c r="G658" t="s">
        <v>21</v>
      </c>
      <c r="H658" t="s">
        <v>199</v>
      </c>
      <c r="I658" t="s">
        <v>23</v>
      </c>
      <c r="J658" t="s">
        <v>35</v>
      </c>
      <c r="K658" s="2" t="s">
        <v>1450</v>
      </c>
      <c r="L658" t="s">
        <v>26</v>
      </c>
      <c r="M658">
        <v>350768</v>
      </c>
      <c r="N658">
        <v>1</v>
      </c>
      <c r="O658" s="3">
        <v>64990</v>
      </c>
      <c r="P658" s="3">
        <v>34694</v>
      </c>
      <c r="Q658" s="5">
        <f t="shared" si="30"/>
        <v>54613.445378151264</v>
      </c>
      <c r="R658" s="5">
        <f t="shared" si="31"/>
        <v>34694</v>
      </c>
      <c r="S658" s="5">
        <f t="shared" si="32"/>
        <v>19919.445378151264</v>
      </c>
    </row>
    <row r="659" spans="1:19" hidden="1" x14ac:dyDescent="0.3">
      <c r="A659">
        <v>100</v>
      </c>
      <c r="B659" t="s">
        <v>16</v>
      </c>
      <c r="C659" t="s">
        <v>1507</v>
      </c>
      <c r="D659" s="2" t="s">
        <v>1508</v>
      </c>
      <c r="E659" t="s">
        <v>425</v>
      </c>
      <c r="F659" t="s">
        <v>20</v>
      </c>
      <c r="G659" t="s">
        <v>21</v>
      </c>
      <c r="H659" t="s">
        <v>22</v>
      </c>
      <c r="I659" t="s">
        <v>23</v>
      </c>
      <c r="J659" t="s">
        <v>24</v>
      </c>
      <c r="K659" s="2" t="s">
        <v>1450</v>
      </c>
      <c r="L659" t="s">
        <v>26</v>
      </c>
      <c r="M659">
        <v>350769</v>
      </c>
      <c r="N659">
        <v>1</v>
      </c>
      <c r="O659" s="3">
        <v>79950</v>
      </c>
      <c r="P659" s="3">
        <v>27778</v>
      </c>
      <c r="Q659" s="5">
        <f t="shared" si="30"/>
        <v>67184.873949579836</v>
      </c>
      <c r="R659" s="5">
        <f t="shared" si="31"/>
        <v>27778</v>
      </c>
      <c r="S659" s="5">
        <f t="shared" si="32"/>
        <v>39406.873949579836</v>
      </c>
    </row>
    <row r="660" spans="1:19" hidden="1" x14ac:dyDescent="0.3">
      <c r="A660">
        <v>100</v>
      </c>
      <c r="B660" t="s">
        <v>16</v>
      </c>
      <c r="C660" t="s">
        <v>1509</v>
      </c>
      <c r="D660" s="2" t="s">
        <v>1510</v>
      </c>
      <c r="E660" t="s">
        <v>278</v>
      </c>
      <c r="F660" t="s">
        <v>20</v>
      </c>
      <c r="G660" t="s">
        <v>21</v>
      </c>
      <c r="H660" t="s">
        <v>114</v>
      </c>
      <c r="I660" t="s">
        <v>23</v>
      </c>
      <c r="J660" t="s">
        <v>31</v>
      </c>
      <c r="K660" s="2" t="s">
        <v>1450</v>
      </c>
      <c r="L660" t="s">
        <v>26</v>
      </c>
      <c r="M660">
        <v>350770</v>
      </c>
      <c r="N660">
        <v>1</v>
      </c>
      <c r="O660" s="3">
        <v>59990</v>
      </c>
      <c r="P660" s="3">
        <v>34857</v>
      </c>
      <c r="Q660" s="5">
        <f t="shared" si="30"/>
        <v>50411.764705882357</v>
      </c>
      <c r="R660" s="5">
        <f t="shared" si="31"/>
        <v>34857</v>
      </c>
      <c r="S660" s="5">
        <f t="shared" si="32"/>
        <v>15554.764705882357</v>
      </c>
    </row>
    <row r="661" spans="1:19" hidden="1" x14ac:dyDescent="0.3">
      <c r="A661">
        <v>100</v>
      </c>
      <c r="B661" t="s">
        <v>16</v>
      </c>
      <c r="C661" t="s">
        <v>490</v>
      </c>
      <c r="D661" s="2" t="s">
        <v>491</v>
      </c>
      <c r="E661" t="s">
        <v>439</v>
      </c>
      <c r="F661" t="s">
        <v>20</v>
      </c>
      <c r="G661" t="s">
        <v>21</v>
      </c>
      <c r="H661" t="s">
        <v>122</v>
      </c>
      <c r="I661" t="s">
        <v>23</v>
      </c>
      <c r="J661" t="s">
        <v>35</v>
      </c>
      <c r="K661" s="2" t="s">
        <v>1450</v>
      </c>
      <c r="L661" t="s">
        <v>26</v>
      </c>
      <c r="M661">
        <v>350771</v>
      </c>
      <c r="N661">
        <v>1</v>
      </c>
      <c r="O661" s="3">
        <v>49990</v>
      </c>
      <c r="P661" s="3">
        <v>31951</v>
      </c>
      <c r="Q661" s="5">
        <f t="shared" si="30"/>
        <v>42008.403361344543</v>
      </c>
      <c r="R661" s="5">
        <f t="shared" si="31"/>
        <v>31951</v>
      </c>
      <c r="S661" s="5">
        <f t="shared" si="32"/>
        <v>10057.403361344543</v>
      </c>
    </row>
    <row r="662" spans="1:19" hidden="1" x14ac:dyDescent="0.3">
      <c r="A662">
        <v>100</v>
      </c>
      <c r="B662" t="s">
        <v>16</v>
      </c>
      <c r="C662" t="s">
        <v>458</v>
      </c>
      <c r="D662" s="2" t="s">
        <v>459</v>
      </c>
      <c r="E662" t="s">
        <v>460</v>
      </c>
      <c r="F662" t="s">
        <v>20</v>
      </c>
      <c r="G662" t="s">
        <v>21</v>
      </c>
      <c r="H662" t="s">
        <v>461</v>
      </c>
      <c r="I662" t="s">
        <v>23</v>
      </c>
      <c r="J662" t="s">
        <v>35</v>
      </c>
      <c r="K662" s="2" t="s">
        <v>1450</v>
      </c>
      <c r="L662" t="s">
        <v>26</v>
      </c>
      <c r="M662">
        <v>350772</v>
      </c>
      <c r="N662">
        <v>1</v>
      </c>
      <c r="O662" s="3">
        <v>49990</v>
      </c>
      <c r="P662" s="3">
        <v>30929</v>
      </c>
      <c r="Q662" s="5">
        <f t="shared" si="30"/>
        <v>42008.403361344543</v>
      </c>
      <c r="R662" s="5">
        <f t="shared" si="31"/>
        <v>30929</v>
      </c>
      <c r="S662" s="5">
        <f t="shared" si="32"/>
        <v>11079.403361344543</v>
      </c>
    </row>
    <row r="663" spans="1:19" hidden="1" x14ac:dyDescent="0.3">
      <c r="A663">
        <v>100</v>
      </c>
      <c r="B663" t="s">
        <v>16</v>
      </c>
      <c r="C663" t="s">
        <v>1511</v>
      </c>
      <c r="D663" s="2" t="s">
        <v>1512</v>
      </c>
      <c r="E663" t="s">
        <v>1513</v>
      </c>
      <c r="F663" t="s">
        <v>20</v>
      </c>
      <c r="G663" t="s">
        <v>21</v>
      </c>
      <c r="H663" t="s">
        <v>610</v>
      </c>
      <c r="I663" t="s">
        <v>23</v>
      </c>
      <c r="J663" t="s">
        <v>40</v>
      </c>
      <c r="K663" s="2" t="s">
        <v>1450</v>
      </c>
      <c r="L663" t="s">
        <v>26</v>
      </c>
      <c r="M663">
        <v>350773</v>
      </c>
      <c r="N663">
        <v>1</v>
      </c>
      <c r="O663" s="3">
        <v>29990</v>
      </c>
      <c r="P663" s="3">
        <v>13064</v>
      </c>
      <c r="Q663" s="5">
        <f t="shared" si="30"/>
        <v>25201.680672268907</v>
      </c>
      <c r="R663" s="5">
        <f t="shared" si="31"/>
        <v>13064</v>
      </c>
      <c r="S663" s="5">
        <f t="shared" si="32"/>
        <v>12137.680672268907</v>
      </c>
    </row>
    <row r="664" spans="1:19" hidden="1" x14ac:dyDescent="0.3">
      <c r="A664">
        <v>100</v>
      </c>
      <c r="B664" t="s">
        <v>16</v>
      </c>
      <c r="C664" t="s">
        <v>1514</v>
      </c>
      <c r="D664" s="2" t="s">
        <v>1515</v>
      </c>
      <c r="E664" t="s">
        <v>884</v>
      </c>
      <c r="F664" t="s">
        <v>20</v>
      </c>
      <c r="G664" t="s">
        <v>21</v>
      </c>
      <c r="H664" t="s">
        <v>48</v>
      </c>
      <c r="I664" t="s">
        <v>23</v>
      </c>
      <c r="J664" t="s">
        <v>49</v>
      </c>
      <c r="K664" s="2" t="s">
        <v>1450</v>
      </c>
      <c r="L664" t="s">
        <v>26</v>
      </c>
      <c r="M664">
        <v>350774</v>
      </c>
      <c r="N664">
        <v>1</v>
      </c>
      <c r="O664" s="3">
        <v>39990</v>
      </c>
      <c r="P664" s="3">
        <v>26199</v>
      </c>
      <c r="Q664" s="5">
        <f t="shared" si="30"/>
        <v>33605.042016806721</v>
      </c>
      <c r="R664" s="5">
        <f t="shared" si="31"/>
        <v>26199</v>
      </c>
      <c r="S664" s="5">
        <f t="shared" si="32"/>
        <v>7406.0420168067212</v>
      </c>
    </row>
    <row r="665" spans="1:19" hidden="1" x14ac:dyDescent="0.3">
      <c r="A665">
        <v>100</v>
      </c>
      <c r="B665" t="s">
        <v>16</v>
      </c>
      <c r="C665" t="s">
        <v>1516</v>
      </c>
      <c r="D665" s="2" t="s">
        <v>1517</v>
      </c>
      <c r="E665" t="s">
        <v>1518</v>
      </c>
      <c r="F665" t="s">
        <v>20</v>
      </c>
      <c r="G665" t="s">
        <v>21</v>
      </c>
      <c r="H665" t="s">
        <v>1519</v>
      </c>
      <c r="I665" t="s">
        <v>23</v>
      </c>
      <c r="J665" t="s">
        <v>40</v>
      </c>
      <c r="K665" s="2" t="s">
        <v>1450</v>
      </c>
      <c r="L665" t="s">
        <v>26</v>
      </c>
      <c r="M665">
        <v>350775</v>
      </c>
      <c r="N665">
        <v>1</v>
      </c>
      <c r="O665" s="3">
        <v>30990</v>
      </c>
      <c r="P665" s="3">
        <v>26817</v>
      </c>
      <c r="Q665" s="5">
        <f t="shared" si="30"/>
        <v>26042.016806722691</v>
      </c>
      <c r="R665" s="5">
        <f t="shared" si="31"/>
        <v>26817</v>
      </c>
      <c r="S665" s="5">
        <f t="shared" si="32"/>
        <v>-774.9831932773086</v>
      </c>
    </row>
    <row r="666" spans="1:19" hidden="1" x14ac:dyDescent="0.3">
      <c r="A666">
        <v>100</v>
      </c>
      <c r="B666" t="s">
        <v>16</v>
      </c>
      <c r="C666" t="s">
        <v>168</v>
      </c>
      <c r="D666" s="2" t="s">
        <v>169</v>
      </c>
      <c r="E666" t="s">
        <v>170</v>
      </c>
      <c r="F666" t="s">
        <v>20</v>
      </c>
      <c r="G666" t="s">
        <v>21</v>
      </c>
      <c r="H666" t="s">
        <v>171</v>
      </c>
      <c r="I666" t="s">
        <v>23</v>
      </c>
      <c r="J666" t="s">
        <v>40</v>
      </c>
      <c r="K666" s="2" t="s">
        <v>1450</v>
      </c>
      <c r="L666" t="s">
        <v>26</v>
      </c>
      <c r="M666">
        <v>350776</v>
      </c>
      <c r="N666">
        <v>1</v>
      </c>
      <c r="O666" s="3">
        <v>39990</v>
      </c>
      <c r="P666" s="3">
        <v>22881</v>
      </c>
      <c r="Q666" s="5">
        <f t="shared" si="30"/>
        <v>33605.042016806721</v>
      </c>
      <c r="R666" s="5">
        <f t="shared" si="31"/>
        <v>22881</v>
      </c>
      <c r="S666" s="5">
        <f t="shared" si="32"/>
        <v>10724.042016806721</v>
      </c>
    </row>
    <row r="667" spans="1:19" hidden="1" x14ac:dyDescent="0.3">
      <c r="A667">
        <v>100</v>
      </c>
      <c r="B667" t="s">
        <v>16</v>
      </c>
      <c r="C667" t="s">
        <v>1520</v>
      </c>
      <c r="D667" s="2" t="s">
        <v>1521</v>
      </c>
      <c r="E667" t="s">
        <v>1522</v>
      </c>
      <c r="F667" t="s">
        <v>20</v>
      </c>
      <c r="G667" t="s">
        <v>21</v>
      </c>
      <c r="H667" t="s">
        <v>61</v>
      </c>
      <c r="I667" t="s">
        <v>23</v>
      </c>
      <c r="J667" t="s">
        <v>40</v>
      </c>
      <c r="K667" s="2" t="s">
        <v>1450</v>
      </c>
      <c r="L667" t="s">
        <v>26</v>
      </c>
      <c r="M667">
        <v>350777</v>
      </c>
      <c r="N667">
        <v>1</v>
      </c>
      <c r="O667" s="3">
        <v>49990</v>
      </c>
      <c r="P667" s="3">
        <v>26042</v>
      </c>
      <c r="Q667" s="5">
        <f t="shared" si="30"/>
        <v>42008.403361344543</v>
      </c>
      <c r="R667" s="5">
        <f t="shared" si="31"/>
        <v>26042</v>
      </c>
      <c r="S667" s="5">
        <f t="shared" si="32"/>
        <v>15966.403361344543</v>
      </c>
    </row>
    <row r="668" spans="1:19" hidden="1" x14ac:dyDescent="0.3">
      <c r="A668">
        <v>100</v>
      </c>
      <c r="B668" t="s">
        <v>16</v>
      </c>
      <c r="C668">
        <v>1687976791</v>
      </c>
      <c r="D668" s="2" t="s">
        <v>200</v>
      </c>
      <c r="E668" t="s">
        <v>201</v>
      </c>
      <c r="F668" t="s">
        <v>201</v>
      </c>
      <c r="G668" t="s">
        <v>202</v>
      </c>
      <c r="H668" t="s">
        <v>202</v>
      </c>
      <c r="I668" t="s">
        <v>23</v>
      </c>
      <c r="J668" t="s">
        <v>202</v>
      </c>
      <c r="K668" s="2" t="s">
        <v>1450</v>
      </c>
      <c r="L668" t="s">
        <v>26</v>
      </c>
      <c r="M668">
        <v>350777</v>
      </c>
      <c r="N668">
        <v>1</v>
      </c>
      <c r="O668" s="3">
        <v>3400</v>
      </c>
      <c r="P668">
        <v>1</v>
      </c>
      <c r="Q668" s="5">
        <f t="shared" si="30"/>
        <v>2857.1428571428573</v>
      </c>
      <c r="R668" s="5">
        <f t="shared" si="31"/>
        <v>1</v>
      </c>
      <c r="S668" s="5">
        <f t="shared" si="32"/>
        <v>2856.1428571428573</v>
      </c>
    </row>
    <row r="669" spans="1:19" hidden="1" x14ac:dyDescent="0.3">
      <c r="A669">
        <v>100</v>
      </c>
      <c r="B669" t="s">
        <v>16</v>
      </c>
      <c r="C669" t="s">
        <v>1523</v>
      </c>
      <c r="D669" s="2" t="s">
        <v>1524</v>
      </c>
      <c r="E669" t="s">
        <v>1045</v>
      </c>
      <c r="F669" t="s">
        <v>20</v>
      </c>
      <c r="G669" t="s">
        <v>21</v>
      </c>
      <c r="H669" t="s">
        <v>368</v>
      </c>
      <c r="I669" t="s">
        <v>23</v>
      </c>
      <c r="J669" t="s">
        <v>40</v>
      </c>
      <c r="K669" s="2" t="s">
        <v>1525</v>
      </c>
      <c r="L669" t="s">
        <v>26</v>
      </c>
      <c r="M669">
        <v>350778</v>
      </c>
      <c r="N669">
        <v>1</v>
      </c>
      <c r="O669" s="3">
        <v>39990</v>
      </c>
      <c r="P669" s="3">
        <v>22937</v>
      </c>
      <c r="Q669" s="5">
        <f t="shared" si="30"/>
        <v>33605.042016806721</v>
      </c>
      <c r="R669" s="5">
        <f t="shared" si="31"/>
        <v>22937</v>
      </c>
      <c r="S669" s="5">
        <f t="shared" si="32"/>
        <v>10668.042016806721</v>
      </c>
    </row>
    <row r="670" spans="1:19" hidden="1" x14ac:dyDescent="0.3">
      <c r="A670">
        <v>100</v>
      </c>
      <c r="B670" t="s">
        <v>16</v>
      </c>
      <c r="C670" t="s">
        <v>311</v>
      </c>
      <c r="D670" s="2" t="s">
        <v>312</v>
      </c>
      <c r="E670" t="s">
        <v>313</v>
      </c>
      <c r="F670" t="s">
        <v>20</v>
      </c>
      <c r="G670" t="s">
        <v>21</v>
      </c>
      <c r="H670" t="s">
        <v>83</v>
      </c>
      <c r="I670" t="s">
        <v>23</v>
      </c>
      <c r="J670" t="s">
        <v>40</v>
      </c>
      <c r="K670" s="2" t="s">
        <v>1525</v>
      </c>
      <c r="L670" t="s">
        <v>26</v>
      </c>
      <c r="M670">
        <v>350779</v>
      </c>
      <c r="N670">
        <v>1</v>
      </c>
      <c r="O670" s="3">
        <v>39990</v>
      </c>
      <c r="P670" s="3">
        <v>25114</v>
      </c>
      <c r="Q670" s="5">
        <f t="shared" si="30"/>
        <v>33605.042016806721</v>
      </c>
      <c r="R670" s="5">
        <f t="shared" si="31"/>
        <v>25114</v>
      </c>
      <c r="S670" s="5">
        <f t="shared" si="32"/>
        <v>8491.0420168067212</v>
      </c>
    </row>
    <row r="671" spans="1:19" hidden="1" x14ac:dyDescent="0.3">
      <c r="A671">
        <v>100</v>
      </c>
      <c r="B671" t="s">
        <v>16</v>
      </c>
      <c r="C671" t="s">
        <v>882</v>
      </c>
      <c r="D671" s="2" t="s">
        <v>883</v>
      </c>
      <c r="E671" t="s">
        <v>884</v>
      </c>
      <c r="F671" t="s">
        <v>20</v>
      </c>
      <c r="G671" t="s">
        <v>21</v>
      </c>
      <c r="H671" t="s">
        <v>48</v>
      </c>
      <c r="I671" t="s">
        <v>23</v>
      </c>
      <c r="J671" t="s">
        <v>49</v>
      </c>
      <c r="K671" s="2" t="s">
        <v>1525</v>
      </c>
      <c r="L671" t="s">
        <v>26</v>
      </c>
      <c r="M671">
        <v>350780</v>
      </c>
      <c r="N671">
        <v>1</v>
      </c>
      <c r="O671" s="3">
        <v>39990</v>
      </c>
      <c r="P671" s="3">
        <v>26043</v>
      </c>
      <c r="Q671" s="5">
        <f t="shared" si="30"/>
        <v>33605.042016806721</v>
      </c>
      <c r="R671" s="5">
        <f t="shared" si="31"/>
        <v>26043</v>
      </c>
      <c r="S671" s="5">
        <f t="shared" si="32"/>
        <v>7562.0420168067212</v>
      </c>
    </row>
    <row r="672" spans="1:19" hidden="1" x14ac:dyDescent="0.3">
      <c r="A672">
        <v>100</v>
      </c>
      <c r="B672" t="s">
        <v>16</v>
      </c>
      <c r="C672" t="s">
        <v>1526</v>
      </c>
      <c r="D672" s="2" t="s">
        <v>1527</v>
      </c>
      <c r="E672" t="s">
        <v>1528</v>
      </c>
      <c r="F672" t="s">
        <v>20</v>
      </c>
      <c r="G672" t="s">
        <v>21</v>
      </c>
      <c r="H672" t="s">
        <v>1457</v>
      </c>
      <c r="I672" t="s">
        <v>23</v>
      </c>
      <c r="J672" t="s">
        <v>40</v>
      </c>
      <c r="K672" s="2" t="s">
        <v>1525</v>
      </c>
      <c r="L672" t="s">
        <v>26</v>
      </c>
      <c r="M672">
        <v>350781</v>
      </c>
      <c r="N672">
        <v>1</v>
      </c>
      <c r="O672" s="3">
        <v>34990</v>
      </c>
      <c r="P672" s="3">
        <v>14950</v>
      </c>
      <c r="Q672" s="5">
        <f t="shared" si="30"/>
        <v>29403.361344537818</v>
      </c>
      <c r="R672" s="5">
        <f t="shared" si="31"/>
        <v>14950</v>
      </c>
      <c r="S672" s="5">
        <f t="shared" si="32"/>
        <v>14453.361344537818</v>
      </c>
    </row>
    <row r="673" spans="1:19" hidden="1" x14ac:dyDescent="0.3">
      <c r="A673">
        <v>100</v>
      </c>
      <c r="B673" t="s">
        <v>16</v>
      </c>
      <c r="C673" t="s">
        <v>920</v>
      </c>
      <c r="D673" s="2" t="s">
        <v>921</v>
      </c>
      <c r="E673" t="s">
        <v>170</v>
      </c>
      <c r="F673" t="s">
        <v>20</v>
      </c>
      <c r="G673" t="s">
        <v>21</v>
      </c>
      <c r="H673" t="s">
        <v>171</v>
      </c>
      <c r="I673" t="s">
        <v>23</v>
      </c>
      <c r="J673" t="s">
        <v>40</v>
      </c>
      <c r="K673" s="2" t="s">
        <v>1525</v>
      </c>
      <c r="L673" t="s">
        <v>26</v>
      </c>
      <c r="M673">
        <v>350782</v>
      </c>
      <c r="N673">
        <v>1</v>
      </c>
      <c r="O673" s="3">
        <v>39990</v>
      </c>
      <c r="P673" s="3">
        <v>23083</v>
      </c>
      <c r="Q673" s="5">
        <f t="shared" si="30"/>
        <v>33605.042016806721</v>
      </c>
      <c r="R673" s="5">
        <f t="shared" si="31"/>
        <v>23083</v>
      </c>
      <c r="S673" s="5">
        <f t="shared" si="32"/>
        <v>10522.042016806721</v>
      </c>
    </row>
    <row r="674" spans="1:19" hidden="1" x14ac:dyDescent="0.3">
      <c r="A674">
        <v>100</v>
      </c>
      <c r="B674" t="s">
        <v>16</v>
      </c>
      <c r="C674" t="s">
        <v>276</v>
      </c>
      <c r="D674" s="2" t="s">
        <v>277</v>
      </c>
      <c r="E674" t="s">
        <v>278</v>
      </c>
      <c r="F674" t="s">
        <v>20</v>
      </c>
      <c r="G674" t="s">
        <v>21</v>
      </c>
      <c r="H674" t="s">
        <v>114</v>
      </c>
      <c r="I674" t="s">
        <v>23</v>
      </c>
      <c r="J674" t="s">
        <v>31</v>
      </c>
      <c r="K674" s="2" t="s">
        <v>1525</v>
      </c>
      <c r="L674" t="s">
        <v>26</v>
      </c>
      <c r="M674">
        <v>350783</v>
      </c>
      <c r="N674">
        <v>1</v>
      </c>
      <c r="O674" s="3">
        <v>59990</v>
      </c>
      <c r="P674" s="3">
        <v>34857</v>
      </c>
      <c r="Q674" s="5">
        <f t="shared" si="30"/>
        <v>50411.764705882357</v>
      </c>
      <c r="R674" s="5">
        <f t="shared" si="31"/>
        <v>34857</v>
      </c>
      <c r="S674" s="5">
        <f t="shared" si="32"/>
        <v>15554.764705882357</v>
      </c>
    </row>
    <row r="675" spans="1:19" hidden="1" x14ac:dyDescent="0.3">
      <c r="A675">
        <v>100</v>
      </c>
      <c r="B675" t="s">
        <v>16</v>
      </c>
      <c r="C675" t="s">
        <v>1003</v>
      </c>
      <c r="D675" s="2" t="s">
        <v>1004</v>
      </c>
      <c r="E675" t="s">
        <v>330</v>
      </c>
      <c r="F675" t="s">
        <v>20</v>
      </c>
      <c r="G675" t="s">
        <v>21</v>
      </c>
      <c r="H675" t="s">
        <v>331</v>
      </c>
      <c r="I675" t="s">
        <v>23</v>
      </c>
      <c r="J675" t="s">
        <v>49</v>
      </c>
      <c r="K675" s="2" t="s">
        <v>1525</v>
      </c>
      <c r="L675" t="s">
        <v>26</v>
      </c>
      <c r="M675">
        <v>350784</v>
      </c>
      <c r="N675">
        <v>1</v>
      </c>
      <c r="O675" s="3">
        <v>39990</v>
      </c>
      <c r="P675" s="3">
        <v>25157</v>
      </c>
      <c r="Q675" s="5">
        <f t="shared" si="30"/>
        <v>33605.042016806721</v>
      </c>
      <c r="R675" s="5">
        <f t="shared" si="31"/>
        <v>25157</v>
      </c>
      <c r="S675" s="5">
        <f t="shared" si="32"/>
        <v>8448.0420168067212</v>
      </c>
    </row>
    <row r="676" spans="1:19" hidden="1" x14ac:dyDescent="0.3">
      <c r="A676">
        <v>100</v>
      </c>
      <c r="B676" t="s">
        <v>16</v>
      </c>
      <c r="C676" t="s">
        <v>1529</v>
      </c>
      <c r="D676" s="2" t="s">
        <v>1530</v>
      </c>
      <c r="E676" t="s">
        <v>1531</v>
      </c>
      <c r="F676" t="s">
        <v>20</v>
      </c>
      <c r="G676" t="s">
        <v>21</v>
      </c>
      <c r="H676" t="s">
        <v>99</v>
      </c>
      <c r="I676" t="s">
        <v>23</v>
      </c>
      <c r="J676" t="s">
        <v>40</v>
      </c>
      <c r="K676" s="2" t="s">
        <v>1525</v>
      </c>
      <c r="L676" t="s">
        <v>26</v>
      </c>
      <c r="M676">
        <v>350785</v>
      </c>
      <c r="N676">
        <v>1</v>
      </c>
      <c r="O676" s="3">
        <v>39990</v>
      </c>
      <c r="P676" s="3">
        <v>31325</v>
      </c>
      <c r="Q676" s="5">
        <f t="shared" si="30"/>
        <v>33605.042016806721</v>
      </c>
      <c r="R676" s="5">
        <f t="shared" si="31"/>
        <v>31325</v>
      </c>
      <c r="S676" s="5">
        <f t="shared" si="32"/>
        <v>2280.0420168067212</v>
      </c>
    </row>
    <row r="677" spans="1:19" hidden="1" x14ac:dyDescent="0.3">
      <c r="A677">
        <v>100</v>
      </c>
      <c r="B677" t="s">
        <v>16</v>
      </c>
      <c r="C677" t="s">
        <v>157</v>
      </c>
      <c r="D677" s="2" t="s">
        <v>158</v>
      </c>
      <c r="E677" t="s">
        <v>159</v>
      </c>
      <c r="F677" t="s">
        <v>20</v>
      </c>
      <c r="G677" t="s">
        <v>21</v>
      </c>
      <c r="H677" t="s">
        <v>160</v>
      </c>
      <c r="I677" t="s">
        <v>23</v>
      </c>
      <c r="J677" t="s">
        <v>35</v>
      </c>
      <c r="K677" s="2" t="s">
        <v>1525</v>
      </c>
      <c r="L677" t="s">
        <v>26</v>
      </c>
      <c r="M677">
        <v>350786</v>
      </c>
      <c r="N677">
        <v>1</v>
      </c>
      <c r="O677" s="3">
        <v>59990</v>
      </c>
      <c r="P677" s="3">
        <v>32361</v>
      </c>
      <c r="Q677" s="5">
        <f t="shared" si="30"/>
        <v>50411.764705882357</v>
      </c>
      <c r="R677" s="5">
        <f t="shared" si="31"/>
        <v>32361</v>
      </c>
      <c r="S677" s="5">
        <f t="shared" si="32"/>
        <v>18050.764705882357</v>
      </c>
    </row>
    <row r="678" spans="1:19" hidden="1" x14ac:dyDescent="0.3">
      <c r="A678">
        <v>100</v>
      </c>
      <c r="B678" t="s">
        <v>16</v>
      </c>
      <c r="C678" t="s">
        <v>1532</v>
      </c>
      <c r="D678" s="2" t="s">
        <v>1533</v>
      </c>
      <c r="E678" t="s">
        <v>1220</v>
      </c>
      <c r="F678" t="s">
        <v>20</v>
      </c>
      <c r="G678" t="s">
        <v>21</v>
      </c>
      <c r="H678" t="s">
        <v>57</v>
      </c>
      <c r="I678" t="s">
        <v>23</v>
      </c>
      <c r="J678" t="s">
        <v>35</v>
      </c>
      <c r="K678" s="2" t="s">
        <v>1525</v>
      </c>
      <c r="L678" t="s">
        <v>26</v>
      </c>
      <c r="M678">
        <v>350787</v>
      </c>
      <c r="N678">
        <v>1</v>
      </c>
      <c r="O678" s="3">
        <v>69990</v>
      </c>
      <c r="P678" s="3">
        <v>35409</v>
      </c>
      <c r="Q678" s="5">
        <f t="shared" si="30"/>
        <v>58815.126050420171</v>
      </c>
      <c r="R678" s="5">
        <f t="shared" si="31"/>
        <v>35409</v>
      </c>
      <c r="S678" s="5">
        <f t="shared" si="32"/>
        <v>23406.126050420171</v>
      </c>
    </row>
    <row r="679" spans="1:19" hidden="1" x14ac:dyDescent="0.3">
      <c r="A679">
        <v>100</v>
      </c>
      <c r="B679" t="s">
        <v>16</v>
      </c>
      <c r="C679" t="s">
        <v>1534</v>
      </c>
      <c r="D679" s="2" t="s">
        <v>1535</v>
      </c>
      <c r="E679" t="s">
        <v>442</v>
      </c>
      <c r="F679" t="s">
        <v>20</v>
      </c>
      <c r="G679" t="s">
        <v>21</v>
      </c>
      <c r="H679" t="s">
        <v>357</v>
      </c>
      <c r="I679" t="s">
        <v>23</v>
      </c>
      <c r="J679" t="s">
        <v>49</v>
      </c>
      <c r="K679" s="2" t="s">
        <v>1525</v>
      </c>
      <c r="L679" t="s">
        <v>26</v>
      </c>
      <c r="M679">
        <v>350788</v>
      </c>
      <c r="N679">
        <v>1</v>
      </c>
      <c r="O679" s="3">
        <v>44990</v>
      </c>
      <c r="P679" s="3">
        <v>22405</v>
      </c>
      <c r="Q679" s="5">
        <f t="shared" si="30"/>
        <v>37806.722689075636</v>
      </c>
      <c r="R679" s="5">
        <f t="shared" si="31"/>
        <v>22405</v>
      </c>
      <c r="S679" s="5">
        <f t="shared" si="32"/>
        <v>15401.722689075636</v>
      </c>
    </row>
    <row r="680" spans="1:19" hidden="1" x14ac:dyDescent="0.3">
      <c r="A680">
        <v>100</v>
      </c>
      <c r="B680" t="s">
        <v>16</v>
      </c>
      <c r="C680" t="s">
        <v>1258</v>
      </c>
      <c r="D680" s="2" t="s">
        <v>1259</v>
      </c>
      <c r="E680" t="s">
        <v>192</v>
      </c>
      <c r="F680" t="s">
        <v>20</v>
      </c>
      <c r="G680" t="s">
        <v>21</v>
      </c>
      <c r="H680" t="s">
        <v>48</v>
      </c>
      <c r="I680" t="s">
        <v>23</v>
      </c>
      <c r="J680" t="s">
        <v>35</v>
      </c>
      <c r="K680" s="2" t="s">
        <v>1525</v>
      </c>
      <c r="L680" t="s">
        <v>26</v>
      </c>
      <c r="M680">
        <v>350789</v>
      </c>
      <c r="N680">
        <v>1</v>
      </c>
      <c r="O680" s="3">
        <v>49990</v>
      </c>
      <c r="P680" s="3">
        <v>28799</v>
      </c>
      <c r="Q680" s="5">
        <f t="shared" si="30"/>
        <v>42008.403361344543</v>
      </c>
      <c r="R680" s="5">
        <f t="shared" si="31"/>
        <v>28799</v>
      </c>
      <c r="S680" s="5">
        <f t="shared" si="32"/>
        <v>13209.403361344543</v>
      </c>
    </row>
    <row r="681" spans="1:19" hidden="1" x14ac:dyDescent="0.3">
      <c r="A681">
        <v>100</v>
      </c>
      <c r="B681" t="s">
        <v>16</v>
      </c>
      <c r="C681" t="s">
        <v>332</v>
      </c>
      <c r="D681" s="2" t="s">
        <v>333</v>
      </c>
      <c r="E681" t="s">
        <v>334</v>
      </c>
      <c r="F681" t="s">
        <v>20</v>
      </c>
      <c r="G681" t="s">
        <v>21</v>
      </c>
      <c r="H681" t="s">
        <v>199</v>
      </c>
      <c r="I681" t="s">
        <v>23</v>
      </c>
      <c r="J681" t="s">
        <v>35</v>
      </c>
      <c r="K681" s="2" t="s">
        <v>1525</v>
      </c>
      <c r="L681" t="s">
        <v>26</v>
      </c>
      <c r="M681">
        <v>350790</v>
      </c>
      <c r="N681">
        <v>1</v>
      </c>
      <c r="O681" s="3">
        <v>64990</v>
      </c>
      <c r="P681" s="3">
        <v>34695</v>
      </c>
      <c r="Q681" s="5">
        <f t="shared" si="30"/>
        <v>54613.445378151264</v>
      </c>
      <c r="R681" s="5">
        <f t="shared" si="31"/>
        <v>34695</v>
      </c>
      <c r="S681" s="5">
        <f t="shared" si="32"/>
        <v>19918.445378151264</v>
      </c>
    </row>
    <row r="682" spans="1:19" hidden="1" x14ac:dyDescent="0.3">
      <c r="A682">
        <v>100</v>
      </c>
      <c r="B682" t="s">
        <v>16</v>
      </c>
      <c r="C682" t="s">
        <v>1536</v>
      </c>
      <c r="D682" s="2" t="s">
        <v>1537</v>
      </c>
      <c r="E682" t="s">
        <v>1538</v>
      </c>
      <c r="F682" t="s">
        <v>20</v>
      </c>
      <c r="G682" t="s">
        <v>21</v>
      </c>
      <c r="H682" t="s">
        <v>1282</v>
      </c>
      <c r="I682" t="s">
        <v>23</v>
      </c>
      <c r="J682" t="s">
        <v>40</v>
      </c>
      <c r="K682" s="2" t="s">
        <v>1525</v>
      </c>
      <c r="L682" t="s">
        <v>26</v>
      </c>
      <c r="M682">
        <v>350791</v>
      </c>
      <c r="N682">
        <v>1</v>
      </c>
      <c r="O682" s="3">
        <v>29990</v>
      </c>
      <c r="P682" s="3">
        <v>10981</v>
      </c>
      <c r="Q682" s="5">
        <f t="shared" si="30"/>
        <v>25201.680672268907</v>
      </c>
      <c r="R682" s="5">
        <f t="shared" si="31"/>
        <v>10981</v>
      </c>
      <c r="S682" s="5">
        <f t="shared" si="32"/>
        <v>14220.680672268907</v>
      </c>
    </row>
    <row r="683" spans="1:19" hidden="1" x14ac:dyDescent="0.3">
      <c r="A683">
        <v>100</v>
      </c>
      <c r="B683" t="s">
        <v>16</v>
      </c>
      <c r="C683" t="s">
        <v>1539</v>
      </c>
      <c r="D683" s="2" t="s">
        <v>1540</v>
      </c>
      <c r="E683" t="s">
        <v>1007</v>
      </c>
      <c r="F683" t="s">
        <v>20</v>
      </c>
      <c r="G683" t="s">
        <v>21</v>
      </c>
      <c r="H683" t="s">
        <v>22</v>
      </c>
      <c r="I683" t="s">
        <v>23</v>
      </c>
      <c r="J683" t="s">
        <v>31</v>
      </c>
      <c r="K683" s="2" t="s">
        <v>1525</v>
      </c>
      <c r="L683" t="s">
        <v>26</v>
      </c>
      <c r="M683">
        <v>350792</v>
      </c>
      <c r="N683">
        <v>1</v>
      </c>
      <c r="O683" s="3">
        <v>84990</v>
      </c>
      <c r="P683" s="3">
        <v>49625</v>
      </c>
      <c r="Q683" s="5">
        <f t="shared" si="30"/>
        <v>71420.168067226899</v>
      </c>
      <c r="R683" s="5">
        <f t="shared" si="31"/>
        <v>49625</v>
      </c>
      <c r="S683" s="5">
        <f t="shared" si="32"/>
        <v>21795.168067226899</v>
      </c>
    </row>
    <row r="684" spans="1:19" hidden="1" x14ac:dyDescent="0.3">
      <c r="A684">
        <v>100</v>
      </c>
      <c r="B684" t="s">
        <v>16</v>
      </c>
      <c r="C684" t="s">
        <v>458</v>
      </c>
      <c r="D684" s="2" t="s">
        <v>459</v>
      </c>
      <c r="E684" t="s">
        <v>460</v>
      </c>
      <c r="F684" t="s">
        <v>20</v>
      </c>
      <c r="G684" t="s">
        <v>21</v>
      </c>
      <c r="H684" t="s">
        <v>461</v>
      </c>
      <c r="I684" t="s">
        <v>23</v>
      </c>
      <c r="J684" t="s">
        <v>35</v>
      </c>
      <c r="K684" s="2" t="s">
        <v>1525</v>
      </c>
      <c r="L684" t="s">
        <v>26</v>
      </c>
      <c r="M684">
        <v>350793</v>
      </c>
      <c r="N684">
        <v>1</v>
      </c>
      <c r="O684" s="3">
        <v>49990</v>
      </c>
      <c r="P684" s="3">
        <v>30929</v>
      </c>
      <c r="Q684" s="5">
        <f t="shared" si="30"/>
        <v>42008.403361344543</v>
      </c>
      <c r="R684" s="5">
        <f t="shared" si="31"/>
        <v>30929</v>
      </c>
      <c r="S684" s="5">
        <f t="shared" si="32"/>
        <v>11079.403361344543</v>
      </c>
    </row>
    <row r="685" spans="1:19" hidden="1" x14ac:dyDescent="0.3">
      <c r="A685">
        <v>100</v>
      </c>
      <c r="B685" t="s">
        <v>16</v>
      </c>
      <c r="C685" t="s">
        <v>1541</v>
      </c>
      <c r="D685" s="2" t="s">
        <v>1542</v>
      </c>
      <c r="E685" t="s">
        <v>1543</v>
      </c>
      <c r="F685" t="s">
        <v>20</v>
      </c>
      <c r="G685" t="s">
        <v>21</v>
      </c>
      <c r="H685" t="s">
        <v>1255</v>
      </c>
      <c r="I685" t="s">
        <v>23</v>
      </c>
      <c r="J685" t="s">
        <v>207</v>
      </c>
      <c r="K685" s="2" t="s">
        <v>1525</v>
      </c>
      <c r="L685" t="s">
        <v>26</v>
      </c>
      <c r="M685">
        <v>350794</v>
      </c>
      <c r="N685">
        <v>1</v>
      </c>
      <c r="O685" s="3">
        <v>39990</v>
      </c>
      <c r="P685" s="3">
        <v>26694</v>
      </c>
      <c r="Q685" s="5">
        <f t="shared" si="30"/>
        <v>33605.042016806721</v>
      </c>
      <c r="R685" s="5">
        <f t="shared" si="31"/>
        <v>26694</v>
      </c>
      <c r="S685" s="5">
        <f t="shared" si="32"/>
        <v>6911.0420168067212</v>
      </c>
    </row>
    <row r="686" spans="1:19" hidden="1" x14ac:dyDescent="0.3">
      <c r="A686">
        <v>100</v>
      </c>
      <c r="B686" t="s">
        <v>16</v>
      </c>
      <c r="C686">
        <v>1687976791</v>
      </c>
      <c r="D686" s="2" t="s">
        <v>200</v>
      </c>
      <c r="E686" t="s">
        <v>201</v>
      </c>
      <c r="F686" t="s">
        <v>201</v>
      </c>
      <c r="G686" t="s">
        <v>202</v>
      </c>
      <c r="H686" t="s">
        <v>202</v>
      </c>
      <c r="I686" t="s">
        <v>23</v>
      </c>
      <c r="J686" t="s">
        <v>202</v>
      </c>
      <c r="K686" s="2" t="s">
        <v>1525</v>
      </c>
      <c r="L686" t="s">
        <v>26</v>
      </c>
      <c r="M686">
        <v>350794</v>
      </c>
      <c r="N686">
        <v>1</v>
      </c>
      <c r="O686" s="3">
        <v>3400</v>
      </c>
      <c r="P686">
        <v>1</v>
      </c>
      <c r="Q686" s="5">
        <f t="shared" si="30"/>
        <v>2857.1428571428573</v>
      </c>
      <c r="R686" s="5">
        <f t="shared" si="31"/>
        <v>1</v>
      </c>
      <c r="S686" s="5">
        <f t="shared" si="32"/>
        <v>2856.1428571428573</v>
      </c>
    </row>
    <row r="687" spans="1:19" hidden="1" x14ac:dyDescent="0.3">
      <c r="A687">
        <v>100</v>
      </c>
      <c r="B687" t="s">
        <v>16</v>
      </c>
      <c r="C687" t="s">
        <v>126</v>
      </c>
      <c r="D687" s="2" t="s">
        <v>127</v>
      </c>
      <c r="E687" t="s">
        <v>102</v>
      </c>
      <c r="F687" t="s">
        <v>20</v>
      </c>
      <c r="G687" t="s">
        <v>21</v>
      </c>
      <c r="H687" t="s">
        <v>57</v>
      </c>
      <c r="I687" t="s">
        <v>23</v>
      </c>
      <c r="J687" t="s">
        <v>35</v>
      </c>
      <c r="K687" s="2" t="s">
        <v>1525</v>
      </c>
      <c r="L687" t="s">
        <v>26</v>
      </c>
      <c r="M687">
        <v>350795</v>
      </c>
      <c r="N687">
        <v>1</v>
      </c>
      <c r="O687" s="3">
        <v>69990</v>
      </c>
      <c r="P687" s="3">
        <v>35351</v>
      </c>
      <c r="Q687" s="5">
        <f t="shared" si="30"/>
        <v>58815.126050420171</v>
      </c>
      <c r="R687" s="5">
        <f t="shared" si="31"/>
        <v>35351</v>
      </c>
      <c r="S687" s="5">
        <f t="shared" si="32"/>
        <v>23464.126050420171</v>
      </c>
    </row>
    <row r="688" spans="1:19" hidden="1" x14ac:dyDescent="0.3">
      <c r="A688">
        <v>100</v>
      </c>
      <c r="B688" t="s">
        <v>16</v>
      </c>
      <c r="C688" t="s">
        <v>1024</v>
      </c>
      <c r="D688" s="2" t="s">
        <v>1025</v>
      </c>
      <c r="E688" t="s">
        <v>1007</v>
      </c>
      <c r="F688" t="s">
        <v>20</v>
      </c>
      <c r="G688" t="s">
        <v>21</v>
      </c>
      <c r="H688" t="s">
        <v>22</v>
      </c>
      <c r="I688" t="s">
        <v>23</v>
      </c>
      <c r="J688" t="s">
        <v>31</v>
      </c>
      <c r="K688" s="2" t="s">
        <v>1525</v>
      </c>
      <c r="L688" t="s">
        <v>26</v>
      </c>
      <c r="M688">
        <v>350796</v>
      </c>
      <c r="N688">
        <v>1</v>
      </c>
      <c r="O688" s="3">
        <v>84990</v>
      </c>
      <c r="P688" s="3">
        <v>49625</v>
      </c>
      <c r="Q688" s="5">
        <f t="shared" si="30"/>
        <v>71420.168067226899</v>
      </c>
      <c r="R688" s="5">
        <f t="shared" si="31"/>
        <v>49625</v>
      </c>
      <c r="S688" s="5">
        <f t="shared" si="32"/>
        <v>21795.168067226899</v>
      </c>
    </row>
    <row r="689" spans="1:19" hidden="1" x14ac:dyDescent="0.3">
      <c r="A689">
        <v>100</v>
      </c>
      <c r="B689" t="s">
        <v>16</v>
      </c>
      <c r="C689" t="s">
        <v>1544</v>
      </c>
      <c r="D689" s="2" t="s">
        <v>1545</v>
      </c>
      <c r="E689" t="s">
        <v>1546</v>
      </c>
      <c r="F689" t="s">
        <v>20</v>
      </c>
      <c r="G689" t="s">
        <v>21</v>
      </c>
      <c r="H689" t="s">
        <v>818</v>
      </c>
      <c r="I689" t="s">
        <v>23</v>
      </c>
      <c r="J689" t="s">
        <v>35</v>
      </c>
      <c r="K689" s="2" t="s">
        <v>1525</v>
      </c>
      <c r="L689" t="s">
        <v>26</v>
      </c>
      <c r="M689">
        <v>350797</v>
      </c>
      <c r="N689">
        <v>1</v>
      </c>
      <c r="O689" s="3">
        <v>69990</v>
      </c>
      <c r="P689" s="3">
        <v>34590</v>
      </c>
      <c r="Q689" s="5">
        <f t="shared" si="30"/>
        <v>58815.126050420171</v>
      </c>
      <c r="R689" s="5">
        <f t="shared" si="31"/>
        <v>34590</v>
      </c>
      <c r="S689" s="5">
        <f t="shared" si="32"/>
        <v>24225.126050420171</v>
      </c>
    </row>
    <row r="690" spans="1:19" hidden="1" x14ac:dyDescent="0.3">
      <c r="A690">
        <v>100</v>
      </c>
      <c r="B690" t="s">
        <v>16</v>
      </c>
      <c r="C690" t="s">
        <v>380</v>
      </c>
      <c r="D690" s="2" t="s">
        <v>381</v>
      </c>
      <c r="E690" t="s">
        <v>382</v>
      </c>
      <c r="F690" t="s">
        <v>377</v>
      </c>
      <c r="G690" t="s">
        <v>21</v>
      </c>
      <c r="H690" t="s">
        <v>378</v>
      </c>
      <c r="I690" t="s">
        <v>23</v>
      </c>
      <c r="J690" t="s">
        <v>379</v>
      </c>
      <c r="K690" s="2" t="s">
        <v>1525</v>
      </c>
      <c r="L690" t="s">
        <v>26</v>
      </c>
      <c r="M690">
        <v>350797</v>
      </c>
      <c r="N690">
        <v>1</v>
      </c>
      <c r="O690" s="3">
        <v>2450</v>
      </c>
      <c r="P690" s="3">
        <v>1249</v>
      </c>
      <c r="Q690" s="5">
        <f t="shared" si="30"/>
        <v>2058.8235294117649</v>
      </c>
      <c r="R690" s="5">
        <f t="shared" si="31"/>
        <v>1249</v>
      </c>
      <c r="S690" s="5">
        <f t="shared" si="32"/>
        <v>809.82352941176487</v>
      </c>
    </row>
    <row r="691" spans="1:19" hidden="1" x14ac:dyDescent="0.3">
      <c r="A691">
        <v>100</v>
      </c>
      <c r="B691" t="s">
        <v>16</v>
      </c>
      <c r="C691" t="s">
        <v>1547</v>
      </c>
      <c r="D691" s="2" t="s">
        <v>1548</v>
      </c>
      <c r="E691" t="s">
        <v>880</v>
      </c>
      <c r="F691" t="s">
        <v>20</v>
      </c>
      <c r="G691" t="s">
        <v>21</v>
      </c>
      <c r="H691" t="s">
        <v>881</v>
      </c>
      <c r="I691" t="s">
        <v>23</v>
      </c>
      <c r="J691" t="s">
        <v>35</v>
      </c>
      <c r="K691" s="2" t="s">
        <v>1525</v>
      </c>
      <c r="L691" t="s">
        <v>26</v>
      </c>
      <c r="M691">
        <v>350798</v>
      </c>
      <c r="N691">
        <v>1</v>
      </c>
      <c r="O691" s="3">
        <v>64990</v>
      </c>
      <c r="P691" s="3">
        <v>33937</v>
      </c>
      <c r="Q691" s="5">
        <f t="shared" si="30"/>
        <v>54613.445378151264</v>
      </c>
      <c r="R691" s="5">
        <f t="shared" si="31"/>
        <v>33937</v>
      </c>
      <c r="S691" s="5">
        <f t="shared" si="32"/>
        <v>20676.445378151264</v>
      </c>
    </row>
    <row r="692" spans="1:19" hidden="1" x14ac:dyDescent="0.3">
      <c r="A692">
        <v>100</v>
      </c>
      <c r="B692" t="s">
        <v>16</v>
      </c>
      <c r="C692" t="s">
        <v>1037</v>
      </c>
      <c r="D692" s="2" t="s">
        <v>1038</v>
      </c>
      <c r="E692" t="s">
        <v>1039</v>
      </c>
      <c r="F692" t="s">
        <v>377</v>
      </c>
      <c r="G692" t="s">
        <v>21</v>
      </c>
      <c r="H692" t="s">
        <v>378</v>
      </c>
      <c r="I692" t="s">
        <v>23</v>
      </c>
      <c r="J692" t="s">
        <v>379</v>
      </c>
      <c r="K692" s="2" t="s">
        <v>1525</v>
      </c>
      <c r="L692" t="s">
        <v>26</v>
      </c>
      <c r="M692">
        <v>350798</v>
      </c>
      <c r="N692">
        <v>1</v>
      </c>
      <c r="O692" s="3">
        <v>5950</v>
      </c>
      <c r="P692" s="3">
        <v>3257</v>
      </c>
      <c r="Q692" s="5">
        <f t="shared" si="30"/>
        <v>5000</v>
      </c>
      <c r="R692" s="5">
        <f t="shared" si="31"/>
        <v>3257</v>
      </c>
      <c r="S692" s="5">
        <f t="shared" si="32"/>
        <v>1743</v>
      </c>
    </row>
    <row r="693" spans="1:19" hidden="1" x14ac:dyDescent="0.3">
      <c r="A693">
        <v>100</v>
      </c>
      <c r="B693" t="s">
        <v>16</v>
      </c>
      <c r="C693">
        <v>1687976791</v>
      </c>
      <c r="D693" s="2" t="s">
        <v>200</v>
      </c>
      <c r="E693" t="s">
        <v>201</v>
      </c>
      <c r="F693" t="s">
        <v>201</v>
      </c>
      <c r="G693" t="s">
        <v>202</v>
      </c>
      <c r="H693" t="s">
        <v>202</v>
      </c>
      <c r="I693" t="s">
        <v>23</v>
      </c>
      <c r="J693" t="s">
        <v>202</v>
      </c>
      <c r="K693" s="2" t="s">
        <v>1525</v>
      </c>
      <c r="L693" t="s">
        <v>26</v>
      </c>
      <c r="M693">
        <v>350799</v>
      </c>
      <c r="N693">
        <v>1</v>
      </c>
      <c r="O693" s="3">
        <v>3400</v>
      </c>
      <c r="P693">
        <v>1</v>
      </c>
      <c r="Q693" s="5">
        <f t="shared" si="30"/>
        <v>2857.1428571428573</v>
      </c>
      <c r="R693" s="5">
        <f t="shared" si="31"/>
        <v>1</v>
      </c>
      <c r="S693" s="5">
        <f t="shared" si="32"/>
        <v>2856.1428571428573</v>
      </c>
    </row>
    <row r="694" spans="1:19" hidden="1" x14ac:dyDescent="0.3">
      <c r="A694">
        <v>100</v>
      </c>
      <c r="B694" t="s">
        <v>16</v>
      </c>
      <c r="C694" t="s">
        <v>1549</v>
      </c>
      <c r="D694" s="2" t="s">
        <v>1550</v>
      </c>
      <c r="E694" t="s">
        <v>1551</v>
      </c>
      <c r="F694" t="s">
        <v>377</v>
      </c>
      <c r="G694" t="s">
        <v>21</v>
      </c>
      <c r="H694" t="s">
        <v>378</v>
      </c>
      <c r="I694" t="s">
        <v>23</v>
      </c>
      <c r="J694" t="s">
        <v>379</v>
      </c>
      <c r="K694" s="2" t="s">
        <v>1525</v>
      </c>
      <c r="L694" t="s">
        <v>26</v>
      </c>
      <c r="M694">
        <v>350799</v>
      </c>
      <c r="N694">
        <v>2</v>
      </c>
      <c r="O694" s="3">
        <v>11900</v>
      </c>
      <c r="P694" s="3">
        <v>1908</v>
      </c>
      <c r="Q694" s="5">
        <f t="shared" si="30"/>
        <v>10000</v>
      </c>
      <c r="R694" s="5">
        <f t="shared" si="31"/>
        <v>3816</v>
      </c>
      <c r="S694" s="5">
        <f t="shared" si="32"/>
        <v>6184</v>
      </c>
    </row>
    <row r="695" spans="1:19" hidden="1" x14ac:dyDescent="0.3">
      <c r="A695">
        <v>100</v>
      </c>
      <c r="B695" t="s">
        <v>16</v>
      </c>
      <c r="C695" t="s">
        <v>1552</v>
      </c>
      <c r="D695" s="2" t="s">
        <v>1553</v>
      </c>
      <c r="E695" t="s">
        <v>1554</v>
      </c>
      <c r="F695" t="s">
        <v>20</v>
      </c>
      <c r="G695" t="s">
        <v>21</v>
      </c>
      <c r="H695" t="s">
        <v>30</v>
      </c>
      <c r="I695" t="s">
        <v>23</v>
      </c>
      <c r="J695" t="s">
        <v>35</v>
      </c>
      <c r="K695" s="2" t="s">
        <v>1525</v>
      </c>
      <c r="L695" t="s">
        <v>26</v>
      </c>
      <c r="M695">
        <v>350800</v>
      </c>
      <c r="N695">
        <v>1</v>
      </c>
      <c r="O695" s="3">
        <v>43990</v>
      </c>
      <c r="P695" s="3">
        <v>25214</v>
      </c>
      <c r="Q695" s="5">
        <f t="shared" si="30"/>
        <v>36966.386554621851</v>
      </c>
      <c r="R695" s="5">
        <f t="shared" si="31"/>
        <v>25214</v>
      </c>
      <c r="S695" s="5">
        <f t="shared" si="32"/>
        <v>11752.386554621851</v>
      </c>
    </row>
    <row r="696" spans="1:19" hidden="1" x14ac:dyDescent="0.3">
      <c r="A696">
        <v>100</v>
      </c>
      <c r="B696" t="s">
        <v>16</v>
      </c>
      <c r="C696" t="s">
        <v>690</v>
      </c>
      <c r="D696" s="2" t="s">
        <v>691</v>
      </c>
      <c r="E696" t="s">
        <v>692</v>
      </c>
      <c r="F696" t="s">
        <v>20</v>
      </c>
      <c r="G696" t="s">
        <v>21</v>
      </c>
      <c r="H696" t="s">
        <v>693</v>
      </c>
      <c r="I696" t="s">
        <v>23</v>
      </c>
      <c r="J696" t="s">
        <v>49</v>
      </c>
      <c r="K696" s="2" t="s">
        <v>1525</v>
      </c>
      <c r="L696" t="s">
        <v>26</v>
      </c>
      <c r="M696">
        <v>350800</v>
      </c>
      <c r="N696">
        <v>1</v>
      </c>
      <c r="O696" s="3">
        <v>39990</v>
      </c>
      <c r="P696" s="3">
        <v>21709</v>
      </c>
      <c r="Q696" s="5">
        <f t="shared" si="30"/>
        <v>33605.042016806721</v>
      </c>
      <c r="R696" s="5">
        <f t="shared" si="31"/>
        <v>21709</v>
      </c>
      <c r="S696" s="5">
        <f t="shared" si="32"/>
        <v>11896.042016806721</v>
      </c>
    </row>
    <row r="697" spans="1:19" hidden="1" x14ac:dyDescent="0.3">
      <c r="A697">
        <v>100</v>
      </c>
      <c r="B697" t="s">
        <v>16</v>
      </c>
      <c r="C697" t="s">
        <v>1555</v>
      </c>
      <c r="D697" s="2" t="s">
        <v>1556</v>
      </c>
      <c r="E697" t="s">
        <v>1557</v>
      </c>
      <c r="F697" t="s">
        <v>20</v>
      </c>
      <c r="G697" t="s">
        <v>21</v>
      </c>
      <c r="H697" t="s">
        <v>1519</v>
      </c>
      <c r="I697" t="s">
        <v>23</v>
      </c>
      <c r="J697" t="s">
        <v>40</v>
      </c>
      <c r="K697" s="2" t="s">
        <v>1525</v>
      </c>
      <c r="L697" t="s">
        <v>26</v>
      </c>
      <c r="M697">
        <v>350801</v>
      </c>
      <c r="N697">
        <v>1</v>
      </c>
      <c r="O697" s="3">
        <v>34990</v>
      </c>
      <c r="P697" s="3">
        <v>25726</v>
      </c>
      <c r="Q697" s="5">
        <f t="shared" si="30"/>
        <v>29403.361344537818</v>
      </c>
      <c r="R697" s="5">
        <f t="shared" si="31"/>
        <v>25726</v>
      </c>
      <c r="S697" s="5">
        <f t="shared" si="32"/>
        <v>3677.3613445378178</v>
      </c>
    </row>
    <row r="698" spans="1:19" hidden="1" x14ac:dyDescent="0.3">
      <c r="A698">
        <v>100</v>
      </c>
      <c r="B698" t="s">
        <v>16</v>
      </c>
      <c r="C698" t="s">
        <v>897</v>
      </c>
      <c r="D698" s="2" t="s">
        <v>898</v>
      </c>
      <c r="E698" t="s">
        <v>34</v>
      </c>
      <c r="F698" t="s">
        <v>20</v>
      </c>
      <c r="G698" t="s">
        <v>21</v>
      </c>
      <c r="H698" t="s">
        <v>22</v>
      </c>
      <c r="I698" t="s">
        <v>23</v>
      </c>
      <c r="J698" t="s">
        <v>35</v>
      </c>
      <c r="K698" s="2" t="s">
        <v>1525</v>
      </c>
      <c r="L698" t="s">
        <v>26</v>
      </c>
      <c r="M698">
        <v>350802</v>
      </c>
      <c r="N698">
        <v>1</v>
      </c>
      <c r="O698" s="3">
        <v>61990</v>
      </c>
      <c r="P698" s="3">
        <v>35267</v>
      </c>
      <c r="Q698" s="5">
        <f t="shared" si="30"/>
        <v>52092.436974789918</v>
      </c>
      <c r="R698" s="5">
        <f t="shared" si="31"/>
        <v>35267</v>
      </c>
      <c r="S698" s="5">
        <f t="shared" si="32"/>
        <v>16825.436974789918</v>
      </c>
    </row>
    <row r="699" spans="1:19" hidden="1" x14ac:dyDescent="0.3">
      <c r="A699">
        <v>100</v>
      </c>
      <c r="B699" t="s">
        <v>16</v>
      </c>
      <c r="C699" t="s">
        <v>1558</v>
      </c>
      <c r="D699" s="2" t="s">
        <v>1559</v>
      </c>
      <c r="E699" t="s">
        <v>1560</v>
      </c>
      <c r="F699" t="s">
        <v>20</v>
      </c>
      <c r="G699" t="s">
        <v>21</v>
      </c>
      <c r="H699" t="s">
        <v>1561</v>
      </c>
      <c r="I699" t="s">
        <v>23</v>
      </c>
      <c r="J699" t="s">
        <v>35</v>
      </c>
      <c r="K699" s="2" t="s">
        <v>1525</v>
      </c>
      <c r="L699" t="s">
        <v>26</v>
      </c>
      <c r="M699">
        <v>350803</v>
      </c>
      <c r="N699">
        <v>1</v>
      </c>
      <c r="O699" s="3">
        <v>49990</v>
      </c>
      <c r="P699" s="3">
        <v>29887</v>
      </c>
      <c r="Q699" s="5">
        <f t="shared" si="30"/>
        <v>42008.403361344543</v>
      </c>
      <c r="R699" s="5">
        <f t="shared" si="31"/>
        <v>29887</v>
      </c>
      <c r="S699" s="5">
        <f t="shared" si="32"/>
        <v>12121.403361344543</v>
      </c>
    </row>
    <row r="700" spans="1:19" hidden="1" x14ac:dyDescent="0.3">
      <c r="A700">
        <v>100</v>
      </c>
      <c r="B700" t="s">
        <v>16</v>
      </c>
      <c r="C700" t="s">
        <v>1562</v>
      </c>
      <c r="D700" s="2" t="s">
        <v>1563</v>
      </c>
      <c r="E700" t="s">
        <v>1195</v>
      </c>
      <c r="F700" t="s">
        <v>20</v>
      </c>
      <c r="G700" t="s">
        <v>21</v>
      </c>
      <c r="H700" t="s">
        <v>982</v>
      </c>
      <c r="I700" t="s">
        <v>23</v>
      </c>
      <c r="J700" t="s">
        <v>40</v>
      </c>
      <c r="K700" s="2" t="s">
        <v>1525</v>
      </c>
      <c r="L700" t="s">
        <v>26</v>
      </c>
      <c r="M700">
        <v>350804</v>
      </c>
      <c r="N700">
        <v>1</v>
      </c>
      <c r="O700" s="3">
        <v>29990</v>
      </c>
      <c r="P700" s="3">
        <v>24310</v>
      </c>
      <c r="Q700" s="5">
        <f t="shared" si="30"/>
        <v>25201.680672268907</v>
      </c>
      <c r="R700" s="5">
        <f t="shared" si="31"/>
        <v>24310</v>
      </c>
      <c r="S700" s="5">
        <f t="shared" si="32"/>
        <v>891.68067226890707</v>
      </c>
    </row>
    <row r="701" spans="1:19" hidden="1" x14ac:dyDescent="0.3">
      <c r="A701">
        <v>100</v>
      </c>
      <c r="B701" t="s">
        <v>16</v>
      </c>
      <c r="C701" t="s">
        <v>361</v>
      </c>
      <c r="D701" s="2" t="s">
        <v>362</v>
      </c>
      <c r="E701" t="s">
        <v>363</v>
      </c>
      <c r="F701" t="s">
        <v>20</v>
      </c>
      <c r="G701" t="s">
        <v>21</v>
      </c>
      <c r="H701" t="s">
        <v>364</v>
      </c>
      <c r="I701" t="s">
        <v>23</v>
      </c>
      <c r="J701" t="s">
        <v>35</v>
      </c>
      <c r="K701" s="2" t="s">
        <v>1525</v>
      </c>
      <c r="L701" t="s">
        <v>26</v>
      </c>
      <c r="M701">
        <v>350805</v>
      </c>
      <c r="N701">
        <v>-1</v>
      </c>
      <c r="O701" s="3">
        <v>-54990</v>
      </c>
      <c r="P701" s="3">
        <v>36279</v>
      </c>
      <c r="Q701" s="5">
        <f t="shared" si="30"/>
        <v>-46210.08403361345</v>
      </c>
      <c r="R701" s="5">
        <f t="shared" si="31"/>
        <v>-36279</v>
      </c>
      <c r="S701" s="5">
        <f t="shared" si="32"/>
        <v>-9931.0840336134497</v>
      </c>
    </row>
    <row r="702" spans="1:19" hidden="1" x14ac:dyDescent="0.3">
      <c r="A702">
        <v>100</v>
      </c>
      <c r="B702" t="s">
        <v>16</v>
      </c>
      <c r="C702" t="s">
        <v>1564</v>
      </c>
      <c r="D702" s="2" t="s">
        <v>1565</v>
      </c>
      <c r="E702" t="s">
        <v>363</v>
      </c>
      <c r="F702" t="s">
        <v>20</v>
      </c>
      <c r="G702" t="s">
        <v>21</v>
      </c>
      <c r="H702" t="s">
        <v>364</v>
      </c>
      <c r="I702" t="s">
        <v>23</v>
      </c>
      <c r="J702" t="s">
        <v>35</v>
      </c>
      <c r="K702" s="2" t="s">
        <v>1525</v>
      </c>
      <c r="L702" t="s">
        <v>26</v>
      </c>
      <c r="M702">
        <v>350805</v>
      </c>
      <c r="N702">
        <v>1</v>
      </c>
      <c r="O702" s="3">
        <v>54991</v>
      </c>
      <c r="P702" s="3">
        <v>36108</v>
      </c>
      <c r="Q702" s="5">
        <f t="shared" si="30"/>
        <v>46210.924369747903</v>
      </c>
      <c r="R702" s="5">
        <f t="shared" si="31"/>
        <v>36108</v>
      </c>
      <c r="S702" s="5">
        <f t="shared" si="32"/>
        <v>10102.924369747903</v>
      </c>
    </row>
    <row r="703" spans="1:19" hidden="1" x14ac:dyDescent="0.3">
      <c r="A703">
        <v>100</v>
      </c>
      <c r="B703" t="s">
        <v>16</v>
      </c>
      <c r="C703">
        <v>1687976791</v>
      </c>
      <c r="D703" s="2" t="s">
        <v>200</v>
      </c>
      <c r="E703" t="s">
        <v>201</v>
      </c>
      <c r="F703" t="s">
        <v>201</v>
      </c>
      <c r="G703" t="s">
        <v>202</v>
      </c>
      <c r="H703" t="s">
        <v>202</v>
      </c>
      <c r="I703" t="s">
        <v>23</v>
      </c>
      <c r="J703" t="s">
        <v>202</v>
      </c>
      <c r="K703" s="2" t="s">
        <v>1525</v>
      </c>
      <c r="L703" t="s">
        <v>26</v>
      </c>
      <c r="M703">
        <v>350806</v>
      </c>
      <c r="N703">
        <v>1</v>
      </c>
      <c r="O703" s="3">
        <v>9014</v>
      </c>
      <c r="P703">
        <v>1</v>
      </c>
      <c r="Q703" s="5">
        <f t="shared" si="30"/>
        <v>7574.7899159663866</v>
      </c>
      <c r="R703" s="5">
        <f t="shared" si="31"/>
        <v>1</v>
      </c>
      <c r="S703" s="5">
        <f t="shared" si="32"/>
        <v>7573.7899159663866</v>
      </c>
    </row>
    <row r="704" spans="1:19" hidden="1" x14ac:dyDescent="0.3">
      <c r="A704">
        <v>100</v>
      </c>
      <c r="B704" t="s">
        <v>16</v>
      </c>
      <c r="C704" t="s">
        <v>157</v>
      </c>
      <c r="D704" s="2" t="s">
        <v>158</v>
      </c>
      <c r="E704" t="s">
        <v>159</v>
      </c>
      <c r="F704" t="s">
        <v>20</v>
      </c>
      <c r="G704" t="s">
        <v>21</v>
      </c>
      <c r="H704" t="s">
        <v>160</v>
      </c>
      <c r="I704" t="s">
        <v>23</v>
      </c>
      <c r="J704" t="s">
        <v>35</v>
      </c>
      <c r="K704" s="2" t="s">
        <v>1525</v>
      </c>
      <c r="L704" t="s">
        <v>26</v>
      </c>
      <c r="M704">
        <v>350806</v>
      </c>
      <c r="N704">
        <v>1</v>
      </c>
      <c r="O704" s="3">
        <v>59990</v>
      </c>
      <c r="P704" s="3">
        <v>32361</v>
      </c>
      <c r="Q704" s="5">
        <f t="shared" si="30"/>
        <v>50411.764705882357</v>
      </c>
      <c r="R704" s="5">
        <f t="shared" si="31"/>
        <v>32361</v>
      </c>
      <c r="S704" s="5">
        <f t="shared" si="32"/>
        <v>18050.764705882357</v>
      </c>
    </row>
    <row r="705" spans="1:19" hidden="1" x14ac:dyDescent="0.3">
      <c r="A705">
        <v>100</v>
      </c>
      <c r="B705" t="s">
        <v>16</v>
      </c>
      <c r="C705" t="s">
        <v>1566</v>
      </c>
      <c r="D705" s="2" t="s">
        <v>1567</v>
      </c>
      <c r="E705" t="s">
        <v>1568</v>
      </c>
      <c r="F705" t="s">
        <v>20</v>
      </c>
      <c r="G705" t="s">
        <v>21</v>
      </c>
      <c r="H705" t="s">
        <v>199</v>
      </c>
      <c r="I705" t="s">
        <v>23</v>
      </c>
      <c r="J705" t="s">
        <v>49</v>
      </c>
      <c r="K705" s="2" t="s">
        <v>1525</v>
      </c>
      <c r="L705" t="s">
        <v>26</v>
      </c>
      <c r="M705">
        <v>350807</v>
      </c>
      <c r="N705">
        <v>1</v>
      </c>
      <c r="O705" s="3">
        <v>44990</v>
      </c>
      <c r="P705" s="3">
        <v>25178</v>
      </c>
      <c r="Q705" s="5">
        <f t="shared" si="30"/>
        <v>37806.722689075636</v>
      </c>
      <c r="R705" s="5">
        <f t="shared" si="31"/>
        <v>25178</v>
      </c>
      <c r="S705" s="5">
        <f t="shared" si="32"/>
        <v>12628.722689075636</v>
      </c>
    </row>
    <row r="706" spans="1:19" hidden="1" x14ac:dyDescent="0.3">
      <c r="A706">
        <v>100</v>
      </c>
      <c r="B706" t="s">
        <v>16</v>
      </c>
      <c r="C706" t="s">
        <v>770</v>
      </c>
      <c r="D706" s="2" t="s">
        <v>771</v>
      </c>
      <c r="E706" t="s">
        <v>772</v>
      </c>
      <c r="F706" t="s">
        <v>20</v>
      </c>
      <c r="G706" t="s">
        <v>21</v>
      </c>
      <c r="H706" t="s">
        <v>604</v>
      </c>
      <c r="I706" t="s">
        <v>23</v>
      </c>
      <c r="J706" t="s">
        <v>40</v>
      </c>
      <c r="K706" s="2" t="s">
        <v>1569</v>
      </c>
      <c r="L706" t="s">
        <v>26</v>
      </c>
      <c r="M706">
        <v>350808</v>
      </c>
      <c r="N706">
        <v>1</v>
      </c>
      <c r="O706" s="3">
        <v>29990</v>
      </c>
      <c r="P706" s="3">
        <v>17994</v>
      </c>
      <c r="Q706" s="5">
        <f t="shared" si="30"/>
        <v>25201.680672268907</v>
      </c>
      <c r="R706" s="5">
        <f t="shared" si="31"/>
        <v>17994</v>
      </c>
      <c r="S706" s="5">
        <f t="shared" si="32"/>
        <v>7207.6806722689071</v>
      </c>
    </row>
    <row r="707" spans="1:19" hidden="1" x14ac:dyDescent="0.3">
      <c r="A707">
        <v>100</v>
      </c>
      <c r="B707" t="s">
        <v>16</v>
      </c>
      <c r="C707" t="s">
        <v>1570</v>
      </c>
      <c r="D707" s="2" t="s">
        <v>1571</v>
      </c>
      <c r="E707" t="s">
        <v>1572</v>
      </c>
      <c r="F707" t="s">
        <v>20</v>
      </c>
      <c r="G707" t="s">
        <v>21</v>
      </c>
      <c r="H707" t="s">
        <v>527</v>
      </c>
      <c r="I707" t="s">
        <v>23</v>
      </c>
      <c r="J707" t="s">
        <v>35</v>
      </c>
      <c r="K707" s="2" t="s">
        <v>1569</v>
      </c>
      <c r="L707" t="s">
        <v>26</v>
      </c>
      <c r="M707">
        <v>350809</v>
      </c>
      <c r="N707">
        <v>1</v>
      </c>
      <c r="O707" s="3">
        <v>84950</v>
      </c>
      <c r="P707" s="3">
        <v>33655</v>
      </c>
      <c r="Q707" s="5">
        <f t="shared" si="30"/>
        <v>71386.554621848743</v>
      </c>
      <c r="R707" s="5">
        <f t="shared" si="31"/>
        <v>33655</v>
      </c>
      <c r="S707" s="5">
        <f t="shared" si="32"/>
        <v>37731.554621848743</v>
      </c>
    </row>
    <row r="708" spans="1:19" hidden="1" x14ac:dyDescent="0.3">
      <c r="A708">
        <v>100</v>
      </c>
      <c r="B708" t="s">
        <v>16</v>
      </c>
      <c r="C708" t="s">
        <v>1573</v>
      </c>
      <c r="D708" s="2" t="s">
        <v>1574</v>
      </c>
      <c r="E708" t="s">
        <v>1575</v>
      </c>
      <c r="F708" t="s">
        <v>20</v>
      </c>
      <c r="G708" t="s">
        <v>21</v>
      </c>
      <c r="H708" t="s">
        <v>180</v>
      </c>
      <c r="I708" t="s">
        <v>23</v>
      </c>
      <c r="J708" t="s">
        <v>49</v>
      </c>
      <c r="K708" s="2" t="s">
        <v>1569</v>
      </c>
      <c r="L708" t="s">
        <v>26</v>
      </c>
      <c r="M708">
        <v>350810</v>
      </c>
      <c r="N708">
        <v>1</v>
      </c>
      <c r="O708" s="3">
        <v>34990</v>
      </c>
      <c r="P708" s="3">
        <v>22418</v>
      </c>
      <c r="Q708" s="5">
        <f t="shared" si="30"/>
        <v>29403.361344537818</v>
      </c>
      <c r="R708" s="5">
        <f t="shared" si="31"/>
        <v>22418</v>
      </c>
      <c r="S708" s="5">
        <f t="shared" si="32"/>
        <v>6985.3613445378178</v>
      </c>
    </row>
    <row r="709" spans="1:19" hidden="1" x14ac:dyDescent="0.3">
      <c r="A709">
        <v>100</v>
      </c>
      <c r="B709" t="s">
        <v>16</v>
      </c>
      <c r="C709" t="s">
        <v>497</v>
      </c>
      <c r="D709" s="2" t="s">
        <v>498</v>
      </c>
      <c r="E709" t="s">
        <v>499</v>
      </c>
      <c r="F709" t="s">
        <v>20</v>
      </c>
      <c r="G709" t="s">
        <v>21</v>
      </c>
      <c r="H709" t="s">
        <v>500</v>
      </c>
      <c r="I709" t="s">
        <v>23</v>
      </c>
      <c r="J709" t="s">
        <v>40</v>
      </c>
      <c r="K709" s="2" t="s">
        <v>1569</v>
      </c>
      <c r="L709" t="s">
        <v>26</v>
      </c>
      <c r="M709">
        <v>350811</v>
      </c>
      <c r="N709">
        <v>1</v>
      </c>
      <c r="O709" s="3">
        <v>59950</v>
      </c>
      <c r="P709" s="3">
        <v>17416</v>
      </c>
      <c r="Q709" s="5">
        <f t="shared" si="30"/>
        <v>50378.151260504201</v>
      </c>
      <c r="R709" s="5">
        <f t="shared" si="31"/>
        <v>17416</v>
      </c>
      <c r="S709" s="5">
        <f t="shared" si="32"/>
        <v>32962.151260504201</v>
      </c>
    </row>
    <row r="710" spans="1:19" hidden="1" x14ac:dyDescent="0.3">
      <c r="A710">
        <v>100</v>
      </c>
      <c r="B710" t="s">
        <v>16</v>
      </c>
      <c r="C710" t="s">
        <v>1576</v>
      </c>
      <c r="D710" s="2" t="s">
        <v>1577</v>
      </c>
      <c r="E710" t="s">
        <v>1578</v>
      </c>
      <c r="F710" t="s">
        <v>20</v>
      </c>
      <c r="G710" t="s">
        <v>21</v>
      </c>
      <c r="H710" t="s">
        <v>1345</v>
      </c>
      <c r="I710" t="s">
        <v>23</v>
      </c>
      <c r="J710" t="s">
        <v>40</v>
      </c>
      <c r="K710" s="2" t="s">
        <v>1569</v>
      </c>
      <c r="L710" t="s">
        <v>26</v>
      </c>
      <c r="M710">
        <v>350812</v>
      </c>
      <c r="N710">
        <v>1</v>
      </c>
      <c r="O710" s="3">
        <v>29990</v>
      </c>
      <c r="P710" s="3">
        <v>18256</v>
      </c>
      <c r="Q710" s="5">
        <f t="shared" ref="Q710:Q773" si="33">O710/1.19</f>
        <v>25201.680672268907</v>
      </c>
      <c r="R710" s="5">
        <f t="shared" ref="R710:R773" si="34">N710*P710</f>
        <v>18256</v>
      </c>
      <c r="S710" s="5">
        <f t="shared" ref="S710:S773" si="35">Q710-R710</f>
        <v>6945.6806722689071</v>
      </c>
    </row>
    <row r="711" spans="1:19" hidden="1" x14ac:dyDescent="0.3">
      <c r="A711">
        <v>100</v>
      </c>
      <c r="B711" t="s">
        <v>16</v>
      </c>
      <c r="C711" t="s">
        <v>32</v>
      </c>
      <c r="D711" s="2" t="s">
        <v>33</v>
      </c>
      <c r="E711" t="s">
        <v>34</v>
      </c>
      <c r="F711" t="s">
        <v>20</v>
      </c>
      <c r="G711" t="s">
        <v>21</v>
      </c>
      <c r="H711" t="s">
        <v>22</v>
      </c>
      <c r="I711" t="s">
        <v>23</v>
      </c>
      <c r="J711" t="s">
        <v>35</v>
      </c>
      <c r="K711" s="2" t="s">
        <v>1569</v>
      </c>
      <c r="L711" t="s">
        <v>26</v>
      </c>
      <c r="M711">
        <v>350813</v>
      </c>
      <c r="N711">
        <v>1</v>
      </c>
      <c r="O711" s="3">
        <v>69990</v>
      </c>
      <c r="P711" s="3">
        <v>35279</v>
      </c>
      <c r="Q711" s="5">
        <f t="shared" si="33"/>
        <v>58815.126050420171</v>
      </c>
      <c r="R711" s="5">
        <f t="shared" si="34"/>
        <v>35279</v>
      </c>
      <c r="S711" s="5">
        <f t="shared" si="35"/>
        <v>23536.126050420171</v>
      </c>
    </row>
    <row r="712" spans="1:19" hidden="1" x14ac:dyDescent="0.3">
      <c r="A712">
        <v>100</v>
      </c>
      <c r="B712" t="s">
        <v>16</v>
      </c>
      <c r="C712" t="s">
        <v>1579</v>
      </c>
      <c r="D712" s="2" t="s">
        <v>1580</v>
      </c>
      <c r="E712" t="s">
        <v>1581</v>
      </c>
      <c r="F712" t="s">
        <v>20</v>
      </c>
      <c r="G712" t="s">
        <v>21</v>
      </c>
      <c r="H712" t="s">
        <v>1582</v>
      </c>
      <c r="I712" t="s">
        <v>23</v>
      </c>
      <c r="J712" t="s">
        <v>207</v>
      </c>
      <c r="K712" s="2" t="s">
        <v>1569</v>
      </c>
      <c r="L712" t="s">
        <v>26</v>
      </c>
      <c r="M712">
        <v>350814</v>
      </c>
      <c r="N712">
        <v>1</v>
      </c>
      <c r="O712" s="3">
        <v>51990</v>
      </c>
      <c r="P712" s="3">
        <v>24559</v>
      </c>
      <c r="Q712" s="5">
        <f t="shared" si="33"/>
        <v>43689.075630252104</v>
      </c>
      <c r="R712" s="5">
        <f t="shared" si="34"/>
        <v>24559</v>
      </c>
      <c r="S712" s="5">
        <f t="shared" si="35"/>
        <v>19130.075630252104</v>
      </c>
    </row>
    <row r="713" spans="1:19" hidden="1" x14ac:dyDescent="0.3">
      <c r="A713">
        <v>100</v>
      </c>
      <c r="B713" t="s">
        <v>16</v>
      </c>
      <c r="C713" t="s">
        <v>1583</v>
      </c>
      <c r="D713" s="2" t="s">
        <v>1584</v>
      </c>
      <c r="E713" t="s">
        <v>1585</v>
      </c>
      <c r="F713" t="s">
        <v>20</v>
      </c>
      <c r="G713" t="s">
        <v>21</v>
      </c>
      <c r="H713" t="s">
        <v>870</v>
      </c>
      <c r="I713" t="s">
        <v>23</v>
      </c>
      <c r="J713" t="s">
        <v>49</v>
      </c>
      <c r="K713" s="2" t="s">
        <v>1569</v>
      </c>
      <c r="L713" t="s">
        <v>26</v>
      </c>
      <c r="M713">
        <v>350815</v>
      </c>
      <c r="N713">
        <v>1</v>
      </c>
      <c r="O713" s="3">
        <v>39990</v>
      </c>
      <c r="P713" s="3">
        <v>23542</v>
      </c>
      <c r="Q713" s="5">
        <f t="shared" si="33"/>
        <v>33605.042016806721</v>
      </c>
      <c r="R713" s="5">
        <f t="shared" si="34"/>
        <v>23542</v>
      </c>
      <c r="S713" s="5">
        <f t="shared" si="35"/>
        <v>10063.042016806721</v>
      </c>
    </row>
    <row r="714" spans="1:19" hidden="1" x14ac:dyDescent="0.3">
      <c r="A714">
        <v>100</v>
      </c>
      <c r="B714" t="s">
        <v>16</v>
      </c>
      <c r="C714" t="s">
        <v>1586</v>
      </c>
      <c r="D714" s="2" t="s">
        <v>1587</v>
      </c>
      <c r="E714" t="s">
        <v>1588</v>
      </c>
      <c r="F714" t="s">
        <v>20</v>
      </c>
      <c r="G714" t="s">
        <v>21</v>
      </c>
      <c r="H714" t="s">
        <v>461</v>
      </c>
      <c r="I714" t="s">
        <v>23</v>
      </c>
      <c r="J714" t="s">
        <v>35</v>
      </c>
      <c r="K714" s="2" t="s">
        <v>1569</v>
      </c>
      <c r="L714" t="s">
        <v>26</v>
      </c>
      <c r="M714">
        <v>350816</v>
      </c>
      <c r="N714">
        <v>1</v>
      </c>
      <c r="O714" s="3">
        <v>49990</v>
      </c>
      <c r="P714" s="3">
        <v>29033</v>
      </c>
      <c r="Q714" s="5">
        <f t="shared" si="33"/>
        <v>42008.403361344543</v>
      </c>
      <c r="R714" s="5">
        <f t="shared" si="34"/>
        <v>29033</v>
      </c>
      <c r="S714" s="5">
        <f t="shared" si="35"/>
        <v>12975.403361344543</v>
      </c>
    </row>
    <row r="715" spans="1:19" hidden="1" x14ac:dyDescent="0.3">
      <c r="A715">
        <v>100</v>
      </c>
      <c r="B715" t="s">
        <v>16</v>
      </c>
      <c r="C715" t="s">
        <v>1589</v>
      </c>
      <c r="D715" s="2" t="s">
        <v>1590</v>
      </c>
      <c r="E715" t="s">
        <v>1591</v>
      </c>
      <c r="F715" t="s">
        <v>20</v>
      </c>
      <c r="G715" t="s">
        <v>21</v>
      </c>
      <c r="H715" t="s">
        <v>1337</v>
      </c>
      <c r="I715" t="s">
        <v>23</v>
      </c>
      <c r="J715" t="s">
        <v>49</v>
      </c>
      <c r="K715" s="2" t="s">
        <v>1569</v>
      </c>
      <c r="L715" t="s">
        <v>26</v>
      </c>
      <c r="M715">
        <v>350816</v>
      </c>
      <c r="N715">
        <v>1</v>
      </c>
      <c r="O715" s="3">
        <v>34990</v>
      </c>
      <c r="P715" s="3">
        <v>19601</v>
      </c>
      <c r="Q715" s="5">
        <f t="shared" si="33"/>
        <v>29403.361344537818</v>
      </c>
      <c r="R715" s="5">
        <f t="shared" si="34"/>
        <v>19601</v>
      </c>
      <c r="S715" s="5">
        <f t="shared" si="35"/>
        <v>9802.3613445378178</v>
      </c>
    </row>
    <row r="716" spans="1:19" hidden="1" x14ac:dyDescent="0.3">
      <c r="A716">
        <v>100</v>
      </c>
      <c r="B716" t="s">
        <v>16</v>
      </c>
      <c r="C716" t="s">
        <v>1592</v>
      </c>
      <c r="D716" s="2" t="s">
        <v>1593</v>
      </c>
      <c r="E716" t="s">
        <v>134</v>
      </c>
      <c r="F716" t="s">
        <v>20</v>
      </c>
      <c r="G716" t="s">
        <v>21</v>
      </c>
      <c r="H716" t="s">
        <v>135</v>
      </c>
      <c r="I716" t="s">
        <v>23</v>
      </c>
      <c r="J716" t="s">
        <v>49</v>
      </c>
      <c r="K716" s="2" t="s">
        <v>1569</v>
      </c>
      <c r="L716" t="s">
        <v>26</v>
      </c>
      <c r="M716">
        <v>350817</v>
      </c>
      <c r="N716">
        <v>1</v>
      </c>
      <c r="O716" s="3">
        <v>39990</v>
      </c>
      <c r="P716" s="3">
        <v>25157</v>
      </c>
      <c r="Q716" s="5">
        <f t="shared" si="33"/>
        <v>33605.042016806721</v>
      </c>
      <c r="R716" s="5">
        <f t="shared" si="34"/>
        <v>25157</v>
      </c>
      <c r="S716" s="5">
        <f t="shared" si="35"/>
        <v>8448.0420168067212</v>
      </c>
    </row>
    <row r="717" spans="1:19" hidden="1" x14ac:dyDescent="0.3">
      <c r="A717">
        <v>100</v>
      </c>
      <c r="B717" t="s">
        <v>16</v>
      </c>
      <c r="C717" t="s">
        <v>478</v>
      </c>
      <c r="D717" s="2" t="s">
        <v>479</v>
      </c>
      <c r="E717" t="s">
        <v>195</v>
      </c>
      <c r="F717" t="s">
        <v>20</v>
      </c>
      <c r="G717" t="s">
        <v>21</v>
      </c>
      <c r="H717" t="s">
        <v>22</v>
      </c>
      <c r="I717" t="s">
        <v>23</v>
      </c>
      <c r="J717" t="s">
        <v>35</v>
      </c>
      <c r="K717" s="2" t="s">
        <v>1569</v>
      </c>
      <c r="L717" t="s">
        <v>26</v>
      </c>
      <c r="M717">
        <v>350818</v>
      </c>
      <c r="N717">
        <v>1</v>
      </c>
      <c r="O717" s="3">
        <v>69990</v>
      </c>
      <c r="P717" s="3">
        <v>35338</v>
      </c>
      <c r="Q717" s="5">
        <f t="shared" si="33"/>
        <v>58815.126050420171</v>
      </c>
      <c r="R717" s="5">
        <f t="shared" si="34"/>
        <v>35338</v>
      </c>
      <c r="S717" s="5">
        <f t="shared" si="35"/>
        <v>23477.126050420171</v>
      </c>
    </row>
    <row r="718" spans="1:19" hidden="1" x14ac:dyDescent="0.3">
      <c r="A718">
        <v>100</v>
      </c>
      <c r="B718" t="s">
        <v>16</v>
      </c>
      <c r="C718" t="s">
        <v>1594</v>
      </c>
      <c r="D718" s="2" t="s">
        <v>1595</v>
      </c>
      <c r="E718" t="s">
        <v>1596</v>
      </c>
      <c r="F718" t="s">
        <v>20</v>
      </c>
      <c r="G718" t="s">
        <v>21</v>
      </c>
      <c r="H718" t="s">
        <v>1409</v>
      </c>
      <c r="I718" t="s">
        <v>23</v>
      </c>
      <c r="J718" t="s">
        <v>31</v>
      </c>
      <c r="K718" s="2" t="s">
        <v>1569</v>
      </c>
      <c r="L718" t="s">
        <v>26</v>
      </c>
      <c r="M718">
        <v>350819</v>
      </c>
      <c r="N718">
        <v>1</v>
      </c>
      <c r="O718" s="3">
        <v>129950</v>
      </c>
      <c r="P718" s="3">
        <v>69954</v>
      </c>
      <c r="Q718" s="5">
        <f t="shared" si="33"/>
        <v>109201.68067226891</v>
      </c>
      <c r="R718" s="5">
        <f t="shared" si="34"/>
        <v>69954</v>
      </c>
      <c r="S718" s="5">
        <f t="shared" si="35"/>
        <v>39247.680672268907</v>
      </c>
    </row>
    <row r="719" spans="1:19" hidden="1" x14ac:dyDescent="0.3">
      <c r="A719">
        <v>100</v>
      </c>
      <c r="B719" t="s">
        <v>16</v>
      </c>
      <c r="C719" t="s">
        <v>1340</v>
      </c>
      <c r="D719" s="2" t="s">
        <v>1341</v>
      </c>
      <c r="E719" t="s">
        <v>34</v>
      </c>
      <c r="F719" t="s">
        <v>20</v>
      </c>
      <c r="G719" t="s">
        <v>21</v>
      </c>
      <c r="H719" t="s">
        <v>22</v>
      </c>
      <c r="I719" t="s">
        <v>23</v>
      </c>
      <c r="J719" t="s">
        <v>35</v>
      </c>
      <c r="K719" s="2" t="s">
        <v>1569</v>
      </c>
      <c r="L719" t="s">
        <v>26</v>
      </c>
      <c r="M719">
        <v>350820</v>
      </c>
      <c r="N719">
        <v>1</v>
      </c>
      <c r="O719" s="3">
        <v>69990</v>
      </c>
      <c r="P719" s="3">
        <v>35258</v>
      </c>
      <c r="Q719" s="5">
        <f t="shared" si="33"/>
        <v>58815.126050420171</v>
      </c>
      <c r="R719" s="5">
        <f t="shared" si="34"/>
        <v>35258</v>
      </c>
      <c r="S719" s="5">
        <f t="shared" si="35"/>
        <v>23557.126050420171</v>
      </c>
    </row>
    <row r="720" spans="1:19" hidden="1" x14ac:dyDescent="0.3">
      <c r="A720">
        <v>100</v>
      </c>
      <c r="B720" t="s">
        <v>16</v>
      </c>
      <c r="C720" t="s">
        <v>1597</v>
      </c>
      <c r="D720" s="2" t="s">
        <v>1598</v>
      </c>
      <c r="E720" t="s">
        <v>1599</v>
      </c>
      <c r="F720" t="s">
        <v>20</v>
      </c>
      <c r="G720" t="s">
        <v>21</v>
      </c>
      <c r="H720" t="s">
        <v>255</v>
      </c>
      <c r="I720" t="s">
        <v>23</v>
      </c>
      <c r="J720" t="s">
        <v>35</v>
      </c>
      <c r="K720" s="2" t="s">
        <v>1569</v>
      </c>
      <c r="L720" t="s">
        <v>26</v>
      </c>
      <c r="M720">
        <v>350821</v>
      </c>
      <c r="N720">
        <v>1</v>
      </c>
      <c r="O720" s="3">
        <v>69990</v>
      </c>
      <c r="P720" s="3">
        <v>38644</v>
      </c>
      <c r="Q720" s="5">
        <f t="shared" si="33"/>
        <v>58815.126050420171</v>
      </c>
      <c r="R720" s="5">
        <f t="shared" si="34"/>
        <v>38644</v>
      </c>
      <c r="S720" s="5">
        <f t="shared" si="35"/>
        <v>20171.126050420171</v>
      </c>
    </row>
    <row r="721" spans="1:19" hidden="1" x14ac:dyDescent="0.3">
      <c r="A721">
        <v>100</v>
      </c>
      <c r="B721" t="s">
        <v>16</v>
      </c>
      <c r="C721" t="s">
        <v>1600</v>
      </c>
      <c r="D721" s="2" t="s">
        <v>1601</v>
      </c>
      <c r="E721" t="s">
        <v>464</v>
      </c>
      <c r="F721" t="s">
        <v>20</v>
      </c>
      <c r="G721" t="s">
        <v>21</v>
      </c>
      <c r="H721" t="s">
        <v>461</v>
      </c>
      <c r="I721" t="s">
        <v>23</v>
      </c>
      <c r="J721" t="s">
        <v>35</v>
      </c>
      <c r="K721" s="2" t="s">
        <v>1569</v>
      </c>
      <c r="L721" t="s">
        <v>26</v>
      </c>
      <c r="M721">
        <v>350822</v>
      </c>
      <c r="N721">
        <v>1</v>
      </c>
      <c r="O721" s="3">
        <v>49990</v>
      </c>
      <c r="P721" s="3">
        <v>28415</v>
      </c>
      <c r="Q721" s="5">
        <f t="shared" si="33"/>
        <v>42008.403361344543</v>
      </c>
      <c r="R721" s="5">
        <f t="shared" si="34"/>
        <v>28415</v>
      </c>
      <c r="S721" s="5">
        <f t="shared" si="35"/>
        <v>13593.403361344543</v>
      </c>
    </row>
    <row r="722" spans="1:19" hidden="1" x14ac:dyDescent="0.3">
      <c r="A722">
        <v>100</v>
      </c>
      <c r="B722" t="s">
        <v>16</v>
      </c>
      <c r="C722" t="s">
        <v>1602</v>
      </c>
      <c r="D722" s="2" t="s">
        <v>1603</v>
      </c>
      <c r="E722" t="s">
        <v>1604</v>
      </c>
      <c r="F722" t="s">
        <v>20</v>
      </c>
      <c r="G722" t="s">
        <v>21</v>
      </c>
      <c r="H722" t="s">
        <v>171</v>
      </c>
      <c r="I722" t="s">
        <v>23</v>
      </c>
      <c r="J722" t="s">
        <v>40</v>
      </c>
      <c r="K722" s="2" t="s">
        <v>1569</v>
      </c>
      <c r="L722" t="s">
        <v>26</v>
      </c>
      <c r="M722">
        <v>350823</v>
      </c>
      <c r="N722">
        <v>1</v>
      </c>
      <c r="O722" s="3">
        <v>39990</v>
      </c>
      <c r="P722" s="3">
        <v>23673</v>
      </c>
      <c r="Q722" s="5">
        <f t="shared" si="33"/>
        <v>33605.042016806721</v>
      </c>
      <c r="R722" s="5">
        <f t="shared" si="34"/>
        <v>23673</v>
      </c>
      <c r="S722" s="5">
        <f t="shared" si="35"/>
        <v>9932.0420168067212</v>
      </c>
    </row>
    <row r="723" spans="1:19" hidden="1" x14ac:dyDescent="0.3">
      <c r="A723">
        <v>100</v>
      </c>
      <c r="B723" t="s">
        <v>16</v>
      </c>
      <c r="C723" t="s">
        <v>1605</v>
      </c>
      <c r="D723" s="2" t="s">
        <v>1606</v>
      </c>
      <c r="E723" t="s">
        <v>1607</v>
      </c>
      <c r="F723" t="s">
        <v>20</v>
      </c>
      <c r="G723" t="s">
        <v>21</v>
      </c>
      <c r="H723" t="s">
        <v>1608</v>
      </c>
      <c r="I723" t="s">
        <v>23</v>
      </c>
      <c r="J723" t="s">
        <v>207</v>
      </c>
      <c r="K723" s="2" t="s">
        <v>1569</v>
      </c>
      <c r="L723" t="s">
        <v>26</v>
      </c>
      <c r="M723">
        <v>350824</v>
      </c>
      <c r="N723">
        <v>1</v>
      </c>
      <c r="O723" s="3">
        <v>29990</v>
      </c>
      <c r="P723" s="3">
        <v>18857</v>
      </c>
      <c r="Q723" s="5">
        <f t="shared" si="33"/>
        <v>25201.680672268907</v>
      </c>
      <c r="R723" s="5">
        <f t="shared" si="34"/>
        <v>18857</v>
      </c>
      <c r="S723" s="5">
        <f t="shared" si="35"/>
        <v>6344.6806722689071</v>
      </c>
    </row>
    <row r="724" spans="1:19" hidden="1" x14ac:dyDescent="0.3">
      <c r="A724">
        <v>100</v>
      </c>
      <c r="B724" t="s">
        <v>16</v>
      </c>
      <c r="C724" t="s">
        <v>1609</v>
      </c>
      <c r="D724" s="2" t="s">
        <v>1610</v>
      </c>
      <c r="E724" t="s">
        <v>1611</v>
      </c>
      <c r="F724" t="s">
        <v>20</v>
      </c>
      <c r="G724" t="s">
        <v>21</v>
      </c>
      <c r="H724" t="s">
        <v>1612</v>
      </c>
      <c r="I724" t="s">
        <v>23</v>
      </c>
      <c r="J724" t="s">
        <v>35</v>
      </c>
      <c r="K724" s="2" t="s">
        <v>1569</v>
      </c>
      <c r="L724" t="s">
        <v>26</v>
      </c>
      <c r="M724">
        <v>350825</v>
      </c>
      <c r="N724">
        <v>1</v>
      </c>
      <c r="O724" s="3">
        <v>49990</v>
      </c>
      <c r="P724" s="3">
        <v>33741</v>
      </c>
      <c r="Q724" s="5">
        <f t="shared" si="33"/>
        <v>42008.403361344543</v>
      </c>
      <c r="R724" s="5">
        <f t="shared" si="34"/>
        <v>33741</v>
      </c>
      <c r="S724" s="5">
        <f t="shared" si="35"/>
        <v>8267.4033613445426</v>
      </c>
    </row>
    <row r="725" spans="1:19" hidden="1" x14ac:dyDescent="0.3">
      <c r="A725">
        <v>100</v>
      </c>
      <c r="B725" t="s">
        <v>16</v>
      </c>
      <c r="C725" t="s">
        <v>1613</v>
      </c>
      <c r="D725" s="2" t="s">
        <v>1614</v>
      </c>
      <c r="E725" t="s">
        <v>19</v>
      </c>
      <c r="F725" t="s">
        <v>20</v>
      </c>
      <c r="G725" t="s">
        <v>21</v>
      </c>
      <c r="H725" t="s">
        <v>22</v>
      </c>
      <c r="I725" t="s">
        <v>23</v>
      </c>
      <c r="J725" t="s">
        <v>24</v>
      </c>
      <c r="K725" s="2" t="s">
        <v>1569</v>
      </c>
      <c r="L725" t="s">
        <v>26</v>
      </c>
      <c r="M725">
        <v>350826</v>
      </c>
      <c r="N725">
        <v>1</v>
      </c>
      <c r="O725" s="3">
        <v>55990</v>
      </c>
      <c r="P725" s="3">
        <v>29070</v>
      </c>
      <c r="Q725" s="5">
        <f t="shared" si="33"/>
        <v>47050.420168067227</v>
      </c>
      <c r="R725" s="5">
        <f t="shared" si="34"/>
        <v>29070</v>
      </c>
      <c r="S725" s="5">
        <f t="shared" si="35"/>
        <v>17980.420168067227</v>
      </c>
    </row>
    <row r="726" spans="1:19" hidden="1" x14ac:dyDescent="0.3">
      <c r="A726">
        <v>100</v>
      </c>
      <c r="B726" t="s">
        <v>16</v>
      </c>
      <c r="C726" t="s">
        <v>1615</v>
      </c>
      <c r="D726" s="2" t="s">
        <v>1616</v>
      </c>
      <c r="E726" t="s">
        <v>1617</v>
      </c>
      <c r="F726" t="s">
        <v>20</v>
      </c>
      <c r="G726" t="s">
        <v>21</v>
      </c>
      <c r="H726" t="s">
        <v>48</v>
      </c>
      <c r="I726" t="s">
        <v>23</v>
      </c>
      <c r="J726" t="s">
        <v>49</v>
      </c>
      <c r="K726" s="2" t="s">
        <v>1569</v>
      </c>
      <c r="L726" t="s">
        <v>26</v>
      </c>
      <c r="M726">
        <v>350827</v>
      </c>
      <c r="N726">
        <v>1</v>
      </c>
      <c r="O726" s="3">
        <v>39990</v>
      </c>
      <c r="P726" s="3">
        <v>24322</v>
      </c>
      <c r="Q726" s="5">
        <f t="shared" si="33"/>
        <v>33605.042016806721</v>
      </c>
      <c r="R726" s="5">
        <f t="shared" si="34"/>
        <v>24322</v>
      </c>
      <c r="S726" s="5">
        <f t="shared" si="35"/>
        <v>9283.0420168067212</v>
      </c>
    </row>
    <row r="727" spans="1:19" hidden="1" x14ac:dyDescent="0.3">
      <c r="A727">
        <v>100</v>
      </c>
      <c r="B727" t="s">
        <v>16</v>
      </c>
      <c r="C727" t="s">
        <v>1618</v>
      </c>
      <c r="D727" s="2" t="s">
        <v>1619</v>
      </c>
      <c r="E727" t="s">
        <v>1620</v>
      </c>
      <c r="F727" t="s">
        <v>20</v>
      </c>
      <c r="G727" t="s">
        <v>21</v>
      </c>
      <c r="H727" t="s">
        <v>673</v>
      </c>
      <c r="I727" t="s">
        <v>23</v>
      </c>
      <c r="J727" t="s">
        <v>35</v>
      </c>
      <c r="K727" s="2" t="s">
        <v>1569</v>
      </c>
      <c r="L727" t="s">
        <v>26</v>
      </c>
      <c r="M727">
        <v>350828</v>
      </c>
      <c r="N727">
        <v>1</v>
      </c>
      <c r="O727" s="3">
        <v>69990</v>
      </c>
      <c r="P727" s="3">
        <v>37776</v>
      </c>
      <c r="Q727" s="5">
        <f t="shared" si="33"/>
        <v>58815.126050420171</v>
      </c>
      <c r="R727" s="5">
        <f t="shared" si="34"/>
        <v>37776</v>
      </c>
      <c r="S727" s="5">
        <f t="shared" si="35"/>
        <v>21039.126050420171</v>
      </c>
    </row>
    <row r="728" spans="1:19" hidden="1" x14ac:dyDescent="0.3">
      <c r="A728">
        <v>100</v>
      </c>
      <c r="B728" t="s">
        <v>16</v>
      </c>
      <c r="C728" t="s">
        <v>1621</v>
      </c>
      <c r="D728" s="2" t="s">
        <v>1622</v>
      </c>
      <c r="E728" t="s">
        <v>1623</v>
      </c>
      <c r="F728" t="s">
        <v>20</v>
      </c>
      <c r="G728" t="s">
        <v>21</v>
      </c>
      <c r="H728" t="s">
        <v>1519</v>
      </c>
      <c r="I728" t="s">
        <v>23</v>
      </c>
      <c r="J728" t="s">
        <v>40</v>
      </c>
      <c r="K728" s="2" t="s">
        <v>1569</v>
      </c>
      <c r="L728" t="s">
        <v>26</v>
      </c>
      <c r="M728">
        <v>350829</v>
      </c>
      <c r="N728">
        <v>1</v>
      </c>
      <c r="O728" s="3">
        <v>34990</v>
      </c>
      <c r="P728" s="3">
        <v>29395</v>
      </c>
      <c r="Q728" s="5">
        <f t="shared" si="33"/>
        <v>29403.361344537818</v>
      </c>
      <c r="R728" s="5">
        <f t="shared" si="34"/>
        <v>29395</v>
      </c>
      <c r="S728" s="5">
        <f t="shared" si="35"/>
        <v>8.3613445378177857</v>
      </c>
    </row>
    <row r="729" spans="1:19" hidden="1" x14ac:dyDescent="0.3">
      <c r="A729">
        <v>100</v>
      </c>
      <c r="B729" t="s">
        <v>16</v>
      </c>
      <c r="C729" t="s">
        <v>1624</v>
      </c>
      <c r="D729" s="2" t="s">
        <v>1625</v>
      </c>
      <c r="E729" t="s">
        <v>1626</v>
      </c>
      <c r="F729" t="s">
        <v>20</v>
      </c>
      <c r="G729" t="s">
        <v>21</v>
      </c>
      <c r="H729" t="s">
        <v>323</v>
      </c>
      <c r="I729" t="s">
        <v>23</v>
      </c>
      <c r="J729" t="s">
        <v>35</v>
      </c>
      <c r="K729" s="2" t="s">
        <v>1569</v>
      </c>
      <c r="L729" t="s">
        <v>26</v>
      </c>
      <c r="M729">
        <v>350830</v>
      </c>
      <c r="N729">
        <v>1</v>
      </c>
      <c r="O729" s="3">
        <v>59990</v>
      </c>
      <c r="P729" s="3">
        <v>37255</v>
      </c>
      <c r="Q729" s="5">
        <f t="shared" si="33"/>
        <v>50411.764705882357</v>
      </c>
      <c r="R729" s="5">
        <f t="shared" si="34"/>
        <v>37255</v>
      </c>
      <c r="S729" s="5">
        <f t="shared" si="35"/>
        <v>13156.764705882357</v>
      </c>
    </row>
    <row r="730" spans="1:19" hidden="1" x14ac:dyDescent="0.3">
      <c r="A730">
        <v>100</v>
      </c>
      <c r="B730" t="s">
        <v>16</v>
      </c>
      <c r="C730" t="s">
        <v>1627</v>
      </c>
      <c r="D730" s="2" t="s">
        <v>1628</v>
      </c>
      <c r="E730" t="s">
        <v>1629</v>
      </c>
      <c r="F730" t="s">
        <v>20</v>
      </c>
      <c r="G730" t="s">
        <v>21</v>
      </c>
      <c r="H730" t="s">
        <v>610</v>
      </c>
      <c r="I730" t="s">
        <v>23</v>
      </c>
      <c r="J730" t="s">
        <v>40</v>
      </c>
      <c r="K730" s="2" t="s">
        <v>1569</v>
      </c>
      <c r="L730" t="s">
        <v>26</v>
      </c>
      <c r="M730">
        <v>350831</v>
      </c>
      <c r="N730">
        <v>1</v>
      </c>
      <c r="O730" s="3">
        <v>29990</v>
      </c>
      <c r="P730" s="3">
        <v>12681</v>
      </c>
      <c r="Q730" s="5">
        <f t="shared" si="33"/>
        <v>25201.680672268907</v>
      </c>
      <c r="R730" s="5">
        <f t="shared" si="34"/>
        <v>12681</v>
      </c>
      <c r="S730" s="5">
        <f t="shared" si="35"/>
        <v>12520.680672268907</v>
      </c>
    </row>
    <row r="731" spans="1:19" hidden="1" x14ac:dyDescent="0.3">
      <c r="A731">
        <v>100</v>
      </c>
      <c r="B731" t="s">
        <v>16</v>
      </c>
      <c r="C731" t="s">
        <v>1630</v>
      </c>
      <c r="D731" s="2" t="s">
        <v>1631</v>
      </c>
      <c r="E731" t="s">
        <v>1632</v>
      </c>
      <c r="F731" t="s">
        <v>20</v>
      </c>
      <c r="G731" t="s">
        <v>21</v>
      </c>
      <c r="H731" t="s">
        <v>1124</v>
      </c>
      <c r="I731" t="s">
        <v>23</v>
      </c>
      <c r="J731" t="s">
        <v>35</v>
      </c>
      <c r="K731" s="2" t="s">
        <v>1569</v>
      </c>
      <c r="L731" t="s">
        <v>26</v>
      </c>
      <c r="M731">
        <v>350832</v>
      </c>
      <c r="N731">
        <v>1</v>
      </c>
      <c r="O731" s="3">
        <v>69950</v>
      </c>
      <c r="P731" s="3">
        <v>28409</v>
      </c>
      <c r="Q731" s="5">
        <f t="shared" si="33"/>
        <v>58781.512605042022</v>
      </c>
      <c r="R731" s="5">
        <f t="shared" si="34"/>
        <v>28409</v>
      </c>
      <c r="S731" s="5">
        <f t="shared" si="35"/>
        <v>30372.512605042022</v>
      </c>
    </row>
    <row r="732" spans="1:19" hidden="1" x14ac:dyDescent="0.3">
      <c r="A732">
        <v>100</v>
      </c>
      <c r="B732" t="s">
        <v>16</v>
      </c>
      <c r="C732" t="s">
        <v>32</v>
      </c>
      <c r="D732" s="2" t="s">
        <v>33</v>
      </c>
      <c r="E732" t="s">
        <v>34</v>
      </c>
      <c r="F732" t="s">
        <v>20</v>
      </c>
      <c r="G732" t="s">
        <v>21</v>
      </c>
      <c r="H732" t="s">
        <v>22</v>
      </c>
      <c r="I732" t="s">
        <v>23</v>
      </c>
      <c r="J732" t="s">
        <v>35</v>
      </c>
      <c r="K732" s="2" t="s">
        <v>1569</v>
      </c>
      <c r="L732" t="s">
        <v>26</v>
      </c>
      <c r="M732">
        <v>350833</v>
      </c>
      <c r="N732">
        <v>1</v>
      </c>
      <c r="O732" s="3">
        <v>69990</v>
      </c>
      <c r="P732" s="3">
        <v>35279</v>
      </c>
      <c r="Q732" s="5">
        <f t="shared" si="33"/>
        <v>58815.126050420171</v>
      </c>
      <c r="R732" s="5">
        <f t="shared" si="34"/>
        <v>35279</v>
      </c>
      <c r="S732" s="5">
        <f t="shared" si="35"/>
        <v>23536.126050420171</v>
      </c>
    </row>
    <row r="733" spans="1:19" hidden="1" x14ac:dyDescent="0.3">
      <c r="A733">
        <v>100</v>
      </c>
      <c r="B733" t="s">
        <v>16</v>
      </c>
      <c r="C733" t="s">
        <v>1231</v>
      </c>
      <c r="D733" s="2" t="s">
        <v>1232</v>
      </c>
      <c r="E733" t="s">
        <v>477</v>
      </c>
      <c r="F733" t="s">
        <v>20</v>
      </c>
      <c r="G733" t="s">
        <v>21</v>
      </c>
      <c r="H733" t="s">
        <v>48</v>
      </c>
      <c r="I733" t="s">
        <v>23</v>
      </c>
      <c r="J733" t="s">
        <v>35</v>
      </c>
      <c r="K733" s="2" t="s">
        <v>1569</v>
      </c>
      <c r="L733" t="s">
        <v>26</v>
      </c>
      <c r="M733">
        <v>350834</v>
      </c>
      <c r="N733">
        <v>1</v>
      </c>
      <c r="O733" s="3">
        <v>49990</v>
      </c>
      <c r="P733" s="3">
        <v>28960</v>
      </c>
      <c r="Q733" s="5">
        <f t="shared" si="33"/>
        <v>42008.403361344543</v>
      </c>
      <c r="R733" s="5">
        <f t="shared" si="34"/>
        <v>28960</v>
      </c>
      <c r="S733" s="5">
        <f t="shared" si="35"/>
        <v>13048.403361344543</v>
      </c>
    </row>
    <row r="734" spans="1:19" hidden="1" x14ac:dyDescent="0.3">
      <c r="A734">
        <v>100</v>
      </c>
      <c r="B734" t="s">
        <v>16</v>
      </c>
      <c r="C734" t="s">
        <v>1633</v>
      </c>
      <c r="D734" s="2" t="s">
        <v>1634</v>
      </c>
      <c r="E734" t="s">
        <v>195</v>
      </c>
      <c r="F734" t="s">
        <v>20</v>
      </c>
      <c r="G734" t="s">
        <v>21</v>
      </c>
      <c r="H734" t="s">
        <v>22</v>
      </c>
      <c r="I734" t="s">
        <v>23</v>
      </c>
      <c r="J734" t="s">
        <v>35</v>
      </c>
      <c r="K734" s="2" t="s">
        <v>1569</v>
      </c>
      <c r="L734" t="s">
        <v>26</v>
      </c>
      <c r="M734">
        <v>350835</v>
      </c>
      <c r="N734">
        <v>1</v>
      </c>
      <c r="O734" s="3">
        <v>69990</v>
      </c>
      <c r="P734" s="3">
        <v>35271</v>
      </c>
      <c r="Q734" s="5">
        <f t="shared" si="33"/>
        <v>58815.126050420171</v>
      </c>
      <c r="R734" s="5">
        <f t="shared" si="34"/>
        <v>35271</v>
      </c>
      <c r="S734" s="5">
        <f t="shared" si="35"/>
        <v>23544.126050420171</v>
      </c>
    </row>
    <row r="735" spans="1:19" hidden="1" x14ac:dyDescent="0.3">
      <c r="A735">
        <v>100</v>
      </c>
      <c r="B735" t="s">
        <v>16</v>
      </c>
      <c r="C735" t="s">
        <v>1635</v>
      </c>
      <c r="D735" s="2" t="s">
        <v>1636</v>
      </c>
      <c r="E735" t="s">
        <v>924</v>
      </c>
      <c r="F735" t="s">
        <v>20</v>
      </c>
      <c r="G735" t="s">
        <v>21</v>
      </c>
      <c r="H735" t="s">
        <v>30</v>
      </c>
      <c r="I735" t="s">
        <v>23</v>
      </c>
      <c r="J735" t="s">
        <v>35</v>
      </c>
      <c r="K735" s="2" t="s">
        <v>1569</v>
      </c>
      <c r="L735" t="s">
        <v>26</v>
      </c>
      <c r="M735">
        <v>350836</v>
      </c>
      <c r="N735">
        <v>1</v>
      </c>
      <c r="O735" s="3">
        <v>79950</v>
      </c>
      <c r="P735" s="3">
        <v>29988</v>
      </c>
      <c r="Q735" s="5">
        <f t="shared" si="33"/>
        <v>67184.873949579836</v>
      </c>
      <c r="R735" s="5">
        <f t="shared" si="34"/>
        <v>29988</v>
      </c>
      <c r="S735" s="5">
        <f t="shared" si="35"/>
        <v>37196.873949579836</v>
      </c>
    </row>
    <row r="736" spans="1:19" hidden="1" x14ac:dyDescent="0.3">
      <c r="A736">
        <v>100</v>
      </c>
      <c r="B736" t="s">
        <v>16</v>
      </c>
      <c r="C736" t="s">
        <v>1637</v>
      </c>
      <c r="D736" s="2" t="s">
        <v>1638</v>
      </c>
      <c r="E736" t="s">
        <v>457</v>
      </c>
      <c r="F736" t="s">
        <v>20</v>
      </c>
      <c r="G736" t="s">
        <v>21</v>
      </c>
      <c r="H736" t="s">
        <v>79</v>
      </c>
      <c r="I736" t="s">
        <v>23</v>
      </c>
      <c r="J736" t="s">
        <v>35</v>
      </c>
      <c r="K736" s="2" t="s">
        <v>1569</v>
      </c>
      <c r="L736" t="s">
        <v>26</v>
      </c>
      <c r="M736">
        <v>350837</v>
      </c>
      <c r="N736">
        <v>1</v>
      </c>
      <c r="O736" s="3">
        <v>59990</v>
      </c>
      <c r="P736" s="3">
        <v>36025</v>
      </c>
      <c r="Q736" s="5">
        <f t="shared" si="33"/>
        <v>50411.764705882357</v>
      </c>
      <c r="R736" s="5">
        <f t="shared" si="34"/>
        <v>36025</v>
      </c>
      <c r="S736" s="5">
        <f t="shared" si="35"/>
        <v>14386.764705882357</v>
      </c>
    </row>
    <row r="737" spans="1:19" hidden="1" x14ac:dyDescent="0.3">
      <c r="A737">
        <v>100</v>
      </c>
      <c r="B737" t="s">
        <v>16</v>
      </c>
      <c r="C737" t="s">
        <v>1340</v>
      </c>
      <c r="D737" s="2" t="s">
        <v>1341</v>
      </c>
      <c r="E737" t="s">
        <v>34</v>
      </c>
      <c r="F737" t="s">
        <v>20</v>
      </c>
      <c r="G737" t="s">
        <v>21</v>
      </c>
      <c r="H737" t="s">
        <v>22</v>
      </c>
      <c r="I737" t="s">
        <v>23</v>
      </c>
      <c r="J737" t="s">
        <v>35</v>
      </c>
      <c r="K737" s="2" t="s">
        <v>1569</v>
      </c>
      <c r="L737" t="s">
        <v>26</v>
      </c>
      <c r="M737">
        <v>350837</v>
      </c>
      <c r="N737">
        <v>1</v>
      </c>
      <c r="O737" s="3">
        <v>69990</v>
      </c>
      <c r="P737" s="3">
        <v>35258</v>
      </c>
      <c r="Q737" s="5">
        <f t="shared" si="33"/>
        <v>58815.126050420171</v>
      </c>
      <c r="R737" s="5">
        <f t="shared" si="34"/>
        <v>35258</v>
      </c>
      <c r="S737" s="5">
        <f t="shared" si="35"/>
        <v>23557.126050420171</v>
      </c>
    </row>
    <row r="738" spans="1:19" hidden="1" x14ac:dyDescent="0.3">
      <c r="A738">
        <v>100</v>
      </c>
      <c r="B738" t="s">
        <v>16</v>
      </c>
      <c r="C738" t="s">
        <v>762</v>
      </c>
      <c r="D738" s="2" t="s">
        <v>763</v>
      </c>
      <c r="E738" t="s">
        <v>183</v>
      </c>
      <c r="F738" t="s">
        <v>20</v>
      </c>
      <c r="G738" t="s">
        <v>21</v>
      </c>
      <c r="H738" t="s">
        <v>61</v>
      </c>
      <c r="I738" t="s">
        <v>23</v>
      </c>
      <c r="J738" t="s">
        <v>40</v>
      </c>
      <c r="K738" s="2" t="s">
        <v>1569</v>
      </c>
      <c r="L738" t="s">
        <v>26</v>
      </c>
      <c r="M738">
        <v>350838</v>
      </c>
      <c r="N738">
        <v>1</v>
      </c>
      <c r="O738" s="3">
        <v>39990</v>
      </c>
      <c r="P738" s="3">
        <v>23582</v>
      </c>
      <c r="Q738" s="5">
        <f t="shared" si="33"/>
        <v>33605.042016806721</v>
      </c>
      <c r="R738" s="5">
        <f t="shared" si="34"/>
        <v>23582</v>
      </c>
      <c r="S738" s="5">
        <f t="shared" si="35"/>
        <v>10023.042016806721</v>
      </c>
    </row>
    <row r="739" spans="1:19" hidden="1" x14ac:dyDescent="0.3">
      <c r="A739">
        <v>100</v>
      </c>
      <c r="B739" t="s">
        <v>16</v>
      </c>
      <c r="C739" t="s">
        <v>1639</v>
      </c>
      <c r="D739" s="2" t="s">
        <v>1640</v>
      </c>
      <c r="E739" t="s">
        <v>89</v>
      </c>
      <c r="F739" t="s">
        <v>20</v>
      </c>
      <c r="G739" t="s">
        <v>21</v>
      </c>
      <c r="H739" t="s">
        <v>90</v>
      </c>
      <c r="I739" t="s">
        <v>23</v>
      </c>
      <c r="J739" t="s">
        <v>35</v>
      </c>
      <c r="K739" s="2" t="s">
        <v>1569</v>
      </c>
      <c r="L739" t="s">
        <v>26</v>
      </c>
      <c r="M739">
        <v>350839</v>
      </c>
      <c r="N739">
        <v>1</v>
      </c>
      <c r="O739" s="3">
        <v>59990</v>
      </c>
      <c r="P739" s="3">
        <v>36123</v>
      </c>
      <c r="Q739" s="5">
        <f t="shared" si="33"/>
        <v>50411.764705882357</v>
      </c>
      <c r="R739" s="5">
        <f t="shared" si="34"/>
        <v>36123</v>
      </c>
      <c r="S739" s="5">
        <f t="shared" si="35"/>
        <v>14288.764705882357</v>
      </c>
    </row>
    <row r="740" spans="1:19" hidden="1" x14ac:dyDescent="0.3">
      <c r="A740">
        <v>100</v>
      </c>
      <c r="B740" t="s">
        <v>16</v>
      </c>
      <c r="C740" t="s">
        <v>1641</v>
      </c>
      <c r="D740" s="2" t="s">
        <v>1642</v>
      </c>
      <c r="E740" t="s">
        <v>519</v>
      </c>
      <c r="F740" t="s">
        <v>20</v>
      </c>
      <c r="G740" t="s">
        <v>21</v>
      </c>
      <c r="H740" t="s">
        <v>520</v>
      </c>
      <c r="I740" t="s">
        <v>23</v>
      </c>
      <c r="J740" t="s">
        <v>35</v>
      </c>
      <c r="K740" s="2" t="s">
        <v>1569</v>
      </c>
      <c r="L740" t="s">
        <v>26</v>
      </c>
      <c r="M740">
        <v>350840</v>
      </c>
      <c r="N740">
        <v>1</v>
      </c>
      <c r="O740" s="3">
        <v>69990</v>
      </c>
      <c r="P740" s="3">
        <v>36238</v>
      </c>
      <c r="Q740" s="5">
        <f t="shared" si="33"/>
        <v>58815.126050420171</v>
      </c>
      <c r="R740" s="5">
        <f t="shared" si="34"/>
        <v>36238</v>
      </c>
      <c r="S740" s="5">
        <f t="shared" si="35"/>
        <v>22577.126050420171</v>
      </c>
    </row>
    <row r="741" spans="1:19" hidden="1" x14ac:dyDescent="0.3">
      <c r="A741">
        <v>100</v>
      </c>
      <c r="B741" t="s">
        <v>16</v>
      </c>
      <c r="C741" t="s">
        <v>1643</v>
      </c>
      <c r="D741" s="2" t="s">
        <v>1644</v>
      </c>
      <c r="E741" t="s">
        <v>1344</v>
      </c>
      <c r="F741" t="s">
        <v>20</v>
      </c>
      <c r="G741" t="s">
        <v>21</v>
      </c>
      <c r="H741" t="s">
        <v>1345</v>
      </c>
      <c r="I741" t="s">
        <v>23</v>
      </c>
      <c r="J741" t="s">
        <v>40</v>
      </c>
      <c r="K741" s="2" t="s">
        <v>1569</v>
      </c>
      <c r="L741" t="s">
        <v>26</v>
      </c>
      <c r="M741">
        <v>350841</v>
      </c>
      <c r="N741">
        <v>1</v>
      </c>
      <c r="O741" s="3">
        <v>29990</v>
      </c>
      <c r="P741" s="3">
        <v>17216</v>
      </c>
      <c r="Q741" s="5">
        <f t="shared" si="33"/>
        <v>25201.680672268907</v>
      </c>
      <c r="R741" s="5">
        <f t="shared" si="34"/>
        <v>17216</v>
      </c>
      <c r="S741" s="5">
        <f t="shared" si="35"/>
        <v>7985.6806722689071</v>
      </c>
    </row>
    <row r="742" spans="1:19" hidden="1" x14ac:dyDescent="0.3">
      <c r="A742">
        <v>100</v>
      </c>
      <c r="B742" t="s">
        <v>16</v>
      </c>
      <c r="C742" t="s">
        <v>157</v>
      </c>
      <c r="D742" s="2" t="s">
        <v>158</v>
      </c>
      <c r="E742" t="s">
        <v>159</v>
      </c>
      <c r="F742" t="s">
        <v>20</v>
      </c>
      <c r="G742" t="s">
        <v>21</v>
      </c>
      <c r="H742" t="s">
        <v>160</v>
      </c>
      <c r="I742" t="s">
        <v>23</v>
      </c>
      <c r="J742" t="s">
        <v>35</v>
      </c>
      <c r="K742" s="2" t="s">
        <v>1569</v>
      </c>
      <c r="L742" t="s">
        <v>26</v>
      </c>
      <c r="M742">
        <v>350842</v>
      </c>
      <c r="N742">
        <v>1</v>
      </c>
      <c r="O742" s="3">
        <v>59990</v>
      </c>
      <c r="P742" s="3">
        <v>32361</v>
      </c>
      <c r="Q742" s="5">
        <f t="shared" si="33"/>
        <v>50411.764705882357</v>
      </c>
      <c r="R742" s="5">
        <f t="shared" si="34"/>
        <v>32361</v>
      </c>
      <c r="S742" s="5">
        <f t="shared" si="35"/>
        <v>18050.764705882357</v>
      </c>
    </row>
    <row r="743" spans="1:19" hidden="1" x14ac:dyDescent="0.3">
      <c r="A743">
        <v>100</v>
      </c>
      <c r="B743" t="s">
        <v>16</v>
      </c>
      <c r="C743" t="s">
        <v>1645</v>
      </c>
      <c r="D743" s="2" t="s">
        <v>1646</v>
      </c>
      <c r="E743" t="s">
        <v>1344</v>
      </c>
      <c r="F743" t="s">
        <v>20</v>
      </c>
      <c r="G743" t="s">
        <v>21</v>
      </c>
      <c r="H743" t="s">
        <v>1345</v>
      </c>
      <c r="I743" t="s">
        <v>23</v>
      </c>
      <c r="J743" t="s">
        <v>40</v>
      </c>
      <c r="K743" s="2" t="s">
        <v>1569</v>
      </c>
      <c r="L743" t="s">
        <v>26</v>
      </c>
      <c r="M743">
        <v>350843</v>
      </c>
      <c r="N743">
        <v>1</v>
      </c>
      <c r="O743" s="3">
        <v>29990</v>
      </c>
      <c r="P743" s="3">
        <v>17216</v>
      </c>
      <c r="Q743" s="5">
        <f t="shared" si="33"/>
        <v>25201.680672268907</v>
      </c>
      <c r="R743" s="5">
        <f t="shared" si="34"/>
        <v>17216</v>
      </c>
      <c r="S743" s="5">
        <f t="shared" si="35"/>
        <v>7985.6806722689071</v>
      </c>
    </row>
    <row r="744" spans="1:19" hidden="1" x14ac:dyDescent="0.3">
      <c r="A744">
        <v>100</v>
      </c>
      <c r="B744" t="s">
        <v>16</v>
      </c>
      <c r="C744" t="s">
        <v>1454</v>
      </c>
      <c r="D744" s="2" t="s">
        <v>1455</v>
      </c>
      <c r="E744" t="s">
        <v>1456</v>
      </c>
      <c r="F744" t="s">
        <v>20</v>
      </c>
      <c r="G744" t="s">
        <v>21</v>
      </c>
      <c r="H744" t="s">
        <v>1457</v>
      </c>
      <c r="I744" t="s">
        <v>23</v>
      </c>
      <c r="J744" t="s">
        <v>40</v>
      </c>
      <c r="K744" s="2" t="s">
        <v>1569</v>
      </c>
      <c r="L744" t="s">
        <v>26</v>
      </c>
      <c r="M744">
        <v>350844</v>
      </c>
      <c r="N744">
        <v>1</v>
      </c>
      <c r="O744" s="3">
        <v>34990</v>
      </c>
      <c r="P744" s="3">
        <v>14950</v>
      </c>
      <c r="Q744" s="5">
        <f t="shared" si="33"/>
        <v>29403.361344537818</v>
      </c>
      <c r="R744" s="5">
        <f t="shared" si="34"/>
        <v>14950</v>
      </c>
      <c r="S744" s="5">
        <f t="shared" si="35"/>
        <v>14453.361344537818</v>
      </c>
    </row>
    <row r="745" spans="1:19" hidden="1" x14ac:dyDescent="0.3">
      <c r="A745">
        <v>100</v>
      </c>
      <c r="B745" t="s">
        <v>16</v>
      </c>
      <c r="C745" t="s">
        <v>1334</v>
      </c>
      <c r="D745" s="2" t="s">
        <v>1335</v>
      </c>
      <c r="E745" t="s">
        <v>1336</v>
      </c>
      <c r="F745" t="s">
        <v>20</v>
      </c>
      <c r="G745" t="s">
        <v>21</v>
      </c>
      <c r="H745" t="s">
        <v>1337</v>
      </c>
      <c r="I745" t="s">
        <v>23</v>
      </c>
      <c r="J745" t="s">
        <v>49</v>
      </c>
      <c r="K745" s="2" t="s">
        <v>1569</v>
      </c>
      <c r="L745" t="s">
        <v>26</v>
      </c>
      <c r="M745">
        <v>350845</v>
      </c>
      <c r="N745">
        <v>1</v>
      </c>
      <c r="O745" s="3">
        <v>59950</v>
      </c>
      <c r="P745" s="3">
        <v>19049</v>
      </c>
      <c r="Q745" s="5">
        <f t="shared" si="33"/>
        <v>50378.151260504201</v>
      </c>
      <c r="R745" s="5">
        <f t="shared" si="34"/>
        <v>19049</v>
      </c>
      <c r="S745" s="5">
        <f t="shared" si="35"/>
        <v>31329.151260504201</v>
      </c>
    </row>
    <row r="746" spans="1:19" hidden="1" x14ac:dyDescent="0.3">
      <c r="A746">
        <v>100</v>
      </c>
      <c r="B746" t="s">
        <v>16</v>
      </c>
      <c r="C746" t="s">
        <v>1489</v>
      </c>
      <c r="D746" s="2" t="s">
        <v>1490</v>
      </c>
      <c r="E746" t="s">
        <v>1491</v>
      </c>
      <c r="F746" t="s">
        <v>20</v>
      </c>
      <c r="G746" t="s">
        <v>21</v>
      </c>
      <c r="H746" t="s">
        <v>610</v>
      </c>
      <c r="I746" t="s">
        <v>23</v>
      </c>
      <c r="J746" t="s">
        <v>40</v>
      </c>
      <c r="K746" s="2" t="s">
        <v>1569</v>
      </c>
      <c r="L746" t="s">
        <v>26</v>
      </c>
      <c r="M746">
        <v>350846</v>
      </c>
      <c r="N746">
        <v>1</v>
      </c>
      <c r="O746" s="3">
        <v>37990</v>
      </c>
      <c r="P746" s="3">
        <v>14680</v>
      </c>
      <c r="Q746" s="5">
        <f t="shared" si="33"/>
        <v>31924.36974789916</v>
      </c>
      <c r="R746" s="5">
        <f t="shared" si="34"/>
        <v>14680</v>
      </c>
      <c r="S746" s="5">
        <f t="shared" si="35"/>
        <v>17244.36974789916</v>
      </c>
    </row>
    <row r="747" spans="1:19" hidden="1" x14ac:dyDescent="0.3">
      <c r="A747">
        <v>100</v>
      </c>
      <c r="B747" t="s">
        <v>16</v>
      </c>
      <c r="C747" t="s">
        <v>1647</v>
      </c>
      <c r="D747" s="2" t="s">
        <v>1648</v>
      </c>
      <c r="E747" t="s">
        <v>927</v>
      </c>
      <c r="F747" t="s">
        <v>20</v>
      </c>
      <c r="G747" t="s">
        <v>21</v>
      </c>
      <c r="H747" t="s">
        <v>738</v>
      </c>
      <c r="I747" t="s">
        <v>23</v>
      </c>
      <c r="J747" t="s">
        <v>49</v>
      </c>
      <c r="K747" s="2" t="s">
        <v>1569</v>
      </c>
      <c r="L747" t="s">
        <v>26</v>
      </c>
      <c r="M747">
        <v>350846</v>
      </c>
      <c r="N747">
        <v>1</v>
      </c>
      <c r="O747" s="3">
        <v>39990</v>
      </c>
      <c r="P747" s="3">
        <v>21039</v>
      </c>
      <c r="Q747" s="5">
        <f t="shared" si="33"/>
        <v>33605.042016806721</v>
      </c>
      <c r="R747" s="5">
        <f t="shared" si="34"/>
        <v>21039</v>
      </c>
      <c r="S747" s="5">
        <f t="shared" si="35"/>
        <v>12566.042016806721</v>
      </c>
    </row>
    <row r="748" spans="1:19" hidden="1" x14ac:dyDescent="0.3">
      <c r="A748">
        <v>100</v>
      </c>
      <c r="B748" t="s">
        <v>16</v>
      </c>
      <c r="C748" t="s">
        <v>735</v>
      </c>
      <c r="D748" s="2" t="s">
        <v>736</v>
      </c>
      <c r="E748" t="s">
        <v>737</v>
      </c>
      <c r="F748" t="s">
        <v>20</v>
      </c>
      <c r="G748" t="s">
        <v>21</v>
      </c>
      <c r="H748" t="s">
        <v>738</v>
      </c>
      <c r="I748" t="s">
        <v>23</v>
      </c>
      <c r="J748" t="s">
        <v>49</v>
      </c>
      <c r="K748" s="2" t="s">
        <v>1569</v>
      </c>
      <c r="L748" t="s">
        <v>26</v>
      </c>
      <c r="M748">
        <v>350846</v>
      </c>
      <c r="N748">
        <v>1</v>
      </c>
      <c r="O748" s="3">
        <v>39990</v>
      </c>
      <c r="P748" s="3">
        <v>21039</v>
      </c>
      <c r="Q748" s="5">
        <f t="shared" si="33"/>
        <v>33605.042016806721</v>
      </c>
      <c r="R748" s="5">
        <f t="shared" si="34"/>
        <v>21039</v>
      </c>
      <c r="S748" s="5">
        <f t="shared" si="35"/>
        <v>12566.042016806721</v>
      </c>
    </row>
    <row r="749" spans="1:19" hidden="1" x14ac:dyDescent="0.3">
      <c r="A749">
        <v>100</v>
      </c>
      <c r="B749" t="s">
        <v>16</v>
      </c>
      <c r="C749" t="s">
        <v>1649</v>
      </c>
      <c r="D749" s="2" t="s">
        <v>1650</v>
      </c>
      <c r="E749" t="s">
        <v>1651</v>
      </c>
      <c r="F749" t="s">
        <v>20</v>
      </c>
      <c r="G749" t="s">
        <v>21</v>
      </c>
      <c r="H749" t="s">
        <v>1143</v>
      </c>
      <c r="I749" t="s">
        <v>23</v>
      </c>
      <c r="J749" t="s">
        <v>40</v>
      </c>
      <c r="K749" s="2" t="s">
        <v>1569</v>
      </c>
      <c r="L749" t="s">
        <v>26</v>
      </c>
      <c r="M749">
        <v>350847</v>
      </c>
      <c r="N749">
        <v>1</v>
      </c>
      <c r="O749" s="3">
        <v>34990</v>
      </c>
      <c r="P749" s="3">
        <v>27195</v>
      </c>
      <c r="Q749" s="5">
        <f t="shared" si="33"/>
        <v>29403.361344537818</v>
      </c>
      <c r="R749" s="5">
        <f t="shared" si="34"/>
        <v>27195</v>
      </c>
      <c r="S749" s="5">
        <f t="shared" si="35"/>
        <v>2208.3613445378178</v>
      </c>
    </row>
    <row r="750" spans="1:19" hidden="1" x14ac:dyDescent="0.3">
      <c r="A750">
        <v>100</v>
      </c>
      <c r="B750" t="s">
        <v>16</v>
      </c>
      <c r="C750" t="s">
        <v>157</v>
      </c>
      <c r="D750" s="2" t="s">
        <v>158</v>
      </c>
      <c r="E750" t="s">
        <v>159</v>
      </c>
      <c r="F750" t="s">
        <v>20</v>
      </c>
      <c r="G750" t="s">
        <v>21</v>
      </c>
      <c r="H750" t="s">
        <v>160</v>
      </c>
      <c r="I750" t="s">
        <v>23</v>
      </c>
      <c r="J750" t="s">
        <v>35</v>
      </c>
      <c r="K750" s="2" t="s">
        <v>1569</v>
      </c>
      <c r="L750" t="s">
        <v>26</v>
      </c>
      <c r="M750">
        <v>350848</v>
      </c>
      <c r="N750">
        <v>1</v>
      </c>
      <c r="O750" s="3">
        <v>59990</v>
      </c>
      <c r="P750" s="3">
        <v>32361</v>
      </c>
      <c r="Q750" s="5">
        <f t="shared" si="33"/>
        <v>50411.764705882357</v>
      </c>
      <c r="R750" s="5">
        <f t="shared" si="34"/>
        <v>32361</v>
      </c>
      <c r="S750" s="5">
        <f t="shared" si="35"/>
        <v>18050.764705882357</v>
      </c>
    </row>
    <row r="751" spans="1:19" hidden="1" x14ac:dyDescent="0.3">
      <c r="A751">
        <v>100</v>
      </c>
      <c r="B751" t="s">
        <v>16</v>
      </c>
      <c r="C751" t="s">
        <v>1340</v>
      </c>
      <c r="D751" s="2" t="s">
        <v>1341</v>
      </c>
      <c r="E751" t="s">
        <v>34</v>
      </c>
      <c r="F751" t="s">
        <v>20</v>
      </c>
      <c r="G751" t="s">
        <v>21</v>
      </c>
      <c r="H751" t="s">
        <v>22</v>
      </c>
      <c r="I751" t="s">
        <v>23</v>
      </c>
      <c r="J751" t="s">
        <v>35</v>
      </c>
      <c r="K751" s="2" t="s">
        <v>1569</v>
      </c>
      <c r="L751" t="s">
        <v>26</v>
      </c>
      <c r="M751">
        <v>350849</v>
      </c>
      <c r="N751">
        <v>1</v>
      </c>
      <c r="O751" s="3">
        <v>69990</v>
      </c>
      <c r="P751" s="3">
        <v>35258</v>
      </c>
      <c r="Q751" s="5">
        <f t="shared" si="33"/>
        <v>58815.126050420171</v>
      </c>
      <c r="R751" s="5">
        <f t="shared" si="34"/>
        <v>35258</v>
      </c>
      <c r="S751" s="5">
        <f t="shared" si="35"/>
        <v>23557.126050420171</v>
      </c>
    </row>
    <row r="752" spans="1:19" hidden="1" x14ac:dyDescent="0.3">
      <c r="A752">
        <v>100</v>
      </c>
      <c r="B752" t="s">
        <v>16</v>
      </c>
      <c r="C752" t="s">
        <v>1652</v>
      </c>
      <c r="D752" s="2" t="s">
        <v>1653</v>
      </c>
      <c r="E752" t="s">
        <v>288</v>
      </c>
      <c r="F752" t="s">
        <v>20</v>
      </c>
      <c r="G752" t="s">
        <v>21</v>
      </c>
      <c r="H752" t="s">
        <v>160</v>
      </c>
      <c r="I752" t="s">
        <v>23</v>
      </c>
      <c r="J752" t="s">
        <v>35</v>
      </c>
      <c r="K752" s="2" t="s">
        <v>1569</v>
      </c>
      <c r="L752" t="s">
        <v>26</v>
      </c>
      <c r="M752">
        <v>350850</v>
      </c>
      <c r="N752">
        <v>1</v>
      </c>
      <c r="O752" s="3">
        <v>59990</v>
      </c>
      <c r="P752" s="3">
        <v>32638</v>
      </c>
      <c r="Q752" s="5">
        <f t="shared" si="33"/>
        <v>50411.764705882357</v>
      </c>
      <c r="R752" s="5">
        <f t="shared" si="34"/>
        <v>32638</v>
      </c>
      <c r="S752" s="5">
        <f t="shared" si="35"/>
        <v>17773.764705882357</v>
      </c>
    </row>
    <row r="753" spans="1:19" hidden="1" x14ac:dyDescent="0.3">
      <c r="A753">
        <v>100</v>
      </c>
      <c r="B753" t="s">
        <v>16</v>
      </c>
      <c r="C753" t="s">
        <v>1654</v>
      </c>
      <c r="D753" s="2" t="s">
        <v>1655</v>
      </c>
      <c r="E753" t="s">
        <v>1656</v>
      </c>
      <c r="F753" t="s">
        <v>20</v>
      </c>
      <c r="G753" t="s">
        <v>21</v>
      </c>
      <c r="H753" t="s">
        <v>247</v>
      </c>
      <c r="I753" t="s">
        <v>23</v>
      </c>
      <c r="J753" t="s">
        <v>40</v>
      </c>
      <c r="K753" s="2" t="s">
        <v>1569</v>
      </c>
      <c r="L753" t="s">
        <v>26</v>
      </c>
      <c r="M753">
        <v>350851</v>
      </c>
      <c r="N753">
        <v>1</v>
      </c>
      <c r="O753" s="3">
        <v>29990</v>
      </c>
      <c r="P753" s="3">
        <v>17738</v>
      </c>
      <c r="Q753" s="5">
        <f t="shared" si="33"/>
        <v>25201.680672268907</v>
      </c>
      <c r="R753" s="5">
        <f t="shared" si="34"/>
        <v>17738</v>
      </c>
      <c r="S753" s="5">
        <f t="shared" si="35"/>
        <v>7463.6806722689071</v>
      </c>
    </row>
    <row r="754" spans="1:19" hidden="1" x14ac:dyDescent="0.3">
      <c r="A754">
        <v>100</v>
      </c>
      <c r="B754" t="s">
        <v>16</v>
      </c>
      <c r="C754" t="s">
        <v>1657</v>
      </c>
      <c r="D754" s="2" t="s">
        <v>1658</v>
      </c>
      <c r="E754" t="s">
        <v>805</v>
      </c>
      <c r="F754" t="s">
        <v>20</v>
      </c>
      <c r="G754" t="s">
        <v>21</v>
      </c>
      <c r="H754" t="s">
        <v>114</v>
      </c>
      <c r="I754" t="s">
        <v>23</v>
      </c>
      <c r="J754" t="s">
        <v>49</v>
      </c>
      <c r="K754" s="2" t="s">
        <v>1569</v>
      </c>
      <c r="L754" t="s">
        <v>26</v>
      </c>
      <c r="M754">
        <v>350852</v>
      </c>
      <c r="N754">
        <v>1</v>
      </c>
      <c r="O754" s="3">
        <v>34990</v>
      </c>
      <c r="P754" s="3">
        <v>19177</v>
      </c>
      <c r="Q754" s="5">
        <f t="shared" si="33"/>
        <v>29403.361344537818</v>
      </c>
      <c r="R754" s="5">
        <f t="shared" si="34"/>
        <v>19177</v>
      </c>
      <c r="S754" s="5">
        <f t="shared" si="35"/>
        <v>10226.361344537818</v>
      </c>
    </row>
    <row r="755" spans="1:19" hidden="1" x14ac:dyDescent="0.3">
      <c r="A755">
        <v>100</v>
      </c>
      <c r="B755" t="s">
        <v>16</v>
      </c>
      <c r="C755" t="s">
        <v>1659</v>
      </c>
      <c r="D755" s="2" t="s">
        <v>1660</v>
      </c>
      <c r="E755" t="s">
        <v>1661</v>
      </c>
      <c r="F755" t="s">
        <v>20</v>
      </c>
      <c r="G755" t="s">
        <v>21</v>
      </c>
      <c r="H755" t="s">
        <v>199</v>
      </c>
      <c r="I755" t="s">
        <v>23</v>
      </c>
      <c r="J755" t="s">
        <v>35</v>
      </c>
      <c r="K755" s="2" t="s">
        <v>1569</v>
      </c>
      <c r="L755" t="s">
        <v>26</v>
      </c>
      <c r="M755">
        <v>350853</v>
      </c>
      <c r="N755">
        <v>1</v>
      </c>
      <c r="O755" s="3">
        <v>64990</v>
      </c>
      <c r="P755" s="3">
        <v>34699</v>
      </c>
      <c r="Q755" s="5">
        <f t="shared" si="33"/>
        <v>54613.445378151264</v>
      </c>
      <c r="R755" s="5">
        <f t="shared" si="34"/>
        <v>34699</v>
      </c>
      <c r="S755" s="5">
        <f t="shared" si="35"/>
        <v>19914.445378151264</v>
      </c>
    </row>
    <row r="756" spans="1:19" hidden="1" x14ac:dyDescent="0.3">
      <c r="A756">
        <v>100</v>
      </c>
      <c r="B756" t="s">
        <v>16</v>
      </c>
      <c r="C756" t="s">
        <v>920</v>
      </c>
      <c r="D756" s="2" t="s">
        <v>921</v>
      </c>
      <c r="E756" t="s">
        <v>170</v>
      </c>
      <c r="F756" t="s">
        <v>20</v>
      </c>
      <c r="G756" t="s">
        <v>21</v>
      </c>
      <c r="H756" t="s">
        <v>171</v>
      </c>
      <c r="I756" t="s">
        <v>23</v>
      </c>
      <c r="J756" t="s">
        <v>40</v>
      </c>
      <c r="K756" s="2" t="s">
        <v>1569</v>
      </c>
      <c r="L756" t="s">
        <v>26</v>
      </c>
      <c r="M756">
        <v>350854</v>
      </c>
      <c r="N756">
        <v>1</v>
      </c>
      <c r="O756" s="3">
        <v>39990</v>
      </c>
      <c r="P756" s="3">
        <v>23083</v>
      </c>
      <c r="Q756" s="5">
        <f t="shared" si="33"/>
        <v>33605.042016806721</v>
      </c>
      <c r="R756" s="5">
        <f t="shared" si="34"/>
        <v>23083</v>
      </c>
      <c r="S756" s="5">
        <f t="shared" si="35"/>
        <v>10522.042016806721</v>
      </c>
    </row>
    <row r="757" spans="1:19" hidden="1" x14ac:dyDescent="0.3">
      <c r="A757">
        <v>100</v>
      </c>
      <c r="B757" t="s">
        <v>16</v>
      </c>
      <c r="C757" t="s">
        <v>1662</v>
      </c>
      <c r="D757" s="2" t="s">
        <v>1663</v>
      </c>
      <c r="E757" t="s">
        <v>195</v>
      </c>
      <c r="F757" t="s">
        <v>20</v>
      </c>
      <c r="G757" t="s">
        <v>21</v>
      </c>
      <c r="H757" t="s">
        <v>22</v>
      </c>
      <c r="I757" t="s">
        <v>23</v>
      </c>
      <c r="J757" t="s">
        <v>35</v>
      </c>
      <c r="K757" s="2" t="s">
        <v>1569</v>
      </c>
      <c r="L757" t="s">
        <v>26</v>
      </c>
      <c r="M757">
        <v>350855</v>
      </c>
      <c r="N757">
        <v>1</v>
      </c>
      <c r="O757" s="3">
        <v>69990</v>
      </c>
      <c r="P757" s="3">
        <v>35363</v>
      </c>
      <c r="Q757" s="5">
        <f t="shared" si="33"/>
        <v>58815.126050420171</v>
      </c>
      <c r="R757" s="5">
        <f t="shared" si="34"/>
        <v>35363</v>
      </c>
      <c r="S757" s="5">
        <f t="shared" si="35"/>
        <v>23452.126050420171</v>
      </c>
    </row>
    <row r="758" spans="1:19" hidden="1" x14ac:dyDescent="0.3">
      <c r="A758">
        <v>100</v>
      </c>
      <c r="B758" t="s">
        <v>16</v>
      </c>
      <c r="C758" t="s">
        <v>1664</v>
      </c>
      <c r="D758" s="2" t="s">
        <v>1665</v>
      </c>
      <c r="E758" t="s">
        <v>884</v>
      </c>
      <c r="F758" t="s">
        <v>20</v>
      </c>
      <c r="G758" t="s">
        <v>21</v>
      </c>
      <c r="H758" t="s">
        <v>48</v>
      </c>
      <c r="I758" t="s">
        <v>23</v>
      </c>
      <c r="J758" t="s">
        <v>49</v>
      </c>
      <c r="K758" s="2" t="s">
        <v>1569</v>
      </c>
      <c r="L758" t="s">
        <v>26</v>
      </c>
      <c r="M758">
        <v>350856</v>
      </c>
      <c r="N758">
        <v>1</v>
      </c>
      <c r="O758" s="3">
        <v>39990</v>
      </c>
      <c r="P758" s="3">
        <v>25664</v>
      </c>
      <c r="Q758" s="5">
        <f t="shared" si="33"/>
        <v>33605.042016806721</v>
      </c>
      <c r="R758" s="5">
        <f t="shared" si="34"/>
        <v>25664</v>
      </c>
      <c r="S758" s="5">
        <f t="shared" si="35"/>
        <v>7941.0420168067212</v>
      </c>
    </row>
    <row r="759" spans="1:19" hidden="1" x14ac:dyDescent="0.3">
      <c r="A759">
        <v>100</v>
      </c>
      <c r="B759" t="s">
        <v>16</v>
      </c>
      <c r="C759" t="s">
        <v>1666</v>
      </c>
      <c r="D759" s="2" t="s">
        <v>1667</v>
      </c>
      <c r="E759" t="s">
        <v>1668</v>
      </c>
      <c r="F759" t="s">
        <v>20</v>
      </c>
      <c r="G759" t="s">
        <v>338</v>
      </c>
      <c r="H759">
        <v>23603</v>
      </c>
      <c r="I759" t="s">
        <v>23</v>
      </c>
      <c r="J759" t="s">
        <v>40</v>
      </c>
      <c r="K759" s="2" t="s">
        <v>1569</v>
      </c>
      <c r="L759" t="s">
        <v>26</v>
      </c>
      <c r="M759">
        <v>350857</v>
      </c>
      <c r="N759">
        <v>1</v>
      </c>
      <c r="O759" s="3">
        <v>69950</v>
      </c>
      <c r="P759" s="3">
        <v>22607</v>
      </c>
      <c r="Q759" s="5">
        <f t="shared" si="33"/>
        <v>58781.512605042022</v>
      </c>
      <c r="R759" s="5">
        <f t="shared" si="34"/>
        <v>22607</v>
      </c>
      <c r="S759" s="5">
        <f t="shared" si="35"/>
        <v>36174.512605042022</v>
      </c>
    </row>
    <row r="760" spans="1:19" hidden="1" x14ac:dyDescent="0.3">
      <c r="A760">
        <v>100</v>
      </c>
      <c r="B760" t="s">
        <v>16</v>
      </c>
      <c r="C760" t="s">
        <v>647</v>
      </c>
      <c r="D760" s="2" t="s">
        <v>648</v>
      </c>
      <c r="E760" t="s">
        <v>71</v>
      </c>
      <c r="F760" t="s">
        <v>20</v>
      </c>
      <c r="G760" t="s">
        <v>21</v>
      </c>
      <c r="H760" t="s">
        <v>53</v>
      </c>
      <c r="I760" t="s">
        <v>23</v>
      </c>
      <c r="J760" t="s">
        <v>35</v>
      </c>
      <c r="K760" s="2" t="s">
        <v>1569</v>
      </c>
      <c r="L760" t="s">
        <v>26</v>
      </c>
      <c r="M760">
        <v>350858</v>
      </c>
      <c r="N760">
        <v>1</v>
      </c>
      <c r="O760" s="3">
        <v>49990</v>
      </c>
      <c r="P760" s="3">
        <v>25147</v>
      </c>
      <c r="Q760" s="5">
        <f t="shared" si="33"/>
        <v>42008.403361344543</v>
      </c>
      <c r="R760" s="5">
        <f t="shared" si="34"/>
        <v>25147</v>
      </c>
      <c r="S760" s="5">
        <f t="shared" si="35"/>
        <v>16861.403361344543</v>
      </c>
    </row>
    <row r="761" spans="1:19" hidden="1" x14ac:dyDescent="0.3">
      <c r="A761">
        <v>100</v>
      </c>
      <c r="B761" t="s">
        <v>16</v>
      </c>
      <c r="C761" t="s">
        <v>1669</v>
      </c>
      <c r="D761" s="2" t="s">
        <v>1670</v>
      </c>
      <c r="E761" t="s">
        <v>1671</v>
      </c>
      <c r="F761" t="s">
        <v>20</v>
      </c>
      <c r="G761" t="s">
        <v>21</v>
      </c>
      <c r="H761" t="s">
        <v>1156</v>
      </c>
      <c r="I761" t="s">
        <v>23</v>
      </c>
      <c r="J761" t="s">
        <v>40</v>
      </c>
      <c r="K761" s="2" t="s">
        <v>1569</v>
      </c>
      <c r="L761" t="s">
        <v>26</v>
      </c>
      <c r="M761">
        <v>350859</v>
      </c>
      <c r="N761">
        <v>1</v>
      </c>
      <c r="O761" s="3">
        <v>39990</v>
      </c>
      <c r="P761" s="3">
        <v>27534</v>
      </c>
      <c r="Q761" s="5">
        <f t="shared" si="33"/>
        <v>33605.042016806721</v>
      </c>
      <c r="R761" s="5">
        <f t="shared" si="34"/>
        <v>27534</v>
      </c>
      <c r="S761" s="5">
        <f t="shared" si="35"/>
        <v>6071.0420168067212</v>
      </c>
    </row>
    <row r="762" spans="1:19" hidden="1" x14ac:dyDescent="0.3">
      <c r="A762">
        <v>100</v>
      </c>
      <c r="B762" t="s">
        <v>16</v>
      </c>
      <c r="C762" t="s">
        <v>1672</v>
      </c>
      <c r="D762" s="2" t="s">
        <v>1673</v>
      </c>
      <c r="E762" t="s">
        <v>1092</v>
      </c>
      <c r="F762" t="s">
        <v>20</v>
      </c>
      <c r="G762" t="s">
        <v>21</v>
      </c>
      <c r="H762" t="s">
        <v>48</v>
      </c>
      <c r="I762" t="s">
        <v>23</v>
      </c>
      <c r="J762" t="s">
        <v>49</v>
      </c>
      <c r="K762" s="2" t="s">
        <v>1569</v>
      </c>
      <c r="L762" t="s">
        <v>26</v>
      </c>
      <c r="M762">
        <v>350860</v>
      </c>
      <c r="N762">
        <v>1</v>
      </c>
      <c r="O762" s="3">
        <v>39990</v>
      </c>
      <c r="P762" s="3">
        <v>26741</v>
      </c>
      <c r="Q762" s="5">
        <f t="shared" si="33"/>
        <v>33605.042016806721</v>
      </c>
      <c r="R762" s="5">
        <f t="shared" si="34"/>
        <v>26741</v>
      </c>
      <c r="S762" s="5">
        <f t="shared" si="35"/>
        <v>6864.0420168067212</v>
      </c>
    </row>
    <row r="763" spans="1:19" hidden="1" x14ac:dyDescent="0.3">
      <c r="A763">
        <v>100</v>
      </c>
      <c r="B763" t="s">
        <v>16</v>
      </c>
      <c r="C763">
        <v>1687976791</v>
      </c>
      <c r="D763" s="2" t="s">
        <v>200</v>
      </c>
      <c r="E763" t="s">
        <v>201</v>
      </c>
      <c r="F763" t="s">
        <v>201</v>
      </c>
      <c r="G763" t="s">
        <v>202</v>
      </c>
      <c r="H763" t="s">
        <v>202</v>
      </c>
      <c r="I763" t="s">
        <v>23</v>
      </c>
      <c r="J763" t="s">
        <v>202</v>
      </c>
      <c r="K763" s="2" t="s">
        <v>1569</v>
      </c>
      <c r="L763" t="s">
        <v>26</v>
      </c>
      <c r="M763">
        <v>350860</v>
      </c>
      <c r="N763">
        <v>1</v>
      </c>
      <c r="O763" s="3">
        <v>3400</v>
      </c>
      <c r="P763">
        <v>1</v>
      </c>
      <c r="Q763" s="5">
        <f t="shared" si="33"/>
        <v>2857.1428571428573</v>
      </c>
      <c r="R763" s="5">
        <f t="shared" si="34"/>
        <v>1</v>
      </c>
      <c r="S763" s="5">
        <f t="shared" si="35"/>
        <v>2856.1428571428573</v>
      </c>
    </row>
    <row r="764" spans="1:19" hidden="1" x14ac:dyDescent="0.3">
      <c r="A764">
        <v>100</v>
      </c>
      <c r="B764" t="s">
        <v>16</v>
      </c>
      <c r="C764" t="s">
        <v>1674</v>
      </c>
      <c r="D764" s="2" t="s">
        <v>1675</v>
      </c>
      <c r="E764" t="s">
        <v>192</v>
      </c>
      <c r="F764" t="s">
        <v>20</v>
      </c>
      <c r="G764" t="s">
        <v>21</v>
      </c>
      <c r="H764" t="s">
        <v>48</v>
      </c>
      <c r="I764" t="s">
        <v>23</v>
      </c>
      <c r="J764" t="s">
        <v>35</v>
      </c>
      <c r="K764" s="2" t="s">
        <v>1569</v>
      </c>
      <c r="L764" t="s">
        <v>26</v>
      </c>
      <c r="M764">
        <v>350861</v>
      </c>
      <c r="N764">
        <v>1</v>
      </c>
      <c r="O764" s="3">
        <v>49990</v>
      </c>
      <c r="P764" s="3">
        <v>28874</v>
      </c>
      <c r="Q764" s="5">
        <f t="shared" si="33"/>
        <v>42008.403361344543</v>
      </c>
      <c r="R764" s="5">
        <f t="shared" si="34"/>
        <v>28874</v>
      </c>
      <c r="S764" s="5">
        <f t="shared" si="35"/>
        <v>13134.403361344543</v>
      </c>
    </row>
    <row r="765" spans="1:19" hidden="1" x14ac:dyDescent="0.3">
      <c r="A765">
        <v>100</v>
      </c>
      <c r="B765" t="s">
        <v>16</v>
      </c>
      <c r="C765">
        <v>1687976791</v>
      </c>
      <c r="D765" s="2" t="s">
        <v>200</v>
      </c>
      <c r="E765" t="s">
        <v>201</v>
      </c>
      <c r="F765" t="s">
        <v>201</v>
      </c>
      <c r="G765" t="s">
        <v>202</v>
      </c>
      <c r="H765" t="s">
        <v>202</v>
      </c>
      <c r="I765" t="s">
        <v>23</v>
      </c>
      <c r="J765" t="s">
        <v>202</v>
      </c>
      <c r="K765" s="2" t="s">
        <v>1569</v>
      </c>
      <c r="L765" t="s">
        <v>26</v>
      </c>
      <c r="M765">
        <v>350861</v>
      </c>
      <c r="N765">
        <v>1</v>
      </c>
      <c r="O765" s="3">
        <v>3400</v>
      </c>
      <c r="P765">
        <v>1</v>
      </c>
      <c r="Q765" s="5">
        <f t="shared" si="33"/>
        <v>2857.1428571428573</v>
      </c>
      <c r="R765" s="5">
        <f t="shared" si="34"/>
        <v>1</v>
      </c>
      <c r="S765" s="5">
        <f t="shared" si="35"/>
        <v>2856.1428571428573</v>
      </c>
    </row>
    <row r="766" spans="1:19" hidden="1" x14ac:dyDescent="0.3">
      <c r="A766">
        <v>100</v>
      </c>
      <c r="B766" t="s">
        <v>16</v>
      </c>
      <c r="C766" t="s">
        <v>762</v>
      </c>
      <c r="D766" s="2" t="s">
        <v>763</v>
      </c>
      <c r="E766" t="s">
        <v>183</v>
      </c>
      <c r="F766" t="s">
        <v>20</v>
      </c>
      <c r="G766" t="s">
        <v>21</v>
      </c>
      <c r="H766" t="s">
        <v>61</v>
      </c>
      <c r="I766" t="s">
        <v>23</v>
      </c>
      <c r="J766" t="s">
        <v>40</v>
      </c>
      <c r="K766" s="2" t="s">
        <v>1569</v>
      </c>
      <c r="L766" t="s">
        <v>26</v>
      </c>
      <c r="M766">
        <v>350862</v>
      </c>
      <c r="N766">
        <v>1</v>
      </c>
      <c r="O766" s="3">
        <v>39990</v>
      </c>
      <c r="P766" s="3">
        <v>23582</v>
      </c>
      <c r="Q766" s="5">
        <f t="shared" si="33"/>
        <v>33605.042016806721</v>
      </c>
      <c r="R766" s="5">
        <f t="shared" si="34"/>
        <v>23582</v>
      </c>
      <c r="S766" s="5">
        <f t="shared" si="35"/>
        <v>10023.042016806721</v>
      </c>
    </row>
    <row r="767" spans="1:19" hidden="1" x14ac:dyDescent="0.3">
      <c r="A767">
        <v>100</v>
      </c>
      <c r="B767" t="s">
        <v>16</v>
      </c>
      <c r="C767">
        <v>1687976791</v>
      </c>
      <c r="D767" s="2" t="s">
        <v>200</v>
      </c>
      <c r="E767" t="s">
        <v>201</v>
      </c>
      <c r="F767" t="s">
        <v>201</v>
      </c>
      <c r="G767" t="s">
        <v>202</v>
      </c>
      <c r="H767" t="s">
        <v>202</v>
      </c>
      <c r="I767" t="s">
        <v>23</v>
      </c>
      <c r="J767" t="s">
        <v>202</v>
      </c>
      <c r="K767" s="2" t="s">
        <v>1569</v>
      </c>
      <c r="L767" t="s">
        <v>26</v>
      </c>
      <c r="M767">
        <v>350862</v>
      </c>
      <c r="N767">
        <v>1</v>
      </c>
      <c r="O767" s="3">
        <v>3400</v>
      </c>
      <c r="P767">
        <v>1</v>
      </c>
      <c r="Q767" s="5">
        <f t="shared" si="33"/>
        <v>2857.1428571428573</v>
      </c>
      <c r="R767" s="5">
        <f t="shared" si="34"/>
        <v>1</v>
      </c>
      <c r="S767" s="5">
        <f t="shared" si="35"/>
        <v>2856.1428571428573</v>
      </c>
    </row>
    <row r="768" spans="1:19" hidden="1" x14ac:dyDescent="0.3">
      <c r="A768">
        <v>100</v>
      </c>
      <c r="B768" t="s">
        <v>16</v>
      </c>
      <c r="C768" t="s">
        <v>1676</v>
      </c>
      <c r="D768" s="2" t="s">
        <v>1677</v>
      </c>
      <c r="E768" t="s">
        <v>1678</v>
      </c>
      <c r="F768" t="s">
        <v>20</v>
      </c>
      <c r="G768" t="s">
        <v>21</v>
      </c>
      <c r="H768" t="s">
        <v>590</v>
      </c>
      <c r="I768" t="s">
        <v>23</v>
      </c>
      <c r="J768" t="s">
        <v>40</v>
      </c>
      <c r="K768" s="2" t="s">
        <v>1569</v>
      </c>
      <c r="L768" t="s">
        <v>26</v>
      </c>
      <c r="M768">
        <v>350863</v>
      </c>
      <c r="N768">
        <v>1</v>
      </c>
      <c r="O768" s="3">
        <v>39990</v>
      </c>
      <c r="P768" s="3">
        <v>22297</v>
      </c>
      <c r="Q768" s="5">
        <f t="shared" si="33"/>
        <v>33605.042016806721</v>
      </c>
      <c r="R768" s="5">
        <f t="shared" si="34"/>
        <v>22297</v>
      </c>
      <c r="S768" s="5">
        <f t="shared" si="35"/>
        <v>11308.042016806721</v>
      </c>
    </row>
    <row r="769" spans="1:19" hidden="1" x14ac:dyDescent="0.3">
      <c r="A769">
        <v>100</v>
      </c>
      <c r="B769" t="s">
        <v>16</v>
      </c>
      <c r="C769">
        <v>1687976791</v>
      </c>
      <c r="D769" s="2" t="s">
        <v>200</v>
      </c>
      <c r="E769" t="s">
        <v>201</v>
      </c>
      <c r="F769" t="s">
        <v>201</v>
      </c>
      <c r="G769" t="s">
        <v>202</v>
      </c>
      <c r="H769" t="s">
        <v>202</v>
      </c>
      <c r="I769" t="s">
        <v>23</v>
      </c>
      <c r="J769" t="s">
        <v>202</v>
      </c>
      <c r="K769" s="2" t="s">
        <v>1569</v>
      </c>
      <c r="L769" t="s">
        <v>26</v>
      </c>
      <c r="M769">
        <v>350863</v>
      </c>
      <c r="N769">
        <v>1</v>
      </c>
      <c r="O769" s="3">
        <v>3400</v>
      </c>
      <c r="P769">
        <v>1</v>
      </c>
      <c r="Q769" s="5">
        <f t="shared" si="33"/>
        <v>2857.1428571428573</v>
      </c>
      <c r="R769" s="5">
        <f t="shared" si="34"/>
        <v>1</v>
      </c>
      <c r="S769" s="5">
        <f t="shared" si="35"/>
        <v>2856.1428571428573</v>
      </c>
    </row>
    <row r="770" spans="1:19" hidden="1" x14ac:dyDescent="0.3">
      <c r="A770">
        <v>100</v>
      </c>
      <c r="B770" t="s">
        <v>16</v>
      </c>
      <c r="C770">
        <v>1687976791</v>
      </c>
      <c r="D770" s="2" t="s">
        <v>200</v>
      </c>
      <c r="E770" t="s">
        <v>201</v>
      </c>
      <c r="F770" t="s">
        <v>201</v>
      </c>
      <c r="G770" t="s">
        <v>202</v>
      </c>
      <c r="H770" t="s">
        <v>202</v>
      </c>
      <c r="I770" t="s">
        <v>23</v>
      </c>
      <c r="J770" t="s">
        <v>202</v>
      </c>
      <c r="K770" s="2" t="s">
        <v>1569</v>
      </c>
      <c r="L770" t="s">
        <v>26</v>
      </c>
      <c r="M770">
        <v>350864</v>
      </c>
      <c r="N770">
        <v>1</v>
      </c>
      <c r="O770" s="3">
        <v>9174</v>
      </c>
      <c r="P770">
        <v>1</v>
      </c>
      <c r="Q770" s="5">
        <f t="shared" si="33"/>
        <v>7709.2436974789916</v>
      </c>
      <c r="R770" s="5">
        <f t="shared" si="34"/>
        <v>1</v>
      </c>
      <c r="S770" s="5">
        <f t="shared" si="35"/>
        <v>7708.2436974789916</v>
      </c>
    </row>
    <row r="771" spans="1:19" hidden="1" x14ac:dyDescent="0.3">
      <c r="A771">
        <v>100</v>
      </c>
      <c r="B771" t="s">
        <v>16</v>
      </c>
      <c r="C771" t="s">
        <v>1679</v>
      </c>
      <c r="D771" s="2" t="s">
        <v>1680</v>
      </c>
      <c r="E771" t="s">
        <v>71</v>
      </c>
      <c r="F771" t="s">
        <v>20</v>
      </c>
      <c r="G771" t="s">
        <v>21</v>
      </c>
      <c r="H771" t="s">
        <v>53</v>
      </c>
      <c r="I771" t="s">
        <v>23</v>
      </c>
      <c r="J771" t="s">
        <v>35</v>
      </c>
      <c r="K771" s="2" t="s">
        <v>1569</v>
      </c>
      <c r="L771" t="s">
        <v>26</v>
      </c>
      <c r="M771">
        <v>350864</v>
      </c>
      <c r="N771">
        <v>1</v>
      </c>
      <c r="O771" s="3">
        <v>49990</v>
      </c>
      <c r="P771" s="3">
        <v>28457</v>
      </c>
      <c r="Q771" s="5">
        <f t="shared" si="33"/>
        <v>42008.403361344543</v>
      </c>
      <c r="R771" s="5">
        <f t="shared" si="34"/>
        <v>28457</v>
      </c>
      <c r="S771" s="5">
        <f t="shared" si="35"/>
        <v>13551.403361344543</v>
      </c>
    </row>
    <row r="772" spans="1:19" hidden="1" x14ac:dyDescent="0.3">
      <c r="A772">
        <v>100</v>
      </c>
      <c r="B772" t="s">
        <v>16</v>
      </c>
      <c r="C772" t="s">
        <v>1681</v>
      </c>
      <c r="D772" s="2" t="s">
        <v>1682</v>
      </c>
      <c r="E772" t="s">
        <v>1683</v>
      </c>
      <c r="F772" t="s">
        <v>20</v>
      </c>
      <c r="G772" t="s">
        <v>21</v>
      </c>
      <c r="H772" t="s">
        <v>114</v>
      </c>
      <c r="I772" t="s">
        <v>23</v>
      </c>
      <c r="J772" t="s">
        <v>49</v>
      </c>
      <c r="K772" s="2" t="s">
        <v>1569</v>
      </c>
      <c r="L772" t="s">
        <v>26</v>
      </c>
      <c r="M772">
        <v>350865</v>
      </c>
      <c r="N772">
        <v>1</v>
      </c>
      <c r="O772" s="3">
        <v>49990</v>
      </c>
      <c r="P772" s="3">
        <v>24998</v>
      </c>
      <c r="Q772" s="5">
        <f t="shared" si="33"/>
        <v>42008.403361344543</v>
      </c>
      <c r="R772" s="5">
        <f t="shared" si="34"/>
        <v>24998</v>
      </c>
      <c r="S772" s="5">
        <f t="shared" si="35"/>
        <v>17010.403361344543</v>
      </c>
    </row>
    <row r="773" spans="1:19" hidden="1" x14ac:dyDescent="0.3">
      <c r="A773">
        <v>100</v>
      </c>
      <c r="B773" t="s">
        <v>16</v>
      </c>
      <c r="C773">
        <v>1687976791</v>
      </c>
      <c r="D773" s="2" t="s">
        <v>200</v>
      </c>
      <c r="E773" t="s">
        <v>201</v>
      </c>
      <c r="F773" t="s">
        <v>201</v>
      </c>
      <c r="G773" t="s">
        <v>202</v>
      </c>
      <c r="H773" t="s">
        <v>202</v>
      </c>
      <c r="I773" t="s">
        <v>23</v>
      </c>
      <c r="J773" t="s">
        <v>202</v>
      </c>
      <c r="K773" s="2" t="s">
        <v>1569</v>
      </c>
      <c r="L773" t="s">
        <v>26</v>
      </c>
      <c r="M773">
        <v>350865</v>
      </c>
      <c r="N773">
        <v>1</v>
      </c>
      <c r="O773" s="3">
        <v>3400</v>
      </c>
      <c r="P773">
        <v>1</v>
      </c>
      <c r="Q773" s="5">
        <f t="shared" si="33"/>
        <v>2857.1428571428573</v>
      </c>
      <c r="R773" s="5">
        <f t="shared" si="34"/>
        <v>1</v>
      </c>
      <c r="S773" s="5">
        <f t="shared" si="35"/>
        <v>2856.1428571428573</v>
      </c>
    </row>
    <row r="774" spans="1:19" hidden="1" x14ac:dyDescent="0.3">
      <c r="A774">
        <v>100</v>
      </c>
      <c r="B774" t="s">
        <v>16</v>
      </c>
      <c r="C774" t="s">
        <v>27</v>
      </c>
      <c r="D774" s="2" t="s">
        <v>28</v>
      </c>
      <c r="E774" t="s">
        <v>29</v>
      </c>
      <c r="F774" t="s">
        <v>20</v>
      </c>
      <c r="G774" t="s">
        <v>21</v>
      </c>
      <c r="H774" t="s">
        <v>30</v>
      </c>
      <c r="I774" t="s">
        <v>23</v>
      </c>
      <c r="J774" t="s">
        <v>31</v>
      </c>
      <c r="K774" s="2" t="s">
        <v>1569</v>
      </c>
      <c r="L774" t="s">
        <v>26</v>
      </c>
      <c r="M774">
        <v>350866</v>
      </c>
      <c r="N774">
        <v>1</v>
      </c>
      <c r="O774" s="3">
        <v>79990</v>
      </c>
      <c r="P774" s="3">
        <v>40035</v>
      </c>
      <c r="Q774" s="5">
        <f t="shared" ref="Q774:Q837" si="36">O774/1.19</f>
        <v>67218.487394957992</v>
      </c>
      <c r="R774" s="5">
        <f t="shared" ref="R774:R837" si="37">N774*P774</f>
        <v>40035</v>
      </c>
      <c r="S774" s="5">
        <f t="shared" ref="S774:S837" si="38">Q774-R774</f>
        <v>27183.487394957992</v>
      </c>
    </row>
    <row r="775" spans="1:19" hidden="1" x14ac:dyDescent="0.3">
      <c r="A775">
        <v>100</v>
      </c>
      <c r="B775" t="s">
        <v>16</v>
      </c>
      <c r="C775" t="s">
        <v>1684</v>
      </c>
      <c r="D775" s="2" t="s">
        <v>1685</v>
      </c>
      <c r="E775" t="s">
        <v>316</v>
      </c>
      <c r="F775" t="s">
        <v>20</v>
      </c>
      <c r="G775" t="s">
        <v>21</v>
      </c>
      <c r="H775" t="s">
        <v>317</v>
      </c>
      <c r="I775" t="s">
        <v>23</v>
      </c>
      <c r="J775" t="s">
        <v>35</v>
      </c>
      <c r="K775" s="2" t="s">
        <v>1569</v>
      </c>
      <c r="L775" t="s">
        <v>26</v>
      </c>
      <c r="M775">
        <v>350866</v>
      </c>
      <c r="N775">
        <v>1</v>
      </c>
      <c r="O775" s="3">
        <v>69950</v>
      </c>
      <c r="P775" s="3">
        <v>23738</v>
      </c>
      <c r="Q775" s="5">
        <f t="shared" si="36"/>
        <v>58781.512605042022</v>
      </c>
      <c r="R775" s="5">
        <f t="shared" si="37"/>
        <v>23738</v>
      </c>
      <c r="S775" s="5">
        <f t="shared" si="38"/>
        <v>35043.512605042022</v>
      </c>
    </row>
    <row r="776" spans="1:19" hidden="1" x14ac:dyDescent="0.3">
      <c r="A776">
        <v>100</v>
      </c>
      <c r="B776" t="s">
        <v>16</v>
      </c>
      <c r="C776" t="s">
        <v>1328</v>
      </c>
      <c r="D776" s="2" t="s">
        <v>1329</v>
      </c>
      <c r="E776" t="s">
        <v>1330</v>
      </c>
      <c r="F776" t="s">
        <v>20</v>
      </c>
      <c r="G776" t="s">
        <v>338</v>
      </c>
      <c r="H776">
        <v>25133</v>
      </c>
      <c r="I776" t="s">
        <v>23</v>
      </c>
      <c r="J776" t="s">
        <v>35</v>
      </c>
      <c r="K776" s="2" t="s">
        <v>1569</v>
      </c>
      <c r="L776" t="s">
        <v>26</v>
      </c>
      <c r="M776">
        <v>350867</v>
      </c>
      <c r="N776">
        <v>1</v>
      </c>
      <c r="O776" s="3">
        <v>74950</v>
      </c>
      <c r="P776" s="3">
        <v>21167</v>
      </c>
      <c r="Q776" s="5">
        <f t="shared" si="36"/>
        <v>62983.193277310929</v>
      </c>
      <c r="R776" s="5">
        <f t="shared" si="37"/>
        <v>21167</v>
      </c>
      <c r="S776" s="5">
        <f t="shared" si="38"/>
        <v>41816.193277310929</v>
      </c>
    </row>
    <row r="777" spans="1:19" hidden="1" x14ac:dyDescent="0.3">
      <c r="A777">
        <v>100</v>
      </c>
      <c r="B777" t="s">
        <v>16</v>
      </c>
      <c r="C777">
        <v>1687976791</v>
      </c>
      <c r="D777" s="2" t="s">
        <v>200</v>
      </c>
      <c r="E777" t="s">
        <v>201</v>
      </c>
      <c r="F777" t="s">
        <v>201</v>
      </c>
      <c r="G777" t="s">
        <v>202</v>
      </c>
      <c r="H777" t="s">
        <v>202</v>
      </c>
      <c r="I777" t="s">
        <v>23</v>
      </c>
      <c r="J777" t="s">
        <v>202</v>
      </c>
      <c r="K777" s="2" t="s">
        <v>1569</v>
      </c>
      <c r="L777" t="s">
        <v>26</v>
      </c>
      <c r="M777">
        <v>350868</v>
      </c>
      <c r="N777">
        <v>1</v>
      </c>
      <c r="O777" s="3">
        <v>4083</v>
      </c>
      <c r="P777">
        <v>1</v>
      </c>
      <c r="Q777" s="5">
        <f t="shared" si="36"/>
        <v>3431.09243697479</v>
      </c>
      <c r="R777" s="5">
        <f t="shared" si="37"/>
        <v>1</v>
      </c>
      <c r="S777" s="5">
        <f t="shared" si="38"/>
        <v>3430.09243697479</v>
      </c>
    </row>
    <row r="778" spans="1:19" hidden="1" x14ac:dyDescent="0.3">
      <c r="A778">
        <v>100</v>
      </c>
      <c r="B778" t="s">
        <v>16</v>
      </c>
      <c r="C778" t="s">
        <v>1686</v>
      </c>
      <c r="D778" s="2" t="s">
        <v>1687</v>
      </c>
      <c r="E778" t="s">
        <v>1688</v>
      </c>
      <c r="F778" t="s">
        <v>20</v>
      </c>
      <c r="G778" t="s">
        <v>21</v>
      </c>
      <c r="H778" t="s">
        <v>1689</v>
      </c>
      <c r="I778" t="s">
        <v>23</v>
      </c>
      <c r="J778" t="s">
        <v>35</v>
      </c>
      <c r="K778" s="2" t="s">
        <v>1569</v>
      </c>
      <c r="L778" t="s">
        <v>26</v>
      </c>
      <c r="M778">
        <v>350868</v>
      </c>
      <c r="N778">
        <v>1</v>
      </c>
      <c r="O778" s="3">
        <v>59990</v>
      </c>
      <c r="P778" s="3">
        <v>39624</v>
      </c>
      <c r="Q778" s="5">
        <f t="shared" si="36"/>
        <v>50411.764705882357</v>
      </c>
      <c r="R778" s="5">
        <f t="shared" si="37"/>
        <v>39624</v>
      </c>
      <c r="S778" s="5">
        <f t="shared" si="38"/>
        <v>10787.764705882357</v>
      </c>
    </row>
    <row r="779" spans="1:19" hidden="1" x14ac:dyDescent="0.3">
      <c r="A779">
        <v>100</v>
      </c>
      <c r="B779" t="s">
        <v>16</v>
      </c>
      <c r="C779" t="s">
        <v>1690</v>
      </c>
      <c r="D779" s="2" t="s">
        <v>1691</v>
      </c>
      <c r="E779" t="s">
        <v>664</v>
      </c>
      <c r="F779" t="s">
        <v>20</v>
      </c>
      <c r="G779" t="s">
        <v>21</v>
      </c>
      <c r="H779" t="s">
        <v>557</v>
      </c>
      <c r="I779" t="s">
        <v>23</v>
      </c>
      <c r="J779" t="s">
        <v>40</v>
      </c>
      <c r="K779" s="2" t="s">
        <v>1569</v>
      </c>
      <c r="L779" t="s">
        <v>26</v>
      </c>
      <c r="M779">
        <v>350869</v>
      </c>
      <c r="N779">
        <v>1</v>
      </c>
      <c r="O779" s="3">
        <v>49990</v>
      </c>
      <c r="P779" s="3">
        <v>28049</v>
      </c>
      <c r="Q779" s="5">
        <f t="shared" si="36"/>
        <v>42008.403361344543</v>
      </c>
      <c r="R779" s="5">
        <f t="shared" si="37"/>
        <v>28049</v>
      </c>
      <c r="S779" s="5">
        <f t="shared" si="38"/>
        <v>13959.403361344543</v>
      </c>
    </row>
    <row r="780" spans="1:19" hidden="1" x14ac:dyDescent="0.3">
      <c r="A780">
        <v>100</v>
      </c>
      <c r="B780" t="s">
        <v>16</v>
      </c>
      <c r="C780">
        <v>1687976791</v>
      </c>
      <c r="D780" s="2" t="s">
        <v>200</v>
      </c>
      <c r="E780" t="s">
        <v>201</v>
      </c>
      <c r="F780" t="s">
        <v>201</v>
      </c>
      <c r="G780" t="s">
        <v>202</v>
      </c>
      <c r="H780" t="s">
        <v>202</v>
      </c>
      <c r="I780" t="s">
        <v>23</v>
      </c>
      <c r="J780" t="s">
        <v>202</v>
      </c>
      <c r="K780" s="2" t="s">
        <v>1569</v>
      </c>
      <c r="L780" t="s">
        <v>26</v>
      </c>
      <c r="M780">
        <v>350869</v>
      </c>
      <c r="N780">
        <v>1</v>
      </c>
      <c r="O780" s="3">
        <v>3400</v>
      </c>
      <c r="P780">
        <v>1</v>
      </c>
      <c r="Q780" s="5">
        <f t="shared" si="36"/>
        <v>2857.1428571428573</v>
      </c>
      <c r="R780" s="5">
        <f t="shared" si="37"/>
        <v>1</v>
      </c>
      <c r="S780" s="5">
        <f t="shared" si="38"/>
        <v>2856.1428571428573</v>
      </c>
    </row>
    <row r="781" spans="1:19" hidden="1" x14ac:dyDescent="0.3">
      <c r="A781">
        <v>100</v>
      </c>
      <c r="B781" t="s">
        <v>16</v>
      </c>
      <c r="C781" t="s">
        <v>1692</v>
      </c>
      <c r="D781" s="2" t="s">
        <v>1693</v>
      </c>
      <c r="E781" t="s">
        <v>1694</v>
      </c>
      <c r="F781" t="s">
        <v>20</v>
      </c>
      <c r="G781" t="s">
        <v>21</v>
      </c>
      <c r="H781" t="s">
        <v>30</v>
      </c>
      <c r="I781" t="s">
        <v>23</v>
      </c>
      <c r="J781" t="s">
        <v>49</v>
      </c>
      <c r="K781" s="2" t="s">
        <v>1569</v>
      </c>
      <c r="L781" t="s">
        <v>26</v>
      </c>
      <c r="M781">
        <v>350870</v>
      </c>
      <c r="N781">
        <v>1</v>
      </c>
      <c r="O781" s="3">
        <v>34990</v>
      </c>
      <c r="P781" s="3">
        <v>21890</v>
      </c>
      <c r="Q781" s="5">
        <f t="shared" si="36"/>
        <v>29403.361344537818</v>
      </c>
      <c r="R781" s="5">
        <f t="shared" si="37"/>
        <v>21890</v>
      </c>
      <c r="S781" s="5">
        <f t="shared" si="38"/>
        <v>7513.3613445378178</v>
      </c>
    </row>
    <row r="782" spans="1:19" hidden="1" x14ac:dyDescent="0.3">
      <c r="A782">
        <v>100</v>
      </c>
      <c r="B782" t="s">
        <v>16</v>
      </c>
      <c r="C782" t="s">
        <v>1695</v>
      </c>
      <c r="D782" s="2" t="s">
        <v>1696</v>
      </c>
      <c r="E782" t="s">
        <v>250</v>
      </c>
      <c r="F782" t="s">
        <v>20</v>
      </c>
      <c r="G782" t="s">
        <v>21</v>
      </c>
      <c r="H782" t="s">
        <v>251</v>
      </c>
      <c r="I782" t="s">
        <v>23</v>
      </c>
      <c r="J782" t="s">
        <v>49</v>
      </c>
      <c r="K782" s="2" t="s">
        <v>1569</v>
      </c>
      <c r="L782" t="s">
        <v>26</v>
      </c>
      <c r="M782">
        <v>350871</v>
      </c>
      <c r="N782">
        <v>1</v>
      </c>
      <c r="O782" s="3">
        <v>34990</v>
      </c>
      <c r="P782" s="3">
        <v>25469</v>
      </c>
      <c r="Q782" s="5">
        <f t="shared" si="36"/>
        <v>29403.361344537818</v>
      </c>
      <c r="R782" s="5">
        <f t="shared" si="37"/>
        <v>25469</v>
      </c>
      <c r="S782" s="5">
        <f t="shared" si="38"/>
        <v>3934.3613445378178</v>
      </c>
    </row>
    <row r="783" spans="1:19" hidden="1" x14ac:dyDescent="0.3">
      <c r="A783">
        <v>100</v>
      </c>
      <c r="B783" t="s">
        <v>16</v>
      </c>
      <c r="C783">
        <v>1687976791</v>
      </c>
      <c r="D783" s="2" t="s">
        <v>200</v>
      </c>
      <c r="E783" t="s">
        <v>201</v>
      </c>
      <c r="F783" t="s">
        <v>201</v>
      </c>
      <c r="G783" t="s">
        <v>202</v>
      </c>
      <c r="H783" t="s">
        <v>202</v>
      </c>
      <c r="I783" t="s">
        <v>23</v>
      </c>
      <c r="J783" t="s">
        <v>202</v>
      </c>
      <c r="K783" s="2" t="s">
        <v>1569</v>
      </c>
      <c r="L783" t="s">
        <v>26</v>
      </c>
      <c r="M783">
        <v>350871</v>
      </c>
      <c r="N783">
        <v>1</v>
      </c>
      <c r="O783" s="3">
        <v>3400</v>
      </c>
      <c r="P783">
        <v>1</v>
      </c>
      <c r="Q783" s="5">
        <f t="shared" si="36"/>
        <v>2857.1428571428573</v>
      </c>
      <c r="R783" s="5">
        <f t="shared" si="37"/>
        <v>1</v>
      </c>
      <c r="S783" s="5">
        <f t="shared" si="38"/>
        <v>2856.1428571428573</v>
      </c>
    </row>
    <row r="784" spans="1:19" hidden="1" x14ac:dyDescent="0.3">
      <c r="A784">
        <v>100</v>
      </c>
      <c r="B784" t="s">
        <v>16</v>
      </c>
      <c r="C784" t="s">
        <v>1697</v>
      </c>
      <c r="D784" s="2" t="s">
        <v>1698</v>
      </c>
      <c r="E784" t="s">
        <v>1699</v>
      </c>
      <c r="F784" t="s">
        <v>20</v>
      </c>
      <c r="G784" t="s">
        <v>21</v>
      </c>
      <c r="H784" t="s">
        <v>1457</v>
      </c>
      <c r="I784" t="s">
        <v>23</v>
      </c>
      <c r="J784" t="s">
        <v>40</v>
      </c>
      <c r="K784" s="2" t="s">
        <v>1569</v>
      </c>
      <c r="L784" t="s">
        <v>26</v>
      </c>
      <c r="M784">
        <v>350872</v>
      </c>
      <c r="N784">
        <v>1</v>
      </c>
      <c r="O784" s="3">
        <v>34990</v>
      </c>
      <c r="P784" s="3">
        <v>14950</v>
      </c>
      <c r="Q784" s="5">
        <f t="shared" si="36"/>
        <v>29403.361344537818</v>
      </c>
      <c r="R784" s="5">
        <f t="shared" si="37"/>
        <v>14950</v>
      </c>
      <c r="S784" s="5">
        <f t="shared" si="38"/>
        <v>14453.361344537818</v>
      </c>
    </row>
    <row r="785" spans="1:19" hidden="1" x14ac:dyDescent="0.3">
      <c r="A785">
        <v>100</v>
      </c>
      <c r="B785" t="s">
        <v>16</v>
      </c>
      <c r="C785" t="s">
        <v>1003</v>
      </c>
      <c r="D785" s="2" t="s">
        <v>1004</v>
      </c>
      <c r="E785" t="s">
        <v>330</v>
      </c>
      <c r="F785" t="s">
        <v>20</v>
      </c>
      <c r="G785" t="s">
        <v>21</v>
      </c>
      <c r="H785" t="s">
        <v>331</v>
      </c>
      <c r="I785" t="s">
        <v>23</v>
      </c>
      <c r="J785" t="s">
        <v>49</v>
      </c>
      <c r="K785" s="2" t="s">
        <v>1569</v>
      </c>
      <c r="L785" t="s">
        <v>26</v>
      </c>
      <c r="M785">
        <v>350873</v>
      </c>
      <c r="N785">
        <v>1</v>
      </c>
      <c r="O785" s="3">
        <v>39990</v>
      </c>
      <c r="P785" s="3">
        <v>25157</v>
      </c>
      <c r="Q785" s="5">
        <f t="shared" si="36"/>
        <v>33605.042016806721</v>
      </c>
      <c r="R785" s="5">
        <f t="shared" si="37"/>
        <v>25157</v>
      </c>
      <c r="S785" s="5">
        <f t="shared" si="38"/>
        <v>8448.0420168067212</v>
      </c>
    </row>
    <row r="786" spans="1:19" hidden="1" x14ac:dyDescent="0.3">
      <c r="A786">
        <v>100</v>
      </c>
      <c r="B786" t="s">
        <v>16</v>
      </c>
      <c r="C786" t="s">
        <v>1700</v>
      </c>
      <c r="D786" s="2" t="s">
        <v>1701</v>
      </c>
      <c r="E786" t="s">
        <v>1702</v>
      </c>
      <c r="F786" t="s">
        <v>20</v>
      </c>
      <c r="G786" t="s">
        <v>21</v>
      </c>
      <c r="H786" t="s">
        <v>1703</v>
      </c>
      <c r="I786" t="s">
        <v>23</v>
      </c>
      <c r="J786" t="s">
        <v>49</v>
      </c>
      <c r="K786" s="2" t="s">
        <v>1569</v>
      </c>
      <c r="L786" t="s">
        <v>26</v>
      </c>
      <c r="M786">
        <v>350874</v>
      </c>
      <c r="N786">
        <v>1</v>
      </c>
      <c r="O786" s="3">
        <v>59990</v>
      </c>
      <c r="P786" s="3">
        <v>22864</v>
      </c>
      <c r="Q786" s="5">
        <f t="shared" si="36"/>
        <v>50411.764705882357</v>
      </c>
      <c r="R786" s="5">
        <f t="shared" si="37"/>
        <v>22864</v>
      </c>
      <c r="S786" s="5">
        <f t="shared" si="38"/>
        <v>27547.764705882357</v>
      </c>
    </row>
    <row r="787" spans="1:19" hidden="1" x14ac:dyDescent="0.3">
      <c r="A787">
        <v>100</v>
      </c>
      <c r="B787" t="s">
        <v>16</v>
      </c>
      <c r="C787" t="s">
        <v>1704</v>
      </c>
      <c r="D787" s="2" t="s">
        <v>1705</v>
      </c>
      <c r="E787" t="s">
        <v>1706</v>
      </c>
      <c r="F787" t="s">
        <v>20</v>
      </c>
      <c r="G787" t="s">
        <v>338</v>
      </c>
      <c r="H787">
        <v>23201</v>
      </c>
      <c r="I787" t="s">
        <v>23</v>
      </c>
      <c r="J787" t="s">
        <v>49</v>
      </c>
      <c r="K787" s="2" t="s">
        <v>1569</v>
      </c>
      <c r="L787" t="s">
        <v>26</v>
      </c>
      <c r="M787">
        <v>350875</v>
      </c>
      <c r="N787">
        <v>1</v>
      </c>
      <c r="O787" s="3">
        <v>84950</v>
      </c>
      <c r="P787" s="3">
        <v>26390</v>
      </c>
      <c r="Q787" s="5">
        <f t="shared" si="36"/>
        <v>71386.554621848743</v>
      </c>
      <c r="R787" s="5">
        <f t="shared" si="37"/>
        <v>26390</v>
      </c>
      <c r="S787" s="5">
        <f t="shared" si="38"/>
        <v>44996.554621848743</v>
      </c>
    </row>
    <row r="788" spans="1:19" hidden="1" x14ac:dyDescent="0.3">
      <c r="A788">
        <v>100</v>
      </c>
      <c r="B788" t="s">
        <v>16</v>
      </c>
      <c r="C788" t="s">
        <v>1707</v>
      </c>
      <c r="D788" s="2" t="s">
        <v>1708</v>
      </c>
      <c r="E788" t="s">
        <v>1709</v>
      </c>
      <c r="F788" t="s">
        <v>20</v>
      </c>
      <c r="G788" t="s">
        <v>21</v>
      </c>
      <c r="H788" t="s">
        <v>970</v>
      </c>
      <c r="I788" t="s">
        <v>23</v>
      </c>
      <c r="J788" t="s">
        <v>40</v>
      </c>
      <c r="K788" s="2" t="s">
        <v>1569</v>
      </c>
      <c r="L788" t="s">
        <v>26</v>
      </c>
      <c r="M788">
        <v>350876</v>
      </c>
      <c r="N788">
        <v>1</v>
      </c>
      <c r="O788" s="3">
        <v>49990</v>
      </c>
      <c r="P788" s="3">
        <v>18897</v>
      </c>
      <c r="Q788" s="5">
        <f t="shared" si="36"/>
        <v>42008.403361344543</v>
      </c>
      <c r="R788" s="5">
        <f t="shared" si="37"/>
        <v>18897</v>
      </c>
      <c r="S788" s="5">
        <f t="shared" si="38"/>
        <v>23111.403361344543</v>
      </c>
    </row>
    <row r="789" spans="1:19" hidden="1" x14ac:dyDescent="0.3">
      <c r="A789">
        <v>100</v>
      </c>
      <c r="B789" t="s">
        <v>16</v>
      </c>
      <c r="C789" t="s">
        <v>1710</v>
      </c>
      <c r="D789" s="2" t="s">
        <v>1711</v>
      </c>
      <c r="E789" t="s">
        <v>512</v>
      </c>
      <c r="F789" t="s">
        <v>20</v>
      </c>
      <c r="G789" t="s">
        <v>21</v>
      </c>
      <c r="H789" t="s">
        <v>513</v>
      </c>
      <c r="I789" t="s">
        <v>23</v>
      </c>
      <c r="J789" t="s">
        <v>35</v>
      </c>
      <c r="K789" s="2" t="s">
        <v>1569</v>
      </c>
      <c r="L789" t="s">
        <v>26</v>
      </c>
      <c r="M789">
        <v>350877</v>
      </c>
      <c r="N789">
        <v>1</v>
      </c>
      <c r="O789" s="3">
        <v>119950</v>
      </c>
      <c r="P789" s="3">
        <v>63050</v>
      </c>
      <c r="Q789" s="5">
        <f t="shared" si="36"/>
        <v>100798.31932773109</v>
      </c>
      <c r="R789" s="5">
        <f t="shared" si="37"/>
        <v>63050</v>
      </c>
      <c r="S789" s="5">
        <f t="shared" si="38"/>
        <v>37748.319327731093</v>
      </c>
    </row>
    <row r="790" spans="1:19" hidden="1" x14ac:dyDescent="0.3">
      <c r="A790">
        <v>100</v>
      </c>
      <c r="B790" t="s">
        <v>16</v>
      </c>
      <c r="C790" t="s">
        <v>1712</v>
      </c>
      <c r="D790" s="2" t="s">
        <v>1713</v>
      </c>
      <c r="E790" t="s">
        <v>1714</v>
      </c>
      <c r="F790" t="s">
        <v>20</v>
      </c>
      <c r="G790" t="s">
        <v>338</v>
      </c>
      <c r="H790">
        <v>23727</v>
      </c>
      <c r="I790" t="s">
        <v>23</v>
      </c>
      <c r="J790" t="s">
        <v>40</v>
      </c>
      <c r="K790" s="2" t="s">
        <v>1569</v>
      </c>
      <c r="L790" t="s">
        <v>26</v>
      </c>
      <c r="M790">
        <v>350878</v>
      </c>
      <c r="N790">
        <v>1</v>
      </c>
      <c r="O790" s="3">
        <v>45990</v>
      </c>
      <c r="P790" s="3">
        <v>26539</v>
      </c>
      <c r="Q790" s="5">
        <f t="shared" si="36"/>
        <v>38647.058823529413</v>
      </c>
      <c r="R790" s="5">
        <f t="shared" si="37"/>
        <v>26539</v>
      </c>
      <c r="S790" s="5">
        <f t="shared" si="38"/>
        <v>12108.058823529413</v>
      </c>
    </row>
    <row r="791" spans="1:19" hidden="1" x14ac:dyDescent="0.3">
      <c r="A791">
        <v>100</v>
      </c>
      <c r="B791" t="s">
        <v>16</v>
      </c>
      <c r="C791" t="s">
        <v>1715</v>
      </c>
      <c r="D791" s="2" t="s">
        <v>1716</v>
      </c>
      <c r="E791" t="s">
        <v>1717</v>
      </c>
      <c r="F791" t="s">
        <v>20</v>
      </c>
      <c r="G791" t="s">
        <v>21</v>
      </c>
      <c r="H791" t="s">
        <v>1013</v>
      </c>
      <c r="I791" t="s">
        <v>23</v>
      </c>
      <c r="J791" t="s">
        <v>35</v>
      </c>
      <c r="K791" s="2" t="s">
        <v>1569</v>
      </c>
      <c r="L791" t="s">
        <v>26</v>
      </c>
      <c r="M791">
        <v>350879</v>
      </c>
      <c r="N791">
        <v>1</v>
      </c>
      <c r="O791" s="3">
        <v>61990</v>
      </c>
      <c r="P791" s="3">
        <v>31970</v>
      </c>
      <c r="Q791" s="5">
        <f t="shared" si="36"/>
        <v>52092.436974789918</v>
      </c>
      <c r="R791" s="5">
        <f t="shared" si="37"/>
        <v>31970</v>
      </c>
      <c r="S791" s="5">
        <f t="shared" si="38"/>
        <v>20122.436974789918</v>
      </c>
    </row>
    <row r="792" spans="1:19" hidden="1" x14ac:dyDescent="0.3">
      <c r="A792">
        <v>100</v>
      </c>
      <c r="B792" t="s">
        <v>16</v>
      </c>
      <c r="C792" t="s">
        <v>1718</v>
      </c>
      <c r="D792" s="2" t="s">
        <v>1719</v>
      </c>
      <c r="E792" t="s">
        <v>1195</v>
      </c>
      <c r="F792" t="s">
        <v>20</v>
      </c>
      <c r="G792" t="s">
        <v>21</v>
      </c>
      <c r="H792" t="s">
        <v>982</v>
      </c>
      <c r="I792" t="s">
        <v>23</v>
      </c>
      <c r="J792" t="s">
        <v>40</v>
      </c>
      <c r="K792" s="2" t="s">
        <v>1569</v>
      </c>
      <c r="L792" t="s">
        <v>26</v>
      </c>
      <c r="M792">
        <v>350880</v>
      </c>
      <c r="N792">
        <v>1</v>
      </c>
      <c r="O792" s="3">
        <v>25990</v>
      </c>
      <c r="P792" s="3">
        <v>22948</v>
      </c>
      <c r="Q792" s="5">
        <f t="shared" si="36"/>
        <v>21840.336134453781</v>
      </c>
      <c r="R792" s="5">
        <f t="shared" si="37"/>
        <v>22948</v>
      </c>
      <c r="S792" s="5">
        <f t="shared" si="38"/>
        <v>-1107.6638655462193</v>
      </c>
    </row>
    <row r="793" spans="1:19" hidden="1" x14ac:dyDescent="0.3">
      <c r="A793">
        <v>100</v>
      </c>
      <c r="B793" t="s">
        <v>16</v>
      </c>
      <c r="C793" t="s">
        <v>1718</v>
      </c>
      <c r="D793" s="2" t="s">
        <v>1719</v>
      </c>
      <c r="E793" t="s">
        <v>1195</v>
      </c>
      <c r="F793" t="s">
        <v>20</v>
      </c>
      <c r="G793" t="s">
        <v>21</v>
      </c>
      <c r="H793" t="s">
        <v>982</v>
      </c>
      <c r="I793" t="s">
        <v>23</v>
      </c>
      <c r="J793" t="s">
        <v>40</v>
      </c>
      <c r="K793" s="2" t="s">
        <v>1569</v>
      </c>
      <c r="L793" t="s">
        <v>26</v>
      </c>
      <c r="M793">
        <v>350881</v>
      </c>
      <c r="N793">
        <v>1</v>
      </c>
      <c r="O793" s="3">
        <v>25990</v>
      </c>
      <c r="P793" s="3">
        <v>22948</v>
      </c>
      <c r="Q793" s="5">
        <f t="shared" si="36"/>
        <v>21840.336134453781</v>
      </c>
      <c r="R793" s="5">
        <f t="shared" si="37"/>
        <v>22948</v>
      </c>
      <c r="S793" s="5">
        <f t="shared" si="38"/>
        <v>-1107.6638655462193</v>
      </c>
    </row>
    <row r="794" spans="1:19" hidden="1" x14ac:dyDescent="0.3">
      <c r="A794">
        <v>100</v>
      </c>
      <c r="B794" t="s">
        <v>16</v>
      </c>
      <c r="C794" t="s">
        <v>1720</v>
      </c>
      <c r="D794" s="2" t="s">
        <v>1721</v>
      </c>
      <c r="E794" t="s">
        <v>1722</v>
      </c>
      <c r="F794" t="s">
        <v>20</v>
      </c>
      <c r="G794" t="s">
        <v>21</v>
      </c>
      <c r="H794" t="s">
        <v>323</v>
      </c>
      <c r="I794" t="s">
        <v>23</v>
      </c>
      <c r="J794" t="s">
        <v>35</v>
      </c>
      <c r="K794" s="2" t="s">
        <v>1569</v>
      </c>
      <c r="L794" t="s">
        <v>26</v>
      </c>
      <c r="M794">
        <v>350882</v>
      </c>
      <c r="N794">
        <v>1</v>
      </c>
      <c r="O794" s="3">
        <v>59990</v>
      </c>
      <c r="P794" s="3">
        <v>37125</v>
      </c>
      <c r="Q794" s="5">
        <f t="shared" si="36"/>
        <v>50411.764705882357</v>
      </c>
      <c r="R794" s="5">
        <f t="shared" si="37"/>
        <v>37125</v>
      </c>
      <c r="S794" s="5">
        <f t="shared" si="38"/>
        <v>13286.764705882357</v>
      </c>
    </row>
    <row r="795" spans="1:19" hidden="1" x14ac:dyDescent="0.3">
      <c r="A795">
        <v>100</v>
      </c>
      <c r="B795" t="s">
        <v>16</v>
      </c>
      <c r="C795" t="s">
        <v>1107</v>
      </c>
      <c r="D795" s="2" t="s">
        <v>1108</v>
      </c>
      <c r="E795" t="s">
        <v>391</v>
      </c>
      <c r="F795" t="s">
        <v>20</v>
      </c>
      <c r="G795" t="s">
        <v>21</v>
      </c>
      <c r="H795" t="s">
        <v>285</v>
      </c>
      <c r="I795" t="s">
        <v>23</v>
      </c>
      <c r="J795" t="s">
        <v>35</v>
      </c>
      <c r="K795" s="2" t="s">
        <v>1569</v>
      </c>
      <c r="L795" t="s">
        <v>26</v>
      </c>
      <c r="M795">
        <v>350883</v>
      </c>
      <c r="N795">
        <v>1</v>
      </c>
      <c r="O795" s="3">
        <v>59990</v>
      </c>
      <c r="P795" s="3">
        <v>30839</v>
      </c>
      <c r="Q795" s="5">
        <f t="shared" si="36"/>
        <v>50411.764705882357</v>
      </c>
      <c r="R795" s="5">
        <f t="shared" si="37"/>
        <v>30839</v>
      </c>
      <c r="S795" s="5">
        <f t="shared" si="38"/>
        <v>19572.764705882357</v>
      </c>
    </row>
    <row r="796" spans="1:19" hidden="1" x14ac:dyDescent="0.3">
      <c r="A796">
        <v>100</v>
      </c>
      <c r="B796" t="s">
        <v>16</v>
      </c>
      <c r="C796" t="s">
        <v>1723</v>
      </c>
      <c r="D796" s="2" t="s">
        <v>1724</v>
      </c>
      <c r="E796" t="s">
        <v>1180</v>
      </c>
      <c r="F796" t="s">
        <v>20</v>
      </c>
      <c r="G796" t="s">
        <v>21</v>
      </c>
      <c r="H796" t="s">
        <v>90</v>
      </c>
      <c r="I796" t="s">
        <v>23</v>
      </c>
      <c r="J796" t="s">
        <v>35</v>
      </c>
      <c r="K796" s="2" t="s">
        <v>1569</v>
      </c>
      <c r="L796" t="s">
        <v>26</v>
      </c>
      <c r="M796">
        <v>350884</v>
      </c>
      <c r="N796">
        <v>1</v>
      </c>
      <c r="O796" s="3">
        <v>59990</v>
      </c>
      <c r="P796" s="3">
        <v>33903</v>
      </c>
      <c r="Q796" s="5">
        <f t="shared" si="36"/>
        <v>50411.764705882357</v>
      </c>
      <c r="R796" s="5">
        <f t="shared" si="37"/>
        <v>33903</v>
      </c>
      <c r="S796" s="5">
        <f t="shared" si="38"/>
        <v>16508.764705882357</v>
      </c>
    </row>
    <row r="797" spans="1:19" hidden="1" x14ac:dyDescent="0.3">
      <c r="A797">
        <v>100</v>
      </c>
      <c r="B797" t="s">
        <v>16</v>
      </c>
      <c r="C797" t="s">
        <v>1725</v>
      </c>
      <c r="D797" s="2" t="s">
        <v>1726</v>
      </c>
      <c r="E797" t="s">
        <v>1727</v>
      </c>
      <c r="F797" t="s">
        <v>20</v>
      </c>
      <c r="G797" t="s">
        <v>21</v>
      </c>
      <c r="H797" t="s">
        <v>53</v>
      </c>
      <c r="I797" t="s">
        <v>23</v>
      </c>
      <c r="J797" t="s">
        <v>49</v>
      </c>
      <c r="K797" s="2" t="s">
        <v>1569</v>
      </c>
      <c r="L797" t="s">
        <v>26</v>
      </c>
      <c r="M797">
        <v>350885</v>
      </c>
      <c r="N797">
        <v>1</v>
      </c>
      <c r="O797" s="3">
        <v>34990</v>
      </c>
      <c r="P797" s="3">
        <v>18335</v>
      </c>
      <c r="Q797" s="5">
        <f t="shared" si="36"/>
        <v>29403.361344537818</v>
      </c>
      <c r="R797" s="5">
        <f t="shared" si="37"/>
        <v>18335</v>
      </c>
      <c r="S797" s="5">
        <f t="shared" si="38"/>
        <v>11068.361344537818</v>
      </c>
    </row>
    <row r="798" spans="1:19" hidden="1" x14ac:dyDescent="0.3">
      <c r="A798">
        <v>100</v>
      </c>
      <c r="B798" t="s">
        <v>16</v>
      </c>
      <c r="C798" t="s">
        <v>1728</v>
      </c>
      <c r="D798" s="2" t="s">
        <v>1729</v>
      </c>
      <c r="E798" t="s">
        <v>1730</v>
      </c>
      <c r="F798" t="s">
        <v>20</v>
      </c>
      <c r="G798" t="s">
        <v>21</v>
      </c>
      <c r="H798" t="s">
        <v>1731</v>
      </c>
      <c r="I798" t="s">
        <v>23</v>
      </c>
      <c r="J798" t="s">
        <v>207</v>
      </c>
      <c r="K798" s="2" t="s">
        <v>1569</v>
      </c>
      <c r="L798" t="s">
        <v>26</v>
      </c>
      <c r="M798">
        <v>350886</v>
      </c>
      <c r="N798">
        <v>1</v>
      </c>
      <c r="O798" s="3">
        <v>34990</v>
      </c>
      <c r="P798" s="3">
        <v>21486</v>
      </c>
      <c r="Q798" s="5">
        <f t="shared" si="36"/>
        <v>29403.361344537818</v>
      </c>
      <c r="R798" s="5">
        <f t="shared" si="37"/>
        <v>21486</v>
      </c>
      <c r="S798" s="5">
        <f t="shared" si="38"/>
        <v>7917.3613445378178</v>
      </c>
    </row>
    <row r="799" spans="1:19" hidden="1" x14ac:dyDescent="0.3">
      <c r="A799">
        <v>100</v>
      </c>
      <c r="B799" t="s">
        <v>16</v>
      </c>
      <c r="C799" t="s">
        <v>1732</v>
      </c>
      <c r="D799" s="2" t="s">
        <v>1733</v>
      </c>
      <c r="E799" t="s">
        <v>1626</v>
      </c>
      <c r="F799" t="s">
        <v>20</v>
      </c>
      <c r="G799" t="s">
        <v>21</v>
      </c>
      <c r="H799" t="s">
        <v>323</v>
      </c>
      <c r="I799" t="s">
        <v>23</v>
      </c>
      <c r="J799" t="s">
        <v>35</v>
      </c>
      <c r="K799" s="2" t="s">
        <v>1569</v>
      </c>
      <c r="L799" t="s">
        <v>26</v>
      </c>
      <c r="M799">
        <v>350887</v>
      </c>
      <c r="N799">
        <v>1</v>
      </c>
      <c r="O799" s="3">
        <v>59990</v>
      </c>
      <c r="P799" s="3">
        <v>37260</v>
      </c>
      <c r="Q799" s="5">
        <f t="shared" si="36"/>
        <v>50411.764705882357</v>
      </c>
      <c r="R799" s="5">
        <f t="shared" si="37"/>
        <v>37260</v>
      </c>
      <c r="S799" s="5">
        <f t="shared" si="38"/>
        <v>13151.764705882357</v>
      </c>
    </row>
    <row r="800" spans="1:19" hidden="1" x14ac:dyDescent="0.3">
      <c r="A800">
        <v>100</v>
      </c>
      <c r="B800" t="s">
        <v>16</v>
      </c>
      <c r="C800" t="s">
        <v>1734</v>
      </c>
      <c r="D800" s="2" t="s">
        <v>1735</v>
      </c>
      <c r="E800" t="s">
        <v>1736</v>
      </c>
      <c r="F800" t="s">
        <v>20</v>
      </c>
      <c r="G800" t="s">
        <v>21</v>
      </c>
      <c r="H800" t="s">
        <v>783</v>
      </c>
      <c r="I800" t="s">
        <v>23</v>
      </c>
      <c r="J800" t="s">
        <v>40</v>
      </c>
      <c r="K800" s="2" t="s">
        <v>1569</v>
      </c>
      <c r="L800" t="s">
        <v>26</v>
      </c>
      <c r="M800">
        <v>350888</v>
      </c>
      <c r="N800">
        <v>1</v>
      </c>
      <c r="O800" s="3">
        <v>33990</v>
      </c>
      <c r="P800" s="3">
        <v>17194</v>
      </c>
      <c r="Q800" s="5">
        <f t="shared" si="36"/>
        <v>28563.025210084033</v>
      </c>
      <c r="R800" s="5">
        <f t="shared" si="37"/>
        <v>17194</v>
      </c>
      <c r="S800" s="5">
        <f t="shared" si="38"/>
        <v>11369.025210084033</v>
      </c>
    </row>
    <row r="801" spans="1:19" hidden="1" x14ac:dyDescent="0.3">
      <c r="A801">
        <v>100</v>
      </c>
      <c r="B801" t="s">
        <v>16</v>
      </c>
      <c r="C801" t="s">
        <v>1737</v>
      </c>
      <c r="D801" s="2" t="s">
        <v>1738</v>
      </c>
      <c r="E801" t="s">
        <v>1739</v>
      </c>
      <c r="F801" t="s">
        <v>20</v>
      </c>
      <c r="G801" t="s">
        <v>21</v>
      </c>
      <c r="H801" t="s">
        <v>966</v>
      </c>
      <c r="I801" t="s">
        <v>23</v>
      </c>
      <c r="J801" t="s">
        <v>35</v>
      </c>
      <c r="K801" s="2" t="s">
        <v>1569</v>
      </c>
      <c r="L801" t="s">
        <v>26</v>
      </c>
      <c r="M801">
        <v>350889</v>
      </c>
      <c r="N801">
        <v>1</v>
      </c>
      <c r="O801" s="3">
        <v>43990</v>
      </c>
      <c r="P801" s="3">
        <v>27721</v>
      </c>
      <c r="Q801" s="5">
        <f t="shared" si="36"/>
        <v>36966.386554621851</v>
      </c>
      <c r="R801" s="5">
        <f t="shared" si="37"/>
        <v>27721</v>
      </c>
      <c r="S801" s="5">
        <f t="shared" si="38"/>
        <v>9245.3865546218512</v>
      </c>
    </row>
    <row r="802" spans="1:19" hidden="1" x14ac:dyDescent="0.3">
      <c r="A802">
        <v>100</v>
      </c>
      <c r="B802" t="s">
        <v>16</v>
      </c>
      <c r="C802" t="s">
        <v>1740</v>
      </c>
      <c r="D802" s="2" t="s">
        <v>1741</v>
      </c>
      <c r="E802" t="s">
        <v>1019</v>
      </c>
      <c r="F802" t="s">
        <v>20</v>
      </c>
      <c r="G802" t="s">
        <v>21</v>
      </c>
      <c r="H802" t="s">
        <v>1020</v>
      </c>
      <c r="I802" t="s">
        <v>23</v>
      </c>
      <c r="J802" t="s">
        <v>49</v>
      </c>
      <c r="K802" s="2" t="s">
        <v>1569</v>
      </c>
      <c r="L802" t="s">
        <v>26</v>
      </c>
      <c r="M802">
        <v>350889</v>
      </c>
      <c r="N802">
        <v>2</v>
      </c>
      <c r="O802" s="3">
        <v>61980</v>
      </c>
      <c r="P802" s="3">
        <v>24232</v>
      </c>
      <c r="Q802" s="5">
        <f t="shared" si="36"/>
        <v>52084.033613445383</v>
      </c>
      <c r="R802" s="5">
        <f t="shared" si="37"/>
        <v>48464</v>
      </c>
      <c r="S802" s="5">
        <f t="shared" si="38"/>
        <v>3620.0336134453828</v>
      </c>
    </row>
    <row r="803" spans="1:19" hidden="1" x14ac:dyDescent="0.3">
      <c r="A803">
        <v>100</v>
      </c>
      <c r="B803" t="s">
        <v>16</v>
      </c>
      <c r="C803" t="s">
        <v>1742</v>
      </c>
      <c r="D803" s="2" t="s">
        <v>1743</v>
      </c>
      <c r="E803" t="s">
        <v>692</v>
      </c>
      <c r="F803" t="s">
        <v>20</v>
      </c>
      <c r="G803" t="s">
        <v>21</v>
      </c>
      <c r="H803" t="s">
        <v>693</v>
      </c>
      <c r="I803" t="s">
        <v>23</v>
      </c>
      <c r="J803" t="s">
        <v>49</v>
      </c>
      <c r="K803" s="2" t="s">
        <v>1569</v>
      </c>
      <c r="L803" t="s">
        <v>26</v>
      </c>
      <c r="M803">
        <v>350889</v>
      </c>
      <c r="N803">
        <v>1</v>
      </c>
      <c r="O803" s="3">
        <v>39990</v>
      </c>
      <c r="P803" s="3">
        <v>21709</v>
      </c>
      <c r="Q803" s="5">
        <f t="shared" si="36"/>
        <v>33605.042016806721</v>
      </c>
      <c r="R803" s="5">
        <f t="shared" si="37"/>
        <v>21709</v>
      </c>
      <c r="S803" s="5">
        <f t="shared" si="38"/>
        <v>11896.042016806721</v>
      </c>
    </row>
    <row r="804" spans="1:19" hidden="1" x14ac:dyDescent="0.3">
      <c r="A804">
        <v>100</v>
      </c>
      <c r="B804" t="s">
        <v>16</v>
      </c>
      <c r="C804" t="s">
        <v>996</v>
      </c>
      <c r="D804" s="2" t="s">
        <v>997</v>
      </c>
      <c r="E804" t="s">
        <v>998</v>
      </c>
      <c r="F804" t="s">
        <v>20</v>
      </c>
      <c r="G804" t="s">
        <v>21</v>
      </c>
      <c r="H804" t="s">
        <v>251</v>
      </c>
      <c r="I804" t="s">
        <v>23</v>
      </c>
      <c r="J804" t="s">
        <v>49</v>
      </c>
      <c r="K804" s="2" t="s">
        <v>1744</v>
      </c>
      <c r="L804" t="s">
        <v>26</v>
      </c>
      <c r="M804">
        <v>350890</v>
      </c>
      <c r="N804">
        <v>1</v>
      </c>
      <c r="O804" s="3">
        <v>34990</v>
      </c>
      <c r="P804" s="3">
        <v>26228</v>
      </c>
      <c r="Q804" s="5">
        <f t="shared" si="36"/>
        <v>29403.361344537818</v>
      </c>
      <c r="R804" s="5">
        <f t="shared" si="37"/>
        <v>26228</v>
      </c>
      <c r="S804" s="5">
        <f t="shared" si="38"/>
        <v>3175.3613445378178</v>
      </c>
    </row>
    <row r="805" spans="1:19" hidden="1" x14ac:dyDescent="0.3">
      <c r="A805">
        <v>100</v>
      </c>
      <c r="B805" t="s">
        <v>16</v>
      </c>
      <c r="C805" t="s">
        <v>1745</v>
      </c>
      <c r="D805" s="2" t="s">
        <v>1746</v>
      </c>
      <c r="E805" t="s">
        <v>869</v>
      </c>
      <c r="F805" t="s">
        <v>20</v>
      </c>
      <c r="G805" t="s">
        <v>21</v>
      </c>
      <c r="H805" t="s">
        <v>870</v>
      </c>
      <c r="I805" t="s">
        <v>23</v>
      </c>
      <c r="J805" t="s">
        <v>35</v>
      </c>
      <c r="K805" s="2" t="s">
        <v>1744</v>
      </c>
      <c r="L805" t="s">
        <v>26</v>
      </c>
      <c r="M805">
        <v>350891</v>
      </c>
      <c r="N805">
        <v>1</v>
      </c>
      <c r="O805" s="3">
        <v>69950</v>
      </c>
      <c r="P805" s="3">
        <v>25434</v>
      </c>
      <c r="Q805" s="5">
        <f t="shared" si="36"/>
        <v>58781.512605042022</v>
      </c>
      <c r="R805" s="5">
        <f t="shared" si="37"/>
        <v>25434</v>
      </c>
      <c r="S805" s="5">
        <f t="shared" si="38"/>
        <v>33347.512605042022</v>
      </c>
    </row>
    <row r="806" spans="1:19" hidden="1" x14ac:dyDescent="0.3">
      <c r="A806">
        <v>100</v>
      </c>
      <c r="B806" t="s">
        <v>16</v>
      </c>
      <c r="C806" t="s">
        <v>1398</v>
      </c>
      <c r="D806" s="2" t="s">
        <v>1399</v>
      </c>
      <c r="E806" t="s">
        <v>1397</v>
      </c>
      <c r="F806" t="s">
        <v>20</v>
      </c>
      <c r="G806" t="s">
        <v>21</v>
      </c>
      <c r="H806" t="s">
        <v>152</v>
      </c>
      <c r="I806" t="s">
        <v>23</v>
      </c>
      <c r="J806" t="s">
        <v>40</v>
      </c>
      <c r="K806" s="2" t="s">
        <v>1744</v>
      </c>
      <c r="L806" t="s">
        <v>26</v>
      </c>
      <c r="M806">
        <v>350892</v>
      </c>
      <c r="N806">
        <v>1</v>
      </c>
      <c r="O806" s="3">
        <v>34990</v>
      </c>
      <c r="P806" s="3">
        <v>15642</v>
      </c>
      <c r="Q806" s="5">
        <f t="shared" si="36"/>
        <v>29403.361344537818</v>
      </c>
      <c r="R806" s="5">
        <f t="shared" si="37"/>
        <v>15642</v>
      </c>
      <c r="S806" s="5">
        <f t="shared" si="38"/>
        <v>13761.361344537818</v>
      </c>
    </row>
    <row r="807" spans="1:19" hidden="1" x14ac:dyDescent="0.3">
      <c r="A807">
        <v>100</v>
      </c>
      <c r="B807" t="s">
        <v>16</v>
      </c>
      <c r="C807" t="s">
        <v>1747</v>
      </c>
      <c r="D807" s="2" t="s">
        <v>1748</v>
      </c>
      <c r="E807" t="s">
        <v>1749</v>
      </c>
      <c r="F807" t="s">
        <v>20</v>
      </c>
      <c r="G807" t="s">
        <v>21</v>
      </c>
      <c r="H807" t="s">
        <v>738</v>
      </c>
      <c r="I807" t="s">
        <v>23</v>
      </c>
      <c r="J807" t="s">
        <v>49</v>
      </c>
      <c r="K807" s="2" t="s">
        <v>1744</v>
      </c>
      <c r="L807" t="s">
        <v>26</v>
      </c>
      <c r="M807">
        <v>350892</v>
      </c>
      <c r="N807">
        <v>1</v>
      </c>
      <c r="O807" s="3">
        <v>39990</v>
      </c>
      <c r="P807" s="3">
        <v>21039</v>
      </c>
      <c r="Q807" s="5">
        <f t="shared" si="36"/>
        <v>33605.042016806721</v>
      </c>
      <c r="R807" s="5">
        <f t="shared" si="37"/>
        <v>21039</v>
      </c>
      <c r="S807" s="5">
        <f t="shared" si="38"/>
        <v>12566.042016806721</v>
      </c>
    </row>
    <row r="808" spans="1:19" hidden="1" x14ac:dyDescent="0.3">
      <c r="A808">
        <v>100</v>
      </c>
      <c r="B808" t="s">
        <v>16</v>
      </c>
      <c r="C808" t="s">
        <v>1750</v>
      </c>
      <c r="D808" s="2" t="s">
        <v>1751</v>
      </c>
      <c r="E808" t="s">
        <v>102</v>
      </c>
      <c r="F808" t="s">
        <v>20</v>
      </c>
      <c r="G808" t="s">
        <v>21</v>
      </c>
      <c r="H808" t="s">
        <v>57</v>
      </c>
      <c r="I808" t="s">
        <v>23</v>
      </c>
      <c r="J808" t="s">
        <v>35</v>
      </c>
      <c r="K808" s="2" t="s">
        <v>1744</v>
      </c>
      <c r="L808" t="s">
        <v>26</v>
      </c>
      <c r="M808">
        <v>350893</v>
      </c>
      <c r="N808">
        <v>1</v>
      </c>
      <c r="O808" s="3">
        <v>69990</v>
      </c>
      <c r="P808" s="3">
        <v>35276</v>
      </c>
      <c r="Q808" s="5">
        <f t="shared" si="36"/>
        <v>58815.126050420171</v>
      </c>
      <c r="R808" s="5">
        <f t="shared" si="37"/>
        <v>35276</v>
      </c>
      <c r="S808" s="5">
        <f t="shared" si="38"/>
        <v>23539.126050420171</v>
      </c>
    </row>
    <row r="809" spans="1:19" hidden="1" x14ac:dyDescent="0.3">
      <c r="A809">
        <v>100</v>
      </c>
      <c r="B809" t="s">
        <v>16</v>
      </c>
      <c r="C809" t="s">
        <v>1273</v>
      </c>
      <c r="D809" s="2" t="s">
        <v>1274</v>
      </c>
      <c r="E809" t="s">
        <v>717</v>
      </c>
      <c r="F809" t="s">
        <v>20</v>
      </c>
      <c r="G809" t="s">
        <v>21</v>
      </c>
      <c r="H809" t="s">
        <v>718</v>
      </c>
      <c r="I809" t="s">
        <v>23</v>
      </c>
      <c r="J809" t="s">
        <v>49</v>
      </c>
      <c r="K809" s="2" t="s">
        <v>1744</v>
      </c>
      <c r="L809" t="s">
        <v>26</v>
      </c>
      <c r="M809">
        <v>350894</v>
      </c>
      <c r="N809">
        <v>1</v>
      </c>
      <c r="O809" s="3">
        <v>39990</v>
      </c>
      <c r="P809" s="3">
        <v>26655</v>
      </c>
      <c r="Q809" s="5">
        <f t="shared" si="36"/>
        <v>33605.042016806721</v>
      </c>
      <c r="R809" s="5">
        <f t="shared" si="37"/>
        <v>26655</v>
      </c>
      <c r="S809" s="5">
        <f t="shared" si="38"/>
        <v>6950.0420168067212</v>
      </c>
    </row>
    <row r="810" spans="1:19" hidden="1" x14ac:dyDescent="0.3">
      <c r="A810">
        <v>100</v>
      </c>
      <c r="B810" t="s">
        <v>16</v>
      </c>
      <c r="C810" t="s">
        <v>1752</v>
      </c>
      <c r="D810" s="2" t="s">
        <v>1753</v>
      </c>
      <c r="E810" t="s">
        <v>1754</v>
      </c>
      <c r="F810" t="s">
        <v>20</v>
      </c>
      <c r="G810" t="s">
        <v>21</v>
      </c>
      <c r="H810" t="s">
        <v>1755</v>
      </c>
      <c r="I810" t="s">
        <v>23</v>
      </c>
      <c r="J810" t="s">
        <v>40</v>
      </c>
      <c r="K810" s="2" t="s">
        <v>1744</v>
      </c>
      <c r="L810" t="s">
        <v>26</v>
      </c>
      <c r="M810">
        <v>350894</v>
      </c>
      <c r="N810">
        <v>1</v>
      </c>
      <c r="O810" s="3">
        <v>39990</v>
      </c>
      <c r="P810" s="3">
        <v>28528</v>
      </c>
      <c r="Q810" s="5">
        <f t="shared" si="36"/>
        <v>33605.042016806721</v>
      </c>
      <c r="R810" s="5">
        <f t="shared" si="37"/>
        <v>28528</v>
      </c>
      <c r="S810" s="5">
        <f t="shared" si="38"/>
        <v>5077.0420168067212</v>
      </c>
    </row>
    <row r="811" spans="1:19" hidden="1" x14ac:dyDescent="0.3">
      <c r="A811">
        <v>100</v>
      </c>
      <c r="B811" t="s">
        <v>16</v>
      </c>
      <c r="C811" t="s">
        <v>1756</v>
      </c>
      <c r="D811" s="2" t="s">
        <v>1757</v>
      </c>
      <c r="E811" t="s">
        <v>1758</v>
      </c>
      <c r="F811" t="s">
        <v>20</v>
      </c>
      <c r="G811" t="s">
        <v>338</v>
      </c>
      <c r="H811">
        <v>25133</v>
      </c>
      <c r="I811" t="s">
        <v>23</v>
      </c>
      <c r="J811" t="s">
        <v>35</v>
      </c>
      <c r="K811" s="2" t="s">
        <v>1744</v>
      </c>
      <c r="L811" t="s">
        <v>26</v>
      </c>
      <c r="M811">
        <v>350895</v>
      </c>
      <c r="N811">
        <v>1</v>
      </c>
      <c r="O811" s="3">
        <v>74950</v>
      </c>
      <c r="P811" s="3">
        <v>21167</v>
      </c>
      <c r="Q811" s="5">
        <f t="shared" si="36"/>
        <v>62983.193277310929</v>
      </c>
      <c r="R811" s="5">
        <f t="shared" si="37"/>
        <v>21167</v>
      </c>
      <c r="S811" s="5">
        <f t="shared" si="38"/>
        <v>41816.193277310929</v>
      </c>
    </row>
    <row r="812" spans="1:19" hidden="1" x14ac:dyDescent="0.3">
      <c r="A812">
        <v>100</v>
      </c>
      <c r="B812" t="s">
        <v>16</v>
      </c>
      <c r="C812">
        <v>1687976791</v>
      </c>
      <c r="D812" s="2" t="s">
        <v>200</v>
      </c>
      <c r="E812" t="s">
        <v>201</v>
      </c>
      <c r="F812" t="s">
        <v>201</v>
      </c>
      <c r="G812" t="s">
        <v>202</v>
      </c>
      <c r="H812" t="s">
        <v>202</v>
      </c>
      <c r="I812" t="s">
        <v>23</v>
      </c>
      <c r="J812" t="s">
        <v>202</v>
      </c>
      <c r="K812" s="2" t="s">
        <v>1744</v>
      </c>
      <c r="L812" t="s">
        <v>26</v>
      </c>
      <c r="M812">
        <v>350896</v>
      </c>
      <c r="N812">
        <v>1</v>
      </c>
      <c r="O812" s="3">
        <v>3400</v>
      </c>
      <c r="P812">
        <v>1</v>
      </c>
      <c r="Q812" s="5">
        <f t="shared" si="36"/>
        <v>2857.1428571428573</v>
      </c>
      <c r="R812" s="5">
        <f t="shared" si="37"/>
        <v>1</v>
      </c>
      <c r="S812" s="5">
        <f t="shared" si="38"/>
        <v>2856.1428571428573</v>
      </c>
    </row>
    <row r="813" spans="1:19" hidden="1" x14ac:dyDescent="0.3">
      <c r="A813">
        <v>100</v>
      </c>
      <c r="B813" t="s">
        <v>16</v>
      </c>
      <c r="C813" t="s">
        <v>1759</v>
      </c>
      <c r="D813" s="2" t="s">
        <v>1760</v>
      </c>
      <c r="E813" t="s">
        <v>947</v>
      </c>
      <c r="F813" t="s">
        <v>20</v>
      </c>
      <c r="G813" t="s">
        <v>215</v>
      </c>
      <c r="H813" t="s">
        <v>948</v>
      </c>
      <c r="I813" t="s">
        <v>23</v>
      </c>
      <c r="J813" t="s">
        <v>95</v>
      </c>
      <c r="K813" s="2" t="s">
        <v>1744</v>
      </c>
      <c r="L813" t="s">
        <v>26</v>
      </c>
      <c r="M813">
        <v>350896</v>
      </c>
      <c r="N813">
        <v>1</v>
      </c>
      <c r="O813" s="3">
        <v>39990</v>
      </c>
      <c r="P813" s="3">
        <v>24046</v>
      </c>
      <c r="Q813" s="5">
        <f t="shared" si="36"/>
        <v>33605.042016806721</v>
      </c>
      <c r="R813" s="5">
        <f t="shared" si="37"/>
        <v>24046</v>
      </c>
      <c r="S813" s="5">
        <f t="shared" si="38"/>
        <v>9559.0420168067212</v>
      </c>
    </row>
    <row r="814" spans="1:19" hidden="1" x14ac:dyDescent="0.3">
      <c r="A814">
        <v>100</v>
      </c>
      <c r="B814" t="s">
        <v>16</v>
      </c>
      <c r="C814" t="s">
        <v>1532</v>
      </c>
      <c r="D814" s="2" t="s">
        <v>1533</v>
      </c>
      <c r="E814" t="s">
        <v>1220</v>
      </c>
      <c r="F814" t="s">
        <v>20</v>
      </c>
      <c r="G814" t="s">
        <v>21</v>
      </c>
      <c r="H814" t="s">
        <v>57</v>
      </c>
      <c r="I814" t="s">
        <v>23</v>
      </c>
      <c r="J814" t="s">
        <v>35</v>
      </c>
      <c r="K814" s="2" t="s">
        <v>1744</v>
      </c>
      <c r="L814" t="s">
        <v>26</v>
      </c>
      <c r="M814">
        <v>350897</v>
      </c>
      <c r="N814">
        <v>1</v>
      </c>
      <c r="O814" s="3">
        <v>69990</v>
      </c>
      <c r="P814" s="3">
        <v>35409</v>
      </c>
      <c r="Q814" s="5">
        <f t="shared" si="36"/>
        <v>58815.126050420171</v>
      </c>
      <c r="R814" s="5">
        <f t="shared" si="37"/>
        <v>35409</v>
      </c>
      <c r="S814" s="5">
        <f t="shared" si="38"/>
        <v>23406.126050420171</v>
      </c>
    </row>
    <row r="815" spans="1:19" hidden="1" x14ac:dyDescent="0.3">
      <c r="A815">
        <v>100</v>
      </c>
      <c r="B815" t="s">
        <v>16</v>
      </c>
      <c r="C815" t="s">
        <v>1037</v>
      </c>
      <c r="D815" s="2" t="s">
        <v>1038</v>
      </c>
      <c r="E815" t="s">
        <v>1039</v>
      </c>
      <c r="F815" t="s">
        <v>377</v>
      </c>
      <c r="G815" t="s">
        <v>21</v>
      </c>
      <c r="H815" t="s">
        <v>378</v>
      </c>
      <c r="I815" t="s">
        <v>23</v>
      </c>
      <c r="J815" t="s">
        <v>379</v>
      </c>
      <c r="K815" s="2" t="s">
        <v>1744</v>
      </c>
      <c r="L815" t="s">
        <v>26</v>
      </c>
      <c r="M815">
        <v>350897</v>
      </c>
      <c r="N815">
        <v>1</v>
      </c>
      <c r="O815" s="3">
        <v>5950</v>
      </c>
      <c r="P815" s="3">
        <v>3257</v>
      </c>
      <c r="Q815" s="5">
        <f t="shared" si="36"/>
        <v>5000</v>
      </c>
      <c r="R815" s="5">
        <f t="shared" si="37"/>
        <v>3257</v>
      </c>
      <c r="S815" s="5">
        <f t="shared" si="38"/>
        <v>1743</v>
      </c>
    </row>
    <row r="816" spans="1:19" hidden="1" x14ac:dyDescent="0.3">
      <c r="A816">
        <v>100</v>
      </c>
      <c r="B816" t="s">
        <v>16</v>
      </c>
      <c r="C816" t="s">
        <v>1761</v>
      </c>
      <c r="D816" s="2" t="s">
        <v>1762</v>
      </c>
      <c r="E816" t="s">
        <v>1763</v>
      </c>
      <c r="F816" t="s">
        <v>377</v>
      </c>
      <c r="G816" t="s">
        <v>21</v>
      </c>
      <c r="H816" t="s">
        <v>378</v>
      </c>
      <c r="I816" t="s">
        <v>23</v>
      </c>
      <c r="J816" t="s">
        <v>379</v>
      </c>
      <c r="K816" s="2" t="s">
        <v>1744</v>
      </c>
      <c r="L816" t="s">
        <v>26</v>
      </c>
      <c r="M816">
        <v>350897</v>
      </c>
      <c r="N816">
        <v>1</v>
      </c>
      <c r="O816" s="3">
        <v>5950</v>
      </c>
      <c r="P816" s="3">
        <v>3279</v>
      </c>
      <c r="Q816" s="5">
        <f t="shared" si="36"/>
        <v>5000</v>
      </c>
      <c r="R816" s="5">
        <f t="shared" si="37"/>
        <v>3279</v>
      </c>
      <c r="S816" s="5">
        <f t="shared" si="38"/>
        <v>1721</v>
      </c>
    </row>
    <row r="817" spans="1:19" hidden="1" x14ac:dyDescent="0.3">
      <c r="A817">
        <v>100</v>
      </c>
      <c r="B817" t="s">
        <v>16</v>
      </c>
      <c r="C817" t="s">
        <v>1321</v>
      </c>
      <c r="D817" s="2" t="s">
        <v>1322</v>
      </c>
      <c r="E817" t="s">
        <v>19</v>
      </c>
      <c r="F817" t="s">
        <v>20</v>
      </c>
      <c r="G817" t="s">
        <v>21</v>
      </c>
      <c r="H817" t="s">
        <v>22</v>
      </c>
      <c r="I817" t="s">
        <v>23</v>
      </c>
      <c r="J817" t="s">
        <v>24</v>
      </c>
      <c r="K817" s="2" t="s">
        <v>1744</v>
      </c>
      <c r="L817" t="s">
        <v>26</v>
      </c>
      <c r="M817">
        <v>350898</v>
      </c>
      <c r="N817">
        <v>1</v>
      </c>
      <c r="O817" s="3">
        <v>49990</v>
      </c>
      <c r="P817" s="3">
        <v>29047</v>
      </c>
      <c r="Q817" s="5">
        <f t="shared" si="36"/>
        <v>42008.403361344543</v>
      </c>
      <c r="R817" s="5">
        <f t="shared" si="37"/>
        <v>29047</v>
      </c>
      <c r="S817" s="5">
        <f t="shared" si="38"/>
        <v>12961.403361344543</v>
      </c>
    </row>
    <row r="818" spans="1:19" hidden="1" x14ac:dyDescent="0.3">
      <c r="A818">
        <v>100</v>
      </c>
      <c r="B818" t="s">
        <v>16</v>
      </c>
      <c r="C818">
        <v>1687976791</v>
      </c>
      <c r="D818" s="2" t="s">
        <v>200</v>
      </c>
      <c r="E818" t="s">
        <v>201</v>
      </c>
      <c r="F818" t="s">
        <v>201</v>
      </c>
      <c r="G818" t="s">
        <v>202</v>
      </c>
      <c r="H818" t="s">
        <v>202</v>
      </c>
      <c r="I818" t="s">
        <v>23</v>
      </c>
      <c r="J818" t="s">
        <v>202</v>
      </c>
      <c r="K818" s="2" t="s">
        <v>1744</v>
      </c>
      <c r="L818" t="s">
        <v>26</v>
      </c>
      <c r="M818">
        <v>350898</v>
      </c>
      <c r="N818">
        <v>1</v>
      </c>
      <c r="O818" s="3">
        <v>3400</v>
      </c>
      <c r="P818">
        <v>1</v>
      </c>
      <c r="Q818" s="5">
        <f t="shared" si="36"/>
        <v>2857.1428571428573</v>
      </c>
      <c r="R818" s="5">
        <f t="shared" si="37"/>
        <v>1</v>
      </c>
      <c r="S818" s="5">
        <f t="shared" si="38"/>
        <v>2856.1428571428573</v>
      </c>
    </row>
    <row r="819" spans="1:19" hidden="1" x14ac:dyDescent="0.3">
      <c r="A819">
        <v>100</v>
      </c>
      <c r="B819" t="s">
        <v>16</v>
      </c>
      <c r="C819" t="s">
        <v>615</v>
      </c>
      <c r="D819" s="2" t="s">
        <v>616</v>
      </c>
      <c r="E819" t="s">
        <v>617</v>
      </c>
      <c r="F819" t="s">
        <v>20</v>
      </c>
      <c r="G819" t="s">
        <v>21</v>
      </c>
      <c r="H819" t="s">
        <v>618</v>
      </c>
      <c r="I819" t="s">
        <v>23</v>
      </c>
      <c r="J819" t="s">
        <v>40</v>
      </c>
      <c r="K819" s="2" t="s">
        <v>1744</v>
      </c>
      <c r="L819" t="s">
        <v>26</v>
      </c>
      <c r="M819">
        <v>350899</v>
      </c>
      <c r="N819">
        <v>1</v>
      </c>
      <c r="O819" s="3">
        <v>41990</v>
      </c>
      <c r="P819" s="3">
        <v>16817</v>
      </c>
      <c r="Q819" s="5">
        <f t="shared" si="36"/>
        <v>35285.71428571429</v>
      </c>
      <c r="R819" s="5">
        <f t="shared" si="37"/>
        <v>16817</v>
      </c>
      <c r="S819" s="5">
        <f t="shared" si="38"/>
        <v>18468.71428571429</v>
      </c>
    </row>
    <row r="820" spans="1:19" hidden="1" x14ac:dyDescent="0.3">
      <c r="A820">
        <v>100</v>
      </c>
      <c r="B820" t="s">
        <v>16</v>
      </c>
      <c r="C820" t="s">
        <v>1764</v>
      </c>
      <c r="D820" s="2" t="s">
        <v>1765</v>
      </c>
      <c r="E820" t="s">
        <v>1766</v>
      </c>
      <c r="F820" t="s">
        <v>20</v>
      </c>
      <c r="G820" t="s">
        <v>21</v>
      </c>
      <c r="H820" t="s">
        <v>199</v>
      </c>
      <c r="I820" t="s">
        <v>23</v>
      </c>
      <c r="J820" t="s">
        <v>31</v>
      </c>
      <c r="K820" s="2" t="s">
        <v>1744</v>
      </c>
      <c r="L820" t="s">
        <v>26</v>
      </c>
      <c r="M820">
        <v>350900</v>
      </c>
      <c r="N820">
        <v>1</v>
      </c>
      <c r="O820" s="3">
        <v>89990</v>
      </c>
      <c r="P820" s="3">
        <v>39915</v>
      </c>
      <c r="Q820" s="5">
        <f t="shared" si="36"/>
        <v>75621.848739495807</v>
      </c>
      <c r="R820" s="5">
        <f t="shared" si="37"/>
        <v>39915</v>
      </c>
      <c r="S820" s="5">
        <f t="shared" si="38"/>
        <v>35706.848739495807</v>
      </c>
    </row>
    <row r="821" spans="1:19" hidden="1" x14ac:dyDescent="0.3">
      <c r="A821">
        <v>100</v>
      </c>
      <c r="B821" t="s">
        <v>16</v>
      </c>
      <c r="C821" t="s">
        <v>546</v>
      </c>
      <c r="D821" s="2" t="s">
        <v>547</v>
      </c>
      <c r="E821" t="s">
        <v>548</v>
      </c>
      <c r="F821" t="s">
        <v>20</v>
      </c>
      <c r="G821" t="s">
        <v>21</v>
      </c>
      <c r="H821" t="s">
        <v>199</v>
      </c>
      <c r="I821" t="s">
        <v>23</v>
      </c>
      <c r="J821" t="s">
        <v>31</v>
      </c>
      <c r="K821" s="2" t="s">
        <v>1744</v>
      </c>
      <c r="L821" t="s">
        <v>26</v>
      </c>
      <c r="M821">
        <v>350901</v>
      </c>
      <c r="N821">
        <v>1</v>
      </c>
      <c r="O821" s="3">
        <v>89990</v>
      </c>
      <c r="P821" s="3">
        <v>39896</v>
      </c>
      <c r="Q821" s="5">
        <f t="shared" si="36"/>
        <v>75621.848739495807</v>
      </c>
      <c r="R821" s="5">
        <f t="shared" si="37"/>
        <v>39896</v>
      </c>
      <c r="S821" s="5">
        <f t="shared" si="38"/>
        <v>35725.848739495807</v>
      </c>
    </row>
    <row r="822" spans="1:19" hidden="1" x14ac:dyDescent="0.3">
      <c r="A822">
        <v>100</v>
      </c>
      <c r="B822" t="s">
        <v>16</v>
      </c>
      <c r="C822" t="s">
        <v>1767</v>
      </c>
      <c r="D822" s="2" t="s">
        <v>1768</v>
      </c>
      <c r="E822" t="s">
        <v>1769</v>
      </c>
      <c r="F822" t="s">
        <v>20</v>
      </c>
      <c r="G822" t="s">
        <v>21</v>
      </c>
      <c r="H822" t="s">
        <v>65</v>
      </c>
      <c r="I822" t="s">
        <v>23</v>
      </c>
      <c r="J822" t="s">
        <v>49</v>
      </c>
      <c r="K822" s="2" t="s">
        <v>1744</v>
      </c>
      <c r="L822" t="s">
        <v>26</v>
      </c>
      <c r="M822">
        <v>350902</v>
      </c>
      <c r="N822">
        <v>1</v>
      </c>
      <c r="O822" s="3">
        <v>39990</v>
      </c>
      <c r="P822" s="3">
        <v>21029</v>
      </c>
      <c r="Q822" s="5">
        <f t="shared" si="36"/>
        <v>33605.042016806721</v>
      </c>
      <c r="R822" s="5">
        <f t="shared" si="37"/>
        <v>21029</v>
      </c>
      <c r="S822" s="5">
        <f t="shared" si="38"/>
        <v>12576.042016806721</v>
      </c>
    </row>
    <row r="823" spans="1:19" hidden="1" x14ac:dyDescent="0.3">
      <c r="A823">
        <v>100</v>
      </c>
      <c r="B823" t="s">
        <v>16</v>
      </c>
      <c r="C823" t="s">
        <v>1770</v>
      </c>
      <c r="D823" s="2" t="s">
        <v>1771</v>
      </c>
      <c r="E823" t="s">
        <v>548</v>
      </c>
      <c r="F823" t="s">
        <v>20</v>
      </c>
      <c r="G823" t="s">
        <v>21</v>
      </c>
      <c r="H823" t="s">
        <v>199</v>
      </c>
      <c r="I823" t="s">
        <v>23</v>
      </c>
      <c r="J823" t="s">
        <v>31</v>
      </c>
      <c r="K823" s="2" t="s">
        <v>1744</v>
      </c>
      <c r="L823" t="s">
        <v>26</v>
      </c>
      <c r="M823">
        <v>350903</v>
      </c>
      <c r="N823">
        <v>1</v>
      </c>
      <c r="O823" s="3">
        <v>89990</v>
      </c>
      <c r="P823" s="3">
        <v>39887</v>
      </c>
      <c r="Q823" s="5">
        <f t="shared" si="36"/>
        <v>75621.848739495807</v>
      </c>
      <c r="R823" s="5">
        <f t="shared" si="37"/>
        <v>39887</v>
      </c>
      <c r="S823" s="5">
        <f t="shared" si="38"/>
        <v>35734.848739495807</v>
      </c>
    </row>
    <row r="824" spans="1:19" hidden="1" x14ac:dyDescent="0.3">
      <c r="A824">
        <v>100</v>
      </c>
      <c r="B824" t="s">
        <v>16</v>
      </c>
      <c r="C824" t="s">
        <v>1772</v>
      </c>
      <c r="D824" s="2" t="s">
        <v>1773</v>
      </c>
      <c r="E824" t="s">
        <v>1774</v>
      </c>
      <c r="F824" t="s">
        <v>20</v>
      </c>
      <c r="G824" t="s">
        <v>21</v>
      </c>
      <c r="H824" t="s">
        <v>167</v>
      </c>
      <c r="I824" t="s">
        <v>23</v>
      </c>
      <c r="J824" t="s">
        <v>35</v>
      </c>
      <c r="K824" s="2" t="s">
        <v>1744</v>
      </c>
      <c r="L824" t="s">
        <v>26</v>
      </c>
      <c r="M824">
        <v>350904</v>
      </c>
      <c r="N824">
        <v>1</v>
      </c>
      <c r="O824" s="3">
        <v>49990</v>
      </c>
      <c r="P824" s="3">
        <v>36224</v>
      </c>
      <c r="Q824" s="5">
        <f t="shared" si="36"/>
        <v>42008.403361344543</v>
      </c>
      <c r="R824" s="5">
        <f t="shared" si="37"/>
        <v>36224</v>
      </c>
      <c r="S824" s="5">
        <f t="shared" si="38"/>
        <v>5784.4033613445426</v>
      </c>
    </row>
    <row r="825" spans="1:19" hidden="1" x14ac:dyDescent="0.3">
      <c r="A825">
        <v>100</v>
      </c>
      <c r="B825" t="s">
        <v>16</v>
      </c>
      <c r="C825" t="s">
        <v>328</v>
      </c>
      <c r="D825" s="2" t="s">
        <v>329</v>
      </c>
      <c r="E825" t="s">
        <v>330</v>
      </c>
      <c r="F825" t="s">
        <v>20</v>
      </c>
      <c r="G825" t="s">
        <v>21</v>
      </c>
      <c r="H825" t="s">
        <v>331</v>
      </c>
      <c r="I825" t="s">
        <v>23</v>
      </c>
      <c r="J825" t="s">
        <v>49</v>
      </c>
      <c r="K825" s="2" t="s">
        <v>1744</v>
      </c>
      <c r="L825" t="s">
        <v>26</v>
      </c>
      <c r="M825">
        <v>350905</v>
      </c>
      <c r="N825">
        <v>1</v>
      </c>
      <c r="O825" s="3">
        <v>39990</v>
      </c>
      <c r="P825" s="3">
        <v>25155</v>
      </c>
      <c r="Q825" s="5">
        <f t="shared" si="36"/>
        <v>33605.042016806721</v>
      </c>
      <c r="R825" s="5">
        <f t="shared" si="37"/>
        <v>25155</v>
      </c>
      <c r="S825" s="5">
        <f t="shared" si="38"/>
        <v>8450.0420168067212</v>
      </c>
    </row>
    <row r="826" spans="1:19" hidden="1" x14ac:dyDescent="0.3">
      <c r="A826">
        <v>100</v>
      </c>
      <c r="B826" t="s">
        <v>16</v>
      </c>
      <c r="C826" t="s">
        <v>1429</v>
      </c>
      <c r="D826" s="2" t="s">
        <v>1430</v>
      </c>
      <c r="E826" t="s">
        <v>1431</v>
      </c>
      <c r="F826" t="s">
        <v>20</v>
      </c>
      <c r="G826" t="s">
        <v>21</v>
      </c>
      <c r="H826" t="s">
        <v>61</v>
      </c>
      <c r="I826" t="s">
        <v>23</v>
      </c>
      <c r="J826" t="s">
        <v>40</v>
      </c>
      <c r="K826" s="2" t="s">
        <v>1744</v>
      </c>
      <c r="L826" t="s">
        <v>26</v>
      </c>
      <c r="M826">
        <v>350906</v>
      </c>
      <c r="N826">
        <v>1</v>
      </c>
      <c r="O826" s="3">
        <v>39990</v>
      </c>
      <c r="P826" s="3">
        <v>28634</v>
      </c>
      <c r="Q826" s="5">
        <f t="shared" si="36"/>
        <v>33605.042016806721</v>
      </c>
      <c r="R826" s="5">
        <f t="shared" si="37"/>
        <v>28634</v>
      </c>
      <c r="S826" s="5">
        <f t="shared" si="38"/>
        <v>4971.0420168067212</v>
      </c>
    </row>
    <row r="827" spans="1:19" hidden="1" x14ac:dyDescent="0.3">
      <c r="A827">
        <v>100</v>
      </c>
      <c r="B827" t="s">
        <v>16</v>
      </c>
      <c r="C827" t="s">
        <v>1775</v>
      </c>
      <c r="D827" s="2" t="s">
        <v>1776</v>
      </c>
      <c r="E827" t="s">
        <v>1777</v>
      </c>
      <c r="F827" t="s">
        <v>20</v>
      </c>
      <c r="G827" t="s">
        <v>21</v>
      </c>
      <c r="H827" t="s">
        <v>131</v>
      </c>
      <c r="I827" t="s">
        <v>23</v>
      </c>
      <c r="J827" t="s">
        <v>31</v>
      </c>
      <c r="K827" s="2" t="s">
        <v>1744</v>
      </c>
      <c r="L827" t="s">
        <v>26</v>
      </c>
      <c r="M827">
        <v>350907</v>
      </c>
      <c r="N827">
        <v>1</v>
      </c>
      <c r="O827" s="3">
        <v>75990</v>
      </c>
      <c r="P827" s="3">
        <v>43583</v>
      </c>
      <c r="Q827" s="5">
        <f t="shared" si="36"/>
        <v>63857.142857142862</v>
      </c>
      <c r="R827" s="5">
        <f t="shared" si="37"/>
        <v>43583</v>
      </c>
      <c r="S827" s="5">
        <f t="shared" si="38"/>
        <v>20274.142857142862</v>
      </c>
    </row>
    <row r="828" spans="1:19" hidden="1" x14ac:dyDescent="0.3">
      <c r="A828">
        <v>100</v>
      </c>
      <c r="B828" t="s">
        <v>16</v>
      </c>
      <c r="C828" t="s">
        <v>1778</v>
      </c>
      <c r="D828" s="2" t="s">
        <v>1779</v>
      </c>
      <c r="E828" t="s">
        <v>1007</v>
      </c>
      <c r="F828" t="s">
        <v>20</v>
      </c>
      <c r="G828" t="s">
        <v>21</v>
      </c>
      <c r="H828" t="s">
        <v>22</v>
      </c>
      <c r="I828" t="s">
        <v>23</v>
      </c>
      <c r="J828" t="s">
        <v>31</v>
      </c>
      <c r="K828" s="2" t="s">
        <v>1744</v>
      </c>
      <c r="L828" t="s">
        <v>26</v>
      </c>
      <c r="M828">
        <v>350907</v>
      </c>
      <c r="N828">
        <v>1</v>
      </c>
      <c r="O828" s="3">
        <v>75990</v>
      </c>
      <c r="P828" s="3">
        <v>49625</v>
      </c>
      <c r="Q828" s="5">
        <f t="shared" si="36"/>
        <v>63857.142857142862</v>
      </c>
      <c r="R828" s="5">
        <f t="shared" si="37"/>
        <v>49625</v>
      </c>
      <c r="S828" s="5">
        <f t="shared" si="38"/>
        <v>14232.142857142862</v>
      </c>
    </row>
    <row r="829" spans="1:19" hidden="1" x14ac:dyDescent="0.3">
      <c r="A829">
        <v>100</v>
      </c>
      <c r="B829" t="s">
        <v>16</v>
      </c>
      <c r="C829" t="s">
        <v>1235</v>
      </c>
      <c r="D829" s="2" t="s">
        <v>1236</v>
      </c>
      <c r="E829" t="s">
        <v>1237</v>
      </c>
      <c r="F829" t="s">
        <v>20</v>
      </c>
      <c r="G829" t="s">
        <v>21</v>
      </c>
      <c r="H829" t="s">
        <v>618</v>
      </c>
      <c r="I829" t="s">
        <v>23</v>
      </c>
      <c r="J829" t="s">
        <v>40</v>
      </c>
      <c r="K829" s="2" t="s">
        <v>1744</v>
      </c>
      <c r="L829" t="s">
        <v>26</v>
      </c>
      <c r="M829">
        <v>350908</v>
      </c>
      <c r="N829">
        <v>1</v>
      </c>
      <c r="O829" s="3">
        <v>34990</v>
      </c>
      <c r="P829" s="3">
        <v>16817</v>
      </c>
      <c r="Q829" s="5">
        <f t="shared" si="36"/>
        <v>29403.361344537818</v>
      </c>
      <c r="R829" s="5">
        <f t="shared" si="37"/>
        <v>16817</v>
      </c>
      <c r="S829" s="5">
        <f t="shared" si="38"/>
        <v>12586.361344537818</v>
      </c>
    </row>
    <row r="830" spans="1:19" hidden="1" x14ac:dyDescent="0.3">
      <c r="A830">
        <v>100</v>
      </c>
      <c r="B830" t="s">
        <v>16</v>
      </c>
      <c r="C830">
        <v>1687976791</v>
      </c>
      <c r="D830" s="2" t="s">
        <v>200</v>
      </c>
      <c r="E830" t="s">
        <v>201</v>
      </c>
      <c r="F830" t="s">
        <v>201</v>
      </c>
      <c r="G830" t="s">
        <v>202</v>
      </c>
      <c r="H830" t="s">
        <v>202</v>
      </c>
      <c r="I830" t="s">
        <v>23</v>
      </c>
      <c r="J830" t="s">
        <v>202</v>
      </c>
      <c r="K830" s="2" t="s">
        <v>1744</v>
      </c>
      <c r="L830" t="s">
        <v>26</v>
      </c>
      <c r="M830">
        <v>350908</v>
      </c>
      <c r="N830">
        <v>1</v>
      </c>
      <c r="O830" s="3">
        <v>9074</v>
      </c>
      <c r="P830">
        <v>1</v>
      </c>
      <c r="Q830" s="5">
        <f t="shared" si="36"/>
        <v>7625.2100840336134</v>
      </c>
      <c r="R830" s="5">
        <f t="shared" si="37"/>
        <v>1</v>
      </c>
      <c r="S830" s="5">
        <f t="shared" si="38"/>
        <v>7624.2100840336134</v>
      </c>
    </row>
    <row r="831" spans="1:19" hidden="1" x14ac:dyDescent="0.3">
      <c r="A831">
        <v>100</v>
      </c>
      <c r="B831" t="s">
        <v>16</v>
      </c>
      <c r="C831" t="s">
        <v>1780</v>
      </c>
      <c r="D831" s="2" t="s">
        <v>1781</v>
      </c>
      <c r="E831" t="s">
        <v>1782</v>
      </c>
      <c r="F831" t="s">
        <v>20</v>
      </c>
      <c r="G831" t="s">
        <v>21</v>
      </c>
      <c r="H831" t="s">
        <v>285</v>
      </c>
      <c r="I831" t="s">
        <v>23</v>
      </c>
      <c r="J831" t="s">
        <v>35</v>
      </c>
      <c r="K831" s="2" t="s">
        <v>1744</v>
      </c>
      <c r="L831" t="s">
        <v>26</v>
      </c>
      <c r="M831">
        <v>350909</v>
      </c>
      <c r="N831">
        <v>1</v>
      </c>
      <c r="O831" s="3">
        <v>59990</v>
      </c>
      <c r="P831" s="3">
        <v>30829</v>
      </c>
      <c r="Q831" s="5">
        <f t="shared" si="36"/>
        <v>50411.764705882357</v>
      </c>
      <c r="R831" s="5">
        <f t="shared" si="37"/>
        <v>30829</v>
      </c>
      <c r="S831" s="5">
        <f t="shared" si="38"/>
        <v>19582.764705882357</v>
      </c>
    </row>
    <row r="832" spans="1:19" hidden="1" x14ac:dyDescent="0.3">
      <c r="A832">
        <v>100</v>
      </c>
      <c r="B832" t="s">
        <v>16</v>
      </c>
      <c r="C832">
        <v>1687976791</v>
      </c>
      <c r="D832" s="2" t="s">
        <v>200</v>
      </c>
      <c r="E832" t="s">
        <v>201</v>
      </c>
      <c r="F832" t="s">
        <v>201</v>
      </c>
      <c r="G832" t="s">
        <v>202</v>
      </c>
      <c r="H832" t="s">
        <v>202</v>
      </c>
      <c r="I832" t="s">
        <v>23</v>
      </c>
      <c r="J832" t="s">
        <v>202</v>
      </c>
      <c r="K832" s="2" t="s">
        <v>1744</v>
      </c>
      <c r="L832" t="s">
        <v>26</v>
      </c>
      <c r="M832">
        <v>350909</v>
      </c>
      <c r="N832">
        <v>1</v>
      </c>
      <c r="O832" s="3">
        <v>3400</v>
      </c>
      <c r="P832">
        <v>1</v>
      </c>
      <c r="Q832" s="5">
        <f t="shared" si="36"/>
        <v>2857.1428571428573</v>
      </c>
      <c r="R832" s="5">
        <f t="shared" si="37"/>
        <v>1</v>
      </c>
      <c r="S832" s="5">
        <f t="shared" si="38"/>
        <v>2856.1428571428573</v>
      </c>
    </row>
    <row r="833" spans="1:19" hidden="1" x14ac:dyDescent="0.3">
      <c r="A833">
        <v>100</v>
      </c>
      <c r="B833" t="s">
        <v>16</v>
      </c>
      <c r="C833">
        <v>1687976791</v>
      </c>
      <c r="D833" s="2" t="s">
        <v>200</v>
      </c>
      <c r="E833" t="s">
        <v>201</v>
      </c>
      <c r="F833" t="s">
        <v>201</v>
      </c>
      <c r="G833" t="s">
        <v>202</v>
      </c>
      <c r="H833" t="s">
        <v>202</v>
      </c>
      <c r="I833" t="s">
        <v>23</v>
      </c>
      <c r="J833" t="s">
        <v>202</v>
      </c>
      <c r="K833" s="2" t="s">
        <v>1744</v>
      </c>
      <c r="L833" t="s">
        <v>26</v>
      </c>
      <c r="M833">
        <v>350910</v>
      </c>
      <c r="N833">
        <v>1</v>
      </c>
      <c r="O833" s="3">
        <v>3400</v>
      </c>
      <c r="P833">
        <v>1</v>
      </c>
      <c r="Q833" s="5">
        <f t="shared" si="36"/>
        <v>2857.1428571428573</v>
      </c>
      <c r="R833" s="5">
        <f t="shared" si="37"/>
        <v>1</v>
      </c>
      <c r="S833" s="5">
        <f t="shared" si="38"/>
        <v>2856.1428571428573</v>
      </c>
    </row>
    <row r="834" spans="1:19" hidden="1" x14ac:dyDescent="0.3">
      <c r="A834">
        <v>100</v>
      </c>
      <c r="B834" t="s">
        <v>16</v>
      </c>
      <c r="C834" t="s">
        <v>1783</v>
      </c>
      <c r="D834" s="2" t="s">
        <v>1784</v>
      </c>
      <c r="E834" t="s">
        <v>1785</v>
      </c>
      <c r="F834" t="s">
        <v>20</v>
      </c>
      <c r="G834" t="s">
        <v>21</v>
      </c>
      <c r="H834" t="s">
        <v>1457</v>
      </c>
      <c r="I834" t="s">
        <v>23</v>
      </c>
      <c r="J834" t="s">
        <v>40</v>
      </c>
      <c r="K834" s="2" t="s">
        <v>1744</v>
      </c>
      <c r="L834" t="s">
        <v>26</v>
      </c>
      <c r="M834">
        <v>350910</v>
      </c>
      <c r="N834">
        <v>1</v>
      </c>
      <c r="O834" s="3">
        <v>34990</v>
      </c>
      <c r="P834" s="3">
        <v>14950</v>
      </c>
      <c r="Q834" s="5">
        <f t="shared" si="36"/>
        <v>29403.361344537818</v>
      </c>
      <c r="R834" s="5">
        <f t="shared" si="37"/>
        <v>14950</v>
      </c>
      <c r="S834" s="5">
        <f t="shared" si="38"/>
        <v>14453.361344537818</v>
      </c>
    </row>
    <row r="835" spans="1:19" hidden="1" x14ac:dyDescent="0.3">
      <c r="A835">
        <v>100</v>
      </c>
      <c r="B835" t="s">
        <v>16</v>
      </c>
      <c r="C835" t="s">
        <v>1293</v>
      </c>
      <c r="D835" s="2" t="s">
        <v>1294</v>
      </c>
      <c r="E835" t="s">
        <v>1295</v>
      </c>
      <c r="F835" t="s">
        <v>20</v>
      </c>
      <c r="G835" t="s">
        <v>21</v>
      </c>
      <c r="H835" t="s">
        <v>1296</v>
      </c>
      <c r="I835" t="s">
        <v>23</v>
      </c>
      <c r="J835" t="s">
        <v>35</v>
      </c>
      <c r="K835" s="2" t="s">
        <v>1744</v>
      </c>
      <c r="L835" t="s">
        <v>26</v>
      </c>
      <c r="M835">
        <v>350911</v>
      </c>
      <c r="N835">
        <v>1</v>
      </c>
      <c r="O835" s="3">
        <v>59990</v>
      </c>
      <c r="P835" s="3">
        <v>34590</v>
      </c>
      <c r="Q835" s="5">
        <f t="shared" si="36"/>
        <v>50411.764705882357</v>
      </c>
      <c r="R835" s="5">
        <f t="shared" si="37"/>
        <v>34590</v>
      </c>
      <c r="S835" s="5">
        <f t="shared" si="38"/>
        <v>15821.764705882357</v>
      </c>
    </row>
    <row r="836" spans="1:19" hidden="1" x14ac:dyDescent="0.3">
      <c r="A836">
        <v>100</v>
      </c>
      <c r="B836" t="s">
        <v>16</v>
      </c>
      <c r="C836">
        <v>1687976791</v>
      </c>
      <c r="D836" s="2" t="s">
        <v>200</v>
      </c>
      <c r="E836" t="s">
        <v>201</v>
      </c>
      <c r="F836" t="s">
        <v>201</v>
      </c>
      <c r="G836" t="s">
        <v>202</v>
      </c>
      <c r="H836" t="s">
        <v>202</v>
      </c>
      <c r="I836" t="s">
        <v>23</v>
      </c>
      <c r="J836" t="s">
        <v>202</v>
      </c>
      <c r="K836" s="2" t="s">
        <v>1744</v>
      </c>
      <c r="L836" t="s">
        <v>26</v>
      </c>
      <c r="M836">
        <v>350911</v>
      </c>
      <c r="N836">
        <v>1</v>
      </c>
      <c r="O836" s="3">
        <v>6301</v>
      </c>
      <c r="P836">
        <v>1</v>
      </c>
      <c r="Q836" s="5">
        <f t="shared" si="36"/>
        <v>5294.9579831932779</v>
      </c>
      <c r="R836" s="5">
        <f t="shared" si="37"/>
        <v>1</v>
      </c>
      <c r="S836" s="5">
        <f t="shared" si="38"/>
        <v>5293.9579831932779</v>
      </c>
    </row>
    <row r="837" spans="1:19" hidden="1" x14ac:dyDescent="0.3">
      <c r="A837">
        <v>100</v>
      </c>
      <c r="B837" t="s">
        <v>16</v>
      </c>
      <c r="C837" t="s">
        <v>1786</v>
      </c>
      <c r="D837" s="2" t="s">
        <v>1787</v>
      </c>
      <c r="E837" t="s">
        <v>1788</v>
      </c>
      <c r="F837" t="s">
        <v>20</v>
      </c>
      <c r="G837" t="s">
        <v>21</v>
      </c>
      <c r="H837" t="s">
        <v>1755</v>
      </c>
      <c r="I837" t="s">
        <v>23</v>
      </c>
      <c r="J837" t="s">
        <v>40</v>
      </c>
      <c r="K837" s="2" t="s">
        <v>1744</v>
      </c>
      <c r="L837" t="s">
        <v>26</v>
      </c>
      <c r="M837">
        <v>350912</v>
      </c>
      <c r="N837">
        <v>1</v>
      </c>
      <c r="O837" s="3">
        <v>59990</v>
      </c>
      <c r="P837" s="3">
        <v>32843</v>
      </c>
      <c r="Q837" s="5">
        <f t="shared" si="36"/>
        <v>50411.764705882357</v>
      </c>
      <c r="R837" s="5">
        <f t="shared" si="37"/>
        <v>32843</v>
      </c>
      <c r="S837" s="5">
        <f t="shared" si="38"/>
        <v>17568.764705882357</v>
      </c>
    </row>
    <row r="838" spans="1:19" hidden="1" x14ac:dyDescent="0.3">
      <c r="A838">
        <v>100</v>
      </c>
      <c r="B838" t="s">
        <v>16</v>
      </c>
      <c r="C838" t="s">
        <v>1789</v>
      </c>
      <c r="D838" s="2" t="s">
        <v>1790</v>
      </c>
      <c r="E838" t="s">
        <v>1791</v>
      </c>
      <c r="F838" t="s">
        <v>20</v>
      </c>
      <c r="G838" t="s">
        <v>21</v>
      </c>
      <c r="H838" t="s">
        <v>742</v>
      </c>
      <c r="I838" t="s">
        <v>23</v>
      </c>
      <c r="J838" t="s">
        <v>40</v>
      </c>
      <c r="K838" s="2" t="s">
        <v>1744</v>
      </c>
      <c r="L838" t="s">
        <v>26</v>
      </c>
      <c r="M838">
        <v>350912</v>
      </c>
      <c r="N838">
        <v>1</v>
      </c>
      <c r="O838" s="3">
        <v>69990</v>
      </c>
      <c r="P838" s="3">
        <v>26517</v>
      </c>
      <c r="Q838" s="5">
        <f t="shared" ref="Q838:Q901" si="39">O838/1.19</f>
        <v>58815.126050420171</v>
      </c>
      <c r="R838" s="5">
        <f t="shared" ref="R838:R901" si="40">N838*P838</f>
        <v>26517</v>
      </c>
      <c r="S838" s="5">
        <f t="shared" ref="S838:S901" si="41">Q838-R838</f>
        <v>32298.126050420171</v>
      </c>
    </row>
    <row r="839" spans="1:19" hidden="1" x14ac:dyDescent="0.3">
      <c r="A839">
        <v>100</v>
      </c>
      <c r="B839" t="s">
        <v>16</v>
      </c>
      <c r="C839" t="s">
        <v>1792</v>
      </c>
      <c r="D839" s="2" t="s">
        <v>1793</v>
      </c>
      <c r="E839" t="s">
        <v>1794</v>
      </c>
      <c r="F839" t="s">
        <v>20</v>
      </c>
      <c r="G839" t="s">
        <v>21</v>
      </c>
      <c r="H839" t="s">
        <v>966</v>
      </c>
      <c r="I839" t="s">
        <v>23</v>
      </c>
      <c r="J839" t="s">
        <v>40</v>
      </c>
      <c r="K839" s="2" t="s">
        <v>1744</v>
      </c>
      <c r="L839" t="s">
        <v>26</v>
      </c>
      <c r="M839">
        <v>350913</v>
      </c>
      <c r="N839">
        <v>1</v>
      </c>
      <c r="O839" s="3">
        <v>44990</v>
      </c>
      <c r="P839" s="3">
        <v>27792</v>
      </c>
      <c r="Q839" s="5">
        <f t="shared" si="39"/>
        <v>37806.722689075636</v>
      </c>
      <c r="R839" s="5">
        <f t="shared" si="40"/>
        <v>27792</v>
      </c>
      <c r="S839" s="5">
        <f t="shared" si="41"/>
        <v>10014.722689075636</v>
      </c>
    </row>
    <row r="840" spans="1:19" hidden="1" x14ac:dyDescent="0.3">
      <c r="A840">
        <v>100</v>
      </c>
      <c r="B840" t="s">
        <v>16</v>
      </c>
      <c r="C840" t="s">
        <v>971</v>
      </c>
      <c r="D840" s="2" t="s">
        <v>972</v>
      </c>
      <c r="E840" t="s">
        <v>857</v>
      </c>
      <c r="F840" t="s">
        <v>20</v>
      </c>
      <c r="G840" t="s">
        <v>21</v>
      </c>
      <c r="H840" t="s">
        <v>224</v>
      </c>
      <c r="I840" t="s">
        <v>23</v>
      </c>
      <c r="J840" t="s">
        <v>49</v>
      </c>
      <c r="K840" s="2" t="s">
        <v>1744</v>
      </c>
      <c r="L840" t="s">
        <v>26</v>
      </c>
      <c r="M840">
        <v>350913</v>
      </c>
      <c r="N840">
        <v>1</v>
      </c>
      <c r="O840" s="3">
        <v>44990</v>
      </c>
      <c r="P840" s="3">
        <v>32200</v>
      </c>
      <c r="Q840" s="5">
        <f t="shared" si="39"/>
        <v>37806.722689075636</v>
      </c>
      <c r="R840" s="5">
        <f t="shared" si="40"/>
        <v>32200</v>
      </c>
      <c r="S840" s="5">
        <f t="shared" si="41"/>
        <v>5606.7226890756356</v>
      </c>
    </row>
    <row r="841" spans="1:19" hidden="1" x14ac:dyDescent="0.3">
      <c r="A841">
        <v>100</v>
      </c>
      <c r="B841" t="s">
        <v>16</v>
      </c>
      <c r="C841" t="s">
        <v>303</v>
      </c>
      <c r="D841" s="2" t="s">
        <v>304</v>
      </c>
      <c r="E841" t="s">
        <v>305</v>
      </c>
      <c r="F841" t="s">
        <v>20</v>
      </c>
      <c r="G841" t="s">
        <v>21</v>
      </c>
      <c r="H841" t="s">
        <v>306</v>
      </c>
      <c r="I841" t="s">
        <v>23</v>
      </c>
      <c r="J841" t="s">
        <v>35</v>
      </c>
      <c r="K841" s="2" t="s">
        <v>1744</v>
      </c>
      <c r="L841" t="s">
        <v>26</v>
      </c>
      <c r="M841">
        <v>350914</v>
      </c>
      <c r="N841">
        <v>1</v>
      </c>
      <c r="O841" s="3">
        <v>59990</v>
      </c>
      <c r="P841" s="3">
        <v>33912</v>
      </c>
      <c r="Q841" s="5">
        <f t="shared" si="39"/>
        <v>50411.764705882357</v>
      </c>
      <c r="R841" s="5">
        <f t="shared" si="40"/>
        <v>33912</v>
      </c>
      <c r="S841" s="5">
        <f t="shared" si="41"/>
        <v>16499.764705882357</v>
      </c>
    </row>
    <row r="842" spans="1:19" hidden="1" x14ac:dyDescent="0.3">
      <c r="A842">
        <v>100</v>
      </c>
      <c r="B842" t="s">
        <v>16</v>
      </c>
      <c r="C842" t="s">
        <v>1310</v>
      </c>
      <c r="D842" s="2" t="s">
        <v>1311</v>
      </c>
      <c r="E842" t="s">
        <v>1312</v>
      </c>
      <c r="F842" t="s">
        <v>20</v>
      </c>
      <c r="G842" t="s">
        <v>21</v>
      </c>
      <c r="H842" t="s">
        <v>114</v>
      </c>
      <c r="I842" t="s">
        <v>23</v>
      </c>
      <c r="J842" t="s">
        <v>35</v>
      </c>
      <c r="K842" s="2" t="s">
        <v>1744</v>
      </c>
      <c r="L842" t="s">
        <v>26</v>
      </c>
      <c r="M842">
        <v>350915</v>
      </c>
      <c r="N842">
        <v>1</v>
      </c>
      <c r="O842" s="3">
        <v>54990</v>
      </c>
      <c r="P842" s="3">
        <v>31437</v>
      </c>
      <c r="Q842" s="5">
        <f t="shared" si="39"/>
        <v>46210.08403361345</v>
      </c>
      <c r="R842" s="5">
        <f t="shared" si="40"/>
        <v>31437</v>
      </c>
      <c r="S842" s="5">
        <f t="shared" si="41"/>
        <v>14773.08403361345</v>
      </c>
    </row>
    <row r="843" spans="1:19" hidden="1" x14ac:dyDescent="0.3">
      <c r="A843">
        <v>100</v>
      </c>
      <c r="B843" t="s">
        <v>16</v>
      </c>
      <c r="C843" t="s">
        <v>1795</v>
      </c>
      <c r="D843" s="2" t="s">
        <v>1796</v>
      </c>
      <c r="E843" t="s">
        <v>1058</v>
      </c>
      <c r="F843" t="s">
        <v>20</v>
      </c>
      <c r="G843" t="s">
        <v>21</v>
      </c>
      <c r="H843" t="s">
        <v>160</v>
      </c>
      <c r="I843" t="s">
        <v>23</v>
      </c>
      <c r="J843" t="s">
        <v>49</v>
      </c>
      <c r="K843" s="2" t="s">
        <v>1744</v>
      </c>
      <c r="L843" t="s">
        <v>26</v>
      </c>
      <c r="M843">
        <v>350916</v>
      </c>
      <c r="N843">
        <v>1</v>
      </c>
      <c r="O843" s="3">
        <v>49990</v>
      </c>
      <c r="P843" s="3">
        <v>25834</v>
      </c>
      <c r="Q843" s="5">
        <f t="shared" si="39"/>
        <v>42008.403361344543</v>
      </c>
      <c r="R843" s="5">
        <f t="shared" si="40"/>
        <v>25834</v>
      </c>
      <c r="S843" s="5">
        <f t="shared" si="41"/>
        <v>16174.403361344543</v>
      </c>
    </row>
    <row r="844" spans="1:19" hidden="1" x14ac:dyDescent="0.3">
      <c r="A844">
        <v>100</v>
      </c>
      <c r="B844" t="s">
        <v>16</v>
      </c>
      <c r="C844" t="s">
        <v>1024</v>
      </c>
      <c r="D844" s="2" t="s">
        <v>1025</v>
      </c>
      <c r="E844" t="s">
        <v>1007</v>
      </c>
      <c r="F844" t="s">
        <v>20</v>
      </c>
      <c r="G844" t="s">
        <v>21</v>
      </c>
      <c r="H844" t="s">
        <v>22</v>
      </c>
      <c r="I844" t="s">
        <v>23</v>
      </c>
      <c r="J844" t="s">
        <v>31</v>
      </c>
      <c r="K844" s="2" t="s">
        <v>1744</v>
      </c>
      <c r="L844" t="s">
        <v>26</v>
      </c>
      <c r="M844">
        <v>350917</v>
      </c>
      <c r="N844">
        <v>1</v>
      </c>
      <c r="O844" s="3">
        <v>119950</v>
      </c>
      <c r="P844" s="3">
        <v>49625</v>
      </c>
      <c r="Q844" s="5">
        <f t="shared" si="39"/>
        <v>100798.31932773109</v>
      </c>
      <c r="R844" s="5">
        <f t="shared" si="40"/>
        <v>49625</v>
      </c>
      <c r="S844" s="5">
        <f t="shared" si="41"/>
        <v>51173.319327731093</v>
      </c>
    </row>
    <row r="845" spans="1:19" hidden="1" x14ac:dyDescent="0.3">
      <c r="A845">
        <v>100</v>
      </c>
      <c r="B845" t="s">
        <v>16</v>
      </c>
      <c r="C845" t="s">
        <v>659</v>
      </c>
      <c r="D845" s="2" t="s">
        <v>660</v>
      </c>
      <c r="E845" t="s">
        <v>661</v>
      </c>
      <c r="F845" t="s">
        <v>20</v>
      </c>
      <c r="G845" t="s">
        <v>21</v>
      </c>
      <c r="H845" t="s">
        <v>106</v>
      </c>
      <c r="I845" t="s">
        <v>23</v>
      </c>
      <c r="J845" t="s">
        <v>35</v>
      </c>
      <c r="K845" s="2" t="s">
        <v>1744</v>
      </c>
      <c r="L845" t="s">
        <v>26</v>
      </c>
      <c r="M845">
        <v>350918</v>
      </c>
      <c r="N845">
        <v>1</v>
      </c>
      <c r="O845" s="3">
        <v>69990</v>
      </c>
      <c r="P845" s="3">
        <v>30957</v>
      </c>
      <c r="Q845" s="5">
        <f t="shared" si="39"/>
        <v>58815.126050420171</v>
      </c>
      <c r="R845" s="5">
        <f t="shared" si="40"/>
        <v>30957</v>
      </c>
      <c r="S845" s="5">
        <f t="shared" si="41"/>
        <v>27858.126050420171</v>
      </c>
    </row>
    <row r="846" spans="1:19" hidden="1" x14ac:dyDescent="0.3">
      <c r="A846">
        <v>100</v>
      </c>
      <c r="B846" t="s">
        <v>16</v>
      </c>
      <c r="C846" t="s">
        <v>925</v>
      </c>
      <c r="D846" s="2" t="s">
        <v>926</v>
      </c>
      <c r="E846" t="s">
        <v>927</v>
      </c>
      <c r="F846" t="s">
        <v>20</v>
      </c>
      <c r="G846" t="s">
        <v>21</v>
      </c>
      <c r="H846" t="s">
        <v>738</v>
      </c>
      <c r="I846" t="s">
        <v>23</v>
      </c>
      <c r="J846" t="s">
        <v>49</v>
      </c>
      <c r="K846" s="2" t="s">
        <v>1797</v>
      </c>
      <c r="L846" t="s">
        <v>26</v>
      </c>
      <c r="M846">
        <v>350919</v>
      </c>
      <c r="N846">
        <v>1</v>
      </c>
      <c r="O846" s="3">
        <v>39990</v>
      </c>
      <c r="P846" s="3">
        <v>21039</v>
      </c>
      <c r="Q846" s="5">
        <f t="shared" si="39"/>
        <v>33605.042016806721</v>
      </c>
      <c r="R846" s="5">
        <f t="shared" si="40"/>
        <v>21039</v>
      </c>
      <c r="S846" s="5">
        <f t="shared" si="41"/>
        <v>12566.042016806721</v>
      </c>
    </row>
    <row r="847" spans="1:19" hidden="1" x14ac:dyDescent="0.3">
      <c r="A847">
        <v>100</v>
      </c>
      <c r="B847" t="s">
        <v>16</v>
      </c>
      <c r="C847" t="s">
        <v>1798</v>
      </c>
      <c r="D847" s="2" t="s">
        <v>1799</v>
      </c>
      <c r="E847" t="s">
        <v>1318</v>
      </c>
      <c r="F847" t="s">
        <v>20</v>
      </c>
      <c r="G847" t="s">
        <v>21</v>
      </c>
      <c r="H847" t="s">
        <v>272</v>
      </c>
      <c r="I847" t="s">
        <v>23</v>
      </c>
      <c r="J847" t="s">
        <v>40</v>
      </c>
      <c r="K847" s="2" t="s">
        <v>1797</v>
      </c>
      <c r="L847" t="s">
        <v>26</v>
      </c>
      <c r="M847">
        <v>350920</v>
      </c>
      <c r="N847">
        <v>1</v>
      </c>
      <c r="O847" s="3">
        <v>74950</v>
      </c>
      <c r="P847" s="3">
        <v>25441</v>
      </c>
      <c r="Q847" s="5">
        <f t="shared" si="39"/>
        <v>62983.193277310929</v>
      </c>
      <c r="R847" s="5">
        <f t="shared" si="40"/>
        <v>25441</v>
      </c>
      <c r="S847" s="5">
        <f t="shared" si="41"/>
        <v>37542.193277310929</v>
      </c>
    </row>
    <row r="848" spans="1:19" hidden="1" x14ac:dyDescent="0.3">
      <c r="A848">
        <v>100</v>
      </c>
      <c r="B848" t="s">
        <v>16</v>
      </c>
      <c r="C848" t="s">
        <v>1800</v>
      </c>
      <c r="D848" s="2" t="s">
        <v>1801</v>
      </c>
      <c r="E848" t="s">
        <v>1802</v>
      </c>
      <c r="F848" t="s">
        <v>20</v>
      </c>
      <c r="G848" t="s">
        <v>21</v>
      </c>
      <c r="H848" t="s">
        <v>693</v>
      </c>
      <c r="I848" t="s">
        <v>23</v>
      </c>
      <c r="J848" t="s">
        <v>40</v>
      </c>
      <c r="K848" s="2" t="s">
        <v>1797</v>
      </c>
      <c r="L848" t="s">
        <v>26</v>
      </c>
      <c r="M848">
        <v>350921</v>
      </c>
      <c r="N848">
        <v>1</v>
      </c>
      <c r="O848" s="3">
        <v>39990</v>
      </c>
      <c r="P848" s="3">
        <v>25518</v>
      </c>
      <c r="Q848" s="5">
        <f t="shared" si="39"/>
        <v>33605.042016806721</v>
      </c>
      <c r="R848" s="5">
        <f t="shared" si="40"/>
        <v>25518</v>
      </c>
      <c r="S848" s="5">
        <f t="shared" si="41"/>
        <v>8087.0420168067212</v>
      </c>
    </row>
    <row r="849" spans="1:19" hidden="1" x14ac:dyDescent="0.3">
      <c r="A849">
        <v>100</v>
      </c>
      <c r="B849" t="s">
        <v>16</v>
      </c>
      <c r="C849" t="s">
        <v>1363</v>
      </c>
      <c r="D849" s="2" t="s">
        <v>1364</v>
      </c>
      <c r="E849" t="s">
        <v>553</v>
      </c>
      <c r="F849" t="s">
        <v>20</v>
      </c>
      <c r="G849" t="s">
        <v>21</v>
      </c>
      <c r="H849" t="s">
        <v>353</v>
      </c>
      <c r="I849" t="s">
        <v>23</v>
      </c>
      <c r="J849" t="s">
        <v>95</v>
      </c>
      <c r="K849" s="2" t="s">
        <v>1797</v>
      </c>
      <c r="L849" t="s">
        <v>26</v>
      </c>
      <c r="M849">
        <v>350922</v>
      </c>
      <c r="N849">
        <v>1</v>
      </c>
      <c r="O849" s="3">
        <v>48990</v>
      </c>
      <c r="P849" s="3">
        <v>31000</v>
      </c>
      <c r="Q849" s="5">
        <f t="shared" si="39"/>
        <v>41168.067226890758</v>
      </c>
      <c r="R849" s="5">
        <f t="shared" si="40"/>
        <v>31000</v>
      </c>
      <c r="S849" s="5">
        <f t="shared" si="41"/>
        <v>10168.067226890758</v>
      </c>
    </row>
    <row r="850" spans="1:19" hidden="1" x14ac:dyDescent="0.3">
      <c r="A850">
        <v>100</v>
      </c>
      <c r="B850" t="s">
        <v>16</v>
      </c>
      <c r="C850" t="s">
        <v>1602</v>
      </c>
      <c r="D850" s="2" t="s">
        <v>1603</v>
      </c>
      <c r="E850" t="s">
        <v>1604</v>
      </c>
      <c r="F850" t="s">
        <v>20</v>
      </c>
      <c r="G850" t="s">
        <v>21</v>
      </c>
      <c r="H850" t="s">
        <v>171</v>
      </c>
      <c r="I850" t="s">
        <v>23</v>
      </c>
      <c r="J850" t="s">
        <v>40</v>
      </c>
      <c r="K850" s="2" t="s">
        <v>1797</v>
      </c>
      <c r="L850" t="s">
        <v>26</v>
      </c>
      <c r="M850">
        <v>350923</v>
      </c>
      <c r="N850">
        <v>1</v>
      </c>
      <c r="O850" s="3">
        <v>39990</v>
      </c>
      <c r="P850" s="3">
        <v>23673</v>
      </c>
      <c r="Q850" s="5">
        <f t="shared" si="39"/>
        <v>33605.042016806721</v>
      </c>
      <c r="R850" s="5">
        <f t="shared" si="40"/>
        <v>23673</v>
      </c>
      <c r="S850" s="5">
        <f t="shared" si="41"/>
        <v>9932.0420168067212</v>
      </c>
    </row>
    <row r="851" spans="1:19" hidden="1" x14ac:dyDescent="0.3">
      <c r="A851">
        <v>100</v>
      </c>
      <c r="B851" t="s">
        <v>16</v>
      </c>
      <c r="C851" t="s">
        <v>1803</v>
      </c>
      <c r="D851" s="2" t="s">
        <v>1804</v>
      </c>
      <c r="E851" t="s">
        <v>460</v>
      </c>
      <c r="F851" t="s">
        <v>20</v>
      </c>
      <c r="G851" t="s">
        <v>21</v>
      </c>
      <c r="H851" t="s">
        <v>461</v>
      </c>
      <c r="I851" t="s">
        <v>23</v>
      </c>
      <c r="J851" t="s">
        <v>35</v>
      </c>
      <c r="K851" s="2" t="s">
        <v>1797</v>
      </c>
      <c r="L851" t="s">
        <v>26</v>
      </c>
      <c r="M851">
        <v>350924</v>
      </c>
      <c r="N851">
        <v>1</v>
      </c>
      <c r="O851" s="3">
        <v>49990</v>
      </c>
      <c r="P851" s="3">
        <v>30932</v>
      </c>
      <c r="Q851" s="5">
        <f t="shared" si="39"/>
        <v>42008.403361344543</v>
      </c>
      <c r="R851" s="5">
        <f t="shared" si="40"/>
        <v>30932</v>
      </c>
      <c r="S851" s="5">
        <f t="shared" si="41"/>
        <v>11076.403361344543</v>
      </c>
    </row>
    <row r="852" spans="1:19" hidden="1" x14ac:dyDescent="0.3">
      <c r="A852">
        <v>100</v>
      </c>
      <c r="B852" t="s">
        <v>16</v>
      </c>
      <c r="C852" t="s">
        <v>1674</v>
      </c>
      <c r="D852" s="2" t="s">
        <v>1675</v>
      </c>
      <c r="E852" t="s">
        <v>192</v>
      </c>
      <c r="F852" t="s">
        <v>20</v>
      </c>
      <c r="G852" t="s">
        <v>21</v>
      </c>
      <c r="H852" t="s">
        <v>48</v>
      </c>
      <c r="I852" t="s">
        <v>23</v>
      </c>
      <c r="J852" t="s">
        <v>35</v>
      </c>
      <c r="K852" s="2" t="s">
        <v>1797</v>
      </c>
      <c r="L852" t="s">
        <v>26</v>
      </c>
      <c r="M852">
        <v>350925</v>
      </c>
      <c r="N852">
        <v>1</v>
      </c>
      <c r="O852" s="3">
        <v>49990</v>
      </c>
      <c r="P852" s="3">
        <v>28874</v>
      </c>
      <c r="Q852" s="5">
        <f t="shared" si="39"/>
        <v>42008.403361344543</v>
      </c>
      <c r="R852" s="5">
        <f t="shared" si="40"/>
        <v>28874</v>
      </c>
      <c r="S852" s="5">
        <f t="shared" si="41"/>
        <v>13134.403361344543</v>
      </c>
    </row>
    <row r="853" spans="1:19" hidden="1" x14ac:dyDescent="0.3">
      <c r="A853">
        <v>100</v>
      </c>
      <c r="B853" t="s">
        <v>16</v>
      </c>
      <c r="C853" t="s">
        <v>1805</v>
      </c>
      <c r="D853" s="2" t="s">
        <v>1806</v>
      </c>
      <c r="E853" t="s">
        <v>924</v>
      </c>
      <c r="F853" t="s">
        <v>20</v>
      </c>
      <c r="G853" t="s">
        <v>21</v>
      </c>
      <c r="H853" t="s">
        <v>30</v>
      </c>
      <c r="I853" t="s">
        <v>23</v>
      </c>
      <c r="J853" t="s">
        <v>35</v>
      </c>
      <c r="K853" s="2" t="s">
        <v>1797</v>
      </c>
      <c r="L853" t="s">
        <v>26</v>
      </c>
      <c r="M853">
        <v>350926</v>
      </c>
      <c r="N853">
        <v>1</v>
      </c>
      <c r="O853" s="3">
        <v>79950</v>
      </c>
      <c r="P853" s="3">
        <v>29989</v>
      </c>
      <c r="Q853" s="5">
        <f t="shared" si="39"/>
        <v>67184.873949579836</v>
      </c>
      <c r="R853" s="5">
        <f t="shared" si="40"/>
        <v>29989</v>
      </c>
      <c r="S853" s="5">
        <f t="shared" si="41"/>
        <v>37195.873949579836</v>
      </c>
    </row>
    <row r="854" spans="1:19" hidden="1" x14ac:dyDescent="0.3">
      <c r="A854">
        <v>100</v>
      </c>
      <c r="B854" t="s">
        <v>16</v>
      </c>
      <c r="C854" t="s">
        <v>657</v>
      </c>
      <c r="D854" s="2" t="s">
        <v>658</v>
      </c>
      <c r="E854" t="s">
        <v>121</v>
      </c>
      <c r="F854" t="s">
        <v>20</v>
      </c>
      <c r="G854" t="s">
        <v>21</v>
      </c>
      <c r="H854" t="s">
        <v>122</v>
      </c>
      <c r="I854" t="s">
        <v>23</v>
      </c>
      <c r="J854" t="s">
        <v>35</v>
      </c>
      <c r="K854" s="2" t="s">
        <v>1797</v>
      </c>
      <c r="L854" t="s">
        <v>26</v>
      </c>
      <c r="M854">
        <v>350927</v>
      </c>
      <c r="N854">
        <v>1</v>
      </c>
      <c r="O854" s="3">
        <v>49990</v>
      </c>
      <c r="P854" s="3">
        <v>34171</v>
      </c>
      <c r="Q854" s="5">
        <f t="shared" si="39"/>
        <v>42008.403361344543</v>
      </c>
      <c r="R854" s="5">
        <f t="shared" si="40"/>
        <v>34171</v>
      </c>
      <c r="S854" s="5">
        <f t="shared" si="41"/>
        <v>7837.4033613445426</v>
      </c>
    </row>
    <row r="855" spans="1:19" hidden="1" x14ac:dyDescent="0.3">
      <c r="A855">
        <v>100</v>
      </c>
      <c r="B855" t="s">
        <v>16</v>
      </c>
      <c r="C855" t="s">
        <v>184</v>
      </c>
      <c r="D855" s="2" t="s">
        <v>185</v>
      </c>
      <c r="E855" t="s">
        <v>186</v>
      </c>
      <c r="F855" t="s">
        <v>20</v>
      </c>
      <c r="G855" t="s">
        <v>21</v>
      </c>
      <c r="H855" t="s">
        <v>57</v>
      </c>
      <c r="I855" t="s">
        <v>23</v>
      </c>
      <c r="J855" t="s">
        <v>35</v>
      </c>
      <c r="K855" s="2" t="s">
        <v>1797</v>
      </c>
      <c r="L855" t="s">
        <v>26</v>
      </c>
      <c r="M855">
        <v>350928</v>
      </c>
      <c r="N855">
        <v>1</v>
      </c>
      <c r="O855" s="3">
        <v>49990</v>
      </c>
      <c r="P855" s="3">
        <v>30867</v>
      </c>
      <c r="Q855" s="5">
        <f t="shared" si="39"/>
        <v>42008.403361344543</v>
      </c>
      <c r="R855" s="5">
        <f t="shared" si="40"/>
        <v>30867</v>
      </c>
      <c r="S855" s="5">
        <f t="shared" si="41"/>
        <v>11141.403361344543</v>
      </c>
    </row>
    <row r="856" spans="1:19" hidden="1" x14ac:dyDescent="0.3">
      <c r="A856">
        <v>100</v>
      </c>
      <c r="B856" t="s">
        <v>16</v>
      </c>
      <c r="C856" t="s">
        <v>1807</v>
      </c>
      <c r="D856" s="2" t="s">
        <v>1808</v>
      </c>
      <c r="E856" t="s">
        <v>373</v>
      </c>
      <c r="F856" t="s">
        <v>20</v>
      </c>
      <c r="G856" t="s">
        <v>21</v>
      </c>
      <c r="H856" t="s">
        <v>224</v>
      </c>
      <c r="I856" t="s">
        <v>23</v>
      </c>
      <c r="J856" t="s">
        <v>35</v>
      </c>
      <c r="K856" s="2" t="s">
        <v>1797</v>
      </c>
      <c r="L856" t="s">
        <v>26</v>
      </c>
      <c r="M856">
        <v>350929</v>
      </c>
      <c r="N856">
        <v>1</v>
      </c>
      <c r="O856" s="3">
        <v>59990</v>
      </c>
      <c r="P856" s="3">
        <v>31996</v>
      </c>
      <c r="Q856" s="5">
        <f t="shared" si="39"/>
        <v>50411.764705882357</v>
      </c>
      <c r="R856" s="5">
        <f t="shared" si="40"/>
        <v>31996</v>
      </c>
      <c r="S856" s="5">
        <f t="shared" si="41"/>
        <v>18415.764705882357</v>
      </c>
    </row>
    <row r="857" spans="1:19" hidden="1" x14ac:dyDescent="0.3">
      <c r="A857">
        <v>100</v>
      </c>
      <c r="B857" t="s">
        <v>16</v>
      </c>
      <c r="C857" t="s">
        <v>1809</v>
      </c>
      <c r="D857" s="2" t="s">
        <v>1810</v>
      </c>
      <c r="E857" t="s">
        <v>159</v>
      </c>
      <c r="F857" t="s">
        <v>20</v>
      </c>
      <c r="G857" t="s">
        <v>21</v>
      </c>
      <c r="H857" t="s">
        <v>160</v>
      </c>
      <c r="I857" t="s">
        <v>23</v>
      </c>
      <c r="J857" t="s">
        <v>35</v>
      </c>
      <c r="K857" s="2" t="s">
        <v>1797</v>
      </c>
      <c r="L857" t="s">
        <v>26</v>
      </c>
      <c r="M857">
        <v>350930</v>
      </c>
      <c r="N857">
        <v>1</v>
      </c>
      <c r="O857" s="3">
        <v>59990</v>
      </c>
      <c r="P857" s="3">
        <v>32252</v>
      </c>
      <c r="Q857" s="5">
        <f t="shared" si="39"/>
        <v>50411.764705882357</v>
      </c>
      <c r="R857" s="5">
        <f t="shared" si="40"/>
        <v>32252</v>
      </c>
      <c r="S857" s="5">
        <f t="shared" si="41"/>
        <v>18159.764705882357</v>
      </c>
    </row>
    <row r="858" spans="1:19" hidden="1" x14ac:dyDescent="0.3">
      <c r="A858">
        <v>100</v>
      </c>
      <c r="B858" t="s">
        <v>16</v>
      </c>
      <c r="C858" t="s">
        <v>1811</v>
      </c>
      <c r="D858" s="2" t="s">
        <v>1812</v>
      </c>
      <c r="E858" t="s">
        <v>1813</v>
      </c>
      <c r="F858" t="s">
        <v>20</v>
      </c>
      <c r="G858" t="s">
        <v>21</v>
      </c>
      <c r="H858" t="s">
        <v>557</v>
      </c>
      <c r="I858" t="s">
        <v>23</v>
      </c>
      <c r="J858" t="s">
        <v>40</v>
      </c>
      <c r="K858" s="2" t="s">
        <v>1797</v>
      </c>
      <c r="L858" t="s">
        <v>26</v>
      </c>
      <c r="M858">
        <v>350931</v>
      </c>
      <c r="N858">
        <v>1</v>
      </c>
      <c r="O858" s="3">
        <v>49990</v>
      </c>
      <c r="P858" s="3">
        <v>28049</v>
      </c>
      <c r="Q858" s="5">
        <f t="shared" si="39"/>
        <v>42008.403361344543</v>
      </c>
      <c r="R858" s="5">
        <f t="shared" si="40"/>
        <v>28049</v>
      </c>
      <c r="S858" s="5">
        <f t="shared" si="41"/>
        <v>13959.403361344543</v>
      </c>
    </row>
    <row r="859" spans="1:19" hidden="1" x14ac:dyDescent="0.3">
      <c r="A859">
        <v>100</v>
      </c>
      <c r="B859" t="s">
        <v>16</v>
      </c>
      <c r="C859" t="s">
        <v>626</v>
      </c>
      <c r="D859" s="2" t="s">
        <v>627</v>
      </c>
      <c r="E859" t="s">
        <v>628</v>
      </c>
      <c r="F859" t="s">
        <v>20</v>
      </c>
      <c r="G859" t="s">
        <v>21</v>
      </c>
      <c r="H859" t="s">
        <v>39</v>
      </c>
      <c r="I859" t="s">
        <v>23</v>
      </c>
      <c r="J859" t="s">
        <v>40</v>
      </c>
      <c r="K859" s="2" t="s">
        <v>1797</v>
      </c>
      <c r="L859" t="s">
        <v>26</v>
      </c>
      <c r="M859">
        <v>350932</v>
      </c>
      <c r="N859">
        <v>1</v>
      </c>
      <c r="O859" s="3">
        <v>39990</v>
      </c>
      <c r="P859" s="3">
        <v>25974</v>
      </c>
      <c r="Q859" s="5">
        <f t="shared" si="39"/>
        <v>33605.042016806721</v>
      </c>
      <c r="R859" s="5">
        <f t="shared" si="40"/>
        <v>25974</v>
      </c>
      <c r="S859" s="5">
        <f t="shared" si="41"/>
        <v>7631.0420168067212</v>
      </c>
    </row>
    <row r="860" spans="1:19" hidden="1" x14ac:dyDescent="0.3">
      <c r="A860">
        <v>100</v>
      </c>
      <c r="B860" t="s">
        <v>16</v>
      </c>
      <c r="C860" t="s">
        <v>1814</v>
      </c>
      <c r="D860" s="2" t="s">
        <v>1815</v>
      </c>
      <c r="E860" t="s">
        <v>71</v>
      </c>
      <c r="F860" t="s">
        <v>20</v>
      </c>
      <c r="G860" t="s">
        <v>21</v>
      </c>
      <c r="H860" t="s">
        <v>53</v>
      </c>
      <c r="I860" t="s">
        <v>23</v>
      </c>
      <c r="J860" t="s">
        <v>35</v>
      </c>
      <c r="K860" s="2" t="s">
        <v>1797</v>
      </c>
      <c r="L860" t="s">
        <v>26</v>
      </c>
      <c r="M860">
        <v>350933</v>
      </c>
      <c r="N860">
        <v>1</v>
      </c>
      <c r="O860" s="3">
        <v>49990</v>
      </c>
      <c r="P860" s="3">
        <v>26669</v>
      </c>
      <c r="Q860" s="5">
        <f t="shared" si="39"/>
        <v>42008.403361344543</v>
      </c>
      <c r="R860" s="5">
        <f t="shared" si="40"/>
        <v>26669</v>
      </c>
      <c r="S860" s="5">
        <f t="shared" si="41"/>
        <v>15339.403361344543</v>
      </c>
    </row>
    <row r="861" spans="1:19" hidden="1" x14ac:dyDescent="0.3">
      <c r="A861">
        <v>100</v>
      </c>
      <c r="B861" t="s">
        <v>16</v>
      </c>
      <c r="C861" t="s">
        <v>1105</v>
      </c>
      <c r="D861" s="2" t="s">
        <v>1106</v>
      </c>
      <c r="E861" t="s">
        <v>316</v>
      </c>
      <c r="F861" t="s">
        <v>20</v>
      </c>
      <c r="G861" t="s">
        <v>21</v>
      </c>
      <c r="H861" t="s">
        <v>317</v>
      </c>
      <c r="I861" t="s">
        <v>23</v>
      </c>
      <c r="J861" t="s">
        <v>35</v>
      </c>
      <c r="K861" s="2" t="s">
        <v>1797</v>
      </c>
      <c r="L861" t="s">
        <v>26</v>
      </c>
      <c r="M861">
        <v>350934</v>
      </c>
      <c r="N861">
        <v>1</v>
      </c>
      <c r="O861" s="3">
        <v>69950</v>
      </c>
      <c r="P861" s="3">
        <v>24908</v>
      </c>
      <c r="Q861" s="5">
        <f t="shared" si="39"/>
        <v>58781.512605042022</v>
      </c>
      <c r="R861" s="5">
        <f t="shared" si="40"/>
        <v>24908</v>
      </c>
      <c r="S861" s="5">
        <f t="shared" si="41"/>
        <v>33873.512605042022</v>
      </c>
    </row>
    <row r="862" spans="1:19" hidden="1" x14ac:dyDescent="0.3">
      <c r="A862">
        <v>100</v>
      </c>
      <c r="B862" t="s">
        <v>16</v>
      </c>
      <c r="C862" t="s">
        <v>1816</v>
      </c>
      <c r="D862" s="2" t="s">
        <v>1817</v>
      </c>
      <c r="E862" t="s">
        <v>1604</v>
      </c>
      <c r="F862" t="s">
        <v>20</v>
      </c>
      <c r="G862" t="s">
        <v>21</v>
      </c>
      <c r="H862" t="s">
        <v>171</v>
      </c>
      <c r="I862" t="s">
        <v>23</v>
      </c>
      <c r="J862" t="s">
        <v>40</v>
      </c>
      <c r="K862" s="2" t="s">
        <v>1797</v>
      </c>
      <c r="L862" t="s">
        <v>26</v>
      </c>
      <c r="M862">
        <v>350935</v>
      </c>
      <c r="N862">
        <v>1</v>
      </c>
      <c r="O862" s="3">
        <v>39990</v>
      </c>
      <c r="P862" s="3">
        <v>22711</v>
      </c>
      <c r="Q862" s="5">
        <f t="shared" si="39"/>
        <v>33605.042016806721</v>
      </c>
      <c r="R862" s="5">
        <f t="shared" si="40"/>
        <v>22711</v>
      </c>
      <c r="S862" s="5">
        <f t="shared" si="41"/>
        <v>10894.042016806721</v>
      </c>
    </row>
    <row r="863" spans="1:19" hidden="1" x14ac:dyDescent="0.3">
      <c r="A863">
        <v>100</v>
      </c>
      <c r="B863" t="s">
        <v>16</v>
      </c>
      <c r="C863" t="s">
        <v>1818</v>
      </c>
      <c r="D863" s="2" t="s">
        <v>1819</v>
      </c>
      <c r="E863" t="s">
        <v>689</v>
      </c>
      <c r="F863" t="s">
        <v>20</v>
      </c>
      <c r="G863" t="s">
        <v>21</v>
      </c>
      <c r="H863" t="s">
        <v>22</v>
      </c>
      <c r="I863" t="s">
        <v>23</v>
      </c>
      <c r="J863" t="s">
        <v>24</v>
      </c>
      <c r="K863" s="2" t="s">
        <v>1797</v>
      </c>
      <c r="L863" t="s">
        <v>26</v>
      </c>
      <c r="M863">
        <v>350936</v>
      </c>
      <c r="N863">
        <v>1</v>
      </c>
      <c r="O863" s="3">
        <v>55990</v>
      </c>
      <c r="P863" s="3">
        <v>29079</v>
      </c>
      <c r="Q863" s="5">
        <f t="shared" si="39"/>
        <v>47050.420168067227</v>
      </c>
      <c r="R863" s="5">
        <f t="shared" si="40"/>
        <v>29079</v>
      </c>
      <c r="S863" s="5">
        <f t="shared" si="41"/>
        <v>17971.420168067227</v>
      </c>
    </row>
    <row r="864" spans="1:19" hidden="1" x14ac:dyDescent="0.3">
      <c r="A864">
        <v>100</v>
      </c>
      <c r="B864" t="s">
        <v>16</v>
      </c>
      <c r="C864" t="s">
        <v>1820</v>
      </c>
      <c r="D864" s="2" t="s">
        <v>1821</v>
      </c>
      <c r="E864" t="s">
        <v>1822</v>
      </c>
      <c r="F864" t="s">
        <v>20</v>
      </c>
      <c r="G864" t="s">
        <v>21</v>
      </c>
      <c r="H864" t="s">
        <v>79</v>
      </c>
      <c r="I864" t="s">
        <v>23</v>
      </c>
      <c r="J864" t="s">
        <v>35</v>
      </c>
      <c r="K864" s="2" t="s">
        <v>1797</v>
      </c>
      <c r="L864" t="s">
        <v>26</v>
      </c>
      <c r="M864">
        <v>350937</v>
      </c>
      <c r="N864">
        <v>1</v>
      </c>
      <c r="O864" s="3">
        <v>59990</v>
      </c>
      <c r="P864" s="3">
        <v>36193</v>
      </c>
      <c r="Q864" s="5">
        <f t="shared" si="39"/>
        <v>50411.764705882357</v>
      </c>
      <c r="R864" s="5">
        <f t="shared" si="40"/>
        <v>36193</v>
      </c>
      <c r="S864" s="5">
        <f t="shared" si="41"/>
        <v>14218.764705882357</v>
      </c>
    </row>
    <row r="865" spans="1:19" hidden="1" x14ac:dyDescent="0.3">
      <c r="A865">
        <v>100</v>
      </c>
      <c r="B865" t="s">
        <v>16</v>
      </c>
      <c r="C865" t="s">
        <v>286</v>
      </c>
      <c r="D865" s="2" t="s">
        <v>287</v>
      </c>
      <c r="E865" t="s">
        <v>288</v>
      </c>
      <c r="F865" t="s">
        <v>20</v>
      </c>
      <c r="G865" t="s">
        <v>21</v>
      </c>
      <c r="H865" t="s">
        <v>160</v>
      </c>
      <c r="I865" t="s">
        <v>23</v>
      </c>
      <c r="J865" t="s">
        <v>35</v>
      </c>
      <c r="K865" s="2" t="s">
        <v>1797</v>
      </c>
      <c r="L865" t="s">
        <v>26</v>
      </c>
      <c r="M865">
        <v>350938</v>
      </c>
      <c r="N865">
        <v>1</v>
      </c>
      <c r="O865" s="3">
        <v>59990</v>
      </c>
      <c r="P865" s="3">
        <v>32682</v>
      </c>
      <c r="Q865" s="5">
        <f t="shared" si="39"/>
        <v>50411.764705882357</v>
      </c>
      <c r="R865" s="5">
        <f t="shared" si="40"/>
        <v>32682</v>
      </c>
      <c r="S865" s="5">
        <f t="shared" si="41"/>
        <v>17729.764705882357</v>
      </c>
    </row>
    <row r="866" spans="1:19" hidden="1" x14ac:dyDescent="0.3">
      <c r="A866">
        <v>100</v>
      </c>
      <c r="B866" t="s">
        <v>16</v>
      </c>
      <c r="C866" t="s">
        <v>1823</v>
      </c>
      <c r="D866" s="2" t="s">
        <v>1824</v>
      </c>
      <c r="E866" t="s">
        <v>1825</v>
      </c>
      <c r="F866" t="s">
        <v>20</v>
      </c>
      <c r="G866" t="s">
        <v>21</v>
      </c>
      <c r="H866" t="s">
        <v>686</v>
      </c>
      <c r="I866" t="s">
        <v>23</v>
      </c>
      <c r="J866" t="s">
        <v>35</v>
      </c>
      <c r="K866" s="2" t="s">
        <v>1797</v>
      </c>
      <c r="L866" t="s">
        <v>26</v>
      </c>
      <c r="M866">
        <v>350939</v>
      </c>
      <c r="N866">
        <v>1</v>
      </c>
      <c r="O866" s="3">
        <v>99950</v>
      </c>
      <c r="P866" s="3">
        <v>48762</v>
      </c>
      <c r="Q866" s="5">
        <f t="shared" si="39"/>
        <v>83991.596638655465</v>
      </c>
      <c r="R866" s="5">
        <f t="shared" si="40"/>
        <v>48762</v>
      </c>
      <c r="S866" s="5">
        <f t="shared" si="41"/>
        <v>35229.596638655465</v>
      </c>
    </row>
    <row r="867" spans="1:19" hidden="1" x14ac:dyDescent="0.3">
      <c r="A867">
        <v>100</v>
      </c>
      <c r="B867" t="s">
        <v>16</v>
      </c>
      <c r="C867" t="s">
        <v>1178</v>
      </c>
      <c r="D867" s="2" t="s">
        <v>1179</v>
      </c>
      <c r="E867" t="s">
        <v>1180</v>
      </c>
      <c r="F867" t="s">
        <v>20</v>
      </c>
      <c r="G867" t="s">
        <v>21</v>
      </c>
      <c r="H867" t="s">
        <v>90</v>
      </c>
      <c r="I867" t="s">
        <v>23</v>
      </c>
      <c r="J867" t="s">
        <v>35</v>
      </c>
      <c r="K867" s="2" t="s">
        <v>1797</v>
      </c>
      <c r="L867" t="s">
        <v>26</v>
      </c>
      <c r="M867">
        <v>350940</v>
      </c>
      <c r="N867">
        <v>1</v>
      </c>
      <c r="O867" s="3">
        <v>59990</v>
      </c>
      <c r="P867" s="3">
        <v>34176</v>
      </c>
      <c r="Q867" s="5">
        <f t="shared" si="39"/>
        <v>50411.764705882357</v>
      </c>
      <c r="R867" s="5">
        <f t="shared" si="40"/>
        <v>34176</v>
      </c>
      <c r="S867" s="5">
        <f t="shared" si="41"/>
        <v>16235.764705882357</v>
      </c>
    </row>
    <row r="868" spans="1:19" hidden="1" x14ac:dyDescent="0.3">
      <c r="A868">
        <v>100</v>
      </c>
      <c r="B868" t="s">
        <v>16</v>
      </c>
      <c r="C868" t="s">
        <v>1447</v>
      </c>
      <c r="D868" s="2" t="s">
        <v>1448</v>
      </c>
      <c r="E868" t="s">
        <v>1449</v>
      </c>
      <c r="F868" t="s">
        <v>20</v>
      </c>
      <c r="G868" t="s">
        <v>21</v>
      </c>
      <c r="H868" t="s">
        <v>1096</v>
      </c>
      <c r="I868" t="s">
        <v>23</v>
      </c>
      <c r="J868" t="s">
        <v>35</v>
      </c>
      <c r="K868" s="2" t="s">
        <v>1797</v>
      </c>
      <c r="L868" t="s">
        <v>26</v>
      </c>
      <c r="M868">
        <v>350940</v>
      </c>
      <c r="N868">
        <v>1</v>
      </c>
      <c r="O868" s="3">
        <v>59990</v>
      </c>
      <c r="P868" s="3">
        <v>35671</v>
      </c>
      <c r="Q868" s="5">
        <f t="shared" si="39"/>
        <v>50411.764705882357</v>
      </c>
      <c r="R868" s="5">
        <f t="shared" si="40"/>
        <v>35671</v>
      </c>
      <c r="S868" s="5">
        <f t="shared" si="41"/>
        <v>14740.764705882357</v>
      </c>
    </row>
    <row r="869" spans="1:19" hidden="1" x14ac:dyDescent="0.3">
      <c r="A869">
        <v>100</v>
      </c>
      <c r="B869" t="s">
        <v>16</v>
      </c>
      <c r="C869">
        <v>1687976791</v>
      </c>
      <c r="D869" s="2" t="s">
        <v>200</v>
      </c>
      <c r="E869" t="s">
        <v>201</v>
      </c>
      <c r="F869" t="s">
        <v>201</v>
      </c>
      <c r="G869" t="s">
        <v>202</v>
      </c>
      <c r="H869" t="s">
        <v>202</v>
      </c>
      <c r="I869" t="s">
        <v>23</v>
      </c>
      <c r="J869" t="s">
        <v>202</v>
      </c>
      <c r="K869" s="2" t="s">
        <v>1797</v>
      </c>
      <c r="L869" t="s">
        <v>26</v>
      </c>
      <c r="M869">
        <v>350941</v>
      </c>
      <c r="N869">
        <v>1</v>
      </c>
      <c r="O869" s="3">
        <v>3400</v>
      </c>
      <c r="P869">
        <v>1</v>
      </c>
      <c r="Q869" s="5">
        <f t="shared" si="39"/>
        <v>2857.1428571428573</v>
      </c>
      <c r="R869" s="5">
        <f t="shared" si="40"/>
        <v>1</v>
      </c>
      <c r="S869" s="5">
        <f t="shared" si="41"/>
        <v>2856.1428571428573</v>
      </c>
    </row>
    <row r="870" spans="1:19" hidden="1" x14ac:dyDescent="0.3">
      <c r="A870">
        <v>100</v>
      </c>
      <c r="B870" t="s">
        <v>16</v>
      </c>
      <c r="C870" t="s">
        <v>1826</v>
      </c>
      <c r="D870" s="2" t="s">
        <v>1827</v>
      </c>
      <c r="E870" t="s">
        <v>1828</v>
      </c>
      <c r="F870" t="s">
        <v>20</v>
      </c>
      <c r="G870" t="s">
        <v>21</v>
      </c>
      <c r="H870" t="s">
        <v>1689</v>
      </c>
      <c r="I870" t="s">
        <v>23</v>
      </c>
      <c r="J870" t="s">
        <v>49</v>
      </c>
      <c r="K870" s="2" t="s">
        <v>1797</v>
      </c>
      <c r="L870" t="s">
        <v>26</v>
      </c>
      <c r="M870">
        <v>350941</v>
      </c>
      <c r="N870">
        <v>1</v>
      </c>
      <c r="O870" s="3">
        <v>54990</v>
      </c>
      <c r="P870" s="3">
        <v>36341</v>
      </c>
      <c r="Q870" s="5">
        <f t="shared" si="39"/>
        <v>46210.08403361345</v>
      </c>
      <c r="R870" s="5">
        <f t="shared" si="40"/>
        <v>36341</v>
      </c>
      <c r="S870" s="5">
        <f t="shared" si="41"/>
        <v>9869.0840336134497</v>
      </c>
    </row>
    <row r="871" spans="1:19" hidden="1" x14ac:dyDescent="0.3">
      <c r="A871">
        <v>100</v>
      </c>
      <c r="B871" t="s">
        <v>16</v>
      </c>
      <c r="C871">
        <v>1687976791</v>
      </c>
      <c r="D871" s="2" t="s">
        <v>200</v>
      </c>
      <c r="E871" t="s">
        <v>201</v>
      </c>
      <c r="F871" t="s">
        <v>201</v>
      </c>
      <c r="G871" t="s">
        <v>202</v>
      </c>
      <c r="H871" t="s">
        <v>202</v>
      </c>
      <c r="I871" t="s">
        <v>23</v>
      </c>
      <c r="J871" t="s">
        <v>202</v>
      </c>
      <c r="K871" s="2" t="s">
        <v>1797</v>
      </c>
      <c r="L871" t="s">
        <v>26</v>
      </c>
      <c r="M871">
        <v>350942</v>
      </c>
      <c r="N871">
        <v>1</v>
      </c>
      <c r="O871" s="3">
        <v>9174</v>
      </c>
      <c r="P871">
        <v>1</v>
      </c>
      <c r="Q871" s="5">
        <f t="shared" si="39"/>
        <v>7709.2436974789916</v>
      </c>
      <c r="R871" s="5">
        <f t="shared" si="40"/>
        <v>1</v>
      </c>
      <c r="S871" s="5">
        <f t="shared" si="41"/>
        <v>7708.2436974789916</v>
      </c>
    </row>
    <row r="872" spans="1:19" hidden="1" x14ac:dyDescent="0.3">
      <c r="A872">
        <v>100</v>
      </c>
      <c r="B872" t="s">
        <v>16</v>
      </c>
      <c r="C872" t="s">
        <v>1829</v>
      </c>
      <c r="D872" s="2" t="s">
        <v>1830</v>
      </c>
      <c r="E872" t="s">
        <v>1831</v>
      </c>
      <c r="F872" t="s">
        <v>20</v>
      </c>
      <c r="G872" t="s">
        <v>21</v>
      </c>
      <c r="H872" t="s">
        <v>160</v>
      </c>
      <c r="I872" t="s">
        <v>23</v>
      </c>
      <c r="J872" t="s">
        <v>35</v>
      </c>
      <c r="K872" s="2" t="s">
        <v>1797</v>
      </c>
      <c r="L872" t="s">
        <v>26</v>
      </c>
      <c r="M872">
        <v>350942</v>
      </c>
      <c r="N872">
        <v>1</v>
      </c>
      <c r="O872" s="3">
        <v>59990</v>
      </c>
      <c r="P872" s="3">
        <v>32893</v>
      </c>
      <c r="Q872" s="5">
        <f t="shared" si="39"/>
        <v>50411.764705882357</v>
      </c>
      <c r="R872" s="5">
        <f t="shared" si="40"/>
        <v>32893</v>
      </c>
      <c r="S872" s="5">
        <f t="shared" si="41"/>
        <v>17518.764705882357</v>
      </c>
    </row>
    <row r="873" spans="1:19" hidden="1" x14ac:dyDescent="0.3">
      <c r="A873">
        <v>100</v>
      </c>
      <c r="B873" t="s">
        <v>16</v>
      </c>
      <c r="C873" t="s">
        <v>1832</v>
      </c>
      <c r="D873" s="2" t="s">
        <v>1833</v>
      </c>
      <c r="E873" t="s">
        <v>1834</v>
      </c>
      <c r="F873" t="s">
        <v>20</v>
      </c>
      <c r="G873" t="s">
        <v>21</v>
      </c>
      <c r="H873" t="s">
        <v>114</v>
      </c>
      <c r="I873" t="s">
        <v>23</v>
      </c>
      <c r="J873" t="s">
        <v>49</v>
      </c>
      <c r="K873" s="2" t="s">
        <v>1797</v>
      </c>
      <c r="L873" t="s">
        <v>26</v>
      </c>
      <c r="M873">
        <v>350943</v>
      </c>
      <c r="N873">
        <v>1</v>
      </c>
      <c r="O873" s="3">
        <v>49990</v>
      </c>
      <c r="P873" s="3">
        <v>24707</v>
      </c>
      <c r="Q873" s="5">
        <f t="shared" si="39"/>
        <v>42008.403361344543</v>
      </c>
      <c r="R873" s="5">
        <f t="shared" si="40"/>
        <v>24707</v>
      </c>
      <c r="S873" s="5">
        <f t="shared" si="41"/>
        <v>17301.403361344543</v>
      </c>
    </row>
    <row r="874" spans="1:19" hidden="1" x14ac:dyDescent="0.3">
      <c r="A874">
        <v>100</v>
      </c>
      <c r="B874" t="s">
        <v>16</v>
      </c>
      <c r="C874" t="s">
        <v>1191</v>
      </c>
      <c r="D874" s="2" t="s">
        <v>1192</v>
      </c>
      <c r="E874" t="s">
        <v>896</v>
      </c>
      <c r="F874" t="s">
        <v>20</v>
      </c>
      <c r="G874" t="s">
        <v>21</v>
      </c>
      <c r="H874" t="s">
        <v>114</v>
      </c>
      <c r="I874" t="s">
        <v>23</v>
      </c>
      <c r="J874" t="s">
        <v>35</v>
      </c>
      <c r="K874" s="2" t="s">
        <v>1797</v>
      </c>
      <c r="L874" t="s">
        <v>26</v>
      </c>
      <c r="M874">
        <v>350944</v>
      </c>
      <c r="N874">
        <v>1</v>
      </c>
      <c r="O874" s="3">
        <v>69990</v>
      </c>
      <c r="P874" s="3">
        <v>34879</v>
      </c>
      <c r="Q874" s="5">
        <f t="shared" si="39"/>
        <v>58815.126050420171</v>
      </c>
      <c r="R874" s="5">
        <f t="shared" si="40"/>
        <v>34879</v>
      </c>
      <c r="S874" s="5">
        <f t="shared" si="41"/>
        <v>23936.126050420171</v>
      </c>
    </row>
    <row r="875" spans="1:19" hidden="1" x14ac:dyDescent="0.3">
      <c r="A875">
        <v>100</v>
      </c>
      <c r="B875" t="s">
        <v>16</v>
      </c>
      <c r="C875" t="s">
        <v>1835</v>
      </c>
      <c r="D875" s="2" t="s">
        <v>1836</v>
      </c>
      <c r="E875" t="s">
        <v>121</v>
      </c>
      <c r="F875" t="s">
        <v>20</v>
      </c>
      <c r="G875" t="s">
        <v>21</v>
      </c>
      <c r="H875" t="s">
        <v>122</v>
      </c>
      <c r="I875" t="s">
        <v>23</v>
      </c>
      <c r="J875" t="s">
        <v>35</v>
      </c>
      <c r="K875" s="2" t="s">
        <v>1797</v>
      </c>
      <c r="L875" t="s">
        <v>26</v>
      </c>
      <c r="M875">
        <v>350945</v>
      </c>
      <c r="N875">
        <v>1</v>
      </c>
      <c r="O875" s="3">
        <v>49990</v>
      </c>
      <c r="P875" s="3">
        <v>34599</v>
      </c>
      <c r="Q875" s="5">
        <f t="shared" si="39"/>
        <v>42008.403361344543</v>
      </c>
      <c r="R875" s="5">
        <f t="shared" si="40"/>
        <v>34599</v>
      </c>
      <c r="S875" s="5">
        <f t="shared" si="41"/>
        <v>7409.4033613445426</v>
      </c>
    </row>
    <row r="876" spans="1:19" hidden="1" x14ac:dyDescent="0.3">
      <c r="A876">
        <v>100</v>
      </c>
      <c r="B876" t="s">
        <v>16</v>
      </c>
      <c r="C876" t="s">
        <v>1767</v>
      </c>
      <c r="D876" s="2" t="s">
        <v>1768</v>
      </c>
      <c r="E876" t="s">
        <v>1769</v>
      </c>
      <c r="F876" t="s">
        <v>20</v>
      </c>
      <c r="G876" t="s">
        <v>21</v>
      </c>
      <c r="H876" t="s">
        <v>65</v>
      </c>
      <c r="I876" t="s">
        <v>23</v>
      </c>
      <c r="J876" t="s">
        <v>49</v>
      </c>
      <c r="K876" s="2" t="s">
        <v>1797</v>
      </c>
      <c r="L876" t="s">
        <v>26</v>
      </c>
      <c r="M876">
        <v>350946</v>
      </c>
      <c r="N876">
        <v>1</v>
      </c>
      <c r="O876" s="3">
        <v>39990</v>
      </c>
      <c r="P876" s="3">
        <v>21029</v>
      </c>
      <c r="Q876" s="5">
        <f t="shared" si="39"/>
        <v>33605.042016806721</v>
      </c>
      <c r="R876" s="5">
        <f t="shared" si="40"/>
        <v>21029</v>
      </c>
      <c r="S876" s="5">
        <f t="shared" si="41"/>
        <v>12576.042016806721</v>
      </c>
    </row>
    <row r="877" spans="1:19" hidden="1" x14ac:dyDescent="0.3">
      <c r="A877">
        <v>100</v>
      </c>
      <c r="B877" t="s">
        <v>16</v>
      </c>
      <c r="C877" t="s">
        <v>1514</v>
      </c>
      <c r="D877" s="2" t="s">
        <v>1515</v>
      </c>
      <c r="E877" t="s">
        <v>884</v>
      </c>
      <c r="F877" t="s">
        <v>20</v>
      </c>
      <c r="G877" t="s">
        <v>21</v>
      </c>
      <c r="H877" t="s">
        <v>48</v>
      </c>
      <c r="I877" t="s">
        <v>23</v>
      </c>
      <c r="J877" t="s">
        <v>49</v>
      </c>
      <c r="K877" s="2" t="s">
        <v>1797</v>
      </c>
      <c r="L877" t="s">
        <v>26</v>
      </c>
      <c r="M877">
        <v>350947</v>
      </c>
      <c r="N877">
        <v>1</v>
      </c>
      <c r="O877" s="3">
        <v>39990</v>
      </c>
      <c r="P877" s="3">
        <v>26199</v>
      </c>
      <c r="Q877" s="5">
        <f t="shared" si="39"/>
        <v>33605.042016806721</v>
      </c>
      <c r="R877" s="5">
        <f t="shared" si="40"/>
        <v>26199</v>
      </c>
      <c r="S877" s="5">
        <f t="shared" si="41"/>
        <v>7406.0420168067212</v>
      </c>
    </row>
    <row r="878" spans="1:19" hidden="1" x14ac:dyDescent="0.3">
      <c r="A878">
        <v>100</v>
      </c>
      <c r="B878" t="s">
        <v>16</v>
      </c>
      <c r="C878" t="s">
        <v>1837</v>
      </c>
      <c r="D878" s="2" t="s">
        <v>1838</v>
      </c>
      <c r="E878" t="s">
        <v>1839</v>
      </c>
      <c r="F878" t="s">
        <v>20</v>
      </c>
      <c r="G878" t="s">
        <v>21</v>
      </c>
      <c r="H878" t="s">
        <v>783</v>
      </c>
      <c r="I878" t="s">
        <v>23</v>
      </c>
      <c r="J878" t="s">
        <v>40</v>
      </c>
      <c r="K878" s="2" t="s">
        <v>1797</v>
      </c>
      <c r="L878" t="s">
        <v>26</v>
      </c>
      <c r="M878">
        <v>350948</v>
      </c>
      <c r="N878">
        <v>1</v>
      </c>
      <c r="O878" s="3">
        <v>29990</v>
      </c>
      <c r="P878" s="3">
        <v>15745</v>
      </c>
      <c r="Q878" s="5">
        <f t="shared" si="39"/>
        <v>25201.680672268907</v>
      </c>
      <c r="R878" s="5">
        <f t="shared" si="40"/>
        <v>15745</v>
      </c>
      <c r="S878" s="5">
        <f t="shared" si="41"/>
        <v>9456.6806722689071</v>
      </c>
    </row>
    <row r="879" spans="1:19" hidden="1" x14ac:dyDescent="0.3">
      <c r="A879">
        <v>100</v>
      </c>
      <c r="B879" t="s">
        <v>16</v>
      </c>
      <c r="C879" t="s">
        <v>1840</v>
      </c>
      <c r="D879" s="2" t="s">
        <v>1841</v>
      </c>
      <c r="E879" t="s">
        <v>1842</v>
      </c>
      <c r="F879" t="s">
        <v>20</v>
      </c>
      <c r="G879" t="s">
        <v>21</v>
      </c>
      <c r="H879" t="s">
        <v>625</v>
      </c>
      <c r="I879" t="s">
        <v>23</v>
      </c>
      <c r="J879" t="s">
        <v>35</v>
      </c>
      <c r="K879" s="2" t="s">
        <v>1797</v>
      </c>
      <c r="L879" t="s">
        <v>26</v>
      </c>
      <c r="M879">
        <v>350949</v>
      </c>
      <c r="N879">
        <v>1</v>
      </c>
      <c r="O879" s="3">
        <v>69950</v>
      </c>
      <c r="P879" s="3">
        <v>27745</v>
      </c>
      <c r="Q879" s="5">
        <f t="shared" si="39"/>
        <v>58781.512605042022</v>
      </c>
      <c r="R879" s="5">
        <f t="shared" si="40"/>
        <v>27745</v>
      </c>
      <c r="S879" s="5">
        <f t="shared" si="41"/>
        <v>31036.512605042022</v>
      </c>
    </row>
    <row r="880" spans="1:19" hidden="1" x14ac:dyDescent="0.3">
      <c r="A880">
        <v>100</v>
      </c>
      <c r="B880" t="s">
        <v>16</v>
      </c>
      <c r="C880" t="s">
        <v>1843</v>
      </c>
      <c r="D880" s="2" t="s">
        <v>1844</v>
      </c>
      <c r="E880" t="s">
        <v>1623</v>
      </c>
      <c r="F880" t="s">
        <v>20</v>
      </c>
      <c r="G880" t="s">
        <v>21</v>
      </c>
      <c r="H880" t="s">
        <v>1519</v>
      </c>
      <c r="I880" t="s">
        <v>23</v>
      </c>
      <c r="J880" t="s">
        <v>40</v>
      </c>
      <c r="K880" s="2" t="s">
        <v>1797</v>
      </c>
      <c r="L880" t="s">
        <v>26</v>
      </c>
      <c r="M880">
        <v>350950</v>
      </c>
      <c r="N880">
        <v>1</v>
      </c>
      <c r="O880" s="3">
        <v>34990</v>
      </c>
      <c r="P880" s="3">
        <v>28837</v>
      </c>
      <c r="Q880" s="5">
        <f t="shared" si="39"/>
        <v>29403.361344537818</v>
      </c>
      <c r="R880" s="5">
        <f t="shared" si="40"/>
        <v>28837</v>
      </c>
      <c r="S880" s="5">
        <f t="shared" si="41"/>
        <v>566.36134453781779</v>
      </c>
    </row>
    <row r="881" spans="1:19" hidden="1" x14ac:dyDescent="0.3">
      <c r="A881">
        <v>100</v>
      </c>
      <c r="B881" t="s">
        <v>16</v>
      </c>
      <c r="C881" t="s">
        <v>1845</v>
      </c>
      <c r="D881" s="2" t="s">
        <v>1846</v>
      </c>
      <c r="E881" t="s">
        <v>1847</v>
      </c>
      <c r="F881" t="s">
        <v>20</v>
      </c>
      <c r="G881" t="s">
        <v>21</v>
      </c>
      <c r="H881" t="s">
        <v>561</v>
      </c>
      <c r="I881" t="s">
        <v>23</v>
      </c>
      <c r="J881" t="s">
        <v>40</v>
      </c>
      <c r="K881" s="2" t="s">
        <v>1797</v>
      </c>
      <c r="L881" t="s">
        <v>26</v>
      </c>
      <c r="M881">
        <v>350950</v>
      </c>
      <c r="N881">
        <v>1</v>
      </c>
      <c r="O881" s="3">
        <v>39990</v>
      </c>
      <c r="P881" s="3">
        <v>29897</v>
      </c>
      <c r="Q881" s="5">
        <f t="shared" si="39"/>
        <v>33605.042016806721</v>
      </c>
      <c r="R881" s="5">
        <f t="shared" si="40"/>
        <v>29897</v>
      </c>
      <c r="S881" s="5">
        <f t="shared" si="41"/>
        <v>3708.0420168067212</v>
      </c>
    </row>
    <row r="882" spans="1:19" hidden="1" x14ac:dyDescent="0.3">
      <c r="A882">
        <v>100</v>
      </c>
      <c r="B882" t="s">
        <v>16</v>
      </c>
      <c r="C882" t="s">
        <v>1848</v>
      </c>
      <c r="D882" s="2" t="s">
        <v>1849</v>
      </c>
      <c r="E882" t="s">
        <v>460</v>
      </c>
      <c r="F882" t="s">
        <v>20</v>
      </c>
      <c r="G882" t="s">
        <v>21</v>
      </c>
      <c r="H882" t="s">
        <v>461</v>
      </c>
      <c r="I882" t="s">
        <v>23</v>
      </c>
      <c r="J882" t="s">
        <v>35</v>
      </c>
      <c r="K882" s="2" t="s">
        <v>1797</v>
      </c>
      <c r="L882" t="s">
        <v>26</v>
      </c>
      <c r="M882">
        <v>350951</v>
      </c>
      <c r="N882">
        <v>1</v>
      </c>
      <c r="O882" s="3">
        <v>49990</v>
      </c>
      <c r="P882" s="3">
        <v>30832</v>
      </c>
      <c r="Q882" s="5">
        <f t="shared" si="39"/>
        <v>42008.403361344543</v>
      </c>
      <c r="R882" s="5">
        <f t="shared" si="40"/>
        <v>30832</v>
      </c>
      <c r="S882" s="5">
        <f t="shared" si="41"/>
        <v>11176.403361344543</v>
      </c>
    </row>
    <row r="883" spans="1:19" hidden="1" x14ac:dyDescent="0.3">
      <c r="A883">
        <v>100</v>
      </c>
      <c r="B883" t="s">
        <v>16</v>
      </c>
      <c r="C883" t="s">
        <v>1850</v>
      </c>
      <c r="D883" s="2" t="s">
        <v>1851</v>
      </c>
      <c r="E883" t="s">
        <v>1852</v>
      </c>
      <c r="F883" t="s">
        <v>20</v>
      </c>
      <c r="G883" t="s">
        <v>21</v>
      </c>
      <c r="H883" t="s">
        <v>1345</v>
      </c>
      <c r="I883" t="s">
        <v>23</v>
      </c>
      <c r="J883" t="s">
        <v>40</v>
      </c>
      <c r="K883" s="2" t="s">
        <v>1853</v>
      </c>
      <c r="L883" t="s">
        <v>26</v>
      </c>
      <c r="M883">
        <v>350952</v>
      </c>
      <c r="N883">
        <v>1</v>
      </c>
      <c r="O883" s="3">
        <v>29990</v>
      </c>
      <c r="P883" s="3">
        <v>17216</v>
      </c>
      <c r="Q883" s="5">
        <f t="shared" si="39"/>
        <v>25201.680672268907</v>
      </c>
      <c r="R883" s="5">
        <f t="shared" si="40"/>
        <v>17216</v>
      </c>
      <c r="S883" s="5">
        <f t="shared" si="41"/>
        <v>7985.6806722689071</v>
      </c>
    </row>
    <row r="884" spans="1:19" hidden="1" x14ac:dyDescent="0.3">
      <c r="A884">
        <v>100</v>
      </c>
      <c r="B884" t="s">
        <v>16</v>
      </c>
      <c r="C884" t="s">
        <v>1723</v>
      </c>
      <c r="D884" s="2" t="s">
        <v>1724</v>
      </c>
      <c r="E884" t="s">
        <v>1180</v>
      </c>
      <c r="F884" t="s">
        <v>20</v>
      </c>
      <c r="G884" t="s">
        <v>21</v>
      </c>
      <c r="H884" t="s">
        <v>90</v>
      </c>
      <c r="I884" t="s">
        <v>23</v>
      </c>
      <c r="J884" t="s">
        <v>35</v>
      </c>
      <c r="K884" s="2" t="s">
        <v>1853</v>
      </c>
      <c r="L884" t="s">
        <v>26</v>
      </c>
      <c r="M884">
        <v>350953</v>
      </c>
      <c r="N884">
        <v>1</v>
      </c>
      <c r="O884" s="3">
        <v>59990</v>
      </c>
      <c r="P884" s="3">
        <v>33903</v>
      </c>
      <c r="Q884" s="5">
        <f t="shared" si="39"/>
        <v>50411.764705882357</v>
      </c>
      <c r="R884" s="5">
        <f t="shared" si="40"/>
        <v>33903</v>
      </c>
      <c r="S884" s="5">
        <f t="shared" si="41"/>
        <v>16508.764705882357</v>
      </c>
    </row>
    <row r="885" spans="1:19" hidden="1" x14ac:dyDescent="0.3">
      <c r="A885">
        <v>100</v>
      </c>
      <c r="B885" t="s">
        <v>16</v>
      </c>
      <c r="C885" t="s">
        <v>1854</v>
      </c>
      <c r="D885" s="2" t="s">
        <v>1855</v>
      </c>
      <c r="E885" t="s">
        <v>793</v>
      </c>
      <c r="F885" t="s">
        <v>20</v>
      </c>
      <c r="G885" t="s">
        <v>21</v>
      </c>
      <c r="H885" t="s">
        <v>794</v>
      </c>
      <c r="I885" t="s">
        <v>23</v>
      </c>
      <c r="J885" t="s">
        <v>40</v>
      </c>
      <c r="K885" s="2" t="s">
        <v>1853</v>
      </c>
      <c r="L885" t="s">
        <v>26</v>
      </c>
      <c r="M885">
        <v>350954</v>
      </c>
      <c r="N885">
        <v>1</v>
      </c>
      <c r="O885" s="3">
        <v>49990</v>
      </c>
      <c r="P885" s="3">
        <v>21475</v>
      </c>
      <c r="Q885" s="5">
        <f t="shared" si="39"/>
        <v>42008.403361344543</v>
      </c>
      <c r="R885" s="5">
        <f t="shared" si="40"/>
        <v>21475</v>
      </c>
      <c r="S885" s="5">
        <f t="shared" si="41"/>
        <v>20533.403361344543</v>
      </c>
    </row>
    <row r="886" spans="1:19" hidden="1" x14ac:dyDescent="0.3">
      <c r="A886">
        <v>100</v>
      </c>
      <c r="B886" t="s">
        <v>16</v>
      </c>
      <c r="C886" t="s">
        <v>1856</v>
      </c>
      <c r="D886" s="2" t="s">
        <v>1857</v>
      </c>
      <c r="E886" t="s">
        <v>1858</v>
      </c>
      <c r="F886" t="s">
        <v>20</v>
      </c>
      <c r="G886" t="s">
        <v>21</v>
      </c>
      <c r="H886" t="s">
        <v>1337</v>
      </c>
      <c r="I886" t="s">
        <v>23</v>
      </c>
      <c r="J886" t="s">
        <v>49</v>
      </c>
      <c r="K886" s="2" t="s">
        <v>1853</v>
      </c>
      <c r="L886" t="s">
        <v>26</v>
      </c>
      <c r="M886">
        <v>350955</v>
      </c>
      <c r="N886">
        <v>1</v>
      </c>
      <c r="O886" s="3">
        <v>49990</v>
      </c>
      <c r="P886" s="3">
        <v>19472</v>
      </c>
      <c r="Q886" s="5">
        <f t="shared" si="39"/>
        <v>42008.403361344543</v>
      </c>
      <c r="R886" s="5">
        <f t="shared" si="40"/>
        <v>19472</v>
      </c>
      <c r="S886" s="5">
        <f t="shared" si="41"/>
        <v>22536.403361344543</v>
      </c>
    </row>
    <row r="887" spans="1:19" hidden="1" x14ac:dyDescent="0.3">
      <c r="A887">
        <v>100</v>
      </c>
      <c r="B887" t="s">
        <v>16</v>
      </c>
      <c r="C887" t="s">
        <v>1859</v>
      </c>
      <c r="D887" s="2" t="s">
        <v>1860</v>
      </c>
      <c r="E887" t="s">
        <v>1861</v>
      </c>
      <c r="F887" t="s">
        <v>20</v>
      </c>
      <c r="G887" t="s">
        <v>21</v>
      </c>
      <c r="H887" t="s">
        <v>1337</v>
      </c>
      <c r="I887" t="s">
        <v>23</v>
      </c>
      <c r="J887" t="s">
        <v>49</v>
      </c>
      <c r="K887" s="2" t="s">
        <v>1853</v>
      </c>
      <c r="L887" t="s">
        <v>26</v>
      </c>
      <c r="M887">
        <v>350956</v>
      </c>
      <c r="N887">
        <v>1</v>
      </c>
      <c r="O887" s="3">
        <v>34990</v>
      </c>
      <c r="P887" s="3">
        <v>21573</v>
      </c>
      <c r="Q887" s="5">
        <f t="shared" si="39"/>
        <v>29403.361344537818</v>
      </c>
      <c r="R887" s="5">
        <f t="shared" si="40"/>
        <v>21573</v>
      </c>
      <c r="S887" s="5">
        <f t="shared" si="41"/>
        <v>7830.3613445378178</v>
      </c>
    </row>
    <row r="888" spans="1:19" hidden="1" x14ac:dyDescent="0.3">
      <c r="A888">
        <v>100</v>
      </c>
      <c r="B888" t="s">
        <v>16</v>
      </c>
      <c r="C888" t="s">
        <v>1862</v>
      </c>
      <c r="D888" s="2" t="s">
        <v>1863</v>
      </c>
      <c r="E888" t="s">
        <v>1382</v>
      </c>
      <c r="F888" t="s">
        <v>20</v>
      </c>
      <c r="G888" t="s">
        <v>21</v>
      </c>
      <c r="H888" t="s">
        <v>561</v>
      </c>
      <c r="I888" t="s">
        <v>23</v>
      </c>
      <c r="J888" t="s">
        <v>35</v>
      </c>
      <c r="K888" s="2" t="s">
        <v>1853</v>
      </c>
      <c r="L888" t="s">
        <v>26</v>
      </c>
      <c r="M888">
        <v>350957</v>
      </c>
      <c r="N888">
        <v>1</v>
      </c>
      <c r="O888" s="3">
        <v>54990</v>
      </c>
      <c r="P888" s="3">
        <v>27958</v>
      </c>
      <c r="Q888" s="5">
        <f t="shared" si="39"/>
        <v>46210.08403361345</v>
      </c>
      <c r="R888" s="5">
        <f t="shared" si="40"/>
        <v>27958</v>
      </c>
      <c r="S888" s="5">
        <f t="shared" si="41"/>
        <v>18252.08403361345</v>
      </c>
    </row>
    <row r="889" spans="1:19" hidden="1" x14ac:dyDescent="0.3">
      <c r="A889">
        <v>100</v>
      </c>
      <c r="B889" t="s">
        <v>16</v>
      </c>
      <c r="C889" t="s">
        <v>1054</v>
      </c>
      <c r="D889" s="2" t="s">
        <v>1055</v>
      </c>
      <c r="E889" t="s">
        <v>260</v>
      </c>
      <c r="F889" t="s">
        <v>20</v>
      </c>
      <c r="G889" t="s">
        <v>21</v>
      </c>
      <c r="H889" t="s">
        <v>261</v>
      </c>
      <c r="I889" t="s">
        <v>23</v>
      </c>
      <c r="J889" t="s">
        <v>95</v>
      </c>
      <c r="K889" s="2" t="s">
        <v>1853</v>
      </c>
      <c r="L889" t="s">
        <v>26</v>
      </c>
      <c r="M889">
        <v>350958</v>
      </c>
      <c r="N889">
        <v>1</v>
      </c>
      <c r="O889" s="3">
        <v>34990</v>
      </c>
      <c r="P889" s="3">
        <v>20109</v>
      </c>
      <c r="Q889" s="5">
        <f t="shared" si="39"/>
        <v>29403.361344537818</v>
      </c>
      <c r="R889" s="5">
        <f t="shared" si="40"/>
        <v>20109</v>
      </c>
      <c r="S889" s="5">
        <f t="shared" si="41"/>
        <v>9294.3613445378178</v>
      </c>
    </row>
    <row r="890" spans="1:19" hidden="1" x14ac:dyDescent="0.3">
      <c r="A890">
        <v>100</v>
      </c>
      <c r="B890" t="s">
        <v>16</v>
      </c>
      <c r="C890" t="s">
        <v>1475</v>
      </c>
      <c r="D890" s="2" t="s">
        <v>1476</v>
      </c>
      <c r="E890" t="s">
        <v>388</v>
      </c>
      <c r="F890" t="s">
        <v>20</v>
      </c>
      <c r="G890" t="s">
        <v>21</v>
      </c>
      <c r="H890" t="s">
        <v>171</v>
      </c>
      <c r="I890" t="s">
        <v>23</v>
      </c>
      <c r="J890" t="s">
        <v>40</v>
      </c>
      <c r="K890" s="2" t="s">
        <v>1853</v>
      </c>
      <c r="L890" t="s">
        <v>26</v>
      </c>
      <c r="M890">
        <v>350959</v>
      </c>
      <c r="N890">
        <v>1</v>
      </c>
      <c r="O890" s="3">
        <v>39990</v>
      </c>
      <c r="P890" s="3">
        <v>27733</v>
      </c>
      <c r="Q890" s="5">
        <f t="shared" si="39"/>
        <v>33605.042016806721</v>
      </c>
      <c r="R890" s="5">
        <f t="shared" si="40"/>
        <v>27733</v>
      </c>
      <c r="S890" s="5">
        <f t="shared" si="41"/>
        <v>5872.0420168067212</v>
      </c>
    </row>
    <row r="891" spans="1:19" hidden="1" x14ac:dyDescent="0.3">
      <c r="A891">
        <v>100</v>
      </c>
      <c r="B891" t="s">
        <v>16</v>
      </c>
      <c r="C891" t="s">
        <v>72</v>
      </c>
      <c r="D891" s="2" t="s">
        <v>73</v>
      </c>
      <c r="E891" t="s">
        <v>71</v>
      </c>
      <c r="F891" t="s">
        <v>20</v>
      </c>
      <c r="G891" t="s">
        <v>21</v>
      </c>
      <c r="H891" t="s">
        <v>53</v>
      </c>
      <c r="I891" t="s">
        <v>23</v>
      </c>
      <c r="J891" t="s">
        <v>35</v>
      </c>
      <c r="K891" s="2" t="s">
        <v>1853</v>
      </c>
      <c r="L891" t="s">
        <v>26</v>
      </c>
      <c r="M891">
        <v>350960</v>
      </c>
      <c r="N891">
        <v>1</v>
      </c>
      <c r="O891" s="3">
        <v>49990</v>
      </c>
      <c r="P891" s="3">
        <v>24247</v>
      </c>
      <c r="Q891" s="5">
        <f t="shared" si="39"/>
        <v>42008.403361344543</v>
      </c>
      <c r="R891" s="5">
        <f t="shared" si="40"/>
        <v>24247</v>
      </c>
      <c r="S891" s="5">
        <f t="shared" si="41"/>
        <v>17761.403361344543</v>
      </c>
    </row>
    <row r="892" spans="1:19" hidden="1" x14ac:dyDescent="0.3">
      <c r="A892">
        <v>100</v>
      </c>
      <c r="B892" t="s">
        <v>16</v>
      </c>
      <c r="C892" t="s">
        <v>1864</v>
      </c>
      <c r="D892" s="2" t="s">
        <v>1865</v>
      </c>
      <c r="E892" t="s">
        <v>86</v>
      </c>
      <c r="F892" t="s">
        <v>20</v>
      </c>
      <c r="G892" t="s">
        <v>21</v>
      </c>
      <c r="H892" t="s">
        <v>30</v>
      </c>
      <c r="I892" t="s">
        <v>23</v>
      </c>
      <c r="J892" t="s">
        <v>35</v>
      </c>
      <c r="K892" s="2" t="s">
        <v>1853</v>
      </c>
      <c r="L892" t="s">
        <v>26</v>
      </c>
      <c r="M892">
        <v>350961</v>
      </c>
      <c r="N892">
        <v>1</v>
      </c>
      <c r="O892" s="3">
        <v>49990</v>
      </c>
      <c r="P892" s="3">
        <v>28198</v>
      </c>
      <c r="Q892" s="5">
        <f t="shared" si="39"/>
        <v>42008.403361344543</v>
      </c>
      <c r="R892" s="5">
        <f t="shared" si="40"/>
        <v>28198</v>
      </c>
      <c r="S892" s="5">
        <f t="shared" si="41"/>
        <v>13810.403361344543</v>
      </c>
    </row>
    <row r="893" spans="1:19" hidden="1" x14ac:dyDescent="0.3">
      <c r="A893">
        <v>100</v>
      </c>
      <c r="B893" t="s">
        <v>16</v>
      </c>
      <c r="C893" t="s">
        <v>1202</v>
      </c>
      <c r="D893" s="2" t="s">
        <v>1203</v>
      </c>
      <c r="E893" t="s">
        <v>305</v>
      </c>
      <c r="F893" t="s">
        <v>20</v>
      </c>
      <c r="G893" t="s">
        <v>21</v>
      </c>
      <c r="H893" t="s">
        <v>306</v>
      </c>
      <c r="I893" t="s">
        <v>23</v>
      </c>
      <c r="J893" t="s">
        <v>35</v>
      </c>
      <c r="K893" s="2" t="s">
        <v>1853</v>
      </c>
      <c r="L893" t="s">
        <v>26</v>
      </c>
      <c r="M893">
        <v>350962</v>
      </c>
      <c r="N893">
        <v>1</v>
      </c>
      <c r="O893" s="3">
        <v>59990</v>
      </c>
      <c r="P893" s="3">
        <v>34565</v>
      </c>
      <c r="Q893" s="5">
        <f t="shared" si="39"/>
        <v>50411.764705882357</v>
      </c>
      <c r="R893" s="5">
        <f t="shared" si="40"/>
        <v>34565</v>
      </c>
      <c r="S893" s="5">
        <f t="shared" si="41"/>
        <v>15846.764705882357</v>
      </c>
    </row>
    <row r="894" spans="1:19" hidden="1" x14ac:dyDescent="0.3">
      <c r="A894">
        <v>100</v>
      </c>
      <c r="B894" t="s">
        <v>16</v>
      </c>
      <c r="C894" t="s">
        <v>1866</v>
      </c>
      <c r="D894" s="2" t="s">
        <v>1867</v>
      </c>
      <c r="E894" t="s">
        <v>560</v>
      </c>
      <c r="F894" t="s">
        <v>20</v>
      </c>
      <c r="G894" t="s">
        <v>21</v>
      </c>
      <c r="H894" t="s">
        <v>561</v>
      </c>
      <c r="I894" t="s">
        <v>23</v>
      </c>
      <c r="J894" t="s">
        <v>40</v>
      </c>
      <c r="K894" s="2" t="s">
        <v>1853</v>
      </c>
      <c r="L894" t="s">
        <v>26</v>
      </c>
      <c r="M894">
        <v>350963</v>
      </c>
      <c r="N894">
        <v>1</v>
      </c>
      <c r="O894" s="3">
        <v>39990</v>
      </c>
      <c r="P894" s="3">
        <v>30039</v>
      </c>
      <c r="Q894" s="5">
        <f t="shared" si="39"/>
        <v>33605.042016806721</v>
      </c>
      <c r="R894" s="5">
        <f t="shared" si="40"/>
        <v>30039</v>
      </c>
      <c r="S894" s="5">
        <f t="shared" si="41"/>
        <v>3566.0420168067212</v>
      </c>
    </row>
    <row r="895" spans="1:19" hidden="1" x14ac:dyDescent="0.3">
      <c r="A895">
        <v>100</v>
      </c>
      <c r="B895" t="s">
        <v>16</v>
      </c>
      <c r="C895" t="s">
        <v>1868</v>
      </c>
      <c r="D895" s="2" t="s">
        <v>1869</v>
      </c>
      <c r="E895" t="s">
        <v>692</v>
      </c>
      <c r="F895" t="s">
        <v>20</v>
      </c>
      <c r="G895" t="s">
        <v>21</v>
      </c>
      <c r="H895" t="s">
        <v>693</v>
      </c>
      <c r="I895" t="s">
        <v>23</v>
      </c>
      <c r="J895" t="s">
        <v>49</v>
      </c>
      <c r="K895" s="2" t="s">
        <v>1853</v>
      </c>
      <c r="L895" t="s">
        <v>26</v>
      </c>
      <c r="M895">
        <v>350964</v>
      </c>
      <c r="N895">
        <v>1</v>
      </c>
      <c r="O895" s="3">
        <v>44990</v>
      </c>
      <c r="P895" s="3">
        <v>21709</v>
      </c>
      <c r="Q895" s="5">
        <f t="shared" si="39"/>
        <v>37806.722689075636</v>
      </c>
      <c r="R895" s="5">
        <f t="shared" si="40"/>
        <v>21709</v>
      </c>
      <c r="S895" s="5">
        <f t="shared" si="41"/>
        <v>16097.722689075636</v>
      </c>
    </row>
    <row r="896" spans="1:19" hidden="1" x14ac:dyDescent="0.3">
      <c r="A896">
        <v>100</v>
      </c>
      <c r="B896" t="s">
        <v>16</v>
      </c>
      <c r="C896" t="s">
        <v>1870</v>
      </c>
      <c r="D896" s="2" t="s">
        <v>1871</v>
      </c>
      <c r="E896" t="s">
        <v>1872</v>
      </c>
      <c r="F896" t="s">
        <v>20</v>
      </c>
      <c r="G896" t="s">
        <v>21</v>
      </c>
      <c r="H896" t="s">
        <v>818</v>
      </c>
      <c r="I896" t="s">
        <v>23</v>
      </c>
      <c r="J896" t="s">
        <v>35</v>
      </c>
      <c r="K896" s="2" t="s">
        <v>1853</v>
      </c>
      <c r="L896" t="s">
        <v>26</v>
      </c>
      <c r="M896">
        <v>350965</v>
      </c>
      <c r="N896">
        <v>1</v>
      </c>
      <c r="O896" s="3">
        <v>49990</v>
      </c>
      <c r="P896" s="3">
        <v>28862</v>
      </c>
      <c r="Q896" s="5">
        <f t="shared" si="39"/>
        <v>42008.403361344543</v>
      </c>
      <c r="R896" s="5">
        <f t="shared" si="40"/>
        <v>28862</v>
      </c>
      <c r="S896" s="5">
        <f t="shared" si="41"/>
        <v>13146.403361344543</v>
      </c>
    </row>
    <row r="897" spans="1:19" hidden="1" x14ac:dyDescent="0.3">
      <c r="A897">
        <v>100</v>
      </c>
      <c r="B897" t="s">
        <v>16</v>
      </c>
      <c r="C897" t="s">
        <v>1873</v>
      </c>
      <c r="D897" s="2" t="s">
        <v>1874</v>
      </c>
      <c r="E897" t="s">
        <v>1431</v>
      </c>
      <c r="F897" t="s">
        <v>20</v>
      </c>
      <c r="G897" t="s">
        <v>21</v>
      </c>
      <c r="H897" t="s">
        <v>61</v>
      </c>
      <c r="I897" t="s">
        <v>23</v>
      </c>
      <c r="J897" t="s">
        <v>40</v>
      </c>
      <c r="K897" s="2" t="s">
        <v>1853</v>
      </c>
      <c r="L897" t="s">
        <v>26</v>
      </c>
      <c r="M897">
        <v>350966</v>
      </c>
      <c r="N897">
        <v>1</v>
      </c>
      <c r="O897" s="3">
        <v>39990</v>
      </c>
      <c r="P897" s="3">
        <v>28634</v>
      </c>
      <c r="Q897" s="5">
        <f t="shared" si="39"/>
        <v>33605.042016806721</v>
      </c>
      <c r="R897" s="5">
        <f t="shared" si="40"/>
        <v>28634</v>
      </c>
      <c r="S897" s="5">
        <f t="shared" si="41"/>
        <v>4971.0420168067212</v>
      </c>
    </row>
    <row r="898" spans="1:19" hidden="1" x14ac:dyDescent="0.3">
      <c r="A898">
        <v>100</v>
      </c>
      <c r="B898" t="s">
        <v>16</v>
      </c>
      <c r="C898" t="s">
        <v>1536</v>
      </c>
      <c r="D898" s="2" t="s">
        <v>1537</v>
      </c>
      <c r="E898" t="s">
        <v>1538</v>
      </c>
      <c r="F898" t="s">
        <v>20</v>
      </c>
      <c r="G898" t="s">
        <v>21</v>
      </c>
      <c r="H898" t="s">
        <v>1282</v>
      </c>
      <c r="I898" t="s">
        <v>23</v>
      </c>
      <c r="J898" t="s">
        <v>40</v>
      </c>
      <c r="K898" s="2" t="s">
        <v>1853</v>
      </c>
      <c r="L898" t="s">
        <v>26</v>
      </c>
      <c r="M898">
        <v>350967</v>
      </c>
      <c r="N898">
        <v>1</v>
      </c>
      <c r="O898" s="3">
        <v>29990</v>
      </c>
      <c r="P898" s="3">
        <v>10981</v>
      </c>
      <c r="Q898" s="5">
        <f t="shared" si="39"/>
        <v>25201.680672268907</v>
      </c>
      <c r="R898" s="5">
        <f t="shared" si="40"/>
        <v>10981</v>
      </c>
      <c r="S898" s="5">
        <f t="shared" si="41"/>
        <v>14220.680672268907</v>
      </c>
    </row>
    <row r="899" spans="1:19" hidden="1" x14ac:dyDescent="0.3">
      <c r="A899">
        <v>100</v>
      </c>
      <c r="B899" t="s">
        <v>16</v>
      </c>
      <c r="C899" t="s">
        <v>1875</v>
      </c>
      <c r="D899" s="2" t="s">
        <v>1876</v>
      </c>
      <c r="E899" t="s">
        <v>1877</v>
      </c>
      <c r="F899" t="s">
        <v>20</v>
      </c>
      <c r="G899" t="s">
        <v>21</v>
      </c>
      <c r="H899" t="s">
        <v>1282</v>
      </c>
      <c r="I899" t="s">
        <v>23</v>
      </c>
      <c r="J899" t="s">
        <v>40</v>
      </c>
      <c r="K899" s="2" t="s">
        <v>1853</v>
      </c>
      <c r="L899" t="s">
        <v>26</v>
      </c>
      <c r="M899">
        <v>350967</v>
      </c>
      <c r="N899">
        <v>1</v>
      </c>
      <c r="O899" s="3">
        <v>29990</v>
      </c>
      <c r="P899" s="3">
        <v>13476</v>
      </c>
      <c r="Q899" s="5">
        <f t="shared" si="39"/>
        <v>25201.680672268907</v>
      </c>
      <c r="R899" s="5">
        <f t="shared" si="40"/>
        <v>13476</v>
      </c>
      <c r="S899" s="5">
        <f t="shared" si="41"/>
        <v>11725.680672268907</v>
      </c>
    </row>
    <row r="900" spans="1:19" hidden="1" x14ac:dyDescent="0.3">
      <c r="A900">
        <v>100</v>
      </c>
      <c r="B900" t="s">
        <v>16</v>
      </c>
      <c r="C900" t="s">
        <v>1878</v>
      </c>
      <c r="D900" s="2" t="s">
        <v>1879</v>
      </c>
      <c r="E900" t="s">
        <v>1880</v>
      </c>
      <c r="F900" t="s">
        <v>20</v>
      </c>
      <c r="G900" t="s">
        <v>21</v>
      </c>
      <c r="H900" t="s">
        <v>1881</v>
      </c>
      <c r="I900" t="s">
        <v>23</v>
      </c>
      <c r="J900" t="s">
        <v>49</v>
      </c>
      <c r="K900" s="2" t="s">
        <v>1853</v>
      </c>
      <c r="L900" t="s">
        <v>26</v>
      </c>
      <c r="M900">
        <v>350967</v>
      </c>
      <c r="N900">
        <v>1</v>
      </c>
      <c r="O900" s="3">
        <v>29990</v>
      </c>
      <c r="P900" s="3">
        <v>17977</v>
      </c>
      <c r="Q900" s="5">
        <f t="shared" si="39"/>
        <v>25201.680672268907</v>
      </c>
      <c r="R900" s="5">
        <f t="shared" si="40"/>
        <v>17977</v>
      </c>
      <c r="S900" s="5">
        <f t="shared" si="41"/>
        <v>7224.6806722689071</v>
      </c>
    </row>
    <row r="901" spans="1:19" hidden="1" x14ac:dyDescent="0.3">
      <c r="A901">
        <v>100</v>
      </c>
      <c r="B901" t="s">
        <v>16</v>
      </c>
      <c r="C901" t="s">
        <v>1882</v>
      </c>
      <c r="D901" s="2" t="s">
        <v>1883</v>
      </c>
      <c r="E901" t="s">
        <v>341</v>
      </c>
      <c r="F901" t="s">
        <v>20</v>
      </c>
      <c r="G901" t="s">
        <v>21</v>
      </c>
      <c r="H901" t="s">
        <v>342</v>
      </c>
      <c r="I901" t="s">
        <v>23</v>
      </c>
      <c r="J901" t="s">
        <v>35</v>
      </c>
      <c r="K901" s="2" t="s">
        <v>1853</v>
      </c>
      <c r="L901" t="s">
        <v>26</v>
      </c>
      <c r="M901">
        <v>350968</v>
      </c>
      <c r="N901">
        <v>1</v>
      </c>
      <c r="O901" s="3">
        <v>39990</v>
      </c>
      <c r="P901" s="3">
        <v>28724</v>
      </c>
      <c r="Q901" s="5">
        <f t="shared" si="39"/>
        <v>33605.042016806721</v>
      </c>
      <c r="R901" s="5">
        <f t="shared" si="40"/>
        <v>28724</v>
      </c>
      <c r="S901" s="5">
        <f t="shared" si="41"/>
        <v>4881.0420168067212</v>
      </c>
    </row>
    <row r="902" spans="1:19" hidden="1" x14ac:dyDescent="0.3">
      <c r="A902">
        <v>100</v>
      </c>
      <c r="B902" t="s">
        <v>16</v>
      </c>
      <c r="C902">
        <v>1687976791</v>
      </c>
      <c r="D902" s="2" t="s">
        <v>200</v>
      </c>
      <c r="E902" t="s">
        <v>201</v>
      </c>
      <c r="F902" t="s">
        <v>201</v>
      </c>
      <c r="G902" t="s">
        <v>202</v>
      </c>
      <c r="H902" t="s">
        <v>202</v>
      </c>
      <c r="I902" t="s">
        <v>23</v>
      </c>
      <c r="J902" t="s">
        <v>202</v>
      </c>
      <c r="K902" s="2" t="s">
        <v>1853</v>
      </c>
      <c r="L902" t="s">
        <v>26</v>
      </c>
      <c r="M902">
        <v>350968</v>
      </c>
      <c r="N902">
        <v>1</v>
      </c>
      <c r="O902" s="3">
        <v>3400</v>
      </c>
      <c r="P902">
        <v>1</v>
      </c>
      <c r="Q902" s="5">
        <f t="shared" ref="Q902:Q965" si="42">O902/1.19</f>
        <v>2857.1428571428573</v>
      </c>
      <c r="R902" s="5">
        <f t="shared" ref="R902:R965" si="43">N902*P902</f>
        <v>1</v>
      </c>
      <c r="S902" s="5">
        <f t="shared" ref="S902:S965" si="44">Q902-R902</f>
        <v>2856.1428571428573</v>
      </c>
    </row>
    <row r="903" spans="1:19" hidden="1" x14ac:dyDescent="0.3">
      <c r="A903">
        <v>100</v>
      </c>
      <c r="B903" t="s">
        <v>16</v>
      </c>
      <c r="C903" t="s">
        <v>1884</v>
      </c>
      <c r="D903" s="2" t="s">
        <v>1885</v>
      </c>
      <c r="E903" t="s">
        <v>1886</v>
      </c>
      <c r="F903" t="s">
        <v>20</v>
      </c>
      <c r="G903" t="s">
        <v>21</v>
      </c>
      <c r="H903" t="s">
        <v>1887</v>
      </c>
      <c r="I903" t="s">
        <v>23</v>
      </c>
      <c r="J903" t="s">
        <v>40</v>
      </c>
      <c r="K903" s="2" t="s">
        <v>1853</v>
      </c>
      <c r="L903" t="s">
        <v>26</v>
      </c>
      <c r="M903">
        <v>350969</v>
      </c>
      <c r="N903">
        <v>1</v>
      </c>
      <c r="O903" s="3">
        <v>69950</v>
      </c>
      <c r="P903" s="3">
        <v>21623</v>
      </c>
      <c r="Q903" s="5">
        <f t="shared" si="42"/>
        <v>58781.512605042022</v>
      </c>
      <c r="R903" s="5">
        <f t="shared" si="43"/>
        <v>21623</v>
      </c>
      <c r="S903" s="5">
        <f t="shared" si="44"/>
        <v>37158.512605042022</v>
      </c>
    </row>
    <row r="904" spans="1:19" hidden="1" x14ac:dyDescent="0.3">
      <c r="A904">
        <v>100</v>
      </c>
      <c r="B904" t="s">
        <v>16</v>
      </c>
      <c r="C904">
        <v>1687976791</v>
      </c>
      <c r="D904" s="2" t="s">
        <v>200</v>
      </c>
      <c r="E904" t="s">
        <v>201</v>
      </c>
      <c r="F904" t="s">
        <v>201</v>
      </c>
      <c r="G904" t="s">
        <v>202</v>
      </c>
      <c r="H904" t="s">
        <v>202</v>
      </c>
      <c r="I904" t="s">
        <v>23</v>
      </c>
      <c r="J904" t="s">
        <v>202</v>
      </c>
      <c r="K904" s="2" t="s">
        <v>1853</v>
      </c>
      <c r="L904" t="s">
        <v>26</v>
      </c>
      <c r="M904">
        <v>350969</v>
      </c>
      <c r="N904">
        <v>1</v>
      </c>
      <c r="O904" s="3">
        <v>3400</v>
      </c>
      <c r="P904">
        <v>1</v>
      </c>
      <c r="Q904" s="5">
        <f t="shared" si="42"/>
        <v>2857.1428571428573</v>
      </c>
      <c r="R904" s="5">
        <f t="shared" si="43"/>
        <v>1</v>
      </c>
      <c r="S904" s="5">
        <f t="shared" si="44"/>
        <v>2856.1428571428573</v>
      </c>
    </row>
    <row r="905" spans="1:19" hidden="1" x14ac:dyDescent="0.3">
      <c r="A905">
        <v>100</v>
      </c>
      <c r="B905" t="s">
        <v>16</v>
      </c>
      <c r="C905" t="s">
        <v>1888</v>
      </c>
      <c r="D905" s="2" t="s">
        <v>1889</v>
      </c>
      <c r="E905" t="s">
        <v>102</v>
      </c>
      <c r="F905" t="s">
        <v>20</v>
      </c>
      <c r="G905" t="s">
        <v>21</v>
      </c>
      <c r="H905" t="s">
        <v>57</v>
      </c>
      <c r="I905" t="s">
        <v>23</v>
      </c>
      <c r="J905" t="s">
        <v>35</v>
      </c>
      <c r="K905" s="2" t="s">
        <v>1853</v>
      </c>
      <c r="L905" t="s">
        <v>26</v>
      </c>
      <c r="M905">
        <v>350970</v>
      </c>
      <c r="N905">
        <v>1</v>
      </c>
      <c r="O905" s="3">
        <v>61990</v>
      </c>
      <c r="P905" s="3">
        <v>35437</v>
      </c>
      <c r="Q905" s="5">
        <f t="shared" si="42"/>
        <v>52092.436974789918</v>
      </c>
      <c r="R905" s="5">
        <f t="shared" si="43"/>
        <v>35437</v>
      </c>
      <c r="S905" s="5">
        <f t="shared" si="44"/>
        <v>16655.436974789918</v>
      </c>
    </row>
    <row r="906" spans="1:19" hidden="1" x14ac:dyDescent="0.3">
      <c r="A906">
        <v>100</v>
      </c>
      <c r="B906" t="s">
        <v>16</v>
      </c>
      <c r="C906" t="s">
        <v>1649</v>
      </c>
      <c r="D906" s="2" t="s">
        <v>1650</v>
      </c>
      <c r="E906" t="s">
        <v>1651</v>
      </c>
      <c r="F906" t="s">
        <v>20</v>
      </c>
      <c r="G906" t="s">
        <v>21</v>
      </c>
      <c r="H906" t="s">
        <v>1143</v>
      </c>
      <c r="I906" t="s">
        <v>23</v>
      </c>
      <c r="J906" t="s">
        <v>40</v>
      </c>
      <c r="K906" s="2" t="s">
        <v>1853</v>
      </c>
      <c r="L906" t="s">
        <v>26</v>
      </c>
      <c r="M906">
        <v>350971</v>
      </c>
      <c r="N906">
        <v>1</v>
      </c>
      <c r="O906" s="3">
        <v>30990</v>
      </c>
      <c r="P906" s="3">
        <v>27195</v>
      </c>
      <c r="Q906" s="5">
        <f t="shared" si="42"/>
        <v>26042.016806722691</v>
      </c>
      <c r="R906" s="5">
        <f t="shared" si="43"/>
        <v>27195</v>
      </c>
      <c r="S906" s="5">
        <f t="shared" si="44"/>
        <v>-1152.9831932773086</v>
      </c>
    </row>
    <row r="907" spans="1:19" hidden="1" x14ac:dyDescent="0.3">
      <c r="A907">
        <v>100</v>
      </c>
      <c r="B907" t="s">
        <v>16</v>
      </c>
      <c r="C907" t="s">
        <v>1715</v>
      </c>
      <c r="D907" s="2" t="s">
        <v>1716</v>
      </c>
      <c r="E907" t="s">
        <v>1717</v>
      </c>
      <c r="F907" t="s">
        <v>20</v>
      </c>
      <c r="G907" t="s">
        <v>21</v>
      </c>
      <c r="H907" t="s">
        <v>1013</v>
      </c>
      <c r="I907" t="s">
        <v>23</v>
      </c>
      <c r="J907" t="s">
        <v>35</v>
      </c>
      <c r="K907" s="2" t="s">
        <v>1853</v>
      </c>
      <c r="L907" t="s">
        <v>26</v>
      </c>
      <c r="M907">
        <v>350972</v>
      </c>
      <c r="N907">
        <v>1</v>
      </c>
      <c r="O907" s="3">
        <v>69990</v>
      </c>
      <c r="P907" s="3">
        <v>31970</v>
      </c>
      <c r="Q907" s="5">
        <f t="shared" si="42"/>
        <v>58815.126050420171</v>
      </c>
      <c r="R907" s="5">
        <f t="shared" si="43"/>
        <v>31970</v>
      </c>
      <c r="S907" s="5">
        <f t="shared" si="44"/>
        <v>26845.126050420171</v>
      </c>
    </row>
    <row r="908" spans="1:19" hidden="1" x14ac:dyDescent="0.3">
      <c r="A908">
        <v>100</v>
      </c>
      <c r="B908" t="s">
        <v>16</v>
      </c>
      <c r="C908" t="s">
        <v>1890</v>
      </c>
      <c r="D908" s="2" t="s">
        <v>1891</v>
      </c>
      <c r="E908" t="s">
        <v>155</v>
      </c>
      <c r="F908" t="s">
        <v>20</v>
      </c>
      <c r="G908" t="s">
        <v>21</v>
      </c>
      <c r="H908" t="s">
        <v>156</v>
      </c>
      <c r="I908" t="s">
        <v>23</v>
      </c>
      <c r="J908" t="s">
        <v>35</v>
      </c>
      <c r="K908" s="2" t="s">
        <v>1853</v>
      </c>
      <c r="L908" t="s">
        <v>26</v>
      </c>
      <c r="M908">
        <v>350973</v>
      </c>
      <c r="N908">
        <v>1</v>
      </c>
      <c r="O908" s="3">
        <v>69990</v>
      </c>
      <c r="P908" s="3">
        <v>38158</v>
      </c>
      <c r="Q908" s="5">
        <f t="shared" si="42"/>
        <v>58815.126050420171</v>
      </c>
      <c r="R908" s="5">
        <f t="shared" si="43"/>
        <v>38158</v>
      </c>
      <c r="S908" s="5">
        <f t="shared" si="44"/>
        <v>20657.126050420171</v>
      </c>
    </row>
    <row r="909" spans="1:19" hidden="1" x14ac:dyDescent="0.3">
      <c r="A909">
        <v>100</v>
      </c>
      <c r="B909" t="s">
        <v>16</v>
      </c>
      <c r="C909" t="s">
        <v>1892</v>
      </c>
      <c r="D909" s="2" t="s">
        <v>1893</v>
      </c>
      <c r="E909" t="s">
        <v>884</v>
      </c>
      <c r="F909" t="s">
        <v>20</v>
      </c>
      <c r="G909" t="s">
        <v>21</v>
      </c>
      <c r="H909" t="s">
        <v>48</v>
      </c>
      <c r="I909" t="s">
        <v>23</v>
      </c>
      <c r="J909" t="s">
        <v>49</v>
      </c>
      <c r="K909" s="2" t="s">
        <v>1853</v>
      </c>
      <c r="L909" t="s">
        <v>26</v>
      </c>
      <c r="M909">
        <v>350974</v>
      </c>
      <c r="N909">
        <v>1</v>
      </c>
      <c r="O909" s="3">
        <v>39990</v>
      </c>
      <c r="P909" s="3">
        <v>26154</v>
      </c>
      <c r="Q909" s="5">
        <f t="shared" si="42"/>
        <v>33605.042016806721</v>
      </c>
      <c r="R909" s="5">
        <f t="shared" si="43"/>
        <v>26154</v>
      </c>
      <c r="S909" s="5">
        <f t="shared" si="44"/>
        <v>7451.0420168067212</v>
      </c>
    </row>
    <row r="910" spans="1:19" hidden="1" x14ac:dyDescent="0.3">
      <c r="A910">
        <v>100</v>
      </c>
      <c r="B910" t="s">
        <v>16</v>
      </c>
      <c r="C910" t="s">
        <v>1894</v>
      </c>
      <c r="D910" s="2" t="s">
        <v>1895</v>
      </c>
      <c r="E910" t="s">
        <v>254</v>
      </c>
      <c r="F910" t="s">
        <v>20</v>
      </c>
      <c r="G910" t="s">
        <v>21</v>
      </c>
      <c r="H910" t="s">
        <v>255</v>
      </c>
      <c r="I910" t="s">
        <v>23</v>
      </c>
      <c r="J910" t="s">
        <v>35</v>
      </c>
      <c r="K910" s="2" t="s">
        <v>1853</v>
      </c>
      <c r="L910" t="s">
        <v>26</v>
      </c>
      <c r="M910">
        <v>350975</v>
      </c>
      <c r="N910">
        <v>1</v>
      </c>
      <c r="O910" s="3">
        <v>69990</v>
      </c>
      <c r="P910" s="3">
        <v>38667</v>
      </c>
      <c r="Q910" s="5">
        <f t="shared" si="42"/>
        <v>58815.126050420171</v>
      </c>
      <c r="R910" s="5">
        <f t="shared" si="43"/>
        <v>38667</v>
      </c>
      <c r="S910" s="5">
        <f t="shared" si="44"/>
        <v>20148.126050420171</v>
      </c>
    </row>
    <row r="911" spans="1:19" hidden="1" x14ac:dyDescent="0.3">
      <c r="A911">
        <v>100</v>
      </c>
      <c r="B911" t="s">
        <v>16</v>
      </c>
      <c r="C911" t="s">
        <v>1896</v>
      </c>
      <c r="D911" s="2" t="s">
        <v>1897</v>
      </c>
      <c r="E911" t="s">
        <v>1611</v>
      </c>
      <c r="F911" t="s">
        <v>20</v>
      </c>
      <c r="G911" t="s">
        <v>21</v>
      </c>
      <c r="H911" t="s">
        <v>1612</v>
      </c>
      <c r="I911" t="s">
        <v>23</v>
      </c>
      <c r="J911" t="s">
        <v>35</v>
      </c>
      <c r="K911" s="2" t="s">
        <v>1853</v>
      </c>
      <c r="L911" t="s">
        <v>26</v>
      </c>
      <c r="M911">
        <v>350975</v>
      </c>
      <c r="N911">
        <v>1</v>
      </c>
      <c r="O911" s="3">
        <v>49990</v>
      </c>
      <c r="P911" s="3">
        <v>33801</v>
      </c>
      <c r="Q911" s="5">
        <f t="shared" si="42"/>
        <v>42008.403361344543</v>
      </c>
      <c r="R911" s="5">
        <f t="shared" si="43"/>
        <v>33801</v>
      </c>
      <c r="S911" s="5">
        <f t="shared" si="44"/>
        <v>8207.4033613445426</v>
      </c>
    </row>
    <row r="912" spans="1:19" hidden="1" x14ac:dyDescent="0.3">
      <c r="A912">
        <v>100</v>
      </c>
      <c r="B912" t="s">
        <v>16</v>
      </c>
      <c r="C912" t="s">
        <v>1898</v>
      </c>
      <c r="D912" s="2" t="s">
        <v>1899</v>
      </c>
      <c r="E912" t="s">
        <v>1080</v>
      </c>
      <c r="F912" t="s">
        <v>20</v>
      </c>
      <c r="G912" t="s">
        <v>21</v>
      </c>
      <c r="H912" t="s">
        <v>368</v>
      </c>
      <c r="I912" t="s">
        <v>23</v>
      </c>
      <c r="J912" t="s">
        <v>40</v>
      </c>
      <c r="K912" s="2" t="s">
        <v>1853</v>
      </c>
      <c r="L912" t="s">
        <v>26</v>
      </c>
      <c r="M912">
        <v>350976</v>
      </c>
      <c r="N912">
        <v>1</v>
      </c>
      <c r="O912" s="3">
        <v>34990</v>
      </c>
      <c r="P912" s="3">
        <v>21031</v>
      </c>
      <c r="Q912" s="5">
        <f t="shared" si="42"/>
        <v>29403.361344537818</v>
      </c>
      <c r="R912" s="5">
        <f t="shared" si="43"/>
        <v>21031</v>
      </c>
      <c r="S912" s="5">
        <f t="shared" si="44"/>
        <v>8372.3613445378178</v>
      </c>
    </row>
    <row r="913" spans="1:19" hidden="1" x14ac:dyDescent="0.3">
      <c r="A913">
        <v>100</v>
      </c>
      <c r="B913" t="s">
        <v>16</v>
      </c>
      <c r="C913" t="s">
        <v>1900</v>
      </c>
      <c r="D913" s="2" t="s">
        <v>1901</v>
      </c>
      <c r="E913" t="s">
        <v>782</v>
      </c>
      <c r="F913" t="s">
        <v>20</v>
      </c>
      <c r="G913" t="s">
        <v>21</v>
      </c>
      <c r="H913" t="s">
        <v>783</v>
      </c>
      <c r="I913" t="s">
        <v>23</v>
      </c>
      <c r="J913" t="s">
        <v>40</v>
      </c>
      <c r="K913" s="2" t="s">
        <v>1853</v>
      </c>
      <c r="L913" t="s">
        <v>26</v>
      </c>
      <c r="M913">
        <v>350976</v>
      </c>
      <c r="N913">
        <v>1</v>
      </c>
      <c r="O913" s="3">
        <v>29990</v>
      </c>
      <c r="P913" s="3">
        <v>15745</v>
      </c>
      <c r="Q913" s="5">
        <f t="shared" si="42"/>
        <v>25201.680672268907</v>
      </c>
      <c r="R913" s="5">
        <f t="shared" si="43"/>
        <v>15745</v>
      </c>
      <c r="S913" s="5">
        <f t="shared" si="44"/>
        <v>9456.6806722689071</v>
      </c>
    </row>
    <row r="914" spans="1:19" hidden="1" x14ac:dyDescent="0.3">
      <c r="A914">
        <v>100</v>
      </c>
      <c r="B914" t="s">
        <v>16</v>
      </c>
      <c r="C914">
        <v>1687976791</v>
      </c>
      <c r="D914" s="2" t="s">
        <v>200</v>
      </c>
      <c r="E914" t="s">
        <v>201</v>
      </c>
      <c r="F914" t="s">
        <v>201</v>
      </c>
      <c r="G914" t="s">
        <v>202</v>
      </c>
      <c r="H914" t="s">
        <v>202</v>
      </c>
      <c r="I914" t="s">
        <v>23</v>
      </c>
      <c r="J914" t="s">
        <v>202</v>
      </c>
      <c r="K914" s="2" t="s">
        <v>1853</v>
      </c>
      <c r="L914" t="s">
        <v>26</v>
      </c>
      <c r="M914">
        <v>350976</v>
      </c>
      <c r="N914">
        <v>1</v>
      </c>
      <c r="O914" s="3">
        <v>3400</v>
      </c>
      <c r="P914">
        <v>1</v>
      </c>
      <c r="Q914" s="5">
        <f t="shared" si="42"/>
        <v>2857.1428571428573</v>
      </c>
      <c r="R914" s="5">
        <f t="shared" si="43"/>
        <v>1</v>
      </c>
      <c r="S914" s="5">
        <f t="shared" si="44"/>
        <v>2856.1428571428573</v>
      </c>
    </row>
    <row r="915" spans="1:19" hidden="1" x14ac:dyDescent="0.3">
      <c r="A915">
        <v>100</v>
      </c>
      <c r="B915" t="s">
        <v>16</v>
      </c>
      <c r="C915" t="s">
        <v>1902</v>
      </c>
      <c r="D915" s="2" t="s">
        <v>1903</v>
      </c>
      <c r="E915" t="s">
        <v>1904</v>
      </c>
      <c r="F915" t="s">
        <v>20</v>
      </c>
      <c r="G915" t="s">
        <v>21</v>
      </c>
      <c r="H915" t="s">
        <v>39</v>
      </c>
      <c r="I915" t="s">
        <v>23</v>
      </c>
      <c r="J915" t="s">
        <v>40</v>
      </c>
      <c r="K915" s="2" t="s">
        <v>1853</v>
      </c>
      <c r="L915" t="s">
        <v>26</v>
      </c>
      <c r="M915">
        <v>350977</v>
      </c>
      <c r="N915">
        <v>1</v>
      </c>
      <c r="O915" s="3">
        <v>39990</v>
      </c>
      <c r="P915" s="3">
        <v>27902</v>
      </c>
      <c r="Q915" s="5">
        <f t="shared" si="42"/>
        <v>33605.042016806721</v>
      </c>
      <c r="R915" s="5">
        <f t="shared" si="43"/>
        <v>27902</v>
      </c>
      <c r="S915" s="5">
        <f t="shared" si="44"/>
        <v>5703.0420168067212</v>
      </c>
    </row>
    <row r="916" spans="1:19" hidden="1" x14ac:dyDescent="0.3">
      <c r="A916">
        <v>100</v>
      </c>
      <c r="B916" t="s">
        <v>16</v>
      </c>
      <c r="C916">
        <v>1687976791</v>
      </c>
      <c r="D916" s="2" t="s">
        <v>200</v>
      </c>
      <c r="E916" t="s">
        <v>201</v>
      </c>
      <c r="F916" t="s">
        <v>201</v>
      </c>
      <c r="G916" t="s">
        <v>202</v>
      </c>
      <c r="H916" t="s">
        <v>202</v>
      </c>
      <c r="I916" t="s">
        <v>23</v>
      </c>
      <c r="J916" t="s">
        <v>202</v>
      </c>
      <c r="K916" s="2" t="s">
        <v>1853</v>
      </c>
      <c r="L916" t="s">
        <v>26</v>
      </c>
      <c r="M916">
        <v>350977</v>
      </c>
      <c r="N916">
        <v>1</v>
      </c>
      <c r="O916" s="3">
        <v>3400</v>
      </c>
      <c r="P916">
        <v>1</v>
      </c>
      <c r="Q916" s="5">
        <f t="shared" si="42"/>
        <v>2857.1428571428573</v>
      </c>
      <c r="R916" s="5">
        <f t="shared" si="43"/>
        <v>1</v>
      </c>
      <c r="S916" s="5">
        <f t="shared" si="44"/>
        <v>2856.1428571428573</v>
      </c>
    </row>
    <row r="917" spans="1:19" hidden="1" x14ac:dyDescent="0.3">
      <c r="A917">
        <v>100</v>
      </c>
      <c r="B917" t="s">
        <v>16</v>
      </c>
      <c r="C917" t="s">
        <v>252</v>
      </c>
      <c r="D917" s="2" t="s">
        <v>253</v>
      </c>
      <c r="E917" t="s">
        <v>254</v>
      </c>
      <c r="F917" t="s">
        <v>20</v>
      </c>
      <c r="G917" t="s">
        <v>21</v>
      </c>
      <c r="H917" t="s">
        <v>255</v>
      </c>
      <c r="I917" t="s">
        <v>23</v>
      </c>
      <c r="J917" t="s">
        <v>35</v>
      </c>
      <c r="K917" s="2" t="s">
        <v>1853</v>
      </c>
      <c r="L917" t="s">
        <v>26</v>
      </c>
      <c r="M917">
        <v>350978</v>
      </c>
      <c r="N917">
        <v>1</v>
      </c>
      <c r="O917" s="3">
        <v>69990</v>
      </c>
      <c r="P917" s="3">
        <v>38637</v>
      </c>
      <c r="Q917" s="5">
        <f t="shared" si="42"/>
        <v>58815.126050420171</v>
      </c>
      <c r="R917" s="5">
        <f t="shared" si="43"/>
        <v>38637</v>
      </c>
      <c r="S917" s="5">
        <f t="shared" si="44"/>
        <v>20178.126050420171</v>
      </c>
    </row>
    <row r="918" spans="1:19" hidden="1" x14ac:dyDescent="0.3">
      <c r="A918">
        <v>100</v>
      </c>
      <c r="B918" t="s">
        <v>16</v>
      </c>
      <c r="C918" t="s">
        <v>383</v>
      </c>
      <c r="D918" s="2" t="s">
        <v>384</v>
      </c>
      <c r="E918" t="s">
        <v>385</v>
      </c>
      <c r="F918" t="s">
        <v>20</v>
      </c>
      <c r="G918" t="s">
        <v>21</v>
      </c>
      <c r="H918" t="s">
        <v>306</v>
      </c>
      <c r="I918" t="s">
        <v>23</v>
      </c>
      <c r="J918" t="s">
        <v>35</v>
      </c>
      <c r="K918" s="2" t="s">
        <v>1853</v>
      </c>
      <c r="L918" t="s">
        <v>26</v>
      </c>
      <c r="M918">
        <v>350979</v>
      </c>
      <c r="N918">
        <v>1</v>
      </c>
      <c r="O918" s="3">
        <v>59990</v>
      </c>
      <c r="P918" s="3">
        <v>33227</v>
      </c>
      <c r="Q918" s="5">
        <f t="shared" si="42"/>
        <v>50411.764705882357</v>
      </c>
      <c r="R918" s="5">
        <f t="shared" si="43"/>
        <v>33227</v>
      </c>
      <c r="S918" s="5">
        <f t="shared" si="44"/>
        <v>17184.764705882357</v>
      </c>
    </row>
    <row r="919" spans="1:19" hidden="1" x14ac:dyDescent="0.3">
      <c r="A919">
        <v>100</v>
      </c>
      <c r="B919" t="s">
        <v>16</v>
      </c>
      <c r="C919" t="s">
        <v>1905</v>
      </c>
      <c r="D919" s="2" t="s">
        <v>1906</v>
      </c>
      <c r="E919" t="s">
        <v>1907</v>
      </c>
      <c r="F919" t="s">
        <v>20</v>
      </c>
      <c r="G919" t="s">
        <v>21</v>
      </c>
      <c r="H919" t="s">
        <v>1227</v>
      </c>
      <c r="I919" t="s">
        <v>23</v>
      </c>
      <c r="J919" t="s">
        <v>35</v>
      </c>
      <c r="K919" s="2" t="s">
        <v>1853</v>
      </c>
      <c r="L919" t="s">
        <v>26</v>
      </c>
      <c r="M919">
        <v>350980</v>
      </c>
      <c r="N919">
        <v>1</v>
      </c>
      <c r="O919" s="3">
        <v>99950</v>
      </c>
      <c r="P919" s="3">
        <v>52118</v>
      </c>
      <c r="Q919" s="5">
        <f t="shared" si="42"/>
        <v>83991.596638655465</v>
      </c>
      <c r="R919" s="5">
        <f t="shared" si="43"/>
        <v>52118</v>
      </c>
      <c r="S919" s="5">
        <f t="shared" si="44"/>
        <v>31873.596638655465</v>
      </c>
    </row>
    <row r="920" spans="1:19" hidden="1" x14ac:dyDescent="0.3">
      <c r="A920">
        <v>100</v>
      </c>
      <c r="B920" t="s">
        <v>16</v>
      </c>
      <c r="C920" t="s">
        <v>1908</v>
      </c>
      <c r="D920" s="2" t="s">
        <v>1909</v>
      </c>
      <c r="E920" t="s">
        <v>288</v>
      </c>
      <c r="F920" t="s">
        <v>20</v>
      </c>
      <c r="G920" t="s">
        <v>21</v>
      </c>
      <c r="H920" t="s">
        <v>160</v>
      </c>
      <c r="I920" t="s">
        <v>23</v>
      </c>
      <c r="J920" t="s">
        <v>35</v>
      </c>
      <c r="K920" s="2" t="s">
        <v>1853</v>
      </c>
      <c r="L920" t="s">
        <v>26</v>
      </c>
      <c r="M920">
        <v>350981</v>
      </c>
      <c r="N920">
        <v>1</v>
      </c>
      <c r="O920" s="3">
        <v>79950</v>
      </c>
      <c r="P920" s="3">
        <v>32312</v>
      </c>
      <c r="Q920" s="5">
        <f t="shared" si="42"/>
        <v>67184.873949579836</v>
      </c>
      <c r="R920" s="5">
        <f t="shared" si="43"/>
        <v>32312</v>
      </c>
      <c r="S920" s="5">
        <f t="shared" si="44"/>
        <v>34872.873949579836</v>
      </c>
    </row>
    <row r="921" spans="1:19" hidden="1" x14ac:dyDescent="0.3">
      <c r="A921">
        <v>100</v>
      </c>
      <c r="B921" t="s">
        <v>16</v>
      </c>
      <c r="C921" t="s">
        <v>1497</v>
      </c>
      <c r="D921" s="2" t="s">
        <v>1498</v>
      </c>
      <c r="E921" t="s">
        <v>439</v>
      </c>
      <c r="F921" t="s">
        <v>20</v>
      </c>
      <c r="G921" t="s">
        <v>21</v>
      </c>
      <c r="H921" t="s">
        <v>122</v>
      </c>
      <c r="I921" t="s">
        <v>23</v>
      </c>
      <c r="J921" t="s">
        <v>35</v>
      </c>
      <c r="K921" s="2" t="s">
        <v>1910</v>
      </c>
      <c r="L921" t="s">
        <v>26</v>
      </c>
      <c r="M921">
        <v>350982</v>
      </c>
      <c r="N921">
        <v>1</v>
      </c>
      <c r="O921" s="3">
        <v>49990</v>
      </c>
      <c r="P921" s="3">
        <v>31901</v>
      </c>
      <c r="Q921" s="5">
        <f t="shared" si="42"/>
        <v>42008.403361344543</v>
      </c>
      <c r="R921" s="5">
        <f t="shared" si="43"/>
        <v>31901</v>
      </c>
      <c r="S921" s="5">
        <f t="shared" si="44"/>
        <v>10107.403361344543</v>
      </c>
    </row>
    <row r="922" spans="1:19" hidden="1" x14ac:dyDescent="0.3">
      <c r="A922">
        <v>100</v>
      </c>
      <c r="B922" t="s">
        <v>16</v>
      </c>
      <c r="C922" t="s">
        <v>1507</v>
      </c>
      <c r="D922" s="2" t="s">
        <v>1508</v>
      </c>
      <c r="E922" t="s">
        <v>425</v>
      </c>
      <c r="F922" t="s">
        <v>20</v>
      </c>
      <c r="G922" t="s">
        <v>21</v>
      </c>
      <c r="H922" t="s">
        <v>22</v>
      </c>
      <c r="I922" t="s">
        <v>23</v>
      </c>
      <c r="J922" t="s">
        <v>24</v>
      </c>
      <c r="K922" s="2" t="s">
        <v>1910</v>
      </c>
      <c r="L922" t="s">
        <v>26</v>
      </c>
      <c r="M922">
        <v>350983</v>
      </c>
      <c r="N922">
        <v>1</v>
      </c>
      <c r="O922" s="3">
        <v>79950</v>
      </c>
      <c r="P922" s="3">
        <v>27778</v>
      </c>
      <c r="Q922" s="5">
        <f t="shared" si="42"/>
        <v>67184.873949579836</v>
      </c>
      <c r="R922" s="5">
        <f t="shared" si="43"/>
        <v>27778</v>
      </c>
      <c r="S922" s="5">
        <f t="shared" si="44"/>
        <v>39406.873949579836</v>
      </c>
    </row>
    <row r="923" spans="1:19" hidden="1" x14ac:dyDescent="0.3">
      <c r="A923">
        <v>100</v>
      </c>
      <c r="B923" t="s">
        <v>16</v>
      </c>
      <c r="C923" t="s">
        <v>164</v>
      </c>
      <c r="D923" s="2" t="s">
        <v>165</v>
      </c>
      <c r="E923" t="s">
        <v>166</v>
      </c>
      <c r="F923" t="s">
        <v>20</v>
      </c>
      <c r="G923" t="s">
        <v>21</v>
      </c>
      <c r="H923" t="s">
        <v>167</v>
      </c>
      <c r="I923" t="s">
        <v>23</v>
      </c>
      <c r="J923" t="s">
        <v>35</v>
      </c>
      <c r="K923" s="2" t="s">
        <v>1910</v>
      </c>
      <c r="L923" t="s">
        <v>26</v>
      </c>
      <c r="M923">
        <v>350984</v>
      </c>
      <c r="N923">
        <v>1</v>
      </c>
      <c r="O923" s="3">
        <v>49990</v>
      </c>
      <c r="P923" s="3">
        <v>36218</v>
      </c>
      <c r="Q923" s="5">
        <f t="shared" si="42"/>
        <v>42008.403361344543</v>
      </c>
      <c r="R923" s="5">
        <f t="shared" si="43"/>
        <v>36218</v>
      </c>
      <c r="S923" s="5">
        <f t="shared" si="44"/>
        <v>5790.4033613445426</v>
      </c>
    </row>
    <row r="924" spans="1:19" hidden="1" x14ac:dyDescent="0.3">
      <c r="A924">
        <v>100</v>
      </c>
      <c r="B924" t="s">
        <v>16</v>
      </c>
      <c r="C924" t="s">
        <v>1597</v>
      </c>
      <c r="D924" s="2" t="s">
        <v>1598</v>
      </c>
      <c r="E924" t="s">
        <v>1599</v>
      </c>
      <c r="F924" t="s">
        <v>20</v>
      </c>
      <c r="G924" t="s">
        <v>21</v>
      </c>
      <c r="H924" t="s">
        <v>255</v>
      </c>
      <c r="I924" t="s">
        <v>23</v>
      </c>
      <c r="J924" t="s">
        <v>35</v>
      </c>
      <c r="K924" s="2" t="s">
        <v>1910</v>
      </c>
      <c r="L924" t="s">
        <v>26</v>
      </c>
      <c r="M924">
        <v>350985</v>
      </c>
      <c r="N924">
        <v>1</v>
      </c>
      <c r="O924" s="3">
        <v>69990</v>
      </c>
      <c r="P924" s="3">
        <v>38644</v>
      </c>
      <c r="Q924" s="5">
        <f t="shared" si="42"/>
        <v>58815.126050420171</v>
      </c>
      <c r="R924" s="5">
        <f t="shared" si="43"/>
        <v>38644</v>
      </c>
      <c r="S924" s="5">
        <f t="shared" si="44"/>
        <v>20171.126050420171</v>
      </c>
    </row>
    <row r="925" spans="1:19" hidden="1" x14ac:dyDescent="0.3">
      <c r="A925">
        <v>100</v>
      </c>
      <c r="B925" t="s">
        <v>16</v>
      </c>
      <c r="C925" t="s">
        <v>986</v>
      </c>
      <c r="D925" s="2" t="s">
        <v>987</v>
      </c>
      <c r="E925" t="s">
        <v>661</v>
      </c>
      <c r="F925" t="s">
        <v>20</v>
      </c>
      <c r="G925" t="s">
        <v>21</v>
      </c>
      <c r="H925" t="s">
        <v>106</v>
      </c>
      <c r="I925" t="s">
        <v>23</v>
      </c>
      <c r="J925" t="s">
        <v>35</v>
      </c>
      <c r="K925" s="2" t="s">
        <v>1910</v>
      </c>
      <c r="L925" t="s">
        <v>26</v>
      </c>
      <c r="M925">
        <v>350986</v>
      </c>
      <c r="N925">
        <v>1</v>
      </c>
      <c r="O925" s="3">
        <v>69990</v>
      </c>
      <c r="P925" s="3">
        <v>30916</v>
      </c>
      <c r="Q925" s="5">
        <f t="shared" si="42"/>
        <v>58815.126050420171</v>
      </c>
      <c r="R925" s="5">
        <f t="shared" si="43"/>
        <v>30916</v>
      </c>
      <c r="S925" s="5">
        <f t="shared" si="44"/>
        <v>27899.126050420171</v>
      </c>
    </row>
    <row r="926" spans="1:19" hidden="1" x14ac:dyDescent="0.3">
      <c r="A926">
        <v>100</v>
      </c>
      <c r="B926" t="s">
        <v>16</v>
      </c>
      <c r="C926" t="s">
        <v>1911</v>
      </c>
      <c r="D926" s="2" t="s">
        <v>1912</v>
      </c>
      <c r="E926" t="s">
        <v>1913</v>
      </c>
      <c r="F926" t="s">
        <v>20</v>
      </c>
      <c r="G926" t="s">
        <v>21</v>
      </c>
      <c r="H926" t="s">
        <v>1914</v>
      </c>
      <c r="I926" t="s">
        <v>23</v>
      </c>
      <c r="J926" t="s">
        <v>35</v>
      </c>
      <c r="K926" s="2" t="s">
        <v>1910</v>
      </c>
      <c r="L926" t="s">
        <v>26</v>
      </c>
      <c r="M926">
        <v>350987</v>
      </c>
      <c r="N926">
        <v>1</v>
      </c>
      <c r="O926" s="3">
        <v>89950</v>
      </c>
      <c r="P926" s="3">
        <v>28298</v>
      </c>
      <c r="Q926" s="5">
        <f t="shared" si="42"/>
        <v>75588.23529411765</v>
      </c>
      <c r="R926" s="5">
        <f t="shared" si="43"/>
        <v>28298</v>
      </c>
      <c r="S926" s="5">
        <f t="shared" si="44"/>
        <v>47290.23529411765</v>
      </c>
    </row>
    <row r="927" spans="1:19" hidden="1" x14ac:dyDescent="0.3">
      <c r="A927">
        <v>100</v>
      </c>
      <c r="B927" t="s">
        <v>16</v>
      </c>
      <c r="C927" t="s">
        <v>1915</v>
      </c>
      <c r="D927" s="2" t="s">
        <v>1916</v>
      </c>
      <c r="E927" t="s">
        <v>1917</v>
      </c>
      <c r="F927" t="s">
        <v>20</v>
      </c>
      <c r="G927" t="s">
        <v>21</v>
      </c>
      <c r="H927" t="s">
        <v>1608</v>
      </c>
      <c r="I927" t="s">
        <v>23</v>
      </c>
      <c r="J927" t="s">
        <v>207</v>
      </c>
      <c r="K927" s="2" t="s">
        <v>1910</v>
      </c>
      <c r="L927" t="s">
        <v>26</v>
      </c>
      <c r="M927">
        <v>350988</v>
      </c>
      <c r="N927">
        <v>1</v>
      </c>
      <c r="O927" s="3">
        <v>49990</v>
      </c>
      <c r="P927" s="3">
        <v>26810</v>
      </c>
      <c r="Q927" s="5">
        <f t="shared" si="42"/>
        <v>42008.403361344543</v>
      </c>
      <c r="R927" s="5">
        <f t="shared" si="43"/>
        <v>26810</v>
      </c>
      <c r="S927" s="5">
        <f t="shared" si="44"/>
        <v>15198.403361344543</v>
      </c>
    </row>
    <row r="928" spans="1:19" hidden="1" x14ac:dyDescent="0.3">
      <c r="A928">
        <v>100</v>
      </c>
      <c r="B928" t="s">
        <v>16</v>
      </c>
      <c r="C928" t="s">
        <v>1918</v>
      </c>
      <c r="D928" s="2" t="s">
        <v>1919</v>
      </c>
      <c r="E928" t="s">
        <v>1920</v>
      </c>
      <c r="F928" t="s">
        <v>20</v>
      </c>
      <c r="G928" t="s">
        <v>21</v>
      </c>
      <c r="H928" t="s">
        <v>327</v>
      </c>
      <c r="I928" t="s">
        <v>23</v>
      </c>
      <c r="J928" t="s">
        <v>207</v>
      </c>
      <c r="K928" s="2" t="s">
        <v>1910</v>
      </c>
      <c r="L928" t="s">
        <v>26</v>
      </c>
      <c r="M928">
        <v>350988</v>
      </c>
      <c r="N928">
        <v>1</v>
      </c>
      <c r="O928" s="3">
        <v>59990</v>
      </c>
      <c r="P928" s="3">
        <v>25441</v>
      </c>
      <c r="Q928" s="5">
        <f t="shared" si="42"/>
        <v>50411.764705882357</v>
      </c>
      <c r="R928" s="5">
        <f t="shared" si="43"/>
        <v>25441</v>
      </c>
      <c r="S928" s="5">
        <f t="shared" si="44"/>
        <v>24970.764705882357</v>
      </c>
    </row>
    <row r="929" spans="1:19" hidden="1" x14ac:dyDescent="0.3">
      <c r="A929">
        <v>100</v>
      </c>
      <c r="B929" t="s">
        <v>16</v>
      </c>
      <c r="C929" t="s">
        <v>177</v>
      </c>
      <c r="D929" s="2" t="s">
        <v>178</v>
      </c>
      <c r="E929" t="s">
        <v>179</v>
      </c>
      <c r="F929" t="s">
        <v>20</v>
      </c>
      <c r="G929" t="s">
        <v>21</v>
      </c>
      <c r="H929" t="s">
        <v>180</v>
      </c>
      <c r="I929" t="s">
        <v>23</v>
      </c>
      <c r="J929" t="s">
        <v>49</v>
      </c>
      <c r="K929" s="2" t="s">
        <v>1910</v>
      </c>
      <c r="L929" t="s">
        <v>26</v>
      </c>
      <c r="M929">
        <v>350989</v>
      </c>
      <c r="N929">
        <v>1</v>
      </c>
      <c r="O929" s="3">
        <v>34990</v>
      </c>
      <c r="P929" s="3">
        <v>23011</v>
      </c>
      <c r="Q929" s="5">
        <f t="shared" si="42"/>
        <v>29403.361344537818</v>
      </c>
      <c r="R929" s="5">
        <f t="shared" si="43"/>
        <v>23011</v>
      </c>
      <c r="S929" s="5">
        <f t="shared" si="44"/>
        <v>6392.3613445378178</v>
      </c>
    </row>
    <row r="930" spans="1:19" hidden="1" x14ac:dyDescent="0.3">
      <c r="A930">
        <v>100</v>
      </c>
      <c r="B930" t="s">
        <v>16</v>
      </c>
      <c r="C930" t="s">
        <v>1921</v>
      </c>
      <c r="D930" s="2" t="s">
        <v>1922</v>
      </c>
      <c r="E930" t="s">
        <v>1694</v>
      </c>
      <c r="F930" t="s">
        <v>20</v>
      </c>
      <c r="G930" t="s">
        <v>21</v>
      </c>
      <c r="H930" t="s">
        <v>30</v>
      </c>
      <c r="I930" t="s">
        <v>23</v>
      </c>
      <c r="J930" t="s">
        <v>49</v>
      </c>
      <c r="K930" s="2" t="s">
        <v>1910</v>
      </c>
      <c r="L930" t="s">
        <v>26</v>
      </c>
      <c r="M930">
        <v>350990</v>
      </c>
      <c r="N930">
        <v>1</v>
      </c>
      <c r="O930" s="3">
        <v>34990</v>
      </c>
      <c r="P930" s="3">
        <v>21972</v>
      </c>
      <c r="Q930" s="5">
        <f t="shared" si="42"/>
        <v>29403.361344537818</v>
      </c>
      <c r="R930" s="5">
        <f t="shared" si="43"/>
        <v>21972</v>
      </c>
      <c r="S930" s="5">
        <f t="shared" si="44"/>
        <v>7431.3613445378178</v>
      </c>
    </row>
    <row r="931" spans="1:19" hidden="1" x14ac:dyDescent="0.3">
      <c r="A931">
        <v>100</v>
      </c>
      <c r="B931" t="s">
        <v>16</v>
      </c>
      <c r="C931" t="s">
        <v>1923</v>
      </c>
      <c r="D931" s="2" t="s">
        <v>1924</v>
      </c>
      <c r="E931" t="s">
        <v>1925</v>
      </c>
      <c r="F931" t="s">
        <v>20</v>
      </c>
      <c r="G931" t="s">
        <v>21</v>
      </c>
      <c r="H931" t="s">
        <v>1084</v>
      </c>
      <c r="I931" t="s">
        <v>23</v>
      </c>
      <c r="J931" t="s">
        <v>35</v>
      </c>
      <c r="K931" s="2" t="s">
        <v>1910</v>
      </c>
      <c r="L931" t="s">
        <v>26</v>
      </c>
      <c r="M931">
        <v>350991</v>
      </c>
      <c r="N931">
        <v>1</v>
      </c>
      <c r="O931" s="3">
        <v>54990</v>
      </c>
      <c r="P931" s="3">
        <v>32628</v>
      </c>
      <c r="Q931" s="5">
        <f t="shared" si="42"/>
        <v>46210.08403361345</v>
      </c>
      <c r="R931" s="5">
        <f t="shared" si="43"/>
        <v>32628</v>
      </c>
      <c r="S931" s="5">
        <f t="shared" si="44"/>
        <v>13582.08403361345</v>
      </c>
    </row>
    <row r="932" spans="1:19" hidden="1" x14ac:dyDescent="0.3">
      <c r="A932">
        <v>100</v>
      </c>
      <c r="B932" t="s">
        <v>16</v>
      </c>
      <c r="C932" t="s">
        <v>1926</v>
      </c>
      <c r="D932" s="2" t="s">
        <v>1927</v>
      </c>
      <c r="E932" t="s">
        <v>1042</v>
      </c>
      <c r="F932" t="s">
        <v>20</v>
      </c>
      <c r="G932" t="s">
        <v>21</v>
      </c>
      <c r="H932" t="s">
        <v>317</v>
      </c>
      <c r="I932" t="s">
        <v>23</v>
      </c>
      <c r="J932" t="s">
        <v>35</v>
      </c>
      <c r="K932" s="2" t="s">
        <v>1910</v>
      </c>
      <c r="L932" t="s">
        <v>26</v>
      </c>
      <c r="M932">
        <v>350992</v>
      </c>
      <c r="N932">
        <v>1</v>
      </c>
      <c r="O932" s="3">
        <v>49990</v>
      </c>
      <c r="P932" s="3">
        <v>23402</v>
      </c>
      <c r="Q932" s="5">
        <f t="shared" si="42"/>
        <v>42008.403361344543</v>
      </c>
      <c r="R932" s="5">
        <f t="shared" si="43"/>
        <v>23402</v>
      </c>
      <c r="S932" s="5">
        <f t="shared" si="44"/>
        <v>18606.403361344543</v>
      </c>
    </row>
    <row r="933" spans="1:19" hidden="1" x14ac:dyDescent="0.3">
      <c r="A933">
        <v>100</v>
      </c>
      <c r="B933" t="s">
        <v>16</v>
      </c>
      <c r="C933" t="s">
        <v>1376</v>
      </c>
      <c r="D933" s="2" t="s">
        <v>1377</v>
      </c>
      <c r="E933" t="s">
        <v>1378</v>
      </c>
      <c r="F933" t="s">
        <v>20</v>
      </c>
      <c r="G933" t="s">
        <v>21</v>
      </c>
      <c r="H933" t="s">
        <v>1379</v>
      </c>
      <c r="I933" t="s">
        <v>23</v>
      </c>
      <c r="J933" t="s">
        <v>35</v>
      </c>
      <c r="K933" s="2" t="s">
        <v>1910</v>
      </c>
      <c r="L933" t="s">
        <v>26</v>
      </c>
      <c r="M933">
        <v>350993</v>
      </c>
      <c r="N933">
        <v>1</v>
      </c>
      <c r="O933" s="3">
        <v>39990</v>
      </c>
      <c r="P933" s="3">
        <v>20132</v>
      </c>
      <c r="Q933" s="5">
        <f t="shared" si="42"/>
        <v>33605.042016806721</v>
      </c>
      <c r="R933" s="5">
        <f t="shared" si="43"/>
        <v>20132</v>
      </c>
      <c r="S933" s="5">
        <f t="shared" si="44"/>
        <v>13473.042016806721</v>
      </c>
    </row>
    <row r="934" spans="1:19" hidden="1" x14ac:dyDescent="0.3">
      <c r="A934">
        <v>100</v>
      </c>
      <c r="B934" t="s">
        <v>16</v>
      </c>
      <c r="C934" t="s">
        <v>1764</v>
      </c>
      <c r="D934" s="2" t="s">
        <v>1765</v>
      </c>
      <c r="E934" t="s">
        <v>1766</v>
      </c>
      <c r="F934" t="s">
        <v>20</v>
      </c>
      <c r="G934" t="s">
        <v>21</v>
      </c>
      <c r="H934" t="s">
        <v>199</v>
      </c>
      <c r="I934" t="s">
        <v>23</v>
      </c>
      <c r="J934" t="s">
        <v>31</v>
      </c>
      <c r="K934" s="2" t="s">
        <v>1910</v>
      </c>
      <c r="L934" t="s">
        <v>26</v>
      </c>
      <c r="M934">
        <v>350994</v>
      </c>
      <c r="N934">
        <v>1</v>
      </c>
      <c r="O934" s="3">
        <v>109950</v>
      </c>
      <c r="P934" s="3">
        <v>39915</v>
      </c>
      <c r="Q934" s="5">
        <f t="shared" si="42"/>
        <v>92394.957983193279</v>
      </c>
      <c r="R934" s="5">
        <f t="shared" si="43"/>
        <v>39915</v>
      </c>
      <c r="S934" s="5">
        <f t="shared" si="44"/>
        <v>52479.957983193279</v>
      </c>
    </row>
    <row r="935" spans="1:19" hidden="1" x14ac:dyDescent="0.3">
      <c r="A935">
        <v>100</v>
      </c>
      <c r="B935" t="s">
        <v>16</v>
      </c>
      <c r="C935" t="s">
        <v>1928</v>
      </c>
      <c r="D935" s="2" t="s">
        <v>1929</v>
      </c>
      <c r="E935" t="s">
        <v>1930</v>
      </c>
      <c r="F935" t="s">
        <v>20</v>
      </c>
      <c r="G935" t="s">
        <v>21</v>
      </c>
      <c r="H935" t="s">
        <v>1096</v>
      </c>
      <c r="I935" t="s">
        <v>23</v>
      </c>
      <c r="J935" t="s">
        <v>35</v>
      </c>
      <c r="K935" s="2" t="s">
        <v>1910</v>
      </c>
      <c r="L935" t="s">
        <v>26</v>
      </c>
      <c r="M935">
        <v>350995</v>
      </c>
      <c r="N935">
        <v>1</v>
      </c>
      <c r="O935" s="3">
        <v>59990</v>
      </c>
      <c r="P935" s="3">
        <v>35721</v>
      </c>
      <c r="Q935" s="5">
        <f t="shared" si="42"/>
        <v>50411.764705882357</v>
      </c>
      <c r="R935" s="5">
        <f t="shared" si="43"/>
        <v>35721</v>
      </c>
      <c r="S935" s="5">
        <f t="shared" si="44"/>
        <v>14690.764705882357</v>
      </c>
    </row>
    <row r="936" spans="1:19" hidden="1" x14ac:dyDescent="0.3">
      <c r="A936">
        <v>100</v>
      </c>
      <c r="B936" t="s">
        <v>16</v>
      </c>
      <c r="C936" t="s">
        <v>1931</v>
      </c>
      <c r="D936" s="2" t="s">
        <v>1932</v>
      </c>
      <c r="E936" t="s">
        <v>1852</v>
      </c>
      <c r="F936" t="s">
        <v>20</v>
      </c>
      <c r="G936" t="s">
        <v>21</v>
      </c>
      <c r="H936" t="s">
        <v>1345</v>
      </c>
      <c r="I936" t="s">
        <v>23</v>
      </c>
      <c r="J936" t="s">
        <v>40</v>
      </c>
      <c r="K936" s="2" t="s">
        <v>1910</v>
      </c>
      <c r="L936" t="s">
        <v>26</v>
      </c>
      <c r="M936">
        <v>350996</v>
      </c>
      <c r="N936">
        <v>1</v>
      </c>
      <c r="O936" s="3">
        <v>29990</v>
      </c>
      <c r="P936" s="3">
        <v>17216</v>
      </c>
      <c r="Q936" s="5">
        <f t="shared" si="42"/>
        <v>25201.680672268907</v>
      </c>
      <c r="R936" s="5">
        <f t="shared" si="43"/>
        <v>17216</v>
      </c>
      <c r="S936" s="5">
        <f t="shared" si="44"/>
        <v>7985.6806722689071</v>
      </c>
    </row>
    <row r="937" spans="1:19" hidden="1" x14ac:dyDescent="0.3">
      <c r="A937">
        <v>100</v>
      </c>
      <c r="B937" t="s">
        <v>16</v>
      </c>
      <c r="C937" t="s">
        <v>1933</v>
      </c>
      <c r="D937" s="2" t="s">
        <v>1934</v>
      </c>
      <c r="E937" t="s">
        <v>1620</v>
      </c>
      <c r="F937" t="s">
        <v>20</v>
      </c>
      <c r="G937" t="s">
        <v>21</v>
      </c>
      <c r="H937" t="s">
        <v>673</v>
      </c>
      <c r="I937" t="s">
        <v>23</v>
      </c>
      <c r="J937" t="s">
        <v>35</v>
      </c>
      <c r="K937" s="2" t="s">
        <v>1910</v>
      </c>
      <c r="L937" t="s">
        <v>26</v>
      </c>
      <c r="M937">
        <v>350997</v>
      </c>
      <c r="N937">
        <v>1</v>
      </c>
      <c r="O937" s="3">
        <v>69990</v>
      </c>
      <c r="P937" s="3">
        <v>37703</v>
      </c>
      <c r="Q937" s="5">
        <f t="shared" si="42"/>
        <v>58815.126050420171</v>
      </c>
      <c r="R937" s="5">
        <f t="shared" si="43"/>
        <v>37703</v>
      </c>
      <c r="S937" s="5">
        <f t="shared" si="44"/>
        <v>21112.126050420171</v>
      </c>
    </row>
    <row r="938" spans="1:19" hidden="1" x14ac:dyDescent="0.3">
      <c r="A938">
        <v>100</v>
      </c>
      <c r="B938" t="s">
        <v>16</v>
      </c>
      <c r="C938">
        <v>1687976791</v>
      </c>
      <c r="D938" s="2" t="s">
        <v>200</v>
      </c>
      <c r="E938" t="s">
        <v>201</v>
      </c>
      <c r="F938" t="s">
        <v>201</v>
      </c>
      <c r="G938" t="s">
        <v>202</v>
      </c>
      <c r="H938" t="s">
        <v>202</v>
      </c>
      <c r="I938" t="s">
        <v>23</v>
      </c>
      <c r="J938" t="s">
        <v>202</v>
      </c>
      <c r="K938" s="2" t="s">
        <v>1910</v>
      </c>
      <c r="L938" t="s">
        <v>26</v>
      </c>
      <c r="M938">
        <v>350998</v>
      </c>
      <c r="N938">
        <v>1</v>
      </c>
      <c r="O938" s="3">
        <v>3400</v>
      </c>
      <c r="P938">
        <v>1</v>
      </c>
      <c r="Q938" s="5">
        <f t="shared" si="42"/>
        <v>2857.1428571428573</v>
      </c>
      <c r="R938" s="5">
        <f t="shared" si="43"/>
        <v>1</v>
      </c>
      <c r="S938" s="5">
        <f t="shared" si="44"/>
        <v>2856.1428571428573</v>
      </c>
    </row>
    <row r="939" spans="1:19" hidden="1" x14ac:dyDescent="0.3">
      <c r="A939">
        <v>100</v>
      </c>
      <c r="B939" t="s">
        <v>16</v>
      </c>
      <c r="C939" t="s">
        <v>1652</v>
      </c>
      <c r="D939" s="2" t="s">
        <v>1653</v>
      </c>
      <c r="E939" t="s">
        <v>288</v>
      </c>
      <c r="F939" t="s">
        <v>20</v>
      </c>
      <c r="G939" t="s">
        <v>21</v>
      </c>
      <c r="H939" t="s">
        <v>160</v>
      </c>
      <c r="I939" t="s">
        <v>23</v>
      </c>
      <c r="J939" t="s">
        <v>35</v>
      </c>
      <c r="K939" s="2" t="s">
        <v>1910</v>
      </c>
      <c r="L939" t="s">
        <v>26</v>
      </c>
      <c r="M939">
        <v>350998</v>
      </c>
      <c r="N939">
        <v>1</v>
      </c>
      <c r="O939" s="3">
        <v>59990</v>
      </c>
      <c r="P939" s="3">
        <v>32638</v>
      </c>
      <c r="Q939" s="5">
        <f t="shared" si="42"/>
        <v>50411.764705882357</v>
      </c>
      <c r="R939" s="5">
        <f t="shared" si="43"/>
        <v>32638</v>
      </c>
      <c r="S939" s="5">
        <f t="shared" si="44"/>
        <v>17773.764705882357</v>
      </c>
    </row>
    <row r="940" spans="1:19" hidden="1" x14ac:dyDescent="0.3">
      <c r="A940">
        <v>100</v>
      </c>
      <c r="B940" t="s">
        <v>16</v>
      </c>
      <c r="C940" t="s">
        <v>1935</v>
      </c>
      <c r="D940" s="2" t="s">
        <v>1936</v>
      </c>
      <c r="E940" t="s">
        <v>239</v>
      </c>
      <c r="F940" t="s">
        <v>20</v>
      </c>
      <c r="G940" t="s">
        <v>21</v>
      </c>
      <c r="H940" t="s">
        <v>131</v>
      </c>
      <c r="I940" t="s">
        <v>23</v>
      </c>
      <c r="J940" t="s">
        <v>35</v>
      </c>
      <c r="K940" s="2" t="s">
        <v>1910</v>
      </c>
      <c r="L940" t="s">
        <v>26</v>
      </c>
      <c r="M940">
        <v>350999</v>
      </c>
      <c r="N940">
        <v>1</v>
      </c>
      <c r="O940" s="3">
        <v>59990</v>
      </c>
      <c r="P940" s="3">
        <v>41721</v>
      </c>
      <c r="Q940" s="5">
        <f t="shared" si="42"/>
        <v>50411.764705882357</v>
      </c>
      <c r="R940" s="5">
        <f t="shared" si="43"/>
        <v>41721</v>
      </c>
      <c r="S940" s="5">
        <f t="shared" si="44"/>
        <v>8690.7647058823568</v>
      </c>
    </row>
    <row r="941" spans="1:19" hidden="1" x14ac:dyDescent="0.3">
      <c r="A941">
        <v>100</v>
      </c>
      <c r="B941" t="s">
        <v>16</v>
      </c>
      <c r="C941">
        <v>1687976791</v>
      </c>
      <c r="D941" s="2" t="s">
        <v>200</v>
      </c>
      <c r="E941" t="s">
        <v>201</v>
      </c>
      <c r="F941" t="s">
        <v>201</v>
      </c>
      <c r="G941" t="s">
        <v>202</v>
      </c>
      <c r="H941" t="s">
        <v>202</v>
      </c>
      <c r="I941" t="s">
        <v>23</v>
      </c>
      <c r="J941" t="s">
        <v>202</v>
      </c>
      <c r="K941" s="2" t="s">
        <v>1910</v>
      </c>
      <c r="L941" t="s">
        <v>26</v>
      </c>
      <c r="M941">
        <v>350999</v>
      </c>
      <c r="N941">
        <v>1</v>
      </c>
      <c r="O941" s="3">
        <v>3400</v>
      </c>
      <c r="P941">
        <v>1</v>
      </c>
      <c r="Q941" s="5">
        <f t="shared" si="42"/>
        <v>2857.1428571428573</v>
      </c>
      <c r="R941" s="5">
        <f t="shared" si="43"/>
        <v>1</v>
      </c>
      <c r="S941" s="5">
        <f t="shared" si="44"/>
        <v>2856.1428571428573</v>
      </c>
    </row>
    <row r="942" spans="1:19" hidden="1" x14ac:dyDescent="0.3">
      <c r="A942">
        <v>100</v>
      </c>
      <c r="B942" t="s">
        <v>16</v>
      </c>
      <c r="C942" t="s">
        <v>1937</v>
      </c>
      <c r="D942" s="2" t="s">
        <v>1938</v>
      </c>
      <c r="E942" t="s">
        <v>1939</v>
      </c>
      <c r="F942" t="s">
        <v>20</v>
      </c>
      <c r="G942" t="s">
        <v>21</v>
      </c>
      <c r="H942" t="s">
        <v>261</v>
      </c>
      <c r="I942" t="s">
        <v>23</v>
      </c>
      <c r="J942" t="s">
        <v>95</v>
      </c>
      <c r="K942" s="2" t="s">
        <v>1910</v>
      </c>
      <c r="L942" t="s">
        <v>26</v>
      </c>
      <c r="M942">
        <v>351000</v>
      </c>
      <c r="N942">
        <v>1</v>
      </c>
      <c r="O942" s="3">
        <v>34990</v>
      </c>
      <c r="P942" s="3">
        <v>20294</v>
      </c>
      <c r="Q942" s="5">
        <f t="shared" si="42"/>
        <v>29403.361344537818</v>
      </c>
      <c r="R942" s="5">
        <f t="shared" si="43"/>
        <v>20294</v>
      </c>
      <c r="S942" s="5">
        <f t="shared" si="44"/>
        <v>9109.3613445378178</v>
      </c>
    </row>
    <row r="943" spans="1:19" hidden="1" x14ac:dyDescent="0.3">
      <c r="A943">
        <v>100</v>
      </c>
      <c r="B943" t="s">
        <v>16</v>
      </c>
      <c r="C943">
        <v>1687976791</v>
      </c>
      <c r="D943" s="2" t="s">
        <v>200</v>
      </c>
      <c r="E943" t="s">
        <v>201</v>
      </c>
      <c r="F943" t="s">
        <v>201</v>
      </c>
      <c r="G943" t="s">
        <v>202</v>
      </c>
      <c r="H943" t="s">
        <v>202</v>
      </c>
      <c r="I943" t="s">
        <v>23</v>
      </c>
      <c r="J943" t="s">
        <v>202</v>
      </c>
      <c r="K943" s="2" t="s">
        <v>1910</v>
      </c>
      <c r="L943" t="s">
        <v>26</v>
      </c>
      <c r="M943">
        <v>351000</v>
      </c>
      <c r="N943">
        <v>1</v>
      </c>
      <c r="O943" s="3">
        <v>3400</v>
      </c>
      <c r="P943">
        <v>1</v>
      </c>
      <c r="Q943" s="5">
        <f t="shared" si="42"/>
        <v>2857.1428571428573</v>
      </c>
      <c r="R943" s="5">
        <f t="shared" si="43"/>
        <v>1</v>
      </c>
      <c r="S943" s="5">
        <f t="shared" si="44"/>
        <v>2856.1428571428573</v>
      </c>
    </row>
    <row r="944" spans="1:19" hidden="1" x14ac:dyDescent="0.3">
      <c r="A944">
        <v>100</v>
      </c>
      <c r="B944" t="s">
        <v>16</v>
      </c>
      <c r="C944" t="s">
        <v>1940</v>
      </c>
      <c r="D944" s="2" t="s">
        <v>1941</v>
      </c>
      <c r="E944" t="s">
        <v>1942</v>
      </c>
      <c r="F944" t="s">
        <v>20</v>
      </c>
      <c r="G944" t="s">
        <v>21</v>
      </c>
      <c r="H944" t="s">
        <v>1943</v>
      </c>
      <c r="I944" t="s">
        <v>23</v>
      </c>
      <c r="J944" t="s">
        <v>49</v>
      </c>
      <c r="K944" s="2" t="s">
        <v>1910</v>
      </c>
      <c r="L944" t="s">
        <v>26</v>
      </c>
      <c r="M944">
        <v>351001</v>
      </c>
      <c r="N944">
        <v>1</v>
      </c>
      <c r="O944" s="3">
        <v>34990</v>
      </c>
      <c r="P944" s="3">
        <v>25766</v>
      </c>
      <c r="Q944" s="5">
        <f t="shared" si="42"/>
        <v>29403.361344537818</v>
      </c>
      <c r="R944" s="5">
        <f t="shared" si="43"/>
        <v>25766</v>
      </c>
      <c r="S944" s="5">
        <f t="shared" si="44"/>
        <v>3637.3613445378178</v>
      </c>
    </row>
    <row r="945" spans="1:19" hidden="1" x14ac:dyDescent="0.3">
      <c r="A945">
        <v>100</v>
      </c>
      <c r="B945" t="s">
        <v>16</v>
      </c>
      <c r="C945" t="s">
        <v>1944</v>
      </c>
      <c r="D945" s="2" t="s">
        <v>1945</v>
      </c>
      <c r="E945" t="s">
        <v>1774</v>
      </c>
      <c r="F945" t="s">
        <v>20</v>
      </c>
      <c r="G945" t="s">
        <v>21</v>
      </c>
      <c r="H945" t="s">
        <v>167</v>
      </c>
      <c r="I945" t="s">
        <v>23</v>
      </c>
      <c r="J945" t="s">
        <v>35</v>
      </c>
      <c r="K945" s="2" t="s">
        <v>1910</v>
      </c>
      <c r="L945" t="s">
        <v>26</v>
      </c>
      <c r="M945">
        <v>351002</v>
      </c>
      <c r="N945">
        <v>1</v>
      </c>
      <c r="O945" s="3">
        <v>49990</v>
      </c>
      <c r="P945" s="3">
        <v>36232</v>
      </c>
      <c r="Q945" s="5">
        <f t="shared" si="42"/>
        <v>42008.403361344543</v>
      </c>
      <c r="R945" s="5">
        <f t="shared" si="43"/>
        <v>36232</v>
      </c>
      <c r="S945" s="5">
        <f t="shared" si="44"/>
        <v>5776.4033613445426</v>
      </c>
    </row>
    <row r="946" spans="1:19" hidden="1" x14ac:dyDescent="0.3">
      <c r="A946">
        <v>100</v>
      </c>
      <c r="B946" t="s">
        <v>16</v>
      </c>
      <c r="C946" t="s">
        <v>1946</v>
      </c>
      <c r="D946" s="2" t="s">
        <v>1947</v>
      </c>
      <c r="E946" t="s">
        <v>1702</v>
      </c>
      <c r="F946" t="s">
        <v>20</v>
      </c>
      <c r="G946" t="s">
        <v>21</v>
      </c>
      <c r="H946" t="s">
        <v>1703</v>
      </c>
      <c r="I946" t="s">
        <v>23</v>
      </c>
      <c r="J946" t="s">
        <v>49</v>
      </c>
      <c r="K946" s="2" t="s">
        <v>1910</v>
      </c>
      <c r="L946" t="s">
        <v>26</v>
      </c>
      <c r="M946">
        <v>351003</v>
      </c>
      <c r="N946">
        <v>1</v>
      </c>
      <c r="O946" s="3">
        <v>59990</v>
      </c>
      <c r="P946" s="3">
        <v>23021</v>
      </c>
      <c r="Q946" s="5">
        <f t="shared" si="42"/>
        <v>50411.764705882357</v>
      </c>
      <c r="R946" s="5">
        <f t="shared" si="43"/>
        <v>23021</v>
      </c>
      <c r="S946" s="5">
        <f t="shared" si="44"/>
        <v>27390.764705882357</v>
      </c>
    </row>
    <row r="947" spans="1:19" hidden="1" x14ac:dyDescent="0.3">
      <c r="A947">
        <v>100</v>
      </c>
      <c r="B947" t="s">
        <v>16</v>
      </c>
      <c r="C947">
        <v>1687976791</v>
      </c>
      <c r="D947" s="2" t="s">
        <v>200</v>
      </c>
      <c r="E947" t="s">
        <v>201</v>
      </c>
      <c r="F947" t="s">
        <v>201</v>
      </c>
      <c r="G947" t="s">
        <v>202</v>
      </c>
      <c r="H947" t="s">
        <v>202</v>
      </c>
      <c r="I947" t="s">
        <v>23</v>
      </c>
      <c r="J947" t="s">
        <v>202</v>
      </c>
      <c r="K947" s="2" t="s">
        <v>1910</v>
      </c>
      <c r="L947" t="s">
        <v>26</v>
      </c>
      <c r="M947">
        <v>351004</v>
      </c>
      <c r="N947">
        <v>1</v>
      </c>
      <c r="O947" s="3">
        <v>9017</v>
      </c>
      <c r="P947">
        <v>1</v>
      </c>
      <c r="Q947" s="5">
        <f t="shared" si="42"/>
        <v>7577.3109243697481</v>
      </c>
      <c r="R947" s="5">
        <f t="shared" si="43"/>
        <v>1</v>
      </c>
      <c r="S947" s="5">
        <f t="shared" si="44"/>
        <v>7576.3109243697481</v>
      </c>
    </row>
    <row r="948" spans="1:19" hidden="1" x14ac:dyDescent="0.3">
      <c r="A948">
        <v>100</v>
      </c>
      <c r="B948" t="s">
        <v>16</v>
      </c>
      <c r="C948" t="s">
        <v>1948</v>
      </c>
      <c r="D948" s="2" t="s">
        <v>1949</v>
      </c>
      <c r="E948" t="s">
        <v>1950</v>
      </c>
      <c r="F948" t="s">
        <v>20</v>
      </c>
      <c r="G948" t="s">
        <v>215</v>
      </c>
      <c r="H948" t="s">
        <v>1951</v>
      </c>
      <c r="I948" t="s">
        <v>23</v>
      </c>
      <c r="J948" t="s">
        <v>49</v>
      </c>
      <c r="K948" s="2" t="s">
        <v>1910</v>
      </c>
      <c r="L948" t="s">
        <v>26</v>
      </c>
      <c r="M948">
        <v>351004</v>
      </c>
      <c r="N948">
        <v>1</v>
      </c>
      <c r="O948" s="3">
        <v>69990</v>
      </c>
      <c r="P948" s="3">
        <v>40293</v>
      </c>
      <c r="Q948" s="5">
        <f t="shared" si="42"/>
        <v>58815.126050420171</v>
      </c>
      <c r="R948" s="5">
        <f t="shared" si="43"/>
        <v>40293</v>
      </c>
      <c r="S948" s="5">
        <f t="shared" si="44"/>
        <v>18522.126050420171</v>
      </c>
    </row>
    <row r="949" spans="1:19" hidden="1" x14ac:dyDescent="0.3">
      <c r="A949">
        <v>100</v>
      </c>
      <c r="B949" t="s">
        <v>16</v>
      </c>
      <c r="C949" t="s">
        <v>626</v>
      </c>
      <c r="D949" s="2" t="s">
        <v>627</v>
      </c>
      <c r="E949" t="s">
        <v>628</v>
      </c>
      <c r="F949" t="s">
        <v>20</v>
      </c>
      <c r="G949" t="s">
        <v>21</v>
      </c>
      <c r="H949" t="s">
        <v>39</v>
      </c>
      <c r="I949" t="s">
        <v>23</v>
      </c>
      <c r="J949" t="s">
        <v>40</v>
      </c>
      <c r="K949" s="2" t="s">
        <v>1910</v>
      </c>
      <c r="L949" t="s">
        <v>26</v>
      </c>
      <c r="M949">
        <v>351005</v>
      </c>
      <c r="N949">
        <v>1</v>
      </c>
      <c r="O949" s="3">
        <v>39990</v>
      </c>
      <c r="P949" s="3">
        <v>25974</v>
      </c>
      <c r="Q949" s="5">
        <f t="shared" si="42"/>
        <v>33605.042016806721</v>
      </c>
      <c r="R949" s="5">
        <f t="shared" si="43"/>
        <v>25974</v>
      </c>
      <c r="S949" s="5">
        <f t="shared" si="44"/>
        <v>7631.0420168067212</v>
      </c>
    </row>
    <row r="950" spans="1:19" hidden="1" x14ac:dyDescent="0.3">
      <c r="A950">
        <v>100</v>
      </c>
      <c r="B950" t="s">
        <v>16</v>
      </c>
      <c r="C950" t="s">
        <v>1952</v>
      </c>
      <c r="D950" s="2" t="s">
        <v>1953</v>
      </c>
      <c r="E950" t="s">
        <v>1954</v>
      </c>
      <c r="F950" t="s">
        <v>20</v>
      </c>
      <c r="G950" t="s">
        <v>21</v>
      </c>
      <c r="H950" t="s">
        <v>1282</v>
      </c>
      <c r="I950" t="s">
        <v>23</v>
      </c>
      <c r="J950" t="s">
        <v>40</v>
      </c>
      <c r="K950" s="2" t="s">
        <v>1910</v>
      </c>
      <c r="L950" t="s">
        <v>26</v>
      </c>
      <c r="M950">
        <v>351006</v>
      </c>
      <c r="N950">
        <v>1</v>
      </c>
      <c r="O950" s="3">
        <v>29990</v>
      </c>
      <c r="P950" s="3">
        <v>10981</v>
      </c>
      <c r="Q950" s="5">
        <f t="shared" si="42"/>
        <v>25201.680672268907</v>
      </c>
      <c r="R950" s="5">
        <f t="shared" si="43"/>
        <v>10981</v>
      </c>
      <c r="S950" s="5">
        <f t="shared" si="44"/>
        <v>14220.680672268907</v>
      </c>
    </row>
    <row r="951" spans="1:19" hidden="1" x14ac:dyDescent="0.3">
      <c r="A951">
        <v>100</v>
      </c>
      <c r="B951" t="s">
        <v>16</v>
      </c>
      <c r="C951" t="s">
        <v>1946</v>
      </c>
      <c r="D951" s="2" t="s">
        <v>1947</v>
      </c>
      <c r="E951" t="s">
        <v>1702</v>
      </c>
      <c r="F951" t="s">
        <v>20</v>
      </c>
      <c r="G951" t="s">
        <v>21</v>
      </c>
      <c r="H951" t="s">
        <v>1703</v>
      </c>
      <c r="I951" t="s">
        <v>23</v>
      </c>
      <c r="J951" t="s">
        <v>49</v>
      </c>
      <c r="K951" s="2" t="s">
        <v>1910</v>
      </c>
      <c r="L951" t="s">
        <v>26</v>
      </c>
      <c r="M951">
        <v>351007</v>
      </c>
      <c r="N951">
        <v>1</v>
      </c>
      <c r="O951" s="3">
        <v>59990</v>
      </c>
      <c r="P951" s="3">
        <v>23021</v>
      </c>
      <c r="Q951" s="5">
        <f t="shared" si="42"/>
        <v>50411.764705882357</v>
      </c>
      <c r="R951" s="5">
        <f t="shared" si="43"/>
        <v>23021</v>
      </c>
      <c r="S951" s="5">
        <f t="shared" si="44"/>
        <v>27390.764705882357</v>
      </c>
    </row>
    <row r="952" spans="1:19" hidden="1" x14ac:dyDescent="0.3">
      <c r="A952">
        <v>100</v>
      </c>
      <c r="B952" t="s">
        <v>16</v>
      </c>
      <c r="C952" t="s">
        <v>96</v>
      </c>
      <c r="D952" s="2" t="s">
        <v>97</v>
      </c>
      <c r="E952" t="s">
        <v>98</v>
      </c>
      <c r="F952" t="s">
        <v>20</v>
      </c>
      <c r="G952" t="s">
        <v>21</v>
      </c>
      <c r="H952" t="s">
        <v>99</v>
      </c>
      <c r="I952" t="s">
        <v>23</v>
      </c>
      <c r="J952" t="s">
        <v>40</v>
      </c>
      <c r="K952" s="2" t="s">
        <v>1910</v>
      </c>
      <c r="L952" t="s">
        <v>26</v>
      </c>
      <c r="M952">
        <v>351008</v>
      </c>
      <c r="N952">
        <v>1</v>
      </c>
      <c r="O952" s="3">
        <v>39990</v>
      </c>
      <c r="P952" s="3">
        <v>25095</v>
      </c>
      <c r="Q952" s="5">
        <f t="shared" si="42"/>
        <v>33605.042016806721</v>
      </c>
      <c r="R952" s="5">
        <f t="shared" si="43"/>
        <v>25095</v>
      </c>
      <c r="S952" s="5">
        <f t="shared" si="44"/>
        <v>8510.0420168067212</v>
      </c>
    </row>
    <row r="953" spans="1:19" hidden="1" x14ac:dyDescent="0.3">
      <c r="A953">
        <v>100</v>
      </c>
      <c r="B953" t="s">
        <v>16</v>
      </c>
      <c r="C953" t="s">
        <v>1955</v>
      </c>
      <c r="D953" s="2" t="s">
        <v>1956</v>
      </c>
      <c r="E953" t="s">
        <v>1957</v>
      </c>
      <c r="F953" t="s">
        <v>20</v>
      </c>
      <c r="G953" t="s">
        <v>21</v>
      </c>
      <c r="H953" t="s">
        <v>331</v>
      </c>
      <c r="I953" t="s">
        <v>23</v>
      </c>
      <c r="J953" t="s">
        <v>49</v>
      </c>
      <c r="K953" s="2" t="s">
        <v>1958</v>
      </c>
      <c r="L953" t="s">
        <v>26</v>
      </c>
      <c r="M953">
        <v>351009</v>
      </c>
      <c r="N953">
        <v>1</v>
      </c>
      <c r="O953" s="3">
        <v>39990</v>
      </c>
      <c r="P953" s="3">
        <v>23031</v>
      </c>
      <c r="Q953" s="5">
        <f t="shared" si="42"/>
        <v>33605.042016806721</v>
      </c>
      <c r="R953" s="5">
        <f t="shared" si="43"/>
        <v>23031</v>
      </c>
      <c r="S953" s="5">
        <f t="shared" si="44"/>
        <v>10574.042016806721</v>
      </c>
    </row>
    <row r="954" spans="1:19" hidden="1" x14ac:dyDescent="0.3">
      <c r="A954">
        <v>100</v>
      </c>
      <c r="B954" t="s">
        <v>16</v>
      </c>
      <c r="C954" t="s">
        <v>1959</v>
      </c>
      <c r="D954" s="2" t="s">
        <v>1960</v>
      </c>
      <c r="E954" t="s">
        <v>1030</v>
      </c>
      <c r="F954" t="s">
        <v>20</v>
      </c>
      <c r="G954" t="s">
        <v>21</v>
      </c>
      <c r="H954" t="s">
        <v>461</v>
      </c>
      <c r="I954" t="s">
        <v>23</v>
      </c>
      <c r="J954" t="s">
        <v>35</v>
      </c>
      <c r="K954" s="2" t="s">
        <v>1958</v>
      </c>
      <c r="L954" t="s">
        <v>26</v>
      </c>
      <c r="M954">
        <v>351010</v>
      </c>
      <c r="N954">
        <v>1</v>
      </c>
      <c r="O954" s="3">
        <v>49990</v>
      </c>
      <c r="P954" s="3">
        <v>28328</v>
      </c>
      <c r="Q954" s="5">
        <f t="shared" si="42"/>
        <v>42008.403361344543</v>
      </c>
      <c r="R954" s="5">
        <f t="shared" si="43"/>
        <v>28328</v>
      </c>
      <c r="S954" s="5">
        <f t="shared" si="44"/>
        <v>13680.403361344543</v>
      </c>
    </row>
    <row r="955" spans="1:19" hidden="1" x14ac:dyDescent="0.3">
      <c r="A955">
        <v>100</v>
      </c>
      <c r="B955" t="s">
        <v>16</v>
      </c>
      <c r="C955" t="s">
        <v>1961</v>
      </c>
      <c r="D955" s="2" t="s">
        <v>1962</v>
      </c>
      <c r="E955" t="s">
        <v>1963</v>
      </c>
      <c r="F955" t="s">
        <v>20</v>
      </c>
      <c r="G955" t="s">
        <v>21</v>
      </c>
      <c r="H955" t="s">
        <v>839</v>
      </c>
      <c r="I955" t="s">
        <v>23</v>
      </c>
      <c r="J955" t="s">
        <v>40</v>
      </c>
      <c r="K955" s="2" t="s">
        <v>1958</v>
      </c>
      <c r="L955" t="s">
        <v>26</v>
      </c>
      <c r="M955">
        <v>351011</v>
      </c>
      <c r="N955">
        <v>1</v>
      </c>
      <c r="O955" s="3">
        <v>39990</v>
      </c>
      <c r="P955" s="3">
        <v>15254</v>
      </c>
      <c r="Q955" s="5">
        <f t="shared" si="42"/>
        <v>33605.042016806721</v>
      </c>
      <c r="R955" s="5">
        <f t="shared" si="43"/>
        <v>15254</v>
      </c>
      <c r="S955" s="5">
        <f t="shared" si="44"/>
        <v>18351.042016806721</v>
      </c>
    </row>
    <row r="956" spans="1:19" hidden="1" x14ac:dyDescent="0.3">
      <c r="A956">
        <v>100</v>
      </c>
      <c r="B956" t="s">
        <v>16</v>
      </c>
      <c r="C956" t="s">
        <v>1964</v>
      </c>
      <c r="D956" s="2" t="s">
        <v>1965</v>
      </c>
      <c r="E956" t="s">
        <v>890</v>
      </c>
      <c r="F956" t="s">
        <v>20</v>
      </c>
      <c r="G956" t="s">
        <v>21</v>
      </c>
      <c r="H956" t="s">
        <v>454</v>
      </c>
      <c r="I956" t="s">
        <v>23</v>
      </c>
      <c r="J956" t="s">
        <v>407</v>
      </c>
      <c r="K956" s="2" t="s">
        <v>1958</v>
      </c>
      <c r="L956" t="s">
        <v>26</v>
      </c>
      <c r="M956">
        <v>351012</v>
      </c>
      <c r="N956">
        <v>1</v>
      </c>
      <c r="O956" s="3">
        <v>41990</v>
      </c>
      <c r="P956" s="3">
        <v>18919</v>
      </c>
      <c r="Q956" s="5">
        <f t="shared" si="42"/>
        <v>35285.71428571429</v>
      </c>
      <c r="R956" s="5">
        <f t="shared" si="43"/>
        <v>18919</v>
      </c>
      <c r="S956" s="5">
        <f t="shared" si="44"/>
        <v>16366.71428571429</v>
      </c>
    </row>
    <row r="957" spans="1:19" hidden="1" x14ac:dyDescent="0.3">
      <c r="A957">
        <v>100</v>
      </c>
      <c r="B957" t="s">
        <v>16</v>
      </c>
      <c r="C957" t="s">
        <v>161</v>
      </c>
      <c r="D957" s="2" t="s">
        <v>162</v>
      </c>
      <c r="E957" t="s">
        <v>163</v>
      </c>
      <c r="F957" t="s">
        <v>20</v>
      </c>
      <c r="G957" t="s">
        <v>21</v>
      </c>
      <c r="H957" t="s">
        <v>156</v>
      </c>
      <c r="I957" t="s">
        <v>23</v>
      </c>
      <c r="J957" t="s">
        <v>35</v>
      </c>
      <c r="K957" s="2" t="s">
        <v>1958</v>
      </c>
      <c r="L957" t="s">
        <v>26</v>
      </c>
      <c r="M957">
        <v>351013</v>
      </c>
      <c r="N957">
        <v>1</v>
      </c>
      <c r="O957" s="3">
        <v>69990</v>
      </c>
      <c r="P957" s="3">
        <v>38314</v>
      </c>
      <c r="Q957" s="5">
        <f t="shared" si="42"/>
        <v>58815.126050420171</v>
      </c>
      <c r="R957" s="5">
        <f t="shared" si="43"/>
        <v>38314</v>
      </c>
      <c r="S957" s="5">
        <f t="shared" si="44"/>
        <v>20501.126050420171</v>
      </c>
    </row>
    <row r="958" spans="1:19" hidden="1" x14ac:dyDescent="0.3">
      <c r="A958">
        <v>100</v>
      </c>
      <c r="B958" t="s">
        <v>16</v>
      </c>
      <c r="C958" t="s">
        <v>1966</v>
      </c>
      <c r="D958" s="2" t="s">
        <v>1967</v>
      </c>
      <c r="E958" t="s">
        <v>1045</v>
      </c>
      <c r="F958" t="s">
        <v>20</v>
      </c>
      <c r="G958" t="s">
        <v>21</v>
      </c>
      <c r="H958" t="s">
        <v>368</v>
      </c>
      <c r="I958" t="s">
        <v>23</v>
      </c>
      <c r="J958" t="s">
        <v>40</v>
      </c>
      <c r="K958" s="2" t="s">
        <v>1958</v>
      </c>
      <c r="L958" t="s">
        <v>26</v>
      </c>
      <c r="M958">
        <v>351014</v>
      </c>
      <c r="N958">
        <v>1</v>
      </c>
      <c r="O958" s="3">
        <v>39990</v>
      </c>
      <c r="P958" s="3">
        <v>22958</v>
      </c>
      <c r="Q958" s="5">
        <f t="shared" si="42"/>
        <v>33605.042016806721</v>
      </c>
      <c r="R958" s="5">
        <f t="shared" si="43"/>
        <v>22958</v>
      </c>
      <c r="S958" s="5">
        <f t="shared" si="44"/>
        <v>10647.042016806721</v>
      </c>
    </row>
    <row r="959" spans="1:19" hidden="1" x14ac:dyDescent="0.3">
      <c r="A959">
        <v>100</v>
      </c>
      <c r="B959" t="s">
        <v>16</v>
      </c>
      <c r="C959" t="s">
        <v>1467</v>
      </c>
      <c r="D959" s="2" t="s">
        <v>1468</v>
      </c>
      <c r="E959" t="s">
        <v>678</v>
      </c>
      <c r="F959" t="s">
        <v>20</v>
      </c>
      <c r="G959" t="s">
        <v>21</v>
      </c>
      <c r="H959" t="s">
        <v>22</v>
      </c>
      <c r="I959" t="s">
        <v>23</v>
      </c>
      <c r="J959" t="s">
        <v>31</v>
      </c>
      <c r="K959" s="2" t="s">
        <v>1958</v>
      </c>
      <c r="L959" t="s">
        <v>26</v>
      </c>
      <c r="M959">
        <v>351015</v>
      </c>
      <c r="N959">
        <v>1</v>
      </c>
      <c r="O959" s="3">
        <v>84990</v>
      </c>
      <c r="P959" s="3">
        <v>49625</v>
      </c>
      <c r="Q959" s="5">
        <f t="shared" si="42"/>
        <v>71420.168067226899</v>
      </c>
      <c r="R959" s="5">
        <f t="shared" si="43"/>
        <v>49625</v>
      </c>
      <c r="S959" s="5">
        <f t="shared" si="44"/>
        <v>21795.168067226899</v>
      </c>
    </row>
    <row r="960" spans="1:19" hidden="1" x14ac:dyDescent="0.3">
      <c r="A960">
        <v>100</v>
      </c>
      <c r="B960" t="s">
        <v>16</v>
      </c>
      <c r="C960" t="s">
        <v>1024</v>
      </c>
      <c r="D960" s="2" t="s">
        <v>1025</v>
      </c>
      <c r="E960" t="s">
        <v>1007</v>
      </c>
      <c r="F960" t="s">
        <v>20</v>
      </c>
      <c r="G960" t="s">
        <v>21</v>
      </c>
      <c r="H960" t="s">
        <v>22</v>
      </c>
      <c r="I960" t="s">
        <v>23</v>
      </c>
      <c r="J960" t="s">
        <v>31</v>
      </c>
      <c r="K960" s="2" t="s">
        <v>1958</v>
      </c>
      <c r="L960" t="s">
        <v>26</v>
      </c>
      <c r="M960">
        <v>351015</v>
      </c>
      <c r="N960">
        <v>1</v>
      </c>
      <c r="O960" s="3">
        <v>84990</v>
      </c>
      <c r="P960" s="3">
        <v>49625</v>
      </c>
      <c r="Q960" s="5">
        <f t="shared" si="42"/>
        <v>71420.168067226899</v>
      </c>
      <c r="R960" s="5">
        <f t="shared" si="43"/>
        <v>49625</v>
      </c>
      <c r="S960" s="5">
        <f t="shared" si="44"/>
        <v>21795.168067226899</v>
      </c>
    </row>
    <row r="961" spans="1:19" hidden="1" x14ac:dyDescent="0.3">
      <c r="A961">
        <v>100</v>
      </c>
      <c r="B961" t="s">
        <v>16</v>
      </c>
      <c r="C961" t="s">
        <v>389</v>
      </c>
      <c r="D961" s="2" t="s">
        <v>390</v>
      </c>
      <c r="E961" t="s">
        <v>391</v>
      </c>
      <c r="F961" t="s">
        <v>20</v>
      </c>
      <c r="G961" t="s">
        <v>21</v>
      </c>
      <c r="H961" t="s">
        <v>285</v>
      </c>
      <c r="I961" t="s">
        <v>23</v>
      </c>
      <c r="J961" t="s">
        <v>35</v>
      </c>
      <c r="K961" s="2" t="s">
        <v>1958</v>
      </c>
      <c r="L961" t="s">
        <v>26</v>
      </c>
      <c r="M961">
        <v>351016</v>
      </c>
      <c r="N961">
        <v>1</v>
      </c>
      <c r="O961" s="3">
        <v>59990</v>
      </c>
      <c r="P961" s="3">
        <v>30881</v>
      </c>
      <c r="Q961" s="5">
        <f t="shared" si="42"/>
        <v>50411.764705882357</v>
      </c>
      <c r="R961" s="5">
        <f t="shared" si="43"/>
        <v>30881</v>
      </c>
      <c r="S961" s="5">
        <f t="shared" si="44"/>
        <v>19530.764705882357</v>
      </c>
    </row>
    <row r="962" spans="1:19" hidden="1" x14ac:dyDescent="0.3">
      <c r="A962">
        <v>100</v>
      </c>
      <c r="B962" t="s">
        <v>16</v>
      </c>
      <c r="C962" t="s">
        <v>1968</v>
      </c>
      <c r="D962" s="2" t="s">
        <v>1969</v>
      </c>
      <c r="E962" t="s">
        <v>631</v>
      </c>
      <c r="F962" t="s">
        <v>20</v>
      </c>
      <c r="G962" t="s">
        <v>21</v>
      </c>
      <c r="H962" t="s">
        <v>632</v>
      </c>
      <c r="I962" t="s">
        <v>23</v>
      </c>
      <c r="J962" t="s">
        <v>40</v>
      </c>
      <c r="K962" s="2" t="s">
        <v>1958</v>
      </c>
      <c r="L962" t="s">
        <v>26</v>
      </c>
      <c r="M962">
        <v>351017</v>
      </c>
      <c r="N962">
        <v>1</v>
      </c>
      <c r="O962" s="3">
        <v>49950</v>
      </c>
      <c r="P962" s="3">
        <v>19155</v>
      </c>
      <c r="Q962" s="5">
        <f t="shared" si="42"/>
        <v>41974.789915966387</v>
      </c>
      <c r="R962" s="5">
        <f t="shared" si="43"/>
        <v>19155</v>
      </c>
      <c r="S962" s="5">
        <f t="shared" si="44"/>
        <v>22819.789915966387</v>
      </c>
    </row>
    <row r="963" spans="1:19" hidden="1" x14ac:dyDescent="0.3">
      <c r="A963">
        <v>100</v>
      </c>
      <c r="B963" t="s">
        <v>16</v>
      </c>
      <c r="C963" t="s">
        <v>1293</v>
      </c>
      <c r="D963" s="2" t="s">
        <v>1294</v>
      </c>
      <c r="E963" t="s">
        <v>1295</v>
      </c>
      <c r="F963" t="s">
        <v>20</v>
      </c>
      <c r="G963" t="s">
        <v>21</v>
      </c>
      <c r="H963" t="s">
        <v>1296</v>
      </c>
      <c r="I963" t="s">
        <v>23</v>
      </c>
      <c r="J963" t="s">
        <v>35</v>
      </c>
      <c r="K963" s="2" t="s">
        <v>1958</v>
      </c>
      <c r="L963" t="s">
        <v>26</v>
      </c>
      <c r="M963">
        <v>351018</v>
      </c>
      <c r="N963">
        <v>1</v>
      </c>
      <c r="O963" s="3">
        <v>62990</v>
      </c>
      <c r="P963" s="3">
        <v>34590</v>
      </c>
      <c r="Q963" s="5">
        <f t="shared" si="42"/>
        <v>52932.773109243702</v>
      </c>
      <c r="R963" s="5">
        <f t="shared" si="43"/>
        <v>34590</v>
      </c>
      <c r="S963" s="5">
        <f t="shared" si="44"/>
        <v>18342.773109243702</v>
      </c>
    </row>
    <row r="964" spans="1:19" hidden="1" x14ac:dyDescent="0.3">
      <c r="A964">
        <v>100</v>
      </c>
      <c r="B964" t="s">
        <v>16</v>
      </c>
      <c r="C964" t="s">
        <v>1970</v>
      </c>
      <c r="D964" s="2" t="s">
        <v>1971</v>
      </c>
      <c r="E964" t="s">
        <v>1972</v>
      </c>
      <c r="F964" t="s">
        <v>20</v>
      </c>
      <c r="G964" t="s">
        <v>21</v>
      </c>
      <c r="H964" t="s">
        <v>1973</v>
      </c>
      <c r="I964" t="s">
        <v>23</v>
      </c>
      <c r="J964" t="s">
        <v>49</v>
      </c>
      <c r="K964" s="2" t="s">
        <v>1958</v>
      </c>
      <c r="L964" t="s">
        <v>26</v>
      </c>
      <c r="M964">
        <v>351019</v>
      </c>
      <c r="N964">
        <v>1</v>
      </c>
      <c r="O964" s="3">
        <v>29990</v>
      </c>
      <c r="P964" s="3">
        <v>16693</v>
      </c>
      <c r="Q964" s="5">
        <f t="shared" si="42"/>
        <v>25201.680672268907</v>
      </c>
      <c r="R964" s="5">
        <f t="shared" si="43"/>
        <v>16693</v>
      </c>
      <c r="S964" s="5">
        <f t="shared" si="44"/>
        <v>8508.6806722689071</v>
      </c>
    </row>
    <row r="965" spans="1:19" hidden="1" x14ac:dyDescent="0.3">
      <c r="A965">
        <v>100</v>
      </c>
      <c r="B965" t="s">
        <v>16</v>
      </c>
      <c r="C965" t="s">
        <v>1970</v>
      </c>
      <c r="D965" s="2" t="s">
        <v>1971</v>
      </c>
      <c r="E965" t="s">
        <v>1972</v>
      </c>
      <c r="F965" t="s">
        <v>20</v>
      </c>
      <c r="G965" t="s">
        <v>21</v>
      </c>
      <c r="H965" t="s">
        <v>1973</v>
      </c>
      <c r="I965" t="s">
        <v>23</v>
      </c>
      <c r="J965" t="s">
        <v>49</v>
      </c>
      <c r="K965" s="2" t="s">
        <v>1958</v>
      </c>
      <c r="L965" t="s">
        <v>26</v>
      </c>
      <c r="M965">
        <v>351020</v>
      </c>
      <c r="N965">
        <v>1</v>
      </c>
      <c r="O965" s="3">
        <v>29990</v>
      </c>
      <c r="P965" s="3">
        <v>16693</v>
      </c>
      <c r="Q965" s="5">
        <f t="shared" si="42"/>
        <v>25201.680672268907</v>
      </c>
      <c r="R965" s="5">
        <f t="shared" si="43"/>
        <v>16693</v>
      </c>
      <c r="S965" s="5">
        <f t="shared" si="44"/>
        <v>8508.6806722689071</v>
      </c>
    </row>
    <row r="966" spans="1:19" hidden="1" x14ac:dyDescent="0.3">
      <c r="A966">
        <v>100</v>
      </c>
      <c r="B966" t="s">
        <v>16</v>
      </c>
      <c r="C966" t="s">
        <v>1974</v>
      </c>
      <c r="D966" s="2" t="s">
        <v>1975</v>
      </c>
      <c r="E966" t="s">
        <v>1976</v>
      </c>
      <c r="F966" t="s">
        <v>20</v>
      </c>
      <c r="G966" t="s">
        <v>21</v>
      </c>
      <c r="H966" t="s">
        <v>357</v>
      </c>
      <c r="I966" t="s">
        <v>23</v>
      </c>
      <c r="J966" t="s">
        <v>49</v>
      </c>
      <c r="K966" s="2" t="s">
        <v>1958</v>
      </c>
      <c r="L966" t="s">
        <v>26</v>
      </c>
      <c r="M966">
        <v>351021</v>
      </c>
      <c r="N966">
        <v>1</v>
      </c>
      <c r="O966" s="3">
        <v>44990</v>
      </c>
      <c r="P966" s="3">
        <v>22885</v>
      </c>
      <c r="Q966" s="5">
        <f t="shared" ref="Q966:Q1029" si="45">O966/1.19</f>
        <v>37806.722689075636</v>
      </c>
      <c r="R966" s="5">
        <f t="shared" ref="R966:R1029" si="46">N966*P966</f>
        <v>22885</v>
      </c>
      <c r="S966" s="5">
        <f t="shared" ref="S966:S1029" si="47">Q966-R966</f>
        <v>14921.722689075636</v>
      </c>
    </row>
    <row r="967" spans="1:19" hidden="1" x14ac:dyDescent="0.3">
      <c r="A967">
        <v>100</v>
      </c>
      <c r="B967" t="s">
        <v>16</v>
      </c>
      <c r="C967" t="s">
        <v>1977</v>
      </c>
      <c r="D967" s="2" t="s">
        <v>1978</v>
      </c>
      <c r="E967" t="s">
        <v>717</v>
      </c>
      <c r="F967" t="s">
        <v>20</v>
      </c>
      <c r="G967" t="s">
        <v>21</v>
      </c>
      <c r="H967" t="s">
        <v>718</v>
      </c>
      <c r="I967" t="s">
        <v>23</v>
      </c>
      <c r="J967" t="s">
        <v>49</v>
      </c>
      <c r="K967" s="2" t="s">
        <v>1958</v>
      </c>
      <c r="L967" t="s">
        <v>26</v>
      </c>
      <c r="M967">
        <v>351022</v>
      </c>
      <c r="N967">
        <v>1</v>
      </c>
      <c r="O967" s="3">
        <v>48990</v>
      </c>
      <c r="P967" s="3">
        <v>26646</v>
      </c>
      <c r="Q967" s="5">
        <f t="shared" si="45"/>
        <v>41168.067226890758</v>
      </c>
      <c r="R967" s="5">
        <f t="shared" si="46"/>
        <v>26646</v>
      </c>
      <c r="S967" s="5">
        <f t="shared" si="47"/>
        <v>14522.067226890758</v>
      </c>
    </row>
    <row r="968" spans="1:19" hidden="1" x14ac:dyDescent="0.3">
      <c r="A968">
        <v>100</v>
      </c>
      <c r="B968" t="s">
        <v>16</v>
      </c>
      <c r="C968" t="s">
        <v>1183</v>
      </c>
      <c r="D968" s="2" t="s">
        <v>1184</v>
      </c>
      <c r="E968" t="s">
        <v>1185</v>
      </c>
      <c r="F968" t="s">
        <v>20</v>
      </c>
      <c r="G968" t="s">
        <v>21</v>
      </c>
      <c r="H968" t="s">
        <v>285</v>
      </c>
      <c r="I968" t="s">
        <v>23</v>
      </c>
      <c r="J968" t="s">
        <v>49</v>
      </c>
      <c r="K968" s="2" t="s">
        <v>1958</v>
      </c>
      <c r="L968" t="s">
        <v>26</v>
      </c>
      <c r="M968">
        <v>351023</v>
      </c>
      <c r="N968">
        <v>1</v>
      </c>
      <c r="O968" s="3">
        <v>51990</v>
      </c>
      <c r="P968" s="3">
        <v>24896</v>
      </c>
      <c r="Q968" s="5">
        <f t="shared" si="45"/>
        <v>43689.075630252104</v>
      </c>
      <c r="R968" s="5">
        <f t="shared" si="46"/>
        <v>24896</v>
      </c>
      <c r="S968" s="5">
        <f t="shared" si="47"/>
        <v>18793.075630252104</v>
      </c>
    </row>
    <row r="969" spans="1:19" hidden="1" x14ac:dyDescent="0.3">
      <c r="A969">
        <v>100</v>
      </c>
      <c r="B969" t="s">
        <v>16</v>
      </c>
      <c r="C969" t="s">
        <v>1979</v>
      </c>
      <c r="D969" s="2" t="s">
        <v>1980</v>
      </c>
      <c r="E969" t="s">
        <v>1981</v>
      </c>
      <c r="F969" t="s">
        <v>20</v>
      </c>
      <c r="G969" t="s">
        <v>21</v>
      </c>
      <c r="H969" t="s">
        <v>48</v>
      </c>
      <c r="I969" t="s">
        <v>23</v>
      </c>
      <c r="J969" t="s">
        <v>49</v>
      </c>
      <c r="K969" s="2" t="s">
        <v>1958</v>
      </c>
      <c r="L969" t="s">
        <v>26</v>
      </c>
      <c r="M969">
        <v>351024</v>
      </c>
      <c r="N969">
        <v>1</v>
      </c>
      <c r="O969" s="3">
        <v>39990</v>
      </c>
      <c r="P969" s="3">
        <v>24353</v>
      </c>
      <c r="Q969" s="5">
        <f t="shared" si="45"/>
        <v>33605.042016806721</v>
      </c>
      <c r="R969" s="5">
        <f t="shared" si="46"/>
        <v>24353</v>
      </c>
      <c r="S969" s="5">
        <f t="shared" si="47"/>
        <v>9252.0420168067212</v>
      </c>
    </row>
    <row r="970" spans="1:19" hidden="1" x14ac:dyDescent="0.3">
      <c r="A970">
        <v>100</v>
      </c>
      <c r="B970" t="s">
        <v>16</v>
      </c>
      <c r="C970" t="s">
        <v>1982</v>
      </c>
      <c r="D970" s="2" t="s">
        <v>1983</v>
      </c>
      <c r="E970" t="s">
        <v>1092</v>
      </c>
      <c r="F970" t="s">
        <v>20</v>
      </c>
      <c r="G970" t="s">
        <v>21</v>
      </c>
      <c r="H970" t="s">
        <v>48</v>
      </c>
      <c r="I970" t="s">
        <v>23</v>
      </c>
      <c r="J970" t="s">
        <v>49</v>
      </c>
      <c r="K970" s="2" t="s">
        <v>1958</v>
      </c>
      <c r="L970" t="s">
        <v>26</v>
      </c>
      <c r="M970">
        <v>351024</v>
      </c>
      <c r="N970">
        <v>1</v>
      </c>
      <c r="O970" s="3">
        <v>39990</v>
      </c>
      <c r="P970" s="3">
        <v>26741</v>
      </c>
      <c r="Q970" s="5">
        <f t="shared" si="45"/>
        <v>33605.042016806721</v>
      </c>
      <c r="R970" s="5">
        <f t="shared" si="46"/>
        <v>26741</v>
      </c>
      <c r="S970" s="5">
        <f t="shared" si="47"/>
        <v>6864.0420168067212</v>
      </c>
    </row>
    <row r="971" spans="1:19" hidden="1" x14ac:dyDescent="0.3">
      <c r="A971">
        <v>100</v>
      </c>
      <c r="B971" t="s">
        <v>16</v>
      </c>
      <c r="C971" t="s">
        <v>1659</v>
      </c>
      <c r="D971" s="2" t="s">
        <v>1660</v>
      </c>
      <c r="E971" t="s">
        <v>1661</v>
      </c>
      <c r="F971" t="s">
        <v>20</v>
      </c>
      <c r="G971" t="s">
        <v>21</v>
      </c>
      <c r="H971" t="s">
        <v>199</v>
      </c>
      <c r="I971" t="s">
        <v>23</v>
      </c>
      <c r="J971" t="s">
        <v>35</v>
      </c>
      <c r="K971" s="2" t="s">
        <v>1958</v>
      </c>
      <c r="L971" t="s">
        <v>26</v>
      </c>
      <c r="M971">
        <v>351025</v>
      </c>
      <c r="N971">
        <v>1</v>
      </c>
      <c r="O971" s="3">
        <v>64990</v>
      </c>
      <c r="P971" s="3">
        <v>34699</v>
      </c>
      <c r="Q971" s="5">
        <f t="shared" si="45"/>
        <v>54613.445378151264</v>
      </c>
      <c r="R971" s="5">
        <f t="shared" si="46"/>
        <v>34699</v>
      </c>
      <c r="S971" s="5">
        <f t="shared" si="47"/>
        <v>19914.445378151264</v>
      </c>
    </row>
    <row r="972" spans="1:19" hidden="1" x14ac:dyDescent="0.3">
      <c r="A972">
        <v>100</v>
      </c>
      <c r="B972" t="s">
        <v>16</v>
      </c>
      <c r="C972" t="s">
        <v>252</v>
      </c>
      <c r="D972" s="2" t="s">
        <v>253</v>
      </c>
      <c r="E972" t="s">
        <v>254</v>
      </c>
      <c r="F972" t="s">
        <v>20</v>
      </c>
      <c r="G972" t="s">
        <v>21</v>
      </c>
      <c r="H972" t="s">
        <v>255</v>
      </c>
      <c r="I972" t="s">
        <v>23</v>
      </c>
      <c r="J972" t="s">
        <v>35</v>
      </c>
      <c r="K972" s="2" t="s">
        <v>1958</v>
      </c>
      <c r="L972" t="s">
        <v>26</v>
      </c>
      <c r="M972">
        <v>351026</v>
      </c>
      <c r="N972">
        <v>1</v>
      </c>
      <c r="O972" s="3">
        <v>69990</v>
      </c>
      <c r="P972" s="3">
        <v>38637</v>
      </c>
      <c r="Q972" s="5">
        <f t="shared" si="45"/>
        <v>58815.126050420171</v>
      </c>
      <c r="R972" s="5">
        <f t="shared" si="46"/>
        <v>38637</v>
      </c>
      <c r="S972" s="5">
        <f t="shared" si="47"/>
        <v>20178.126050420171</v>
      </c>
    </row>
    <row r="973" spans="1:19" hidden="1" x14ac:dyDescent="0.3">
      <c r="A973">
        <v>100</v>
      </c>
      <c r="B973" t="s">
        <v>16</v>
      </c>
      <c r="C973" t="s">
        <v>1602</v>
      </c>
      <c r="D973" s="2" t="s">
        <v>1603</v>
      </c>
      <c r="E973" t="s">
        <v>1604</v>
      </c>
      <c r="F973" t="s">
        <v>20</v>
      </c>
      <c r="G973" t="s">
        <v>21</v>
      </c>
      <c r="H973" t="s">
        <v>171</v>
      </c>
      <c r="I973" t="s">
        <v>23</v>
      </c>
      <c r="J973" t="s">
        <v>40</v>
      </c>
      <c r="K973" s="2" t="s">
        <v>1958</v>
      </c>
      <c r="L973" t="s">
        <v>26</v>
      </c>
      <c r="M973">
        <v>351027</v>
      </c>
      <c r="N973">
        <v>1</v>
      </c>
      <c r="O973" s="3">
        <v>39990</v>
      </c>
      <c r="P973" s="3">
        <v>23673</v>
      </c>
      <c r="Q973" s="5">
        <f t="shared" si="45"/>
        <v>33605.042016806721</v>
      </c>
      <c r="R973" s="5">
        <f t="shared" si="46"/>
        <v>23673</v>
      </c>
      <c r="S973" s="5">
        <f t="shared" si="47"/>
        <v>9932.0420168067212</v>
      </c>
    </row>
    <row r="974" spans="1:19" hidden="1" x14ac:dyDescent="0.3">
      <c r="A974">
        <v>100</v>
      </c>
      <c r="B974" t="s">
        <v>16</v>
      </c>
      <c r="C974" t="s">
        <v>361</v>
      </c>
      <c r="D974" s="2" t="s">
        <v>362</v>
      </c>
      <c r="E974" t="s">
        <v>363</v>
      </c>
      <c r="F974" t="s">
        <v>20</v>
      </c>
      <c r="G974" t="s">
        <v>21</v>
      </c>
      <c r="H974" t="s">
        <v>364</v>
      </c>
      <c r="I974" t="s">
        <v>23</v>
      </c>
      <c r="J974" t="s">
        <v>35</v>
      </c>
      <c r="K974" s="2" t="s">
        <v>1958</v>
      </c>
      <c r="L974" t="s">
        <v>26</v>
      </c>
      <c r="M974">
        <v>351028</v>
      </c>
      <c r="N974">
        <v>1</v>
      </c>
      <c r="O974" s="3">
        <v>54990</v>
      </c>
      <c r="P974" s="3">
        <v>36279</v>
      </c>
      <c r="Q974" s="5">
        <f t="shared" si="45"/>
        <v>46210.08403361345</v>
      </c>
      <c r="R974" s="5">
        <f t="shared" si="46"/>
        <v>36279</v>
      </c>
      <c r="S974" s="5">
        <f t="shared" si="47"/>
        <v>9931.0840336134497</v>
      </c>
    </row>
    <row r="975" spans="1:19" hidden="1" x14ac:dyDescent="0.3">
      <c r="A975">
        <v>100</v>
      </c>
      <c r="B975" t="s">
        <v>16</v>
      </c>
      <c r="C975" t="s">
        <v>787</v>
      </c>
      <c r="D975" s="2" t="s">
        <v>788</v>
      </c>
      <c r="E975" t="s">
        <v>789</v>
      </c>
      <c r="F975" t="s">
        <v>20</v>
      </c>
      <c r="G975" t="s">
        <v>21</v>
      </c>
      <c r="H975" t="s">
        <v>790</v>
      </c>
      <c r="I975" t="s">
        <v>23</v>
      </c>
      <c r="J975" t="s">
        <v>40</v>
      </c>
      <c r="K975" s="2" t="s">
        <v>1958</v>
      </c>
      <c r="L975" t="s">
        <v>26</v>
      </c>
      <c r="M975">
        <v>351029</v>
      </c>
      <c r="N975">
        <v>1</v>
      </c>
      <c r="O975" s="3">
        <v>69990</v>
      </c>
      <c r="P975" s="3">
        <v>30692</v>
      </c>
      <c r="Q975" s="5">
        <f t="shared" si="45"/>
        <v>58815.126050420171</v>
      </c>
      <c r="R975" s="5">
        <f t="shared" si="46"/>
        <v>30692</v>
      </c>
      <c r="S975" s="5">
        <f t="shared" si="47"/>
        <v>28123.126050420171</v>
      </c>
    </row>
    <row r="976" spans="1:19" hidden="1" x14ac:dyDescent="0.3">
      <c r="A976">
        <v>100</v>
      </c>
      <c r="B976" t="s">
        <v>16</v>
      </c>
      <c r="C976" t="s">
        <v>1984</v>
      </c>
      <c r="D976" s="2" t="s">
        <v>1985</v>
      </c>
      <c r="E976" t="s">
        <v>1986</v>
      </c>
      <c r="F976" t="s">
        <v>20</v>
      </c>
      <c r="G976" t="s">
        <v>21</v>
      </c>
      <c r="H976" t="s">
        <v>1987</v>
      </c>
      <c r="I976" t="s">
        <v>23</v>
      </c>
      <c r="J976" t="s">
        <v>49</v>
      </c>
      <c r="K976" s="2" t="s">
        <v>1958</v>
      </c>
      <c r="L976" t="s">
        <v>26</v>
      </c>
      <c r="M976">
        <v>351030</v>
      </c>
      <c r="N976">
        <v>1</v>
      </c>
      <c r="O976" s="3">
        <v>74950</v>
      </c>
      <c r="P976" s="3">
        <v>25013</v>
      </c>
      <c r="Q976" s="5">
        <f t="shared" si="45"/>
        <v>62983.193277310929</v>
      </c>
      <c r="R976" s="5">
        <f t="shared" si="46"/>
        <v>25013</v>
      </c>
      <c r="S976" s="5">
        <f t="shared" si="47"/>
        <v>37970.193277310929</v>
      </c>
    </row>
    <row r="977" spans="1:19" hidden="1" x14ac:dyDescent="0.3">
      <c r="A977">
        <v>100</v>
      </c>
      <c r="B977" t="s">
        <v>16</v>
      </c>
      <c r="C977" t="s">
        <v>1988</v>
      </c>
      <c r="D977" s="2" t="s">
        <v>1989</v>
      </c>
      <c r="E977" t="s">
        <v>309</v>
      </c>
      <c r="F977" t="s">
        <v>20</v>
      </c>
      <c r="G977" t="s">
        <v>21</v>
      </c>
      <c r="H977" t="s">
        <v>310</v>
      </c>
      <c r="I977" t="s">
        <v>23</v>
      </c>
      <c r="J977" t="s">
        <v>49</v>
      </c>
      <c r="K977" s="2" t="s">
        <v>1958</v>
      </c>
      <c r="L977" t="s">
        <v>26</v>
      </c>
      <c r="M977">
        <v>351031</v>
      </c>
      <c r="N977">
        <v>1</v>
      </c>
      <c r="O977" s="3">
        <v>44990</v>
      </c>
      <c r="P977" s="3">
        <v>29155</v>
      </c>
      <c r="Q977" s="5">
        <f t="shared" si="45"/>
        <v>37806.722689075636</v>
      </c>
      <c r="R977" s="5">
        <f t="shared" si="46"/>
        <v>29155</v>
      </c>
      <c r="S977" s="5">
        <f t="shared" si="47"/>
        <v>8651.7226890756356</v>
      </c>
    </row>
    <row r="978" spans="1:19" hidden="1" x14ac:dyDescent="0.3">
      <c r="A978">
        <v>100</v>
      </c>
      <c r="B978" t="s">
        <v>16</v>
      </c>
      <c r="C978" t="s">
        <v>1990</v>
      </c>
      <c r="D978" s="2" t="s">
        <v>1991</v>
      </c>
      <c r="E978" t="s">
        <v>1992</v>
      </c>
      <c r="F978" t="s">
        <v>20</v>
      </c>
      <c r="G978" t="s">
        <v>21</v>
      </c>
      <c r="H978" t="s">
        <v>839</v>
      </c>
      <c r="I978" t="s">
        <v>23</v>
      </c>
      <c r="J978" t="s">
        <v>40</v>
      </c>
      <c r="K978" s="2" t="s">
        <v>1958</v>
      </c>
      <c r="L978" t="s">
        <v>26</v>
      </c>
      <c r="M978">
        <v>351032</v>
      </c>
      <c r="N978">
        <v>1</v>
      </c>
      <c r="O978" s="3">
        <v>39990</v>
      </c>
      <c r="P978" s="3">
        <v>13945</v>
      </c>
      <c r="Q978" s="5">
        <f t="shared" si="45"/>
        <v>33605.042016806721</v>
      </c>
      <c r="R978" s="5">
        <f t="shared" si="46"/>
        <v>13945</v>
      </c>
      <c r="S978" s="5">
        <f t="shared" si="47"/>
        <v>19660.042016806721</v>
      </c>
    </row>
    <row r="979" spans="1:19" hidden="1" x14ac:dyDescent="0.3">
      <c r="A979">
        <v>100</v>
      </c>
      <c r="B979" t="s">
        <v>16</v>
      </c>
      <c r="C979" t="s">
        <v>1014</v>
      </c>
      <c r="D979" s="2" t="s">
        <v>1015</v>
      </c>
      <c r="E979" t="s">
        <v>1016</v>
      </c>
      <c r="F979" t="s">
        <v>20</v>
      </c>
      <c r="G979" t="s">
        <v>21</v>
      </c>
      <c r="H979" t="s">
        <v>966</v>
      </c>
      <c r="I979" t="s">
        <v>23</v>
      </c>
      <c r="J979" t="s">
        <v>40</v>
      </c>
      <c r="K979" s="2" t="s">
        <v>1958</v>
      </c>
      <c r="L979" t="s">
        <v>26</v>
      </c>
      <c r="M979">
        <v>351033</v>
      </c>
      <c r="N979">
        <v>1</v>
      </c>
      <c r="O979" s="3">
        <v>44990</v>
      </c>
      <c r="P979" s="3">
        <v>26880</v>
      </c>
      <c r="Q979" s="5">
        <f t="shared" si="45"/>
        <v>37806.722689075636</v>
      </c>
      <c r="R979" s="5">
        <f t="shared" si="46"/>
        <v>26880</v>
      </c>
      <c r="S979" s="5">
        <f t="shared" si="47"/>
        <v>10926.722689075636</v>
      </c>
    </row>
    <row r="980" spans="1:19" hidden="1" x14ac:dyDescent="0.3">
      <c r="A980">
        <v>100</v>
      </c>
      <c r="B980" t="s">
        <v>16</v>
      </c>
      <c r="C980" t="s">
        <v>1993</v>
      </c>
      <c r="D980" s="2" t="s">
        <v>1994</v>
      </c>
      <c r="E980" t="s">
        <v>1995</v>
      </c>
      <c r="F980" t="s">
        <v>20</v>
      </c>
      <c r="G980" t="s">
        <v>21</v>
      </c>
      <c r="H980" t="s">
        <v>461</v>
      </c>
      <c r="I980" t="s">
        <v>23</v>
      </c>
      <c r="J980" t="s">
        <v>35</v>
      </c>
      <c r="K980" s="2" t="s">
        <v>1958</v>
      </c>
      <c r="L980" t="s">
        <v>26</v>
      </c>
      <c r="M980">
        <v>351033</v>
      </c>
      <c r="N980">
        <v>1</v>
      </c>
      <c r="O980" s="3">
        <v>59990</v>
      </c>
      <c r="P980" s="3">
        <v>29071</v>
      </c>
      <c r="Q980" s="5">
        <f t="shared" si="45"/>
        <v>50411.764705882357</v>
      </c>
      <c r="R980" s="5">
        <f t="shared" si="46"/>
        <v>29071</v>
      </c>
      <c r="S980" s="5">
        <f t="shared" si="47"/>
        <v>21340.764705882357</v>
      </c>
    </row>
    <row r="981" spans="1:19" hidden="1" x14ac:dyDescent="0.3">
      <c r="A981">
        <v>100</v>
      </c>
      <c r="B981" t="s">
        <v>16</v>
      </c>
      <c r="C981" t="s">
        <v>1996</v>
      </c>
      <c r="D981" s="2" t="s">
        <v>1997</v>
      </c>
      <c r="E981" t="s">
        <v>1998</v>
      </c>
      <c r="F981" t="s">
        <v>20</v>
      </c>
      <c r="G981" t="s">
        <v>21</v>
      </c>
      <c r="H981" t="s">
        <v>1999</v>
      </c>
      <c r="I981" t="s">
        <v>23</v>
      </c>
      <c r="J981" t="s">
        <v>49</v>
      </c>
      <c r="K981" s="2" t="s">
        <v>1958</v>
      </c>
      <c r="L981" t="s">
        <v>26</v>
      </c>
      <c r="M981">
        <v>351034</v>
      </c>
      <c r="N981">
        <v>1</v>
      </c>
      <c r="O981" s="3">
        <v>39990</v>
      </c>
      <c r="P981" s="3">
        <v>29139</v>
      </c>
      <c r="Q981" s="5">
        <f t="shared" si="45"/>
        <v>33605.042016806721</v>
      </c>
      <c r="R981" s="5">
        <f t="shared" si="46"/>
        <v>29139</v>
      </c>
      <c r="S981" s="5">
        <f t="shared" si="47"/>
        <v>4466.0420168067212</v>
      </c>
    </row>
    <row r="982" spans="1:19" hidden="1" x14ac:dyDescent="0.3">
      <c r="A982">
        <v>100</v>
      </c>
      <c r="B982" t="s">
        <v>16</v>
      </c>
      <c r="C982" t="s">
        <v>2000</v>
      </c>
      <c r="D982" s="2" t="s">
        <v>2001</v>
      </c>
      <c r="E982" t="s">
        <v>2002</v>
      </c>
      <c r="F982" t="s">
        <v>20</v>
      </c>
      <c r="G982" t="s">
        <v>338</v>
      </c>
      <c r="H982">
        <v>25026</v>
      </c>
      <c r="I982" t="s">
        <v>23</v>
      </c>
      <c r="J982" t="s">
        <v>35</v>
      </c>
      <c r="K982" s="2" t="s">
        <v>1958</v>
      </c>
      <c r="L982" t="s">
        <v>26</v>
      </c>
      <c r="M982">
        <v>351035</v>
      </c>
      <c r="N982">
        <v>1</v>
      </c>
      <c r="O982" s="3">
        <v>89950</v>
      </c>
      <c r="P982" s="3">
        <v>28454</v>
      </c>
      <c r="Q982" s="5">
        <f t="shared" si="45"/>
        <v>75588.23529411765</v>
      </c>
      <c r="R982" s="5">
        <f t="shared" si="46"/>
        <v>28454</v>
      </c>
      <c r="S982" s="5">
        <f t="shared" si="47"/>
        <v>47134.23529411765</v>
      </c>
    </row>
    <row r="983" spans="1:19" hidden="1" x14ac:dyDescent="0.3">
      <c r="A983">
        <v>100</v>
      </c>
      <c r="B983" t="s">
        <v>16</v>
      </c>
      <c r="C983" t="s">
        <v>2003</v>
      </c>
      <c r="D983" s="2" t="s">
        <v>2004</v>
      </c>
      <c r="E983" t="s">
        <v>2005</v>
      </c>
      <c r="F983" t="s">
        <v>20</v>
      </c>
      <c r="G983" t="s">
        <v>21</v>
      </c>
      <c r="H983" t="s">
        <v>310</v>
      </c>
      <c r="I983" t="s">
        <v>23</v>
      </c>
      <c r="J983" t="s">
        <v>49</v>
      </c>
      <c r="K983" s="2" t="s">
        <v>1958</v>
      </c>
      <c r="L983" t="s">
        <v>26</v>
      </c>
      <c r="M983">
        <v>351036</v>
      </c>
      <c r="N983">
        <v>1</v>
      </c>
      <c r="O983" s="3">
        <v>44990</v>
      </c>
      <c r="P983" s="3">
        <v>27664</v>
      </c>
      <c r="Q983" s="5">
        <f t="shared" si="45"/>
        <v>37806.722689075636</v>
      </c>
      <c r="R983" s="5">
        <f t="shared" si="46"/>
        <v>27664</v>
      </c>
      <c r="S983" s="5">
        <f t="shared" si="47"/>
        <v>10142.722689075636</v>
      </c>
    </row>
    <row r="984" spans="1:19" hidden="1" x14ac:dyDescent="0.3">
      <c r="A984">
        <v>100</v>
      </c>
      <c r="B984" t="s">
        <v>16</v>
      </c>
      <c r="C984" t="s">
        <v>2006</v>
      </c>
      <c r="D984" s="2" t="s">
        <v>2007</v>
      </c>
      <c r="E984" t="s">
        <v>916</v>
      </c>
      <c r="F984" t="s">
        <v>20</v>
      </c>
      <c r="G984" t="s">
        <v>21</v>
      </c>
      <c r="H984" t="s">
        <v>917</v>
      </c>
      <c r="I984" t="s">
        <v>23</v>
      </c>
      <c r="J984" t="s">
        <v>35</v>
      </c>
      <c r="K984" s="2" t="s">
        <v>1958</v>
      </c>
      <c r="L984" t="s">
        <v>26</v>
      </c>
      <c r="M984">
        <v>351036</v>
      </c>
      <c r="N984">
        <v>1</v>
      </c>
      <c r="O984" s="3">
        <v>59990</v>
      </c>
      <c r="P984" s="3">
        <v>33837</v>
      </c>
      <c r="Q984" s="5">
        <f t="shared" si="45"/>
        <v>50411.764705882357</v>
      </c>
      <c r="R984" s="5">
        <f t="shared" si="46"/>
        <v>33837</v>
      </c>
      <c r="S984" s="5">
        <f t="shared" si="47"/>
        <v>16574.764705882357</v>
      </c>
    </row>
    <row r="985" spans="1:19" hidden="1" x14ac:dyDescent="0.3">
      <c r="A985">
        <v>100</v>
      </c>
      <c r="B985" t="s">
        <v>16</v>
      </c>
      <c r="C985" t="s">
        <v>2008</v>
      </c>
      <c r="D985" s="2" t="s">
        <v>2009</v>
      </c>
      <c r="E985" t="s">
        <v>1842</v>
      </c>
      <c r="F985" t="s">
        <v>20</v>
      </c>
      <c r="G985" t="s">
        <v>21</v>
      </c>
      <c r="H985" t="s">
        <v>625</v>
      </c>
      <c r="I985" t="s">
        <v>23</v>
      </c>
      <c r="J985" t="s">
        <v>35</v>
      </c>
      <c r="K985" s="2" t="s">
        <v>1958</v>
      </c>
      <c r="L985" t="s">
        <v>26</v>
      </c>
      <c r="M985">
        <v>351037</v>
      </c>
      <c r="N985">
        <v>1</v>
      </c>
      <c r="O985" s="3">
        <v>69950</v>
      </c>
      <c r="P985" s="3">
        <v>27683</v>
      </c>
      <c r="Q985" s="5">
        <f t="shared" si="45"/>
        <v>58781.512605042022</v>
      </c>
      <c r="R985" s="5">
        <f t="shared" si="46"/>
        <v>27683</v>
      </c>
      <c r="S985" s="5">
        <f t="shared" si="47"/>
        <v>31098.512605042022</v>
      </c>
    </row>
    <row r="986" spans="1:19" hidden="1" x14ac:dyDescent="0.3">
      <c r="A986">
        <v>100</v>
      </c>
      <c r="B986" t="s">
        <v>16</v>
      </c>
      <c r="C986" t="s">
        <v>2010</v>
      </c>
      <c r="D986" s="2" t="s">
        <v>2011</v>
      </c>
      <c r="E986" t="s">
        <v>1596</v>
      </c>
      <c r="F986" t="s">
        <v>20</v>
      </c>
      <c r="G986" t="s">
        <v>21</v>
      </c>
      <c r="H986" t="s">
        <v>1409</v>
      </c>
      <c r="I986" t="s">
        <v>23</v>
      </c>
      <c r="J986" t="s">
        <v>31</v>
      </c>
      <c r="K986" s="2" t="s">
        <v>1958</v>
      </c>
      <c r="L986" t="s">
        <v>26</v>
      </c>
      <c r="M986">
        <v>351038</v>
      </c>
      <c r="N986">
        <v>1</v>
      </c>
      <c r="O986" s="3">
        <v>129950</v>
      </c>
      <c r="P986" s="3">
        <v>69954</v>
      </c>
      <c r="Q986" s="5">
        <f t="shared" si="45"/>
        <v>109201.68067226891</v>
      </c>
      <c r="R986" s="5">
        <f t="shared" si="46"/>
        <v>69954</v>
      </c>
      <c r="S986" s="5">
        <f t="shared" si="47"/>
        <v>39247.680672268907</v>
      </c>
    </row>
    <row r="987" spans="1:19" hidden="1" x14ac:dyDescent="0.3">
      <c r="A987">
        <v>100</v>
      </c>
      <c r="B987" t="s">
        <v>16</v>
      </c>
      <c r="C987" t="s">
        <v>2012</v>
      </c>
      <c r="D987" s="2" t="s">
        <v>2013</v>
      </c>
      <c r="E987" t="s">
        <v>2014</v>
      </c>
      <c r="F987" t="s">
        <v>20</v>
      </c>
      <c r="G987" t="s">
        <v>21</v>
      </c>
      <c r="H987" t="s">
        <v>255</v>
      </c>
      <c r="I987" t="s">
        <v>23</v>
      </c>
      <c r="J987" t="s">
        <v>35</v>
      </c>
      <c r="K987" s="2" t="s">
        <v>1958</v>
      </c>
      <c r="L987" t="s">
        <v>26</v>
      </c>
      <c r="M987">
        <v>351039</v>
      </c>
      <c r="N987">
        <v>1</v>
      </c>
      <c r="O987" s="3">
        <v>69990</v>
      </c>
      <c r="P987" s="3">
        <v>35629</v>
      </c>
      <c r="Q987" s="5">
        <f t="shared" si="45"/>
        <v>58815.126050420171</v>
      </c>
      <c r="R987" s="5">
        <f t="shared" si="46"/>
        <v>35629</v>
      </c>
      <c r="S987" s="5">
        <f t="shared" si="47"/>
        <v>23186.126050420171</v>
      </c>
    </row>
    <row r="988" spans="1:19" hidden="1" x14ac:dyDescent="0.3">
      <c r="A988">
        <v>100</v>
      </c>
      <c r="B988" t="s">
        <v>16</v>
      </c>
      <c r="C988" t="s">
        <v>2015</v>
      </c>
      <c r="D988" s="2" t="s">
        <v>2016</v>
      </c>
      <c r="E988" t="s">
        <v>275</v>
      </c>
      <c r="F988" t="s">
        <v>20</v>
      </c>
      <c r="G988" t="s">
        <v>21</v>
      </c>
      <c r="H988" t="s">
        <v>135</v>
      </c>
      <c r="I988" t="s">
        <v>23</v>
      </c>
      <c r="J988" t="s">
        <v>35</v>
      </c>
      <c r="K988" s="2" t="s">
        <v>1958</v>
      </c>
      <c r="L988" t="s">
        <v>26</v>
      </c>
      <c r="M988">
        <v>351040</v>
      </c>
      <c r="N988">
        <v>1</v>
      </c>
      <c r="O988" s="3">
        <v>59990</v>
      </c>
      <c r="P988" s="3">
        <v>38621</v>
      </c>
      <c r="Q988" s="5">
        <f t="shared" si="45"/>
        <v>50411.764705882357</v>
      </c>
      <c r="R988" s="5">
        <f t="shared" si="46"/>
        <v>38621</v>
      </c>
      <c r="S988" s="5">
        <f t="shared" si="47"/>
        <v>11790.764705882357</v>
      </c>
    </row>
    <row r="989" spans="1:19" hidden="1" x14ac:dyDescent="0.3">
      <c r="A989">
        <v>100</v>
      </c>
      <c r="B989" t="s">
        <v>16</v>
      </c>
      <c r="C989" t="s">
        <v>1189</v>
      </c>
      <c r="D989" s="2" t="s">
        <v>1190</v>
      </c>
      <c r="E989" t="s">
        <v>334</v>
      </c>
      <c r="F989" t="s">
        <v>20</v>
      </c>
      <c r="G989" t="s">
        <v>21</v>
      </c>
      <c r="H989" t="s">
        <v>199</v>
      </c>
      <c r="I989" t="s">
        <v>23</v>
      </c>
      <c r="J989" t="s">
        <v>35</v>
      </c>
      <c r="K989" s="2" t="s">
        <v>1958</v>
      </c>
      <c r="L989" t="s">
        <v>26</v>
      </c>
      <c r="M989">
        <v>351041</v>
      </c>
      <c r="N989">
        <v>1</v>
      </c>
      <c r="O989" s="3">
        <v>64990</v>
      </c>
      <c r="P989" s="3">
        <v>34688</v>
      </c>
      <c r="Q989" s="5">
        <f t="shared" si="45"/>
        <v>54613.445378151264</v>
      </c>
      <c r="R989" s="5">
        <f t="shared" si="46"/>
        <v>34688</v>
      </c>
      <c r="S989" s="5">
        <f t="shared" si="47"/>
        <v>19925.445378151264</v>
      </c>
    </row>
    <row r="990" spans="1:19" hidden="1" x14ac:dyDescent="0.3">
      <c r="A990">
        <v>100</v>
      </c>
      <c r="B990" t="s">
        <v>16</v>
      </c>
      <c r="C990" t="s">
        <v>1277</v>
      </c>
      <c r="D990" s="2" t="s">
        <v>1278</v>
      </c>
      <c r="E990" t="s">
        <v>793</v>
      </c>
      <c r="F990" t="s">
        <v>20</v>
      </c>
      <c r="G990" t="s">
        <v>21</v>
      </c>
      <c r="H990" t="s">
        <v>794</v>
      </c>
      <c r="I990" t="s">
        <v>23</v>
      </c>
      <c r="J990" t="s">
        <v>40</v>
      </c>
      <c r="K990" s="2" t="s">
        <v>1958</v>
      </c>
      <c r="L990" t="s">
        <v>26</v>
      </c>
      <c r="M990">
        <v>351042</v>
      </c>
      <c r="N990">
        <v>1</v>
      </c>
      <c r="O990" s="3">
        <v>49990</v>
      </c>
      <c r="P990" s="3">
        <v>21475</v>
      </c>
      <c r="Q990" s="5">
        <f t="shared" si="45"/>
        <v>42008.403361344543</v>
      </c>
      <c r="R990" s="5">
        <f t="shared" si="46"/>
        <v>21475</v>
      </c>
      <c r="S990" s="5">
        <f t="shared" si="47"/>
        <v>20533.403361344543</v>
      </c>
    </row>
    <row r="991" spans="1:19" hidden="1" x14ac:dyDescent="0.3">
      <c r="A991">
        <v>100</v>
      </c>
      <c r="B991" t="s">
        <v>16</v>
      </c>
      <c r="C991" t="s">
        <v>2017</v>
      </c>
      <c r="D991" s="2" t="s">
        <v>2018</v>
      </c>
      <c r="E991" t="s">
        <v>1531</v>
      </c>
      <c r="F991" t="s">
        <v>20</v>
      </c>
      <c r="G991" t="s">
        <v>21</v>
      </c>
      <c r="H991" t="s">
        <v>99</v>
      </c>
      <c r="I991" t="s">
        <v>23</v>
      </c>
      <c r="J991" t="s">
        <v>40</v>
      </c>
      <c r="K991" s="2" t="s">
        <v>1958</v>
      </c>
      <c r="L991" t="s">
        <v>26</v>
      </c>
      <c r="M991">
        <v>351043</v>
      </c>
      <c r="N991">
        <v>1</v>
      </c>
      <c r="O991" s="3">
        <v>39990</v>
      </c>
      <c r="P991" s="3">
        <v>31288</v>
      </c>
      <c r="Q991" s="5">
        <f t="shared" si="45"/>
        <v>33605.042016806721</v>
      </c>
      <c r="R991" s="5">
        <f t="shared" si="46"/>
        <v>31288</v>
      </c>
      <c r="S991" s="5">
        <f t="shared" si="47"/>
        <v>2317.0420168067212</v>
      </c>
    </row>
    <row r="992" spans="1:19" hidden="1" x14ac:dyDescent="0.3">
      <c r="A992">
        <v>100</v>
      </c>
      <c r="B992" t="s">
        <v>16</v>
      </c>
      <c r="C992" t="s">
        <v>1342</v>
      </c>
      <c r="D992" s="2" t="s">
        <v>1343</v>
      </c>
      <c r="E992" t="s">
        <v>1344</v>
      </c>
      <c r="F992" t="s">
        <v>20</v>
      </c>
      <c r="G992" t="s">
        <v>21</v>
      </c>
      <c r="H992" t="s">
        <v>1345</v>
      </c>
      <c r="I992" t="s">
        <v>23</v>
      </c>
      <c r="J992" t="s">
        <v>40</v>
      </c>
      <c r="K992" s="2" t="s">
        <v>1958</v>
      </c>
      <c r="L992" t="s">
        <v>26</v>
      </c>
      <c r="M992">
        <v>351044</v>
      </c>
      <c r="N992">
        <v>1</v>
      </c>
      <c r="O992" s="3">
        <v>29990</v>
      </c>
      <c r="P992" s="3">
        <v>17216</v>
      </c>
      <c r="Q992" s="5">
        <f t="shared" si="45"/>
        <v>25201.680672268907</v>
      </c>
      <c r="R992" s="5">
        <f t="shared" si="46"/>
        <v>17216</v>
      </c>
      <c r="S992" s="5">
        <f t="shared" si="47"/>
        <v>7985.6806722689071</v>
      </c>
    </row>
    <row r="993" spans="1:19" hidden="1" x14ac:dyDescent="0.3">
      <c r="A993">
        <v>100</v>
      </c>
      <c r="B993" t="s">
        <v>16</v>
      </c>
      <c r="C993" t="s">
        <v>1652</v>
      </c>
      <c r="D993" s="2" t="s">
        <v>1653</v>
      </c>
      <c r="E993" t="s">
        <v>288</v>
      </c>
      <c r="F993" t="s">
        <v>20</v>
      </c>
      <c r="G993" t="s">
        <v>21</v>
      </c>
      <c r="H993" t="s">
        <v>160</v>
      </c>
      <c r="I993" t="s">
        <v>23</v>
      </c>
      <c r="J993" t="s">
        <v>35</v>
      </c>
      <c r="K993" s="2" t="s">
        <v>1958</v>
      </c>
      <c r="L993" t="s">
        <v>26</v>
      </c>
      <c r="M993">
        <v>351045</v>
      </c>
      <c r="N993">
        <v>1</v>
      </c>
      <c r="O993" s="3">
        <v>59990</v>
      </c>
      <c r="P993" s="3">
        <v>32638</v>
      </c>
      <c r="Q993" s="5">
        <f t="shared" si="45"/>
        <v>50411.764705882357</v>
      </c>
      <c r="R993" s="5">
        <f t="shared" si="46"/>
        <v>32638</v>
      </c>
      <c r="S993" s="5">
        <f t="shared" si="47"/>
        <v>17773.764705882357</v>
      </c>
    </row>
    <row r="994" spans="1:19" hidden="1" x14ac:dyDescent="0.3">
      <c r="A994">
        <v>100</v>
      </c>
      <c r="B994" t="s">
        <v>16</v>
      </c>
      <c r="C994" t="s">
        <v>2019</v>
      </c>
      <c r="D994" s="2" t="s">
        <v>2020</v>
      </c>
      <c r="E994" t="s">
        <v>391</v>
      </c>
      <c r="F994" t="s">
        <v>20</v>
      </c>
      <c r="G994" t="s">
        <v>21</v>
      </c>
      <c r="H994" t="s">
        <v>285</v>
      </c>
      <c r="I994" t="s">
        <v>23</v>
      </c>
      <c r="J994" t="s">
        <v>35</v>
      </c>
      <c r="K994" s="2" t="s">
        <v>1958</v>
      </c>
      <c r="L994" t="s">
        <v>26</v>
      </c>
      <c r="M994">
        <v>351046</v>
      </c>
      <c r="N994">
        <v>1</v>
      </c>
      <c r="O994" s="3">
        <v>59990</v>
      </c>
      <c r="P994" s="3">
        <v>30803</v>
      </c>
      <c r="Q994" s="5">
        <f t="shared" si="45"/>
        <v>50411.764705882357</v>
      </c>
      <c r="R994" s="5">
        <f t="shared" si="46"/>
        <v>30803</v>
      </c>
      <c r="S994" s="5">
        <f t="shared" si="47"/>
        <v>19608.764705882357</v>
      </c>
    </row>
    <row r="995" spans="1:19" hidden="1" x14ac:dyDescent="0.3">
      <c r="A995">
        <v>100</v>
      </c>
      <c r="B995" t="s">
        <v>16</v>
      </c>
      <c r="C995" t="s">
        <v>2021</v>
      </c>
      <c r="D995" s="2" t="s">
        <v>2022</v>
      </c>
      <c r="E995" t="s">
        <v>356</v>
      </c>
      <c r="F995" t="s">
        <v>20</v>
      </c>
      <c r="G995" t="s">
        <v>21</v>
      </c>
      <c r="H995" t="s">
        <v>357</v>
      </c>
      <c r="I995" t="s">
        <v>23</v>
      </c>
      <c r="J995" t="s">
        <v>49</v>
      </c>
      <c r="K995" s="2" t="s">
        <v>1958</v>
      </c>
      <c r="L995" t="s">
        <v>26</v>
      </c>
      <c r="M995">
        <v>351047</v>
      </c>
      <c r="N995">
        <v>1</v>
      </c>
      <c r="O995" s="3">
        <v>44990</v>
      </c>
      <c r="P995" s="3">
        <v>27671</v>
      </c>
      <c r="Q995" s="5">
        <f t="shared" si="45"/>
        <v>37806.722689075636</v>
      </c>
      <c r="R995" s="5">
        <f t="shared" si="46"/>
        <v>27671</v>
      </c>
      <c r="S995" s="5">
        <f t="shared" si="47"/>
        <v>10135.722689075636</v>
      </c>
    </row>
    <row r="996" spans="1:19" hidden="1" x14ac:dyDescent="0.3">
      <c r="A996">
        <v>100</v>
      </c>
      <c r="B996" t="s">
        <v>16</v>
      </c>
      <c r="C996" t="s">
        <v>2023</v>
      </c>
      <c r="D996" s="2" t="s">
        <v>2024</v>
      </c>
      <c r="E996" t="s">
        <v>560</v>
      </c>
      <c r="F996" t="s">
        <v>20</v>
      </c>
      <c r="G996" t="s">
        <v>21</v>
      </c>
      <c r="H996" t="s">
        <v>561</v>
      </c>
      <c r="I996" t="s">
        <v>23</v>
      </c>
      <c r="J996" t="s">
        <v>40</v>
      </c>
      <c r="K996" s="2" t="s">
        <v>1958</v>
      </c>
      <c r="L996" t="s">
        <v>26</v>
      </c>
      <c r="M996">
        <v>351048</v>
      </c>
      <c r="N996">
        <v>1</v>
      </c>
      <c r="O996" s="3">
        <v>34990</v>
      </c>
      <c r="P996" s="3">
        <v>30039</v>
      </c>
      <c r="Q996" s="5">
        <f t="shared" si="45"/>
        <v>29403.361344537818</v>
      </c>
      <c r="R996" s="5">
        <f t="shared" si="46"/>
        <v>30039</v>
      </c>
      <c r="S996" s="5">
        <f t="shared" si="47"/>
        <v>-635.63865546218221</v>
      </c>
    </row>
    <row r="997" spans="1:19" hidden="1" x14ac:dyDescent="0.3">
      <c r="A997">
        <v>100</v>
      </c>
      <c r="B997" t="s">
        <v>16</v>
      </c>
      <c r="C997" t="s">
        <v>2025</v>
      </c>
      <c r="D997" s="2" t="s">
        <v>2026</v>
      </c>
      <c r="E997" t="s">
        <v>1626</v>
      </c>
      <c r="F997" t="s">
        <v>20</v>
      </c>
      <c r="G997" t="s">
        <v>21</v>
      </c>
      <c r="H997" t="s">
        <v>323</v>
      </c>
      <c r="I997" t="s">
        <v>23</v>
      </c>
      <c r="J997" t="s">
        <v>35</v>
      </c>
      <c r="K997" s="2" t="s">
        <v>1958</v>
      </c>
      <c r="L997" t="s">
        <v>26</v>
      </c>
      <c r="M997">
        <v>351049</v>
      </c>
      <c r="N997">
        <v>1</v>
      </c>
      <c r="O997" s="3">
        <v>52990</v>
      </c>
      <c r="P997" s="3">
        <v>37213</v>
      </c>
      <c r="Q997" s="5">
        <f t="shared" si="45"/>
        <v>44529.411764705881</v>
      </c>
      <c r="R997" s="5">
        <f t="shared" si="46"/>
        <v>37213</v>
      </c>
      <c r="S997" s="5">
        <f t="shared" si="47"/>
        <v>7316.4117647058811</v>
      </c>
    </row>
    <row r="998" spans="1:19" hidden="1" x14ac:dyDescent="0.3">
      <c r="A998">
        <v>100</v>
      </c>
      <c r="B998" t="s">
        <v>16</v>
      </c>
      <c r="C998" t="s">
        <v>1133</v>
      </c>
      <c r="D998" s="2" t="s">
        <v>1134</v>
      </c>
      <c r="E998" t="s">
        <v>477</v>
      </c>
      <c r="F998" t="s">
        <v>20</v>
      </c>
      <c r="G998" t="s">
        <v>21</v>
      </c>
      <c r="H998" t="s">
        <v>48</v>
      </c>
      <c r="I998" t="s">
        <v>23</v>
      </c>
      <c r="J998" t="s">
        <v>35</v>
      </c>
      <c r="K998" s="2" t="s">
        <v>1958</v>
      </c>
      <c r="L998" t="s">
        <v>26</v>
      </c>
      <c r="M998">
        <v>351050</v>
      </c>
      <c r="N998">
        <v>1</v>
      </c>
      <c r="O998" s="3">
        <v>49990</v>
      </c>
      <c r="P998" s="3">
        <v>28968</v>
      </c>
      <c r="Q998" s="5">
        <f t="shared" si="45"/>
        <v>42008.403361344543</v>
      </c>
      <c r="R998" s="5">
        <f t="shared" si="46"/>
        <v>28968</v>
      </c>
      <c r="S998" s="5">
        <f t="shared" si="47"/>
        <v>13040.403361344543</v>
      </c>
    </row>
    <row r="999" spans="1:19" hidden="1" x14ac:dyDescent="0.3">
      <c r="A999">
        <v>100</v>
      </c>
      <c r="B999" t="s">
        <v>16</v>
      </c>
      <c r="C999" t="s">
        <v>2027</v>
      </c>
      <c r="D999" s="2" t="s">
        <v>2028</v>
      </c>
      <c r="E999" t="s">
        <v>1925</v>
      </c>
      <c r="F999" t="s">
        <v>20</v>
      </c>
      <c r="G999" t="s">
        <v>21</v>
      </c>
      <c r="H999" t="s">
        <v>1084</v>
      </c>
      <c r="I999" t="s">
        <v>23</v>
      </c>
      <c r="J999" t="s">
        <v>35</v>
      </c>
      <c r="K999" s="2" t="s">
        <v>1958</v>
      </c>
      <c r="L999" t="s">
        <v>26</v>
      </c>
      <c r="M999">
        <v>351051</v>
      </c>
      <c r="N999">
        <v>1</v>
      </c>
      <c r="O999" s="3">
        <v>54990</v>
      </c>
      <c r="P999" s="3">
        <v>32620</v>
      </c>
      <c r="Q999" s="5">
        <f t="shared" si="45"/>
        <v>46210.08403361345</v>
      </c>
      <c r="R999" s="5">
        <f t="shared" si="46"/>
        <v>32620</v>
      </c>
      <c r="S999" s="5">
        <f t="shared" si="47"/>
        <v>13590.08403361345</v>
      </c>
    </row>
    <row r="1000" spans="1:19" hidden="1" x14ac:dyDescent="0.3">
      <c r="A1000">
        <v>100</v>
      </c>
      <c r="B1000" t="s">
        <v>16</v>
      </c>
      <c r="C1000" t="s">
        <v>846</v>
      </c>
      <c r="D1000" s="2" t="s">
        <v>847</v>
      </c>
      <c r="E1000" t="s">
        <v>848</v>
      </c>
      <c r="F1000" t="s">
        <v>20</v>
      </c>
      <c r="G1000" t="s">
        <v>21</v>
      </c>
      <c r="H1000" t="s">
        <v>342</v>
      </c>
      <c r="I1000" t="s">
        <v>23</v>
      </c>
      <c r="J1000" t="s">
        <v>35</v>
      </c>
      <c r="K1000" s="2" t="s">
        <v>1958</v>
      </c>
      <c r="L1000" t="s">
        <v>26</v>
      </c>
      <c r="M1000">
        <v>351052</v>
      </c>
      <c r="N1000">
        <v>1</v>
      </c>
      <c r="O1000" s="3">
        <v>49990</v>
      </c>
      <c r="P1000" s="3">
        <v>28952</v>
      </c>
      <c r="Q1000" s="5">
        <f t="shared" si="45"/>
        <v>42008.403361344543</v>
      </c>
      <c r="R1000" s="5">
        <f t="shared" si="46"/>
        <v>28952</v>
      </c>
      <c r="S1000" s="5">
        <f t="shared" si="47"/>
        <v>13056.403361344543</v>
      </c>
    </row>
    <row r="1001" spans="1:19" hidden="1" x14ac:dyDescent="0.3">
      <c r="A1001">
        <v>100</v>
      </c>
      <c r="B1001" t="s">
        <v>16</v>
      </c>
      <c r="C1001" t="s">
        <v>2029</v>
      </c>
      <c r="D1001" s="2" t="s">
        <v>2030</v>
      </c>
      <c r="E1001" t="s">
        <v>1963</v>
      </c>
      <c r="F1001" t="s">
        <v>20</v>
      </c>
      <c r="G1001" t="s">
        <v>21</v>
      </c>
      <c r="H1001" t="s">
        <v>839</v>
      </c>
      <c r="I1001" t="s">
        <v>23</v>
      </c>
      <c r="J1001" t="s">
        <v>40</v>
      </c>
      <c r="K1001" s="2" t="s">
        <v>1958</v>
      </c>
      <c r="L1001" t="s">
        <v>26</v>
      </c>
      <c r="M1001">
        <v>351052</v>
      </c>
      <c r="N1001">
        <v>1</v>
      </c>
      <c r="O1001" s="3">
        <v>39990</v>
      </c>
      <c r="P1001" s="3">
        <v>15254</v>
      </c>
      <c r="Q1001" s="5">
        <f t="shared" si="45"/>
        <v>33605.042016806721</v>
      </c>
      <c r="R1001" s="5">
        <f t="shared" si="46"/>
        <v>15254</v>
      </c>
      <c r="S1001" s="5">
        <f t="shared" si="47"/>
        <v>18351.042016806721</v>
      </c>
    </row>
    <row r="1002" spans="1:19" hidden="1" x14ac:dyDescent="0.3">
      <c r="A1002">
        <v>100</v>
      </c>
      <c r="B1002" t="s">
        <v>16</v>
      </c>
      <c r="C1002" t="s">
        <v>1380</v>
      </c>
      <c r="D1002" s="2" t="s">
        <v>1381</v>
      </c>
      <c r="E1002" t="s">
        <v>1382</v>
      </c>
      <c r="F1002" t="s">
        <v>20</v>
      </c>
      <c r="G1002" t="s">
        <v>21</v>
      </c>
      <c r="H1002" t="s">
        <v>561</v>
      </c>
      <c r="I1002" t="s">
        <v>23</v>
      </c>
      <c r="J1002" t="s">
        <v>35</v>
      </c>
      <c r="K1002" s="2" t="s">
        <v>1958</v>
      </c>
      <c r="L1002" t="s">
        <v>26</v>
      </c>
      <c r="M1002">
        <v>351053</v>
      </c>
      <c r="N1002">
        <v>1</v>
      </c>
      <c r="O1002" s="3">
        <v>54990</v>
      </c>
      <c r="P1002" s="3">
        <v>27979</v>
      </c>
      <c r="Q1002" s="5">
        <f t="shared" si="45"/>
        <v>46210.08403361345</v>
      </c>
      <c r="R1002" s="5">
        <f t="shared" si="46"/>
        <v>27979</v>
      </c>
      <c r="S1002" s="5">
        <f t="shared" si="47"/>
        <v>18231.08403361345</v>
      </c>
    </row>
    <row r="1003" spans="1:19" hidden="1" x14ac:dyDescent="0.3">
      <c r="A1003">
        <v>100</v>
      </c>
      <c r="B1003" t="s">
        <v>16</v>
      </c>
      <c r="C1003" t="s">
        <v>2031</v>
      </c>
      <c r="D1003" s="2" t="s">
        <v>2032</v>
      </c>
      <c r="E1003" t="s">
        <v>2033</v>
      </c>
      <c r="F1003" t="s">
        <v>20</v>
      </c>
      <c r="G1003" t="s">
        <v>21</v>
      </c>
      <c r="H1003" t="s">
        <v>970</v>
      </c>
      <c r="I1003" t="s">
        <v>23</v>
      </c>
      <c r="J1003" t="s">
        <v>40</v>
      </c>
      <c r="K1003" s="2" t="s">
        <v>1958</v>
      </c>
      <c r="L1003" t="s">
        <v>26</v>
      </c>
      <c r="M1003">
        <v>351054</v>
      </c>
      <c r="N1003">
        <v>1</v>
      </c>
      <c r="O1003" s="3">
        <v>34990</v>
      </c>
      <c r="P1003" s="3">
        <v>18607</v>
      </c>
      <c r="Q1003" s="5">
        <f t="shared" si="45"/>
        <v>29403.361344537818</v>
      </c>
      <c r="R1003" s="5">
        <f t="shared" si="46"/>
        <v>18607</v>
      </c>
      <c r="S1003" s="5">
        <f t="shared" si="47"/>
        <v>10796.361344537818</v>
      </c>
    </row>
    <row r="1004" spans="1:19" hidden="1" x14ac:dyDescent="0.3">
      <c r="A1004">
        <v>100</v>
      </c>
      <c r="B1004" t="s">
        <v>16</v>
      </c>
      <c r="C1004" t="s">
        <v>1809</v>
      </c>
      <c r="D1004" s="2" t="s">
        <v>1810</v>
      </c>
      <c r="E1004" t="s">
        <v>159</v>
      </c>
      <c r="F1004" t="s">
        <v>20</v>
      </c>
      <c r="G1004" t="s">
        <v>21</v>
      </c>
      <c r="H1004" t="s">
        <v>160</v>
      </c>
      <c r="I1004" t="s">
        <v>23</v>
      </c>
      <c r="J1004" t="s">
        <v>35</v>
      </c>
      <c r="K1004" s="2" t="s">
        <v>1958</v>
      </c>
      <c r="L1004" t="s">
        <v>26</v>
      </c>
      <c r="M1004">
        <v>351055</v>
      </c>
      <c r="N1004">
        <v>1</v>
      </c>
      <c r="O1004" s="3">
        <v>59990</v>
      </c>
      <c r="P1004" s="3">
        <v>32252</v>
      </c>
      <c r="Q1004" s="5">
        <f t="shared" si="45"/>
        <v>50411.764705882357</v>
      </c>
      <c r="R1004" s="5">
        <f t="shared" si="46"/>
        <v>32252</v>
      </c>
      <c r="S1004" s="5">
        <f t="shared" si="47"/>
        <v>18159.764705882357</v>
      </c>
    </row>
    <row r="1005" spans="1:19" hidden="1" x14ac:dyDescent="0.3">
      <c r="A1005">
        <v>100</v>
      </c>
      <c r="B1005" t="s">
        <v>16</v>
      </c>
      <c r="C1005" t="s">
        <v>2034</v>
      </c>
      <c r="D1005" s="2" t="s">
        <v>2035</v>
      </c>
      <c r="E1005" t="s">
        <v>2036</v>
      </c>
      <c r="F1005" t="s">
        <v>20</v>
      </c>
      <c r="G1005" t="s">
        <v>21</v>
      </c>
      <c r="H1005" t="s">
        <v>90</v>
      </c>
      <c r="I1005" t="s">
        <v>23</v>
      </c>
      <c r="J1005" t="s">
        <v>35</v>
      </c>
      <c r="K1005" s="2" t="s">
        <v>1958</v>
      </c>
      <c r="L1005" t="s">
        <v>26</v>
      </c>
      <c r="M1005">
        <v>351056</v>
      </c>
      <c r="N1005">
        <v>1</v>
      </c>
      <c r="O1005" s="3">
        <v>59990</v>
      </c>
      <c r="P1005" s="3">
        <v>33870</v>
      </c>
      <c r="Q1005" s="5">
        <f t="shared" si="45"/>
        <v>50411.764705882357</v>
      </c>
      <c r="R1005" s="5">
        <f t="shared" si="46"/>
        <v>33870</v>
      </c>
      <c r="S1005" s="5">
        <f t="shared" si="47"/>
        <v>16541.764705882357</v>
      </c>
    </row>
    <row r="1006" spans="1:19" hidden="1" x14ac:dyDescent="0.3">
      <c r="A1006">
        <v>100</v>
      </c>
      <c r="B1006" t="s">
        <v>16</v>
      </c>
      <c r="C1006" t="s">
        <v>2037</v>
      </c>
      <c r="D1006" s="2" t="s">
        <v>2038</v>
      </c>
      <c r="E1006" t="s">
        <v>2039</v>
      </c>
      <c r="F1006" t="s">
        <v>20</v>
      </c>
      <c r="G1006" t="s">
        <v>21</v>
      </c>
      <c r="H1006" t="s">
        <v>206</v>
      </c>
      <c r="I1006" t="s">
        <v>23</v>
      </c>
      <c r="J1006" t="s">
        <v>207</v>
      </c>
      <c r="K1006" s="2" t="s">
        <v>1958</v>
      </c>
      <c r="L1006" t="s">
        <v>26</v>
      </c>
      <c r="M1006">
        <v>351057</v>
      </c>
      <c r="N1006">
        <v>1</v>
      </c>
      <c r="O1006" s="3">
        <v>34990</v>
      </c>
      <c r="P1006" s="3">
        <v>20253</v>
      </c>
      <c r="Q1006" s="5">
        <f t="shared" si="45"/>
        <v>29403.361344537818</v>
      </c>
      <c r="R1006" s="5">
        <f t="shared" si="46"/>
        <v>20253</v>
      </c>
      <c r="S1006" s="5">
        <f t="shared" si="47"/>
        <v>9150.3613445378178</v>
      </c>
    </row>
    <row r="1007" spans="1:19" hidden="1" x14ac:dyDescent="0.3">
      <c r="A1007">
        <v>100</v>
      </c>
      <c r="B1007" t="s">
        <v>16</v>
      </c>
      <c r="C1007" t="s">
        <v>2040</v>
      </c>
      <c r="D1007" s="2" t="s">
        <v>2041</v>
      </c>
      <c r="E1007" t="s">
        <v>2042</v>
      </c>
      <c r="F1007" t="s">
        <v>20</v>
      </c>
      <c r="G1007" t="s">
        <v>21</v>
      </c>
      <c r="H1007" t="s">
        <v>565</v>
      </c>
      <c r="I1007" t="s">
        <v>23</v>
      </c>
      <c r="J1007" t="s">
        <v>49</v>
      </c>
      <c r="K1007" s="2" t="s">
        <v>1958</v>
      </c>
      <c r="L1007" t="s">
        <v>26</v>
      </c>
      <c r="M1007">
        <v>351058</v>
      </c>
      <c r="N1007">
        <v>1</v>
      </c>
      <c r="O1007" s="3">
        <v>69950</v>
      </c>
      <c r="P1007" s="3">
        <v>24581</v>
      </c>
      <c r="Q1007" s="5">
        <f t="shared" si="45"/>
        <v>58781.512605042022</v>
      </c>
      <c r="R1007" s="5">
        <f t="shared" si="46"/>
        <v>24581</v>
      </c>
      <c r="S1007" s="5">
        <f t="shared" si="47"/>
        <v>34200.512605042022</v>
      </c>
    </row>
    <row r="1008" spans="1:19" hidden="1" x14ac:dyDescent="0.3">
      <c r="A1008">
        <v>100</v>
      </c>
      <c r="B1008" t="s">
        <v>16</v>
      </c>
      <c r="C1008" t="s">
        <v>644</v>
      </c>
      <c r="D1008" s="2" t="s">
        <v>645</v>
      </c>
      <c r="E1008" t="s">
        <v>646</v>
      </c>
      <c r="F1008" t="s">
        <v>20</v>
      </c>
      <c r="G1008" t="s">
        <v>21</v>
      </c>
      <c r="H1008" t="s">
        <v>579</v>
      </c>
      <c r="I1008" t="s">
        <v>23</v>
      </c>
      <c r="J1008" t="s">
        <v>49</v>
      </c>
      <c r="K1008" s="2" t="s">
        <v>1958</v>
      </c>
      <c r="L1008" t="s">
        <v>26</v>
      </c>
      <c r="M1008">
        <v>351058</v>
      </c>
      <c r="N1008">
        <v>1</v>
      </c>
      <c r="O1008" s="3">
        <v>44990</v>
      </c>
      <c r="P1008" s="3">
        <v>27862</v>
      </c>
      <c r="Q1008" s="5">
        <f t="shared" si="45"/>
        <v>37806.722689075636</v>
      </c>
      <c r="R1008" s="5">
        <f t="shared" si="46"/>
        <v>27862</v>
      </c>
      <c r="S1008" s="5">
        <f t="shared" si="47"/>
        <v>9944.7226890756356</v>
      </c>
    </row>
    <row r="1009" spans="1:19" hidden="1" x14ac:dyDescent="0.3">
      <c r="A1009">
        <v>100</v>
      </c>
      <c r="B1009" t="s">
        <v>16</v>
      </c>
      <c r="C1009" t="s">
        <v>2043</v>
      </c>
      <c r="D1009" s="2" t="s">
        <v>2044</v>
      </c>
      <c r="E1009" t="s">
        <v>1585</v>
      </c>
      <c r="F1009" t="s">
        <v>20</v>
      </c>
      <c r="G1009" t="s">
        <v>21</v>
      </c>
      <c r="H1009" t="s">
        <v>870</v>
      </c>
      <c r="I1009" t="s">
        <v>23</v>
      </c>
      <c r="J1009" t="s">
        <v>49</v>
      </c>
      <c r="K1009" s="2" t="s">
        <v>1958</v>
      </c>
      <c r="L1009" t="s">
        <v>26</v>
      </c>
      <c r="M1009">
        <v>351058</v>
      </c>
      <c r="N1009">
        <v>1</v>
      </c>
      <c r="O1009" s="3">
        <v>39990</v>
      </c>
      <c r="P1009" s="3">
        <v>23542</v>
      </c>
      <c r="Q1009" s="5">
        <f t="shared" si="45"/>
        <v>33605.042016806721</v>
      </c>
      <c r="R1009" s="5">
        <f t="shared" si="46"/>
        <v>23542</v>
      </c>
      <c r="S1009" s="5">
        <f t="shared" si="47"/>
        <v>10063.042016806721</v>
      </c>
    </row>
    <row r="1010" spans="1:19" hidden="1" x14ac:dyDescent="0.3">
      <c r="A1010">
        <v>100</v>
      </c>
      <c r="B1010" t="s">
        <v>16</v>
      </c>
      <c r="C1010" t="s">
        <v>1894</v>
      </c>
      <c r="D1010" s="2" t="s">
        <v>1895</v>
      </c>
      <c r="E1010" t="s">
        <v>254</v>
      </c>
      <c r="F1010" t="s">
        <v>20</v>
      </c>
      <c r="G1010" t="s">
        <v>21</v>
      </c>
      <c r="H1010" t="s">
        <v>255</v>
      </c>
      <c r="I1010" t="s">
        <v>23</v>
      </c>
      <c r="J1010" t="s">
        <v>35</v>
      </c>
      <c r="K1010" s="2" t="s">
        <v>1958</v>
      </c>
      <c r="L1010" t="s">
        <v>26</v>
      </c>
      <c r="M1010">
        <v>351059</v>
      </c>
      <c r="N1010">
        <v>1</v>
      </c>
      <c r="O1010" s="3">
        <v>69990</v>
      </c>
      <c r="P1010" s="3">
        <v>38667</v>
      </c>
      <c r="Q1010" s="5">
        <f t="shared" si="45"/>
        <v>58815.126050420171</v>
      </c>
      <c r="R1010" s="5">
        <f t="shared" si="46"/>
        <v>38667</v>
      </c>
      <c r="S1010" s="5">
        <f t="shared" si="47"/>
        <v>20148.126050420171</v>
      </c>
    </row>
    <row r="1011" spans="1:19" hidden="1" x14ac:dyDescent="0.3">
      <c r="A1011">
        <v>100</v>
      </c>
      <c r="B1011" t="s">
        <v>16</v>
      </c>
      <c r="C1011" t="s">
        <v>2045</v>
      </c>
      <c r="D1011" s="2" t="s">
        <v>2046</v>
      </c>
      <c r="E1011" t="s">
        <v>2047</v>
      </c>
      <c r="F1011" t="s">
        <v>20</v>
      </c>
      <c r="G1011" t="s">
        <v>21</v>
      </c>
      <c r="H1011" t="s">
        <v>2048</v>
      </c>
      <c r="I1011" t="s">
        <v>23</v>
      </c>
      <c r="J1011" t="s">
        <v>207</v>
      </c>
      <c r="K1011" s="2" t="s">
        <v>1958</v>
      </c>
      <c r="L1011" t="s">
        <v>26</v>
      </c>
      <c r="M1011">
        <v>351060</v>
      </c>
      <c r="N1011">
        <v>1</v>
      </c>
      <c r="O1011" s="3">
        <v>39990</v>
      </c>
      <c r="P1011" s="3">
        <v>24385</v>
      </c>
      <c r="Q1011" s="5">
        <f t="shared" si="45"/>
        <v>33605.042016806721</v>
      </c>
      <c r="R1011" s="5">
        <f t="shared" si="46"/>
        <v>24385</v>
      </c>
      <c r="S1011" s="5">
        <f t="shared" si="47"/>
        <v>9220.0420168067212</v>
      </c>
    </row>
    <row r="1012" spans="1:19" hidden="1" x14ac:dyDescent="0.3">
      <c r="A1012">
        <v>100</v>
      </c>
      <c r="B1012" t="s">
        <v>16</v>
      </c>
      <c r="C1012">
        <v>1687976791</v>
      </c>
      <c r="D1012" s="2" t="s">
        <v>200</v>
      </c>
      <c r="E1012" t="s">
        <v>201</v>
      </c>
      <c r="F1012" t="s">
        <v>201</v>
      </c>
      <c r="G1012" t="s">
        <v>202</v>
      </c>
      <c r="H1012" t="s">
        <v>202</v>
      </c>
      <c r="I1012" t="s">
        <v>23</v>
      </c>
      <c r="J1012" t="s">
        <v>202</v>
      </c>
      <c r="K1012" s="2" t="s">
        <v>1958</v>
      </c>
      <c r="L1012" t="s">
        <v>26</v>
      </c>
      <c r="M1012">
        <v>351060</v>
      </c>
      <c r="N1012">
        <v>1</v>
      </c>
      <c r="O1012" s="3">
        <v>3400</v>
      </c>
      <c r="P1012">
        <v>1</v>
      </c>
      <c r="Q1012" s="5">
        <f t="shared" si="45"/>
        <v>2857.1428571428573</v>
      </c>
      <c r="R1012" s="5">
        <f t="shared" si="46"/>
        <v>1</v>
      </c>
      <c r="S1012" s="5">
        <f t="shared" si="47"/>
        <v>2856.1428571428573</v>
      </c>
    </row>
    <row r="1013" spans="1:19" hidden="1" x14ac:dyDescent="0.3">
      <c r="A1013">
        <v>100</v>
      </c>
      <c r="B1013" t="s">
        <v>16</v>
      </c>
      <c r="C1013" t="s">
        <v>2049</v>
      </c>
      <c r="D1013" s="2" t="s">
        <v>2050</v>
      </c>
      <c r="E1013" t="s">
        <v>1913</v>
      </c>
      <c r="F1013" t="s">
        <v>20</v>
      </c>
      <c r="G1013" t="s">
        <v>21</v>
      </c>
      <c r="H1013" t="s">
        <v>1914</v>
      </c>
      <c r="I1013" t="s">
        <v>23</v>
      </c>
      <c r="J1013" t="s">
        <v>35</v>
      </c>
      <c r="K1013" s="2" t="s">
        <v>1958</v>
      </c>
      <c r="L1013" t="s">
        <v>26</v>
      </c>
      <c r="M1013">
        <v>351061</v>
      </c>
      <c r="N1013">
        <v>1</v>
      </c>
      <c r="O1013" s="3">
        <v>89950</v>
      </c>
      <c r="P1013" s="3">
        <v>28298</v>
      </c>
      <c r="Q1013" s="5">
        <f t="shared" si="45"/>
        <v>75588.23529411765</v>
      </c>
      <c r="R1013" s="5">
        <f t="shared" si="46"/>
        <v>28298</v>
      </c>
      <c r="S1013" s="5">
        <f t="shared" si="47"/>
        <v>47290.23529411765</v>
      </c>
    </row>
    <row r="1014" spans="1:19" hidden="1" x14ac:dyDescent="0.3">
      <c r="A1014">
        <v>100</v>
      </c>
      <c r="B1014" t="s">
        <v>16</v>
      </c>
      <c r="C1014" t="s">
        <v>1586</v>
      </c>
      <c r="D1014" s="2" t="s">
        <v>1587</v>
      </c>
      <c r="E1014" t="s">
        <v>1588</v>
      </c>
      <c r="F1014" t="s">
        <v>20</v>
      </c>
      <c r="G1014" t="s">
        <v>21</v>
      </c>
      <c r="H1014" t="s">
        <v>461</v>
      </c>
      <c r="I1014" t="s">
        <v>23</v>
      </c>
      <c r="J1014" t="s">
        <v>35</v>
      </c>
      <c r="K1014" s="2" t="s">
        <v>1958</v>
      </c>
      <c r="L1014" t="s">
        <v>26</v>
      </c>
      <c r="M1014">
        <v>351062</v>
      </c>
      <c r="N1014">
        <v>1</v>
      </c>
      <c r="O1014" s="3">
        <v>49990</v>
      </c>
      <c r="P1014" s="3">
        <v>29033</v>
      </c>
      <c r="Q1014" s="5">
        <f t="shared" si="45"/>
        <v>42008.403361344543</v>
      </c>
      <c r="R1014" s="5">
        <f t="shared" si="46"/>
        <v>29033</v>
      </c>
      <c r="S1014" s="5">
        <f t="shared" si="47"/>
        <v>12975.403361344543</v>
      </c>
    </row>
    <row r="1015" spans="1:19" hidden="1" x14ac:dyDescent="0.3">
      <c r="A1015">
        <v>100</v>
      </c>
      <c r="B1015" t="s">
        <v>16</v>
      </c>
      <c r="C1015" t="s">
        <v>2051</v>
      </c>
      <c r="D1015" s="2" t="s">
        <v>2052</v>
      </c>
      <c r="E1015" t="s">
        <v>1463</v>
      </c>
      <c r="F1015" t="s">
        <v>20</v>
      </c>
      <c r="G1015" t="s">
        <v>21</v>
      </c>
      <c r="H1015" t="s">
        <v>461</v>
      </c>
      <c r="I1015" t="s">
        <v>23</v>
      </c>
      <c r="J1015" t="s">
        <v>35</v>
      </c>
      <c r="K1015" s="2" t="s">
        <v>1958</v>
      </c>
      <c r="L1015" t="s">
        <v>26</v>
      </c>
      <c r="M1015">
        <v>351062</v>
      </c>
      <c r="N1015">
        <v>1</v>
      </c>
      <c r="O1015" s="3">
        <v>59990</v>
      </c>
      <c r="P1015" s="3">
        <v>29032</v>
      </c>
      <c r="Q1015" s="5">
        <f t="shared" si="45"/>
        <v>50411.764705882357</v>
      </c>
      <c r="R1015" s="5">
        <f t="shared" si="46"/>
        <v>29032</v>
      </c>
      <c r="S1015" s="5">
        <f t="shared" si="47"/>
        <v>21379.764705882357</v>
      </c>
    </row>
    <row r="1016" spans="1:19" hidden="1" x14ac:dyDescent="0.3">
      <c r="A1016">
        <v>100</v>
      </c>
      <c r="B1016" t="s">
        <v>16</v>
      </c>
      <c r="C1016" t="s">
        <v>2053</v>
      </c>
      <c r="D1016" s="2" t="s">
        <v>2054</v>
      </c>
      <c r="E1016" t="s">
        <v>2055</v>
      </c>
      <c r="F1016" t="s">
        <v>20</v>
      </c>
      <c r="G1016" t="s">
        <v>21</v>
      </c>
      <c r="H1016" t="s">
        <v>1608</v>
      </c>
      <c r="I1016" t="s">
        <v>23</v>
      </c>
      <c r="J1016" t="s">
        <v>207</v>
      </c>
      <c r="K1016" s="2" t="s">
        <v>1958</v>
      </c>
      <c r="L1016" t="s">
        <v>26</v>
      </c>
      <c r="M1016">
        <v>351063</v>
      </c>
      <c r="N1016">
        <v>1</v>
      </c>
      <c r="O1016" s="3">
        <v>29990</v>
      </c>
      <c r="P1016" s="3">
        <v>18850</v>
      </c>
      <c r="Q1016" s="5">
        <f t="shared" si="45"/>
        <v>25201.680672268907</v>
      </c>
      <c r="R1016" s="5">
        <f t="shared" si="46"/>
        <v>18850</v>
      </c>
      <c r="S1016" s="5">
        <f t="shared" si="47"/>
        <v>6351.6806722689071</v>
      </c>
    </row>
    <row r="1017" spans="1:19" hidden="1" x14ac:dyDescent="0.3">
      <c r="A1017">
        <v>100</v>
      </c>
      <c r="B1017" t="s">
        <v>16</v>
      </c>
      <c r="C1017">
        <v>1687976791</v>
      </c>
      <c r="D1017" s="2" t="s">
        <v>200</v>
      </c>
      <c r="E1017" t="s">
        <v>201</v>
      </c>
      <c r="F1017" t="s">
        <v>201</v>
      </c>
      <c r="G1017" t="s">
        <v>202</v>
      </c>
      <c r="H1017" t="s">
        <v>202</v>
      </c>
      <c r="I1017" t="s">
        <v>23</v>
      </c>
      <c r="J1017" t="s">
        <v>202</v>
      </c>
      <c r="K1017" s="2" t="s">
        <v>1958</v>
      </c>
      <c r="L1017" t="s">
        <v>26</v>
      </c>
      <c r="M1017">
        <v>351063</v>
      </c>
      <c r="N1017">
        <v>1</v>
      </c>
      <c r="O1017" s="3">
        <v>3400</v>
      </c>
      <c r="P1017">
        <v>1</v>
      </c>
      <c r="Q1017" s="5">
        <f t="shared" si="45"/>
        <v>2857.1428571428573</v>
      </c>
      <c r="R1017" s="5">
        <f t="shared" si="46"/>
        <v>1</v>
      </c>
      <c r="S1017" s="5">
        <f t="shared" si="47"/>
        <v>2856.1428571428573</v>
      </c>
    </row>
    <row r="1018" spans="1:19" hidden="1" x14ac:dyDescent="0.3">
      <c r="A1018">
        <v>100</v>
      </c>
      <c r="B1018" t="s">
        <v>16</v>
      </c>
      <c r="C1018" t="s">
        <v>2056</v>
      </c>
      <c r="D1018" s="2" t="s">
        <v>2057</v>
      </c>
      <c r="E1018" t="s">
        <v>689</v>
      </c>
      <c r="F1018" t="s">
        <v>20</v>
      </c>
      <c r="G1018" t="s">
        <v>21</v>
      </c>
      <c r="H1018" t="s">
        <v>22</v>
      </c>
      <c r="I1018" t="s">
        <v>23</v>
      </c>
      <c r="J1018" t="s">
        <v>24</v>
      </c>
      <c r="K1018" s="2" t="s">
        <v>1958</v>
      </c>
      <c r="L1018" t="s">
        <v>26</v>
      </c>
      <c r="M1018">
        <v>351064</v>
      </c>
      <c r="N1018">
        <v>1</v>
      </c>
      <c r="O1018" s="3">
        <v>49990</v>
      </c>
      <c r="P1018" s="3">
        <v>29080</v>
      </c>
      <c r="Q1018" s="5">
        <f t="shared" si="45"/>
        <v>42008.403361344543</v>
      </c>
      <c r="R1018" s="5">
        <f t="shared" si="46"/>
        <v>29080</v>
      </c>
      <c r="S1018" s="5">
        <f t="shared" si="47"/>
        <v>12928.403361344543</v>
      </c>
    </row>
    <row r="1019" spans="1:19" hidden="1" x14ac:dyDescent="0.3">
      <c r="A1019">
        <v>100</v>
      </c>
      <c r="B1019" t="s">
        <v>16</v>
      </c>
      <c r="C1019">
        <v>1687976791</v>
      </c>
      <c r="D1019" s="2" t="s">
        <v>200</v>
      </c>
      <c r="E1019" t="s">
        <v>201</v>
      </c>
      <c r="F1019" t="s">
        <v>201</v>
      </c>
      <c r="G1019" t="s">
        <v>202</v>
      </c>
      <c r="H1019" t="s">
        <v>202</v>
      </c>
      <c r="I1019" t="s">
        <v>23</v>
      </c>
      <c r="J1019" t="s">
        <v>202</v>
      </c>
      <c r="K1019" s="2" t="s">
        <v>1958</v>
      </c>
      <c r="L1019" t="s">
        <v>26</v>
      </c>
      <c r="M1019">
        <v>351064</v>
      </c>
      <c r="N1019">
        <v>1</v>
      </c>
      <c r="O1019" s="3">
        <v>3400</v>
      </c>
      <c r="P1019">
        <v>1</v>
      </c>
      <c r="Q1019" s="5">
        <f t="shared" si="45"/>
        <v>2857.1428571428573</v>
      </c>
      <c r="R1019" s="5">
        <f t="shared" si="46"/>
        <v>1</v>
      </c>
      <c r="S1019" s="5">
        <f t="shared" si="47"/>
        <v>2856.1428571428573</v>
      </c>
    </row>
    <row r="1020" spans="1:19" hidden="1" x14ac:dyDescent="0.3">
      <c r="A1020">
        <v>100</v>
      </c>
      <c r="B1020" t="s">
        <v>16</v>
      </c>
      <c r="C1020" t="s">
        <v>374</v>
      </c>
      <c r="D1020" s="2" t="s">
        <v>375</v>
      </c>
      <c r="E1020" t="s">
        <v>376</v>
      </c>
      <c r="F1020" t="s">
        <v>377</v>
      </c>
      <c r="G1020" t="s">
        <v>21</v>
      </c>
      <c r="H1020" t="s">
        <v>378</v>
      </c>
      <c r="I1020" t="s">
        <v>23</v>
      </c>
      <c r="J1020" t="s">
        <v>379</v>
      </c>
      <c r="K1020" s="2" t="s">
        <v>1958</v>
      </c>
      <c r="L1020" t="s">
        <v>26</v>
      </c>
      <c r="M1020">
        <v>351065</v>
      </c>
      <c r="N1020">
        <v>1</v>
      </c>
      <c r="O1020" s="3">
        <v>3950</v>
      </c>
      <c r="P1020" s="3">
        <v>1041</v>
      </c>
      <c r="Q1020" s="5">
        <f t="shared" si="45"/>
        <v>3319.3277310924373</v>
      </c>
      <c r="R1020" s="5">
        <f t="shared" si="46"/>
        <v>1041</v>
      </c>
      <c r="S1020" s="5">
        <f t="shared" si="47"/>
        <v>2278.3277310924373</v>
      </c>
    </row>
    <row r="1021" spans="1:19" hidden="1" x14ac:dyDescent="0.3">
      <c r="A1021">
        <v>100</v>
      </c>
      <c r="B1021" t="s">
        <v>16</v>
      </c>
      <c r="C1021" t="s">
        <v>380</v>
      </c>
      <c r="D1021" s="2" t="s">
        <v>381</v>
      </c>
      <c r="E1021" t="s">
        <v>382</v>
      </c>
      <c r="F1021" t="s">
        <v>377</v>
      </c>
      <c r="G1021" t="s">
        <v>21</v>
      </c>
      <c r="H1021" t="s">
        <v>378</v>
      </c>
      <c r="I1021" t="s">
        <v>23</v>
      </c>
      <c r="J1021" t="s">
        <v>379</v>
      </c>
      <c r="K1021" s="2" t="s">
        <v>1958</v>
      </c>
      <c r="L1021" t="s">
        <v>26</v>
      </c>
      <c r="M1021">
        <v>351065</v>
      </c>
      <c r="N1021">
        <v>1</v>
      </c>
      <c r="O1021" s="3">
        <v>2450</v>
      </c>
      <c r="P1021" s="3">
        <v>1249</v>
      </c>
      <c r="Q1021" s="5">
        <f t="shared" si="45"/>
        <v>2058.8235294117649</v>
      </c>
      <c r="R1021" s="5">
        <f t="shared" si="46"/>
        <v>1249</v>
      </c>
      <c r="S1021" s="5">
        <f t="shared" si="47"/>
        <v>809.82352941176487</v>
      </c>
    </row>
    <row r="1022" spans="1:19" hidden="1" x14ac:dyDescent="0.3">
      <c r="A1022">
        <v>100</v>
      </c>
      <c r="B1022" t="s">
        <v>16</v>
      </c>
      <c r="C1022" t="s">
        <v>1472</v>
      </c>
      <c r="D1022" s="2" t="s">
        <v>1473</v>
      </c>
      <c r="E1022" t="s">
        <v>1474</v>
      </c>
      <c r="F1022" t="s">
        <v>20</v>
      </c>
      <c r="G1022" t="s">
        <v>21</v>
      </c>
      <c r="H1022" t="s">
        <v>65</v>
      </c>
      <c r="I1022" t="s">
        <v>23</v>
      </c>
      <c r="J1022" t="s">
        <v>49</v>
      </c>
      <c r="K1022" s="2" t="s">
        <v>1958</v>
      </c>
      <c r="L1022" t="s">
        <v>26</v>
      </c>
      <c r="M1022">
        <v>351066</v>
      </c>
      <c r="N1022">
        <v>1</v>
      </c>
      <c r="O1022" s="3">
        <v>39990</v>
      </c>
      <c r="P1022" s="3">
        <v>22902</v>
      </c>
      <c r="Q1022" s="5">
        <f t="shared" si="45"/>
        <v>33605.042016806721</v>
      </c>
      <c r="R1022" s="5">
        <f t="shared" si="46"/>
        <v>22902</v>
      </c>
      <c r="S1022" s="5">
        <f t="shared" si="47"/>
        <v>10703.042016806721</v>
      </c>
    </row>
    <row r="1023" spans="1:19" hidden="1" x14ac:dyDescent="0.3">
      <c r="A1023">
        <v>100</v>
      </c>
      <c r="B1023" t="s">
        <v>16</v>
      </c>
      <c r="C1023">
        <v>1687976791</v>
      </c>
      <c r="D1023" s="2" t="s">
        <v>200</v>
      </c>
      <c r="E1023" t="s">
        <v>201</v>
      </c>
      <c r="F1023" t="s">
        <v>201</v>
      </c>
      <c r="G1023" t="s">
        <v>202</v>
      </c>
      <c r="H1023" t="s">
        <v>202</v>
      </c>
      <c r="I1023" t="s">
        <v>23</v>
      </c>
      <c r="J1023" t="s">
        <v>202</v>
      </c>
      <c r="K1023" s="2" t="s">
        <v>1958</v>
      </c>
      <c r="L1023" t="s">
        <v>26</v>
      </c>
      <c r="M1023">
        <v>351066</v>
      </c>
      <c r="N1023">
        <v>1</v>
      </c>
      <c r="O1023" s="3">
        <v>3400</v>
      </c>
      <c r="P1023">
        <v>1</v>
      </c>
      <c r="Q1023" s="5">
        <f t="shared" si="45"/>
        <v>2857.1428571428573</v>
      </c>
      <c r="R1023" s="5">
        <f t="shared" si="46"/>
        <v>1</v>
      </c>
      <c r="S1023" s="5">
        <f t="shared" si="47"/>
        <v>2856.1428571428573</v>
      </c>
    </row>
    <row r="1024" spans="1:19" hidden="1" x14ac:dyDescent="0.3">
      <c r="A1024">
        <v>100</v>
      </c>
      <c r="B1024" t="s">
        <v>16</v>
      </c>
      <c r="C1024" t="s">
        <v>2058</v>
      </c>
      <c r="D1024" s="2" t="s">
        <v>2059</v>
      </c>
      <c r="E1024" t="s">
        <v>1546</v>
      </c>
      <c r="F1024" t="s">
        <v>20</v>
      </c>
      <c r="G1024" t="s">
        <v>21</v>
      </c>
      <c r="H1024" t="s">
        <v>818</v>
      </c>
      <c r="I1024" t="s">
        <v>23</v>
      </c>
      <c r="J1024" t="s">
        <v>35</v>
      </c>
      <c r="K1024" s="2" t="s">
        <v>1958</v>
      </c>
      <c r="L1024" t="s">
        <v>26</v>
      </c>
      <c r="M1024">
        <v>351067</v>
      </c>
      <c r="N1024">
        <v>1</v>
      </c>
      <c r="O1024" s="3">
        <v>69990</v>
      </c>
      <c r="P1024" s="3">
        <v>34587</v>
      </c>
      <c r="Q1024" s="5">
        <f t="shared" si="45"/>
        <v>58815.126050420171</v>
      </c>
      <c r="R1024" s="5">
        <f t="shared" si="46"/>
        <v>34587</v>
      </c>
      <c r="S1024" s="5">
        <f t="shared" si="47"/>
        <v>24228.126050420171</v>
      </c>
    </row>
    <row r="1025" spans="1:19" hidden="1" x14ac:dyDescent="0.3">
      <c r="A1025">
        <v>100</v>
      </c>
      <c r="B1025" t="s">
        <v>16</v>
      </c>
      <c r="C1025" t="s">
        <v>1037</v>
      </c>
      <c r="D1025" s="2" t="s">
        <v>1038</v>
      </c>
      <c r="E1025" t="s">
        <v>1039</v>
      </c>
      <c r="F1025" t="s">
        <v>377</v>
      </c>
      <c r="G1025" t="s">
        <v>21</v>
      </c>
      <c r="H1025" t="s">
        <v>378</v>
      </c>
      <c r="I1025" t="s">
        <v>23</v>
      </c>
      <c r="J1025" t="s">
        <v>379</v>
      </c>
      <c r="K1025" s="2" t="s">
        <v>1958</v>
      </c>
      <c r="L1025" t="s">
        <v>26</v>
      </c>
      <c r="M1025">
        <v>351067</v>
      </c>
      <c r="N1025">
        <v>1</v>
      </c>
      <c r="O1025" s="3">
        <v>5950</v>
      </c>
      <c r="P1025" s="3">
        <v>3257</v>
      </c>
      <c r="Q1025" s="5">
        <f t="shared" si="45"/>
        <v>5000</v>
      </c>
      <c r="R1025" s="5">
        <f t="shared" si="46"/>
        <v>3257</v>
      </c>
      <c r="S1025" s="5">
        <f t="shared" si="47"/>
        <v>1743</v>
      </c>
    </row>
    <row r="1026" spans="1:19" hidden="1" x14ac:dyDescent="0.3">
      <c r="A1026">
        <v>100</v>
      </c>
      <c r="B1026" t="s">
        <v>16</v>
      </c>
      <c r="C1026">
        <v>1687976791</v>
      </c>
      <c r="D1026" s="2" t="s">
        <v>200</v>
      </c>
      <c r="E1026" t="s">
        <v>201</v>
      </c>
      <c r="F1026" t="s">
        <v>201</v>
      </c>
      <c r="G1026" t="s">
        <v>202</v>
      </c>
      <c r="H1026" t="s">
        <v>202</v>
      </c>
      <c r="I1026" t="s">
        <v>23</v>
      </c>
      <c r="J1026" t="s">
        <v>202</v>
      </c>
      <c r="K1026" s="2" t="s">
        <v>1958</v>
      </c>
      <c r="L1026" t="s">
        <v>26</v>
      </c>
      <c r="M1026">
        <v>351068</v>
      </c>
      <c r="N1026">
        <v>1</v>
      </c>
      <c r="O1026" s="3">
        <v>3400</v>
      </c>
      <c r="P1026">
        <v>1</v>
      </c>
      <c r="Q1026" s="5">
        <f t="shared" si="45"/>
        <v>2857.1428571428573</v>
      </c>
      <c r="R1026" s="5">
        <f t="shared" si="46"/>
        <v>1</v>
      </c>
      <c r="S1026" s="5">
        <f t="shared" si="47"/>
        <v>2856.1428571428573</v>
      </c>
    </row>
    <row r="1027" spans="1:19" hidden="1" x14ac:dyDescent="0.3">
      <c r="A1027">
        <v>100</v>
      </c>
      <c r="B1027" t="s">
        <v>16</v>
      </c>
      <c r="C1027" t="s">
        <v>2060</v>
      </c>
      <c r="D1027" s="2" t="s">
        <v>2061</v>
      </c>
      <c r="E1027" t="s">
        <v>2062</v>
      </c>
      <c r="F1027" t="s">
        <v>20</v>
      </c>
      <c r="G1027" t="s">
        <v>21</v>
      </c>
      <c r="H1027" t="s">
        <v>2063</v>
      </c>
      <c r="I1027" t="s">
        <v>23</v>
      </c>
      <c r="J1027" t="s">
        <v>40</v>
      </c>
      <c r="K1027" s="2" t="s">
        <v>1958</v>
      </c>
      <c r="L1027" t="s">
        <v>26</v>
      </c>
      <c r="M1027">
        <v>351068</v>
      </c>
      <c r="N1027">
        <v>1</v>
      </c>
      <c r="O1027" s="3">
        <v>49990</v>
      </c>
      <c r="P1027" s="3">
        <v>23226</v>
      </c>
      <c r="Q1027" s="5">
        <f t="shared" si="45"/>
        <v>42008.403361344543</v>
      </c>
      <c r="R1027" s="5">
        <f t="shared" si="46"/>
        <v>23226</v>
      </c>
      <c r="S1027" s="5">
        <f t="shared" si="47"/>
        <v>18782.403361344543</v>
      </c>
    </row>
    <row r="1028" spans="1:19" hidden="1" x14ac:dyDescent="0.3">
      <c r="A1028">
        <v>100</v>
      </c>
      <c r="B1028" t="s">
        <v>16</v>
      </c>
      <c r="C1028" t="s">
        <v>2064</v>
      </c>
      <c r="D1028" s="2" t="s">
        <v>2065</v>
      </c>
      <c r="E1028" t="s">
        <v>2066</v>
      </c>
      <c r="F1028" t="s">
        <v>20</v>
      </c>
      <c r="G1028" t="s">
        <v>21</v>
      </c>
      <c r="H1028" t="s">
        <v>1418</v>
      </c>
      <c r="I1028" t="s">
        <v>23</v>
      </c>
      <c r="J1028" t="s">
        <v>35</v>
      </c>
      <c r="K1028" s="2" t="s">
        <v>1958</v>
      </c>
      <c r="L1028" t="s">
        <v>26</v>
      </c>
      <c r="M1028">
        <v>351069</v>
      </c>
      <c r="N1028">
        <v>1</v>
      </c>
      <c r="O1028" s="3">
        <v>94950</v>
      </c>
      <c r="P1028" s="3">
        <v>30749</v>
      </c>
      <c r="Q1028" s="5">
        <f t="shared" si="45"/>
        <v>79789.915966386558</v>
      </c>
      <c r="R1028" s="5">
        <f t="shared" si="46"/>
        <v>30749</v>
      </c>
      <c r="S1028" s="5">
        <f t="shared" si="47"/>
        <v>49040.915966386558</v>
      </c>
    </row>
    <row r="1029" spans="1:19" hidden="1" x14ac:dyDescent="0.3">
      <c r="A1029">
        <v>100</v>
      </c>
      <c r="B1029" t="s">
        <v>16</v>
      </c>
      <c r="C1029" t="s">
        <v>2067</v>
      </c>
      <c r="D1029" s="2" t="s">
        <v>2068</v>
      </c>
      <c r="E1029" t="s">
        <v>2069</v>
      </c>
      <c r="F1029" t="s">
        <v>20</v>
      </c>
      <c r="G1029" t="s">
        <v>21</v>
      </c>
      <c r="H1029" t="s">
        <v>2070</v>
      </c>
      <c r="I1029" t="s">
        <v>23</v>
      </c>
      <c r="J1029" t="s">
        <v>35</v>
      </c>
      <c r="K1029" s="2" t="s">
        <v>1958</v>
      </c>
      <c r="L1029" t="s">
        <v>26</v>
      </c>
      <c r="M1029">
        <v>351070</v>
      </c>
      <c r="N1029">
        <v>1</v>
      </c>
      <c r="O1029" s="3">
        <v>89950</v>
      </c>
      <c r="P1029" s="3">
        <v>29635</v>
      </c>
      <c r="Q1029" s="5">
        <f t="shared" si="45"/>
        <v>75588.23529411765</v>
      </c>
      <c r="R1029" s="5">
        <f t="shared" si="46"/>
        <v>29635</v>
      </c>
      <c r="S1029" s="5">
        <f t="shared" si="47"/>
        <v>45953.23529411765</v>
      </c>
    </row>
    <row r="1030" spans="1:19" hidden="1" x14ac:dyDescent="0.3">
      <c r="A1030">
        <v>100</v>
      </c>
      <c r="B1030" t="s">
        <v>16</v>
      </c>
      <c r="C1030">
        <v>1687976791</v>
      </c>
      <c r="D1030" s="2" t="s">
        <v>200</v>
      </c>
      <c r="E1030" t="s">
        <v>201</v>
      </c>
      <c r="F1030" t="s">
        <v>201</v>
      </c>
      <c r="G1030" t="s">
        <v>202</v>
      </c>
      <c r="H1030" t="s">
        <v>202</v>
      </c>
      <c r="I1030" t="s">
        <v>23</v>
      </c>
      <c r="J1030" t="s">
        <v>202</v>
      </c>
      <c r="K1030" s="2" t="s">
        <v>1958</v>
      </c>
      <c r="L1030" t="s">
        <v>26</v>
      </c>
      <c r="M1030">
        <v>351071</v>
      </c>
      <c r="N1030">
        <v>1</v>
      </c>
      <c r="O1030" s="3">
        <v>3400</v>
      </c>
      <c r="P1030">
        <v>1</v>
      </c>
      <c r="Q1030" s="5">
        <f t="shared" ref="Q1030:Q1093" si="48">O1030/1.19</f>
        <v>2857.1428571428573</v>
      </c>
      <c r="R1030" s="5">
        <f t="shared" ref="R1030:R1093" si="49">N1030*P1030</f>
        <v>1</v>
      </c>
      <c r="S1030" s="5">
        <f t="shared" ref="S1030:S1093" si="50">Q1030-R1030</f>
        <v>2856.1428571428573</v>
      </c>
    </row>
    <row r="1031" spans="1:19" hidden="1" x14ac:dyDescent="0.3">
      <c r="A1031">
        <v>100</v>
      </c>
      <c r="B1031" t="s">
        <v>16</v>
      </c>
      <c r="C1031" t="s">
        <v>2071</v>
      </c>
      <c r="D1031" s="2" t="s">
        <v>2072</v>
      </c>
      <c r="E1031" t="s">
        <v>2073</v>
      </c>
      <c r="F1031" t="s">
        <v>20</v>
      </c>
      <c r="G1031" t="s">
        <v>21</v>
      </c>
      <c r="H1031" t="s">
        <v>160</v>
      </c>
      <c r="I1031" t="s">
        <v>23</v>
      </c>
      <c r="J1031" t="s">
        <v>35</v>
      </c>
      <c r="K1031" s="2" t="s">
        <v>1958</v>
      </c>
      <c r="L1031" t="s">
        <v>26</v>
      </c>
      <c r="M1031">
        <v>351071</v>
      </c>
      <c r="N1031">
        <v>1</v>
      </c>
      <c r="O1031" s="3">
        <v>59990</v>
      </c>
      <c r="P1031" s="3">
        <v>33327</v>
      </c>
      <c r="Q1031" s="5">
        <f t="shared" si="48"/>
        <v>50411.764705882357</v>
      </c>
      <c r="R1031" s="5">
        <f t="shared" si="49"/>
        <v>33327</v>
      </c>
      <c r="S1031" s="5">
        <f t="shared" si="50"/>
        <v>17084.764705882357</v>
      </c>
    </row>
    <row r="1032" spans="1:19" hidden="1" x14ac:dyDescent="0.3">
      <c r="A1032">
        <v>100</v>
      </c>
      <c r="B1032" t="s">
        <v>16</v>
      </c>
      <c r="C1032">
        <v>1687976791</v>
      </c>
      <c r="D1032" s="2" t="s">
        <v>200</v>
      </c>
      <c r="E1032" t="s">
        <v>201</v>
      </c>
      <c r="F1032" t="s">
        <v>201</v>
      </c>
      <c r="G1032" t="s">
        <v>202</v>
      </c>
      <c r="H1032" t="s">
        <v>202</v>
      </c>
      <c r="I1032" t="s">
        <v>23</v>
      </c>
      <c r="J1032" t="s">
        <v>202</v>
      </c>
      <c r="K1032" s="2" t="s">
        <v>1958</v>
      </c>
      <c r="L1032" t="s">
        <v>26</v>
      </c>
      <c r="M1032">
        <v>351072</v>
      </c>
      <c r="N1032">
        <v>1</v>
      </c>
      <c r="O1032" s="3">
        <v>3400</v>
      </c>
      <c r="P1032">
        <v>1</v>
      </c>
      <c r="Q1032" s="5">
        <f t="shared" si="48"/>
        <v>2857.1428571428573</v>
      </c>
      <c r="R1032" s="5">
        <f t="shared" si="49"/>
        <v>1</v>
      </c>
      <c r="S1032" s="5">
        <f t="shared" si="50"/>
        <v>2856.1428571428573</v>
      </c>
    </row>
    <row r="1033" spans="1:19" hidden="1" x14ac:dyDescent="0.3">
      <c r="A1033">
        <v>100</v>
      </c>
      <c r="B1033" t="s">
        <v>16</v>
      </c>
      <c r="C1033" t="s">
        <v>2074</v>
      </c>
      <c r="D1033" s="2" t="s">
        <v>2075</v>
      </c>
      <c r="E1033" t="s">
        <v>2076</v>
      </c>
      <c r="F1033" t="s">
        <v>20</v>
      </c>
      <c r="G1033" t="s">
        <v>338</v>
      </c>
      <c r="H1033">
        <v>83726</v>
      </c>
      <c r="I1033" t="s">
        <v>23</v>
      </c>
      <c r="J1033" t="s">
        <v>40</v>
      </c>
      <c r="K1033" s="2" t="s">
        <v>1958</v>
      </c>
      <c r="L1033" t="s">
        <v>26</v>
      </c>
      <c r="M1033">
        <v>351072</v>
      </c>
      <c r="N1033">
        <v>1</v>
      </c>
      <c r="O1033" s="3">
        <v>69990</v>
      </c>
      <c r="P1033" s="3">
        <v>30263</v>
      </c>
      <c r="Q1033" s="5">
        <f t="shared" si="48"/>
        <v>58815.126050420171</v>
      </c>
      <c r="R1033" s="5">
        <f t="shared" si="49"/>
        <v>30263</v>
      </c>
      <c r="S1033" s="5">
        <f t="shared" si="50"/>
        <v>28552.126050420171</v>
      </c>
    </row>
    <row r="1034" spans="1:19" hidden="1" x14ac:dyDescent="0.3">
      <c r="A1034">
        <v>100</v>
      </c>
      <c r="B1034" t="s">
        <v>16</v>
      </c>
      <c r="C1034">
        <v>1687976791</v>
      </c>
      <c r="D1034" s="2" t="s">
        <v>200</v>
      </c>
      <c r="E1034" t="s">
        <v>201</v>
      </c>
      <c r="F1034" t="s">
        <v>201</v>
      </c>
      <c r="G1034" t="s">
        <v>202</v>
      </c>
      <c r="H1034" t="s">
        <v>202</v>
      </c>
      <c r="I1034" t="s">
        <v>23</v>
      </c>
      <c r="J1034" t="s">
        <v>202</v>
      </c>
      <c r="K1034" s="2" t="s">
        <v>1958</v>
      </c>
      <c r="L1034" t="s">
        <v>26</v>
      </c>
      <c r="M1034">
        <v>351073</v>
      </c>
      <c r="N1034">
        <v>1</v>
      </c>
      <c r="O1034" s="3">
        <v>9017</v>
      </c>
      <c r="P1034">
        <v>1</v>
      </c>
      <c r="Q1034" s="5">
        <f t="shared" si="48"/>
        <v>7577.3109243697481</v>
      </c>
      <c r="R1034" s="5">
        <f t="shared" si="49"/>
        <v>1</v>
      </c>
      <c r="S1034" s="5">
        <f t="shared" si="50"/>
        <v>7576.3109243697481</v>
      </c>
    </row>
    <row r="1035" spans="1:19" hidden="1" x14ac:dyDescent="0.3">
      <c r="A1035">
        <v>100</v>
      </c>
      <c r="B1035" t="s">
        <v>16</v>
      </c>
      <c r="C1035" t="s">
        <v>231</v>
      </c>
      <c r="D1035" s="2" t="s">
        <v>232</v>
      </c>
      <c r="E1035" t="s">
        <v>82</v>
      </c>
      <c r="F1035" t="s">
        <v>20</v>
      </c>
      <c r="G1035" t="s">
        <v>21</v>
      </c>
      <c r="H1035" t="s">
        <v>83</v>
      </c>
      <c r="I1035" t="s">
        <v>23</v>
      </c>
      <c r="J1035" t="s">
        <v>40</v>
      </c>
      <c r="K1035" s="2" t="s">
        <v>1958</v>
      </c>
      <c r="L1035" t="s">
        <v>26</v>
      </c>
      <c r="M1035">
        <v>351073</v>
      </c>
      <c r="N1035">
        <v>1</v>
      </c>
      <c r="O1035" s="3">
        <v>39990</v>
      </c>
      <c r="P1035" s="3">
        <v>27224</v>
      </c>
      <c r="Q1035" s="5">
        <f t="shared" si="48"/>
        <v>33605.042016806721</v>
      </c>
      <c r="R1035" s="5">
        <f t="shared" si="49"/>
        <v>27224</v>
      </c>
      <c r="S1035" s="5">
        <f t="shared" si="50"/>
        <v>6381.0420168067212</v>
      </c>
    </row>
    <row r="1036" spans="1:19" hidden="1" x14ac:dyDescent="0.3">
      <c r="A1036">
        <v>100</v>
      </c>
      <c r="B1036" t="s">
        <v>16</v>
      </c>
      <c r="C1036" t="s">
        <v>2077</v>
      </c>
      <c r="D1036" s="2" t="s">
        <v>2078</v>
      </c>
      <c r="E1036" t="s">
        <v>2079</v>
      </c>
      <c r="F1036" t="s">
        <v>20</v>
      </c>
      <c r="G1036" t="s">
        <v>21</v>
      </c>
      <c r="H1036" t="s">
        <v>2080</v>
      </c>
      <c r="I1036" t="s">
        <v>23</v>
      </c>
      <c r="J1036" t="s">
        <v>207</v>
      </c>
      <c r="K1036" s="2" t="s">
        <v>1958</v>
      </c>
      <c r="L1036" t="s">
        <v>26</v>
      </c>
      <c r="M1036">
        <v>351074</v>
      </c>
      <c r="N1036">
        <v>1</v>
      </c>
      <c r="O1036" s="3">
        <v>39990</v>
      </c>
      <c r="P1036" s="3">
        <v>24764</v>
      </c>
      <c r="Q1036" s="5">
        <f t="shared" si="48"/>
        <v>33605.042016806721</v>
      </c>
      <c r="R1036" s="5">
        <f t="shared" si="49"/>
        <v>24764</v>
      </c>
      <c r="S1036" s="5">
        <f t="shared" si="50"/>
        <v>8841.0420168067212</v>
      </c>
    </row>
    <row r="1037" spans="1:19" hidden="1" x14ac:dyDescent="0.3">
      <c r="A1037">
        <v>100</v>
      </c>
      <c r="B1037" t="s">
        <v>16</v>
      </c>
      <c r="C1037">
        <v>1687976791</v>
      </c>
      <c r="D1037" s="2" t="s">
        <v>200</v>
      </c>
      <c r="E1037" t="s">
        <v>201</v>
      </c>
      <c r="F1037" t="s">
        <v>201</v>
      </c>
      <c r="G1037" t="s">
        <v>202</v>
      </c>
      <c r="H1037" t="s">
        <v>202</v>
      </c>
      <c r="I1037" t="s">
        <v>23</v>
      </c>
      <c r="J1037" t="s">
        <v>202</v>
      </c>
      <c r="K1037" s="2" t="s">
        <v>1958</v>
      </c>
      <c r="L1037" t="s">
        <v>26</v>
      </c>
      <c r="M1037">
        <v>351074</v>
      </c>
      <c r="N1037">
        <v>1</v>
      </c>
      <c r="O1037" s="3">
        <v>3400</v>
      </c>
      <c r="P1037">
        <v>1</v>
      </c>
      <c r="Q1037" s="5">
        <f t="shared" si="48"/>
        <v>2857.1428571428573</v>
      </c>
      <c r="R1037" s="5">
        <f t="shared" si="49"/>
        <v>1</v>
      </c>
      <c r="S1037" s="5">
        <f t="shared" si="50"/>
        <v>2856.1428571428573</v>
      </c>
    </row>
    <row r="1038" spans="1:19" hidden="1" x14ac:dyDescent="0.3">
      <c r="A1038">
        <v>100</v>
      </c>
      <c r="B1038" t="s">
        <v>16</v>
      </c>
      <c r="C1038" t="s">
        <v>2081</v>
      </c>
      <c r="D1038" s="2" t="s">
        <v>2082</v>
      </c>
      <c r="E1038" t="s">
        <v>793</v>
      </c>
      <c r="F1038" t="s">
        <v>20</v>
      </c>
      <c r="G1038" t="s">
        <v>21</v>
      </c>
      <c r="H1038" t="s">
        <v>794</v>
      </c>
      <c r="I1038" t="s">
        <v>23</v>
      </c>
      <c r="J1038" t="s">
        <v>40</v>
      </c>
      <c r="K1038" s="2" t="s">
        <v>1958</v>
      </c>
      <c r="L1038" t="s">
        <v>26</v>
      </c>
      <c r="M1038">
        <v>351075</v>
      </c>
      <c r="N1038">
        <v>1</v>
      </c>
      <c r="O1038" s="3">
        <v>49990</v>
      </c>
      <c r="P1038" s="3">
        <v>21475</v>
      </c>
      <c r="Q1038" s="5">
        <f t="shared" si="48"/>
        <v>42008.403361344543</v>
      </c>
      <c r="R1038" s="5">
        <f t="shared" si="49"/>
        <v>21475</v>
      </c>
      <c r="S1038" s="5">
        <f t="shared" si="50"/>
        <v>20533.403361344543</v>
      </c>
    </row>
    <row r="1039" spans="1:19" hidden="1" x14ac:dyDescent="0.3">
      <c r="A1039">
        <v>100</v>
      </c>
      <c r="B1039" t="s">
        <v>16</v>
      </c>
      <c r="C1039" t="s">
        <v>2083</v>
      </c>
      <c r="D1039" s="2" t="s">
        <v>2084</v>
      </c>
      <c r="E1039" t="s">
        <v>2085</v>
      </c>
      <c r="F1039" t="s">
        <v>20</v>
      </c>
      <c r="G1039" t="s">
        <v>21</v>
      </c>
      <c r="H1039" t="s">
        <v>870</v>
      </c>
      <c r="I1039" t="s">
        <v>23</v>
      </c>
      <c r="J1039" t="s">
        <v>49</v>
      </c>
      <c r="K1039" s="2" t="s">
        <v>1958</v>
      </c>
      <c r="L1039" t="s">
        <v>26</v>
      </c>
      <c r="M1039">
        <v>351076</v>
      </c>
      <c r="N1039">
        <v>1</v>
      </c>
      <c r="O1039" s="3">
        <v>39990</v>
      </c>
      <c r="P1039" s="3">
        <v>22955</v>
      </c>
      <c r="Q1039" s="5">
        <f t="shared" si="48"/>
        <v>33605.042016806721</v>
      </c>
      <c r="R1039" s="5">
        <f t="shared" si="49"/>
        <v>22955</v>
      </c>
      <c r="S1039" s="5">
        <f t="shared" si="50"/>
        <v>10650.042016806721</v>
      </c>
    </row>
    <row r="1040" spans="1:19" hidden="1" x14ac:dyDescent="0.3">
      <c r="A1040">
        <v>100</v>
      </c>
      <c r="B1040" t="s">
        <v>16</v>
      </c>
      <c r="C1040" t="s">
        <v>2086</v>
      </c>
      <c r="D1040" s="2" t="s">
        <v>2087</v>
      </c>
      <c r="E1040" t="s">
        <v>506</v>
      </c>
      <c r="F1040" t="s">
        <v>20</v>
      </c>
      <c r="G1040" t="s">
        <v>21</v>
      </c>
      <c r="H1040" t="s">
        <v>357</v>
      </c>
      <c r="I1040" t="s">
        <v>23</v>
      </c>
      <c r="J1040" t="s">
        <v>49</v>
      </c>
      <c r="K1040" s="2" t="s">
        <v>1958</v>
      </c>
      <c r="L1040" t="s">
        <v>26</v>
      </c>
      <c r="M1040">
        <v>351077</v>
      </c>
      <c r="N1040">
        <v>1</v>
      </c>
      <c r="O1040" s="3">
        <v>39990</v>
      </c>
      <c r="P1040" s="3">
        <v>26616</v>
      </c>
      <c r="Q1040" s="5">
        <f t="shared" si="48"/>
        <v>33605.042016806721</v>
      </c>
      <c r="R1040" s="5">
        <f t="shared" si="49"/>
        <v>26616</v>
      </c>
      <c r="S1040" s="5">
        <f t="shared" si="50"/>
        <v>6989.0420168067212</v>
      </c>
    </row>
    <row r="1041" spans="1:19" hidden="1" x14ac:dyDescent="0.3">
      <c r="A1041">
        <v>100</v>
      </c>
      <c r="B1041" t="s">
        <v>16</v>
      </c>
      <c r="C1041" t="s">
        <v>2088</v>
      </c>
      <c r="D1041" s="2" t="s">
        <v>2089</v>
      </c>
      <c r="E1041" t="s">
        <v>1312</v>
      </c>
      <c r="F1041" t="s">
        <v>20</v>
      </c>
      <c r="G1041" t="s">
        <v>21</v>
      </c>
      <c r="H1041" t="s">
        <v>114</v>
      </c>
      <c r="I1041" t="s">
        <v>23</v>
      </c>
      <c r="J1041" t="s">
        <v>35</v>
      </c>
      <c r="K1041" s="2" t="s">
        <v>1958</v>
      </c>
      <c r="L1041" t="s">
        <v>26</v>
      </c>
      <c r="M1041">
        <v>351078</v>
      </c>
      <c r="N1041">
        <v>1</v>
      </c>
      <c r="O1041" s="3">
        <v>48990</v>
      </c>
      <c r="P1041" s="3">
        <v>31368</v>
      </c>
      <c r="Q1041" s="5">
        <f t="shared" si="48"/>
        <v>41168.067226890758</v>
      </c>
      <c r="R1041" s="5">
        <f t="shared" si="49"/>
        <v>31368</v>
      </c>
      <c r="S1041" s="5">
        <f t="shared" si="50"/>
        <v>9800.0672268907583</v>
      </c>
    </row>
    <row r="1042" spans="1:19" hidden="1" x14ac:dyDescent="0.3">
      <c r="A1042">
        <v>100</v>
      </c>
      <c r="B1042" t="s">
        <v>16</v>
      </c>
      <c r="C1042" t="s">
        <v>229</v>
      </c>
      <c r="D1042" s="2" t="s">
        <v>230</v>
      </c>
      <c r="E1042" t="s">
        <v>166</v>
      </c>
      <c r="F1042" t="s">
        <v>20</v>
      </c>
      <c r="G1042" t="s">
        <v>21</v>
      </c>
      <c r="H1042" t="s">
        <v>167</v>
      </c>
      <c r="I1042" t="s">
        <v>23</v>
      </c>
      <c r="J1042" t="s">
        <v>35</v>
      </c>
      <c r="K1042" s="2" t="s">
        <v>1958</v>
      </c>
      <c r="L1042" t="s">
        <v>26</v>
      </c>
      <c r="M1042">
        <v>351079</v>
      </c>
      <c r="N1042">
        <v>1</v>
      </c>
      <c r="O1042" s="3">
        <v>43990</v>
      </c>
      <c r="P1042" s="3">
        <v>36238</v>
      </c>
      <c r="Q1042" s="5">
        <f t="shared" si="48"/>
        <v>36966.386554621851</v>
      </c>
      <c r="R1042" s="5">
        <f t="shared" si="49"/>
        <v>36238</v>
      </c>
      <c r="S1042" s="5">
        <f t="shared" si="50"/>
        <v>728.38655462185125</v>
      </c>
    </row>
    <row r="1043" spans="1:19" hidden="1" x14ac:dyDescent="0.3">
      <c r="A1043">
        <v>100</v>
      </c>
      <c r="B1043" t="s">
        <v>16</v>
      </c>
      <c r="C1043" t="s">
        <v>849</v>
      </c>
      <c r="D1043" s="2" t="s">
        <v>850</v>
      </c>
      <c r="E1043" t="s">
        <v>845</v>
      </c>
      <c r="F1043" t="s">
        <v>20</v>
      </c>
      <c r="G1043" t="s">
        <v>21</v>
      </c>
      <c r="H1043" t="s">
        <v>243</v>
      </c>
      <c r="I1043" t="s">
        <v>23</v>
      </c>
      <c r="J1043" t="s">
        <v>35</v>
      </c>
      <c r="K1043" s="2" t="s">
        <v>1958</v>
      </c>
      <c r="L1043" t="s">
        <v>26</v>
      </c>
      <c r="M1043">
        <v>351080</v>
      </c>
      <c r="N1043">
        <v>1</v>
      </c>
      <c r="O1043" s="3">
        <v>109950</v>
      </c>
      <c r="P1043" s="3">
        <v>62858</v>
      </c>
      <c r="Q1043" s="5">
        <f t="shared" si="48"/>
        <v>92394.957983193279</v>
      </c>
      <c r="R1043" s="5">
        <f t="shared" si="49"/>
        <v>62858</v>
      </c>
      <c r="S1043" s="5">
        <f t="shared" si="50"/>
        <v>29536.957983193279</v>
      </c>
    </row>
    <row r="1044" spans="1:19" hidden="1" x14ac:dyDescent="0.3">
      <c r="A1044">
        <v>100</v>
      </c>
      <c r="B1044" t="s">
        <v>16</v>
      </c>
      <c r="C1044" t="s">
        <v>1850</v>
      </c>
      <c r="D1044" s="2" t="s">
        <v>1851</v>
      </c>
      <c r="E1044" t="s">
        <v>1852</v>
      </c>
      <c r="F1044" t="s">
        <v>20</v>
      </c>
      <c r="G1044" t="s">
        <v>21</v>
      </c>
      <c r="H1044" t="s">
        <v>1345</v>
      </c>
      <c r="I1044" t="s">
        <v>23</v>
      </c>
      <c r="J1044" t="s">
        <v>40</v>
      </c>
      <c r="K1044" s="2" t="s">
        <v>1958</v>
      </c>
      <c r="L1044" t="s">
        <v>26</v>
      </c>
      <c r="M1044">
        <v>351081</v>
      </c>
      <c r="N1044">
        <v>1</v>
      </c>
      <c r="O1044" s="3">
        <v>29990</v>
      </c>
      <c r="P1044" s="3">
        <v>17216</v>
      </c>
      <c r="Q1044" s="5">
        <f t="shared" si="48"/>
        <v>25201.680672268907</v>
      </c>
      <c r="R1044" s="5">
        <f t="shared" si="49"/>
        <v>17216</v>
      </c>
      <c r="S1044" s="5">
        <f t="shared" si="50"/>
        <v>7985.6806722689071</v>
      </c>
    </row>
    <row r="1045" spans="1:19" hidden="1" x14ac:dyDescent="0.3">
      <c r="A1045">
        <v>100</v>
      </c>
      <c r="B1045" t="s">
        <v>16</v>
      </c>
      <c r="C1045" t="s">
        <v>2090</v>
      </c>
      <c r="D1045" s="2" t="s">
        <v>2091</v>
      </c>
      <c r="E1045" t="s">
        <v>2092</v>
      </c>
      <c r="F1045" t="s">
        <v>20</v>
      </c>
      <c r="G1045" t="s">
        <v>21</v>
      </c>
      <c r="H1045" t="s">
        <v>1755</v>
      </c>
      <c r="I1045" t="s">
        <v>23</v>
      </c>
      <c r="J1045" t="s">
        <v>40</v>
      </c>
      <c r="K1045" s="2" t="s">
        <v>2093</v>
      </c>
      <c r="L1045" t="s">
        <v>26</v>
      </c>
      <c r="M1045">
        <v>351082</v>
      </c>
      <c r="N1045">
        <v>1</v>
      </c>
      <c r="O1045" s="3">
        <v>59990</v>
      </c>
      <c r="P1045" s="3">
        <v>32843</v>
      </c>
      <c r="Q1045" s="5">
        <f t="shared" si="48"/>
        <v>50411.764705882357</v>
      </c>
      <c r="R1045" s="5">
        <f t="shared" si="49"/>
        <v>32843</v>
      </c>
      <c r="S1045" s="5">
        <f t="shared" si="50"/>
        <v>17568.764705882357</v>
      </c>
    </row>
    <row r="1046" spans="1:19" hidden="1" x14ac:dyDescent="0.3">
      <c r="A1046">
        <v>100</v>
      </c>
      <c r="B1046" t="s">
        <v>16</v>
      </c>
      <c r="C1046" t="s">
        <v>2094</v>
      </c>
      <c r="D1046" s="2" t="s">
        <v>2095</v>
      </c>
      <c r="E1046" t="s">
        <v>2096</v>
      </c>
      <c r="F1046" t="s">
        <v>20</v>
      </c>
      <c r="G1046" t="s">
        <v>21</v>
      </c>
      <c r="H1046" t="s">
        <v>783</v>
      </c>
      <c r="I1046" t="s">
        <v>23</v>
      </c>
      <c r="J1046" t="s">
        <v>40</v>
      </c>
      <c r="K1046" s="2" t="s">
        <v>2093</v>
      </c>
      <c r="L1046" t="s">
        <v>26</v>
      </c>
      <c r="M1046">
        <v>351083</v>
      </c>
      <c r="N1046">
        <v>1</v>
      </c>
      <c r="O1046" s="3">
        <v>29990</v>
      </c>
      <c r="P1046" s="3">
        <v>15745</v>
      </c>
      <c r="Q1046" s="5">
        <f t="shared" si="48"/>
        <v>25201.680672268907</v>
      </c>
      <c r="R1046" s="5">
        <f t="shared" si="49"/>
        <v>15745</v>
      </c>
      <c r="S1046" s="5">
        <f t="shared" si="50"/>
        <v>9456.6806722689071</v>
      </c>
    </row>
    <row r="1047" spans="1:19" hidden="1" x14ac:dyDescent="0.3">
      <c r="A1047">
        <v>100</v>
      </c>
      <c r="B1047" t="s">
        <v>16</v>
      </c>
      <c r="C1047" t="s">
        <v>1829</v>
      </c>
      <c r="D1047" s="2" t="s">
        <v>1830</v>
      </c>
      <c r="E1047" t="s">
        <v>1831</v>
      </c>
      <c r="F1047" t="s">
        <v>20</v>
      </c>
      <c r="G1047" t="s">
        <v>21</v>
      </c>
      <c r="H1047" t="s">
        <v>160</v>
      </c>
      <c r="I1047" t="s">
        <v>23</v>
      </c>
      <c r="J1047" t="s">
        <v>35</v>
      </c>
      <c r="K1047" s="2" t="s">
        <v>2093</v>
      </c>
      <c r="L1047" t="s">
        <v>26</v>
      </c>
      <c r="M1047">
        <v>351084</v>
      </c>
      <c r="N1047">
        <v>1</v>
      </c>
      <c r="O1047" s="3">
        <v>59990</v>
      </c>
      <c r="P1047" s="3">
        <v>32893</v>
      </c>
      <c r="Q1047" s="5">
        <f t="shared" si="48"/>
        <v>50411.764705882357</v>
      </c>
      <c r="R1047" s="5">
        <f t="shared" si="49"/>
        <v>32893</v>
      </c>
      <c r="S1047" s="5">
        <f t="shared" si="50"/>
        <v>17518.764705882357</v>
      </c>
    </row>
    <row r="1048" spans="1:19" hidden="1" x14ac:dyDescent="0.3">
      <c r="A1048">
        <v>100</v>
      </c>
      <c r="B1048" t="s">
        <v>16</v>
      </c>
      <c r="C1048" t="s">
        <v>2097</v>
      </c>
      <c r="D1048" s="2" t="s">
        <v>2098</v>
      </c>
      <c r="E1048" t="s">
        <v>494</v>
      </c>
      <c r="F1048" t="s">
        <v>20</v>
      </c>
      <c r="G1048" t="s">
        <v>21</v>
      </c>
      <c r="H1048" t="s">
        <v>317</v>
      </c>
      <c r="I1048" t="s">
        <v>23</v>
      </c>
      <c r="J1048" t="s">
        <v>35</v>
      </c>
      <c r="K1048" s="2" t="s">
        <v>2093</v>
      </c>
      <c r="L1048" t="s">
        <v>26</v>
      </c>
      <c r="M1048">
        <v>351085</v>
      </c>
      <c r="N1048">
        <v>1</v>
      </c>
      <c r="O1048" s="3">
        <v>69950</v>
      </c>
      <c r="P1048" s="3">
        <v>23619</v>
      </c>
      <c r="Q1048" s="5">
        <f t="shared" si="48"/>
        <v>58781.512605042022</v>
      </c>
      <c r="R1048" s="5">
        <f t="shared" si="49"/>
        <v>23619</v>
      </c>
      <c r="S1048" s="5">
        <f t="shared" si="50"/>
        <v>35162.512605042022</v>
      </c>
    </row>
    <row r="1049" spans="1:19" hidden="1" x14ac:dyDescent="0.3">
      <c r="A1049">
        <v>100</v>
      </c>
      <c r="B1049" t="s">
        <v>16</v>
      </c>
      <c r="C1049" t="s">
        <v>1003</v>
      </c>
      <c r="D1049" s="2" t="s">
        <v>1004</v>
      </c>
      <c r="E1049" t="s">
        <v>330</v>
      </c>
      <c r="F1049" t="s">
        <v>20</v>
      </c>
      <c r="G1049" t="s">
        <v>21</v>
      </c>
      <c r="H1049" t="s">
        <v>331</v>
      </c>
      <c r="I1049" t="s">
        <v>23</v>
      </c>
      <c r="J1049" t="s">
        <v>49</v>
      </c>
      <c r="K1049" s="2" t="s">
        <v>2093</v>
      </c>
      <c r="L1049" t="s">
        <v>26</v>
      </c>
      <c r="M1049">
        <v>351086</v>
      </c>
      <c r="N1049">
        <v>1</v>
      </c>
      <c r="O1049" s="3">
        <v>39990</v>
      </c>
      <c r="P1049" s="3">
        <v>25157</v>
      </c>
      <c r="Q1049" s="5">
        <f t="shared" si="48"/>
        <v>33605.042016806721</v>
      </c>
      <c r="R1049" s="5">
        <f t="shared" si="49"/>
        <v>25157</v>
      </c>
      <c r="S1049" s="5">
        <f t="shared" si="50"/>
        <v>8448.0420168067212</v>
      </c>
    </row>
    <row r="1050" spans="1:19" hidden="1" x14ac:dyDescent="0.3">
      <c r="A1050">
        <v>100</v>
      </c>
      <c r="B1050" t="s">
        <v>16</v>
      </c>
      <c r="C1050" t="s">
        <v>2099</v>
      </c>
      <c r="D1050" s="2" t="s">
        <v>2100</v>
      </c>
      <c r="E1050" t="s">
        <v>933</v>
      </c>
      <c r="F1050" t="s">
        <v>20</v>
      </c>
      <c r="G1050" t="s">
        <v>21</v>
      </c>
      <c r="H1050" t="s">
        <v>718</v>
      </c>
      <c r="I1050" t="s">
        <v>23</v>
      </c>
      <c r="J1050" t="s">
        <v>35</v>
      </c>
      <c r="K1050" s="2" t="s">
        <v>2093</v>
      </c>
      <c r="L1050" t="s">
        <v>26</v>
      </c>
      <c r="M1050">
        <v>351087</v>
      </c>
      <c r="N1050">
        <v>1</v>
      </c>
      <c r="O1050" s="3">
        <v>59990</v>
      </c>
      <c r="P1050" s="3">
        <v>32094</v>
      </c>
      <c r="Q1050" s="5">
        <f t="shared" si="48"/>
        <v>50411.764705882357</v>
      </c>
      <c r="R1050" s="5">
        <f t="shared" si="49"/>
        <v>32094</v>
      </c>
      <c r="S1050" s="5">
        <f t="shared" si="50"/>
        <v>18317.764705882357</v>
      </c>
    </row>
    <row r="1051" spans="1:19" hidden="1" x14ac:dyDescent="0.3">
      <c r="A1051">
        <v>100</v>
      </c>
      <c r="B1051" t="s">
        <v>16</v>
      </c>
      <c r="C1051" t="s">
        <v>1293</v>
      </c>
      <c r="D1051" s="2" t="s">
        <v>1294</v>
      </c>
      <c r="E1051" t="s">
        <v>1295</v>
      </c>
      <c r="F1051" t="s">
        <v>20</v>
      </c>
      <c r="G1051" t="s">
        <v>21</v>
      </c>
      <c r="H1051" t="s">
        <v>1296</v>
      </c>
      <c r="I1051" t="s">
        <v>23</v>
      </c>
      <c r="J1051" t="s">
        <v>35</v>
      </c>
      <c r="K1051" s="2" t="s">
        <v>2093</v>
      </c>
      <c r="L1051" t="s">
        <v>26</v>
      </c>
      <c r="M1051">
        <v>351088</v>
      </c>
      <c r="N1051">
        <v>1</v>
      </c>
      <c r="O1051" s="3">
        <v>62990</v>
      </c>
      <c r="P1051" s="3">
        <v>34590</v>
      </c>
      <c r="Q1051" s="5">
        <f t="shared" si="48"/>
        <v>52932.773109243702</v>
      </c>
      <c r="R1051" s="5">
        <f t="shared" si="49"/>
        <v>34590</v>
      </c>
      <c r="S1051" s="5">
        <f t="shared" si="50"/>
        <v>18342.773109243702</v>
      </c>
    </row>
    <row r="1052" spans="1:19" hidden="1" x14ac:dyDescent="0.3">
      <c r="A1052">
        <v>100</v>
      </c>
      <c r="B1052" t="s">
        <v>16</v>
      </c>
      <c r="C1052" t="s">
        <v>2101</v>
      </c>
      <c r="D1052" s="2" t="s">
        <v>2102</v>
      </c>
      <c r="E1052" t="s">
        <v>2103</v>
      </c>
      <c r="F1052" t="s">
        <v>20</v>
      </c>
      <c r="G1052" t="s">
        <v>21</v>
      </c>
      <c r="H1052" t="s">
        <v>693</v>
      </c>
      <c r="I1052" t="s">
        <v>23</v>
      </c>
      <c r="J1052" t="s">
        <v>40</v>
      </c>
      <c r="K1052" s="2" t="s">
        <v>2093</v>
      </c>
      <c r="L1052" t="s">
        <v>26</v>
      </c>
      <c r="M1052">
        <v>351089</v>
      </c>
      <c r="N1052">
        <v>1</v>
      </c>
      <c r="O1052" s="3">
        <v>39990</v>
      </c>
      <c r="P1052" s="3">
        <v>24023</v>
      </c>
      <c r="Q1052" s="5">
        <f t="shared" si="48"/>
        <v>33605.042016806721</v>
      </c>
      <c r="R1052" s="5">
        <f t="shared" si="49"/>
        <v>24023</v>
      </c>
      <c r="S1052" s="5">
        <f t="shared" si="50"/>
        <v>9582.0420168067212</v>
      </c>
    </row>
    <row r="1053" spans="1:19" hidden="1" x14ac:dyDescent="0.3">
      <c r="A1053">
        <v>100</v>
      </c>
      <c r="B1053" t="s">
        <v>16</v>
      </c>
      <c r="C1053" t="s">
        <v>2104</v>
      </c>
      <c r="D1053" s="2" t="s">
        <v>2105</v>
      </c>
      <c r="E1053" t="s">
        <v>2106</v>
      </c>
      <c r="F1053" t="s">
        <v>20</v>
      </c>
      <c r="G1053" t="s">
        <v>21</v>
      </c>
      <c r="H1053" t="s">
        <v>2107</v>
      </c>
      <c r="I1053" t="s">
        <v>23</v>
      </c>
      <c r="J1053" t="s">
        <v>40</v>
      </c>
      <c r="K1053" s="2" t="s">
        <v>2093</v>
      </c>
      <c r="L1053" t="s">
        <v>26</v>
      </c>
      <c r="M1053">
        <v>351089</v>
      </c>
      <c r="N1053">
        <v>1</v>
      </c>
      <c r="O1053" s="3">
        <v>34990</v>
      </c>
      <c r="P1053" s="3">
        <v>23982</v>
      </c>
      <c r="Q1053" s="5">
        <f t="shared" si="48"/>
        <v>29403.361344537818</v>
      </c>
      <c r="R1053" s="5">
        <f t="shared" si="49"/>
        <v>23982</v>
      </c>
      <c r="S1053" s="5">
        <f t="shared" si="50"/>
        <v>5421.3613445378178</v>
      </c>
    </row>
    <row r="1054" spans="1:19" hidden="1" x14ac:dyDescent="0.3">
      <c r="A1054">
        <v>100</v>
      </c>
      <c r="B1054" t="s">
        <v>16</v>
      </c>
      <c r="C1054" t="s">
        <v>1270</v>
      </c>
      <c r="D1054" s="2" t="s">
        <v>1271</v>
      </c>
      <c r="E1054" t="s">
        <v>1272</v>
      </c>
      <c r="F1054" t="s">
        <v>20</v>
      </c>
      <c r="G1054" t="s">
        <v>21</v>
      </c>
      <c r="H1054" t="s">
        <v>353</v>
      </c>
      <c r="I1054" t="s">
        <v>23</v>
      </c>
      <c r="J1054" t="s">
        <v>95</v>
      </c>
      <c r="K1054" s="2" t="s">
        <v>2093</v>
      </c>
      <c r="L1054" t="s">
        <v>26</v>
      </c>
      <c r="M1054">
        <v>351090</v>
      </c>
      <c r="N1054">
        <v>1</v>
      </c>
      <c r="O1054" s="3">
        <v>39990</v>
      </c>
      <c r="P1054" s="3">
        <v>27296</v>
      </c>
      <c r="Q1054" s="5">
        <f t="shared" si="48"/>
        <v>33605.042016806721</v>
      </c>
      <c r="R1054" s="5">
        <f t="shared" si="49"/>
        <v>27296</v>
      </c>
      <c r="S1054" s="5">
        <f t="shared" si="50"/>
        <v>6309.0420168067212</v>
      </c>
    </row>
    <row r="1055" spans="1:19" hidden="1" x14ac:dyDescent="0.3">
      <c r="A1055">
        <v>100</v>
      </c>
      <c r="B1055" t="s">
        <v>16</v>
      </c>
      <c r="C1055" t="s">
        <v>2108</v>
      </c>
      <c r="D1055" s="2" t="s">
        <v>2109</v>
      </c>
      <c r="E1055" t="s">
        <v>2110</v>
      </c>
      <c r="F1055" t="s">
        <v>20</v>
      </c>
      <c r="G1055" t="s">
        <v>21</v>
      </c>
      <c r="H1055" t="s">
        <v>22</v>
      </c>
      <c r="I1055" t="s">
        <v>23</v>
      </c>
      <c r="J1055" t="s">
        <v>24</v>
      </c>
      <c r="K1055" s="2" t="s">
        <v>2093</v>
      </c>
      <c r="L1055" t="s">
        <v>26</v>
      </c>
      <c r="M1055">
        <v>351091</v>
      </c>
      <c r="N1055">
        <v>1</v>
      </c>
      <c r="O1055" s="3">
        <v>79950</v>
      </c>
      <c r="P1055" s="3">
        <v>27757</v>
      </c>
      <c r="Q1055" s="5">
        <f t="shared" si="48"/>
        <v>67184.873949579836</v>
      </c>
      <c r="R1055" s="5">
        <f t="shared" si="49"/>
        <v>27757</v>
      </c>
      <c r="S1055" s="5">
        <f t="shared" si="50"/>
        <v>39427.873949579836</v>
      </c>
    </row>
    <row r="1056" spans="1:19" hidden="1" x14ac:dyDescent="0.3">
      <c r="A1056">
        <v>100</v>
      </c>
      <c r="B1056" t="s">
        <v>16</v>
      </c>
      <c r="C1056" t="s">
        <v>2111</v>
      </c>
      <c r="D1056" s="2" t="s">
        <v>2112</v>
      </c>
      <c r="E1056" t="s">
        <v>896</v>
      </c>
      <c r="F1056" t="s">
        <v>20</v>
      </c>
      <c r="G1056" t="s">
        <v>21</v>
      </c>
      <c r="H1056" t="s">
        <v>114</v>
      </c>
      <c r="I1056" t="s">
        <v>23</v>
      </c>
      <c r="J1056" t="s">
        <v>35</v>
      </c>
      <c r="K1056" s="2" t="s">
        <v>2093</v>
      </c>
      <c r="L1056" t="s">
        <v>26</v>
      </c>
      <c r="M1056">
        <v>351092</v>
      </c>
      <c r="N1056">
        <v>1</v>
      </c>
      <c r="O1056" s="3">
        <v>69990</v>
      </c>
      <c r="P1056" s="3">
        <v>34879</v>
      </c>
      <c r="Q1056" s="5">
        <f t="shared" si="48"/>
        <v>58815.126050420171</v>
      </c>
      <c r="R1056" s="5">
        <f t="shared" si="49"/>
        <v>34879</v>
      </c>
      <c r="S1056" s="5">
        <f t="shared" si="50"/>
        <v>23936.126050420171</v>
      </c>
    </row>
    <row r="1057" spans="1:19" hidden="1" x14ac:dyDescent="0.3">
      <c r="A1057">
        <v>100</v>
      </c>
      <c r="B1057" t="s">
        <v>16</v>
      </c>
      <c r="C1057" t="s">
        <v>1818</v>
      </c>
      <c r="D1057" s="2" t="s">
        <v>1819</v>
      </c>
      <c r="E1057" t="s">
        <v>689</v>
      </c>
      <c r="F1057" t="s">
        <v>20</v>
      </c>
      <c r="G1057" t="s">
        <v>21</v>
      </c>
      <c r="H1057" t="s">
        <v>22</v>
      </c>
      <c r="I1057" t="s">
        <v>23</v>
      </c>
      <c r="J1057" t="s">
        <v>24</v>
      </c>
      <c r="K1057" s="2" t="s">
        <v>2093</v>
      </c>
      <c r="L1057" t="s">
        <v>26</v>
      </c>
      <c r="M1057">
        <v>351093</v>
      </c>
      <c r="N1057">
        <v>1</v>
      </c>
      <c r="O1057" s="3">
        <v>55990</v>
      </c>
      <c r="P1057" s="3">
        <v>29079</v>
      </c>
      <c r="Q1057" s="5">
        <f t="shared" si="48"/>
        <v>47050.420168067227</v>
      </c>
      <c r="R1057" s="5">
        <f t="shared" si="49"/>
        <v>29079</v>
      </c>
      <c r="S1057" s="5">
        <f t="shared" si="50"/>
        <v>17971.420168067227</v>
      </c>
    </row>
    <row r="1058" spans="1:19" hidden="1" x14ac:dyDescent="0.3">
      <c r="A1058">
        <v>100</v>
      </c>
      <c r="B1058" t="s">
        <v>16</v>
      </c>
      <c r="C1058" t="s">
        <v>2113</v>
      </c>
      <c r="D1058" s="2" t="s">
        <v>2114</v>
      </c>
      <c r="E1058" t="s">
        <v>1244</v>
      </c>
      <c r="F1058" t="s">
        <v>20</v>
      </c>
      <c r="G1058" t="s">
        <v>338</v>
      </c>
      <c r="H1058">
        <v>83707</v>
      </c>
      <c r="I1058" t="s">
        <v>23</v>
      </c>
      <c r="J1058" t="s">
        <v>40</v>
      </c>
      <c r="K1058" s="2" t="s">
        <v>2093</v>
      </c>
      <c r="L1058" t="s">
        <v>26</v>
      </c>
      <c r="M1058">
        <v>351094</v>
      </c>
      <c r="N1058">
        <v>1</v>
      </c>
      <c r="O1058" s="3">
        <v>69990</v>
      </c>
      <c r="P1058" s="3">
        <v>30263</v>
      </c>
      <c r="Q1058" s="5">
        <f t="shared" si="48"/>
        <v>58815.126050420171</v>
      </c>
      <c r="R1058" s="5">
        <f t="shared" si="49"/>
        <v>30263</v>
      </c>
      <c r="S1058" s="5">
        <f t="shared" si="50"/>
        <v>28552.126050420171</v>
      </c>
    </row>
    <row r="1059" spans="1:19" hidden="1" x14ac:dyDescent="0.3">
      <c r="A1059">
        <v>100</v>
      </c>
      <c r="B1059" t="s">
        <v>16</v>
      </c>
      <c r="C1059" t="s">
        <v>2056</v>
      </c>
      <c r="D1059" s="2" t="s">
        <v>2057</v>
      </c>
      <c r="E1059" t="s">
        <v>689</v>
      </c>
      <c r="F1059" t="s">
        <v>20</v>
      </c>
      <c r="G1059" t="s">
        <v>21</v>
      </c>
      <c r="H1059" t="s">
        <v>22</v>
      </c>
      <c r="I1059" t="s">
        <v>23</v>
      </c>
      <c r="J1059" t="s">
        <v>24</v>
      </c>
      <c r="K1059" s="2" t="s">
        <v>2093</v>
      </c>
      <c r="L1059" t="s">
        <v>26</v>
      </c>
      <c r="M1059">
        <v>351095</v>
      </c>
      <c r="N1059">
        <v>1</v>
      </c>
      <c r="O1059" s="3">
        <v>55990</v>
      </c>
      <c r="P1059" s="3">
        <v>29080</v>
      </c>
      <c r="Q1059" s="5">
        <f t="shared" si="48"/>
        <v>47050.420168067227</v>
      </c>
      <c r="R1059" s="5">
        <f t="shared" si="49"/>
        <v>29080</v>
      </c>
      <c r="S1059" s="5">
        <f t="shared" si="50"/>
        <v>17970.420168067227</v>
      </c>
    </row>
    <row r="1060" spans="1:19" hidden="1" x14ac:dyDescent="0.3">
      <c r="A1060">
        <v>100</v>
      </c>
      <c r="B1060" t="s">
        <v>16</v>
      </c>
      <c r="C1060" t="s">
        <v>2115</v>
      </c>
      <c r="D1060" s="2" t="s">
        <v>2116</v>
      </c>
      <c r="E1060" t="s">
        <v>672</v>
      </c>
      <c r="F1060" t="s">
        <v>20</v>
      </c>
      <c r="G1060" t="s">
        <v>21</v>
      </c>
      <c r="H1060" t="s">
        <v>673</v>
      </c>
      <c r="I1060" t="s">
        <v>23</v>
      </c>
      <c r="J1060" t="s">
        <v>35</v>
      </c>
      <c r="K1060" s="2" t="s">
        <v>2093</v>
      </c>
      <c r="L1060" t="s">
        <v>26</v>
      </c>
      <c r="M1060">
        <v>351096</v>
      </c>
      <c r="N1060">
        <v>1</v>
      </c>
      <c r="O1060" s="3">
        <v>69990</v>
      </c>
      <c r="P1060" s="3">
        <v>33887</v>
      </c>
      <c r="Q1060" s="5">
        <f t="shared" si="48"/>
        <v>58815.126050420171</v>
      </c>
      <c r="R1060" s="5">
        <f t="shared" si="49"/>
        <v>33887</v>
      </c>
      <c r="S1060" s="5">
        <f t="shared" si="50"/>
        <v>24928.126050420171</v>
      </c>
    </row>
    <row r="1061" spans="1:19" hidden="1" x14ac:dyDescent="0.3">
      <c r="A1061">
        <v>100</v>
      </c>
      <c r="B1061" t="s">
        <v>16</v>
      </c>
      <c r="C1061" t="s">
        <v>126</v>
      </c>
      <c r="D1061" s="2" t="s">
        <v>127</v>
      </c>
      <c r="E1061" t="s">
        <v>102</v>
      </c>
      <c r="F1061" t="s">
        <v>20</v>
      </c>
      <c r="G1061" t="s">
        <v>21</v>
      </c>
      <c r="H1061" t="s">
        <v>57</v>
      </c>
      <c r="I1061" t="s">
        <v>23</v>
      </c>
      <c r="J1061" t="s">
        <v>35</v>
      </c>
      <c r="K1061" s="2" t="s">
        <v>2093</v>
      </c>
      <c r="L1061" t="s">
        <v>26</v>
      </c>
      <c r="M1061">
        <v>351097</v>
      </c>
      <c r="N1061">
        <v>1</v>
      </c>
      <c r="O1061" s="3">
        <v>69990</v>
      </c>
      <c r="P1061" s="3">
        <v>35351</v>
      </c>
      <c r="Q1061" s="5">
        <f t="shared" si="48"/>
        <v>58815.126050420171</v>
      </c>
      <c r="R1061" s="5">
        <f t="shared" si="49"/>
        <v>35351</v>
      </c>
      <c r="S1061" s="5">
        <f t="shared" si="50"/>
        <v>23464.126050420171</v>
      </c>
    </row>
    <row r="1062" spans="1:19" hidden="1" x14ac:dyDescent="0.3">
      <c r="A1062">
        <v>100</v>
      </c>
      <c r="B1062" t="s">
        <v>16</v>
      </c>
      <c r="C1062" t="s">
        <v>2117</v>
      </c>
      <c r="D1062" s="2" t="s">
        <v>2118</v>
      </c>
      <c r="E1062" t="s">
        <v>460</v>
      </c>
      <c r="F1062" t="s">
        <v>20</v>
      </c>
      <c r="G1062" t="s">
        <v>21</v>
      </c>
      <c r="H1062" t="s">
        <v>461</v>
      </c>
      <c r="I1062" t="s">
        <v>23</v>
      </c>
      <c r="J1062" t="s">
        <v>35</v>
      </c>
      <c r="K1062" s="2" t="s">
        <v>2093</v>
      </c>
      <c r="L1062" t="s">
        <v>26</v>
      </c>
      <c r="M1062">
        <v>351098</v>
      </c>
      <c r="N1062">
        <v>1</v>
      </c>
      <c r="O1062" s="3">
        <v>49990</v>
      </c>
      <c r="P1062" s="3">
        <v>30797</v>
      </c>
      <c r="Q1062" s="5">
        <f t="shared" si="48"/>
        <v>42008.403361344543</v>
      </c>
      <c r="R1062" s="5">
        <f t="shared" si="49"/>
        <v>30797</v>
      </c>
      <c r="S1062" s="5">
        <f t="shared" si="50"/>
        <v>11211.403361344543</v>
      </c>
    </row>
    <row r="1063" spans="1:19" hidden="1" x14ac:dyDescent="0.3">
      <c r="A1063">
        <v>100</v>
      </c>
      <c r="B1063" t="s">
        <v>16</v>
      </c>
      <c r="C1063" t="s">
        <v>657</v>
      </c>
      <c r="D1063" s="2" t="s">
        <v>658</v>
      </c>
      <c r="E1063" t="s">
        <v>121</v>
      </c>
      <c r="F1063" t="s">
        <v>20</v>
      </c>
      <c r="G1063" t="s">
        <v>21</v>
      </c>
      <c r="H1063" t="s">
        <v>122</v>
      </c>
      <c r="I1063" t="s">
        <v>23</v>
      </c>
      <c r="J1063" t="s">
        <v>35</v>
      </c>
      <c r="K1063" s="2" t="s">
        <v>2093</v>
      </c>
      <c r="L1063" t="s">
        <v>26</v>
      </c>
      <c r="M1063">
        <v>351099</v>
      </c>
      <c r="N1063">
        <v>1</v>
      </c>
      <c r="O1063" s="3">
        <v>49990</v>
      </c>
      <c r="P1063" s="3">
        <v>34171</v>
      </c>
      <c r="Q1063" s="5">
        <f t="shared" si="48"/>
        <v>42008.403361344543</v>
      </c>
      <c r="R1063" s="5">
        <f t="shared" si="49"/>
        <v>34171</v>
      </c>
      <c r="S1063" s="5">
        <f t="shared" si="50"/>
        <v>7837.4033613445426</v>
      </c>
    </row>
    <row r="1064" spans="1:19" hidden="1" x14ac:dyDescent="0.3">
      <c r="A1064">
        <v>100</v>
      </c>
      <c r="B1064" t="s">
        <v>16</v>
      </c>
      <c r="C1064" t="s">
        <v>1652</v>
      </c>
      <c r="D1064" s="2" t="s">
        <v>1653</v>
      </c>
      <c r="E1064" t="s">
        <v>288</v>
      </c>
      <c r="F1064" t="s">
        <v>20</v>
      </c>
      <c r="G1064" t="s">
        <v>21</v>
      </c>
      <c r="H1064" t="s">
        <v>160</v>
      </c>
      <c r="I1064" t="s">
        <v>23</v>
      </c>
      <c r="J1064" t="s">
        <v>35</v>
      </c>
      <c r="K1064" s="2" t="s">
        <v>2093</v>
      </c>
      <c r="L1064" t="s">
        <v>26</v>
      </c>
      <c r="M1064">
        <v>351100</v>
      </c>
      <c r="N1064">
        <v>1</v>
      </c>
      <c r="O1064" s="3">
        <v>59990</v>
      </c>
      <c r="P1064" s="3">
        <v>32638</v>
      </c>
      <c r="Q1064" s="5">
        <f t="shared" si="48"/>
        <v>50411.764705882357</v>
      </c>
      <c r="R1064" s="5">
        <f t="shared" si="49"/>
        <v>32638</v>
      </c>
      <c r="S1064" s="5">
        <f t="shared" si="50"/>
        <v>17773.764705882357</v>
      </c>
    </row>
    <row r="1065" spans="1:19" hidden="1" x14ac:dyDescent="0.3">
      <c r="A1065">
        <v>100</v>
      </c>
      <c r="B1065" t="s">
        <v>16</v>
      </c>
      <c r="C1065" t="s">
        <v>2119</v>
      </c>
      <c r="D1065" s="2" t="s">
        <v>2120</v>
      </c>
      <c r="E1065" t="s">
        <v>930</v>
      </c>
      <c r="F1065" t="s">
        <v>20</v>
      </c>
      <c r="G1065" t="s">
        <v>21</v>
      </c>
      <c r="H1065" t="s">
        <v>331</v>
      </c>
      <c r="I1065" t="s">
        <v>23</v>
      </c>
      <c r="J1065" t="s">
        <v>49</v>
      </c>
      <c r="K1065" s="2" t="s">
        <v>2093</v>
      </c>
      <c r="L1065" t="s">
        <v>26</v>
      </c>
      <c r="M1065">
        <v>351101</v>
      </c>
      <c r="N1065">
        <v>1</v>
      </c>
      <c r="O1065" s="3">
        <v>39990</v>
      </c>
      <c r="P1065" s="3">
        <v>24597</v>
      </c>
      <c r="Q1065" s="5">
        <f t="shared" si="48"/>
        <v>33605.042016806721</v>
      </c>
      <c r="R1065" s="5">
        <f t="shared" si="49"/>
        <v>24597</v>
      </c>
      <c r="S1065" s="5">
        <f t="shared" si="50"/>
        <v>9008.0420168067212</v>
      </c>
    </row>
    <row r="1066" spans="1:19" hidden="1" x14ac:dyDescent="0.3">
      <c r="A1066">
        <v>100</v>
      </c>
      <c r="B1066" t="s">
        <v>16</v>
      </c>
      <c r="C1066" t="s">
        <v>1652</v>
      </c>
      <c r="D1066" s="2" t="s">
        <v>1653</v>
      </c>
      <c r="E1066" t="s">
        <v>288</v>
      </c>
      <c r="F1066" t="s">
        <v>20</v>
      </c>
      <c r="G1066" t="s">
        <v>21</v>
      </c>
      <c r="H1066" t="s">
        <v>160</v>
      </c>
      <c r="I1066" t="s">
        <v>23</v>
      </c>
      <c r="J1066" t="s">
        <v>35</v>
      </c>
      <c r="K1066" s="2" t="s">
        <v>2093</v>
      </c>
      <c r="L1066" t="s">
        <v>26</v>
      </c>
      <c r="M1066">
        <v>351102</v>
      </c>
      <c r="N1066">
        <v>1</v>
      </c>
      <c r="O1066" s="3">
        <v>59990</v>
      </c>
      <c r="P1066" s="3">
        <v>32638</v>
      </c>
      <c r="Q1066" s="5">
        <f t="shared" si="48"/>
        <v>50411.764705882357</v>
      </c>
      <c r="R1066" s="5">
        <f t="shared" si="49"/>
        <v>32638</v>
      </c>
      <c r="S1066" s="5">
        <f t="shared" si="50"/>
        <v>17773.764705882357</v>
      </c>
    </row>
    <row r="1067" spans="1:19" hidden="1" x14ac:dyDescent="0.3">
      <c r="A1067">
        <v>100</v>
      </c>
      <c r="B1067" t="s">
        <v>16</v>
      </c>
      <c r="C1067" t="s">
        <v>2121</v>
      </c>
      <c r="D1067" s="2" t="s">
        <v>2122</v>
      </c>
      <c r="E1067" t="s">
        <v>2123</v>
      </c>
      <c r="F1067" t="s">
        <v>20</v>
      </c>
      <c r="G1067" t="s">
        <v>21</v>
      </c>
      <c r="H1067" t="s">
        <v>1422</v>
      </c>
      <c r="I1067" t="s">
        <v>23</v>
      </c>
      <c r="J1067" t="s">
        <v>35</v>
      </c>
      <c r="K1067" s="2" t="s">
        <v>2093</v>
      </c>
      <c r="L1067" t="s">
        <v>26</v>
      </c>
      <c r="M1067">
        <v>351103</v>
      </c>
      <c r="N1067">
        <v>1</v>
      </c>
      <c r="O1067" s="3">
        <v>74990</v>
      </c>
      <c r="P1067" s="3">
        <v>30479</v>
      </c>
      <c r="Q1067" s="5">
        <f t="shared" si="48"/>
        <v>63016.806722689078</v>
      </c>
      <c r="R1067" s="5">
        <f t="shared" si="49"/>
        <v>30479</v>
      </c>
      <c r="S1067" s="5">
        <f t="shared" si="50"/>
        <v>32537.806722689078</v>
      </c>
    </row>
    <row r="1068" spans="1:19" hidden="1" x14ac:dyDescent="0.3">
      <c r="A1068">
        <v>100</v>
      </c>
      <c r="B1068" t="s">
        <v>16</v>
      </c>
      <c r="C1068">
        <v>1687976791</v>
      </c>
      <c r="D1068" s="2" t="s">
        <v>200</v>
      </c>
      <c r="E1068" t="s">
        <v>201</v>
      </c>
      <c r="F1068" t="s">
        <v>201</v>
      </c>
      <c r="G1068" t="s">
        <v>202</v>
      </c>
      <c r="H1068" t="s">
        <v>202</v>
      </c>
      <c r="I1068" t="s">
        <v>23</v>
      </c>
      <c r="J1068" t="s">
        <v>202</v>
      </c>
      <c r="K1068" s="2" t="s">
        <v>2093</v>
      </c>
      <c r="L1068" t="s">
        <v>26</v>
      </c>
      <c r="M1068">
        <v>351104</v>
      </c>
      <c r="N1068">
        <v>1</v>
      </c>
      <c r="O1068" s="3">
        <v>3400</v>
      </c>
      <c r="P1068">
        <v>1</v>
      </c>
      <c r="Q1068" s="5">
        <f t="shared" si="48"/>
        <v>2857.1428571428573</v>
      </c>
      <c r="R1068" s="5">
        <f t="shared" si="49"/>
        <v>1</v>
      </c>
      <c r="S1068" s="5">
        <f t="shared" si="50"/>
        <v>2856.1428571428573</v>
      </c>
    </row>
    <row r="1069" spans="1:19" hidden="1" x14ac:dyDescent="0.3">
      <c r="A1069">
        <v>100</v>
      </c>
      <c r="B1069" t="s">
        <v>16</v>
      </c>
      <c r="C1069" t="s">
        <v>2124</v>
      </c>
      <c r="D1069" s="2" t="s">
        <v>2125</v>
      </c>
      <c r="E1069" t="s">
        <v>2126</v>
      </c>
      <c r="F1069" t="s">
        <v>20</v>
      </c>
      <c r="G1069" t="s">
        <v>215</v>
      </c>
      <c r="H1069" t="s">
        <v>2127</v>
      </c>
      <c r="I1069" t="s">
        <v>23</v>
      </c>
      <c r="J1069" t="s">
        <v>35</v>
      </c>
      <c r="K1069" s="2" t="s">
        <v>2093</v>
      </c>
      <c r="L1069" t="s">
        <v>26</v>
      </c>
      <c r="M1069">
        <v>351104</v>
      </c>
      <c r="N1069">
        <v>1</v>
      </c>
      <c r="O1069" s="3">
        <v>69990</v>
      </c>
      <c r="P1069" s="3">
        <v>47276</v>
      </c>
      <c r="Q1069" s="5">
        <f t="shared" si="48"/>
        <v>58815.126050420171</v>
      </c>
      <c r="R1069" s="5">
        <f t="shared" si="49"/>
        <v>47276</v>
      </c>
      <c r="S1069" s="5">
        <f t="shared" si="50"/>
        <v>11539.126050420171</v>
      </c>
    </row>
    <row r="1070" spans="1:19" hidden="1" x14ac:dyDescent="0.3">
      <c r="A1070">
        <v>100</v>
      </c>
      <c r="B1070" t="s">
        <v>16</v>
      </c>
      <c r="C1070">
        <v>1687976791</v>
      </c>
      <c r="D1070" s="2" t="s">
        <v>200</v>
      </c>
      <c r="E1070" t="s">
        <v>201</v>
      </c>
      <c r="F1070" t="s">
        <v>201</v>
      </c>
      <c r="G1070" t="s">
        <v>202</v>
      </c>
      <c r="H1070" t="s">
        <v>202</v>
      </c>
      <c r="I1070" t="s">
        <v>23</v>
      </c>
      <c r="J1070" t="s">
        <v>202</v>
      </c>
      <c r="K1070" s="2" t="s">
        <v>2093</v>
      </c>
      <c r="L1070" t="s">
        <v>26</v>
      </c>
      <c r="M1070">
        <v>351105</v>
      </c>
      <c r="N1070">
        <v>1</v>
      </c>
      <c r="O1070" s="3">
        <v>3400</v>
      </c>
      <c r="P1070">
        <v>1</v>
      </c>
      <c r="Q1070" s="5">
        <f t="shared" si="48"/>
        <v>2857.1428571428573</v>
      </c>
      <c r="R1070" s="5">
        <f t="shared" si="49"/>
        <v>1</v>
      </c>
      <c r="S1070" s="5">
        <f t="shared" si="50"/>
        <v>2856.1428571428573</v>
      </c>
    </row>
    <row r="1071" spans="1:19" hidden="1" x14ac:dyDescent="0.3">
      <c r="A1071">
        <v>100</v>
      </c>
      <c r="B1071" t="s">
        <v>16</v>
      </c>
      <c r="C1071" t="s">
        <v>1928</v>
      </c>
      <c r="D1071" s="2" t="s">
        <v>1929</v>
      </c>
      <c r="E1071" t="s">
        <v>1930</v>
      </c>
      <c r="F1071" t="s">
        <v>20</v>
      </c>
      <c r="G1071" t="s">
        <v>21</v>
      </c>
      <c r="H1071" t="s">
        <v>1096</v>
      </c>
      <c r="I1071" t="s">
        <v>23</v>
      </c>
      <c r="J1071" t="s">
        <v>35</v>
      </c>
      <c r="K1071" s="2" t="s">
        <v>2093</v>
      </c>
      <c r="L1071" t="s">
        <v>26</v>
      </c>
      <c r="M1071">
        <v>351105</v>
      </c>
      <c r="N1071">
        <v>1</v>
      </c>
      <c r="O1071" s="3">
        <v>59990</v>
      </c>
      <c r="P1071" s="3">
        <v>35721</v>
      </c>
      <c r="Q1071" s="5">
        <f t="shared" si="48"/>
        <v>50411.764705882357</v>
      </c>
      <c r="R1071" s="5">
        <f t="shared" si="49"/>
        <v>35721</v>
      </c>
      <c r="S1071" s="5">
        <f t="shared" si="50"/>
        <v>14690.764705882357</v>
      </c>
    </row>
    <row r="1072" spans="1:19" hidden="1" x14ac:dyDescent="0.3">
      <c r="A1072">
        <v>100</v>
      </c>
      <c r="B1072" t="s">
        <v>16</v>
      </c>
      <c r="C1072" t="s">
        <v>2128</v>
      </c>
      <c r="D1072" s="2" t="s">
        <v>2129</v>
      </c>
      <c r="E1072" t="s">
        <v>933</v>
      </c>
      <c r="F1072" t="s">
        <v>20</v>
      </c>
      <c r="G1072" t="s">
        <v>21</v>
      </c>
      <c r="H1072" t="s">
        <v>718</v>
      </c>
      <c r="I1072" t="s">
        <v>23</v>
      </c>
      <c r="J1072" t="s">
        <v>35</v>
      </c>
      <c r="K1072" s="2" t="s">
        <v>2093</v>
      </c>
      <c r="L1072" t="s">
        <v>26</v>
      </c>
      <c r="M1072">
        <v>351106</v>
      </c>
      <c r="N1072">
        <v>1</v>
      </c>
      <c r="O1072" s="3">
        <v>52990</v>
      </c>
      <c r="P1072" s="3">
        <v>32086</v>
      </c>
      <c r="Q1072" s="5">
        <f t="shared" si="48"/>
        <v>44529.411764705881</v>
      </c>
      <c r="R1072" s="5">
        <f t="shared" si="49"/>
        <v>32086</v>
      </c>
      <c r="S1072" s="5">
        <f t="shared" si="50"/>
        <v>12443.411764705881</v>
      </c>
    </row>
    <row r="1073" spans="1:19" hidden="1" x14ac:dyDescent="0.3">
      <c r="A1073">
        <v>100</v>
      </c>
      <c r="B1073" t="s">
        <v>16</v>
      </c>
      <c r="C1073" t="s">
        <v>2130</v>
      </c>
      <c r="D1073" s="2" t="s">
        <v>2131</v>
      </c>
      <c r="E1073" t="s">
        <v>635</v>
      </c>
      <c r="F1073" t="s">
        <v>20</v>
      </c>
      <c r="G1073" t="s">
        <v>21</v>
      </c>
      <c r="H1073" t="s">
        <v>53</v>
      </c>
      <c r="I1073" t="s">
        <v>23</v>
      </c>
      <c r="J1073" t="s">
        <v>35</v>
      </c>
      <c r="K1073" s="2" t="s">
        <v>2093</v>
      </c>
      <c r="L1073" t="s">
        <v>26</v>
      </c>
      <c r="M1073">
        <v>351107</v>
      </c>
      <c r="N1073">
        <v>1</v>
      </c>
      <c r="O1073" s="3">
        <v>34990</v>
      </c>
      <c r="P1073" s="3">
        <v>30400</v>
      </c>
      <c r="Q1073" s="5">
        <f t="shared" si="48"/>
        <v>29403.361344537818</v>
      </c>
      <c r="R1073" s="5">
        <f t="shared" si="49"/>
        <v>30400</v>
      </c>
      <c r="S1073" s="5">
        <f t="shared" si="50"/>
        <v>-996.63865546218221</v>
      </c>
    </row>
    <row r="1074" spans="1:19" hidden="1" x14ac:dyDescent="0.3">
      <c r="A1074">
        <v>100</v>
      </c>
      <c r="B1074" t="s">
        <v>16</v>
      </c>
      <c r="C1074" t="s">
        <v>2132</v>
      </c>
      <c r="D1074" s="2" t="s">
        <v>2133</v>
      </c>
      <c r="E1074" t="s">
        <v>2134</v>
      </c>
      <c r="F1074" t="s">
        <v>20</v>
      </c>
      <c r="G1074" t="s">
        <v>21</v>
      </c>
      <c r="H1074" t="s">
        <v>1117</v>
      </c>
      <c r="I1074" t="s">
        <v>23</v>
      </c>
      <c r="J1074" t="s">
        <v>95</v>
      </c>
      <c r="K1074" s="2" t="s">
        <v>2093</v>
      </c>
      <c r="L1074" t="s">
        <v>26</v>
      </c>
      <c r="M1074">
        <v>351108</v>
      </c>
      <c r="N1074">
        <v>1</v>
      </c>
      <c r="O1074" s="3">
        <v>43990</v>
      </c>
      <c r="P1074" s="3">
        <v>28039</v>
      </c>
      <c r="Q1074" s="5">
        <f t="shared" si="48"/>
        <v>36966.386554621851</v>
      </c>
      <c r="R1074" s="5">
        <f t="shared" si="49"/>
        <v>28039</v>
      </c>
      <c r="S1074" s="5">
        <f t="shared" si="50"/>
        <v>8927.3865546218512</v>
      </c>
    </row>
    <row r="1075" spans="1:19" hidden="1" x14ac:dyDescent="0.3">
      <c r="A1075">
        <v>100</v>
      </c>
      <c r="B1075" t="s">
        <v>16</v>
      </c>
      <c r="C1075" t="s">
        <v>2135</v>
      </c>
      <c r="D1075" s="2" t="s">
        <v>2136</v>
      </c>
      <c r="E1075" t="s">
        <v>1620</v>
      </c>
      <c r="F1075" t="s">
        <v>20</v>
      </c>
      <c r="G1075" t="s">
        <v>21</v>
      </c>
      <c r="H1075" t="s">
        <v>673</v>
      </c>
      <c r="I1075" t="s">
        <v>23</v>
      </c>
      <c r="J1075" t="s">
        <v>35</v>
      </c>
      <c r="K1075" s="2" t="s">
        <v>2093</v>
      </c>
      <c r="L1075" t="s">
        <v>26</v>
      </c>
      <c r="M1075">
        <v>351109</v>
      </c>
      <c r="N1075">
        <v>1</v>
      </c>
      <c r="O1075" s="3">
        <v>69990</v>
      </c>
      <c r="P1075" s="3">
        <v>37735</v>
      </c>
      <c r="Q1075" s="5">
        <f t="shared" si="48"/>
        <v>58815.126050420171</v>
      </c>
      <c r="R1075" s="5">
        <f t="shared" si="49"/>
        <v>37735</v>
      </c>
      <c r="S1075" s="5">
        <f t="shared" si="50"/>
        <v>21080.126050420171</v>
      </c>
    </row>
    <row r="1076" spans="1:19" hidden="1" x14ac:dyDescent="0.3">
      <c r="A1076">
        <v>100</v>
      </c>
      <c r="B1076" t="s">
        <v>16</v>
      </c>
      <c r="C1076" t="s">
        <v>2137</v>
      </c>
      <c r="D1076" s="2" t="s">
        <v>2138</v>
      </c>
      <c r="E1076" t="s">
        <v>2139</v>
      </c>
      <c r="F1076" t="s">
        <v>20</v>
      </c>
      <c r="G1076" t="s">
        <v>21</v>
      </c>
      <c r="H1076" t="s">
        <v>2140</v>
      </c>
      <c r="I1076" t="s">
        <v>23</v>
      </c>
      <c r="J1076" t="s">
        <v>35</v>
      </c>
      <c r="K1076" s="2" t="s">
        <v>2093</v>
      </c>
      <c r="L1076" t="s">
        <v>26</v>
      </c>
      <c r="M1076">
        <v>351110</v>
      </c>
      <c r="N1076">
        <v>1</v>
      </c>
      <c r="O1076" s="3">
        <v>69990</v>
      </c>
      <c r="P1076" s="3">
        <v>34284</v>
      </c>
      <c r="Q1076" s="5">
        <f t="shared" si="48"/>
        <v>58815.126050420171</v>
      </c>
      <c r="R1076" s="5">
        <f t="shared" si="49"/>
        <v>34284</v>
      </c>
      <c r="S1076" s="5">
        <f t="shared" si="50"/>
        <v>24531.126050420171</v>
      </c>
    </row>
    <row r="1077" spans="1:19" hidden="1" x14ac:dyDescent="0.3">
      <c r="A1077">
        <v>100</v>
      </c>
      <c r="B1077" t="s">
        <v>16</v>
      </c>
      <c r="C1077" t="s">
        <v>2137</v>
      </c>
      <c r="D1077" s="2" t="s">
        <v>2138</v>
      </c>
      <c r="E1077" t="s">
        <v>2139</v>
      </c>
      <c r="F1077" t="s">
        <v>20</v>
      </c>
      <c r="G1077" t="s">
        <v>21</v>
      </c>
      <c r="H1077" t="s">
        <v>2140</v>
      </c>
      <c r="I1077" t="s">
        <v>23</v>
      </c>
      <c r="J1077" t="s">
        <v>35</v>
      </c>
      <c r="K1077" s="2" t="s">
        <v>2093</v>
      </c>
      <c r="L1077" t="s">
        <v>26</v>
      </c>
      <c r="M1077">
        <v>351111</v>
      </c>
      <c r="N1077">
        <v>1</v>
      </c>
      <c r="O1077" s="3">
        <v>69990</v>
      </c>
      <c r="P1077" s="3">
        <v>34284</v>
      </c>
      <c r="Q1077" s="5">
        <f t="shared" si="48"/>
        <v>58815.126050420171</v>
      </c>
      <c r="R1077" s="5">
        <f t="shared" si="49"/>
        <v>34284</v>
      </c>
      <c r="S1077" s="5">
        <f t="shared" si="50"/>
        <v>24531.126050420171</v>
      </c>
    </row>
    <row r="1078" spans="1:19" hidden="1" x14ac:dyDescent="0.3">
      <c r="A1078">
        <v>100</v>
      </c>
      <c r="B1078" t="s">
        <v>16</v>
      </c>
      <c r="C1078" t="s">
        <v>2141</v>
      </c>
      <c r="D1078" s="2" t="s">
        <v>2142</v>
      </c>
      <c r="E1078" t="s">
        <v>2143</v>
      </c>
      <c r="F1078" t="s">
        <v>20</v>
      </c>
      <c r="G1078" t="s">
        <v>338</v>
      </c>
      <c r="H1078">
        <v>23732</v>
      </c>
      <c r="I1078" t="s">
        <v>23</v>
      </c>
      <c r="J1078" t="s">
        <v>40</v>
      </c>
      <c r="K1078" s="2" t="s">
        <v>2093</v>
      </c>
      <c r="L1078" t="s">
        <v>26</v>
      </c>
      <c r="M1078">
        <v>351112</v>
      </c>
      <c r="N1078">
        <v>1</v>
      </c>
      <c r="O1078" s="3">
        <v>59990</v>
      </c>
      <c r="P1078" s="3">
        <v>26539</v>
      </c>
      <c r="Q1078" s="5">
        <f t="shared" si="48"/>
        <v>50411.764705882357</v>
      </c>
      <c r="R1078" s="5">
        <f t="shared" si="49"/>
        <v>26539</v>
      </c>
      <c r="S1078" s="5">
        <f t="shared" si="50"/>
        <v>23872.764705882357</v>
      </c>
    </row>
    <row r="1079" spans="1:19" hidden="1" x14ac:dyDescent="0.3">
      <c r="A1079">
        <v>100</v>
      </c>
      <c r="B1079" t="s">
        <v>16</v>
      </c>
      <c r="C1079" t="s">
        <v>2144</v>
      </c>
      <c r="D1079" s="2" t="s">
        <v>2145</v>
      </c>
      <c r="E1079" t="s">
        <v>951</v>
      </c>
      <c r="F1079" t="s">
        <v>20</v>
      </c>
      <c r="G1079" t="s">
        <v>21</v>
      </c>
      <c r="H1079" t="s">
        <v>79</v>
      </c>
      <c r="I1079" t="s">
        <v>23</v>
      </c>
      <c r="J1079" t="s">
        <v>31</v>
      </c>
      <c r="K1079" s="2" t="s">
        <v>2093</v>
      </c>
      <c r="L1079" t="s">
        <v>26</v>
      </c>
      <c r="M1079">
        <v>351113</v>
      </c>
      <c r="N1079">
        <v>1</v>
      </c>
      <c r="O1079" s="3">
        <v>84990</v>
      </c>
      <c r="P1079" s="3">
        <v>40725</v>
      </c>
      <c r="Q1079" s="5">
        <f t="shared" si="48"/>
        <v>71420.168067226899</v>
      </c>
      <c r="R1079" s="5">
        <f t="shared" si="49"/>
        <v>40725</v>
      </c>
      <c r="S1079" s="5">
        <f t="shared" si="50"/>
        <v>30695.168067226899</v>
      </c>
    </row>
    <row r="1080" spans="1:19" hidden="1" x14ac:dyDescent="0.3">
      <c r="A1080">
        <v>100</v>
      </c>
      <c r="B1080" t="s">
        <v>16</v>
      </c>
      <c r="C1080" t="s">
        <v>2146</v>
      </c>
      <c r="D1080" s="2" t="s">
        <v>2147</v>
      </c>
      <c r="E1080" t="s">
        <v>2148</v>
      </c>
      <c r="F1080" t="s">
        <v>20</v>
      </c>
      <c r="G1080" t="s">
        <v>21</v>
      </c>
      <c r="H1080" t="s">
        <v>614</v>
      </c>
      <c r="I1080" t="s">
        <v>23</v>
      </c>
      <c r="J1080" t="s">
        <v>35</v>
      </c>
      <c r="K1080" s="2" t="s">
        <v>2149</v>
      </c>
      <c r="L1080" t="s">
        <v>26</v>
      </c>
      <c r="M1080">
        <v>351114</v>
      </c>
      <c r="N1080">
        <v>1</v>
      </c>
      <c r="O1080" s="3">
        <v>44990</v>
      </c>
      <c r="P1080" s="3">
        <v>18266</v>
      </c>
      <c r="Q1080" s="5">
        <f t="shared" si="48"/>
        <v>37806.722689075636</v>
      </c>
      <c r="R1080" s="5">
        <f t="shared" si="49"/>
        <v>18266</v>
      </c>
      <c r="S1080" s="5">
        <f t="shared" si="50"/>
        <v>19540.722689075636</v>
      </c>
    </row>
    <row r="1081" spans="1:19" hidden="1" x14ac:dyDescent="0.3">
      <c r="A1081">
        <v>100</v>
      </c>
      <c r="B1081" t="s">
        <v>16</v>
      </c>
      <c r="C1081" t="s">
        <v>2150</v>
      </c>
      <c r="D1081" s="2" t="s">
        <v>2151</v>
      </c>
      <c r="E1081" t="s">
        <v>689</v>
      </c>
      <c r="F1081" t="s">
        <v>20</v>
      </c>
      <c r="G1081" t="s">
        <v>21</v>
      </c>
      <c r="H1081" t="s">
        <v>22</v>
      </c>
      <c r="I1081" t="s">
        <v>23</v>
      </c>
      <c r="J1081" t="s">
        <v>24</v>
      </c>
      <c r="K1081" s="2" t="s">
        <v>2149</v>
      </c>
      <c r="L1081" t="s">
        <v>26</v>
      </c>
      <c r="M1081">
        <v>351115</v>
      </c>
      <c r="N1081">
        <v>1</v>
      </c>
      <c r="O1081" s="3">
        <v>55990</v>
      </c>
      <c r="P1081" s="3">
        <v>29082</v>
      </c>
      <c r="Q1081" s="5">
        <f t="shared" si="48"/>
        <v>47050.420168067227</v>
      </c>
      <c r="R1081" s="5">
        <f t="shared" si="49"/>
        <v>29082</v>
      </c>
      <c r="S1081" s="5">
        <f t="shared" si="50"/>
        <v>17968.420168067227</v>
      </c>
    </row>
    <row r="1082" spans="1:19" hidden="1" x14ac:dyDescent="0.3">
      <c r="A1082">
        <v>100</v>
      </c>
      <c r="B1082" t="s">
        <v>16</v>
      </c>
      <c r="C1082" t="s">
        <v>676</v>
      </c>
      <c r="D1082" s="2" t="s">
        <v>677</v>
      </c>
      <c r="E1082" t="s">
        <v>678</v>
      </c>
      <c r="F1082" t="s">
        <v>20</v>
      </c>
      <c r="G1082" t="s">
        <v>21</v>
      </c>
      <c r="H1082" t="s">
        <v>22</v>
      </c>
      <c r="I1082" t="s">
        <v>23</v>
      </c>
      <c r="J1082" t="s">
        <v>31</v>
      </c>
      <c r="K1082" s="2" t="s">
        <v>2149</v>
      </c>
      <c r="L1082" t="s">
        <v>26</v>
      </c>
      <c r="M1082">
        <v>351115</v>
      </c>
      <c r="N1082">
        <v>1</v>
      </c>
      <c r="O1082" s="3">
        <v>84990</v>
      </c>
      <c r="P1082" s="3">
        <v>49625</v>
      </c>
      <c r="Q1082" s="5">
        <f t="shared" si="48"/>
        <v>71420.168067226899</v>
      </c>
      <c r="R1082" s="5">
        <f t="shared" si="49"/>
        <v>49625</v>
      </c>
      <c r="S1082" s="5">
        <f t="shared" si="50"/>
        <v>21795.168067226899</v>
      </c>
    </row>
    <row r="1083" spans="1:19" hidden="1" x14ac:dyDescent="0.3">
      <c r="A1083">
        <v>100</v>
      </c>
      <c r="B1083" t="s">
        <v>16</v>
      </c>
      <c r="C1083" t="s">
        <v>2152</v>
      </c>
      <c r="D1083" s="2" t="s">
        <v>2153</v>
      </c>
      <c r="E1083" t="s">
        <v>1861</v>
      </c>
      <c r="F1083" t="s">
        <v>20</v>
      </c>
      <c r="G1083" t="s">
        <v>21</v>
      </c>
      <c r="H1083" t="s">
        <v>1337</v>
      </c>
      <c r="I1083" t="s">
        <v>23</v>
      </c>
      <c r="J1083" t="s">
        <v>49</v>
      </c>
      <c r="K1083" s="2" t="s">
        <v>2149</v>
      </c>
      <c r="L1083" t="s">
        <v>26</v>
      </c>
      <c r="M1083">
        <v>351116</v>
      </c>
      <c r="N1083">
        <v>1</v>
      </c>
      <c r="O1083" s="3">
        <v>34990</v>
      </c>
      <c r="P1083" s="3">
        <v>21325</v>
      </c>
      <c r="Q1083" s="5">
        <f t="shared" si="48"/>
        <v>29403.361344537818</v>
      </c>
      <c r="R1083" s="5">
        <f t="shared" si="49"/>
        <v>21325</v>
      </c>
      <c r="S1083" s="5">
        <f t="shared" si="50"/>
        <v>8078.3613445378178</v>
      </c>
    </row>
    <row r="1084" spans="1:19" hidden="1" x14ac:dyDescent="0.3">
      <c r="A1084">
        <v>100</v>
      </c>
      <c r="B1084" t="s">
        <v>16</v>
      </c>
      <c r="C1084" t="s">
        <v>2154</v>
      </c>
      <c r="D1084" s="2" t="s">
        <v>2155</v>
      </c>
      <c r="E1084" t="s">
        <v>1585</v>
      </c>
      <c r="F1084" t="s">
        <v>20</v>
      </c>
      <c r="G1084" t="s">
        <v>21</v>
      </c>
      <c r="H1084" t="s">
        <v>870</v>
      </c>
      <c r="I1084" t="s">
        <v>23</v>
      </c>
      <c r="J1084" t="s">
        <v>49</v>
      </c>
      <c r="K1084" s="2" t="s">
        <v>2149</v>
      </c>
      <c r="L1084" t="s">
        <v>26</v>
      </c>
      <c r="M1084">
        <v>351117</v>
      </c>
      <c r="N1084">
        <v>1</v>
      </c>
      <c r="O1084" s="3">
        <v>39990</v>
      </c>
      <c r="P1084" s="3">
        <v>23542</v>
      </c>
      <c r="Q1084" s="5">
        <f t="shared" si="48"/>
        <v>33605.042016806721</v>
      </c>
      <c r="R1084" s="5">
        <f t="shared" si="49"/>
        <v>23542</v>
      </c>
      <c r="S1084" s="5">
        <f t="shared" si="50"/>
        <v>10063.042016806721</v>
      </c>
    </row>
    <row r="1085" spans="1:19" hidden="1" x14ac:dyDescent="0.3">
      <c r="A1085">
        <v>100</v>
      </c>
      <c r="B1085" t="s">
        <v>16</v>
      </c>
      <c r="C1085" t="s">
        <v>2156</v>
      </c>
      <c r="D1085" s="2" t="s">
        <v>2157</v>
      </c>
      <c r="E1085" t="s">
        <v>965</v>
      </c>
      <c r="F1085" t="s">
        <v>20</v>
      </c>
      <c r="G1085" t="s">
        <v>21</v>
      </c>
      <c r="H1085" t="s">
        <v>966</v>
      </c>
      <c r="I1085" t="s">
        <v>23</v>
      </c>
      <c r="J1085" t="s">
        <v>40</v>
      </c>
      <c r="K1085" s="2" t="s">
        <v>2149</v>
      </c>
      <c r="L1085" t="s">
        <v>26</v>
      </c>
      <c r="M1085">
        <v>351118</v>
      </c>
      <c r="N1085">
        <v>1</v>
      </c>
      <c r="O1085" s="3">
        <v>44990</v>
      </c>
      <c r="P1085" s="3">
        <v>24081</v>
      </c>
      <c r="Q1085" s="5">
        <f t="shared" si="48"/>
        <v>37806.722689075636</v>
      </c>
      <c r="R1085" s="5">
        <f t="shared" si="49"/>
        <v>24081</v>
      </c>
      <c r="S1085" s="5">
        <f t="shared" si="50"/>
        <v>13725.722689075636</v>
      </c>
    </row>
    <row r="1086" spans="1:19" hidden="1" x14ac:dyDescent="0.3">
      <c r="A1086">
        <v>100</v>
      </c>
      <c r="B1086" t="s">
        <v>16</v>
      </c>
      <c r="C1086" t="s">
        <v>2158</v>
      </c>
      <c r="D1086" s="2" t="s">
        <v>2159</v>
      </c>
      <c r="E1086" t="s">
        <v>2160</v>
      </c>
      <c r="F1086" t="s">
        <v>20</v>
      </c>
      <c r="G1086" t="s">
        <v>21</v>
      </c>
      <c r="H1086" t="s">
        <v>970</v>
      </c>
      <c r="I1086" t="s">
        <v>23</v>
      </c>
      <c r="J1086" t="s">
        <v>40</v>
      </c>
      <c r="K1086" s="2" t="s">
        <v>2149</v>
      </c>
      <c r="L1086" t="s">
        <v>26</v>
      </c>
      <c r="M1086">
        <v>351119</v>
      </c>
      <c r="N1086">
        <v>1</v>
      </c>
      <c r="O1086" s="3">
        <v>49990</v>
      </c>
      <c r="P1086" s="3">
        <v>18264</v>
      </c>
      <c r="Q1086" s="5">
        <f t="shared" si="48"/>
        <v>42008.403361344543</v>
      </c>
      <c r="R1086" s="5">
        <f t="shared" si="49"/>
        <v>18264</v>
      </c>
      <c r="S1086" s="5">
        <f t="shared" si="50"/>
        <v>23744.403361344543</v>
      </c>
    </row>
    <row r="1087" spans="1:19" hidden="1" x14ac:dyDescent="0.3">
      <c r="A1087">
        <v>100</v>
      </c>
      <c r="B1087" t="s">
        <v>16</v>
      </c>
      <c r="C1087" t="s">
        <v>2161</v>
      </c>
      <c r="D1087" s="2" t="s">
        <v>2162</v>
      </c>
      <c r="E1087" t="s">
        <v>2163</v>
      </c>
      <c r="F1087" t="s">
        <v>20</v>
      </c>
      <c r="G1087" t="s">
        <v>21</v>
      </c>
      <c r="H1087" t="s">
        <v>970</v>
      </c>
      <c r="I1087" t="s">
        <v>23</v>
      </c>
      <c r="J1087" t="s">
        <v>40</v>
      </c>
      <c r="K1087" s="2" t="s">
        <v>2149</v>
      </c>
      <c r="L1087" t="s">
        <v>26</v>
      </c>
      <c r="M1087">
        <v>351119</v>
      </c>
      <c r="N1087">
        <v>1</v>
      </c>
      <c r="O1087" s="3">
        <v>59950</v>
      </c>
      <c r="P1087" s="3">
        <v>19352</v>
      </c>
      <c r="Q1087" s="5">
        <f t="shared" si="48"/>
        <v>50378.151260504201</v>
      </c>
      <c r="R1087" s="5">
        <f t="shared" si="49"/>
        <v>19352</v>
      </c>
      <c r="S1087" s="5">
        <f t="shared" si="50"/>
        <v>31026.151260504201</v>
      </c>
    </row>
    <row r="1088" spans="1:19" hidden="1" x14ac:dyDescent="0.3">
      <c r="A1088">
        <v>100</v>
      </c>
      <c r="B1088" t="s">
        <v>16</v>
      </c>
      <c r="C1088" t="s">
        <v>1803</v>
      </c>
      <c r="D1088" s="2" t="s">
        <v>1804</v>
      </c>
      <c r="E1088" t="s">
        <v>460</v>
      </c>
      <c r="F1088" t="s">
        <v>20</v>
      </c>
      <c r="G1088" t="s">
        <v>21</v>
      </c>
      <c r="H1088" t="s">
        <v>461</v>
      </c>
      <c r="I1088" t="s">
        <v>23</v>
      </c>
      <c r="J1088" t="s">
        <v>35</v>
      </c>
      <c r="K1088" s="2" t="s">
        <v>2149</v>
      </c>
      <c r="L1088" t="s">
        <v>26</v>
      </c>
      <c r="M1088">
        <v>351120</v>
      </c>
      <c r="N1088">
        <v>1</v>
      </c>
      <c r="O1088" s="3">
        <v>49990</v>
      </c>
      <c r="P1088" s="3">
        <v>30932</v>
      </c>
      <c r="Q1088" s="5">
        <f t="shared" si="48"/>
        <v>42008.403361344543</v>
      </c>
      <c r="R1088" s="5">
        <f t="shared" si="49"/>
        <v>30932</v>
      </c>
      <c r="S1088" s="5">
        <f t="shared" si="50"/>
        <v>11076.403361344543</v>
      </c>
    </row>
    <row r="1089" spans="1:19" hidden="1" x14ac:dyDescent="0.3">
      <c r="A1089">
        <v>100</v>
      </c>
      <c r="B1089" t="s">
        <v>16</v>
      </c>
      <c r="C1089" t="s">
        <v>455</v>
      </c>
      <c r="D1089" s="2" t="s">
        <v>456</v>
      </c>
      <c r="E1089" t="s">
        <v>457</v>
      </c>
      <c r="F1089" t="s">
        <v>20</v>
      </c>
      <c r="G1089" t="s">
        <v>21</v>
      </c>
      <c r="H1089" t="s">
        <v>79</v>
      </c>
      <c r="I1089" t="s">
        <v>23</v>
      </c>
      <c r="J1089" t="s">
        <v>35</v>
      </c>
      <c r="K1089" s="2" t="s">
        <v>2149</v>
      </c>
      <c r="L1089" t="s">
        <v>26</v>
      </c>
      <c r="M1089">
        <v>351121</v>
      </c>
      <c r="N1089">
        <v>1</v>
      </c>
      <c r="O1089" s="3">
        <v>59990</v>
      </c>
      <c r="P1089" s="3">
        <v>36052</v>
      </c>
      <c r="Q1089" s="5">
        <f t="shared" si="48"/>
        <v>50411.764705882357</v>
      </c>
      <c r="R1089" s="5">
        <f t="shared" si="49"/>
        <v>36052</v>
      </c>
      <c r="S1089" s="5">
        <f t="shared" si="50"/>
        <v>14359.764705882357</v>
      </c>
    </row>
    <row r="1090" spans="1:19" hidden="1" x14ac:dyDescent="0.3">
      <c r="A1090">
        <v>100</v>
      </c>
      <c r="B1090" t="s">
        <v>16</v>
      </c>
      <c r="C1090">
        <v>1687976791</v>
      </c>
      <c r="D1090" s="2" t="s">
        <v>200</v>
      </c>
      <c r="E1090" t="s">
        <v>201</v>
      </c>
      <c r="F1090" t="s">
        <v>201</v>
      </c>
      <c r="G1090" t="s">
        <v>202</v>
      </c>
      <c r="H1090" t="s">
        <v>202</v>
      </c>
      <c r="I1090" t="s">
        <v>23</v>
      </c>
      <c r="J1090" t="s">
        <v>202</v>
      </c>
      <c r="K1090" s="2" t="s">
        <v>2149</v>
      </c>
      <c r="L1090" t="s">
        <v>26</v>
      </c>
      <c r="M1090">
        <v>351121</v>
      </c>
      <c r="N1090">
        <v>1</v>
      </c>
      <c r="O1090" s="3">
        <v>10815</v>
      </c>
      <c r="P1090">
        <v>1</v>
      </c>
      <c r="Q1090" s="5">
        <f t="shared" si="48"/>
        <v>9088.2352941176468</v>
      </c>
      <c r="R1090" s="5">
        <f t="shared" si="49"/>
        <v>1</v>
      </c>
      <c r="S1090" s="5">
        <f t="shared" si="50"/>
        <v>9087.2352941176468</v>
      </c>
    </row>
    <row r="1091" spans="1:19" hidden="1" x14ac:dyDescent="0.3">
      <c r="A1091">
        <v>100</v>
      </c>
      <c r="B1091" t="s">
        <v>16</v>
      </c>
      <c r="C1091" t="s">
        <v>2164</v>
      </c>
      <c r="D1091" s="2" t="s">
        <v>2165</v>
      </c>
      <c r="E1091" t="s">
        <v>1907</v>
      </c>
      <c r="F1091" t="s">
        <v>20</v>
      </c>
      <c r="G1091" t="s">
        <v>21</v>
      </c>
      <c r="H1091" t="s">
        <v>1227</v>
      </c>
      <c r="I1091" t="s">
        <v>23</v>
      </c>
      <c r="J1091" t="s">
        <v>35</v>
      </c>
      <c r="K1091" s="2" t="s">
        <v>2149</v>
      </c>
      <c r="L1091" t="s">
        <v>26</v>
      </c>
      <c r="M1091">
        <v>351122</v>
      </c>
      <c r="N1091">
        <v>1</v>
      </c>
      <c r="O1091" s="3">
        <v>99950</v>
      </c>
      <c r="P1091" s="3">
        <v>52118</v>
      </c>
      <c r="Q1091" s="5">
        <f t="shared" si="48"/>
        <v>83991.596638655465</v>
      </c>
      <c r="R1091" s="5">
        <f t="shared" si="49"/>
        <v>52118</v>
      </c>
      <c r="S1091" s="5">
        <f t="shared" si="50"/>
        <v>31873.596638655465</v>
      </c>
    </row>
    <row r="1092" spans="1:19" hidden="1" x14ac:dyDescent="0.3">
      <c r="A1092">
        <v>100</v>
      </c>
      <c r="B1092" t="s">
        <v>16</v>
      </c>
      <c r="C1092">
        <v>1687976791</v>
      </c>
      <c r="D1092" s="2" t="s">
        <v>200</v>
      </c>
      <c r="E1092" t="s">
        <v>201</v>
      </c>
      <c r="F1092" t="s">
        <v>201</v>
      </c>
      <c r="G1092" t="s">
        <v>202</v>
      </c>
      <c r="H1092" t="s">
        <v>202</v>
      </c>
      <c r="I1092" t="s">
        <v>23</v>
      </c>
      <c r="J1092" t="s">
        <v>202</v>
      </c>
      <c r="K1092" s="2" t="s">
        <v>2149</v>
      </c>
      <c r="L1092" t="s">
        <v>26</v>
      </c>
      <c r="M1092">
        <v>351123</v>
      </c>
      <c r="N1092">
        <v>1</v>
      </c>
      <c r="O1092" s="3">
        <v>3400</v>
      </c>
      <c r="P1092">
        <v>1</v>
      </c>
      <c r="Q1092" s="5">
        <f t="shared" si="48"/>
        <v>2857.1428571428573</v>
      </c>
      <c r="R1092" s="5">
        <f t="shared" si="49"/>
        <v>1</v>
      </c>
      <c r="S1092" s="5">
        <f t="shared" si="50"/>
        <v>2856.1428571428573</v>
      </c>
    </row>
    <row r="1093" spans="1:19" hidden="1" x14ac:dyDescent="0.3">
      <c r="A1093">
        <v>100</v>
      </c>
      <c r="B1093" t="s">
        <v>16</v>
      </c>
      <c r="C1093" t="s">
        <v>2166</v>
      </c>
      <c r="D1093" s="2" t="s">
        <v>2167</v>
      </c>
      <c r="E1093" t="s">
        <v>102</v>
      </c>
      <c r="F1093" t="s">
        <v>20</v>
      </c>
      <c r="G1093" t="s">
        <v>21</v>
      </c>
      <c r="H1093" t="s">
        <v>57</v>
      </c>
      <c r="I1093" t="s">
        <v>23</v>
      </c>
      <c r="J1093" t="s">
        <v>35</v>
      </c>
      <c r="K1093" s="2" t="s">
        <v>2149</v>
      </c>
      <c r="L1093" t="s">
        <v>26</v>
      </c>
      <c r="M1093">
        <v>351123</v>
      </c>
      <c r="N1093">
        <v>1</v>
      </c>
      <c r="O1093" s="3">
        <v>69990</v>
      </c>
      <c r="P1093" s="3">
        <v>35297</v>
      </c>
      <c r="Q1093" s="5">
        <f t="shared" si="48"/>
        <v>58815.126050420171</v>
      </c>
      <c r="R1093" s="5">
        <f t="shared" si="49"/>
        <v>35297</v>
      </c>
      <c r="S1093" s="5">
        <f t="shared" si="50"/>
        <v>23518.126050420171</v>
      </c>
    </row>
    <row r="1094" spans="1:19" hidden="1" x14ac:dyDescent="0.3">
      <c r="A1094">
        <v>100</v>
      </c>
      <c r="B1094" t="s">
        <v>16</v>
      </c>
      <c r="C1094" t="s">
        <v>2168</v>
      </c>
      <c r="D1094" s="2" t="s">
        <v>2169</v>
      </c>
      <c r="E1094" t="s">
        <v>334</v>
      </c>
      <c r="F1094" t="s">
        <v>20</v>
      </c>
      <c r="G1094" t="s">
        <v>21</v>
      </c>
      <c r="H1094" t="s">
        <v>199</v>
      </c>
      <c r="I1094" t="s">
        <v>23</v>
      </c>
      <c r="J1094" t="s">
        <v>35</v>
      </c>
      <c r="K1094" s="2" t="s">
        <v>2149</v>
      </c>
      <c r="L1094" t="s">
        <v>26</v>
      </c>
      <c r="M1094">
        <v>351124</v>
      </c>
      <c r="N1094">
        <v>1</v>
      </c>
      <c r="O1094" s="3">
        <v>64990</v>
      </c>
      <c r="P1094" s="3">
        <v>34695</v>
      </c>
      <c r="Q1094" s="5">
        <f t="shared" ref="Q1094:Q1157" si="51">O1094/1.19</f>
        <v>54613.445378151264</v>
      </c>
      <c r="R1094" s="5">
        <f t="shared" ref="R1094:R1157" si="52">N1094*P1094</f>
        <v>34695</v>
      </c>
      <c r="S1094" s="5">
        <f t="shared" ref="S1094:S1157" si="53">Q1094-R1094</f>
        <v>19918.445378151264</v>
      </c>
    </row>
    <row r="1095" spans="1:19" hidden="1" x14ac:dyDescent="0.3">
      <c r="A1095">
        <v>100</v>
      </c>
      <c r="B1095" t="s">
        <v>16</v>
      </c>
      <c r="C1095" t="s">
        <v>1202</v>
      </c>
      <c r="D1095" s="2" t="s">
        <v>1203</v>
      </c>
      <c r="E1095" t="s">
        <v>305</v>
      </c>
      <c r="F1095" t="s">
        <v>20</v>
      </c>
      <c r="G1095" t="s">
        <v>21</v>
      </c>
      <c r="H1095" t="s">
        <v>306</v>
      </c>
      <c r="I1095" t="s">
        <v>23</v>
      </c>
      <c r="J1095" t="s">
        <v>35</v>
      </c>
      <c r="K1095" s="2" t="s">
        <v>2149</v>
      </c>
      <c r="L1095" t="s">
        <v>26</v>
      </c>
      <c r="M1095">
        <v>351125</v>
      </c>
      <c r="N1095">
        <v>1</v>
      </c>
      <c r="O1095" s="3">
        <v>59990</v>
      </c>
      <c r="P1095" s="3">
        <v>34565</v>
      </c>
      <c r="Q1095" s="5">
        <f t="shared" si="51"/>
        <v>50411.764705882357</v>
      </c>
      <c r="R1095" s="5">
        <f t="shared" si="52"/>
        <v>34565</v>
      </c>
      <c r="S1095" s="5">
        <f t="shared" si="53"/>
        <v>15846.764705882357</v>
      </c>
    </row>
    <row r="1096" spans="1:19" hidden="1" x14ac:dyDescent="0.3">
      <c r="A1096">
        <v>100</v>
      </c>
      <c r="B1096" t="s">
        <v>16</v>
      </c>
      <c r="C1096" t="s">
        <v>2170</v>
      </c>
      <c r="D1096" s="2" t="s">
        <v>2171</v>
      </c>
      <c r="E1096" t="s">
        <v>1226</v>
      </c>
      <c r="F1096" t="s">
        <v>20</v>
      </c>
      <c r="G1096" t="s">
        <v>21</v>
      </c>
      <c r="H1096" t="s">
        <v>1227</v>
      </c>
      <c r="I1096" t="s">
        <v>23</v>
      </c>
      <c r="J1096" t="s">
        <v>35</v>
      </c>
      <c r="K1096" s="2" t="s">
        <v>2149</v>
      </c>
      <c r="L1096" t="s">
        <v>26</v>
      </c>
      <c r="M1096">
        <v>351126</v>
      </c>
      <c r="N1096">
        <v>1</v>
      </c>
      <c r="O1096" s="3">
        <v>99950</v>
      </c>
      <c r="P1096" s="3">
        <v>52118</v>
      </c>
      <c r="Q1096" s="5">
        <f t="shared" si="51"/>
        <v>83991.596638655465</v>
      </c>
      <c r="R1096" s="5">
        <f t="shared" si="52"/>
        <v>52118</v>
      </c>
      <c r="S1096" s="5">
        <f t="shared" si="53"/>
        <v>31873.596638655465</v>
      </c>
    </row>
    <row r="1097" spans="1:19" hidden="1" x14ac:dyDescent="0.3">
      <c r="A1097">
        <v>100</v>
      </c>
      <c r="B1097" t="s">
        <v>16</v>
      </c>
      <c r="C1097" t="s">
        <v>1908</v>
      </c>
      <c r="D1097" s="2" t="s">
        <v>1909</v>
      </c>
      <c r="E1097" t="s">
        <v>288</v>
      </c>
      <c r="F1097" t="s">
        <v>20</v>
      </c>
      <c r="G1097" t="s">
        <v>21</v>
      </c>
      <c r="H1097" t="s">
        <v>160</v>
      </c>
      <c r="I1097" t="s">
        <v>23</v>
      </c>
      <c r="J1097" t="s">
        <v>35</v>
      </c>
      <c r="K1097" s="2" t="s">
        <v>2149</v>
      </c>
      <c r="L1097" t="s">
        <v>26</v>
      </c>
      <c r="M1097">
        <v>351127</v>
      </c>
      <c r="N1097">
        <v>1</v>
      </c>
      <c r="O1097" s="3">
        <v>59990</v>
      </c>
      <c r="P1097" s="3">
        <v>32312</v>
      </c>
      <c r="Q1097" s="5">
        <f t="shared" si="51"/>
        <v>50411.764705882357</v>
      </c>
      <c r="R1097" s="5">
        <f t="shared" si="52"/>
        <v>32312</v>
      </c>
      <c r="S1097" s="5">
        <f t="shared" si="53"/>
        <v>18099.764705882357</v>
      </c>
    </row>
    <row r="1098" spans="1:19" hidden="1" x14ac:dyDescent="0.3">
      <c r="A1098">
        <v>100</v>
      </c>
      <c r="B1098" t="s">
        <v>16</v>
      </c>
      <c r="C1098" t="s">
        <v>2172</v>
      </c>
      <c r="D1098" s="2" t="s">
        <v>2173</v>
      </c>
      <c r="E1098" t="s">
        <v>519</v>
      </c>
      <c r="F1098" t="s">
        <v>20</v>
      </c>
      <c r="G1098" t="s">
        <v>21</v>
      </c>
      <c r="H1098" t="s">
        <v>520</v>
      </c>
      <c r="I1098" t="s">
        <v>23</v>
      </c>
      <c r="J1098" t="s">
        <v>35</v>
      </c>
      <c r="K1098" s="2" t="s">
        <v>2149</v>
      </c>
      <c r="L1098" t="s">
        <v>26</v>
      </c>
      <c r="M1098">
        <v>351128</v>
      </c>
      <c r="N1098">
        <v>1</v>
      </c>
      <c r="O1098" s="3">
        <v>69990</v>
      </c>
      <c r="P1098" s="3">
        <v>36238</v>
      </c>
      <c r="Q1098" s="5">
        <f t="shared" si="51"/>
        <v>58815.126050420171</v>
      </c>
      <c r="R1098" s="5">
        <f t="shared" si="52"/>
        <v>36238</v>
      </c>
      <c r="S1098" s="5">
        <f t="shared" si="53"/>
        <v>22577.126050420171</v>
      </c>
    </row>
    <row r="1099" spans="1:19" hidden="1" x14ac:dyDescent="0.3">
      <c r="A1099">
        <v>100</v>
      </c>
      <c r="B1099" t="s">
        <v>16</v>
      </c>
      <c r="C1099" t="s">
        <v>934</v>
      </c>
      <c r="D1099" s="2" t="s">
        <v>935</v>
      </c>
      <c r="E1099" t="s">
        <v>141</v>
      </c>
      <c r="F1099" t="s">
        <v>20</v>
      </c>
      <c r="G1099" t="s">
        <v>21</v>
      </c>
      <c r="H1099" t="s">
        <v>142</v>
      </c>
      <c r="I1099" t="s">
        <v>23</v>
      </c>
      <c r="J1099" t="s">
        <v>35</v>
      </c>
      <c r="K1099" s="2" t="s">
        <v>2149</v>
      </c>
      <c r="L1099" t="s">
        <v>26</v>
      </c>
      <c r="M1099">
        <v>351129</v>
      </c>
      <c r="N1099">
        <v>1</v>
      </c>
      <c r="O1099" s="3">
        <v>43990</v>
      </c>
      <c r="P1099" s="3">
        <v>32389</v>
      </c>
      <c r="Q1099" s="5">
        <f t="shared" si="51"/>
        <v>36966.386554621851</v>
      </c>
      <c r="R1099" s="5">
        <f t="shared" si="52"/>
        <v>32389</v>
      </c>
      <c r="S1099" s="5">
        <f t="shared" si="53"/>
        <v>4577.3865546218512</v>
      </c>
    </row>
    <row r="1100" spans="1:19" hidden="1" x14ac:dyDescent="0.3">
      <c r="A1100">
        <v>100</v>
      </c>
      <c r="B1100" t="s">
        <v>16</v>
      </c>
      <c r="C1100" t="s">
        <v>2174</v>
      </c>
      <c r="D1100" s="2" t="s">
        <v>2175</v>
      </c>
      <c r="E1100" t="s">
        <v>2176</v>
      </c>
      <c r="F1100" t="s">
        <v>20</v>
      </c>
      <c r="G1100" t="s">
        <v>21</v>
      </c>
      <c r="H1100" t="s">
        <v>2048</v>
      </c>
      <c r="I1100" t="s">
        <v>23</v>
      </c>
      <c r="J1100" t="s">
        <v>207</v>
      </c>
      <c r="K1100" s="2" t="s">
        <v>2149</v>
      </c>
      <c r="L1100" t="s">
        <v>26</v>
      </c>
      <c r="M1100">
        <v>351130</v>
      </c>
      <c r="N1100">
        <v>1</v>
      </c>
      <c r="O1100" s="3">
        <v>34990</v>
      </c>
      <c r="P1100" s="3">
        <v>28531</v>
      </c>
      <c r="Q1100" s="5">
        <f t="shared" si="51"/>
        <v>29403.361344537818</v>
      </c>
      <c r="R1100" s="5">
        <f t="shared" si="52"/>
        <v>28531</v>
      </c>
      <c r="S1100" s="5">
        <f t="shared" si="53"/>
        <v>872.36134453781779</v>
      </c>
    </row>
    <row r="1101" spans="1:19" hidden="1" x14ac:dyDescent="0.3">
      <c r="A1101">
        <v>100</v>
      </c>
      <c r="B1101" t="s">
        <v>16</v>
      </c>
      <c r="C1101" t="s">
        <v>2177</v>
      </c>
      <c r="D1101" s="2" t="s">
        <v>2178</v>
      </c>
      <c r="E1101" t="s">
        <v>19</v>
      </c>
      <c r="F1101" t="s">
        <v>20</v>
      </c>
      <c r="G1101" t="s">
        <v>21</v>
      </c>
      <c r="H1101" t="s">
        <v>22</v>
      </c>
      <c r="I1101" t="s">
        <v>23</v>
      </c>
      <c r="J1101" t="s">
        <v>24</v>
      </c>
      <c r="K1101" s="2" t="s">
        <v>2149</v>
      </c>
      <c r="L1101" t="s">
        <v>26</v>
      </c>
      <c r="M1101">
        <v>351130</v>
      </c>
      <c r="N1101">
        <v>1</v>
      </c>
      <c r="O1101" s="3">
        <v>55990</v>
      </c>
      <c r="P1101" s="3">
        <v>29067</v>
      </c>
      <c r="Q1101" s="5">
        <f t="shared" si="51"/>
        <v>47050.420168067227</v>
      </c>
      <c r="R1101" s="5">
        <f t="shared" si="52"/>
        <v>29067</v>
      </c>
      <c r="S1101" s="5">
        <f t="shared" si="53"/>
        <v>17983.420168067227</v>
      </c>
    </row>
    <row r="1102" spans="1:19" hidden="1" x14ac:dyDescent="0.3">
      <c r="A1102">
        <v>100</v>
      </c>
      <c r="B1102" t="s">
        <v>16</v>
      </c>
      <c r="C1102" t="s">
        <v>2021</v>
      </c>
      <c r="D1102" s="2" t="s">
        <v>2022</v>
      </c>
      <c r="E1102" t="s">
        <v>356</v>
      </c>
      <c r="F1102" t="s">
        <v>20</v>
      </c>
      <c r="G1102" t="s">
        <v>21</v>
      </c>
      <c r="H1102" t="s">
        <v>357</v>
      </c>
      <c r="I1102" t="s">
        <v>23</v>
      </c>
      <c r="J1102" t="s">
        <v>49</v>
      </c>
      <c r="K1102" s="2" t="s">
        <v>2149</v>
      </c>
      <c r="L1102" t="s">
        <v>26</v>
      </c>
      <c r="M1102">
        <v>351131</v>
      </c>
      <c r="N1102">
        <v>1</v>
      </c>
      <c r="O1102" s="3">
        <v>44990</v>
      </c>
      <c r="P1102" s="3">
        <v>27671</v>
      </c>
      <c r="Q1102" s="5">
        <f t="shared" si="51"/>
        <v>37806.722689075636</v>
      </c>
      <c r="R1102" s="5">
        <f t="shared" si="52"/>
        <v>27671</v>
      </c>
      <c r="S1102" s="5">
        <f t="shared" si="53"/>
        <v>10135.722689075636</v>
      </c>
    </row>
    <row r="1103" spans="1:19" hidden="1" x14ac:dyDescent="0.3">
      <c r="A1103">
        <v>100</v>
      </c>
      <c r="B1103" t="s">
        <v>16</v>
      </c>
      <c r="C1103" t="s">
        <v>1816</v>
      </c>
      <c r="D1103" s="2" t="s">
        <v>1817</v>
      </c>
      <c r="E1103" t="s">
        <v>1604</v>
      </c>
      <c r="F1103" t="s">
        <v>20</v>
      </c>
      <c r="G1103" t="s">
        <v>21</v>
      </c>
      <c r="H1103" t="s">
        <v>171</v>
      </c>
      <c r="I1103" t="s">
        <v>23</v>
      </c>
      <c r="J1103" t="s">
        <v>40</v>
      </c>
      <c r="K1103" s="2" t="s">
        <v>2149</v>
      </c>
      <c r="L1103" t="s">
        <v>26</v>
      </c>
      <c r="M1103">
        <v>351132</v>
      </c>
      <c r="N1103">
        <v>1</v>
      </c>
      <c r="O1103" s="3">
        <v>39990</v>
      </c>
      <c r="P1103" s="3">
        <v>22711</v>
      </c>
      <c r="Q1103" s="5">
        <f t="shared" si="51"/>
        <v>33605.042016806721</v>
      </c>
      <c r="R1103" s="5">
        <f t="shared" si="52"/>
        <v>22711</v>
      </c>
      <c r="S1103" s="5">
        <f t="shared" si="53"/>
        <v>10894.042016806721</v>
      </c>
    </row>
    <row r="1104" spans="1:19" hidden="1" x14ac:dyDescent="0.3">
      <c r="A1104">
        <v>100</v>
      </c>
      <c r="B1104" t="s">
        <v>16</v>
      </c>
      <c r="C1104" t="s">
        <v>2179</v>
      </c>
      <c r="D1104" s="2" t="s">
        <v>2180</v>
      </c>
      <c r="E1104" t="s">
        <v>1344</v>
      </c>
      <c r="F1104" t="s">
        <v>20</v>
      </c>
      <c r="G1104" t="s">
        <v>21</v>
      </c>
      <c r="H1104" t="s">
        <v>1345</v>
      </c>
      <c r="I1104" t="s">
        <v>23</v>
      </c>
      <c r="J1104" t="s">
        <v>40</v>
      </c>
      <c r="K1104" s="2" t="s">
        <v>2149</v>
      </c>
      <c r="L1104" t="s">
        <v>26</v>
      </c>
      <c r="M1104">
        <v>351133</v>
      </c>
      <c r="N1104">
        <v>1</v>
      </c>
      <c r="O1104" s="3">
        <v>29990</v>
      </c>
      <c r="P1104" s="3">
        <v>17216</v>
      </c>
      <c r="Q1104" s="5">
        <f t="shared" si="51"/>
        <v>25201.680672268907</v>
      </c>
      <c r="R1104" s="5">
        <f t="shared" si="52"/>
        <v>17216</v>
      </c>
      <c r="S1104" s="5">
        <f t="shared" si="53"/>
        <v>7985.6806722689071</v>
      </c>
    </row>
    <row r="1105" spans="1:19" hidden="1" x14ac:dyDescent="0.3">
      <c r="A1105">
        <v>100</v>
      </c>
      <c r="B1105" t="s">
        <v>16</v>
      </c>
      <c r="C1105" t="s">
        <v>2181</v>
      </c>
      <c r="D1105" s="2" t="s">
        <v>2182</v>
      </c>
      <c r="E1105" t="s">
        <v>1769</v>
      </c>
      <c r="F1105" t="s">
        <v>20</v>
      </c>
      <c r="G1105" t="s">
        <v>21</v>
      </c>
      <c r="H1105" t="s">
        <v>65</v>
      </c>
      <c r="I1105" t="s">
        <v>23</v>
      </c>
      <c r="J1105" t="s">
        <v>49</v>
      </c>
      <c r="K1105" s="2" t="s">
        <v>2149</v>
      </c>
      <c r="L1105" t="s">
        <v>26</v>
      </c>
      <c r="M1105">
        <v>351134</v>
      </c>
      <c r="N1105">
        <v>1</v>
      </c>
      <c r="O1105" s="3">
        <v>39990</v>
      </c>
      <c r="P1105" s="3">
        <v>21167</v>
      </c>
      <c r="Q1105" s="5">
        <f t="shared" si="51"/>
        <v>33605.042016806721</v>
      </c>
      <c r="R1105" s="5">
        <f t="shared" si="52"/>
        <v>21167</v>
      </c>
      <c r="S1105" s="5">
        <f t="shared" si="53"/>
        <v>12438.042016806721</v>
      </c>
    </row>
    <row r="1106" spans="1:19" hidden="1" x14ac:dyDescent="0.3">
      <c r="A1106">
        <v>100</v>
      </c>
      <c r="B1106" t="s">
        <v>16</v>
      </c>
      <c r="C1106" t="s">
        <v>1645</v>
      </c>
      <c r="D1106" s="2" t="s">
        <v>1646</v>
      </c>
      <c r="E1106" t="s">
        <v>1344</v>
      </c>
      <c r="F1106" t="s">
        <v>20</v>
      </c>
      <c r="G1106" t="s">
        <v>21</v>
      </c>
      <c r="H1106" t="s">
        <v>1345</v>
      </c>
      <c r="I1106" t="s">
        <v>23</v>
      </c>
      <c r="J1106" t="s">
        <v>40</v>
      </c>
      <c r="K1106" s="2" t="s">
        <v>2149</v>
      </c>
      <c r="L1106" t="s">
        <v>26</v>
      </c>
      <c r="M1106">
        <v>351135</v>
      </c>
      <c r="N1106">
        <v>1</v>
      </c>
      <c r="O1106" s="3">
        <v>29990</v>
      </c>
      <c r="P1106" s="3">
        <v>17216</v>
      </c>
      <c r="Q1106" s="5">
        <f t="shared" si="51"/>
        <v>25201.680672268907</v>
      </c>
      <c r="R1106" s="5">
        <f t="shared" si="52"/>
        <v>17216</v>
      </c>
      <c r="S1106" s="5">
        <f t="shared" si="53"/>
        <v>7985.6806722689071</v>
      </c>
    </row>
    <row r="1107" spans="1:19" hidden="1" x14ac:dyDescent="0.3">
      <c r="A1107">
        <v>100</v>
      </c>
      <c r="B1107" t="s">
        <v>16</v>
      </c>
      <c r="C1107" t="s">
        <v>2183</v>
      </c>
      <c r="D1107" s="2" t="s">
        <v>2184</v>
      </c>
      <c r="E1107" t="s">
        <v>2185</v>
      </c>
      <c r="F1107" t="s">
        <v>20</v>
      </c>
      <c r="G1107" t="s">
        <v>21</v>
      </c>
      <c r="H1107" t="s">
        <v>614</v>
      </c>
      <c r="I1107" t="s">
        <v>23</v>
      </c>
      <c r="J1107" t="s">
        <v>40</v>
      </c>
      <c r="K1107" s="2" t="s">
        <v>2149</v>
      </c>
      <c r="L1107" t="s">
        <v>26</v>
      </c>
      <c r="M1107">
        <v>351136</v>
      </c>
      <c r="N1107">
        <v>1</v>
      </c>
      <c r="O1107" s="3">
        <v>39990</v>
      </c>
      <c r="P1107" s="3">
        <v>17455</v>
      </c>
      <c r="Q1107" s="5">
        <f t="shared" si="51"/>
        <v>33605.042016806721</v>
      </c>
      <c r="R1107" s="5">
        <f t="shared" si="52"/>
        <v>17455</v>
      </c>
      <c r="S1107" s="5">
        <f t="shared" si="53"/>
        <v>16150.042016806721</v>
      </c>
    </row>
    <row r="1108" spans="1:19" hidden="1" x14ac:dyDescent="0.3">
      <c r="A1108">
        <v>100</v>
      </c>
      <c r="B1108" t="s">
        <v>16</v>
      </c>
      <c r="C1108" t="s">
        <v>766</v>
      </c>
      <c r="D1108" s="2" t="s">
        <v>767</v>
      </c>
      <c r="E1108" t="s">
        <v>117</v>
      </c>
      <c r="F1108" t="s">
        <v>20</v>
      </c>
      <c r="G1108" t="s">
        <v>21</v>
      </c>
      <c r="H1108" t="s">
        <v>118</v>
      </c>
      <c r="I1108" t="s">
        <v>23</v>
      </c>
      <c r="J1108" t="s">
        <v>49</v>
      </c>
      <c r="K1108" s="2" t="s">
        <v>2149</v>
      </c>
      <c r="L1108" t="s">
        <v>26</v>
      </c>
      <c r="M1108">
        <v>351137</v>
      </c>
      <c r="N1108">
        <v>1</v>
      </c>
      <c r="O1108" s="3">
        <v>39990</v>
      </c>
      <c r="P1108" s="3">
        <v>26061</v>
      </c>
      <c r="Q1108" s="5">
        <f t="shared" si="51"/>
        <v>33605.042016806721</v>
      </c>
      <c r="R1108" s="5">
        <f t="shared" si="52"/>
        <v>26061</v>
      </c>
      <c r="S1108" s="5">
        <f t="shared" si="53"/>
        <v>7544.0420168067212</v>
      </c>
    </row>
    <row r="1109" spans="1:19" hidden="1" x14ac:dyDescent="0.3">
      <c r="A1109">
        <v>100</v>
      </c>
      <c r="B1109" t="s">
        <v>16</v>
      </c>
      <c r="C1109" t="s">
        <v>1652</v>
      </c>
      <c r="D1109" s="2" t="s">
        <v>1653</v>
      </c>
      <c r="E1109" t="s">
        <v>288</v>
      </c>
      <c r="F1109" t="s">
        <v>20</v>
      </c>
      <c r="G1109" t="s">
        <v>21</v>
      </c>
      <c r="H1109" t="s">
        <v>160</v>
      </c>
      <c r="I1109" t="s">
        <v>23</v>
      </c>
      <c r="J1109" t="s">
        <v>35</v>
      </c>
      <c r="K1109" s="2" t="s">
        <v>2149</v>
      </c>
      <c r="L1109" t="s">
        <v>26</v>
      </c>
      <c r="M1109">
        <v>351138</v>
      </c>
      <c r="N1109">
        <v>1</v>
      </c>
      <c r="O1109" s="3">
        <v>59990</v>
      </c>
      <c r="P1109" s="3">
        <v>32638</v>
      </c>
      <c r="Q1109" s="5">
        <f t="shared" si="51"/>
        <v>50411.764705882357</v>
      </c>
      <c r="R1109" s="5">
        <f t="shared" si="52"/>
        <v>32638</v>
      </c>
      <c r="S1109" s="5">
        <f t="shared" si="53"/>
        <v>17773.764705882357</v>
      </c>
    </row>
    <row r="1110" spans="1:19" hidden="1" x14ac:dyDescent="0.3">
      <c r="A1110">
        <v>100</v>
      </c>
      <c r="B1110" t="s">
        <v>16</v>
      </c>
      <c r="C1110" t="s">
        <v>649</v>
      </c>
      <c r="D1110" s="2" t="s">
        <v>650</v>
      </c>
      <c r="E1110" t="s">
        <v>651</v>
      </c>
      <c r="F1110" t="s">
        <v>20</v>
      </c>
      <c r="G1110" t="s">
        <v>21</v>
      </c>
      <c r="H1110" t="s">
        <v>65</v>
      </c>
      <c r="I1110" t="s">
        <v>23</v>
      </c>
      <c r="J1110" t="s">
        <v>49</v>
      </c>
      <c r="K1110" s="2" t="s">
        <v>2149</v>
      </c>
      <c r="L1110" t="s">
        <v>26</v>
      </c>
      <c r="M1110">
        <v>351139</v>
      </c>
      <c r="N1110">
        <v>1</v>
      </c>
      <c r="O1110" s="3">
        <v>39990</v>
      </c>
      <c r="P1110" s="3">
        <v>16644</v>
      </c>
      <c r="Q1110" s="5">
        <f t="shared" si="51"/>
        <v>33605.042016806721</v>
      </c>
      <c r="R1110" s="5">
        <f t="shared" si="52"/>
        <v>16644</v>
      </c>
      <c r="S1110" s="5">
        <f t="shared" si="53"/>
        <v>16961.042016806721</v>
      </c>
    </row>
    <row r="1111" spans="1:19" hidden="1" x14ac:dyDescent="0.3">
      <c r="A1111">
        <v>100</v>
      </c>
      <c r="B1111" t="s">
        <v>16</v>
      </c>
      <c r="C1111">
        <v>1687976791</v>
      </c>
      <c r="D1111" s="2" t="s">
        <v>200</v>
      </c>
      <c r="E1111" t="s">
        <v>201</v>
      </c>
      <c r="F1111" t="s">
        <v>201</v>
      </c>
      <c r="G1111" t="s">
        <v>202</v>
      </c>
      <c r="H1111" t="s">
        <v>202</v>
      </c>
      <c r="I1111" t="s">
        <v>23</v>
      </c>
      <c r="J1111" t="s">
        <v>202</v>
      </c>
      <c r="K1111" s="2" t="s">
        <v>2149</v>
      </c>
      <c r="L1111" t="s">
        <v>26</v>
      </c>
      <c r="M1111">
        <v>351139</v>
      </c>
      <c r="N1111">
        <v>1</v>
      </c>
      <c r="O1111" s="3">
        <v>3400</v>
      </c>
      <c r="P1111">
        <v>1</v>
      </c>
      <c r="Q1111" s="5">
        <f t="shared" si="51"/>
        <v>2857.1428571428573</v>
      </c>
      <c r="R1111" s="5">
        <f t="shared" si="52"/>
        <v>1</v>
      </c>
      <c r="S1111" s="5">
        <f t="shared" si="53"/>
        <v>2856.1428571428573</v>
      </c>
    </row>
    <row r="1112" spans="1:19" hidden="1" x14ac:dyDescent="0.3">
      <c r="A1112">
        <v>100</v>
      </c>
      <c r="B1112" t="s">
        <v>16</v>
      </c>
      <c r="C1112" t="s">
        <v>2186</v>
      </c>
      <c r="D1112" s="2" t="s">
        <v>2187</v>
      </c>
      <c r="E1112" t="s">
        <v>2188</v>
      </c>
      <c r="F1112" t="s">
        <v>20</v>
      </c>
      <c r="G1112" t="s">
        <v>21</v>
      </c>
      <c r="H1112" t="s">
        <v>2189</v>
      </c>
      <c r="I1112" t="s">
        <v>23</v>
      </c>
      <c r="J1112" t="s">
        <v>40</v>
      </c>
      <c r="K1112" s="2" t="s">
        <v>2149</v>
      </c>
      <c r="L1112" t="s">
        <v>26</v>
      </c>
      <c r="M1112">
        <v>351140</v>
      </c>
      <c r="N1112">
        <v>1</v>
      </c>
      <c r="O1112" s="3">
        <v>74950</v>
      </c>
      <c r="P1112" s="3">
        <v>27722</v>
      </c>
      <c r="Q1112" s="5">
        <f t="shared" si="51"/>
        <v>62983.193277310929</v>
      </c>
      <c r="R1112" s="5">
        <f t="shared" si="52"/>
        <v>27722</v>
      </c>
      <c r="S1112" s="5">
        <f t="shared" si="53"/>
        <v>35261.193277310929</v>
      </c>
    </row>
    <row r="1113" spans="1:19" hidden="1" x14ac:dyDescent="0.3">
      <c r="A1113">
        <v>100</v>
      </c>
      <c r="B1113" t="s">
        <v>16</v>
      </c>
      <c r="C1113" t="s">
        <v>2190</v>
      </c>
      <c r="D1113" s="2" t="s">
        <v>2191</v>
      </c>
      <c r="E1113" t="s">
        <v>1481</v>
      </c>
      <c r="F1113" t="s">
        <v>20</v>
      </c>
      <c r="G1113" t="s">
        <v>21</v>
      </c>
      <c r="H1113" t="s">
        <v>331</v>
      </c>
      <c r="I1113" t="s">
        <v>23</v>
      </c>
      <c r="J1113" t="s">
        <v>49</v>
      </c>
      <c r="K1113" s="2" t="s">
        <v>2192</v>
      </c>
      <c r="L1113" t="s">
        <v>26</v>
      </c>
      <c r="M1113">
        <v>351141</v>
      </c>
      <c r="N1113">
        <v>1</v>
      </c>
      <c r="O1113" s="3">
        <v>39990</v>
      </c>
      <c r="P1113" s="3">
        <v>27404</v>
      </c>
      <c r="Q1113" s="5">
        <f t="shared" si="51"/>
        <v>33605.042016806721</v>
      </c>
      <c r="R1113" s="5">
        <f t="shared" si="52"/>
        <v>27404</v>
      </c>
      <c r="S1113" s="5">
        <f t="shared" si="53"/>
        <v>6201.0420168067212</v>
      </c>
    </row>
    <row r="1114" spans="1:19" hidden="1" x14ac:dyDescent="0.3">
      <c r="A1114">
        <v>100</v>
      </c>
      <c r="B1114" t="s">
        <v>16</v>
      </c>
      <c r="C1114" t="s">
        <v>2193</v>
      </c>
      <c r="D1114" s="2" t="s">
        <v>2194</v>
      </c>
      <c r="E1114" t="s">
        <v>2195</v>
      </c>
      <c r="F1114" t="s">
        <v>20</v>
      </c>
      <c r="G1114" t="s">
        <v>338</v>
      </c>
      <c r="H1114">
        <v>24722</v>
      </c>
      <c r="I1114" t="s">
        <v>23</v>
      </c>
      <c r="J1114" t="s">
        <v>95</v>
      </c>
      <c r="K1114" s="2" t="s">
        <v>2192</v>
      </c>
      <c r="L1114" t="s">
        <v>26</v>
      </c>
      <c r="M1114">
        <v>351142</v>
      </c>
      <c r="N1114">
        <v>1</v>
      </c>
      <c r="O1114" s="3">
        <v>89950</v>
      </c>
      <c r="P1114" s="3">
        <v>30987</v>
      </c>
      <c r="Q1114" s="5">
        <f t="shared" si="51"/>
        <v>75588.23529411765</v>
      </c>
      <c r="R1114" s="5">
        <f t="shared" si="52"/>
        <v>30987</v>
      </c>
      <c r="S1114" s="5">
        <f t="shared" si="53"/>
        <v>44601.23529411765</v>
      </c>
    </row>
    <row r="1115" spans="1:19" hidden="1" x14ac:dyDescent="0.3">
      <c r="A1115">
        <v>100</v>
      </c>
      <c r="B1115" t="s">
        <v>16</v>
      </c>
      <c r="C1115" t="s">
        <v>659</v>
      </c>
      <c r="D1115" s="2" t="s">
        <v>660</v>
      </c>
      <c r="E1115" t="s">
        <v>661</v>
      </c>
      <c r="F1115" t="s">
        <v>20</v>
      </c>
      <c r="G1115" t="s">
        <v>21</v>
      </c>
      <c r="H1115" t="s">
        <v>106</v>
      </c>
      <c r="I1115" t="s">
        <v>23</v>
      </c>
      <c r="J1115" t="s">
        <v>35</v>
      </c>
      <c r="K1115" s="2" t="s">
        <v>2192</v>
      </c>
      <c r="L1115" t="s">
        <v>26</v>
      </c>
      <c r="M1115">
        <v>351143</v>
      </c>
      <c r="N1115">
        <v>1</v>
      </c>
      <c r="O1115" s="3">
        <v>69990</v>
      </c>
      <c r="P1115" s="3">
        <v>30957</v>
      </c>
      <c r="Q1115" s="5">
        <f t="shared" si="51"/>
        <v>58815.126050420171</v>
      </c>
      <c r="R1115" s="5">
        <f t="shared" si="52"/>
        <v>30957</v>
      </c>
      <c r="S1115" s="5">
        <f t="shared" si="53"/>
        <v>27858.126050420171</v>
      </c>
    </row>
    <row r="1116" spans="1:19" hidden="1" x14ac:dyDescent="0.3">
      <c r="A1116">
        <v>100</v>
      </c>
      <c r="B1116" t="s">
        <v>16</v>
      </c>
      <c r="C1116" t="s">
        <v>2196</v>
      </c>
      <c r="D1116" s="2" t="s">
        <v>2197</v>
      </c>
      <c r="E1116" t="s">
        <v>2198</v>
      </c>
      <c r="F1116" t="s">
        <v>20</v>
      </c>
      <c r="G1116" t="s">
        <v>21</v>
      </c>
      <c r="H1116" t="s">
        <v>1999</v>
      </c>
      <c r="I1116" t="s">
        <v>23</v>
      </c>
      <c r="J1116" t="s">
        <v>49</v>
      </c>
      <c r="K1116" s="2" t="s">
        <v>2192</v>
      </c>
      <c r="L1116" t="s">
        <v>26</v>
      </c>
      <c r="M1116">
        <v>351144</v>
      </c>
      <c r="N1116">
        <v>1</v>
      </c>
      <c r="O1116" s="3">
        <v>39990</v>
      </c>
      <c r="P1116" s="3">
        <v>25509</v>
      </c>
      <c r="Q1116" s="5">
        <f t="shared" si="51"/>
        <v>33605.042016806721</v>
      </c>
      <c r="R1116" s="5">
        <f t="shared" si="52"/>
        <v>25509</v>
      </c>
      <c r="S1116" s="5">
        <f t="shared" si="53"/>
        <v>8096.0420168067212</v>
      </c>
    </row>
    <row r="1117" spans="1:19" hidden="1" x14ac:dyDescent="0.3">
      <c r="A1117">
        <v>100</v>
      </c>
      <c r="B1117" t="s">
        <v>16</v>
      </c>
      <c r="C1117" t="s">
        <v>1959</v>
      </c>
      <c r="D1117" s="2" t="s">
        <v>1960</v>
      </c>
      <c r="E1117" t="s">
        <v>1030</v>
      </c>
      <c r="F1117" t="s">
        <v>20</v>
      </c>
      <c r="G1117" t="s">
        <v>21</v>
      </c>
      <c r="H1117" t="s">
        <v>461</v>
      </c>
      <c r="I1117" t="s">
        <v>23</v>
      </c>
      <c r="J1117" t="s">
        <v>35</v>
      </c>
      <c r="K1117" s="2" t="s">
        <v>2192</v>
      </c>
      <c r="L1117" t="s">
        <v>26</v>
      </c>
      <c r="M1117">
        <v>351145</v>
      </c>
      <c r="N1117">
        <v>1</v>
      </c>
      <c r="O1117" s="3">
        <v>49990</v>
      </c>
      <c r="P1117" s="3">
        <v>28328</v>
      </c>
      <c r="Q1117" s="5">
        <f t="shared" si="51"/>
        <v>42008.403361344543</v>
      </c>
      <c r="R1117" s="5">
        <f t="shared" si="52"/>
        <v>28328</v>
      </c>
      <c r="S1117" s="5">
        <f t="shared" si="53"/>
        <v>13680.403361344543</v>
      </c>
    </row>
    <row r="1118" spans="1:19" hidden="1" x14ac:dyDescent="0.3">
      <c r="A1118">
        <v>100</v>
      </c>
      <c r="B1118" t="s">
        <v>16</v>
      </c>
      <c r="C1118" t="s">
        <v>780</v>
      </c>
      <c r="D1118" s="2" t="s">
        <v>781</v>
      </c>
      <c r="E1118" t="s">
        <v>782</v>
      </c>
      <c r="F1118" t="s">
        <v>20</v>
      </c>
      <c r="G1118" t="s">
        <v>21</v>
      </c>
      <c r="H1118" t="s">
        <v>783</v>
      </c>
      <c r="I1118" t="s">
        <v>23</v>
      </c>
      <c r="J1118" t="s">
        <v>40</v>
      </c>
      <c r="K1118" s="2" t="s">
        <v>2192</v>
      </c>
      <c r="L1118" t="s">
        <v>26</v>
      </c>
      <c r="M1118">
        <v>351146</v>
      </c>
      <c r="N1118">
        <v>1</v>
      </c>
      <c r="O1118" s="3">
        <v>29990</v>
      </c>
      <c r="P1118" s="3">
        <v>15745</v>
      </c>
      <c r="Q1118" s="5">
        <f t="shared" si="51"/>
        <v>25201.680672268907</v>
      </c>
      <c r="R1118" s="5">
        <f t="shared" si="52"/>
        <v>15745</v>
      </c>
      <c r="S1118" s="5">
        <f t="shared" si="53"/>
        <v>9456.6806722689071</v>
      </c>
    </row>
    <row r="1119" spans="1:19" hidden="1" x14ac:dyDescent="0.3">
      <c r="A1119">
        <v>100</v>
      </c>
      <c r="B1119" t="s">
        <v>16</v>
      </c>
      <c r="C1119" t="s">
        <v>2199</v>
      </c>
      <c r="D1119" s="2" t="s">
        <v>2200</v>
      </c>
      <c r="E1119" t="s">
        <v>2201</v>
      </c>
      <c r="F1119" t="s">
        <v>20</v>
      </c>
      <c r="G1119" t="s">
        <v>21</v>
      </c>
      <c r="H1119" t="s">
        <v>2202</v>
      </c>
      <c r="I1119" t="s">
        <v>23</v>
      </c>
      <c r="J1119" t="s">
        <v>207</v>
      </c>
      <c r="K1119" s="2" t="s">
        <v>2192</v>
      </c>
      <c r="L1119" t="s">
        <v>26</v>
      </c>
      <c r="M1119">
        <v>351147</v>
      </c>
      <c r="N1119">
        <v>1</v>
      </c>
      <c r="O1119" s="3">
        <v>51990</v>
      </c>
      <c r="P1119" s="3">
        <v>26751</v>
      </c>
      <c r="Q1119" s="5">
        <f t="shared" si="51"/>
        <v>43689.075630252104</v>
      </c>
      <c r="R1119" s="5">
        <f t="shared" si="52"/>
        <v>26751</v>
      </c>
      <c r="S1119" s="5">
        <f t="shared" si="53"/>
        <v>16938.075630252104</v>
      </c>
    </row>
    <row r="1120" spans="1:19" hidden="1" x14ac:dyDescent="0.3">
      <c r="A1120">
        <v>100</v>
      </c>
      <c r="B1120" t="s">
        <v>16</v>
      </c>
      <c r="C1120" t="s">
        <v>2128</v>
      </c>
      <c r="D1120" s="2" t="s">
        <v>2129</v>
      </c>
      <c r="E1120" t="s">
        <v>933</v>
      </c>
      <c r="F1120" t="s">
        <v>20</v>
      </c>
      <c r="G1120" t="s">
        <v>21</v>
      </c>
      <c r="H1120" t="s">
        <v>718</v>
      </c>
      <c r="I1120" t="s">
        <v>23</v>
      </c>
      <c r="J1120" t="s">
        <v>35</v>
      </c>
      <c r="K1120" s="2" t="s">
        <v>2192</v>
      </c>
      <c r="L1120" t="s">
        <v>26</v>
      </c>
      <c r="M1120">
        <v>351148</v>
      </c>
      <c r="N1120">
        <v>1</v>
      </c>
      <c r="O1120" s="3">
        <v>59990</v>
      </c>
      <c r="P1120" s="3">
        <v>32086</v>
      </c>
      <c r="Q1120" s="5">
        <f t="shared" si="51"/>
        <v>50411.764705882357</v>
      </c>
      <c r="R1120" s="5">
        <f t="shared" si="52"/>
        <v>32086</v>
      </c>
      <c r="S1120" s="5">
        <f t="shared" si="53"/>
        <v>18325.764705882357</v>
      </c>
    </row>
    <row r="1121" spans="1:19" hidden="1" x14ac:dyDescent="0.3">
      <c r="A1121">
        <v>100</v>
      </c>
      <c r="B1121" t="s">
        <v>16</v>
      </c>
      <c r="C1121" t="s">
        <v>76</v>
      </c>
      <c r="D1121" s="2" t="s">
        <v>77</v>
      </c>
      <c r="E1121" t="s">
        <v>78</v>
      </c>
      <c r="F1121" t="s">
        <v>20</v>
      </c>
      <c r="G1121" t="s">
        <v>21</v>
      </c>
      <c r="H1121" t="s">
        <v>79</v>
      </c>
      <c r="I1121" t="s">
        <v>23</v>
      </c>
      <c r="J1121" t="s">
        <v>49</v>
      </c>
      <c r="K1121" s="2" t="s">
        <v>2192</v>
      </c>
      <c r="L1121" t="s">
        <v>26</v>
      </c>
      <c r="M1121">
        <v>351149</v>
      </c>
      <c r="N1121">
        <v>1</v>
      </c>
      <c r="O1121" s="3">
        <v>39990</v>
      </c>
      <c r="P1121" s="3">
        <v>28298</v>
      </c>
      <c r="Q1121" s="5">
        <f t="shared" si="51"/>
        <v>33605.042016806721</v>
      </c>
      <c r="R1121" s="5">
        <f t="shared" si="52"/>
        <v>28298</v>
      </c>
      <c r="S1121" s="5">
        <f t="shared" si="53"/>
        <v>5307.0420168067212</v>
      </c>
    </row>
    <row r="1122" spans="1:19" hidden="1" x14ac:dyDescent="0.3">
      <c r="A1122">
        <v>100</v>
      </c>
      <c r="B1122" t="s">
        <v>16</v>
      </c>
      <c r="C1122" t="s">
        <v>2203</v>
      </c>
      <c r="D1122" s="2" t="s">
        <v>2204</v>
      </c>
      <c r="E1122" t="s">
        <v>2205</v>
      </c>
      <c r="F1122" t="s">
        <v>20</v>
      </c>
      <c r="G1122" t="s">
        <v>21</v>
      </c>
      <c r="H1122" t="s">
        <v>433</v>
      </c>
      <c r="I1122" t="s">
        <v>23</v>
      </c>
      <c r="J1122" t="s">
        <v>407</v>
      </c>
      <c r="K1122" s="2" t="s">
        <v>2192</v>
      </c>
      <c r="L1122" t="s">
        <v>26</v>
      </c>
      <c r="M1122">
        <v>351150</v>
      </c>
      <c r="N1122">
        <v>1</v>
      </c>
      <c r="O1122" s="3">
        <v>39990</v>
      </c>
      <c r="P1122" s="3">
        <v>18336</v>
      </c>
      <c r="Q1122" s="5">
        <f t="shared" si="51"/>
        <v>33605.042016806721</v>
      </c>
      <c r="R1122" s="5">
        <f t="shared" si="52"/>
        <v>18336</v>
      </c>
      <c r="S1122" s="5">
        <f t="shared" si="53"/>
        <v>15269.042016806721</v>
      </c>
    </row>
    <row r="1123" spans="1:19" hidden="1" x14ac:dyDescent="0.3">
      <c r="A1123">
        <v>100</v>
      </c>
      <c r="B1123" t="s">
        <v>16</v>
      </c>
      <c r="C1123">
        <v>1687976791</v>
      </c>
      <c r="D1123" s="2" t="s">
        <v>200</v>
      </c>
      <c r="E1123" t="s">
        <v>201</v>
      </c>
      <c r="F1123" t="s">
        <v>201</v>
      </c>
      <c r="G1123" t="s">
        <v>202</v>
      </c>
      <c r="H1123" t="s">
        <v>202</v>
      </c>
      <c r="I1123" t="s">
        <v>23</v>
      </c>
      <c r="J1123" t="s">
        <v>202</v>
      </c>
      <c r="K1123" s="2" t="s">
        <v>2192</v>
      </c>
      <c r="L1123" t="s">
        <v>26</v>
      </c>
      <c r="M1123">
        <v>351150</v>
      </c>
      <c r="N1123">
        <v>1</v>
      </c>
      <c r="O1123" s="3">
        <v>3400</v>
      </c>
      <c r="P1123">
        <v>1</v>
      </c>
      <c r="Q1123" s="5">
        <f t="shared" si="51"/>
        <v>2857.1428571428573</v>
      </c>
      <c r="R1123" s="5">
        <f t="shared" si="52"/>
        <v>1</v>
      </c>
      <c r="S1123" s="5">
        <f t="shared" si="53"/>
        <v>2856.1428571428573</v>
      </c>
    </row>
    <row r="1124" spans="1:19" hidden="1" x14ac:dyDescent="0.3">
      <c r="A1124">
        <v>100</v>
      </c>
      <c r="B1124" t="s">
        <v>16</v>
      </c>
      <c r="C1124" t="s">
        <v>2206</v>
      </c>
      <c r="D1124" s="2" t="s">
        <v>2207</v>
      </c>
      <c r="E1124" t="s">
        <v>2208</v>
      </c>
      <c r="F1124" t="s">
        <v>20</v>
      </c>
      <c r="G1124" t="s">
        <v>338</v>
      </c>
      <c r="H1124">
        <v>25823</v>
      </c>
      <c r="I1124" t="s">
        <v>23</v>
      </c>
      <c r="J1124" t="s">
        <v>35</v>
      </c>
      <c r="K1124" s="2" t="s">
        <v>2192</v>
      </c>
      <c r="L1124" t="s">
        <v>26</v>
      </c>
      <c r="M1124">
        <v>351151</v>
      </c>
      <c r="N1124">
        <v>1</v>
      </c>
      <c r="O1124" s="3">
        <v>99950</v>
      </c>
      <c r="P1124" s="3">
        <v>33748</v>
      </c>
      <c r="Q1124" s="5">
        <f t="shared" si="51"/>
        <v>83991.596638655465</v>
      </c>
      <c r="R1124" s="5">
        <f t="shared" si="52"/>
        <v>33748</v>
      </c>
      <c r="S1124" s="5">
        <f t="shared" si="53"/>
        <v>50243.596638655465</v>
      </c>
    </row>
    <row r="1125" spans="1:19" hidden="1" x14ac:dyDescent="0.3">
      <c r="A1125">
        <v>100</v>
      </c>
      <c r="B1125" t="s">
        <v>16</v>
      </c>
      <c r="C1125" t="s">
        <v>2209</v>
      </c>
      <c r="D1125" s="2" t="s">
        <v>2210</v>
      </c>
      <c r="E1125" t="s">
        <v>356</v>
      </c>
      <c r="F1125" t="s">
        <v>20</v>
      </c>
      <c r="G1125" t="s">
        <v>21</v>
      </c>
      <c r="H1125" t="s">
        <v>357</v>
      </c>
      <c r="I1125" t="s">
        <v>23</v>
      </c>
      <c r="J1125" t="s">
        <v>49</v>
      </c>
      <c r="K1125" s="2" t="s">
        <v>2192</v>
      </c>
      <c r="L1125" t="s">
        <v>26</v>
      </c>
      <c r="M1125">
        <v>351152</v>
      </c>
      <c r="N1125">
        <v>1</v>
      </c>
      <c r="O1125" s="3">
        <v>44990</v>
      </c>
      <c r="P1125" s="3">
        <v>27671</v>
      </c>
      <c r="Q1125" s="5">
        <f t="shared" si="51"/>
        <v>37806.722689075636</v>
      </c>
      <c r="R1125" s="5">
        <f t="shared" si="52"/>
        <v>27671</v>
      </c>
      <c r="S1125" s="5">
        <f t="shared" si="53"/>
        <v>10135.722689075636</v>
      </c>
    </row>
    <row r="1126" spans="1:19" hidden="1" x14ac:dyDescent="0.3">
      <c r="A1126">
        <v>100</v>
      </c>
      <c r="B1126" t="s">
        <v>16</v>
      </c>
      <c r="C1126" t="s">
        <v>2211</v>
      </c>
      <c r="D1126" s="2" t="s">
        <v>2212</v>
      </c>
      <c r="E1126" t="s">
        <v>198</v>
      </c>
      <c r="F1126" t="s">
        <v>20</v>
      </c>
      <c r="G1126" t="s">
        <v>21</v>
      </c>
      <c r="H1126" t="s">
        <v>199</v>
      </c>
      <c r="I1126" t="s">
        <v>23</v>
      </c>
      <c r="J1126" t="s">
        <v>35</v>
      </c>
      <c r="K1126" s="2" t="s">
        <v>2192</v>
      </c>
      <c r="L1126" t="s">
        <v>26</v>
      </c>
      <c r="M1126">
        <v>351153</v>
      </c>
      <c r="N1126">
        <v>1</v>
      </c>
      <c r="O1126" s="3">
        <v>49990</v>
      </c>
      <c r="P1126" s="3">
        <v>33725</v>
      </c>
      <c r="Q1126" s="5">
        <f t="shared" si="51"/>
        <v>42008.403361344543</v>
      </c>
      <c r="R1126" s="5">
        <f t="shared" si="52"/>
        <v>33725</v>
      </c>
      <c r="S1126" s="5">
        <f t="shared" si="53"/>
        <v>8283.4033613445426</v>
      </c>
    </row>
    <row r="1127" spans="1:19" hidden="1" x14ac:dyDescent="0.3">
      <c r="A1127">
        <v>100</v>
      </c>
      <c r="B1127" t="s">
        <v>16</v>
      </c>
      <c r="C1127" t="s">
        <v>383</v>
      </c>
      <c r="D1127" s="2" t="s">
        <v>384</v>
      </c>
      <c r="E1127" t="s">
        <v>385</v>
      </c>
      <c r="F1127" t="s">
        <v>20</v>
      </c>
      <c r="G1127" t="s">
        <v>21</v>
      </c>
      <c r="H1127" t="s">
        <v>306</v>
      </c>
      <c r="I1127" t="s">
        <v>23</v>
      </c>
      <c r="J1127" t="s">
        <v>35</v>
      </c>
      <c r="K1127" s="2" t="s">
        <v>2192</v>
      </c>
      <c r="L1127" t="s">
        <v>26</v>
      </c>
      <c r="M1127">
        <v>351154</v>
      </c>
      <c r="N1127">
        <v>1</v>
      </c>
      <c r="O1127" s="3">
        <v>59990</v>
      </c>
      <c r="P1127" s="3">
        <v>33227</v>
      </c>
      <c r="Q1127" s="5">
        <f t="shared" si="51"/>
        <v>50411.764705882357</v>
      </c>
      <c r="R1127" s="5">
        <f t="shared" si="52"/>
        <v>33227</v>
      </c>
      <c r="S1127" s="5">
        <f t="shared" si="53"/>
        <v>17184.764705882357</v>
      </c>
    </row>
    <row r="1128" spans="1:19" hidden="1" x14ac:dyDescent="0.3">
      <c r="A1128">
        <v>100</v>
      </c>
      <c r="B1128" t="s">
        <v>16</v>
      </c>
      <c r="C1128" t="s">
        <v>2213</v>
      </c>
      <c r="D1128" s="2" t="s">
        <v>2214</v>
      </c>
      <c r="E1128" t="s">
        <v>2215</v>
      </c>
      <c r="F1128" t="s">
        <v>20</v>
      </c>
      <c r="G1128" t="s">
        <v>21</v>
      </c>
      <c r="H1128" t="s">
        <v>686</v>
      </c>
      <c r="I1128" t="s">
        <v>23</v>
      </c>
      <c r="J1128" t="s">
        <v>35</v>
      </c>
      <c r="K1128" s="2" t="s">
        <v>2192</v>
      </c>
      <c r="L1128" t="s">
        <v>26</v>
      </c>
      <c r="M1128">
        <v>351155</v>
      </c>
      <c r="N1128">
        <v>1</v>
      </c>
      <c r="O1128" s="3">
        <v>99950</v>
      </c>
      <c r="P1128" s="3">
        <v>48762</v>
      </c>
      <c r="Q1128" s="5">
        <f t="shared" si="51"/>
        <v>83991.596638655465</v>
      </c>
      <c r="R1128" s="5">
        <f t="shared" si="52"/>
        <v>48762</v>
      </c>
      <c r="S1128" s="5">
        <f t="shared" si="53"/>
        <v>35229.596638655465</v>
      </c>
    </row>
    <row r="1129" spans="1:19" hidden="1" x14ac:dyDescent="0.3">
      <c r="A1129">
        <v>100</v>
      </c>
      <c r="B1129" t="s">
        <v>16</v>
      </c>
      <c r="C1129" t="s">
        <v>2216</v>
      </c>
      <c r="D1129" s="2" t="s">
        <v>2217</v>
      </c>
      <c r="E1129" t="s">
        <v>1023</v>
      </c>
      <c r="F1129" t="s">
        <v>20</v>
      </c>
      <c r="G1129" t="s">
        <v>21</v>
      </c>
      <c r="H1129" t="s">
        <v>783</v>
      </c>
      <c r="I1129" t="s">
        <v>23</v>
      </c>
      <c r="J1129" t="s">
        <v>40</v>
      </c>
      <c r="K1129" s="2" t="s">
        <v>2192</v>
      </c>
      <c r="L1129" t="s">
        <v>26</v>
      </c>
      <c r="M1129">
        <v>351156</v>
      </c>
      <c r="N1129">
        <v>1</v>
      </c>
      <c r="O1129" s="3">
        <v>37990</v>
      </c>
      <c r="P1129" s="3">
        <v>17194</v>
      </c>
      <c r="Q1129" s="5">
        <f t="shared" si="51"/>
        <v>31924.36974789916</v>
      </c>
      <c r="R1129" s="5">
        <f t="shared" si="52"/>
        <v>17194</v>
      </c>
      <c r="S1129" s="5">
        <f t="shared" si="53"/>
        <v>14730.36974789916</v>
      </c>
    </row>
    <row r="1130" spans="1:19" hidden="1" x14ac:dyDescent="0.3">
      <c r="A1130">
        <v>100</v>
      </c>
      <c r="B1130" t="s">
        <v>16</v>
      </c>
      <c r="C1130" t="s">
        <v>229</v>
      </c>
      <c r="D1130" s="2" t="s">
        <v>230</v>
      </c>
      <c r="E1130" t="s">
        <v>166</v>
      </c>
      <c r="F1130" t="s">
        <v>20</v>
      </c>
      <c r="G1130" t="s">
        <v>21</v>
      </c>
      <c r="H1130" t="s">
        <v>167</v>
      </c>
      <c r="I1130" t="s">
        <v>23</v>
      </c>
      <c r="J1130" t="s">
        <v>35</v>
      </c>
      <c r="K1130" s="2" t="s">
        <v>2192</v>
      </c>
      <c r="L1130" t="s">
        <v>26</v>
      </c>
      <c r="M1130">
        <v>351157</v>
      </c>
      <c r="N1130">
        <v>1</v>
      </c>
      <c r="O1130" s="3">
        <v>43990</v>
      </c>
      <c r="P1130" s="3">
        <v>36238</v>
      </c>
      <c r="Q1130" s="5">
        <f t="shared" si="51"/>
        <v>36966.386554621851</v>
      </c>
      <c r="R1130" s="5">
        <f t="shared" si="52"/>
        <v>36238</v>
      </c>
      <c r="S1130" s="5">
        <f t="shared" si="53"/>
        <v>728.38655462185125</v>
      </c>
    </row>
    <row r="1131" spans="1:19" hidden="1" x14ac:dyDescent="0.3">
      <c r="A1131">
        <v>100</v>
      </c>
      <c r="B1131" t="s">
        <v>16</v>
      </c>
      <c r="C1131" t="s">
        <v>2218</v>
      </c>
      <c r="D1131" s="2" t="s">
        <v>2219</v>
      </c>
      <c r="E1131" t="s">
        <v>1185</v>
      </c>
      <c r="F1131" t="s">
        <v>20</v>
      </c>
      <c r="G1131" t="s">
        <v>21</v>
      </c>
      <c r="H1131" t="s">
        <v>285</v>
      </c>
      <c r="I1131" t="s">
        <v>23</v>
      </c>
      <c r="J1131" t="s">
        <v>49</v>
      </c>
      <c r="K1131" s="2" t="s">
        <v>2192</v>
      </c>
      <c r="L1131" t="s">
        <v>26</v>
      </c>
      <c r="M1131">
        <v>351158</v>
      </c>
      <c r="N1131">
        <v>1</v>
      </c>
      <c r="O1131" s="3">
        <v>45990</v>
      </c>
      <c r="P1131" s="3">
        <v>28690</v>
      </c>
      <c r="Q1131" s="5">
        <f t="shared" si="51"/>
        <v>38647.058823529413</v>
      </c>
      <c r="R1131" s="5">
        <f t="shared" si="52"/>
        <v>28690</v>
      </c>
      <c r="S1131" s="5">
        <f t="shared" si="53"/>
        <v>9957.0588235294126</v>
      </c>
    </row>
    <row r="1132" spans="1:19" hidden="1" x14ac:dyDescent="0.3">
      <c r="A1132">
        <v>100</v>
      </c>
      <c r="B1132" t="s">
        <v>16</v>
      </c>
      <c r="C1132" t="s">
        <v>2220</v>
      </c>
      <c r="D1132" s="2" t="s">
        <v>2221</v>
      </c>
      <c r="E1132" t="s">
        <v>753</v>
      </c>
      <c r="F1132" t="s">
        <v>20</v>
      </c>
      <c r="G1132" t="s">
        <v>21</v>
      </c>
      <c r="H1132" t="s">
        <v>156</v>
      </c>
      <c r="I1132" t="s">
        <v>23</v>
      </c>
      <c r="J1132" t="s">
        <v>35</v>
      </c>
      <c r="K1132" s="2" t="s">
        <v>2192</v>
      </c>
      <c r="L1132" t="s">
        <v>26</v>
      </c>
      <c r="M1132">
        <v>351159</v>
      </c>
      <c r="N1132">
        <v>1</v>
      </c>
      <c r="O1132" s="3">
        <v>69990</v>
      </c>
      <c r="P1132" s="3">
        <v>38364</v>
      </c>
      <c r="Q1132" s="5">
        <f t="shared" si="51"/>
        <v>58815.126050420171</v>
      </c>
      <c r="R1132" s="5">
        <f t="shared" si="52"/>
        <v>38364</v>
      </c>
      <c r="S1132" s="5">
        <f t="shared" si="53"/>
        <v>20451.126050420171</v>
      </c>
    </row>
    <row r="1133" spans="1:19" hidden="1" x14ac:dyDescent="0.3">
      <c r="A1133">
        <v>100</v>
      </c>
      <c r="B1133" t="s">
        <v>16</v>
      </c>
      <c r="C1133" t="s">
        <v>2222</v>
      </c>
      <c r="D1133" s="2" t="s">
        <v>2223</v>
      </c>
      <c r="E1133" t="s">
        <v>442</v>
      </c>
      <c r="F1133" t="s">
        <v>20</v>
      </c>
      <c r="G1133" t="s">
        <v>21</v>
      </c>
      <c r="H1133" t="s">
        <v>357</v>
      </c>
      <c r="I1133" t="s">
        <v>23</v>
      </c>
      <c r="J1133" t="s">
        <v>49</v>
      </c>
      <c r="K1133" s="2" t="s">
        <v>2192</v>
      </c>
      <c r="L1133" t="s">
        <v>26</v>
      </c>
      <c r="M1133">
        <v>351160</v>
      </c>
      <c r="N1133">
        <v>1</v>
      </c>
      <c r="O1133" s="3">
        <v>44990</v>
      </c>
      <c r="P1133" s="3">
        <v>22806</v>
      </c>
      <c r="Q1133" s="5">
        <f t="shared" si="51"/>
        <v>37806.722689075636</v>
      </c>
      <c r="R1133" s="5">
        <f t="shared" si="52"/>
        <v>22806</v>
      </c>
      <c r="S1133" s="5">
        <f t="shared" si="53"/>
        <v>15000.722689075636</v>
      </c>
    </row>
    <row r="1134" spans="1:19" hidden="1" x14ac:dyDescent="0.3">
      <c r="A1134">
        <v>100</v>
      </c>
      <c r="B1134" t="s">
        <v>16</v>
      </c>
      <c r="C1134" t="s">
        <v>2224</v>
      </c>
      <c r="D1134" s="2" t="s">
        <v>2225</v>
      </c>
      <c r="E1134" t="s">
        <v>2226</v>
      </c>
      <c r="F1134" t="s">
        <v>20</v>
      </c>
      <c r="G1134" t="s">
        <v>21</v>
      </c>
      <c r="H1134" t="s">
        <v>53</v>
      </c>
      <c r="I1134" t="s">
        <v>23</v>
      </c>
      <c r="J1134" t="s">
        <v>49</v>
      </c>
      <c r="K1134" s="2" t="s">
        <v>2192</v>
      </c>
      <c r="L1134" t="s">
        <v>26</v>
      </c>
      <c r="M1134">
        <v>351161</v>
      </c>
      <c r="N1134">
        <v>1</v>
      </c>
      <c r="O1134" s="3">
        <v>69950</v>
      </c>
      <c r="P1134" s="3">
        <v>20951</v>
      </c>
      <c r="Q1134" s="5">
        <f t="shared" si="51"/>
        <v>58781.512605042022</v>
      </c>
      <c r="R1134" s="5">
        <f t="shared" si="52"/>
        <v>20951</v>
      </c>
      <c r="S1134" s="5">
        <f t="shared" si="53"/>
        <v>37830.512605042022</v>
      </c>
    </row>
    <row r="1135" spans="1:19" hidden="1" x14ac:dyDescent="0.3">
      <c r="A1135">
        <v>100</v>
      </c>
      <c r="B1135" t="s">
        <v>16</v>
      </c>
      <c r="C1135" t="s">
        <v>1361</v>
      </c>
      <c r="D1135" s="2" t="s">
        <v>1362</v>
      </c>
      <c r="E1135" t="s">
        <v>385</v>
      </c>
      <c r="F1135" t="s">
        <v>20</v>
      </c>
      <c r="G1135" t="s">
        <v>21</v>
      </c>
      <c r="H1135" t="s">
        <v>306</v>
      </c>
      <c r="I1135" t="s">
        <v>23</v>
      </c>
      <c r="J1135" t="s">
        <v>35</v>
      </c>
      <c r="K1135" s="2" t="s">
        <v>2192</v>
      </c>
      <c r="L1135" t="s">
        <v>26</v>
      </c>
      <c r="M1135">
        <v>351162</v>
      </c>
      <c r="N1135">
        <v>1</v>
      </c>
      <c r="O1135" s="3">
        <v>59990</v>
      </c>
      <c r="P1135" s="3">
        <v>33227</v>
      </c>
      <c r="Q1135" s="5">
        <f t="shared" si="51"/>
        <v>50411.764705882357</v>
      </c>
      <c r="R1135" s="5">
        <f t="shared" si="52"/>
        <v>33227</v>
      </c>
      <c r="S1135" s="5">
        <f t="shared" si="53"/>
        <v>17184.764705882357</v>
      </c>
    </row>
    <row r="1136" spans="1:19" hidden="1" x14ac:dyDescent="0.3">
      <c r="A1136">
        <v>100</v>
      </c>
      <c r="B1136" t="s">
        <v>16</v>
      </c>
      <c r="C1136" t="s">
        <v>2227</v>
      </c>
      <c r="D1136" s="2" t="s">
        <v>2228</v>
      </c>
      <c r="E1136" t="s">
        <v>1766</v>
      </c>
      <c r="F1136" t="s">
        <v>20</v>
      </c>
      <c r="G1136" t="s">
        <v>21</v>
      </c>
      <c r="H1136" t="s">
        <v>199</v>
      </c>
      <c r="I1136" t="s">
        <v>23</v>
      </c>
      <c r="J1136" t="s">
        <v>31</v>
      </c>
      <c r="K1136" s="2" t="s">
        <v>2192</v>
      </c>
      <c r="L1136" t="s">
        <v>26</v>
      </c>
      <c r="M1136">
        <v>351163</v>
      </c>
      <c r="N1136">
        <v>1</v>
      </c>
      <c r="O1136" s="3">
        <v>89990</v>
      </c>
      <c r="P1136" s="3">
        <v>39921</v>
      </c>
      <c r="Q1136" s="5">
        <f t="shared" si="51"/>
        <v>75621.848739495807</v>
      </c>
      <c r="R1136" s="5">
        <f t="shared" si="52"/>
        <v>39921</v>
      </c>
      <c r="S1136" s="5">
        <f t="shared" si="53"/>
        <v>35700.848739495807</v>
      </c>
    </row>
    <row r="1137" spans="1:19" hidden="1" x14ac:dyDescent="0.3">
      <c r="A1137">
        <v>100</v>
      </c>
      <c r="B1137" t="s">
        <v>16</v>
      </c>
      <c r="C1137" t="s">
        <v>2229</v>
      </c>
      <c r="D1137" s="2" t="s">
        <v>2230</v>
      </c>
      <c r="E1137" t="s">
        <v>2231</v>
      </c>
      <c r="F1137" t="s">
        <v>20</v>
      </c>
      <c r="G1137" t="s">
        <v>21</v>
      </c>
      <c r="H1137" t="s">
        <v>614</v>
      </c>
      <c r="I1137" t="s">
        <v>23</v>
      </c>
      <c r="J1137" t="s">
        <v>40</v>
      </c>
      <c r="K1137" s="2" t="s">
        <v>2192</v>
      </c>
      <c r="L1137" t="s">
        <v>26</v>
      </c>
      <c r="M1137">
        <v>351164</v>
      </c>
      <c r="N1137">
        <v>1</v>
      </c>
      <c r="O1137" s="3">
        <v>29990</v>
      </c>
      <c r="P1137" s="3">
        <v>17194</v>
      </c>
      <c r="Q1137" s="5">
        <f t="shared" si="51"/>
        <v>25201.680672268907</v>
      </c>
      <c r="R1137" s="5">
        <f t="shared" si="52"/>
        <v>17194</v>
      </c>
      <c r="S1137" s="5">
        <f t="shared" si="53"/>
        <v>8007.6806722689071</v>
      </c>
    </row>
    <row r="1138" spans="1:19" hidden="1" x14ac:dyDescent="0.3">
      <c r="A1138">
        <v>100</v>
      </c>
      <c r="B1138" t="s">
        <v>16</v>
      </c>
      <c r="C1138">
        <v>1687976791</v>
      </c>
      <c r="D1138" s="2" t="s">
        <v>200</v>
      </c>
      <c r="E1138" t="s">
        <v>201</v>
      </c>
      <c r="F1138" t="s">
        <v>201</v>
      </c>
      <c r="G1138" t="s">
        <v>202</v>
      </c>
      <c r="H1138" t="s">
        <v>202</v>
      </c>
      <c r="I1138" t="s">
        <v>23</v>
      </c>
      <c r="J1138" t="s">
        <v>202</v>
      </c>
      <c r="K1138" s="2" t="s">
        <v>2192</v>
      </c>
      <c r="L1138" t="s">
        <v>26</v>
      </c>
      <c r="M1138">
        <v>351164</v>
      </c>
      <c r="N1138">
        <v>1</v>
      </c>
      <c r="O1138" s="3">
        <v>3400</v>
      </c>
      <c r="P1138">
        <v>1</v>
      </c>
      <c r="Q1138" s="5">
        <f t="shared" si="51"/>
        <v>2857.1428571428573</v>
      </c>
      <c r="R1138" s="5">
        <f t="shared" si="52"/>
        <v>1</v>
      </c>
      <c r="S1138" s="5">
        <f t="shared" si="53"/>
        <v>2856.1428571428573</v>
      </c>
    </row>
    <row r="1139" spans="1:19" hidden="1" x14ac:dyDescent="0.3">
      <c r="A1139">
        <v>100</v>
      </c>
      <c r="B1139" t="s">
        <v>16</v>
      </c>
      <c r="C1139">
        <v>1687976791</v>
      </c>
      <c r="D1139" s="2" t="s">
        <v>200</v>
      </c>
      <c r="E1139" t="s">
        <v>201</v>
      </c>
      <c r="F1139" t="s">
        <v>201</v>
      </c>
      <c r="G1139" t="s">
        <v>202</v>
      </c>
      <c r="H1139" t="s">
        <v>202</v>
      </c>
      <c r="I1139" t="s">
        <v>23</v>
      </c>
      <c r="J1139" t="s">
        <v>202</v>
      </c>
      <c r="K1139" s="2" t="s">
        <v>2192</v>
      </c>
      <c r="L1139" t="s">
        <v>26</v>
      </c>
      <c r="M1139">
        <v>351165</v>
      </c>
      <c r="N1139">
        <v>1</v>
      </c>
      <c r="O1139" s="3">
        <v>3400</v>
      </c>
      <c r="P1139">
        <v>1</v>
      </c>
      <c r="Q1139" s="5">
        <f t="shared" si="51"/>
        <v>2857.1428571428573</v>
      </c>
      <c r="R1139" s="5">
        <f t="shared" si="52"/>
        <v>1</v>
      </c>
      <c r="S1139" s="5">
        <f t="shared" si="53"/>
        <v>2856.1428571428573</v>
      </c>
    </row>
    <row r="1140" spans="1:19" hidden="1" x14ac:dyDescent="0.3">
      <c r="A1140">
        <v>100</v>
      </c>
      <c r="B1140" t="s">
        <v>16</v>
      </c>
      <c r="C1140" t="s">
        <v>2232</v>
      </c>
      <c r="D1140" s="2" t="s">
        <v>2233</v>
      </c>
      <c r="E1140" t="s">
        <v>1012</v>
      </c>
      <c r="F1140" t="s">
        <v>20</v>
      </c>
      <c r="G1140" t="s">
        <v>21</v>
      </c>
      <c r="H1140" t="s">
        <v>1013</v>
      </c>
      <c r="I1140" t="s">
        <v>23</v>
      </c>
      <c r="J1140" t="s">
        <v>49</v>
      </c>
      <c r="K1140" s="2" t="s">
        <v>2192</v>
      </c>
      <c r="L1140" t="s">
        <v>26</v>
      </c>
      <c r="M1140">
        <v>351165</v>
      </c>
      <c r="N1140">
        <v>1</v>
      </c>
      <c r="O1140" s="3">
        <v>49990</v>
      </c>
      <c r="P1140" s="3">
        <v>32455</v>
      </c>
      <c r="Q1140" s="5">
        <f t="shared" si="51"/>
        <v>42008.403361344543</v>
      </c>
      <c r="R1140" s="5">
        <f t="shared" si="52"/>
        <v>32455</v>
      </c>
      <c r="S1140" s="5">
        <f t="shared" si="53"/>
        <v>9553.4033613445426</v>
      </c>
    </row>
    <row r="1141" spans="1:19" hidden="1" x14ac:dyDescent="0.3">
      <c r="A1141">
        <v>100</v>
      </c>
      <c r="B1141" t="s">
        <v>16</v>
      </c>
      <c r="C1141">
        <v>1687976791</v>
      </c>
      <c r="D1141" s="2" t="s">
        <v>200</v>
      </c>
      <c r="E1141" t="s">
        <v>201</v>
      </c>
      <c r="F1141" t="s">
        <v>201</v>
      </c>
      <c r="G1141" t="s">
        <v>202</v>
      </c>
      <c r="H1141" t="s">
        <v>202</v>
      </c>
      <c r="I1141" t="s">
        <v>23</v>
      </c>
      <c r="J1141" t="s">
        <v>202</v>
      </c>
      <c r="K1141" s="2" t="s">
        <v>2192</v>
      </c>
      <c r="L1141" t="s">
        <v>26</v>
      </c>
      <c r="M1141">
        <v>351166</v>
      </c>
      <c r="N1141">
        <v>1</v>
      </c>
      <c r="O1141" s="3">
        <v>3400</v>
      </c>
      <c r="P1141">
        <v>1</v>
      </c>
      <c r="Q1141" s="5">
        <f t="shared" si="51"/>
        <v>2857.1428571428573</v>
      </c>
      <c r="R1141" s="5">
        <f t="shared" si="52"/>
        <v>1</v>
      </c>
      <c r="S1141" s="5">
        <f t="shared" si="53"/>
        <v>2856.1428571428573</v>
      </c>
    </row>
    <row r="1142" spans="1:19" hidden="1" x14ac:dyDescent="0.3">
      <c r="A1142">
        <v>100</v>
      </c>
      <c r="B1142" t="s">
        <v>16</v>
      </c>
      <c r="C1142" t="s">
        <v>2234</v>
      </c>
      <c r="D1142" s="2" t="s">
        <v>2235</v>
      </c>
      <c r="E1142" t="s">
        <v>2236</v>
      </c>
      <c r="F1142" t="s">
        <v>20</v>
      </c>
      <c r="G1142" t="s">
        <v>215</v>
      </c>
      <c r="H1142" t="s">
        <v>2237</v>
      </c>
      <c r="I1142" t="s">
        <v>23</v>
      </c>
      <c r="J1142" t="s">
        <v>49</v>
      </c>
      <c r="K1142" s="2" t="s">
        <v>2192</v>
      </c>
      <c r="L1142" t="s">
        <v>26</v>
      </c>
      <c r="M1142">
        <v>351166</v>
      </c>
      <c r="N1142">
        <v>1</v>
      </c>
      <c r="O1142" s="3">
        <v>69990</v>
      </c>
      <c r="P1142" s="3">
        <v>40145</v>
      </c>
      <c r="Q1142" s="5">
        <f t="shared" si="51"/>
        <v>58815.126050420171</v>
      </c>
      <c r="R1142" s="5">
        <f t="shared" si="52"/>
        <v>40145</v>
      </c>
      <c r="S1142" s="5">
        <f t="shared" si="53"/>
        <v>18670.126050420171</v>
      </c>
    </row>
    <row r="1143" spans="1:19" hidden="1" x14ac:dyDescent="0.3">
      <c r="A1143">
        <v>100</v>
      </c>
      <c r="B1143" t="s">
        <v>16</v>
      </c>
      <c r="C1143" t="s">
        <v>2238</v>
      </c>
      <c r="D1143" s="2" t="s">
        <v>2239</v>
      </c>
      <c r="E1143" t="s">
        <v>2240</v>
      </c>
      <c r="F1143" t="s">
        <v>20</v>
      </c>
      <c r="G1143" t="s">
        <v>21</v>
      </c>
      <c r="H1143" t="s">
        <v>693</v>
      </c>
      <c r="I1143" t="s">
        <v>23</v>
      </c>
      <c r="J1143" t="s">
        <v>49</v>
      </c>
      <c r="K1143" s="2" t="s">
        <v>2192</v>
      </c>
      <c r="L1143" t="s">
        <v>26</v>
      </c>
      <c r="M1143">
        <v>351167</v>
      </c>
      <c r="N1143">
        <v>1</v>
      </c>
      <c r="O1143" s="3">
        <v>39990</v>
      </c>
      <c r="P1143" s="3">
        <v>21709</v>
      </c>
      <c r="Q1143" s="5">
        <f t="shared" si="51"/>
        <v>33605.042016806721</v>
      </c>
      <c r="R1143" s="5">
        <f t="shared" si="52"/>
        <v>21709</v>
      </c>
      <c r="S1143" s="5">
        <f t="shared" si="53"/>
        <v>11896.042016806721</v>
      </c>
    </row>
    <row r="1144" spans="1:19" hidden="1" x14ac:dyDescent="0.3">
      <c r="A1144">
        <v>100</v>
      </c>
      <c r="B1144" t="s">
        <v>16</v>
      </c>
      <c r="C1144" t="s">
        <v>2241</v>
      </c>
      <c r="D1144" s="2" t="s">
        <v>2242</v>
      </c>
      <c r="E1144" t="s">
        <v>2243</v>
      </c>
      <c r="F1144" t="s">
        <v>20</v>
      </c>
      <c r="G1144" t="s">
        <v>21</v>
      </c>
      <c r="H1144" t="s">
        <v>565</v>
      </c>
      <c r="I1144" t="s">
        <v>23</v>
      </c>
      <c r="J1144" t="s">
        <v>49</v>
      </c>
      <c r="K1144" s="2" t="s">
        <v>2192</v>
      </c>
      <c r="L1144" t="s">
        <v>26</v>
      </c>
      <c r="M1144">
        <v>351168</v>
      </c>
      <c r="N1144">
        <v>1</v>
      </c>
      <c r="O1144" s="3">
        <v>49990</v>
      </c>
      <c r="P1144" s="3">
        <v>28440</v>
      </c>
      <c r="Q1144" s="5">
        <f t="shared" si="51"/>
        <v>42008.403361344543</v>
      </c>
      <c r="R1144" s="5">
        <f t="shared" si="52"/>
        <v>28440</v>
      </c>
      <c r="S1144" s="5">
        <f t="shared" si="53"/>
        <v>13568.403361344543</v>
      </c>
    </row>
    <row r="1145" spans="1:19" hidden="1" x14ac:dyDescent="0.3">
      <c r="A1145">
        <v>130</v>
      </c>
      <c r="B1145" t="s">
        <v>2244</v>
      </c>
      <c r="C1145" t="s">
        <v>2245</v>
      </c>
      <c r="D1145" s="2" t="s">
        <v>2246</v>
      </c>
      <c r="E1145" t="s">
        <v>2247</v>
      </c>
      <c r="F1145" t="s">
        <v>20</v>
      </c>
      <c r="G1145" t="s">
        <v>21</v>
      </c>
      <c r="H1145" t="s">
        <v>2248</v>
      </c>
      <c r="I1145" t="s">
        <v>23</v>
      </c>
      <c r="J1145" t="s">
        <v>49</v>
      </c>
      <c r="K1145" s="2" t="s">
        <v>25</v>
      </c>
      <c r="L1145" t="s">
        <v>2249</v>
      </c>
      <c r="M1145">
        <v>25329</v>
      </c>
      <c r="N1145">
        <v>-1</v>
      </c>
      <c r="O1145" s="3">
        <v>-39990</v>
      </c>
      <c r="P1145" s="3">
        <v>21850</v>
      </c>
      <c r="Q1145" s="5">
        <f t="shared" si="51"/>
        <v>-33605.042016806721</v>
      </c>
      <c r="R1145" s="5">
        <f t="shared" si="52"/>
        <v>-21850</v>
      </c>
      <c r="S1145" s="5">
        <f t="shared" si="53"/>
        <v>-11755.042016806721</v>
      </c>
    </row>
    <row r="1146" spans="1:19" hidden="1" x14ac:dyDescent="0.3">
      <c r="A1146">
        <v>130</v>
      </c>
      <c r="B1146" t="s">
        <v>2244</v>
      </c>
      <c r="C1146" t="s">
        <v>2250</v>
      </c>
      <c r="D1146" s="2" t="s">
        <v>2251</v>
      </c>
      <c r="E1146" t="s">
        <v>2252</v>
      </c>
      <c r="F1146" t="s">
        <v>20</v>
      </c>
      <c r="G1146" t="s">
        <v>21</v>
      </c>
      <c r="H1146" t="s">
        <v>970</v>
      </c>
      <c r="I1146" t="s">
        <v>23</v>
      </c>
      <c r="J1146" t="s">
        <v>40</v>
      </c>
      <c r="K1146" s="2" t="s">
        <v>25</v>
      </c>
      <c r="L1146" t="s">
        <v>26</v>
      </c>
      <c r="M1146">
        <v>340196</v>
      </c>
      <c r="N1146">
        <v>1</v>
      </c>
      <c r="O1146" s="3">
        <v>59950</v>
      </c>
      <c r="P1146" s="3">
        <v>15928</v>
      </c>
      <c r="Q1146" s="5">
        <f t="shared" si="51"/>
        <v>50378.151260504201</v>
      </c>
      <c r="R1146" s="5">
        <f t="shared" si="52"/>
        <v>15928</v>
      </c>
      <c r="S1146" s="5">
        <f t="shared" si="53"/>
        <v>34450.151260504201</v>
      </c>
    </row>
    <row r="1147" spans="1:19" hidden="1" x14ac:dyDescent="0.3">
      <c r="A1147">
        <v>130</v>
      </c>
      <c r="B1147" t="s">
        <v>2244</v>
      </c>
      <c r="C1147" t="s">
        <v>2253</v>
      </c>
      <c r="D1147" s="2" t="s">
        <v>2254</v>
      </c>
      <c r="E1147" t="s">
        <v>2255</v>
      </c>
      <c r="F1147" t="s">
        <v>20</v>
      </c>
      <c r="G1147" t="s">
        <v>338</v>
      </c>
      <c r="H1147">
        <v>22318</v>
      </c>
      <c r="I1147" t="s">
        <v>23</v>
      </c>
      <c r="J1147" t="s">
        <v>49</v>
      </c>
      <c r="K1147" s="2" t="s">
        <v>25</v>
      </c>
      <c r="L1147" t="s">
        <v>26</v>
      </c>
      <c r="M1147">
        <v>340197</v>
      </c>
      <c r="N1147">
        <v>1</v>
      </c>
      <c r="O1147" s="3">
        <v>74951</v>
      </c>
      <c r="P1147" s="3">
        <v>23473</v>
      </c>
      <c r="Q1147" s="5">
        <f t="shared" si="51"/>
        <v>62984.033613445383</v>
      </c>
      <c r="R1147" s="5">
        <f t="shared" si="52"/>
        <v>23473</v>
      </c>
      <c r="S1147" s="5">
        <f t="shared" si="53"/>
        <v>39511.033613445383</v>
      </c>
    </row>
    <row r="1148" spans="1:19" hidden="1" x14ac:dyDescent="0.3">
      <c r="A1148">
        <v>130</v>
      </c>
      <c r="B1148" t="s">
        <v>2244</v>
      </c>
      <c r="C1148" t="s">
        <v>2256</v>
      </c>
      <c r="D1148" s="2" t="s">
        <v>2257</v>
      </c>
      <c r="E1148" t="s">
        <v>2255</v>
      </c>
      <c r="F1148" t="s">
        <v>20</v>
      </c>
      <c r="G1148" t="s">
        <v>338</v>
      </c>
      <c r="H1148">
        <v>22318</v>
      </c>
      <c r="I1148" t="s">
        <v>23</v>
      </c>
      <c r="J1148" t="s">
        <v>49</v>
      </c>
      <c r="K1148" s="2" t="s">
        <v>25</v>
      </c>
      <c r="L1148" t="s">
        <v>26</v>
      </c>
      <c r="M1148">
        <v>340197</v>
      </c>
      <c r="N1148">
        <v>-1</v>
      </c>
      <c r="O1148" s="3">
        <v>-74950</v>
      </c>
      <c r="P1148" s="3">
        <v>23473</v>
      </c>
      <c r="Q1148" s="5">
        <f t="shared" si="51"/>
        <v>-62983.193277310929</v>
      </c>
      <c r="R1148" s="5">
        <f t="shared" si="52"/>
        <v>-23473</v>
      </c>
      <c r="S1148" s="5">
        <f t="shared" si="53"/>
        <v>-39510.193277310929</v>
      </c>
    </row>
    <row r="1149" spans="1:19" hidden="1" x14ac:dyDescent="0.3">
      <c r="A1149">
        <v>130</v>
      </c>
      <c r="B1149" t="s">
        <v>2244</v>
      </c>
      <c r="C1149" t="s">
        <v>2258</v>
      </c>
      <c r="D1149" s="2" t="s">
        <v>2259</v>
      </c>
      <c r="E1149" t="s">
        <v>2252</v>
      </c>
      <c r="F1149" t="s">
        <v>20</v>
      </c>
      <c r="G1149" t="s">
        <v>21</v>
      </c>
      <c r="H1149" t="s">
        <v>970</v>
      </c>
      <c r="I1149" t="s">
        <v>23</v>
      </c>
      <c r="J1149" t="s">
        <v>40</v>
      </c>
      <c r="K1149" s="2" t="s">
        <v>25</v>
      </c>
      <c r="L1149" t="s">
        <v>26</v>
      </c>
      <c r="M1149">
        <v>340198</v>
      </c>
      <c r="N1149">
        <v>1</v>
      </c>
      <c r="O1149" s="3">
        <v>59950</v>
      </c>
      <c r="P1149" s="3">
        <v>15928</v>
      </c>
      <c r="Q1149" s="5">
        <f t="shared" si="51"/>
        <v>50378.151260504201</v>
      </c>
      <c r="R1149" s="5">
        <f t="shared" si="52"/>
        <v>15928</v>
      </c>
      <c r="S1149" s="5">
        <f t="shared" si="53"/>
        <v>34450.151260504201</v>
      </c>
    </row>
    <row r="1150" spans="1:19" hidden="1" x14ac:dyDescent="0.3">
      <c r="A1150">
        <v>130</v>
      </c>
      <c r="B1150" t="s">
        <v>2244</v>
      </c>
      <c r="C1150" t="s">
        <v>2260</v>
      </c>
      <c r="D1150" s="2" t="s">
        <v>2261</v>
      </c>
      <c r="E1150" t="s">
        <v>2262</v>
      </c>
      <c r="F1150" t="s">
        <v>20</v>
      </c>
      <c r="G1150" t="s">
        <v>21</v>
      </c>
      <c r="H1150" t="s">
        <v>565</v>
      </c>
      <c r="I1150" t="s">
        <v>23</v>
      </c>
      <c r="J1150" t="s">
        <v>49</v>
      </c>
      <c r="K1150" s="2" t="s">
        <v>25</v>
      </c>
      <c r="L1150" t="s">
        <v>26</v>
      </c>
      <c r="M1150">
        <v>340199</v>
      </c>
      <c r="N1150">
        <v>1</v>
      </c>
      <c r="O1150" s="3">
        <v>69950</v>
      </c>
      <c r="P1150" s="3">
        <v>23775</v>
      </c>
      <c r="Q1150" s="5">
        <f t="shared" si="51"/>
        <v>58781.512605042022</v>
      </c>
      <c r="R1150" s="5">
        <f t="shared" si="52"/>
        <v>23775</v>
      </c>
      <c r="S1150" s="5">
        <f t="shared" si="53"/>
        <v>35006.512605042022</v>
      </c>
    </row>
    <row r="1151" spans="1:19" hidden="1" x14ac:dyDescent="0.3">
      <c r="A1151">
        <v>130</v>
      </c>
      <c r="B1151" t="s">
        <v>2244</v>
      </c>
      <c r="C1151" t="s">
        <v>2263</v>
      </c>
      <c r="D1151" s="2" t="s">
        <v>2264</v>
      </c>
      <c r="E1151" t="s">
        <v>2265</v>
      </c>
      <c r="F1151" t="s">
        <v>20</v>
      </c>
      <c r="G1151" t="s">
        <v>21</v>
      </c>
      <c r="H1151" t="s">
        <v>2070</v>
      </c>
      <c r="I1151" t="s">
        <v>23</v>
      </c>
      <c r="J1151" t="s">
        <v>35</v>
      </c>
      <c r="K1151" s="2" t="s">
        <v>25</v>
      </c>
      <c r="L1151" t="s">
        <v>26</v>
      </c>
      <c r="M1151">
        <v>340200</v>
      </c>
      <c r="N1151">
        <v>1</v>
      </c>
      <c r="O1151" s="3">
        <v>89950</v>
      </c>
      <c r="P1151" s="3">
        <v>29635</v>
      </c>
      <c r="Q1151" s="5">
        <f t="shared" si="51"/>
        <v>75588.23529411765</v>
      </c>
      <c r="R1151" s="5">
        <f t="shared" si="52"/>
        <v>29635</v>
      </c>
      <c r="S1151" s="5">
        <f t="shared" si="53"/>
        <v>45953.23529411765</v>
      </c>
    </row>
    <row r="1152" spans="1:19" hidden="1" x14ac:dyDescent="0.3">
      <c r="A1152">
        <v>130</v>
      </c>
      <c r="B1152" t="s">
        <v>2244</v>
      </c>
      <c r="C1152" t="s">
        <v>2266</v>
      </c>
      <c r="D1152" s="2" t="s">
        <v>2267</v>
      </c>
      <c r="E1152" t="s">
        <v>2069</v>
      </c>
      <c r="F1152" t="s">
        <v>20</v>
      </c>
      <c r="G1152" t="s">
        <v>21</v>
      </c>
      <c r="H1152" t="s">
        <v>2070</v>
      </c>
      <c r="I1152" t="s">
        <v>23</v>
      </c>
      <c r="J1152" t="s">
        <v>35</v>
      </c>
      <c r="K1152" s="2" t="s">
        <v>25</v>
      </c>
      <c r="L1152" t="s">
        <v>26</v>
      </c>
      <c r="M1152">
        <v>340200</v>
      </c>
      <c r="N1152">
        <v>1</v>
      </c>
      <c r="O1152" s="3">
        <v>89950</v>
      </c>
      <c r="P1152" s="3">
        <v>29635</v>
      </c>
      <c r="Q1152" s="5">
        <f t="shared" si="51"/>
        <v>75588.23529411765</v>
      </c>
      <c r="R1152" s="5">
        <f t="shared" si="52"/>
        <v>29635</v>
      </c>
      <c r="S1152" s="5">
        <f t="shared" si="53"/>
        <v>45953.23529411765</v>
      </c>
    </row>
    <row r="1153" spans="1:19" hidden="1" x14ac:dyDescent="0.3">
      <c r="A1153">
        <v>130</v>
      </c>
      <c r="B1153" t="s">
        <v>2244</v>
      </c>
      <c r="C1153" t="s">
        <v>2268</v>
      </c>
      <c r="D1153" s="2" t="s">
        <v>2269</v>
      </c>
      <c r="E1153" t="s">
        <v>432</v>
      </c>
      <c r="F1153" t="s">
        <v>20</v>
      </c>
      <c r="G1153" t="s">
        <v>21</v>
      </c>
      <c r="H1153" t="s">
        <v>433</v>
      </c>
      <c r="I1153" t="s">
        <v>23</v>
      </c>
      <c r="J1153" t="s">
        <v>407</v>
      </c>
      <c r="K1153" s="2" t="s">
        <v>25</v>
      </c>
      <c r="L1153" t="s">
        <v>26</v>
      </c>
      <c r="M1153">
        <v>340201</v>
      </c>
      <c r="N1153">
        <v>1</v>
      </c>
      <c r="O1153" s="3">
        <v>39990</v>
      </c>
      <c r="P1153" s="3">
        <v>24999</v>
      </c>
      <c r="Q1153" s="5">
        <f t="shared" si="51"/>
        <v>33605.042016806721</v>
      </c>
      <c r="R1153" s="5">
        <f t="shared" si="52"/>
        <v>24999</v>
      </c>
      <c r="S1153" s="5">
        <f t="shared" si="53"/>
        <v>8606.0420168067212</v>
      </c>
    </row>
    <row r="1154" spans="1:19" hidden="1" x14ac:dyDescent="0.3">
      <c r="A1154">
        <v>130</v>
      </c>
      <c r="B1154" t="s">
        <v>2244</v>
      </c>
      <c r="C1154" t="s">
        <v>2108</v>
      </c>
      <c r="D1154" s="2" t="s">
        <v>2109</v>
      </c>
      <c r="E1154" t="s">
        <v>2110</v>
      </c>
      <c r="F1154" t="s">
        <v>20</v>
      </c>
      <c r="G1154" t="s">
        <v>21</v>
      </c>
      <c r="H1154" t="s">
        <v>22</v>
      </c>
      <c r="I1154" t="s">
        <v>23</v>
      </c>
      <c r="J1154" t="s">
        <v>24</v>
      </c>
      <c r="K1154" s="2" t="s">
        <v>25</v>
      </c>
      <c r="L1154" t="s">
        <v>26</v>
      </c>
      <c r="M1154">
        <v>340202</v>
      </c>
      <c r="N1154">
        <v>1</v>
      </c>
      <c r="O1154" s="3">
        <v>79950</v>
      </c>
      <c r="P1154" s="3">
        <v>27757</v>
      </c>
      <c r="Q1154" s="5">
        <f t="shared" si="51"/>
        <v>67184.873949579836</v>
      </c>
      <c r="R1154" s="5">
        <f t="shared" si="52"/>
        <v>27757</v>
      </c>
      <c r="S1154" s="5">
        <f t="shared" si="53"/>
        <v>39427.873949579836</v>
      </c>
    </row>
    <row r="1155" spans="1:19" hidden="1" x14ac:dyDescent="0.3">
      <c r="A1155">
        <v>130</v>
      </c>
      <c r="B1155" t="s">
        <v>2244</v>
      </c>
      <c r="C1155" t="s">
        <v>2270</v>
      </c>
      <c r="D1155" s="2" t="s">
        <v>2271</v>
      </c>
      <c r="E1155" t="s">
        <v>2272</v>
      </c>
      <c r="F1155" t="s">
        <v>20</v>
      </c>
      <c r="G1155" t="s">
        <v>21</v>
      </c>
      <c r="H1155" t="s">
        <v>835</v>
      </c>
      <c r="I1155" t="s">
        <v>23</v>
      </c>
      <c r="J1155" t="s">
        <v>40</v>
      </c>
      <c r="K1155" s="2" t="s">
        <v>25</v>
      </c>
      <c r="L1155" t="s">
        <v>26</v>
      </c>
      <c r="M1155">
        <v>340203</v>
      </c>
      <c r="N1155">
        <v>1</v>
      </c>
      <c r="O1155" s="3">
        <v>39990</v>
      </c>
      <c r="P1155" s="3">
        <v>25370</v>
      </c>
      <c r="Q1155" s="5">
        <f t="shared" si="51"/>
        <v>33605.042016806721</v>
      </c>
      <c r="R1155" s="5">
        <f t="shared" si="52"/>
        <v>25370</v>
      </c>
      <c r="S1155" s="5">
        <f t="shared" si="53"/>
        <v>8235.0420168067212</v>
      </c>
    </row>
    <row r="1156" spans="1:19" hidden="1" x14ac:dyDescent="0.3">
      <c r="A1156">
        <v>130</v>
      </c>
      <c r="B1156" t="s">
        <v>2244</v>
      </c>
      <c r="C1156" t="s">
        <v>2273</v>
      </c>
      <c r="D1156" s="2" t="s">
        <v>2274</v>
      </c>
      <c r="E1156" t="s">
        <v>2275</v>
      </c>
      <c r="F1156" t="s">
        <v>20</v>
      </c>
      <c r="G1156" t="s">
        <v>21</v>
      </c>
      <c r="H1156" t="s">
        <v>783</v>
      </c>
      <c r="I1156" t="s">
        <v>23</v>
      </c>
      <c r="J1156" t="s">
        <v>40</v>
      </c>
      <c r="K1156" s="2" t="s">
        <v>25</v>
      </c>
      <c r="L1156" t="s">
        <v>26</v>
      </c>
      <c r="M1156">
        <v>340203</v>
      </c>
      <c r="N1156">
        <v>1</v>
      </c>
      <c r="O1156" s="3">
        <v>34990</v>
      </c>
      <c r="P1156" s="3">
        <v>17194</v>
      </c>
      <c r="Q1156" s="5">
        <f t="shared" si="51"/>
        <v>29403.361344537818</v>
      </c>
      <c r="R1156" s="5">
        <f t="shared" si="52"/>
        <v>17194</v>
      </c>
      <c r="S1156" s="5">
        <f t="shared" si="53"/>
        <v>12209.361344537818</v>
      </c>
    </row>
    <row r="1157" spans="1:19" hidden="1" x14ac:dyDescent="0.3">
      <c r="A1157">
        <v>130</v>
      </c>
      <c r="B1157" t="s">
        <v>2244</v>
      </c>
      <c r="C1157" t="s">
        <v>2276</v>
      </c>
      <c r="D1157" s="2" t="s">
        <v>2277</v>
      </c>
      <c r="E1157" t="s">
        <v>2278</v>
      </c>
      <c r="F1157" t="s">
        <v>20</v>
      </c>
      <c r="G1157" t="s">
        <v>21</v>
      </c>
      <c r="H1157" t="s">
        <v>346</v>
      </c>
      <c r="I1157" t="s">
        <v>23</v>
      </c>
      <c r="J1157" t="s">
        <v>49</v>
      </c>
      <c r="K1157" s="2" t="s">
        <v>25</v>
      </c>
      <c r="L1157" t="s">
        <v>26</v>
      </c>
      <c r="M1157">
        <v>340204</v>
      </c>
      <c r="N1157">
        <v>1</v>
      </c>
      <c r="O1157" s="3">
        <v>49990</v>
      </c>
      <c r="P1157" s="3">
        <v>23224</v>
      </c>
      <c r="Q1157" s="5">
        <f t="shared" si="51"/>
        <v>42008.403361344543</v>
      </c>
      <c r="R1157" s="5">
        <f t="shared" si="52"/>
        <v>23224</v>
      </c>
      <c r="S1157" s="5">
        <f t="shared" si="53"/>
        <v>18784.403361344543</v>
      </c>
    </row>
    <row r="1158" spans="1:19" hidden="1" x14ac:dyDescent="0.3">
      <c r="A1158">
        <v>130</v>
      </c>
      <c r="B1158" t="s">
        <v>2244</v>
      </c>
      <c r="C1158" t="s">
        <v>2279</v>
      </c>
      <c r="D1158" s="2" t="s">
        <v>2280</v>
      </c>
      <c r="E1158" t="s">
        <v>2281</v>
      </c>
      <c r="F1158" t="s">
        <v>20</v>
      </c>
      <c r="G1158" t="s">
        <v>21</v>
      </c>
      <c r="H1158" t="s">
        <v>247</v>
      </c>
      <c r="I1158" t="s">
        <v>23</v>
      </c>
      <c r="J1158" t="s">
        <v>40</v>
      </c>
      <c r="K1158" s="2" t="s">
        <v>25</v>
      </c>
      <c r="L1158" t="s">
        <v>26</v>
      </c>
      <c r="M1158">
        <v>340205</v>
      </c>
      <c r="N1158">
        <v>1</v>
      </c>
      <c r="O1158" s="3">
        <v>34990</v>
      </c>
      <c r="P1158" s="3">
        <v>18016</v>
      </c>
      <c r="Q1158" s="5">
        <f t="shared" ref="Q1158:Q1221" si="54">O1158/1.19</f>
        <v>29403.361344537818</v>
      </c>
      <c r="R1158" s="5">
        <f t="shared" ref="R1158:R1221" si="55">N1158*P1158</f>
        <v>18016</v>
      </c>
      <c r="S1158" s="5">
        <f t="shared" ref="S1158:S1221" si="56">Q1158-R1158</f>
        <v>11387.361344537818</v>
      </c>
    </row>
    <row r="1159" spans="1:19" hidden="1" x14ac:dyDescent="0.3">
      <c r="A1159">
        <v>130</v>
      </c>
      <c r="B1159" t="s">
        <v>2244</v>
      </c>
      <c r="C1159" t="s">
        <v>2282</v>
      </c>
      <c r="D1159" s="2" t="s">
        <v>2283</v>
      </c>
      <c r="E1159" t="s">
        <v>2284</v>
      </c>
      <c r="F1159" t="s">
        <v>20</v>
      </c>
      <c r="G1159" t="s">
        <v>21</v>
      </c>
      <c r="H1159" t="s">
        <v>247</v>
      </c>
      <c r="I1159" t="s">
        <v>23</v>
      </c>
      <c r="J1159" t="s">
        <v>40</v>
      </c>
      <c r="K1159" s="2" t="s">
        <v>25</v>
      </c>
      <c r="L1159" t="s">
        <v>26</v>
      </c>
      <c r="M1159">
        <v>340206</v>
      </c>
      <c r="N1159">
        <v>1</v>
      </c>
      <c r="O1159" s="3">
        <v>59950</v>
      </c>
      <c r="P1159" s="3">
        <v>16541</v>
      </c>
      <c r="Q1159" s="5">
        <f t="shared" si="54"/>
        <v>50378.151260504201</v>
      </c>
      <c r="R1159" s="5">
        <f t="shared" si="55"/>
        <v>16541</v>
      </c>
      <c r="S1159" s="5">
        <f t="shared" si="56"/>
        <v>33837.151260504201</v>
      </c>
    </row>
    <row r="1160" spans="1:19" hidden="1" x14ac:dyDescent="0.3">
      <c r="A1160">
        <v>130</v>
      </c>
      <c r="B1160" t="s">
        <v>2244</v>
      </c>
      <c r="C1160" t="s">
        <v>2285</v>
      </c>
      <c r="D1160" s="2" t="s">
        <v>2286</v>
      </c>
      <c r="E1160" t="s">
        <v>2287</v>
      </c>
      <c r="F1160" t="s">
        <v>20</v>
      </c>
      <c r="G1160" t="s">
        <v>21</v>
      </c>
      <c r="H1160" t="s">
        <v>429</v>
      </c>
      <c r="I1160" t="s">
        <v>23</v>
      </c>
      <c r="J1160" t="s">
        <v>49</v>
      </c>
      <c r="K1160" s="2" t="s">
        <v>25</v>
      </c>
      <c r="L1160" t="s">
        <v>26</v>
      </c>
      <c r="M1160">
        <v>340207</v>
      </c>
      <c r="N1160">
        <v>1</v>
      </c>
      <c r="O1160" s="3">
        <v>49990</v>
      </c>
      <c r="P1160" s="3">
        <v>31855</v>
      </c>
      <c r="Q1160" s="5">
        <f t="shared" si="54"/>
        <v>42008.403361344543</v>
      </c>
      <c r="R1160" s="5">
        <f t="shared" si="55"/>
        <v>31855</v>
      </c>
      <c r="S1160" s="5">
        <f t="shared" si="56"/>
        <v>10153.403361344543</v>
      </c>
    </row>
    <row r="1161" spans="1:19" hidden="1" x14ac:dyDescent="0.3">
      <c r="A1161">
        <v>130</v>
      </c>
      <c r="B1161" t="s">
        <v>2244</v>
      </c>
      <c r="C1161" t="s">
        <v>2179</v>
      </c>
      <c r="D1161" s="2" t="s">
        <v>2180</v>
      </c>
      <c r="E1161" t="s">
        <v>1344</v>
      </c>
      <c r="F1161" t="s">
        <v>20</v>
      </c>
      <c r="G1161" t="s">
        <v>21</v>
      </c>
      <c r="H1161" t="s">
        <v>1345</v>
      </c>
      <c r="I1161" t="s">
        <v>23</v>
      </c>
      <c r="J1161" t="s">
        <v>40</v>
      </c>
      <c r="K1161" s="2" t="s">
        <v>25</v>
      </c>
      <c r="L1161" t="s">
        <v>26</v>
      </c>
      <c r="M1161">
        <v>340208</v>
      </c>
      <c r="N1161">
        <v>1</v>
      </c>
      <c r="O1161" s="3">
        <v>29990</v>
      </c>
      <c r="P1161" s="3">
        <v>17216</v>
      </c>
      <c r="Q1161" s="5">
        <f t="shared" si="54"/>
        <v>25201.680672268907</v>
      </c>
      <c r="R1161" s="5">
        <f t="shared" si="55"/>
        <v>17216</v>
      </c>
      <c r="S1161" s="5">
        <f t="shared" si="56"/>
        <v>7985.6806722689071</v>
      </c>
    </row>
    <row r="1162" spans="1:19" hidden="1" x14ac:dyDescent="0.3">
      <c r="A1162">
        <v>130</v>
      </c>
      <c r="B1162" t="s">
        <v>2244</v>
      </c>
      <c r="C1162">
        <v>1687976791</v>
      </c>
      <c r="D1162" s="2" t="s">
        <v>200</v>
      </c>
      <c r="E1162" t="s">
        <v>201</v>
      </c>
      <c r="F1162" t="s">
        <v>201</v>
      </c>
      <c r="G1162" t="s">
        <v>202</v>
      </c>
      <c r="H1162" t="s">
        <v>202</v>
      </c>
      <c r="I1162" t="s">
        <v>23</v>
      </c>
      <c r="J1162" t="s">
        <v>202</v>
      </c>
      <c r="K1162" s="2" t="s">
        <v>25</v>
      </c>
      <c r="L1162" t="s">
        <v>26</v>
      </c>
      <c r="M1162">
        <v>340208</v>
      </c>
      <c r="N1162">
        <v>1</v>
      </c>
      <c r="O1162" s="3">
        <v>3200</v>
      </c>
      <c r="P1162">
        <v>1</v>
      </c>
      <c r="Q1162" s="5">
        <f t="shared" si="54"/>
        <v>2689.0756302521008</v>
      </c>
      <c r="R1162" s="5">
        <f t="shared" si="55"/>
        <v>1</v>
      </c>
      <c r="S1162" s="5">
        <f t="shared" si="56"/>
        <v>2688.0756302521008</v>
      </c>
    </row>
    <row r="1163" spans="1:19" hidden="1" x14ac:dyDescent="0.3">
      <c r="A1163">
        <v>130</v>
      </c>
      <c r="B1163" t="s">
        <v>2244</v>
      </c>
      <c r="C1163" t="s">
        <v>2288</v>
      </c>
      <c r="D1163" s="2" t="s">
        <v>2289</v>
      </c>
      <c r="E1163" t="s">
        <v>2188</v>
      </c>
      <c r="F1163" t="s">
        <v>20</v>
      </c>
      <c r="G1163" t="s">
        <v>21</v>
      </c>
      <c r="H1163" t="s">
        <v>2189</v>
      </c>
      <c r="I1163" t="s">
        <v>23</v>
      </c>
      <c r="J1163" t="s">
        <v>40</v>
      </c>
      <c r="K1163" s="2" t="s">
        <v>25</v>
      </c>
      <c r="L1163" t="s">
        <v>26</v>
      </c>
      <c r="M1163">
        <v>340209</v>
      </c>
      <c r="N1163">
        <v>1</v>
      </c>
      <c r="O1163" s="3">
        <v>74950</v>
      </c>
      <c r="P1163" s="3">
        <v>27725</v>
      </c>
      <c r="Q1163" s="5">
        <f t="shared" si="54"/>
        <v>62983.193277310929</v>
      </c>
      <c r="R1163" s="5">
        <f t="shared" si="55"/>
        <v>27725</v>
      </c>
      <c r="S1163" s="5">
        <f t="shared" si="56"/>
        <v>35258.193277310929</v>
      </c>
    </row>
    <row r="1164" spans="1:19" hidden="1" x14ac:dyDescent="0.3">
      <c r="A1164">
        <v>130</v>
      </c>
      <c r="B1164" t="s">
        <v>2244</v>
      </c>
      <c r="C1164" t="s">
        <v>2290</v>
      </c>
      <c r="D1164" s="2" t="s">
        <v>2291</v>
      </c>
      <c r="E1164" t="s">
        <v>2292</v>
      </c>
      <c r="F1164" t="s">
        <v>20</v>
      </c>
      <c r="G1164" t="s">
        <v>338</v>
      </c>
      <c r="H1164">
        <v>23723</v>
      </c>
      <c r="I1164" t="s">
        <v>23</v>
      </c>
      <c r="J1164" t="s">
        <v>40</v>
      </c>
      <c r="K1164" s="2" t="s">
        <v>25</v>
      </c>
      <c r="L1164" t="s">
        <v>26</v>
      </c>
      <c r="M1164">
        <v>340210</v>
      </c>
      <c r="N1164">
        <v>1</v>
      </c>
      <c r="O1164" s="3">
        <v>79990</v>
      </c>
      <c r="P1164" s="3">
        <v>35178</v>
      </c>
      <c r="Q1164" s="5">
        <f t="shared" si="54"/>
        <v>67218.487394957992</v>
      </c>
      <c r="R1164" s="5">
        <f t="shared" si="55"/>
        <v>35178</v>
      </c>
      <c r="S1164" s="5">
        <f t="shared" si="56"/>
        <v>32040.487394957992</v>
      </c>
    </row>
    <row r="1165" spans="1:19" hidden="1" x14ac:dyDescent="0.3">
      <c r="A1165">
        <v>130</v>
      </c>
      <c r="B1165" t="s">
        <v>2244</v>
      </c>
      <c r="C1165" t="s">
        <v>2293</v>
      </c>
      <c r="D1165" s="2" t="s">
        <v>2294</v>
      </c>
      <c r="E1165" t="s">
        <v>2295</v>
      </c>
      <c r="F1165" t="s">
        <v>20</v>
      </c>
      <c r="G1165" t="s">
        <v>338</v>
      </c>
      <c r="H1165">
        <v>25026</v>
      </c>
      <c r="I1165" t="s">
        <v>23</v>
      </c>
      <c r="J1165" t="s">
        <v>35</v>
      </c>
      <c r="K1165" s="2" t="s">
        <v>268</v>
      </c>
      <c r="L1165" t="s">
        <v>26</v>
      </c>
      <c r="M1165">
        <v>340211</v>
      </c>
      <c r="N1165">
        <v>1</v>
      </c>
      <c r="O1165" s="3">
        <v>89950</v>
      </c>
      <c r="P1165" s="3">
        <v>28454</v>
      </c>
      <c r="Q1165" s="5">
        <f t="shared" si="54"/>
        <v>75588.23529411765</v>
      </c>
      <c r="R1165" s="5">
        <f t="shared" si="55"/>
        <v>28454</v>
      </c>
      <c r="S1165" s="5">
        <f t="shared" si="56"/>
        <v>47134.23529411765</v>
      </c>
    </row>
    <row r="1166" spans="1:19" hidden="1" x14ac:dyDescent="0.3">
      <c r="A1166">
        <v>130</v>
      </c>
      <c r="B1166" t="s">
        <v>2244</v>
      </c>
      <c r="C1166" t="s">
        <v>2296</v>
      </c>
      <c r="D1166" s="2" t="s">
        <v>2297</v>
      </c>
      <c r="E1166" t="s">
        <v>2298</v>
      </c>
      <c r="F1166" t="s">
        <v>20</v>
      </c>
      <c r="G1166" t="s">
        <v>21</v>
      </c>
      <c r="H1166" t="s">
        <v>2189</v>
      </c>
      <c r="I1166" t="s">
        <v>23</v>
      </c>
      <c r="J1166" t="s">
        <v>40</v>
      </c>
      <c r="K1166" s="2" t="s">
        <v>268</v>
      </c>
      <c r="L1166" t="s">
        <v>26</v>
      </c>
      <c r="M1166">
        <v>340212</v>
      </c>
      <c r="N1166">
        <v>1</v>
      </c>
      <c r="O1166" s="3">
        <v>64950</v>
      </c>
      <c r="P1166" s="3">
        <v>20781</v>
      </c>
      <c r="Q1166" s="5">
        <f t="shared" si="54"/>
        <v>54579.831932773115</v>
      </c>
      <c r="R1166" s="5">
        <f t="shared" si="55"/>
        <v>20781</v>
      </c>
      <c r="S1166" s="5">
        <f t="shared" si="56"/>
        <v>33798.831932773115</v>
      </c>
    </row>
    <row r="1167" spans="1:19" hidden="1" x14ac:dyDescent="0.3">
      <c r="A1167">
        <v>130</v>
      </c>
      <c r="B1167" t="s">
        <v>2244</v>
      </c>
      <c r="C1167" t="s">
        <v>2299</v>
      </c>
      <c r="D1167" s="2" t="s">
        <v>2300</v>
      </c>
      <c r="E1167" t="s">
        <v>2301</v>
      </c>
      <c r="F1167" t="s">
        <v>20</v>
      </c>
      <c r="G1167" t="s">
        <v>21</v>
      </c>
      <c r="H1167" t="s">
        <v>1124</v>
      </c>
      <c r="I1167" t="s">
        <v>23</v>
      </c>
      <c r="J1167" t="s">
        <v>24</v>
      </c>
      <c r="K1167" s="2" t="s">
        <v>268</v>
      </c>
      <c r="L1167" t="s">
        <v>26</v>
      </c>
      <c r="M1167">
        <v>340213</v>
      </c>
      <c r="N1167">
        <v>1</v>
      </c>
      <c r="O1167" s="3">
        <v>74950</v>
      </c>
      <c r="P1167" s="3">
        <v>25834</v>
      </c>
      <c r="Q1167" s="5">
        <f t="shared" si="54"/>
        <v>62983.193277310929</v>
      </c>
      <c r="R1167" s="5">
        <f t="shared" si="55"/>
        <v>25834</v>
      </c>
      <c r="S1167" s="5">
        <f t="shared" si="56"/>
        <v>37149.193277310929</v>
      </c>
    </row>
    <row r="1168" spans="1:19" hidden="1" x14ac:dyDescent="0.3">
      <c r="A1168">
        <v>130</v>
      </c>
      <c r="B1168" t="s">
        <v>2244</v>
      </c>
      <c r="C1168" t="s">
        <v>2302</v>
      </c>
      <c r="D1168" s="2" t="s">
        <v>2303</v>
      </c>
      <c r="E1168" t="s">
        <v>2304</v>
      </c>
      <c r="F1168" t="s">
        <v>20</v>
      </c>
      <c r="G1168" t="s">
        <v>21</v>
      </c>
      <c r="H1168" t="s">
        <v>2305</v>
      </c>
      <c r="I1168" t="s">
        <v>23</v>
      </c>
      <c r="J1168" t="s">
        <v>207</v>
      </c>
      <c r="K1168" s="2" t="s">
        <v>268</v>
      </c>
      <c r="L1168" t="s">
        <v>26</v>
      </c>
      <c r="M1168">
        <v>340213</v>
      </c>
      <c r="N1168">
        <v>-1</v>
      </c>
      <c r="O1168" s="3">
        <v>-39990</v>
      </c>
      <c r="P1168" s="3">
        <v>22764</v>
      </c>
      <c r="Q1168" s="5">
        <f t="shared" si="54"/>
        <v>-33605.042016806721</v>
      </c>
      <c r="R1168" s="5">
        <f t="shared" si="55"/>
        <v>-22764</v>
      </c>
      <c r="S1168" s="5">
        <f t="shared" si="56"/>
        <v>-10841.042016806721</v>
      </c>
    </row>
    <row r="1169" spans="1:19" hidden="1" x14ac:dyDescent="0.3">
      <c r="A1169">
        <v>130</v>
      </c>
      <c r="B1169" t="s">
        <v>2244</v>
      </c>
      <c r="C1169" t="s">
        <v>2306</v>
      </c>
      <c r="D1169" s="2" t="s">
        <v>2307</v>
      </c>
      <c r="E1169" t="s">
        <v>2308</v>
      </c>
      <c r="F1169" t="s">
        <v>20</v>
      </c>
      <c r="G1169" t="s">
        <v>21</v>
      </c>
      <c r="H1169" t="s">
        <v>1337</v>
      </c>
      <c r="I1169" t="s">
        <v>23</v>
      </c>
      <c r="J1169" t="s">
        <v>49</v>
      </c>
      <c r="K1169" s="2" t="s">
        <v>268</v>
      </c>
      <c r="L1169" t="s">
        <v>26</v>
      </c>
      <c r="M1169">
        <v>340214</v>
      </c>
      <c r="N1169">
        <v>1</v>
      </c>
      <c r="O1169" s="3">
        <v>59950</v>
      </c>
      <c r="P1169" s="3">
        <v>22221</v>
      </c>
      <c r="Q1169" s="5">
        <f t="shared" si="54"/>
        <v>50378.151260504201</v>
      </c>
      <c r="R1169" s="5">
        <f t="shared" si="55"/>
        <v>22221</v>
      </c>
      <c r="S1169" s="5">
        <f t="shared" si="56"/>
        <v>28157.151260504201</v>
      </c>
    </row>
    <row r="1170" spans="1:19" hidden="1" x14ac:dyDescent="0.3">
      <c r="A1170">
        <v>130</v>
      </c>
      <c r="B1170" t="s">
        <v>2244</v>
      </c>
      <c r="C1170" t="s">
        <v>2309</v>
      </c>
      <c r="D1170" s="2" t="s">
        <v>2310</v>
      </c>
      <c r="E1170" t="s">
        <v>2311</v>
      </c>
      <c r="F1170" t="s">
        <v>20</v>
      </c>
      <c r="G1170" t="s">
        <v>338</v>
      </c>
      <c r="H1170">
        <v>83716</v>
      </c>
      <c r="I1170" t="s">
        <v>23</v>
      </c>
      <c r="J1170" t="s">
        <v>40</v>
      </c>
      <c r="K1170" s="2" t="s">
        <v>268</v>
      </c>
      <c r="L1170" t="s">
        <v>26</v>
      </c>
      <c r="M1170">
        <v>340215</v>
      </c>
      <c r="N1170">
        <v>1</v>
      </c>
      <c r="O1170" s="3">
        <v>89950</v>
      </c>
      <c r="P1170" s="3">
        <v>30263</v>
      </c>
      <c r="Q1170" s="5">
        <f t="shared" si="54"/>
        <v>75588.23529411765</v>
      </c>
      <c r="R1170" s="5">
        <f t="shared" si="55"/>
        <v>30263</v>
      </c>
      <c r="S1170" s="5">
        <f t="shared" si="56"/>
        <v>45325.23529411765</v>
      </c>
    </row>
    <row r="1171" spans="1:19" hidden="1" x14ac:dyDescent="0.3">
      <c r="A1171">
        <v>130</v>
      </c>
      <c r="B1171" t="s">
        <v>2244</v>
      </c>
      <c r="C1171" t="s">
        <v>2312</v>
      </c>
      <c r="D1171" s="2" t="s">
        <v>2313</v>
      </c>
      <c r="E1171" t="s">
        <v>2314</v>
      </c>
      <c r="F1171" t="s">
        <v>20</v>
      </c>
      <c r="G1171" t="s">
        <v>21</v>
      </c>
      <c r="H1171" t="s">
        <v>2315</v>
      </c>
      <c r="I1171" t="s">
        <v>23</v>
      </c>
      <c r="J1171" t="s">
        <v>49</v>
      </c>
      <c r="K1171" s="2" t="s">
        <v>268</v>
      </c>
      <c r="L1171" t="s">
        <v>26</v>
      </c>
      <c r="M1171">
        <v>340216</v>
      </c>
      <c r="N1171">
        <v>1</v>
      </c>
      <c r="O1171" s="3">
        <v>74950</v>
      </c>
      <c r="P1171" s="3">
        <v>29090</v>
      </c>
      <c r="Q1171" s="5">
        <f t="shared" si="54"/>
        <v>62983.193277310929</v>
      </c>
      <c r="R1171" s="5">
        <f t="shared" si="55"/>
        <v>29090</v>
      </c>
      <c r="S1171" s="5">
        <f t="shared" si="56"/>
        <v>33893.193277310929</v>
      </c>
    </row>
    <row r="1172" spans="1:19" hidden="1" x14ac:dyDescent="0.3">
      <c r="A1172">
        <v>130</v>
      </c>
      <c r="B1172" t="s">
        <v>2244</v>
      </c>
      <c r="C1172" t="s">
        <v>2316</v>
      </c>
      <c r="D1172" s="2" t="s">
        <v>2317</v>
      </c>
      <c r="E1172" t="s">
        <v>2318</v>
      </c>
      <c r="F1172" t="s">
        <v>20</v>
      </c>
      <c r="G1172" t="s">
        <v>21</v>
      </c>
      <c r="H1172" t="s">
        <v>573</v>
      </c>
      <c r="I1172" t="s">
        <v>23</v>
      </c>
      <c r="J1172" t="s">
        <v>49</v>
      </c>
      <c r="K1172" s="2" t="s">
        <v>268</v>
      </c>
      <c r="L1172" t="s">
        <v>26</v>
      </c>
      <c r="M1172">
        <v>340217</v>
      </c>
      <c r="N1172">
        <v>1</v>
      </c>
      <c r="O1172" s="3">
        <v>44990</v>
      </c>
      <c r="P1172" s="3">
        <v>21384</v>
      </c>
      <c r="Q1172" s="5">
        <f t="shared" si="54"/>
        <v>37806.722689075636</v>
      </c>
      <c r="R1172" s="5">
        <f t="shared" si="55"/>
        <v>21384</v>
      </c>
      <c r="S1172" s="5">
        <f t="shared" si="56"/>
        <v>16422.722689075636</v>
      </c>
    </row>
    <row r="1173" spans="1:19" hidden="1" x14ac:dyDescent="0.3">
      <c r="A1173">
        <v>130</v>
      </c>
      <c r="B1173" t="s">
        <v>2244</v>
      </c>
      <c r="C1173">
        <v>1687976791</v>
      </c>
      <c r="D1173" s="2" t="s">
        <v>200</v>
      </c>
      <c r="E1173" t="s">
        <v>201</v>
      </c>
      <c r="F1173" t="s">
        <v>201</v>
      </c>
      <c r="G1173" t="s">
        <v>202</v>
      </c>
      <c r="H1173" t="s">
        <v>202</v>
      </c>
      <c r="I1173" t="s">
        <v>23</v>
      </c>
      <c r="J1173" t="s">
        <v>202</v>
      </c>
      <c r="K1173" s="2" t="s">
        <v>268</v>
      </c>
      <c r="L1173" t="s">
        <v>26</v>
      </c>
      <c r="M1173">
        <v>340217</v>
      </c>
      <c r="N1173">
        <v>1</v>
      </c>
      <c r="O1173" s="3">
        <v>3200</v>
      </c>
      <c r="P1173">
        <v>1</v>
      </c>
      <c r="Q1173" s="5">
        <f t="shared" si="54"/>
        <v>2689.0756302521008</v>
      </c>
      <c r="R1173" s="5">
        <f t="shared" si="55"/>
        <v>1</v>
      </c>
      <c r="S1173" s="5">
        <f t="shared" si="56"/>
        <v>2688.0756302521008</v>
      </c>
    </row>
    <row r="1174" spans="1:19" hidden="1" x14ac:dyDescent="0.3">
      <c r="A1174">
        <v>130</v>
      </c>
      <c r="B1174" t="s">
        <v>2244</v>
      </c>
      <c r="C1174" t="s">
        <v>2319</v>
      </c>
      <c r="D1174" s="2" t="s">
        <v>2320</v>
      </c>
      <c r="E1174" t="s">
        <v>954</v>
      </c>
      <c r="F1174" t="s">
        <v>20</v>
      </c>
      <c r="G1174" t="s">
        <v>21</v>
      </c>
      <c r="H1174" t="s">
        <v>557</v>
      </c>
      <c r="I1174" t="s">
        <v>23</v>
      </c>
      <c r="J1174" t="s">
        <v>40</v>
      </c>
      <c r="K1174" s="2" t="s">
        <v>268</v>
      </c>
      <c r="L1174" t="s">
        <v>26</v>
      </c>
      <c r="M1174">
        <v>340218</v>
      </c>
      <c r="N1174">
        <v>1</v>
      </c>
      <c r="O1174" s="3">
        <v>79950</v>
      </c>
      <c r="P1174" s="3">
        <v>26791</v>
      </c>
      <c r="Q1174" s="5">
        <f t="shared" si="54"/>
        <v>67184.873949579836</v>
      </c>
      <c r="R1174" s="5">
        <f t="shared" si="55"/>
        <v>26791</v>
      </c>
      <c r="S1174" s="5">
        <f t="shared" si="56"/>
        <v>40393.873949579836</v>
      </c>
    </row>
    <row r="1175" spans="1:19" hidden="1" x14ac:dyDescent="0.3">
      <c r="A1175">
        <v>130</v>
      </c>
      <c r="B1175" t="s">
        <v>2244</v>
      </c>
      <c r="C1175" t="s">
        <v>2321</v>
      </c>
      <c r="D1175" s="2" t="s">
        <v>2322</v>
      </c>
      <c r="E1175" t="s">
        <v>2323</v>
      </c>
      <c r="F1175" t="s">
        <v>20</v>
      </c>
      <c r="G1175" t="s">
        <v>21</v>
      </c>
      <c r="H1175" t="s">
        <v>1887</v>
      </c>
      <c r="I1175" t="s">
        <v>23</v>
      </c>
      <c r="J1175" t="s">
        <v>40</v>
      </c>
      <c r="K1175" s="2" t="s">
        <v>268</v>
      </c>
      <c r="L1175" t="s">
        <v>26</v>
      </c>
      <c r="M1175">
        <v>340219</v>
      </c>
      <c r="N1175">
        <v>1</v>
      </c>
      <c r="O1175" s="3">
        <v>69950</v>
      </c>
      <c r="P1175" s="3">
        <v>21623</v>
      </c>
      <c r="Q1175" s="5">
        <f t="shared" si="54"/>
        <v>58781.512605042022</v>
      </c>
      <c r="R1175" s="5">
        <f t="shared" si="55"/>
        <v>21623</v>
      </c>
      <c r="S1175" s="5">
        <f t="shared" si="56"/>
        <v>37158.512605042022</v>
      </c>
    </row>
    <row r="1176" spans="1:19" hidden="1" x14ac:dyDescent="0.3">
      <c r="A1176">
        <v>130</v>
      </c>
      <c r="B1176" t="s">
        <v>2244</v>
      </c>
      <c r="C1176" t="s">
        <v>2324</v>
      </c>
      <c r="D1176" s="2" t="s">
        <v>2325</v>
      </c>
      <c r="E1176" t="s">
        <v>453</v>
      </c>
      <c r="F1176" t="s">
        <v>20</v>
      </c>
      <c r="G1176" t="s">
        <v>21</v>
      </c>
      <c r="H1176" t="s">
        <v>454</v>
      </c>
      <c r="I1176" t="s">
        <v>23</v>
      </c>
      <c r="J1176" t="s">
        <v>407</v>
      </c>
      <c r="K1176" s="2" t="s">
        <v>268</v>
      </c>
      <c r="L1176" t="s">
        <v>26</v>
      </c>
      <c r="M1176">
        <v>340220</v>
      </c>
      <c r="N1176">
        <v>-1</v>
      </c>
      <c r="O1176" s="3">
        <v>-39990</v>
      </c>
      <c r="P1176" s="3">
        <v>21038</v>
      </c>
      <c r="Q1176" s="5">
        <f t="shared" si="54"/>
        <v>-33605.042016806721</v>
      </c>
      <c r="R1176" s="5">
        <f t="shared" si="55"/>
        <v>-21038</v>
      </c>
      <c r="S1176" s="5">
        <f t="shared" si="56"/>
        <v>-12567.042016806721</v>
      </c>
    </row>
    <row r="1177" spans="1:19" hidden="1" x14ac:dyDescent="0.3">
      <c r="A1177">
        <v>130</v>
      </c>
      <c r="B1177" t="s">
        <v>2244</v>
      </c>
      <c r="C1177" t="s">
        <v>2326</v>
      </c>
      <c r="D1177" s="2" t="s">
        <v>2327</v>
      </c>
      <c r="E1177" t="s">
        <v>405</v>
      </c>
      <c r="F1177" t="s">
        <v>20</v>
      </c>
      <c r="G1177" t="s">
        <v>21</v>
      </c>
      <c r="H1177" t="s">
        <v>406</v>
      </c>
      <c r="I1177" t="s">
        <v>23</v>
      </c>
      <c r="J1177" t="s">
        <v>407</v>
      </c>
      <c r="K1177" s="2" t="s">
        <v>268</v>
      </c>
      <c r="L1177" t="s">
        <v>26</v>
      </c>
      <c r="M1177">
        <v>340220</v>
      </c>
      <c r="N1177">
        <v>1</v>
      </c>
      <c r="O1177" s="3">
        <v>64950</v>
      </c>
      <c r="P1177" s="3">
        <v>19787</v>
      </c>
      <c r="Q1177" s="5">
        <f t="shared" si="54"/>
        <v>54579.831932773115</v>
      </c>
      <c r="R1177" s="5">
        <f t="shared" si="55"/>
        <v>19787</v>
      </c>
      <c r="S1177" s="5">
        <f t="shared" si="56"/>
        <v>34792.831932773115</v>
      </c>
    </row>
    <row r="1178" spans="1:19" hidden="1" x14ac:dyDescent="0.3">
      <c r="A1178">
        <v>130</v>
      </c>
      <c r="B1178" t="s">
        <v>2244</v>
      </c>
      <c r="C1178" t="s">
        <v>2328</v>
      </c>
      <c r="D1178" s="2" t="s">
        <v>2329</v>
      </c>
      <c r="E1178" t="s">
        <v>2330</v>
      </c>
      <c r="F1178" t="s">
        <v>20</v>
      </c>
      <c r="G1178" t="s">
        <v>21</v>
      </c>
      <c r="H1178" t="s">
        <v>839</v>
      </c>
      <c r="I1178" t="s">
        <v>23</v>
      </c>
      <c r="J1178" t="s">
        <v>40</v>
      </c>
      <c r="K1178" s="2" t="s">
        <v>268</v>
      </c>
      <c r="L1178" t="s">
        <v>26</v>
      </c>
      <c r="M1178">
        <v>340221</v>
      </c>
      <c r="N1178">
        <v>1</v>
      </c>
      <c r="O1178" s="3">
        <v>39990</v>
      </c>
      <c r="P1178" s="3">
        <v>16210</v>
      </c>
      <c r="Q1178" s="5">
        <f t="shared" si="54"/>
        <v>33605.042016806721</v>
      </c>
      <c r="R1178" s="5">
        <f t="shared" si="55"/>
        <v>16210</v>
      </c>
      <c r="S1178" s="5">
        <f t="shared" si="56"/>
        <v>17395.042016806721</v>
      </c>
    </row>
    <row r="1179" spans="1:19" hidden="1" x14ac:dyDescent="0.3">
      <c r="A1179">
        <v>130</v>
      </c>
      <c r="B1179" t="s">
        <v>2244</v>
      </c>
      <c r="C1179" t="s">
        <v>2331</v>
      </c>
      <c r="D1179" s="2" t="s">
        <v>2332</v>
      </c>
      <c r="E1179" t="s">
        <v>2333</v>
      </c>
      <c r="F1179" t="s">
        <v>20</v>
      </c>
      <c r="G1179" t="s">
        <v>21</v>
      </c>
      <c r="H1179" t="s">
        <v>1282</v>
      </c>
      <c r="I1179" t="s">
        <v>23</v>
      </c>
      <c r="J1179" t="s">
        <v>40</v>
      </c>
      <c r="K1179" s="2" t="s">
        <v>268</v>
      </c>
      <c r="L1179" t="s">
        <v>26</v>
      </c>
      <c r="M1179">
        <v>340222</v>
      </c>
      <c r="N1179">
        <v>1</v>
      </c>
      <c r="O1179" s="3">
        <v>49951</v>
      </c>
      <c r="P1179" s="3">
        <v>13922</v>
      </c>
      <c r="Q1179" s="5">
        <f t="shared" si="54"/>
        <v>41975.63025210084</v>
      </c>
      <c r="R1179" s="5">
        <f t="shared" si="55"/>
        <v>13922</v>
      </c>
      <c r="S1179" s="5">
        <f t="shared" si="56"/>
        <v>28053.63025210084</v>
      </c>
    </row>
    <row r="1180" spans="1:19" hidden="1" x14ac:dyDescent="0.3">
      <c r="A1180">
        <v>130</v>
      </c>
      <c r="B1180" t="s">
        <v>2244</v>
      </c>
      <c r="C1180" t="s">
        <v>2334</v>
      </c>
      <c r="D1180" s="2" t="s">
        <v>2335</v>
      </c>
      <c r="E1180" t="s">
        <v>2333</v>
      </c>
      <c r="F1180" t="s">
        <v>20</v>
      </c>
      <c r="G1180" t="s">
        <v>21</v>
      </c>
      <c r="H1180" t="s">
        <v>1282</v>
      </c>
      <c r="I1180" t="s">
        <v>23</v>
      </c>
      <c r="J1180" t="s">
        <v>40</v>
      </c>
      <c r="K1180" s="2" t="s">
        <v>268</v>
      </c>
      <c r="L1180" t="s">
        <v>26</v>
      </c>
      <c r="M1180">
        <v>340222</v>
      </c>
      <c r="N1180">
        <v>-1</v>
      </c>
      <c r="O1180" s="3">
        <v>-49950</v>
      </c>
      <c r="P1180" s="3">
        <v>13922</v>
      </c>
      <c r="Q1180" s="5">
        <f t="shared" si="54"/>
        <v>-41974.789915966387</v>
      </c>
      <c r="R1180" s="5">
        <f t="shared" si="55"/>
        <v>-13922</v>
      </c>
      <c r="S1180" s="5">
        <f t="shared" si="56"/>
        <v>-28052.789915966387</v>
      </c>
    </row>
    <row r="1181" spans="1:19" hidden="1" x14ac:dyDescent="0.3">
      <c r="A1181">
        <v>130</v>
      </c>
      <c r="B1181" t="s">
        <v>2244</v>
      </c>
      <c r="C1181" t="s">
        <v>871</v>
      </c>
      <c r="D1181" s="2" t="s">
        <v>872</v>
      </c>
      <c r="E1181" t="s">
        <v>873</v>
      </c>
      <c r="F1181" t="s">
        <v>20</v>
      </c>
      <c r="G1181" t="s">
        <v>21</v>
      </c>
      <c r="H1181" t="s">
        <v>874</v>
      </c>
      <c r="I1181" t="s">
        <v>23</v>
      </c>
      <c r="J1181" t="s">
        <v>95</v>
      </c>
      <c r="K1181" s="2" t="s">
        <v>268</v>
      </c>
      <c r="L1181" t="s">
        <v>26</v>
      </c>
      <c r="M1181">
        <v>340223</v>
      </c>
      <c r="N1181">
        <v>1</v>
      </c>
      <c r="O1181" s="3">
        <v>39990</v>
      </c>
      <c r="P1181" s="3">
        <v>20699</v>
      </c>
      <c r="Q1181" s="5">
        <f t="shared" si="54"/>
        <v>33605.042016806721</v>
      </c>
      <c r="R1181" s="5">
        <f t="shared" si="55"/>
        <v>20699</v>
      </c>
      <c r="S1181" s="5">
        <f t="shared" si="56"/>
        <v>12906.042016806721</v>
      </c>
    </row>
    <row r="1182" spans="1:19" hidden="1" x14ac:dyDescent="0.3">
      <c r="A1182">
        <v>130</v>
      </c>
      <c r="B1182" t="s">
        <v>2244</v>
      </c>
      <c r="C1182" t="s">
        <v>605</v>
      </c>
      <c r="D1182" s="2" t="s">
        <v>606</v>
      </c>
      <c r="E1182" t="s">
        <v>117</v>
      </c>
      <c r="F1182" t="s">
        <v>20</v>
      </c>
      <c r="G1182" t="s">
        <v>21</v>
      </c>
      <c r="H1182" t="s">
        <v>118</v>
      </c>
      <c r="I1182" t="s">
        <v>23</v>
      </c>
      <c r="J1182" t="s">
        <v>49</v>
      </c>
      <c r="K1182" s="2" t="s">
        <v>268</v>
      </c>
      <c r="L1182" t="s">
        <v>26</v>
      </c>
      <c r="M1182">
        <v>340224</v>
      </c>
      <c r="N1182">
        <v>1</v>
      </c>
      <c r="O1182" s="3">
        <v>39990</v>
      </c>
      <c r="P1182" s="3">
        <v>26877</v>
      </c>
      <c r="Q1182" s="5">
        <f t="shared" si="54"/>
        <v>33605.042016806721</v>
      </c>
      <c r="R1182" s="5">
        <f t="shared" si="55"/>
        <v>26877</v>
      </c>
      <c r="S1182" s="5">
        <f t="shared" si="56"/>
        <v>6728.0420168067212</v>
      </c>
    </row>
    <row r="1183" spans="1:19" hidden="1" x14ac:dyDescent="0.3">
      <c r="A1183">
        <v>130</v>
      </c>
      <c r="B1183" t="s">
        <v>2244</v>
      </c>
      <c r="C1183" t="s">
        <v>1761</v>
      </c>
      <c r="D1183" s="2" t="s">
        <v>1762</v>
      </c>
      <c r="E1183" t="s">
        <v>1763</v>
      </c>
      <c r="F1183" t="s">
        <v>377</v>
      </c>
      <c r="G1183" t="s">
        <v>21</v>
      </c>
      <c r="H1183" t="s">
        <v>378</v>
      </c>
      <c r="I1183" t="s">
        <v>23</v>
      </c>
      <c r="J1183" t="s">
        <v>379</v>
      </c>
      <c r="K1183" s="2" t="s">
        <v>268</v>
      </c>
      <c r="L1183" t="s">
        <v>26</v>
      </c>
      <c r="M1183">
        <v>340224</v>
      </c>
      <c r="N1183">
        <v>1</v>
      </c>
      <c r="O1183" s="3">
        <v>5950</v>
      </c>
      <c r="P1183" s="3">
        <v>3279</v>
      </c>
      <c r="Q1183" s="5">
        <f t="shared" si="54"/>
        <v>5000</v>
      </c>
      <c r="R1183" s="5">
        <f t="shared" si="55"/>
        <v>3279</v>
      </c>
      <c r="S1183" s="5">
        <f t="shared" si="56"/>
        <v>1721</v>
      </c>
    </row>
    <row r="1184" spans="1:19" hidden="1" x14ac:dyDescent="0.3">
      <c r="A1184">
        <v>130</v>
      </c>
      <c r="B1184" t="s">
        <v>2244</v>
      </c>
      <c r="C1184" t="s">
        <v>2336</v>
      </c>
      <c r="D1184" s="2" t="s">
        <v>2337</v>
      </c>
      <c r="E1184" t="s">
        <v>2002</v>
      </c>
      <c r="F1184" t="s">
        <v>20</v>
      </c>
      <c r="G1184" t="s">
        <v>338</v>
      </c>
      <c r="H1184">
        <v>25026</v>
      </c>
      <c r="I1184" t="s">
        <v>23</v>
      </c>
      <c r="J1184" t="s">
        <v>35</v>
      </c>
      <c r="K1184" s="2" t="s">
        <v>268</v>
      </c>
      <c r="L1184" t="s">
        <v>26</v>
      </c>
      <c r="M1184">
        <v>340225</v>
      </c>
      <c r="N1184">
        <v>1</v>
      </c>
      <c r="O1184" s="3">
        <v>89950</v>
      </c>
      <c r="P1184" s="3">
        <v>28454</v>
      </c>
      <c r="Q1184" s="5">
        <f t="shared" si="54"/>
        <v>75588.23529411765</v>
      </c>
      <c r="R1184" s="5">
        <f t="shared" si="55"/>
        <v>28454</v>
      </c>
      <c r="S1184" s="5">
        <f t="shared" si="56"/>
        <v>47134.23529411765</v>
      </c>
    </row>
    <row r="1185" spans="1:19" hidden="1" x14ac:dyDescent="0.3">
      <c r="A1185">
        <v>130</v>
      </c>
      <c r="B1185" t="s">
        <v>2244</v>
      </c>
      <c r="C1185" t="s">
        <v>2338</v>
      </c>
      <c r="D1185" s="2" t="s">
        <v>2339</v>
      </c>
      <c r="E1185" t="s">
        <v>2340</v>
      </c>
      <c r="F1185" t="s">
        <v>20</v>
      </c>
      <c r="G1185" t="s">
        <v>21</v>
      </c>
      <c r="H1185" t="s">
        <v>1914</v>
      </c>
      <c r="I1185" t="s">
        <v>23</v>
      </c>
      <c r="J1185" t="s">
        <v>35</v>
      </c>
      <c r="K1185" s="2" t="s">
        <v>268</v>
      </c>
      <c r="L1185" t="s">
        <v>26</v>
      </c>
      <c r="M1185">
        <v>340226</v>
      </c>
      <c r="N1185">
        <v>1</v>
      </c>
      <c r="O1185" s="3">
        <v>89950</v>
      </c>
      <c r="P1185" s="3">
        <v>27630</v>
      </c>
      <c r="Q1185" s="5">
        <f t="shared" si="54"/>
        <v>75588.23529411765</v>
      </c>
      <c r="R1185" s="5">
        <f t="shared" si="55"/>
        <v>27630</v>
      </c>
      <c r="S1185" s="5">
        <f t="shared" si="56"/>
        <v>47958.23529411765</v>
      </c>
    </row>
    <row r="1186" spans="1:19" hidden="1" x14ac:dyDescent="0.3">
      <c r="A1186">
        <v>130</v>
      </c>
      <c r="B1186" t="s">
        <v>2244</v>
      </c>
      <c r="C1186" t="s">
        <v>2341</v>
      </c>
      <c r="D1186" s="2" t="s">
        <v>2342</v>
      </c>
      <c r="E1186" t="s">
        <v>2343</v>
      </c>
      <c r="F1186" t="s">
        <v>20</v>
      </c>
      <c r="G1186" t="s">
        <v>338</v>
      </c>
      <c r="H1186">
        <v>23723</v>
      </c>
      <c r="I1186" t="s">
        <v>23</v>
      </c>
      <c r="J1186" t="s">
        <v>40</v>
      </c>
      <c r="K1186" s="2" t="s">
        <v>2344</v>
      </c>
      <c r="L1186" t="s">
        <v>26</v>
      </c>
      <c r="M1186">
        <v>340227</v>
      </c>
      <c r="N1186">
        <v>1</v>
      </c>
      <c r="O1186" s="3">
        <v>79990</v>
      </c>
      <c r="P1186" s="3">
        <v>35178</v>
      </c>
      <c r="Q1186" s="5">
        <f t="shared" si="54"/>
        <v>67218.487394957992</v>
      </c>
      <c r="R1186" s="5">
        <f t="shared" si="55"/>
        <v>35178</v>
      </c>
      <c r="S1186" s="5">
        <f t="shared" si="56"/>
        <v>32040.487394957992</v>
      </c>
    </row>
    <row r="1187" spans="1:19" hidden="1" x14ac:dyDescent="0.3">
      <c r="A1187">
        <v>130</v>
      </c>
      <c r="B1187" t="s">
        <v>2244</v>
      </c>
      <c r="C1187" t="s">
        <v>2345</v>
      </c>
      <c r="D1187" s="2" t="s">
        <v>2346</v>
      </c>
      <c r="E1187" t="s">
        <v>2272</v>
      </c>
      <c r="F1187" t="s">
        <v>20</v>
      </c>
      <c r="G1187" t="s">
        <v>21</v>
      </c>
      <c r="H1187" t="s">
        <v>835</v>
      </c>
      <c r="I1187" t="s">
        <v>23</v>
      </c>
      <c r="J1187" t="s">
        <v>40</v>
      </c>
      <c r="K1187" s="2" t="s">
        <v>2344</v>
      </c>
      <c r="L1187" t="s">
        <v>26</v>
      </c>
      <c r="M1187">
        <v>340228</v>
      </c>
      <c r="N1187">
        <v>1</v>
      </c>
      <c r="O1187" s="3">
        <v>39990</v>
      </c>
      <c r="P1187" s="3">
        <v>25686</v>
      </c>
      <c r="Q1187" s="5">
        <f t="shared" si="54"/>
        <v>33605.042016806721</v>
      </c>
      <c r="R1187" s="5">
        <f t="shared" si="55"/>
        <v>25686</v>
      </c>
      <c r="S1187" s="5">
        <f t="shared" si="56"/>
        <v>7919.0420168067212</v>
      </c>
    </row>
    <row r="1188" spans="1:19" hidden="1" x14ac:dyDescent="0.3">
      <c r="A1188">
        <v>130</v>
      </c>
      <c r="B1188" t="s">
        <v>2244</v>
      </c>
      <c r="C1188" t="s">
        <v>2347</v>
      </c>
      <c r="D1188" s="2" t="s">
        <v>2348</v>
      </c>
      <c r="E1188" t="s">
        <v>2349</v>
      </c>
      <c r="F1188" t="s">
        <v>20</v>
      </c>
      <c r="G1188" t="s">
        <v>338</v>
      </c>
      <c r="H1188">
        <v>23709</v>
      </c>
      <c r="I1188" t="s">
        <v>23</v>
      </c>
      <c r="J1188" t="s">
        <v>40</v>
      </c>
      <c r="K1188" s="2" t="s">
        <v>2344</v>
      </c>
      <c r="L1188" t="s">
        <v>26</v>
      </c>
      <c r="M1188">
        <v>340229</v>
      </c>
      <c r="N1188">
        <v>1</v>
      </c>
      <c r="O1188" s="3">
        <v>79950</v>
      </c>
      <c r="P1188" s="3">
        <v>27728</v>
      </c>
      <c r="Q1188" s="5">
        <f t="shared" si="54"/>
        <v>67184.873949579836</v>
      </c>
      <c r="R1188" s="5">
        <f t="shared" si="55"/>
        <v>27728</v>
      </c>
      <c r="S1188" s="5">
        <f t="shared" si="56"/>
        <v>39456.873949579836</v>
      </c>
    </row>
    <row r="1189" spans="1:19" hidden="1" x14ac:dyDescent="0.3">
      <c r="A1189">
        <v>130</v>
      </c>
      <c r="B1189" t="s">
        <v>2244</v>
      </c>
      <c r="C1189" t="s">
        <v>1279</v>
      </c>
      <c r="D1189" s="2" t="s">
        <v>1280</v>
      </c>
      <c r="E1189" t="s">
        <v>1281</v>
      </c>
      <c r="F1189" t="s">
        <v>20</v>
      </c>
      <c r="G1189" t="s">
        <v>21</v>
      </c>
      <c r="H1189" t="s">
        <v>1282</v>
      </c>
      <c r="I1189" t="s">
        <v>23</v>
      </c>
      <c r="J1189" t="s">
        <v>40</v>
      </c>
      <c r="K1189" s="2" t="s">
        <v>2344</v>
      </c>
      <c r="L1189" t="s">
        <v>26</v>
      </c>
      <c r="M1189">
        <v>340230</v>
      </c>
      <c r="N1189">
        <v>1</v>
      </c>
      <c r="O1189" s="3">
        <v>49950</v>
      </c>
      <c r="P1189" s="3">
        <v>13922</v>
      </c>
      <c r="Q1189" s="5">
        <f t="shared" si="54"/>
        <v>41974.789915966387</v>
      </c>
      <c r="R1189" s="5">
        <f t="shared" si="55"/>
        <v>13922</v>
      </c>
      <c r="S1189" s="5">
        <f t="shared" si="56"/>
        <v>28052.789915966387</v>
      </c>
    </row>
    <row r="1190" spans="1:19" hidden="1" x14ac:dyDescent="0.3">
      <c r="A1190">
        <v>130</v>
      </c>
      <c r="B1190" t="s">
        <v>2244</v>
      </c>
      <c r="C1190" t="s">
        <v>2350</v>
      </c>
      <c r="D1190" s="2" t="s">
        <v>2351</v>
      </c>
      <c r="E1190" t="s">
        <v>2352</v>
      </c>
      <c r="F1190" t="s">
        <v>20</v>
      </c>
      <c r="G1190" t="s">
        <v>21</v>
      </c>
      <c r="H1190" t="s">
        <v>2353</v>
      </c>
      <c r="I1190" t="s">
        <v>23</v>
      </c>
      <c r="J1190" t="s">
        <v>40</v>
      </c>
      <c r="K1190" s="2" t="s">
        <v>2344</v>
      </c>
      <c r="L1190" t="s">
        <v>26</v>
      </c>
      <c r="M1190">
        <v>340231</v>
      </c>
      <c r="N1190">
        <v>1</v>
      </c>
      <c r="O1190" s="3">
        <v>69990</v>
      </c>
      <c r="P1190" s="3">
        <v>31405</v>
      </c>
      <c r="Q1190" s="5">
        <f t="shared" si="54"/>
        <v>58815.126050420171</v>
      </c>
      <c r="R1190" s="5">
        <f t="shared" si="55"/>
        <v>31405</v>
      </c>
      <c r="S1190" s="5">
        <f t="shared" si="56"/>
        <v>27410.126050420171</v>
      </c>
    </row>
    <row r="1191" spans="1:19" hidden="1" x14ac:dyDescent="0.3">
      <c r="A1191">
        <v>130</v>
      </c>
      <c r="B1191" t="s">
        <v>2244</v>
      </c>
      <c r="C1191" t="s">
        <v>2354</v>
      </c>
      <c r="D1191" s="2" t="s">
        <v>2355</v>
      </c>
      <c r="E1191" t="s">
        <v>1412</v>
      </c>
      <c r="F1191" t="s">
        <v>20</v>
      </c>
      <c r="G1191" t="s">
        <v>338</v>
      </c>
      <c r="H1191">
        <v>23603</v>
      </c>
      <c r="I1191" t="s">
        <v>23</v>
      </c>
      <c r="J1191" t="s">
        <v>40</v>
      </c>
      <c r="K1191" s="2" t="s">
        <v>2344</v>
      </c>
      <c r="L1191" t="s">
        <v>26</v>
      </c>
      <c r="M1191">
        <v>340232</v>
      </c>
      <c r="N1191">
        <v>1</v>
      </c>
      <c r="O1191" s="3">
        <v>49990</v>
      </c>
      <c r="P1191" s="3">
        <v>22607</v>
      </c>
      <c r="Q1191" s="5">
        <f t="shared" si="54"/>
        <v>42008.403361344543</v>
      </c>
      <c r="R1191" s="5">
        <f t="shared" si="55"/>
        <v>22607</v>
      </c>
      <c r="S1191" s="5">
        <f t="shared" si="56"/>
        <v>19401.403361344543</v>
      </c>
    </row>
    <row r="1192" spans="1:19" hidden="1" x14ac:dyDescent="0.3">
      <c r="A1192">
        <v>130</v>
      </c>
      <c r="B1192" t="s">
        <v>2244</v>
      </c>
      <c r="C1192" t="s">
        <v>2356</v>
      </c>
      <c r="D1192" s="2" t="s">
        <v>2357</v>
      </c>
      <c r="E1192" t="s">
        <v>1858</v>
      </c>
      <c r="F1192" t="s">
        <v>20</v>
      </c>
      <c r="G1192" t="s">
        <v>21</v>
      </c>
      <c r="H1192" t="s">
        <v>1337</v>
      </c>
      <c r="I1192" t="s">
        <v>23</v>
      </c>
      <c r="J1192" t="s">
        <v>49</v>
      </c>
      <c r="K1192" s="2" t="s">
        <v>2344</v>
      </c>
      <c r="L1192" t="s">
        <v>26</v>
      </c>
      <c r="M1192">
        <v>340233</v>
      </c>
      <c r="N1192">
        <v>1</v>
      </c>
      <c r="O1192" s="3">
        <v>49990</v>
      </c>
      <c r="P1192" s="3">
        <v>19309</v>
      </c>
      <c r="Q1192" s="5">
        <f t="shared" si="54"/>
        <v>42008.403361344543</v>
      </c>
      <c r="R1192" s="5">
        <f t="shared" si="55"/>
        <v>19309</v>
      </c>
      <c r="S1192" s="5">
        <f t="shared" si="56"/>
        <v>22699.403361344543</v>
      </c>
    </row>
    <row r="1193" spans="1:19" hidden="1" x14ac:dyDescent="0.3">
      <c r="A1193">
        <v>130</v>
      </c>
      <c r="B1193" t="s">
        <v>2244</v>
      </c>
      <c r="C1193">
        <v>1687976791</v>
      </c>
      <c r="D1193" s="2" t="s">
        <v>200</v>
      </c>
      <c r="E1193" t="s">
        <v>201</v>
      </c>
      <c r="F1193" t="s">
        <v>201</v>
      </c>
      <c r="G1193" t="s">
        <v>202</v>
      </c>
      <c r="H1193" t="s">
        <v>202</v>
      </c>
      <c r="I1193" t="s">
        <v>23</v>
      </c>
      <c r="J1193" t="s">
        <v>202</v>
      </c>
      <c r="K1193" s="2" t="s">
        <v>2344</v>
      </c>
      <c r="L1193" t="s">
        <v>26</v>
      </c>
      <c r="M1193">
        <v>340234</v>
      </c>
      <c r="N1193">
        <v>1</v>
      </c>
      <c r="O1193" s="3">
        <v>3200</v>
      </c>
      <c r="P1193">
        <v>1</v>
      </c>
      <c r="Q1193" s="5">
        <f t="shared" si="54"/>
        <v>2689.0756302521008</v>
      </c>
      <c r="R1193" s="5">
        <f t="shared" si="55"/>
        <v>1</v>
      </c>
      <c r="S1193" s="5">
        <f t="shared" si="56"/>
        <v>2688.0756302521008</v>
      </c>
    </row>
    <row r="1194" spans="1:19" hidden="1" x14ac:dyDescent="0.3">
      <c r="A1194">
        <v>130</v>
      </c>
      <c r="B1194" t="s">
        <v>2244</v>
      </c>
      <c r="C1194" t="s">
        <v>2358</v>
      </c>
      <c r="D1194" s="2" t="s">
        <v>2359</v>
      </c>
      <c r="E1194" t="s">
        <v>2360</v>
      </c>
      <c r="F1194" t="s">
        <v>20</v>
      </c>
      <c r="G1194" t="s">
        <v>21</v>
      </c>
      <c r="H1194" t="s">
        <v>1286</v>
      </c>
      <c r="I1194" t="s">
        <v>23</v>
      </c>
      <c r="J1194" t="s">
        <v>40</v>
      </c>
      <c r="K1194" s="2" t="s">
        <v>2344</v>
      </c>
      <c r="L1194" t="s">
        <v>26</v>
      </c>
      <c r="M1194">
        <v>340234</v>
      </c>
      <c r="N1194">
        <v>1</v>
      </c>
      <c r="O1194" s="3">
        <v>49990</v>
      </c>
      <c r="P1194" s="3">
        <v>24783</v>
      </c>
      <c r="Q1194" s="5">
        <f t="shared" si="54"/>
        <v>42008.403361344543</v>
      </c>
      <c r="R1194" s="5">
        <f t="shared" si="55"/>
        <v>24783</v>
      </c>
      <c r="S1194" s="5">
        <f t="shared" si="56"/>
        <v>17225.403361344543</v>
      </c>
    </row>
    <row r="1195" spans="1:19" hidden="1" x14ac:dyDescent="0.3">
      <c r="A1195">
        <v>130</v>
      </c>
      <c r="B1195" t="s">
        <v>2244</v>
      </c>
      <c r="C1195" t="s">
        <v>2361</v>
      </c>
      <c r="D1195" s="2" t="s">
        <v>2362</v>
      </c>
      <c r="E1195" t="s">
        <v>2363</v>
      </c>
      <c r="F1195" t="s">
        <v>20</v>
      </c>
      <c r="G1195" t="s">
        <v>21</v>
      </c>
      <c r="H1195" t="s">
        <v>2364</v>
      </c>
      <c r="I1195" t="s">
        <v>23</v>
      </c>
      <c r="J1195" t="s">
        <v>40</v>
      </c>
      <c r="K1195" s="2" t="s">
        <v>2344</v>
      </c>
      <c r="L1195" t="s">
        <v>26</v>
      </c>
      <c r="M1195">
        <v>340235</v>
      </c>
      <c r="N1195">
        <v>1</v>
      </c>
      <c r="O1195" s="3">
        <v>39990</v>
      </c>
      <c r="P1195" s="3">
        <v>30446</v>
      </c>
      <c r="Q1195" s="5">
        <f t="shared" si="54"/>
        <v>33605.042016806721</v>
      </c>
      <c r="R1195" s="5">
        <f t="shared" si="55"/>
        <v>30446</v>
      </c>
      <c r="S1195" s="5">
        <f t="shared" si="56"/>
        <v>3159.0420168067212</v>
      </c>
    </row>
    <row r="1196" spans="1:19" hidden="1" x14ac:dyDescent="0.3">
      <c r="A1196">
        <v>130</v>
      </c>
      <c r="B1196" t="s">
        <v>2244</v>
      </c>
      <c r="C1196" t="s">
        <v>1426</v>
      </c>
      <c r="D1196" s="2" t="s">
        <v>1427</v>
      </c>
      <c r="E1196" t="s">
        <v>1428</v>
      </c>
      <c r="F1196" t="s">
        <v>20</v>
      </c>
      <c r="G1196" t="s">
        <v>21</v>
      </c>
      <c r="H1196" t="s">
        <v>57</v>
      </c>
      <c r="I1196" t="s">
        <v>23</v>
      </c>
      <c r="J1196" t="s">
        <v>35</v>
      </c>
      <c r="K1196" s="2" t="s">
        <v>2344</v>
      </c>
      <c r="L1196" t="s">
        <v>26</v>
      </c>
      <c r="M1196">
        <v>340236</v>
      </c>
      <c r="N1196">
        <v>1</v>
      </c>
      <c r="O1196" s="3">
        <v>89950</v>
      </c>
      <c r="P1196" s="3">
        <v>31397</v>
      </c>
      <c r="Q1196" s="5">
        <f t="shared" si="54"/>
        <v>75588.23529411765</v>
      </c>
      <c r="R1196" s="5">
        <f t="shared" si="55"/>
        <v>31397</v>
      </c>
      <c r="S1196" s="5">
        <f t="shared" si="56"/>
        <v>44191.23529411765</v>
      </c>
    </row>
    <row r="1197" spans="1:19" hidden="1" x14ac:dyDescent="0.3">
      <c r="A1197">
        <v>130</v>
      </c>
      <c r="B1197" t="s">
        <v>2244</v>
      </c>
      <c r="C1197" t="s">
        <v>2365</v>
      </c>
      <c r="D1197" s="2" t="s">
        <v>2366</v>
      </c>
      <c r="E1197" t="s">
        <v>2367</v>
      </c>
      <c r="F1197" t="s">
        <v>377</v>
      </c>
      <c r="G1197" t="s">
        <v>21</v>
      </c>
      <c r="H1197" t="s">
        <v>378</v>
      </c>
      <c r="I1197" t="s">
        <v>23</v>
      </c>
      <c r="J1197" t="s">
        <v>379</v>
      </c>
      <c r="K1197" s="2" t="s">
        <v>2344</v>
      </c>
      <c r="L1197" t="s">
        <v>26</v>
      </c>
      <c r="M1197">
        <v>340236</v>
      </c>
      <c r="N1197">
        <v>1</v>
      </c>
      <c r="O1197" s="3">
        <v>6950</v>
      </c>
      <c r="P1197" s="3">
        <v>3759</v>
      </c>
      <c r="Q1197" s="5">
        <f t="shared" si="54"/>
        <v>5840.3361344537816</v>
      </c>
      <c r="R1197" s="5">
        <f t="shared" si="55"/>
        <v>3759</v>
      </c>
      <c r="S1197" s="5">
        <f t="shared" si="56"/>
        <v>2081.3361344537816</v>
      </c>
    </row>
    <row r="1198" spans="1:19" hidden="1" x14ac:dyDescent="0.3">
      <c r="A1198">
        <v>130</v>
      </c>
      <c r="B1198" t="s">
        <v>2244</v>
      </c>
      <c r="C1198" t="s">
        <v>2368</v>
      </c>
      <c r="D1198" s="2" t="s">
        <v>2369</v>
      </c>
      <c r="E1198" t="s">
        <v>2370</v>
      </c>
      <c r="F1198" t="s">
        <v>20</v>
      </c>
      <c r="G1198" t="s">
        <v>338</v>
      </c>
      <c r="H1198">
        <v>24200</v>
      </c>
      <c r="I1198" t="s">
        <v>23</v>
      </c>
      <c r="J1198" t="s">
        <v>95</v>
      </c>
      <c r="K1198" s="2" t="s">
        <v>2344</v>
      </c>
      <c r="L1198" t="s">
        <v>26</v>
      </c>
      <c r="M1198">
        <v>340237</v>
      </c>
      <c r="N1198">
        <v>1</v>
      </c>
      <c r="O1198" s="3">
        <v>84950</v>
      </c>
      <c r="P1198" s="3">
        <v>28401</v>
      </c>
      <c r="Q1198" s="5">
        <f t="shared" si="54"/>
        <v>71386.554621848743</v>
      </c>
      <c r="R1198" s="5">
        <f t="shared" si="55"/>
        <v>28401</v>
      </c>
      <c r="S1198" s="5">
        <f t="shared" si="56"/>
        <v>42985.554621848743</v>
      </c>
    </row>
    <row r="1199" spans="1:19" hidden="1" x14ac:dyDescent="0.3">
      <c r="A1199">
        <v>130</v>
      </c>
      <c r="B1199" t="s">
        <v>2244</v>
      </c>
      <c r="C1199" t="s">
        <v>2371</v>
      </c>
      <c r="D1199" s="2" t="s">
        <v>2372</v>
      </c>
      <c r="E1199" t="s">
        <v>2373</v>
      </c>
      <c r="F1199" t="s">
        <v>20</v>
      </c>
      <c r="G1199" t="s">
        <v>338</v>
      </c>
      <c r="H1199">
        <v>24239</v>
      </c>
      <c r="I1199" t="s">
        <v>23</v>
      </c>
      <c r="J1199" t="s">
        <v>95</v>
      </c>
      <c r="K1199" s="2" t="s">
        <v>2344</v>
      </c>
      <c r="L1199" t="s">
        <v>26</v>
      </c>
      <c r="M1199">
        <v>340237</v>
      </c>
      <c r="N1199">
        <v>1</v>
      </c>
      <c r="O1199" s="3">
        <v>59950</v>
      </c>
      <c r="P1199" s="3">
        <v>18677</v>
      </c>
      <c r="Q1199" s="5">
        <f t="shared" si="54"/>
        <v>50378.151260504201</v>
      </c>
      <c r="R1199" s="5">
        <f t="shared" si="55"/>
        <v>18677</v>
      </c>
      <c r="S1199" s="5">
        <f t="shared" si="56"/>
        <v>31701.151260504201</v>
      </c>
    </row>
    <row r="1200" spans="1:19" hidden="1" x14ac:dyDescent="0.3">
      <c r="A1200">
        <v>130</v>
      </c>
      <c r="B1200" t="s">
        <v>2244</v>
      </c>
      <c r="C1200" t="s">
        <v>2374</v>
      </c>
      <c r="D1200" s="2" t="s">
        <v>2375</v>
      </c>
      <c r="E1200" t="s">
        <v>2308</v>
      </c>
      <c r="F1200" t="s">
        <v>20</v>
      </c>
      <c r="G1200" t="s">
        <v>21</v>
      </c>
      <c r="H1200" t="s">
        <v>1337</v>
      </c>
      <c r="I1200" t="s">
        <v>23</v>
      </c>
      <c r="J1200" t="s">
        <v>49</v>
      </c>
      <c r="K1200" s="2" t="s">
        <v>2344</v>
      </c>
      <c r="L1200" t="s">
        <v>26</v>
      </c>
      <c r="M1200">
        <v>340238</v>
      </c>
      <c r="N1200">
        <v>1</v>
      </c>
      <c r="O1200" s="3">
        <v>59950</v>
      </c>
      <c r="P1200" s="3">
        <v>22057</v>
      </c>
      <c r="Q1200" s="5">
        <f t="shared" si="54"/>
        <v>50378.151260504201</v>
      </c>
      <c r="R1200" s="5">
        <f t="shared" si="55"/>
        <v>22057</v>
      </c>
      <c r="S1200" s="5">
        <f t="shared" si="56"/>
        <v>28321.151260504201</v>
      </c>
    </row>
    <row r="1201" spans="1:19" hidden="1" x14ac:dyDescent="0.3">
      <c r="A1201">
        <v>130</v>
      </c>
      <c r="B1201" t="s">
        <v>2244</v>
      </c>
      <c r="C1201" t="s">
        <v>2376</v>
      </c>
      <c r="D1201" s="2" t="s">
        <v>2377</v>
      </c>
      <c r="E1201" t="s">
        <v>2378</v>
      </c>
      <c r="F1201" t="s">
        <v>20</v>
      </c>
      <c r="G1201" t="s">
        <v>21</v>
      </c>
      <c r="H1201" t="s">
        <v>2379</v>
      </c>
      <c r="I1201" t="s">
        <v>23</v>
      </c>
      <c r="J1201" t="s">
        <v>40</v>
      </c>
      <c r="K1201" s="2" t="s">
        <v>2344</v>
      </c>
      <c r="L1201" t="s">
        <v>26</v>
      </c>
      <c r="M1201">
        <v>340239</v>
      </c>
      <c r="N1201">
        <v>1</v>
      </c>
      <c r="O1201" s="3">
        <v>49950</v>
      </c>
      <c r="P1201" s="3">
        <v>15583</v>
      </c>
      <c r="Q1201" s="5">
        <f t="shared" si="54"/>
        <v>41974.789915966387</v>
      </c>
      <c r="R1201" s="5">
        <f t="shared" si="55"/>
        <v>15583</v>
      </c>
      <c r="S1201" s="5">
        <f t="shared" si="56"/>
        <v>26391.789915966387</v>
      </c>
    </row>
    <row r="1202" spans="1:19" hidden="1" x14ac:dyDescent="0.3">
      <c r="A1202">
        <v>130</v>
      </c>
      <c r="B1202" t="s">
        <v>2244</v>
      </c>
      <c r="C1202" t="s">
        <v>2380</v>
      </c>
      <c r="D1202" s="2" t="s">
        <v>2381</v>
      </c>
      <c r="E1202" t="s">
        <v>2382</v>
      </c>
      <c r="F1202" t="s">
        <v>20</v>
      </c>
      <c r="G1202" t="s">
        <v>21</v>
      </c>
      <c r="H1202" t="s">
        <v>2379</v>
      </c>
      <c r="I1202" t="s">
        <v>23</v>
      </c>
      <c r="J1202" t="s">
        <v>40</v>
      </c>
      <c r="K1202" s="2" t="s">
        <v>2344</v>
      </c>
      <c r="L1202" t="s">
        <v>26</v>
      </c>
      <c r="M1202">
        <v>340239</v>
      </c>
      <c r="N1202">
        <v>1</v>
      </c>
      <c r="O1202" s="3">
        <v>34990</v>
      </c>
      <c r="P1202" s="3">
        <v>13135</v>
      </c>
      <c r="Q1202" s="5">
        <f t="shared" si="54"/>
        <v>29403.361344537818</v>
      </c>
      <c r="R1202" s="5">
        <f t="shared" si="55"/>
        <v>13135</v>
      </c>
      <c r="S1202" s="5">
        <f t="shared" si="56"/>
        <v>16268.361344537818</v>
      </c>
    </row>
    <row r="1203" spans="1:19" hidden="1" x14ac:dyDescent="0.3">
      <c r="A1203">
        <v>130</v>
      </c>
      <c r="B1203" t="s">
        <v>2244</v>
      </c>
      <c r="C1203" t="s">
        <v>2383</v>
      </c>
      <c r="D1203" s="2" t="s">
        <v>2384</v>
      </c>
      <c r="E1203" t="s">
        <v>2385</v>
      </c>
      <c r="F1203" t="s">
        <v>20</v>
      </c>
      <c r="G1203" t="s">
        <v>21</v>
      </c>
      <c r="H1203" t="s">
        <v>65</v>
      </c>
      <c r="I1203" t="s">
        <v>23</v>
      </c>
      <c r="J1203" t="s">
        <v>49</v>
      </c>
      <c r="K1203" s="2" t="s">
        <v>2386</v>
      </c>
      <c r="L1203" t="s">
        <v>26</v>
      </c>
      <c r="M1203">
        <v>340240</v>
      </c>
      <c r="N1203">
        <v>-1</v>
      </c>
      <c r="O1203" s="3">
        <v>-64950</v>
      </c>
      <c r="P1203" s="3">
        <v>23715</v>
      </c>
      <c r="Q1203" s="5">
        <f t="shared" si="54"/>
        <v>-54579.831932773115</v>
      </c>
      <c r="R1203" s="5">
        <f t="shared" si="55"/>
        <v>-23715</v>
      </c>
      <c r="S1203" s="5">
        <f t="shared" si="56"/>
        <v>-30864.831932773115</v>
      </c>
    </row>
    <row r="1204" spans="1:19" hidden="1" x14ac:dyDescent="0.3">
      <c r="A1204">
        <v>130</v>
      </c>
      <c r="B1204" t="s">
        <v>2244</v>
      </c>
      <c r="C1204" t="s">
        <v>2387</v>
      </c>
      <c r="D1204" s="2" t="s">
        <v>2388</v>
      </c>
      <c r="E1204" t="s">
        <v>2389</v>
      </c>
      <c r="F1204" t="s">
        <v>20</v>
      </c>
      <c r="G1204" t="s">
        <v>21</v>
      </c>
      <c r="H1204" t="s">
        <v>65</v>
      </c>
      <c r="I1204" t="s">
        <v>23</v>
      </c>
      <c r="J1204" t="s">
        <v>49</v>
      </c>
      <c r="K1204" s="2" t="s">
        <v>2386</v>
      </c>
      <c r="L1204" t="s">
        <v>26</v>
      </c>
      <c r="M1204">
        <v>340240</v>
      </c>
      <c r="N1204">
        <v>-1</v>
      </c>
      <c r="O1204" s="3">
        <v>-49990</v>
      </c>
      <c r="P1204" s="3">
        <v>23712</v>
      </c>
      <c r="Q1204" s="5">
        <f t="shared" si="54"/>
        <v>-42008.403361344543</v>
      </c>
      <c r="R1204" s="5">
        <f t="shared" si="55"/>
        <v>-23712</v>
      </c>
      <c r="S1204" s="5">
        <f t="shared" si="56"/>
        <v>-18296.403361344543</v>
      </c>
    </row>
    <row r="1205" spans="1:19" hidden="1" x14ac:dyDescent="0.3">
      <c r="A1205">
        <v>130</v>
      </c>
      <c r="B1205" t="s">
        <v>2244</v>
      </c>
      <c r="C1205" t="s">
        <v>2390</v>
      </c>
      <c r="D1205" s="2" t="s">
        <v>2391</v>
      </c>
      <c r="E1205" t="s">
        <v>2392</v>
      </c>
      <c r="F1205" t="s">
        <v>20</v>
      </c>
      <c r="G1205" t="s">
        <v>21</v>
      </c>
      <c r="H1205" t="s">
        <v>573</v>
      </c>
      <c r="I1205" t="s">
        <v>23</v>
      </c>
      <c r="J1205" t="s">
        <v>49</v>
      </c>
      <c r="K1205" s="2" t="s">
        <v>2386</v>
      </c>
      <c r="L1205" t="s">
        <v>26</v>
      </c>
      <c r="M1205">
        <v>340240</v>
      </c>
      <c r="N1205">
        <v>1</v>
      </c>
      <c r="O1205" s="3">
        <v>44990</v>
      </c>
      <c r="P1205" s="3">
        <v>22646</v>
      </c>
      <c r="Q1205" s="5">
        <f t="shared" si="54"/>
        <v>37806.722689075636</v>
      </c>
      <c r="R1205" s="5">
        <f t="shared" si="55"/>
        <v>22646</v>
      </c>
      <c r="S1205" s="5">
        <f t="shared" si="56"/>
        <v>15160.722689075636</v>
      </c>
    </row>
    <row r="1206" spans="1:19" hidden="1" x14ac:dyDescent="0.3">
      <c r="A1206">
        <v>130</v>
      </c>
      <c r="B1206" t="s">
        <v>2244</v>
      </c>
      <c r="C1206" t="s">
        <v>2393</v>
      </c>
      <c r="D1206" s="2" t="s">
        <v>2394</v>
      </c>
      <c r="E1206" t="s">
        <v>2318</v>
      </c>
      <c r="F1206" t="s">
        <v>20</v>
      </c>
      <c r="G1206" t="s">
        <v>21</v>
      </c>
      <c r="H1206" t="s">
        <v>573</v>
      </c>
      <c r="I1206" t="s">
        <v>23</v>
      </c>
      <c r="J1206" t="s">
        <v>49</v>
      </c>
      <c r="K1206" s="2" t="s">
        <v>2386</v>
      </c>
      <c r="L1206" t="s">
        <v>26</v>
      </c>
      <c r="M1206">
        <v>340240</v>
      </c>
      <c r="N1206">
        <v>1</v>
      </c>
      <c r="O1206" s="3">
        <v>44990</v>
      </c>
      <c r="P1206" s="3">
        <v>21427</v>
      </c>
      <c r="Q1206" s="5">
        <f t="shared" si="54"/>
        <v>37806.722689075636</v>
      </c>
      <c r="R1206" s="5">
        <f t="shared" si="55"/>
        <v>21427</v>
      </c>
      <c r="S1206" s="5">
        <f t="shared" si="56"/>
        <v>16379.722689075636</v>
      </c>
    </row>
    <row r="1207" spans="1:19" hidden="1" x14ac:dyDescent="0.3">
      <c r="A1207">
        <v>130</v>
      </c>
      <c r="B1207" t="s">
        <v>2244</v>
      </c>
      <c r="C1207" t="s">
        <v>2356</v>
      </c>
      <c r="D1207" s="2" t="s">
        <v>2357</v>
      </c>
      <c r="E1207" t="s">
        <v>1858</v>
      </c>
      <c r="F1207" t="s">
        <v>20</v>
      </c>
      <c r="G1207" t="s">
        <v>21</v>
      </c>
      <c r="H1207" t="s">
        <v>1337</v>
      </c>
      <c r="I1207" t="s">
        <v>23</v>
      </c>
      <c r="J1207" t="s">
        <v>49</v>
      </c>
      <c r="K1207" s="2" t="s">
        <v>2386</v>
      </c>
      <c r="L1207" t="s">
        <v>26</v>
      </c>
      <c r="M1207">
        <v>340240</v>
      </c>
      <c r="N1207">
        <v>1</v>
      </c>
      <c r="O1207" s="3">
        <v>49990</v>
      </c>
      <c r="P1207" s="3">
        <v>19309</v>
      </c>
      <c r="Q1207" s="5">
        <f t="shared" si="54"/>
        <v>42008.403361344543</v>
      </c>
      <c r="R1207" s="5">
        <f t="shared" si="55"/>
        <v>19309</v>
      </c>
      <c r="S1207" s="5">
        <f t="shared" si="56"/>
        <v>22699.403361344543</v>
      </c>
    </row>
    <row r="1208" spans="1:19" hidden="1" x14ac:dyDescent="0.3">
      <c r="A1208">
        <v>130</v>
      </c>
      <c r="B1208" t="s">
        <v>2244</v>
      </c>
      <c r="C1208" t="s">
        <v>2395</v>
      </c>
      <c r="D1208" s="2" t="s">
        <v>2396</v>
      </c>
      <c r="E1208" t="s">
        <v>425</v>
      </c>
      <c r="F1208" t="s">
        <v>20</v>
      </c>
      <c r="G1208" t="s">
        <v>21</v>
      </c>
      <c r="H1208" t="s">
        <v>22</v>
      </c>
      <c r="I1208" t="s">
        <v>23</v>
      </c>
      <c r="J1208" t="s">
        <v>24</v>
      </c>
      <c r="K1208" s="2" t="s">
        <v>2386</v>
      </c>
      <c r="L1208" t="s">
        <v>26</v>
      </c>
      <c r="M1208">
        <v>340241</v>
      </c>
      <c r="N1208">
        <v>1</v>
      </c>
      <c r="O1208" s="3">
        <v>79950</v>
      </c>
      <c r="P1208" s="3">
        <v>27848</v>
      </c>
      <c r="Q1208" s="5">
        <f t="shared" si="54"/>
        <v>67184.873949579836</v>
      </c>
      <c r="R1208" s="5">
        <f t="shared" si="55"/>
        <v>27848</v>
      </c>
      <c r="S1208" s="5">
        <f t="shared" si="56"/>
        <v>39336.873949579836</v>
      </c>
    </row>
    <row r="1209" spans="1:19" hidden="1" x14ac:dyDescent="0.3">
      <c r="A1209">
        <v>130</v>
      </c>
      <c r="B1209" t="s">
        <v>2244</v>
      </c>
      <c r="C1209" t="s">
        <v>2397</v>
      </c>
      <c r="D1209" s="2" t="s">
        <v>2398</v>
      </c>
      <c r="E1209" t="s">
        <v>2399</v>
      </c>
      <c r="F1209" t="s">
        <v>20</v>
      </c>
      <c r="G1209" t="s">
        <v>21</v>
      </c>
      <c r="H1209" t="s">
        <v>2400</v>
      </c>
      <c r="I1209" t="s">
        <v>23</v>
      </c>
      <c r="J1209" t="s">
        <v>40</v>
      </c>
      <c r="K1209" s="2" t="s">
        <v>2386</v>
      </c>
      <c r="L1209" t="s">
        <v>26</v>
      </c>
      <c r="M1209">
        <v>340242</v>
      </c>
      <c r="N1209">
        <v>1</v>
      </c>
      <c r="O1209" s="3">
        <v>34990</v>
      </c>
      <c r="P1209" s="3">
        <v>14064</v>
      </c>
      <c r="Q1209" s="5">
        <f t="shared" si="54"/>
        <v>29403.361344537818</v>
      </c>
      <c r="R1209" s="5">
        <f t="shared" si="55"/>
        <v>14064</v>
      </c>
      <c r="S1209" s="5">
        <f t="shared" si="56"/>
        <v>15339.361344537818</v>
      </c>
    </row>
    <row r="1210" spans="1:19" hidden="1" x14ac:dyDescent="0.3">
      <c r="A1210">
        <v>130</v>
      </c>
      <c r="B1210" t="s">
        <v>2244</v>
      </c>
      <c r="C1210" t="s">
        <v>2401</v>
      </c>
      <c r="D1210" s="2" t="s">
        <v>2402</v>
      </c>
      <c r="E1210" t="s">
        <v>2287</v>
      </c>
      <c r="F1210" t="s">
        <v>20</v>
      </c>
      <c r="G1210" t="s">
        <v>21</v>
      </c>
      <c r="H1210" t="s">
        <v>429</v>
      </c>
      <c r="I1210" t="s">
        <v>23</v>
      </c>
      <c r="J1210" t="s">
        <v>49</v>
      </c>
      <c r="K1210" s="2" t="s">
        <v>2386</v>
      </c>
      <c r="L1210" t="s">
        <v>26</v>
      </c>
      <c r="M1210">
        <v>340243</v>
      </c>
      <c r="N1210">
        <v>1</v>
      </c>
      <c r="O1210" s="3">
        <v>49990</v>
      </c>
      <c r="P1210" s="3">
        <v>31025</v>
      </c>
      <c r="Q1210" s="5">
        <f t="shared" si="54"/>
        <v>42008.403361344543</v>
      </c>
      <c r="R1210" s="5">
        <f t="shared" si="55"/>
        <v>31025</v>
      </c>
      <c r="S1210" s="5">
        <f t="shared" si="56"/>
        <v>10983.403361344543</v>
      </c>
    </row>
    <row r="1211" spans="1:19" hidden="1" x14ac:dyDescent="0.3">
      <c r="A1211">
        <v>130</v>
      </c>
      <c r="B1211" t="s">
        <v>2244</v>
      </c>
      <c r="C1211" t="s">
        <v>2403</v>
      </c>
      <c r="D1211" s="2" t="s">
        <v>2404</v>
      </c>
      <c r="E1211" t="s">
        <v>2389</v>
      </c>
      <c r="F1211" t="s">
        <v>20</v>
      </c>
      <c r="G1211" t="s">
        <v>21</v>
      </c>
      <c r="H1211" t="s">
        <v>65</v>
      </c>
      <c r="I1211" t="s">
        <v>23</v>
      </c>
      <c r="J1211" t="s">
        <v>49</v>
      </c>
      <c r="K1211" s="2" t="s">
        <v>2386</v>
      </c>
      <c r="L1211" t="s">
        <v>26</v>
      </c>
      <c r="M1211">
        <v>340244</v>
      </c>
      <c r="N1211">
        <v>1</v>
      </c>
      <c r="O1211" s="3">
        <v>49990</v>
      </c>
      <c r="P1211" s="3">
        <v>23717</v>
      </c>
      <c r="Q1211" s="5">
        <f t="shared" si="54"/>
        <v>42008.403361344543</v>
      </c>
      <c r="R1211" s="5">
        <f t="shared" si="55"/>
        <v>23717</v>
      </c>
      <c r="S1211" s="5">
        <f t="shared" si="56"/>
        <v>18291.403361344543</v>
      </c>
    </row>
    <row r="1212" spans="1:19" hidden="1" x14ac:dyDescent="0.3">
      <c r="A1212">
        <v>130</v>
      </c>
      <c r="B1212" t="s">
        <v>2244</v>
      </c>
      <c r="C1212" t="s">
        <v>2405</v>
      </c>
      <c r="D1212" s="2" t="s">
        <v>2406</v>
      </c>
      <c r="E1212" t="s">
        <v>2407</v>
      </c>
      <c r="F1212" t="s">
        <v>20</v>
      </c>
      <c r="G1212" t="s">
        <v>21</v>
      </c>
      <c r="H1212" t="s">
        <v>30</v>
      </c>
      <c r="I1212" t="s">
        <v>23</v>
      </c>
      <c r="J1212" t="s">
        <v>49</v>
      </c>
      <c r="K1212" s="2" t="s">
        <v>2386</v>
      </c>
      <c r="L1212" t="s">
        <v>26</v>
      </c>
      <c r="M1212">
        <v>340244</v>
      </c>
      <c r="N1212">
        <v>1</v>
      </c>
      <c r="O1212" s="3">
        <v>49990</v>
      </c>
      <c r="P1212" s="3">
        <v>23517</v>
      </c>
      <c r="Q1212" s="5">
        <f t="shared" si="54"/>
        <v>42008.403361344543</v>
      </c>
      <c r="R1212" s="5">
        <f t="shared" si="55"/>
        <v>23517</v>
      </c>
      <c r="S1212" s="5">
        <f t="shared" si="56"/>
        <v>18491.403361344543</v>
      </c>
    </row>
    <row r="1213" spans="1:19" hidden="1" x14ac:dyDescent="0.3">
      <c r="A1213">
        <v>130</v>
      </c>
      <c r="B1213" t="s">
        <v>2244</v>
      </c>
      <c r="C1213" t="s">
        <v>2408</v>
      </c>
      <c r="D1213" s="2" t="s">
        <v>2409</v>
      </c>
      <c r="E1213" t="s">
        <v>2370</v>
      </c>
      <c r="F1213" t="s">
        <v>20</v>
      </c>
      <c r="G1213" t="s">
        <v>338</v>
      </c>
      <c r="H1213">
        <v>24200</v>
      </c>
      <c r="I1213" t="s">
        <v>23</v>
      </c>
      <c r="J1213" t="s">
        <v>95</v>
      </c>
      <c r="K1213" s="2" t="s">
        <v>2386</v>
      </c>
      <c r="L1213" t="s">
        <v>26</v>
      </c>
      <c r="M1213">
        <v>340244</v>
      </c>
      <c r="N1213">
        <v>-1</v>
      </c>
      <c r="O1213" s="3">
        <v>-84950</v>
      </c>
      <c r="P1213" s="3">
        <v>28401</v>
      </c>
      <c r="Q1213" s="5">
        <f t="shared" si="54"/>
        <v>-71386.554621848743</v>
      </c>
      <c r="R1213" s="5">
        <f t="shared" si="55"/>
        <v>-28401</v>
      </c>
      <c r="S1213" s="5">
        <f t="shared" si="56"/>
        <v>-42985.554621848743</v>
      </c>
    </row>
    <row r="1214" spans="1:19" hidden="1" x14ac:dyDescent="0.3">
      <c r="A1214">
        <v>130</v>
      </c>
      <c r="B1214" t="s">
        <v>2244</v>
      </c>
      <c r="C1214" t="s">
        <v>1368</v>
      </c>
      <c r="D1214" s="2" t="s">
        <v>1369</v>
      </c>
      <c r="E1214" t="s">
        <v>1171</v>
      </c>
      <c r="F1214" t="s">
        <v>20</v>
      </c>
      <c r="G1214" t="s">
        <v>21</v>
      </c>
      <c r="H1214" t="s">
        <v>500</v>
      </c>
      <c r="I1214" t="s">
        <v>23</v>
      </c>
      <c r="J1214" t="s">
        <v>40</v>
      </c>
      <c r="K1214" s="2" t="s">
        <v>2386</v>
      </c>
      <c r="L1214" t="s">
        <v>26</v>
      </c>
      <c r="M1214">
        <v>340245</v>
      </c>
      <c r="N1214">
        <v>1</v>
      </c>
      <c r="O1214" s="3">
        <v>59950</v>
      </c>
      <c r="P1214" s="3">
        <v>17416</v>
      </c>
      <c r="Q1214" s="5">
        <f t="shared" si="54"/>
        <v>50378.151260504201</v>
      </c>
      <c r="R1214" s="5">
        <f t="shared" si="55"/>
        <v>17416</v>
      </c>
      <c r="S1214" s="5">
        <f t="shared" si="56"/>
        <v>32962.151260504201</v>
      </c>
    </row>
    <row r="1215" spans="1:19" hidden="1" x14ac:dyDescent="0.3">
      <c r="A1215">
        <v>130</v>
      </c>
      <c r="B1215" t="s">
        <v>2244</v>
      </c>
      <c r="C1215" t="s">
        <v>115</v>
      </c>
      <c r="D1215" s="2" t="s">
        <v>116</v>
      </c>
      <c r="E1215" t="s">
        <v>117</v>
      </c>
      <c r="F1215" t="s">
        <v>20</v>
      </c>
      <c r="G1215" t="s">
        <v>21</v>
      </c>
      <c r="H1215" t="s">
        <v>118</v>
      </c>
      <c r="I1215" t="s">
        <v>23</v>
      </c>
      <c r="J1215" t="s">
        <v>49</v>
      </c>
      <c r="K1215" s="2" t="s">
        <v>2386</v>
      </c>
      <c r="L1215" t="s">
        <v>26</v>
      </c>
      <c r="M1215">
        <v>340246</v>
      </c>
      <c r="N1215">
        <v>1</v>
      </c>
      <c r="O1215" s="3">
        <v>39990</v>
      </c>
      <c r="P1215" s="3">
        <v>26631</v>
      </c>
      <c r="Q1215" s="5">
        <f t="shared" si="54"/>
        <v>33605.042016806721</v>
      </c>
      <c r="R1215" s="5">
        <f t="shared" si="55"/>
        <v>26631</v>
      </c>
      <c r="S1215" s="5">
        <f t="shared" si="56"/>
        <v>6974.0420168067212</v>
      </c>
    </row>
    <row r="1216" spans="1:19" hidden="1" x14ac:dyDescent="0.3">
      <c r="A1216">
        <v>130</v>
      </c>
      <c r="B1216" t="s">
        <v>2244</v>
      </c>
      <c r="C1216" t="s">
        <v>1761</v>
      </c>
      <c r="D1216" s="2" t="s">
        <v>1762</v>
      </c>
      <c r="E1216" t="s">
        <v>1763</v>
      </c>
      <c r="F1216" t="s">
        <v>377</v>
      </c>
      <c r="G1216" t="s">
        <v>21</v>
      </c>
      <c r="H1216" t="s">
        <v>378</v>
      </c>
      <c r="I1216" t="s">
        <v>23</v>
      </c>
      <c r="J1216" t="s">
        <v>379</v>
      </c>
      <c r="K1216" s="2" t="s">
        <v>2386</v>
      </c>
      <c r="L1216" t="s">
        <v>26</v>
      </c>
      <c r="M1216">
        <v>340246</v>
      </c>
      <c r="N1216">
        <v>1</v>
      </c>
      <c r="O1216" s="3">
        <v>5950</v>
      </c>
      <c r="P1216" s="3">
        <v>3279</v>
      </c>
      <c r="Q1216" s="5">
        <f t="shared" si="54"/>
        <v>5000</v>
      </c>
      <c r="R1216" s="5">
        <f t="shared" si="55"/>
        <v>3279</v>
      </c>
      <c r="S1216" s="5">
        <f t="shared" si="56"/>
        <v>1721</v>
      </c>
    </row>
    <row r="1217" spans="1:19" hidden="1" x14ac:dyDescent="0.3">
      <c r="A1217">
        <v>130</v>
      </c>
      <c r="B1217" t="s">
        <v>2244</v>
      </c>
      <c r="C1217" t="s">
        <v>700</v>
      </c>
      <c r="D1217" s="2" t="s">
        <v>701</v>
      </c>
      <c r="E1217" t="s">
        <v>702</v>
      </c>
      <c r="F1217" t="s">
        <v>377</v>
      </c>
      <c r="G1217" t="s">
        <v>21</v>
      </c>
      <c r="H1217" t="s">
        <v>378</v>
      </c>
      <c r="I1217" t="s">
        <v>23</v>
      </c>
      <c r="J1217" t="s">
        <v>379</v>
      </c>
      <c r="K1217" s="2" t="s">
        <v>2386</v>
      </c>
      <c r="L1217" t="s">
        <v>26</v>
      </c>
      <c r="M1217">
        <v>340246</v>
      </c>
      <c r="N1217">
        <v>1</v>
      </c>
      <c r="O1217" s="3">
        <v>4950</v>
      </c>
      <c r="P1217" s="3">
        <v>2529</v>
      </c>
      <c r="Q1217" s="5">
        <f t="shared" si="54"/>
        <v>4159.6638655462184</v>
      </c>
      <c r="R1217" s="5">
        <f t="shared" si="55"/>
        <v>2529</v>
      </c>
      <c r="S1217" s="5">
        <f t="shared" si="56"/>
        <v>1630.6638655462184</v>
      </c>
    </row>
    <row r="1218" spans="1:19" hidden="1" x14ac:dyDescent="0.3">
      <c r="A1218">
        <v>130</v>
      </c>
      <c r="B1218" t="s">
        <v>2244</v>
      </c>
      <c r="C1218" t="s">
        <v>2410</v>
      </c>
      <c r="D1218" s="2" t="s">
        <v>2411</v>
      </c>
      <c r="E1218" t="s">
        <v>1714</v>
      </c>
      <c r="F1218" t="s">
        <v>20</v>
      </c>
      <c r="G1218" t="s">
        <v>338</v>
      </c>
      <c r="H1218">
        <v>23727</v>
      </c>
      <c r="I1218" t="s">
        <v>23</v>
      </c>
      <c r="J1218" t="s">
        <v>40</v>
      </c>
      <c r="K1218" s="2" t="s">
        <v>2386</v>
      </c>
      <c r="L1218" t="s">
        <v>26</v>
      </c>
      <c r="M1218">
        <v>340247</v>
      </c>
      <c r="N1218">
        <v>1</v>
      </c>
      <c r="O1218" s="3">
        <v>49990</v>
      </c>
      <c r="P1218" s="3">
        <v>26539</v>
      </c>
      <c r="Q1218" s="5">
        <f t="shared" si="54"/>
        <v>42008.403361344543</v>
      </c>
      <c r="R1218" s="5">
        <f t="shared" si="55"/>
        <v>26539</v>
      </c>
      <c r="S1218" s="5">
        <f t="shared" si="56"/>
        <v>15469.403361344543</v>
      </c>
    </row>
    <row r="1219" spans="1:19" hidden="1" x14ac:dyDescent="0.3">
      <c r="A1219">
        <v>130</v>
      </c>
      <c r="B1219" t="s">
        <v>2244</v>
      </c>
      <c r="C1219" t="s">
        <v>2412</v>
      </c>
      <c r="D1219" s="2" t="s">
        <v>2413</v>
      </c>
      <c r="E1219" t="s">
        <v>2414</v>
      </c>
      <c r="F1219" t="s">
        <v>20</v>
      </c>
      <c r="G1219" t="s">
        <v>21</v>
      </c>
      <c r="H1219" t="s">
        <v>818</v>
      </c>
      <c r="I1219" t="s">
        <v>23</v>
      </c>
      <c r="J1219" t="s">
        <v>35</v>
      </c>
      <c r="K1219" s="2" t="s">
        <v>2386</v>
      </c>
      <c r="L1219" t="s">
        <v>26</v>
      </c>
      <c r="M1219">
        <v>340248</v>
      </c>
      <c r="N1219">
        <v>1</v>
      </c>
      <c r="O1219" s="3">
        <v>89950</v>
      </c>
      <c r="P1219" s="3">
        <v>32309</v>
      </c>
      <c r="Q1219" s="5">
        <f t="shared" si="54"/>
        <v>75588.23529411765</v>
      </c>
      <c r="R1219" s="5">
        <f t="shared" si="55"/>
        <v>32309</v>
      </c>
      <c r="S1219" s="5">
        <f t="shared" si="56"/>
        <v>43279.23529411765</v>
      </c>
    </row>
    <row r="1220" spans="1:19" hidden="1" x14ac:dyDescent="0.3">
      <c r="A1220">
        <v>130</v>
      </c>
      <c r="B1220" t="s">
        <v>2244</v>
      </c>
      <c r="C1220" t="s">
        <v>2415</v>
      </c>
      <c r="D1220" s="2" t="s">
        <v>2416</v>
      </c>
      <c r="E1220" t="s">
        <v>2417</v>
      </c>
      <c r="F1220" t="s">
        <v>20</v>
      </c>
      <c r="G1220" t="s">
        <v>21</v>
      </c>
      <c r="H1220" t="s">
        <v>1457</v>
      </c>
      <c r="I1220" t="s">
        <v>23</v>
      </c>
      <c r="J1220" t="s">
        <v>40</v>
      </c>
      <c r="K1220" s="2" t="s">
        <v>2386</v>
      </c>
      <c r="L1220" t="s">
        <v>26</v>
      </c>
      <c r="M1220">
        <v>340248</v>
      </c>
      <c r="N1220">
        <v>1</v>
      </c>
      <c r="O1220" s="3">
        <v>34990</v>
      </c>
      <c r="P1220" s="3">
        <v>19019</v>
      </c>
      <c r="Q1220" s="5">
        <f t="shared" si="54"/>
        <v>29403.361344537818</v>
      </c>
      <c r="R1220" s="5">
        <f t="shared" si="55"/>
        <v>19019</v>
      </c>
      <c r="S1220" s="5">
        <f t="shared" si="56"/>
        <v>10384.361344537818</v>
      </c>
    </row>
    <row r="1221" spans="1:19" hidden="1" x14ac:dyDescent="0.3">
      <c r="A1221">
        <v>130</v>
      </c>
      <c r="B1221" t="s">
        <v>2244</v>
      </c>
      <c r="C1221" t="s">
        <v>2418</v>
      </c>
      <c r="D1221" s="2" t="s">
        <v>2419</v>
      </c>
      <c r="E1221" t="s">
        <v>1491</v>
      </c>
      <c r="F1221" t="s">
        <v>20</v>
      </c>
      <c r="G1221" t="s">
        <v>21</v>
      </c>
      <c r="H1221" t="s">
        <v>610</v>
      </c>
      <c r="I1221" t="s">
        <v>23</v>
      </c>
      <c r="J1221" t="s">
        <v>40</v>
      </c>
      <c r="K1221" s="2" t="s">
        <v>2386</v>
      </c>
      <c r="L1221" t="s">
        <v>26</v>
      </c>
      <c r="M1221">
        <v>340249</v>
      </c>
      <c r="N1221">
        <v>-1</v>
      </c>
      <c r="O1221" s="3">
        <v>-34990</v>
      </c>
      <c r="P1221" s="3">
        <v>14680</v>
      </c>
      <c r="Q1221" s="5">
        <f t="shared" si="54"/>
        <v>-29403.361344537818</v>
      </c>
      <c r="R1221" s="5">
        <f t="shared" si="55"/>
        <v>-14680</v>
      </c>
      <c r="S1221" s="5">
        <f t="shared" si="56"/>
        <v>-14723.361344537818</v>
      </c>
    </row>
    <row r="1222" spans="1:19" hidden="1" x14ac:dyDescent="0.3">
      <c r="A1222">
        <v>130</v>
      </c>
      <c r="B1222" t="s">
        <v>2244</v>
      </c>
      <c r="C1222" t="s">
        <v>2420</v>
      </c>
      <c r="D1222" s="2" t="s">
        <v>2421</v>
      </c>
      <c r="E1222" t="s">
        <v>2422</v>
      </c>
      <c r="F1222" t="s">
        <v>20</v>
      </c>
      <c r="G1222" t="s">
        <v>21</v>
      </c>
      <c r="H1222" t="s">
        <v>152</v>
      </c>
      <c r="I1222" t="s">
        <v>23</v>
      </c>
      <c r="J1222" t="s">
        <v>40</v>
      </c>
      <c r="K1222" s="2" t="s">
        <v>2386</v>
      </c>
      <c r="L1222" t="s">
        <v>26</v>
      </c>
      <c r="M1222">
        <v>340249</v>
      </c>
      <c r="N1222">
        <v>1</v>
      </c>
      <c r="O1222" s="3">
        <v>34991</v>
      </c>
      <c r="P1222" s="3">
        <v>18485</v>
      </c>
      <c r="Q1222" s="5">
        <f t="shared" ref="Q1222:Q1285" si="57">O1222/1.19</f>
        <v>29404.201680672271</v>
      </c>
      <c r="R1222" s="5">
        <f t="shared" ref="R1222:R1285" si="58">N1222*P1222</f>
        <v>18485</v>
      </c>
      <c r="S1222" s="5">
        <f t="shared" ref="S1222:S1285" si="59">Q1222-R1222</f>
        <v>10919.201680672271</v>
      </c>
    </row>
    <row r="1223" spans="1:19" hidden="1" x14ac:dyDescent="0.3">
      <c r="A1223">
        <v>130</v>
      </c>
      <c r="B1223" t="s">
        <v>2244</v>
      </c>
      <c r="C1223" t="s">
        <v>2423</v>
      </c>
      <c r="D1223" s="2" t="s">
        <v>2424</v>
      </c>
      <c r="E1223" t="s">
        <v>2425</v>
      </c>
      <c r="F1223" t="s">
        <v>20</v>
      </c>
      <c r="G1223" t="s">
        <v>21</v>
      </c>
      <c r="H1223" t="s">
        <v>729</v>
      </c>
      <c r="I1223" t="s">
        <v>23</v>
      </c>
      <c r="J1223" t="s">
        <v>207</v>
      </c>
      <c r="K1223" s="2" t="s">
        <v>2386</v>
      </c>
      <c r="L1223" t="s">
        <v>26</v>
      </c>
      <c r="M1223">
        <v>340250</v>
      </c>
      <c r="N1223">
        <v>-1</v>
      </c>
      <c r="O1223" s="3">
        <v>-47970</v>
      </c>
      <c r="P1223" s="3">
        <v>32496</v>
      </c>
      <c r="Q1223" s="5">
        <f t="shared" si="57"/>
        <v>-40310.924369747903</v>
      </c>
      <c r="R1223" s="5">
        <f t="shared" si="58"/>
        <v>-32496</v>
      </c>
      <c r="S1223" s="5">
        <f t="shared" si="59"/>
        <v>-7814.9243697479033</v>
      </c>
    </row>
    <row r="1224" spans="1:19" hidden="1" x14ac:dyDescent="0.3">
      <c r="A1224">
        <v>130</v>
      </c>
      <c r="B1224" t="s">
        <v>2244</v>
      </c>
      <c r="C1224" t="s">
        <v>2426</v>
      </c>
      <c r="D1224" s="2" t="s">
        <v>2427</v>
      </c>
      <c r="E1224" t="s">
        <v>2428</v>
      </c>
      <c r="F1224" t="s">
        <v>20</v>
      </c>
      <c r="G1224" t="s">
        <v>21</v>
      </c>
      <c r="H1224" t="s">
        <v>2315</v>
      </c>
      <c r="I1224" t="s">
        <v>23</v>
      </c>
      <c r="J1224" t="s">
        <v>35</v>
      </c>
      <c r="K1224" s="2" t="s">
        <v>2386</v>
      </c>
      <c r="L1224" t="s">
        <v>26</v>
      </c>
      <c r="M1224">
        <v>340250</v>
      </c>
      <c r="N1224">
        <v>1</v>
      </c>
      <c r="O1224" s="3">
        <v>76450</v>
      </c>
      <c r="P1224" s="3">
        <v>30749</v>
      </c>
      <c r="Q1224" s="5">
        <f t="shared" si="57"/>
        <v>64243.697478991598</v>
      </c>
      <c r="R1224" s="5">
        <f t="shared" si="58"/>
        <v>30749</v>
      </c>
      <c r="S1224" s="5">
        <f t="shared" si="59"/>
        <v>33494.697478991598</v>
      </c>
    </row>
    <row r="1225" spans="1:19" hidden="1" x14ac:dyDescent="0.3">
      <c r="A1225">
        <v>130</v>
      </c>
      <c r="B1225" t="s">
        <v>2244</v>
      </c>
      <c r="C1225">
        <v>1687976791</v>
      </c>
      <c r="D1225" s="2" t="s">
        <v>200</v>
      </c>
      <c r="E1225" t="s">
        <v>201</v>
      </c>
      <c r="F1225" t="s">
        <v>201</v>
      </c>
      <c r="G1225" t="s">
        <v>202</v>
      </c>
      <c r="H1225" t="s">
        <v>202</v>
      </c>
      <c r="I1225" t="s">
        <v>23</v>
      </c>
      <c r="J1225" t="s">
        <v>202</v>
      </c>
      <c r="K1225" s="2" t="s">
        <v>2386</v>
      </c>
      <c r="L1225" t="s">
        <v>26</v>
      </c>
      <c r="M1225">
        <v>340251</v>
      </c>
      <c r="N1225">
        <v>1</v>
      </c>
      <c r="O1225" s="3">
        <v>3200</v>
      </c>
      <c r="P1225">
        <v>1</v>
      </c>
      <c r="Q1225" s="5">
        <f t="shared" si="57"/>
        <v>2689.0756302521008</v>
      </c>
      <c r="R1225" s="5">
        <f t="shared" si="58"/>
        <v>1</v>
      </c>
      <c r="S1225" s="5">
        <f t="shared" si="59"/>
        <v>2688.0756302521008</v>
      </c>
    </row>
    <row r="1226" spans="1:19" hidden="1" x14ac:dyDescent="0.3">
      <c r="A1226">
        <v>130</v>
      </c>
      <c r="B1226" t="s">
        <v>2244</v>
      </c>
      <c r="C1226" t="s">
        <v>2429</v>
      </c>
      <c r="D1226" s="2" t="s">
        <v>2430</v>
      </c>
      <c r="E1226" t="s">
        <v>1828</v>
      </c>
      <c r="F1226" t="s">
        <v>20</v>
      </c>
      <c r="G1226" t="s">
        <v>21</v>
      </c>
      <c r="H1226" t="s">
        <v>1689</v>
      </c>
      <c r="I1226" t="s">
        <v>23</v>
      </c>
      <c r="J1226" t="s">
        <v>49</v>
      </c>
      <c r="K1226" s="2" t="s">
        <v>2386</v>
      </c>
      <c r="L1226" t="s">
        <v>26</v>
      </c>
      <c r="M1226">
        <v>340251</v>
      </c>
      <c r="N1226">
        <v>1</v>
      </c>
      <c r="O1226" s="3">
        <v>54990</v>
      </c>
      <c r="P1226" s="3">
        <v>36616</v>
      </c>
      <c r="Q1226" s="5">
        <f t="shared" si="57"/>
        <v>46210.08403361345</v>
      </c>
      <c r="R1226" s="5">
        <f t="shared" si="58"/>
        <v>36616</v>
      </c>
      <c r="S1226" s="5">
        <f t="shared" si="59"/>
        <v>9594.0840336134497</v>
      </c>
    </row>
    <row r="1227" spans="1:19" hidden="1" x14ac:dyDescent="0.3">
      <c r="A1227">
        <v>130</v>
      </c>
      <c r="B1227" t="s">
        <v>2244</v>
      </c>
      <c r="C1227" t="s">
        <v>2431</v>
      </c>
      <c r="D1227" s="2" t="s">
        <v>2432</v>
      </c>
      <c r="E1227" t="s">
        <v>2433</v>
      </c>
      <c r="F1227" t="s">
        <v>20</v>
      </c>
      <c r="G1227" t="s">
        <v>338</v>
      </c>
      <c r="H1227">
        <v>24722</v>
      </c>
      <c r="I1227" t="s">
        <v>23</v>
      </c>
      <c r="J1227" t="s">
        <v>95</v>
      </c>
      <c r="K1227" s="2" t="s">
        <v>2386</v>
      </c>
      <c r="L1227" t="s">
        <v>26</v>
      </c>
      <c r="M1227">
        <v>340252</v>
      </c>
      <c r="N1227">
        <v>1</v>
      </c>
      <c r="O1227" s="3">
        <v>89950</v>
      </c>
      <c r="P1227" s="3">
        <v>30987</v>
      </c>
      <c r="Q1227" s="5">
        <f t="shared" si="57"/>
        <v>75588.23529411765</v>
      </c>
      <c r="R1227" s="5">
        <f t="shared" si="58"/>
        <v>30987</v>
      </c>
      <c r="S1227" s="5">
        <f t="shared" si="59"/>
        <v>44601.23529411765</v>
      </c>
    </row>
    <row r="1228" spans="1:19" hidden="1" x14ac:dyDescent="0.3">
      <c r="A1228">
        <v>130</v>
      </c>
      <c r="B1228" t="s">
        <v>2244</v>
      </c>
      <c r="C1228" t="s">
        <v>2434</v>
      </c>
      <c r="D1228" s="2" t="s">
        <v>2435</v>
      </c>
      <c r="E1228" t="s">
        <v>2436</v>
      </c>
      <c r="F1228" t="s">
        <v>20</v>
      </c>
      <c r="G1228" t="s">
        <v>338</v>
      </c>
      <c r="H1228">
        <v>22318</v>
      </c>
      <c r="I1228" t="s">
        <v>23</v>
      </c>
      <c r="J1228" t="s">
        <v>49</v>
      </c>
      <c r="K1228" s="2" t="s">
        <v>2386</v>
      </c>
      <c r="L1228" t="s">
        <v>26</v>
      </c>
      <c r="M1228">
        <v>340253</v>
      </c>
      <c r="N1228">
        <v>1</v>
      </c>
      <c r="O1228" s="3">
        <v>74950</v>
      </c>
      <c r="P1228" s="3">
        <v>23473</v>
      </c>
      <c r="Q1228" s="5">
        <f t="shared" si="57"/>
        <v>62983.193277310929</v>
      </c>
      <c r="R1228" s="5">
        <f t="shared" si="58"/>
        <v>23473</v>
      </c>
      <c r="S1228" s="5">
        <f t="shared" si="59"/>
        <v>39510.193277310929</v>
      </c>
    </row>
    <row r="1229" spans="1:19" hidden="1" x14ac:dyDescent="0.3">
      <c r="A1229">
        <v>130</v>
      </c>
      <c r="B1229" t="s">
        <v>2244</v>
      </c>
      <c r="C1229" t="s">
        <v>2437</v>
      </c>
      <c r="D1229" s="2" t="s">
        <v>2438</v>
      </c>
      <c r="E1229" t="s">
        <v>1214</v>
      </c>
      <c r="F1229" t="s">
        <v>20</v>
      </c>
      <c r="G1229" t="s">
        <v>21</v>
      </c>
      <c r="H1229" t="s">
        <v>224</v>
      </c>
      <c r="I1229" t="s">
        <v>23</v>
      </c>
      <c r="J1229" t="s">
        <v>49</v>
      </c>
      <c r="K1229" s="2" t="s">
        <v>2386</v>
      </c>
      <c r="L1229" t="s">
        <v>26</v>
      </c>
      <c r="M1229">
        <v>340254</v>
      </c>
      <c r="N1229">
        <v>1</v>
      </c>
      <c r="O1229" s="3">
        <v>49990</v>
      </c>
      <c r="P1229" s="3">
        <v>25245</v>
      </c>
      <c r="Q1229" s="5">
        <f t="shared" si="57"/>
        <v>42008.403361344543</v>
      </c>
      <c r="R1229" s="5">
        <f t="shared" si="58"/>
        <v>25245</v>
      </c>
      <c r="S1229" s="5">
        <f t="shared" si="59"/>
        <v>16763.403361344543</v>
      </c>
    </row>
    <row r="1230" spans="1:19" hidden="1" x14ac:dyDescent="0.3">
      <c r="A1230">
        <v>130</v>
      </c>
      <c r="B1230" t="s">
        <v>2244</v>
      </c>
      <c r="C1230" t="s">
        <v>2439</v>
      </c>
      <c r="D1230" s="2" t="s">
        <v>2440</v>
      </c>
      <c r="E1230" t="s">
        <v>2441</v>
      </c>
      <c r="F1230" t="s">
        <v>20</v>
      </c>
      <c r="G1230" t="s">
        <v>21</v>
      </c>
      <c r="H1230" t="s">
        <v>243</v>
      </c>
      <c r="I1230" t="s">
        <v>23</v>
      </c>
      <c r="J1230" t="s">
        <v>35</v>
      </c>
      <c r="K1230" s="2" t="s">
        <v>2386</v>
      </c>
      <c r="L1230" t="s">
        <v>26</v>
      </c>
      <c r="M1230">
        <v>340255</v>
      </c>
      <c r="N1230">
        <v>1</v>
      </c>
      <c r="O1230" s="3">
        <v>99950</v>
      </c>
      <c r="P1230" s="3">
        <v>53269</v>
      </c>
      <c r="Q1230" s="5">
        <f t="shared" si="57"/>
        <v>83991.596638655465</v>
      </c>
      <c r="R1230" s="5">
        <f t="shared" si="58"/>
        <v>53269</v>
      </c>
      <c r="S1230" s="5">
        <f t="shared" si="59"/>
        <v>30722.596638655465</v>
      </c>
    </row>
    <row r="1231" spans="1:19" hidden="1" x14ac:dyDescent="0.3">
      <c r="A1231">
        <v>130</v>
      </c>
      <c r="B1231" t="s">
        <v>2244</v>
      </c>
      <c r="C1231" t="s">
        <v>2442</v>
      </c>
      <c r="D1231" s="2" t="s">
        <v>2443</v>
      </c>
      <c r="E1231" t="s">
        <v>1678</v>
      </c>
      <c r="F1231" t="s">
        <v>20</v>
      </c>
      <c r="G1231" t="s">
        <v>21</v>
      </c>
      <c r="H1231" t="s">
        <v>590</v>
      </c>
      <c r="I1231" t="s">
        <v>23</v>
      </c>
      <c r="J1231" t="s">
        <v>40</v>
      </c>
      <c r="K1231" s="2" t="s">
        <v>2386</v>
      </c>
      <c r="L1231" t="s">
        <v>26</v>
      </c>
      <c r="M1231">
        <v>340256</v>
      </c>
      <c r="N1231">
        <v>1</v>
      </c>
      <c r="O1231" s="3">
        <v>39990</v>
      </c>
      <c r="P1231" s="3">
        <v>22297</v>
      </c>
      <c r="Q1231" s="5">
        <f t="shared" si="57"/>
        <v>33605.042016806721</v>
      </c>
      <c r="R1231" s="5">
        <f t="shared" si="58"/>
        <v>22297</v>
      </c>
      <c r="S1231" s="5">
        <f t="shared" si="59"/>
        <v>11308.042016806721</v>
      </c>
    </row>
    <row r="1232" spans="1:19" hidden="1" x14ac:dyDescent="0.3">
      <c r="A1232">
        <v>130</v>
      </c>
      <c r="B1232" t="s">
        <v>2244</v>
      </c>
      <c r="C1232" t="s">
        <v>2444</v>
      </c>
      <c r="D1232" s="2" t="s">
        <v>2445</v>
      </c>
      <c r="E1232" t="s">
        <v>2446</v>
      </c>
      <c r="F1232" t="s">
        <v>20</v>
      </c>
      <c r="G1232" t="s">
        <v>21</v>
      </c>
      <c r="H1232" t="s">
        <v>1286</v>
      </c>
      <c r="I1232" t="s">
        <v>23</v>
      </c>
      <c r="J1232" t="s">
        <v>40</v>
      </c>
      <c r="K1232" s="2" t="s">
        <v>2386</v>
      </c>
      <c r="L1232" t="s">
        <v>26</v>
      </c>
      <c r="M1232">
        <v>340257</v>
      </c>
      <c r="N1232">
        <v>1</v>
      </c>
      <c r="O1232" s="3">
        <v>69950</v>
      </c>
      <c r="P1232" s="3">
        <v>19604</v>
      </c>
      <c r="Q1232" s="5">
        <f t="shared" si="57"/>
        <v>58781.512605042022</v>
      </c>
      <c r="R1232" s="5">
        <f t="shared" si="58"/>
        <v>19604</v>
      </c>
      <c r="S1232" s="5">
        <f t="shared" si="59"/>
        <v>39177.512605042022</v>
      </c>
    </row>
    <row r="1233" spans="1:19" hidden="1" x14ac:dyDescent="0.3">
      <c r="A1233">
        <v>130</v>
      </c>
      <c r="B1233" t="s">
        <v>2244</v>
      </c>
      <c r="C1233" t="s">
        <v>2447</v>
      </c>
      <c r="D1233" s="2" t="s">
        <v>2448</v>
      </c>
      <c r="E1233" t="s">
        <v>2449</v>
      </c>
      <c r="F1233" t="s">
        <v>20</v>
      </c>
      <c r="G1233" t="s">
        <v>21</v>
      </c>
      <c r="H1233" t="s">
        <v>1703</v>
      </c>
      <c r="I1233" t="s">
        <v>23</v>
      </c>
      <c r="J1233" t="s">
        <v>49</v>
      </c>
      <c r="K1233" s="2" t="s">
        <v>2386</v>
      </c>
      <c r="L1233" t="s">
        <v>26</v>
      </c>
      <c r="M1233">
        <v>340258</v>
      </c>
      <c r="N1233">
        <v>1</v>
      </c>
      <c r="O1233" s="3">
        <v>74950</v>
      </c>
      <c r="P1233" s="3">
        <v>26457</v>
      </c>
      <c r="Q1233" s="5">
        <f t="shared" si="57"/>
        <v>62983.193277310929</v>
      </c>
      <c r="R1233" s="5">
        <f t="shared" si="58"/>
        <v>26457</v>
      </c>
      <c r="S1233" s="5">
        <f t="shared" si="59"/>
        <v>36526.193277310929</v>
      </c>
    </row>
    <row r="1234" spans="1:19" hidden="1" x14ac:dyDescent="0.3">
      <c r="A1234">
        <v>130</v>
      </c>
      <c r="B1234" t="s">
        <v>2244</v>
      </c>
      <c r="C1234" t="s">
        <v>2450</v>
      </c>
      <c r="D1234" s="2" t="s">
        <v>2451</v>
      </c>
      <c r="E1234" t="s">
        <v>2452</v>
      </c>
      <c r="F1234" t="s">
        <v>20</v>
      </c>
      <c r="G1234" t="s">
        <v>21</v>
      </c>
      <c r="H1234" t="s">
        <v>573</v>
      </c>
      <c r="I1234" t="s">
        <v>23</v>
      </c>
      <c r="J1234" t="s">
        <v>49</v>
      </c>
      <c r="K1234" s="2" t="s">
        <v>2386</v>
      </c>
      <c r="L1234" t="s">
        <v>26</v>
      </c>
      <c r="M1234">
        <v>340259</v>
      </c>
      <c r="N1234">
        <v>1</v>
      </c>
      <c r="O1234" s="3">
        <v>44990</v>
      </c>
      <c r="P1234" s="3">
        <v>23065</v>
      </c>
      <c r="Q1234" s="5">
        <f t="shared" si="57"/>
        <v>37806.722689075636</v>
      </c>
      <c r="R1234" s="5">
        <f t="shared" si="58"/>
        <v>23065</v>
      </c>
      <c r="S1234" s="5">
        <f t="shared" si="59"/>
        <v>14741.722689075636</v>
      </c>
    </row>
    <row r="1235" spans="1:19" hidden="1" x14ac:dyDescent="0.3">
      <c r="A1235">
        <v>130</v>
      </c>
      <c r="B1235" t="s">
        <v>2244</v>
      </c>
      <c r="C1235" t="s">
        <v>2390</v>
      </c>
      <c r="D1235" s="2" t="s">
        <v>2391</v>
      </c>
      <c r="E1235" t="s">
        <v>2392</v>
      </c>
      <c r="F1235" t="s">
        <v>20</v>
      </c>
      <c r="G1235" t="s">
        <v>21</v>
      </c>
      <c r="H1235" t="s">
        <v>573</v>
      </c>
      <c r="I1235" t="s">
        <v>23</v>
      </c>
      <c r="J1235" t="s">
        <v>49</v>
      </c>
      <c r="K1235" s="2" t="s">
        <v>2386</v>
      </c>
      <c r="L1235" t="s">
        <v>26</v>
      </c>
      <c r="M1235">
        <v>340260</v>
      </c>
      <c r="N1235">
        <v>1</v>
      </c>
      <c r="O1235" s="3">
        <v>44990</v>
      </c>
      <c r="P1235" s="3">
        <v>22646</v>
      </c>
      <c r="Q1235" s="5">
        <f t="shared" si="57"/>
        <v>37806.722689075636</v>
      </c>
      <c r="R1235" s="5">
        <f t="shared" si="58"/>
        <v>22646</v>
      </c>
      <c r="S1235" s="5">
        <f t="shared" si="59"/>
        <v>15160.722689075636</v>
      </c>
    </row>
    <row r="1236" spans="1:19" hidden="1" x14ac:dyDescent="0.3">
      <c r="A1236">
        <v>130</v>
      </c>
      <c r="B1236" t="s">
        <v>2244</v>
      </c>
      <c r="C1236">
        <v>1687976791</v>
      </c>
      <c r="D1236" s="2" t="s">
        <v>200</v>
      </c>
      <c r="E1236" t="s">
        <v>201</v>
      </c>
      <c r="F1236" t="s">
        <v>201</v>
      </c>
      <c r="G1236" t="s">
        <v>202</v>
      </c>
      <c r="H1236" t="s">
        <v>202</v>
      </c>
      <c r="I1236" t="s">
        <v>23</v>
      </c>
      <c r="J1236" t="s">
        <v>202</v>
      </c>
      <c r="K1236" s="2" t="s">
        <v>2386</v>
      </c>
      <c r="L1236" t="s">
        <v>26</v>
      </c>
      <c r="M1236">
        <v>340260</v>
      </c>
      <c r="N1236">
        <v>1</v>
      </c>
      <c r="O1236">
        <v>1</v>
      </c>
      <c r="P1236">
        <v>1</v>
      </c>
      <c r="Q1236" s="5">
        <f t="shared" si="57"/>
        <v>0.84033613445378152</v>
      </c>
      <c r="R1236" s="5">
        <f t="shared" si="58"/>
        <v>1</v>
      </c>
      <c r="S1236" s="5">
        <f t="shared" si="59"/>
        <v>-0.15966386554621848</v>
      </c>
    </row>
    <row r="1237" spans="1:19" hidden="1" x14ac:dyDescent="0.3">
      <c r="A1237">
        <v>130</v>
      </c>
      <c r="B1237" t="s">
        <v>2244</v>
      </c>
      <c r="C1237" t="s">
        <v>2453</v>
      </c>
      <c r="D1237" s="2" t="s">
        <v>2454</v>
      </c>
      <c r="E1237" t="s">
        <v>2455</v>
      </c>
      <c r="F1237" t="s">
        <v>20</v>
      </c>
      <c r="G1237" t="s">
        <v>21</v>
      </c>
      <c r="H1237" t="s">
        <v>742</v>
      </c>
      <c r="I1237" t="s">
        <v>23</v>
      </c>
      <c r="J1237" t="s">
        <v>40</v>
      </c>
      <c r="K1237" s="2" t="s">
        <v>2386</v>
      </c>
      <c r="L1237" t="s">
        <v>26</v>
      </c>
      <c r="M1237">
        <v>340261</v>
      </c>
      <c r="N1237">
        <v>1</v>
      </c>
      <c r="O1237" s="3">
        <v>79950</v>
      </c>
      <c r="P1237" s="3">
        <v>28467</v>
      </c>
      <c r="Q1237" s="5">
        <f t="shared" si="57"/>
        <v>67184.873949579836</v>
      </c>
      <c r="R1237" s="5">
        <f t="shared" si="58"/>
        <v>28467</v>
      </c>
      <c r="S1237" s="5">
        <f t="shared" si="59"/>
        <v>38717.873949579836</v>
      </c>
    </row>
    <row r="1238" spans="1:19" hidden="1" x14ac:dyDescent="0.3">
      <c r="A1238">
        <v>130</v>
      </c>
      <c r="B1238" t="s">
        <v>2244</v>
      </c>
      <c r="C1238" t="s">
        <v>2456</v>
      </c>
      <c r="D1238" s="2" t="s">
        <v>2457</v>
      </c>
      <c r="E1238" t="s">
        <v>2458</v>
      </c>
      <c r="F1238" t="s">
        <v>377</v>
      </c>
      <c r="G1238" t="s">
        <v>21</v>
      </c>
      <c r="H1238" t="s">
        <v>378</v>
      </c>
      <c r="I1238" t="s">
        <v>23</v>
      </c>
      <c r="J1238" t="s">
        <v>2459</v>
      </c>
      <c r="K1238" s="2" t="s">
        <v>2386</v>
      </c>
      <c r="L1238" t="s">
        <v>26</v>
      </c>
      <c r="M1238">
        <v>340262</v>
      </c>
      <c r="N1238">
        <v>1</v>
      </c>
      <c r="O1238" s="3">
        <v>6950</v>
      </c>
      <c r="P1238" s="3">
        <v>3421</v>
      </c>
      <c r="Q1238" s="5">
        <f t="shared" si="57"/>
        <v>5840.3361344537816</v>
      </c>
      <c r="R1238" s="5">
        <f t="shared" si="58"/>
        <v>3421</v>
      </c>
      <c r="S1238" s="5">
        <f t="shared" si="59"/>
        <v>2419.3361344537816</v>
      </c>
    </row>
    <row r="1239" spans="1:19" hidden="1" x14ac:dyDescent="0.3">
      <c r="A1239">
        <v>130</v>
      </c>
      <c r="B1239" t="s">
        <v>2244</v>
      </c>
      <c r="C1239" t="s">
        <v>2460</v>
      </c>
      <c r="D1239" s="2" t="s">
        <v>2461</v>
      </c>
      <c r="E1239" t="s">
        <v>2462</v>
      </c>
      <c r="F1239" t="s">
        <v>20</v>
      </c>
      <c r="G1239" t="s">
        <v>21</v>
      </c>
      <c r="H1239" t="s">
        <v>65</v>
      </c>
      <c r="I1239" t="s">
        <v>23</v>
      </c>
      <c r="J1239" t="s">
        <v>49</v>
      </c>
      <c r="K1239" s="2" t="s">
        <v>2386</v>
      </c>
      <c r="L1239" t="s">
        <v>26</v>
      </c>
      <c r="M1239">
        <v>340263</v>
      </c>
      <c r="N1239">
        <v>1</v>
      </c>
      <c r="O1239" s="3">
        <v>64950</v>
      </c>
      <c r="P1239" s="3">
        <v>21425</v>
      </c>
      <c r="Q1239" s="5">
        <f t="shared" si="57"/>
        <v>54579.831932773115</v>
      </c>
      <c r="R1239" s="5">
        <f t="shared" si="58"/>
        <v>21425</v>
      </c>
      <c r="S1239" s="5">
        <f t="shared" si="59"/>
        <v>33154.831932773115</v>
      </c>
    </row>
    <row r="1240" spans="1:19" hidden="1" x14ac:dyDescent="0.3">
      <c r="A1240">
        <v>130</v>
      </c>
      <c r="B1240" t="s">
        <v>2244</v>
      </c>
      <c r="C1240" t="s">
        <v>2442</v>
      </c>
      <c r="D1240" s="2" t="s">
        <v>2443</v>
      </c>
      <c r="E1240" t="s">
        <v>1678</v>
      </c>
      <c r="F1240" t="s">
        <v>20</v>
      </c>
      <c r="G1240" t="s">
        <v>21</v>
      </c>
      <c r="H1240" t="s">
        <v>590</v>
      </c>
      <c r="I1240" t="s">
        <v>23</v>
      </c>
      <c r="J1240" t="s">
        <v>40</v>
      </c>
      <c r="K1240" s="2" t="s">
        <v>2386</v>
      </c>
      <c r="L1240" t="s">
        <v>26</v>
      </c>
      <c r="M1240">
        <v>340263</v>
      </c>
      <c r="N1240">
        <v>-1</v>
      </c>
      <c r="O1240" s="3">
        <v>-39990</v>
      </c>
      <c r="P1240" s="3">
        <v>22297</v>
      </c>
      <c r="Q1240" s="5">
        <f t="shared" si="57"/>
        <v>-33605.042016806721</v>
      </c>
      <c r="R1240" s="5">
        <f t="shared" si="58"/>
        <v>-22297</v>
      </c>
      <c r="S1240" s="5">
        <f t="shared" si="59"/>
        <v>-11308.042016806721</v>
      </c>
    </row>
    <row r="1241" spans="1:19" hidden="1" x14ac:dyDescent="0.3">
      <c r="A1241">
        <v>130</v>
      </c>
      <c r="B1241" t="s">
        <v>2244</v>
      </c>
      <c r="C1241" t="s">
        <v>2463</v>
      </c>
      <c r="D1241" s="2" t="s">
        <v>2464</v>
      </c>
      <c r="E1241" t="s">
        <v>2465</v>
      </c>
      <c r="F1241" t="s">
        <v>20</v>
      </c>
      <c r="G1241" t="s">
        <v>21</v>
      </c>
      <c r="H1241" t="s">
        <v>30</v>
      </c>
      <c r="I1241" t="s">
        <v>23</v>
      </c>
      <c r="J1241" t="s">
        <v>35</v>
      </c>
      <c r="K1241" s="2" t="s">
        <v>2386</v>
      </c>
      <c r="L1241" t="s">
        <v>26</v>
      </c>
      <c r="M1241">
        <v>340264</v>
      </c>
      <c r="N1241">
        <v>1</v>
      </c>
      <c r="O1241" s="3">
        <v>79950</v>
      </c>
      <c r="P1241" s="3">
        <v>30749</v>
      </c>
      <c r="Q1241" s="5">
        <f t="shared" si="57"/>
        <v>67184.873949579836</v>
      </c>
      <c r="R1241" s="5">
        <f t="shared" si="58"/>
        <v>30749</v>
      </c>
      <c r="S1241" s="5">
        <f t="shared" si="59"/>
        <v>36435.873949579836</v>
      </c>
    </row>
    <row r="1242" spans="1:19" hidden="1" x14ac:dyDescent="0.3">
      <c r="A1242">
        <v>130</v>
      </c>
      <c r="B1242" t="s">
        <v>2244</v>
      </c>
      <c r="C1242" t="s">
        <v>2434</v>
      </c>
      <c r="D1242" s="2" t="s">
        <v>2435</v>
      </c>
      <c r="E1242" t="s">
        <v>2436</v>
      </c>
      <c r="F1242" t="s">
        <v>20</v>
      </c>
      <c r="G1242" t="s">
        <v>338</v>
      </c>
      <c r="H1242">
        <v>22318</v>
      </c>
      <c r="I1242" t="s">
        <v>23</v>
      </c>
      <c r="J1242" t="s">
        <v>49</v>
      </c>
      <c r="K1242" s="2" t="s">
        <v>2386</v>
      </c>
      <c r="L1242" t="s">
        <v>26</v>
      </c>
      <c r="M1242">
        <v>340265</v>
      </c>
      <c r="N1242">
        <v>1</v>
      </c>
      <c r="O1242" s="3">
        <v>74950</v>
      </c>
      <c r="P1242" s="3">
        <v>23473</v>
      </c>
      <c r="Q1242" s="5">
        <f t="shared" si="57"/>
        <v>62983.193277310929</v>
      </c>
      <c r="R1242" s="5">
        <f t="shared" si="58"/>
        <v>23473</v>
      </c>
      <c r="S1242" s="5">
        <f t="shared" si="59"/>
        <v>39510.193277310929</v>
      </c>
    </row>
    <row r="1243" spans="1:19" hidden="1" x14ac:dyDescent="0.3">
      <c r="A1243">
        <v>130</v>
      </c>
      <c r="B1243" t="s">
        <v>2244</v>
      </c>
      <c r="C1243" t="s">
        <v>2466</v>
      </c>
      <c r="D1243" s="2" t="s">
        <v>2467</v>
      </c>
      <c r="E1243" t="s">
        <v>2468</v>
      </c>
      <c r="F1243" t="s">
        <v>20</v>
      </c>
      <c r="G1243" t="s">
        <v>21</v>
      </c>
      <c r="H1243" t="s">
        <v>2469</v>
      </c>
      <c r="I1243" t="s">
        <v>23</v>
      </c>
      <c r="J1243" t="s">
        <v>49</v>
      </c>
      <c r="K1243" s="2" t="s">
        <v>2470</v>
      </c>
      <c r="L1243" t="s">
        <v>26</v>
      </c>
      <c r="M1243">
        <v>340266</v>
      </c>
      <c r="N1243">
        <v>1</v>
      </c>
      <c r="O1243" s="3">
        <v>64950</v>
      </c>
      <c r="P1243" s="3">
        <v>19034</v>
      </c>
      <c r="Q1243" s="5">
        <f t="shared" si="57"/>
        <v>54579.831932773115</v>
      </c>
      <c r="R1243" s="5">
        <f t="shared" si="58"/>
        <v>19034</v>
      </c>
      <c r="S1243" s="5">
        <f t="shared" si="59"/>
        <v>35545.831932773115</v>
      </c>
    </row>
    <row r="1244" spans="1:19" hidden="1" x14ac:dyDescent="0.3">
      <c r="A1244">
        <v>130</v>
      </c>
      <c r="B1244" t="s">
        <v>2244</v>
      </c>
      <c r="C1244" t="s">
        <v>423</v>
      </c>
      <c r="D1244" s="2" t="s">
        <v>424</v>
      </c>
      <c r="E1244" t="s">
        <v>425</v>
      </c>
      <c r="F1244" t="s">
        <v>20</v>
      </c>
      <c r="G1244" t="s">
        <v>21</v>
      </c>
      <c r="H1244" t="s">
        <v>22</v>
      </c>
      <c r="I1244" t="s">
        <v>23</v>
      </c>
      <c r="J1244" t="s">
        <v>24</v>
      </c>
      <c r="K1244" s="2" t="s">
        <v>2470</v>
      </c>
      <c r="L1244" t="s">
        <v>26</v>
      </c>
      <c r="M1244">
        <v>340267</v>
      </c>
      <c r="N1244">
        <v>1</v>
      </c>
      <c r="O1244" s="3">
        <v>79950</v>
      </c>
      <c r="P1244" s="3">
        <v>27848</v>
      </c>
      <c r="Q1244" s="5">
        <f t="shared" si="57"/>
        <v>67184.873949579836</v>
      </c>
      <c r="R1244" s="5">
        <f t="shared" si="58"/>
        <v>27848</v>
      </c>
      <c r="S1244" s="5">
        <f t="shared" si="59"/>
        <v>39336.873949579836</v>
      </c>
    </row>
    <row r="1245" spans="1:19" hidden="1" x14ac:dyDescent="0.3">
      <c r="A1245">
        <v>130</v>
      </c>
      <c r="B1245" t="s">
        <v>2244</v>
      </c>
      <c r="C1245" t="s">
        <v>2471</v>
      </c>
      <c r="D1245" s="2" t="s">
        <v>2472</v>
      </c>
      <c r="E1245" t="s">
        <v>2473</v>
      </c>
      <c r="F1245" t="s">
        <v>20</v>
      </c>
      <c r="G1245" t="s">
        <v>21</v>
      </c>
      <c r="H1245" t="s">
        <v>114</v>
      </c>
      <c r="I1245" t="s">
        <v>23</v>
      </c>
      <c r="J1245" t="s">
        <v>49</v>
      </c>
      <c r="K1245" s="2" t="s">
        <v>2470</v>
      </c>
      <c r="L1245" t="s">
        <v>26</v>
      </c>
      <c r="M1245">
        <v>340268</v>
      </c>
      <c r="N1245">
        <v>-1</v>
      </c>
      <c r="O1245" s="3">
        <v>-49990</v>
      </c>
      <c r="P1245" s="3">
        <v>23514</v>
      </c>
      <c r="Q1245" s="5">
        <f t="shared" si="57"/>
        <v>-42008.403361344543</v>
      </c>
      <c r="R1245" s="5">
        <f t="shared" si="58"/>
        <v>-23514</v>
      </c>
      <c r="S1245" s="5">
        <f t="shared" si="59"/>
        <v>-18494.403361344543</v>
      </c>
    </row>
    <row r="1246" spans="1:19" hidden="1" x14ac:dyDescent="0.3">
      <c r="A1246">
        <v>130</v>
      </c>
      <c r="B1246" t="s">
        <v>2244</v>
      </c>
      <c r="C1246" t="s">
        <v>2474</v>
      </c>
      <c r="D1246" s="2" t="s">
        <v>2475</v>
      </c>
      <c r="E1246" t="s">
        <v>2476</v>
      </c>
      <c r="F1246" t="s">
        <v>20</v>
      </c>
      <c r="G1246" t="s">
        <v>21</v>
      </c>
      <c r="H1246" t="s">
        <v>114</v>
      </c>
      <c r="I1246" t="s">
        <v>23</v>
      </c>
      <c r="J1246" t="s">
        <v>49</v>
      </c>
      <c r="K1246" s="2" t="s">
        <v>2470</v>
      </c>
      <c r="L1246" t="s">
        <v>26</v>
      </c>
      <c r="M1246">
        <v>340268</v>
      </c>
      <c r="N1246">
        <v>1</v>
      </c>
      <c r="O1246" s="3">
        <v>49991</v>
      </c>
      <c r="P1246" s="3">
        <v>22176</v>
      </c>
      <c r="Q1246" s="5">
        <f t="shared" si="57"/>
        <v>42009.243697478996</v>
      </c>
      <c r="R1246" s="5">
        <f t="shared" si="58"/>
        <v>22176</v>
      </c>
      <c r="S1246" s="5">
        <f t="shared" si="59"/>
        <v>19833.243697478996</v>
      </c>
    </row>
    <row r="1247" spans="1:19" hidden="1" x14ac:dyDescent="0.3">
      <c r="A1247">
        <v>130</v>
      </c>
      <c r="B1247" t="s">
        <v>2244</v>
      </c>
      <c r="C1247" t="s">
        <v>2477</v>
      </c>
      <c r="D1247" s="2" t="s">
        <v>2478</v>
      </c>
      <c r="E1247" t="s">
        <v>2148</v>
      </c>
      <c r="F1247" t="s">
        <v>20</v>
      </c>
      <c r="G1247" t="s">
        <v>21</v>
      </c>
      <c r="H1247" t="s">
        <v>614</v>
      </c>
      <c r="I1247" t="s">
        <v>23</v>
      </c>
      <c r="J1247" t="s">
        <v>35</v>
      </c>
      <c r="K1247" s="2" t="s">
        <v>2470</v>
      </c>
      <c r="L1247" t="s">
        <v>26</v>
      </c>
      <c r="M1247">
        <v>340269</v>
      </c>
      <c r="N1247">
        <v>1</v>
      </c>
      <c r="O1247" s="3">
        <v>64950</v>
      </c>
      <c r="P1247" s="3">
        <v>18266</v>
      </c>
      <c r="Q1247" s="5">
        <f t="shared" si="57"/>
        <v>54579.831932773115</v>
      </c>
      <c r="R1247" s="5">
        <f t="shared" si="58"/>
        <v>18266</v>
      </c>
      <c r="S1247" s="5">
        <f t="shared" si="59"/>
        <v>36313.831932773115</v>
      </c>
    </row>
    <row r="1248" spans="1:19" hidden="1" x14ac:dyDescent="0.3">
      <c r="A1248">
        <v>130</v>
      </c>
      <c r="B1248" t="s">
        <v>2244</v>
      </c>
      <c r="C1248" t="s">
        <v>2479</v>
      </c>
      <c r="D1248" s="2" t="s">
        <v>2480</v>
      </c>
      <c r="E1248" t="s">
        <v>1244</v>
      </c>
      <c r="F1248" t="s">
        <v>20</v>
      </c>
      <c r="G1248" t="s">
        <v>338</v>
      </c>
      <c r="H1248">
        <v>83707</v>
      </c>
      <c r="I1248" t="s">
        <v>23</v>
      </c>
      <c r="J1248" t="s">
        <v>40</v>
      </c>
      <c r="K1248" s="2" t="s">
        <v>2470</v>
      </c>
      <c r="L1248" t="s">
        <v>26</v>
      </c>
      <c r="M1248">
        <v>340269</v>
      </c>
      <c r="N1248">
        <v>1</v>
      </c>
      <c r="O1248" s="3">
        <v>69990</v>
      </c>
      <c r="P1248" s="3">
        <v>30263</v>
      </c>
      <c r="Q1248" s="5">
        <f t="shared" si="57"/>
        <v>58815.126050420171</v>
      </c>
      <c r="R1248" s="5">
        <f t="shared" si="58"/>
        <v>30263</v>
      </c>
      <c r="S1248" s="5">
        <f t="shared" si="59"/>
        <v>28552.126050420171</v>
      </c>
    </row>
    <row r="1249" spans="1:19" hidden="1" x14ac:dyDescent="0.3">
      <c r="A1249">
        <v>130</v>
      </c>
      <c r="B1249" t="s">
        <v>2244</v>
      </c>
      <c r="C1249" t="s">
        <v>2481</v>
      </c>
      <c r="D1249" s="2" t="s">
        <v>2482</v>
      </c>
      <c r="E1249" t="s">
        <v>2483</v>
      </c>
      <c r="F1249" t="s">
        <v>20</v>
      </c>
      <c r="G1249" t="s">
        <v>21</v>
      </c>
      <c r="H1249" t="s">
        <v>2484</v>
      </c>
      <c r="I1249" t="s">
        <v>23</v>
      </c>
      <c r="J1249" t="s">
        <v>40</v>
      </c>
      <c r="K1249" s="2" t="s">
        <v>2470</v>
      </c>
      <c r="L1249" t="s">
        <v>26</v>
      </c>
      <c r="M1249">
        <v>340270</v>
      </c>
      <c r="N1249">
        <v>1</v>
      </c>
      <c r="O1249" s="3">
        <v>59950</v>
      </c>
      <c r="P1249" s="3">
        <v>17503</v>
      </c>
      <c r="Q1249" s="5">
        <f t="shared" si="57"/>
        <v>50378.151260504201</v>
      </c>
      <c r="R1249" s="5">
        <f t="shared" si="58"/>
        <v>17503</v>
      </c>
      <c r="S1249" s="5">
        <f t="shared" si="59"/>
        <v>32875.151260504201</v>
      </c>
    </row>
    <row r="1250" spans="1:19" hidden="1" x14ac:dyDescent="0.3">
      <c r="A1250">
        <v>130</v>
      </c>
      <c r="B1250" t="s">
        <v>2244</v>
      </c>
      <c r="C1250" t="s">
        <v>1798</v>
      </c>
      <c r="D1250" s="2" t="s">
        <v>1799</v>
      </c>
      <c r="E1250" t="s">
        <v>1318</v>
      </c>
      <c r="F1250" t="s">
        <v>20</v>
      </c>
      <c r="G1250" t="s">
        <v>21</v>
      </c>
      <c r="H1250" t="s">
        <v>272</v>
      </c>
      <c r="I1250" t="s">
        <v>23</v>
      </c>
      <c r="J1250" t="s">
        <v>40</v>
      </c>
      <c r="K1250" s="2" t="s">
        <v>2470</v>
      </c>
      <c r="L1250" t="s">
        <v>26</v>
      </c>
      <c r="M1250">
        <v>340271</v>
      </c>
      <c r="N1250">
        <v>1</v>
      </c>
      <c r="O1250" s="3">
        <v>74950</v>
      </c>
      <c r="P1250" s="3">
        <v>25441</v>
      </c>
      <c r="Q1250" s="5">
        <f t="shared" si="57"/>
        <v>62983.193277310929</v>
      </c>
      <c r="R1250" s="5">
        <f t="shared" si="58"/>
        <v>25441</v>
      </c>
      <c r="S1250" s="5">
        <f t="shared" si="59"/>
        <v>37542.193277310929</v>
      </c>
    </row>
    <row r="1251" spans="1:19" hidden="1" x14ac:dyDescent="0.3">
      <c r="A1251">
        <v>130</v>
      </c>
      <c r="B1251" t="s">
        <v>2244</v>
      </c>
      <c r="C1251" t="s">
        <v>2485</v>
      </c>
      <c r="D1251" s="2" t="s">
        <v>2486</v>
      </c>
      <c r="E1251" t="s">
        <v>2487</v>
      </c>
      <c r="F1251" t="s">
        <v>377</v>
      </c>
      <c r="G1251" t="s">
        <v>21</v>
      </c>
      <c r="H1251" t="s">
        <v>378</v>
      </c>
      <c r="I1251" t="s">
        <v>23</v>
      </c>
      <c r="J1251" t="s">
        <v>379</v>
      </c>
      <c r="K1251" s="2" t="s">
        <v>2470</v>
      </c>
      <c r="L1251" t="s">
        <v>26</v>
      </c>
      <c r="M1251">
        <v>340272</v>
      </c>
      <c r="N1251">
        <v>1</v>
      </c>
      <c r="O1251" s="3">
        <v>5950</v>
      </c>
      <c r="P1251" s="3">
        <v>2243</v>
      </c>
      <c r="Q1251" s="5">
        <f t="shared" si="57"/>
        <v>5000</v>
      </c>
      <c r="R1251" s="5">
        <f t="shared" si="58"/>
        <v>2243</v>
      </c>
      <c r="S1251" s="5">
        <f t="shared" si="59"/>
        <v>2757</v>
      </c>
    </row>
    <row r="1252" spans="1:19" hidden="1" x14ac:dyDescent="0.3">
      <c r="A1252">
        <v>130</v>
      </c>
      <c r="B1252" t="s">
        <v>2244</v>
      </c>
      <c r="C1252" t="s">
        <v>2488</v>
      </c>
      <c r="D1252" s="2" t="s">
        <v>2489</v>
      </c>
      <c r="E1252" t="s">
        <v>2490</v>
      </c>
      <c r="F1252" t="s">
        <v>20</v>
      </c>
      <c r="G1252" t="s">
        <v>21</v>
      </c>
      <c r="H1252" t="s">
        <v>44</v>
      </c>
      <c r="I1252" t="s">
        <v>23</v>
      </c>
      <c r="J1252" t="s">
        <v>40</v>
      </c>
      <c r="K1252" s="2" t="s">
        <v>2470</v>
      </c>
      <c r="L1252" t="s">
        <v>26</v>
      </c>
      <c r="M1252">
        <v>340273</v>
      </c>
      <c r="N1252">
        <v>1</v>
      </c>
      <c r="O1252" s="3">
        <v>39990</v>
      </c>
      <c r="P1252" s="3">
        <v>15254</v>
      </c>
      <c r="Q1252" s="5">
        <f t="shared" si="57"/>
        <v>33605.042016806721</v>
      </c>
      <c r="R1252" s="5">
        <f t="shared" si="58"/>
        <v>15254</v>
      </c>
      <c r="S1252" s="5">
        <f t="shared" si="59"/>
        <v>18351.042016806721</v>
      </c>
    </row>
    <row r="1253" spans="1:19" hidden="1" x14ac:dyDescent="0.3">
      <c r="A1253">
        <v>130</v>
      </c>
      <c r="B1253" t="s">
        <v>2244</v>
      </c>
      <c r="C1253" t="s">
        <v>2485</v>
      </c>
      <c r="D1253" s="2" t="s">
        <v>2486</v>
      </c>
      <c r="E1253" t="s">
        <v>2487</v>
      </c>
      <c r="F1253" t="s">
        <v>377</v>
      </c>
      <c r="G1253" t="s">
        <v>21</v>
      </c>
      <c r="H1253" t="s">
        <v>378</v>
      </c>
      <c r="I1253" t="s">
        <v>23</v>
      </c>
      <c r="J1253" t="s">
        <v>379</v>
      </c>
      <c r="K1253" s="2" t="s">
        <v>2470</v>
      </c>
      <c r="L1253" t="s">
        <v>26</v>
      </c>
      <c r="M1253">
        <v>340273</v>
      </c>
      <c r="N1253">
        <v>1</v>
      </c>
      <c r="O1253" s="3">
        <v>5950</v>
      </c>
      <c r="P1253" s="3">
        <v>2243</v>
      </c>
      <c r="Q1253" s="5">
        <f t="shared" si="57"/>
        <v>5000</v>
      </c>
      <c r="R1253" s="5">
        <f t="shared" si="58"/>
        <v>2243</v>
      </c>
      <c r="S1253" s="5">
        <f t="shared" si="59"/>
        <v>2757</v>
      </c>
    </row>
    <row r="1254" spans="1:19" hidden="1" x14ac:dyDescent="0.3">
      <c r="A1254">
        <v>130</v>
      </c>
      <c r="B1254" t="s">
        <v>2244</v>
      </c>
      <c r="C1254" t="s">
        <v>2491</v>
      </c>
      <c r="D1254" s="2" t="s">
        <v>2492</v>
      </c>
      <c r="E1254" t="s">
        <v>2493</v>
      </c>
      <c r="F1254" t="s">
        <v>20</v>
      </c>
      <c r="G1254" t="s">
        <v>21</v>
      </c>
      <c r="H1254" t="s">
        <v>2494</v>
      </c>
      <c r="I1254" t="s">
        <v>23</v>
      </c>
      <c r="J1254" t="s">
        <v>40</v>
      </c>
      <c r="K1254" s="2" t="s">
        <v>2470</v>
      </c>
      <c r="L1254" t="s">
        <v>26</v>
      </c>
      <c r="M1254">
        <v>340274</v>
      </c>
      <c r="N1254">
        <v>1</v>
      </c>
      <c r="O1254" s="3">
        <v>69950</v>
      </c>
      <c r="P1254" s="3">
        <v>22206</v>
      </c>
      <c r="Q1254" s="5">
        <f t="shared" si="57"/>
        <v>58781.512605042022</v>
      </c>
      <c r="R1254" s="5">
        <f t="shared" si="58"/>
        <v>22206</v>
      </c>
      <c r="S1254" s="5">
        <f t="shared" si="59"/>
        <v>36575.512605042022</v>
      </c>
    </row>
    <row r="1255" spans="1:19" hidden="1" x14ac:dyDescent="0.3">
      <c r="A1255">
        <v>130</v>
      </c>
      <c r="B1255" t="s">
        <v>2244</v>
      </c>
      <c r="C1255" t="s">
        <v>2495</v>
      </c>
      <c r="D1255" s="2" t="s">
        <v>2496</v>
      </c>
      <c r="E1255" t="s">
        <v>2497</v>
      </c>
      <c r="F1255" t="s">
        <v>20</v>
      </c>
      <c r="G1255" t="s">
        <v>21</v>
      </c>
      <c r="H1255" t="s">
        <v>114</v>
      </c>
      <c r="I1255" t="s">
        <v>23</v>
      </c>
      <c r="J1255" t="s">
        <v>49</v>
      </c>
      <c r="K1255" s="2" t="s">
        <v>2470</v>
      </c>
      <c r="L1255" t="s">
        <v>26</v>
      </c>
      <c r="M1255">
        <v>340275</v>
      </c>
      <c r="N1255">
        <v>1</v>
      </c>
      <c r="O1255" s="3">
        <v>34990</v>
      </c>
      <c r="P1255" s="3">
        <v>26663</v>
      </c>
      <c r="Q1255" s="5">
        <f t="shared" si="57"/>
        <v>29403.361344537818</v>
      </c>
      <c r="R1255" s="5">
        <f t="shared" si="58"/>
        <v>26663</v>
      </c>
      <c r="S1255" s="5">
        <f t="shared" si="59"/>
        <v>2740.3613445378178</v>
      </c>
    </row>
    <row r="1256" spans="1:19" hidden="1" x14ac:dyDescent="0.3">
      <c r="A1256">
        <v>130</v>
      </c>
      <c r="B1256" t="s">
        <v>2244</v>
      </c>
      <c r="C1256" t="s">
        <v>2498</v>
      </c>
      <c r="D1256" s="2" t="s">
        <v>2499</v>
      </c>
      <c r="E1256" t="s">
        <v>2500</v>
      </c>
      <c r="F1256" t="s">
        <v>20</v>
      </c>
      <c r="G1256" t="s">
        <v>21</v>
      </c>
      <c r="H1256" t="s">
        <v>2501</v>
      </c>
      <c r="I1256" t="s">
        <v>23</v>
      </c>
      <c r="J1256" t="s">
        <v>40</v>
      </c>
      <c r="K1256" s="2" t="s">
        <v>2470</v>
      </c>
      <c r="L1256" t="s">
        <v>26</v>
      </c>
      <c r="M1256">
        <v>340276</v>
      </c>
      <c r="N1256">
        <v>1</v>
      </c>
      <c r="O1256" s="3">
        <v>84950</v>
      </c>
      <c r="P1256" s="3">
        <v>31649</v>
      </c>
      <c r="Q1256" s="5">
        <f t="shared" si="57"/>
        <v>71386.554621848743</v>
      </c>
      <c r="R1256" s="5">
        <f t="shared" si="58"/>
        <v>31649</v>
      </c>
      <c r="S1256" s="5">
        <f t="shared" si="59"/>
        <v>39737.554621848743</v>
      </c>
    </row>
    <row r="1257" spans="1:19" hidden="1" x14ac:dyDescent="0.3">
      <c r="A1257">
        <v>130</v>
      </c>
      <c r="B1257" t="s">
        <v>2244</v>
      </c>
      <c r="C1257" t="s">
        <v>2502</v>
      </c>
      <c r="D1257" s="2" t="s">
        <v>2503</v>
      </c>
      <c r="E1257" t="s">
        <v>2504</v>
      </c>
      <c r="F1257" t="s">
        <v>20</v>
      </c>
      <c r="G1257" t="s">
        <v>21</v>
      </c>
      <c r="H1257" t="s">
        <v>2501</v>
      </c>
      <c r="I1257" t="s">
        <v>23</v>
      </c>
      <c r="J1257" t="s">
        <v>40</v>
      </c>
      <c r="K1257" s="2" t="s">
        <v>2470</v>
      </c>
      <c r="L1257" t="s">
        <v>26</v>
      </c>
      <c r="M1257">
        <v>340276</v>
      </c>
      <c r="N1257">
        <v>1</v>
      </c>
      <c r="O1257" s="3">
        <v>84950</v>
      </c>
      <c r="P1257" s="3">
        <v>31649</v>
      </c>
      <c r="Q1257" s="5">
        <f t="shared" si="57"/>
        <v>71386.554621848743</v>
      </c>
      <c r="R1257" s="5">
        <f t="shared" si="58"/>
        <v>31649</v>
      </c>
      <c r="S1257" s="5">
        <f t="shared" si="59"/>
        <v>39737.554621848743</v>
      </c>
    </row>
    <row r="1258" spans="1:19" hidden="1" x14ac:dyDescent="0.3">
      <c r="A1258">
        <v>130</v>
      </c>
      <c r="B1258" t="s">
        <v>2244</v>
      </c>
      <c r="C1258" t="s">
        <v>2505</v>
      </c>
      <c r="D1258" s="2" t="s">
        <v>2506</v>
      </c>
      <c r="E1258" t="s">
        <v>1177</v>
      </c>
      <c r="F1258" t="s">
        <v>20</v>
      </c>
      <c r="G1258" t="s">
        <v>338</v>
      </c>
      <c r="H1258">
        <v>23724</v>
      </c>
      <c r="I1258" t="s">
        <v>23</v>
      </c>
      <c r="J1258" t="s">
        <v>40</v>
      </c>
      <c r="K1258" s="2" t="s">
        <v>2470</v>
      </c>
      <c r="L1258" t="s">
        <v>26</v>
      </c>
      <c r="M1258">
        <v>340277</v>
      </c>
      <c r="N1258">
        <v>1</v>
      </c>
      <c r="O1258" s="3">
        <v>79950</v>
      </c>
      <c r="P1258" s="3">
        <v>26098</v>
      </c>
      <c r="Q1258" s="5">
        <f t="shared" si="57"/>
        <v>67184.873949579836</v>
      </c>
      <c r="R1258" s="5">
        <f t="shared" si="58"/>
        <v>26098</v>
      </c>
      <c r="S1258" s="5">
        <f t="shared" si="59"/>
        <v>41086.873949579836</v>
      </c>
    </row>
    <row r="1259" spans="1:19" hidden="1" x14ac:dyDescent="0.3">
      <c r="A1259">
        <v>130</v>
      </c>
      <c r="B1259" t="s">
        <v>2244</v>
      </c>
      <c r="C1259" t="s">
        <v>2507</v>
      </c>
      <c r="D1259" s="2" t="s">
        <v>2508</v>
      </c>
      <c r="E1259" t="s">
        <v>2352</v>
      </c>
      <c r="F1259" t="s">
        <v>20</v>
      </c>
      <c r="G1259" t="s">
        <v>21</v>
      </c>
      <c r="H1259" t="s">
        <v>2353</v>
      </c>
      <c r="I1259" t="s">
        <v>23</v>
      </c>
      <c r="J1259" t="s">
        <v>40</v>
      </c>
      <c r="K1259" s="2" t="s">
        <v>2470</v>
      </c>
      <c r="L1259" t="s">
        <v>26</v>
      </c>
      <c r="M1259">
        <v>340278</v>
      </c>
      <c r="N1259">
        <v>1</v>
      </c>
      <c r="O1259" s="3">
        <v>69990</v>
      </c>
      <c r="P1259" s="3">
        <v>31405</v>
      </c>
      <c r="Q1259" s="5">
        <f t="shared" si="57"/>
        <v>58815.126050420171</v>
      </c>
      <c r="R1259" s="5">
        <f t="shared" si="58"/>
        <v>31405</v>
      </c>
      <c r="S1259" s="5">
        <f t="shared" si="59"/>
        <v>27410.126050420171</v>
      </c>
    </row>
    <row r="1260" spans="1:19" hidden="1" x14ac:dyDescent="0.3">
      <c r="A1260">
        <v>130</v>
      </c>
      <c r="B1260" t="s">
        <v>2244</v>
      </c>
      <c r="C1260" t="s">
        <v>551</v>
      </c>
      <c r="D1260" s="2" t="s">
        <v>552</v>
      </c>
      <c r="E1260" t="s">
        <v>553</v>
      </c>
      <c r="F1260" t="s">
        <v>20</v>
      </c>
      <c r="G1260" t="s">
        <v>21</v>
      </c>
      <c r="H1260" t="s">
        <v>353</v>
      </c>
      <c r="I1260" t="s">
        <v>23</v>
      </c>
      <c r="J1260" t="s">
        <v>95</v>
      </c>
      <c r="K1260" s="2" t="s">
        <v>2470</v>
      </c>
      <c r="L1260" t="s">
        <v>26</v>
      </c>
      <c r="M1260">
        <v>340279</v>
      </c>
      <c r="N1260">
        <v>1</v>
      </c>
      <c r="O1260" s="3">
        <v>44990</v>
      </c>
      <c r="P1260" s="3">
        <v>31000</v>
      </c>
      <c r="Q1260" s="5">
        <f t="shared" si="57"/>
        <v>37806.722689075636</v>
      </c>
      <c r="R1260" s="5">
        <f t="shared" si="58"/>
        <v>31000</v>
      </c>
      <c r="S1260" s="5">
        <f t="shared" si="59"/>
        <v>6806.7226890756356</v>
      </c>
    </row>
    <row r="1261" spans="1:19" hidden="1" x14ac:dyDescent="0.3">
      <c r="A1261">
        <v>130</v>
      </c>
      <c r="B1261" t="s">
        <v>2244</v>
      </c>
      <c r="C1261" t="s">
        <v>2509</v>
      </c>
      <c r="D1261" s="2" t="s">
        <v>2510</v>
      </c>
      <c r="E1261" t="s">
        <v>2422</v>
      </c>
      <c r="F1261" t="s">
        <v>20</v>
      </c>
      <c r="G1261" t="s">
        <v>21</v>
      </c>
      <c r="H1261" t="s">
        <v>152</v>
      </c>
      <c r="I1261" t="s">
        <v>23</v>
      </c>
      <c r="J1261" t="s">
        <v>40</v>
      </c>
      <c r="K1261" s="2" t="s">
        <v>2470</v>
      </c>
      <c r="L1261" t="s">
        <v>26</v>
      </c>
      <c r="M1261">
        <v>340279</v>
      </c>
      <c r="N1261">
        <v>1</v>
      </c>
      <c r="O1261" s="3">
        <v>34990</v>
      </c>
      <c r="P1261" s="3">
        <v>18485</v>
      </c>
      <c r="Q1261" s="5">
        <f t="shared" si="57"/>
        <v>29403.361344537818</v>
      </c>
      <c r="R1261" s="5">
        <f t="shared" si="58"/>
        <v>18485</v>
      </c>
      <c r="S1261" s="5">
        <f t="shared" si="59"/>
        <v>10918.361344537818</v>
      </c>
    </row>
    <row r="1262" spans="1:19" hidden="1" x14ac:dyDescent="0.3">
      <c r="A1262">
        <v>130</v>
      </c>
      <c r="B1262" t="s">
        <v>2244</v>
      </c>
      <c r="C1262" t="s">
        <v>2511</v>
      </c>
      <c r="D1262" s="2" t="s">
        <v>2512</v>
      </c>
      <c r="E1262" t="s">
        <v>2389</v>
      </c>
      <c r="F1262" t="s">
        <v>20</v>
      </c>
      <c r="G1262" t="s">
        <v>21</v>
      </c>
      <c r="H1262" t="s">
        <v>65</v>
      </c>
      <c r="I1262" t="s">
        <v>23</v>
      </c>
      <c r="J1262" t="s">
        <v>49</v>
      </c>
      <c r="K1262" s="2" t="s">
        <v>2470</v>
      </c>
      <c r="L1262" t="s">
        <v>26</v>
      </c>
      <c r="M1262">
        <v>340280</v>
      </c>
      <c r="N1262">
        <v>1</v>
      </c>
      <c r="O1262" s="3">
        <v>49990</v>
      </c>
      <c r="P1262" s="3">
        <v>23718</v>
      </c>
      <c r="Q1262" s="5">
        <f t="shared" si="57"/>
        <v>42008.403361344543</v>
      </c>
      <c r="R1262" s="5">
        <f t="shared" si="58"/>
        <v>23718</v>
      </c>
      <c r="S1262" s="5">
        <f t="shared" si="59"/>
        <v>18290.403361344543</v>
      </c>
    </row>
    <row r="1263" spans="1:19" hidden="1" x14ac:dyDescent="0.3">
      <c r="A1263">
        <v>130</v>
      </c>
      <c r="B1263" t="s">
        <v>2244</v>
      </c>
      <c r="C1263" t="s">
        <v>2513</v>
      </c>
      <c r="D1263" s="2" t="s">
        <v>2514</v>
      </c>
      <c r="E1263" t="s">
        <v>2515</v>
      </c>
      <c r="F1263" t="s">
        <v>20</v>
      </c>
      <c r="G1263" t="s">
        <v>338</v>
      </c>
      <c r="H1263">
        <v>23603</v>
      </c>
      <c r="I1263" t="s">
        <v>23</v>
      </c>
      <c r="J1263" t="s">
        <v>40</v>
      </c>
      <c r="K1263" s="2" t="s">
        <v>2470</v>
      </c>
      <c r="L1263" t="s">
        <v>26</v>
      </c>
      <c r="M1263">
        <v>340281</v>
      </c>
      <c r="N1263">
        <v>-1</v>
      </c>
      <c r="O1263" s="3">
        <v>-54990</v>
      </c>
      <c r="P1263" s="3">
        <v>22607</v>
      </c>
      <c r="Q1263" s="5">
        <f t="shared" si="57"/>
        <v>-46210.08403361345</v>
      </c>
      <c r="R1263" s="5">
        <f t="shared" si="58"/>
        <v>-22607</v>
      </c>
      <c r="S1263" s="5">
        <f t="shared" si="59"/>
        <v>-23603.08403361345</v>
      </c>
    </row>
    <row r="1264" spans="1:19" hidden="1" x14ac:dyDescent="0.3">
      <c r="A1264">
        <v>130</v>
      </c>
      <c r="B1264" t="s">
        <v>2244</v>
      </c>
      <c r="C1264" t="s">
        <v>2516</v>
      </c>
      <c r="D1264" s="2" t="s">
        <v>2517</v>
      </c>
      <c r="E1264" t="s">
        <v>2518</v>
      </c>
      <c r="F1264" t="s">
        <v>20</v>
      </c>
      <c r="G1264" t="s">
        <v>338</v>
      </c>
      <c r="H1264">
        <v>23724</v>
      </c>
      <c r="I1264" t="s">
        <v>23</v>
      </c>
      <c r="J1264" t="s">
        <v>40</v>
      </c>
      <c r="K1264" s="2" t="s">
        <v>2470</v>
      </c>
      <c r="L1264" t="s">
        <v>26</v>
      </c>
      <c r="M1264">
        <v>340281</v>
      </c>
      <c r="N1264">
        <v>1</v>
      </c>
      <c r="O1264" s="3">
        <v>79950</v>
      </c>
      <c r="P1264" s="3">
        <v>26332</v>
      </c>
      <c r="Q1264" s="5">
        <f t="shared" si="57"/>
        <v>67184.873949579836</v>
      </c>
      <c r="R1264" s="5">
        <f t="shared" si="58"/>
        <v>26332</v>
      </c>
      <c r="S1264" s="5">
        <f t="shared" si="59"/>
        <v>40852.873949579836</v>
      </c>
    </row>
    <row r="1265" spans="1:19" hidden="1" x14ac:dyDescent="0.3">
      <c r="A1265">
        <v>130</v>
      </c>
      <c r="B1265" t="s">
        <v>2244</v>
      </c>
      <c r="C1265" t="s">
        <v>2401</v>
      </c>
      <c r="D1265" s="2" t="s">
        <v>2402</v>
      </c>
      <c r="E1265" t="s">
        <v>2287</v>
      </c>
      <c r="F1265" t="s">
        <v>20</v>
      </c>
      <c r="G1265" t="s">
        <v>21</v>
      </c>
      <c r="H1265" t="s">
        <v>429</v>
      </c>
      <c r="I1265" t="s">
        <v>23</v>
      </c>
      <c r="J1265" t="s">
        <v>49</v>
      </c>
      <c r="K1265" s="2" t="s">
        <v>2470</v>
      </c>
      <c r="L1265" t="s">
        <v>26</v>
      </c>
      <c r="M1265">
        <v>340282</v>
      </c>
      <c r="N1265">
        <v>1</v>
      </c>
      <c r="O1265" s="3">
        <v>49990</v>
      </c>
      <c r="P1265" s="3">
        <v>31025</v>
      </c>
      <c r="Q1265" s="5">
        <f t="shared" si="57"/>
        <v>42008.403361344543</v>
      </c>
      <c r="R1265" s="5">
        <f t="shared" si="58"/>
        <v>31025</v>
      </c>
      <c r="S1265" s="5">
        <f t="shared" si="59"/>
        <v>10983.403361344543</v>
      </c>
    </row>
    <row r="1266" spans="1:19" hidden="1" x14ac:dyDescent="0.3">
      <c r="A1266">
        <v>130</v>
      </c>
      <c r="B1266" t="s">
        <v>2244</v>
      </c>
      <c r="C1266" t="s">
        <v>2519</v>
      </c>
      <c r="D1266" s="2" t="s">
        <v>2520</v>
      </c>
      <c r="E1266" t="s">
        <v>2255</v>
      </c>
      <c r="F1266" t="s">
        <v>20</v>
      </c>
      <c r="G1266" t="s">
        <v>338</v>
      </c>
      <c r="H1266">
        <v>22318</v>
      </c>
      <c r="I1266" t="s">
        <v>23</v>
      </c>
      <c r="J1266" t="s">
        <v>49</v>
      </c>
      <c r="K1266" s="2" t="s">
        <v>2470</v>
      </c>
      <c r="L1266" t="s">
        <v>26</v>
      </c>
      <c r="M1266">
        <v>340283</v>
      </c>
      <c r="N1266">
        <v>1</v>
      </c>
      <c r="O1266" s="3">
        <v>74950</v>
      </c>
      <c r="P1266" s="3">
        <v>23473</v>
      </c>
      <c r="Q1266" s="5">
        <f t="shared" si="57"/>
        <v>62983.193277310929</v>
      </c>
      <c r="R1266" s="5">
        <f t="shared" si="58"/>
        <v>23473</v>
      </c>
      <c r="S1266" s="5">
        <f t="shared" si="59"/>
        <v>39510.193277310929</v>
      </c>
    </row>
    <row r="1267" spans="1:19" hidden="1" x14ac:dyDescent="0.3">
      <c r="A1267">
        <v>130</v>
      </c>
      <c r="B1267" t="s">
        <v>2244</v>
      </c>
      <c r="C1267" t="s">
        <v>2521</v>
      </c>
      <c r="D1267" s="2" t="s">
        <v>2522</v>
      </c>
      <c r="E1267" t="s">
        <v>1466</v>
      </c>
      <c r="F1267" t="s">
        <v>20</v>
      </c>
      <c r="G1267" t="s">
        <v>21</v>
      </c>
      <c r="H1267" t="s">
        <v>65</v>
      </c>
      <c r="I1267" t="s">
        <v>23</v>
      </c>
      <c r="J1267" t="s">
        <v>49</v>
      </c>
      <c r="K1267" s="2" t="s">
        <v>2470</v>
      </c>
      <c r="L1267" t="s">
        <v>26</v>
      </c>
      <c r="M1267">
        <v>340284</v>
      </c>
      <c r="N1267">
        <v>1</v>
      </c>
      <c r="O1267" s="3">
        <v>64950</v>
      </c>
      <c r="P1267" s="3">
        <v>18780</v>
      </c>
      <c r="Q1267" s="5">
        <f t="shared" si="57"/>
        <v>54579.831932773115</v>
      </c>
      <c r="R1267" s="5">
        <f t="shared" si="58"/>
        <v>18780</v>
      </c>
      <c r="S1267" s="5">
        <f t="shared" si="59"/>
        <v>35799.831932773115</v>
      </c>
    </row>
    <row r="1268" spans="1:19" hidden="1" x14ac:dyDescent="0.3">
      <c r="A1268">
        <v>130</v>
      </c>
      <c r="B1268" t="s">
        <v>2244</v>
      </c>
      <c r="C1268" t="s">
        <v>2523</v>
      </c>
      <c r="D1268" s="2" t="s">
        <v>2524</v>
      </c>
      <c r="E1268" t="s">
        <v>2385</v>
      </c>
      <c r="F1268" t="s">
        <v>20</v>
      </c>
      <c r="G1268" t="s">
        <v>21</v>
      </c>
      <c r="H1268" t="s">
        <v>65</v>
      </c>
      <c r="I1268" t="s">
        <v>23</v>
      </c>
      <c r="J1268" t="s">
        <v>49</v>
      </c>
      <c r="K1268" s="2" t="s">
        <v>2470</v>
      </c>
      <c r="L1268" t="s">
        <v>26</v>
      </c>
      <c r="M1268">
        <v>340285</v>
      </c>
      <c r="N1268">
        <v>1</v>
      </c>
      <c r="O1268" s="3">
        <v>64950</v>
      </c>
      <c r="P1268" s="3">
        <v>23721</v>
      </c>
      <c r="Q1268" s="5">
        <f t="shared" si="57"/>
        <v>54579.831932773115</v>
      </c>
      <c r="R1268" s="5">
        <f t="shared" si="58"/>
        <v>23721</v>
      </c>
      <c r="S1268" s="5">
        <f t="shared" si="59"/>
        <v>30858.831932773115</v>
      </c>
    </row>
    <row r="1269" spans="1:19" hidden="1" x14ac:dyDescent="0.3">
      <c r="A1269">
        <v>130</v>
      </c>
      <c r="B1269" t="s">
        <v>2244</v>
      </c>
      <c r="C1269" t="s">
        <v>2525</v>
      </c>
      <c r="D1269" s="2" t="s">
        <v>2526</v>
      </c>
      <c r="E1269" t="s">
        <v>2527</v>
      </c>
      <c r="F1269" t="s">
        <v>377</v>
      </c>
      <c r="G1269" t="s">
        <v>21</v>
      </c>
      <c r="H1269" t="s">
        <v>378</v>
      </c>
      <c r="I1269" t="s">
        <v>23</v>
      </c>
      <c r="J1269" t="s">
        <v>2459</v>
      </c>
      <c r="K1269" s="2" t="s">
        <v>2470</v>
      </c>
      <c r="L1269" t="s">
        <v>26</v>
      </c>
      <c r="M1269">
        <v>340286</v>
      </c>
      <c r="N1269">
        <v>1</v>
      </c>
      <c r="O1269" s="3">
        <v>6950</v>
      </c>
      <c r="P1269" s="3">
        <v>2964</v>
      </c>
      <c r="Q1269" s="5">
        <f t="shared" si="57"/>
        <v>5840.3361344537816</v>
      </c>
      <c r="R1269" s="5">
        <f t="shared" si="58"/>
        <v>2964</v>
      </c>
      <c r="S1269" s="5">
        <f t="shared" si="59"/>
        <v>2876.3361344537816</v>
      </c>
    </row>
    <row r="1270" spans="1:19" hidden="1" x14ac:dyDescent="0.3">
      <c r="A1270">
        <v>130</v>
      </c>
      <c r="B1270" t="s">
        <v>2244</v>
      </c>
      <c r="C1270" t="s">
        <v>2528</v>
      </c>
      <c r="D1270" s="2" t="s">
        <v>2529</v>
      </c>
      <c r="E1270" t="s">
        <v>2530</v>
      </c>
      <c r="F1270" t="s">
        <v>20</v>
      </c>
      <c r="G1270" t="s">
        <v>21</v>
      </c>
      <c r="H1270" t="s">
        <v>794</v>
      </c>
      <c r="I1270" t="s">
        <v>23</v>
      </c>
      <c r="J1270" t="s">
        <v>40</v>
      </c>
      <c r="K1270" s="2" t="s">
        <v>2470</v>
      </c>
      <c r="L1270" t="s">
        <v>26</v>
      </c>
      <c r="M1270">
        <v>340287</v>
      </c>
      <c r="N1270">
        <v>1</v>
      </c>
      <c r="O1270" s="3">
        <v>39990</v>
      </c>
      <c r="P1270" s="3">
        <v>21101</v>
      </c>
      <c r="Q1270" s="5">
        <f t="shared" si="57"/>
        <v>33605.042016806721</v>
      </c>
      <c r="R1270" s="5">
        <f t="shared" si="58"/>
        <v>21101</v>
      </c>
      <c r="S1270" s="5">
        <f t="shared" si="59"/>
        <v>12504.042016806721</v>
      </c>
    </row>
    <row r="1271" spans="1:19" hidden="1" x14ac:dyDescent="0.3">
      <c r="A1271">
        <v>130</v>
      </c>
      <c r="B1271" t="s">
        <v>2244</v>
      </c>
      <c r="C1271" t="s">
        <v>2531</v>
      </c>
      <c r="D1271" s="2" t="s">
        <v>2532</v>
      </c>
      <c r="E1271" t="s">
        <v>2533</v>
      </c>
      <c r="F1271" t="s">
        <v>20</v>
      </c>
      <c r="G1271" t="s">
        <v>21</v>
      </c>
      <c r="H1271" t="s">
        <v>500</v>
      </c>
      <c r="I1271" t="s">
        <v>23</v>
      </c>
      <c r="J1271" t="s">
        <v>40</v>
      </c>
      <c r="K1271" s="2" t="s">
        <v>422</v>
      </c>
      <c r="L1271" t="s">
        <v>26</v>
      </c>
      <c r="M1271">
        <v>340288</v>
      </c>
      <c r="N1271">
        <v>1</v>
      </c>
      <c r="O1271" s="3">
        <v>49990</v>
      </c>
      <c r="P1271" s="3">
        <v>20043</v>
      </c>
      <c r="Q1271" s="5">
        <f t="shared" si="57"/>
        <v>42008.403361344543</v>
      </c>
      <c r="R1271" s="5">
        <f t="shared" si="58"/>
        <v>20043</v>
      </c>
      <c r="S1271" s="5">
        <f t="shared" si="59"/>
        <v>21965.403361344543</v>
      </c>
    </row>
    <row r="1272" spans="1:19" hidden="1" x14ac:dyDescent="0.3">
      <c r="A1272">
        <v>130</v>
      </c>
      <c r="B1272" t="s">
        <v>2244</v>
      </c>
      <c r="C1272">
        <v>1687976791</v>
      </c>
      <c r="D1272" s="2" t="s">
        <v>200</v>
      </c>
      <c r="E1272" t="s">
        <v>201</v>
      </c>
      <c r="F1272" t="s">
        <v>201</v>
      </c>
      <c r="G1272" t="s">
        <v>202</v>
      </c>
      <c r="H1272" t="s">
        <v>202</v>
      </c>
      <c r="I1272" t="s">
        <v>23</v>
      </c>
      <c r="J1272" t="s">
        <v>202</v>
      </c>
      <c r="K1272" s="2" t="s">
        <v>422</v>
      </c>
      <c r="L1272" t="s">
        <v>26</v>
      </c>
      <c r="M1272">
        <v>340288</v>
      </c>
      <c r="N1272">
        <v>1</v>
      </c>
      <c r="O1272" s="3">
        <v>3200</v>
      </c>
      <c r="P1272">
        <v>1</v>
      </c>
      <c r="Q1272" s="5">
        <f t="shared" si="57"/>
        <v>2689.0756302521008</v>
      </c>
      <c r="R1272" s="5">
        <f t="shared" si="58"/>
        <v>1</v>
      </c>
      <c r="S1272" s="5">
        <f t="shared" si="59"/>
        <v>2688.0756302521008</v>
      </c>
    </row>
    <row r="1273" spans="1:19" hidden="1" x14ac:dyDescent="0.3">
      <c r="A1273">
        <v>130</v>
      </c>
      <c r="B1273" t="s">
        <v>2244</v>
      </c>
      <c r="C1273" t="s">
        <v>1419</v>
      </c>
      <c r="D1273" s="2" t="s">
        <v>1420</v>
      </c>
      <c r="E1273" t="s">
        <v>1421</v>
      </c>
      <c r="F1273" t="s">
        <v>20</v>
      </c>
      <c r="G1273" t="s">
        <v>21</v>
      </c>
      <c r="H1273" t="s">
        <v>1422</v>
      </c>
      <c r="I1273" t="s">
        <v>23</v>
      </c>
      <c r="J1273" t="s">
        <v>49</v>
      </c>
      <c r="K1273" s="2" t="s">
        <v>422</v>
      </c>
      <c r="L1273" t="s">
        <v>26</v>
      </c>
      <c r="M1273">
        <v>340289</v>
      </c>
      <c r="N1273">
        <v>1</v>
      </c>
      <c r="O1273" s="3">
        <v>74950</v>
      </c>
      <c r="P1273" s="3">
        <v>25183</v>
      </c>
      <c r="Q1273" s="5">
        <f t="shared" si="57"/>
        <v>62983.193277310929</v>
      </c>
      <c r="R1273" s="5">
        <f t="shared" si="58"/>
        <v>25183</v>
      </c>
      <c r="S1273" s="5">
        <f t="shared" si="59"/>
        <v>37800.193277310929</v>
      </c>
    </row>
    <row r="1274" spans="1:19" hidden="1" x14ac:dyDescent="0.3">
      <c r="A1274">
        <v>130</v>
      </c>
      <c r="B1274" t="s">
        <v>2244</v>
      </c>
      <c r="C1274" t="s">
        <v>2534</v>
      </c>
      <c r="D1274" s="2" t="s">
        <v>2535</v>
      </c>
      <c r="E1274" t="s">
        <v>2536</v>
      </c>
      <c r="F1274" t="s">
        <v>20</v>
      </c>
      <c r="G1274" t="s">
        <v>21</v>
      </c>
      <c r="H1274" t="s">
        <v>454</v>
      </c>
      <c r="I1274" t="s">
        <v>23</v>
      </c>
      <c r="J1274" t="s">
        <v>407</v>
      </c>
      <c r="K1274" s="2" t="s">
        <v>422</v>
      </c>
      <c r="L1274" t="s">
        <v>26</v>
      </c>
      <c r="M1274">
        <v>340290</v>
      </c>
      <c r="N1274">
        <v>1</v>
      </c>
      <c r="O1274" s="3">
        <v>39990</v>
      </c>
      <c r="P1274" s="3">
        <v>21038</v>
      </c>
      <c r="Q1274" s="5">
        <f t="shared" si="57"/>
        <v>33605.042016806721</v>
      </c>
      <c r="R1274" s="5">
        <f t="shared" si="58"/>
        <v>21038</v>
      </c>
      <c r="S1274" s="5">
        <f t="shared" si="59"/>
        <v>12567.042016806721</v>
      </c>
    </row>
    <row r="1275" spans="1:19" hidden="1" x14ac:dyDescent="0.3">
      <c r="A1275">
        <v>130</v>
      </c>
      <c r="B1275" t="s">
        <v>2244</v>
      </c>
      <c r="C1275" t="s">
        <v>2537</v>
      </c>
      <c r="D1275" s="2" t="s">
        <v>2538</v>
      </c>
      <c r="E1275" t="s">
        <v>2539</v>
      </c>
      <c r="F1275" t="s">
        <v>20</v>
      </c>
      <c r="G1275" t="s">
        <v>21</v>
      </c>
      <c r="H1275" t="s">
        <v>966</v>
      </c>
      <c r="I1275" t="s">
        <v>23</v>
      </c>
      <c r="J1275" t="s">
        <v>35</v>
      </c>
      <c r="K1275" s="2" t="s">
        <v>422</v>
      </c>
      <c r="L1275" t="s">
        <v>26</v>
      </c>
      <c r="M1275">
        <v>340291</v>
      </c>
      <c r="N1275">
        <v>1</v>
      </c>
      <c r="O1275" s="3">
        <v>74950</v>
      </c>
      <c r="P1275" s="3">
        <v>27299</v>
      </c>
      <c r="Q1275" s="5">
        <f t="shared" si="57"/>
        <v>62983.193277310929</v>
      </c>
      <c r="R1275" s="5">
        <f t="shared" si="58"/>
        <v>27299</v>
      </c>
      <c r="S1275" s="5">
        <f t="shared" si="59"/>
        <v>35684.193277310929</v>
      </c>
    </row>
    <row r="1276" spans="1:19" hidden="1" x14ac:dyDescent="0.3">
      <c r="A1276">
        <v>130</v>
      </c>
      <c r="B1276" t="s">
        <v>2244</v>
      </c>
      <c r="C1276" t="s">
        <v>2540</v>
      </c>
      <c r="D1276" s="2" t="s">
        <v>2541</v>
      </c>
      <c r="E1276" t="s">
        <v>2542</v>
      </c>
      <c r="F1276" t="s">
        <v>20</v>
      </c>
      <c r="G1276" t="s">
        <v>21</v>
      </c>
      <c r="H1276" t="s">
        <v>2469</v>
      </c>
      <c r="I1276" t="s">
        <v>23</v>
      </c>
      <c r="J1276" t="s">
        <v>49</v>
      </c>
      <c r="K1276" s="2" t="s">
        <v>422</v>
      </c>
      <c r="L1276" t="s">
        <v>26</v>
      </c>
      <c r="M1276">
        <v>340292</v>
      </c>
      <c r="N1276">
        <v>1</v>
      </c>
      <c r="O1276" s="3">
        <v>64950</v>
      </c>
      <c r="P1276" s="3">
        <v>21337</v>
      </c>
      <c r="Q1276" s="5">
        <f t="shared" si="57"/>
        <v>54579.831932773115</v>
      </c>
      <c r="R1276" s="5">
        <f t="shared" si="58"/>
        <v>21337</v>
      </c>
      <c r="S1276" s="5">
        <f t="shared" si="59"/>
        <v>33242.831932773115</v>
      </c>
    </row>
    <row r="1277" spans="1:19" hidden="1" x14ac:dyDescent="0.3">
      <c r="A1277">
        <v>130</v>
      </c>
      <c r="B1277" t="s">
        <v>2244</v>
      </c>
      <c r="C1277" t="s">
        <v>350</v>
      </c>
      <c r="D1277" s="2" t="s">
        <v>351</v>
      </c>
      <c r="E1277" t="s">
        <v>352</v>
      </c>
      <c r="F1277" t="s">
        <v>20</v>
      </c>
      <c r="G1277" t="s">
        <v>21</v>
      </c>
      <c r="H1277" t="s">
        <v>353</v>
      </c>
      <c r="I1277" t="s">
        <v>23</v>
      </c>
      <c r="J1277" t="s">
        <v>95</v>
      </c>
      <c r="K1277" s="2" t="s">
        <v>422</v>
      </c>
      <c r="L1277" t="s">
        <v>26</v>
      </c>
      <c r="M1277">
        <v>340293</v>
      </c>
      <c r="N1277">
        <v>-1</v>
      </c>
      <c r="O1277" s="3">
        <v>-39990</v>
      </c>
      <c r="P1277" s="3">
        <v>31000</v>
      </c>
      <c r="Q1277" s="5">
        <f t="shared" si="57"/>
        <v>-33605.042016806721</v>
      </c>
      <c r="R1277" s="5">
        <f t="shared" si="58"/>
        <v>-31000</v>
      </c>
      <c r="S1277" s="5">
        <f t="shared" si="59"/>
        <v>-2605.0420168067212</v>
      </c>
    </row>
    <row r="1278" spans="1:19" hidden="1" x14ac:dyDescent="0.3">
      <c r="A1278">
        <v>130</v>
      </c>
      <c r="B1278" t="s">
        <v>2244</v>
      </c>
      <c r="C1278" t="s">
        <v>551</v>
      </c>
      <c r="D1278" s="2" t="s">
        <v>552</v>
      </c>
      <c r="E1278" t="s">
        <v>553</v>
      </c>
      <c r="F1278" t="s">
        <v>20</v>
      </c>
      <c r="G1278" t="s">
        <v>21</v>
      </c>
      <c r="H1278" t="s">
        <v>353</v>
      </c>
      <c r="I1278" t="s">
        <v>23</v>
      </c>
      <c r="J1278" t="s">
        <v>95</v>
      </c>
      <c r="K1278" s="2" t="s">
        <v>422</v>
      </c>
      <c r="L1278" t="s">
        <v>26</v>
      </c>
      <c r="M1278">
        <v>340293</v>
      </c>
      <c r="N1278">
        <v>1</v>
      </c>
      <c r="O1278" s="3">
        <v>44990</v>
      </c>
      <c r="P1278" s="3">
        <v>31000</v>
      </c>
      <c r="Q1278" s="5">
        <f t="shared" si="57"/>
        <v>37806.722689075636</v>
      </c>
      <c r="R1278" s="5">
        <f t="shared" si="58"/>
        <v>31000</v>
      </c>
      <c r="S1278" s="5">
        <f t="shared" si="59"/>
        <v>6806.7226890756356</v>
      </c>
    </row>
    <row r="1279" spans="1:19" hidden="1" x14ac:dyDescent="0.3">
      <c r="A1279">
        <v>130</v>
      </c>
      <c r="B1279" t="s">
        <v>2244</v>
      </c>
      <c r="C1279" t="s">
        <v>2543</v>
      </c>
      <c r="D1279" s="2" t="s">
        <v>2544</v>
      </c>
      <c r="E1279" t="s">
        <v>352</v>
      </c>
      <c r="F1279" t="s">
        <v>20</v>
      </c>
      <c r="G1279" t="s">
        <v>21</v>
      </c>
      <c r="H1279" t="s">
        <v>353</v>
      </c>
      <c r="I1279" t="s">
        <v>23</v>
      </c>
      <c r="J1279" t="s">
        <v>95</v>
      </c>
      <c r="K1279" s="2" t="s">
        <v>422</v>
      </c>
      <c r="L1279" t="s">
        <v>26</v>
      </c>
      <c r="M1279">
        <v>340294</v>
      </c>
      <c r="N1279">
        <v>1</v>
      </c>
      <c r="O1279" s="3">
        <v>39990</v>
      </c>
      <c r="P1279" s="3">
        <v>31000</v>
      </c>
      <c r="Q1279" s="5">
        <f t="shared" si="57"/>
        <v>33605.042016806721</v>
      </c>
      <c r="R1279" s="5">
        <f t="shared" si="58"/>
        <v>31000</v>
      </c>
      <c r="S1279" s="5">
        <f t="shared" si="59"/>
        <v>2605.0420168067212</v>
      </c>
    </row>
    <row r="1280" spans="1:19" hidden="1" x14ac:dyDescent="0.3">
      <c r="A1280">
        <v>130</v>
      </c>
      <c r="B1280" t="s">
        <v>2244</v>
      </c>
      <c r="C1280">
        <v>1687976791</v>
      </c>
      <c r="D1280" s="2" t="s">
        <v>200</v>
      </c>
      <c r="E1280" t="s">
        <v>201</v>
      </c>
      <c r="F1280" t="s">
        <v>201</v>
      </c>
      <c r="G1280" t="s">
        <v>202</v>
      </c>
      <c r="H1280" t="s">
        <v>202</v>
      </c>
      <c r="I1280" t="s">
        <v>23</v>
      </c>
      <c r="J1280" t="s">
        <v>202</v>
      </c>
      <c r="K1280" s="2" t="s">
        <v>422</v>
      </c>
      <c r="L1280" t="s">
        <v>26</v>
      </c>
      <c r="M1280">
        <v>340294</v>
      </c>
      <c r="N1280">
        <v>1</v>
      </c>
      <c r="O1280" s="3">
        <v>3200</v>
      </c>
      <c r="P1280">
        <v>1</v>
      </c>
      <c r="Q1280" s="5">
        <f t="shared" si="57"/>
        <v>2689.0756302521008</v>
      </c>
      <c r="R1280" s="5">
        <f t="shared" si="58"/>
        <v>1</v>
      </c>
      <c r="S1280" s="5">
        <f t="shared" si="59"/>
        <v>2688.0756302521008</v>
      </c>
    </row>
    <row r="1281" spans="1:19" hidden="1" x14ac:dyDescent="0.3">
      <c r="A1281">
        <v>130</v>
      </c>
      <c r="B1281" t="s">
        <v>2244</v>
      </c>
      <c r="C1281" t="s">
        <v>504</v>
      </c>
      <c r="D1281" s="2" t="s">
        <v>505</v>
      </c>
      <c r="E1281" t="s">
        <v>506</v>
      </c>
      <c r="F1281" t="s">
        <v>20</v>
      </c>
      <c r="G1281" t="s">
        <v>21</v>
      </c>
      <c r="H1281" t="s">
        <v>357</v>
      </c>
      <c r="I1281" t="s">
        <v>23</v>
      </c>
      <c r="J1281" t="s">
        <v>49</v>
      </c>
      <c r="K1281" s="2" t="s">
        <v>422</v>
      </c>
      <c r="L1281" t="s">
        <v>26</v>
      </c>
      <c r="M1281">
        <v>340295</v>
      </c>
      <c r="N1281">
        <v>1</v>
      </c>
      <c r="O1281" s="3">
        <v>44990</v>
      </c>
      <c r="P1281" s="3">
        <v>26636</v>
      </c>
      <c r="Q1281" s="5">
        <f t="shared" si="57"/>
        <v>37806.722689075636</v>
      </c>
      <c r="R1281" s="5">
        <f t="shared" si="58"/>
        <v>26636</v>
      </c>
      <c r="S1281" s="5">
        <f t="shared" si="59"/>
        <v>11170.722689075636</v>
      </c>
    </row>
    <row r="1282" spans="1:19" hidden="1" x14ac:dyDescent="0.3">
      <c r="A1282">
        <v>130</v>
      </c>
      <c r="B1282" t="s">
        <v>2244</v>
      </c>
      <c r="C1282" t="s">
        <v>2545</v>
      </c>
      <c r="D1282" s="2" t="s">
        <v>2546</v>
      </c>
      <c r="E1282" t="s">
        <v>2349</v>
      </c>
      <c r="F1282" t="s">
        <v>20</v>
      </c>
      <c r="G1282" t="s">
        <v>338</v>
      </c>
      <c r="H1282">
        <v>23709</v>
      </c>
      <c r="I1282" t="s">
        <v>23</v>
      </c>
      <c r="J1282" t="s">
        <v>40</v>
      </c>
      <c r="K1282" s="2" t="s">
        <v>422</v>
      </c>
      <c r="L1282" t="s">
        <v>26</v>
      </c>
      <c r="M1282">
        <v>340296</v>
      </c>
      <c r="N1282">
        <v>1</v>
      </c>
      <c r="O1282" s="3">
        <v>79950</v>
      </c>
      <c r="P1282" s="3">
        <v>27728</v>
      </c>
      <c r="Q1282" s="5">
        <f t="shared" si="57"/>
        <v>67184.873949579836</v>
      </c>
      <c r="R1282" s="5">
        <f t="shared" si="58"/>
        <v>27728</v>
      </c>
      <c r="S1282" s="5">
        <f t="shared" si="59"/>
        <v>39456.873949579836</v>
      </c>
    </row>
    <row r="1283" spans="1:19" hidden="1" x14ac:dyDescent="0.3">
      <c r="A1283">
        <v>130</v>
      </c>
      <c r="B1283" t="s">
        <v>2244</v>
      </c>
      <c r="C1283" t="s">
        <v>2547</v>
      </c>
      <c r="D1283" s="2" t="s">
        <v>2548</v>
      </c>
      <c r="E1283" t="s">
        <v>2549</v>
      </c>
      <c r="F1283" t="s">
        <v>20</v>
      </c>
      <c r="G1283" t="s">
        <v>338</v>
      </c>
      <c r="H1283">
        <v>23755</v>
      </c>
      <c r="I1283" t="s">
        <v>23</v>
      </c>
      <c r="J1283" t="s">
        <v>40</v>
      </c>
      <c r="K1283" s="2" t="s">
        <v>422</v>
      </c>
      <c r="L1283" t="s">
        <v>26</v>
      </c>
      <c r="M1283">
        <v>340297</v>
      </c>
      <c r="N1283">
        <v>1</v>
      </c>
      <c r="O1283" s="3">
        <v>74950</v>
      </c>
      <c r="P1283" s="3">
        <v>24718</v>
      </c>
      <c r="Q1283" s="5">
        <f t="shared" si="57"/>
        <v>62983.193277310929</v>
      </c>
      <c r="R1283" s="5">
        <f t="shared" si="58"/>
        <v>24718</v>
      </c>
      <c r="S1283" s="5">
        <f t="shared" si="59"/>
        <v>38265.193277310929</v>
      </c>
    </row>
    <row r="1284" spans="1:19" hidden="1" x14ac:dyDescent="0.3">
      <c r="A1284">
        <v>130</v>
      </c>
      <c r="B1284" t="s">
        <v>2244</v>
      </c>
      <c r="C1284" t="s">
        <v>2395</v>
      </c>
      <c r="D1284" s="2" t="s">
        <v>2396</v>
      </c>
      <c r="E1284" t="s">
        <v>425</v>
      </c>
      <c r="F1284" t="s">
        <v>20</v>
      </c>
      <c r="G1284" t="s">
        <v>21</v>
      </c>
      <c r="H1284" t="s">
        <v>22</v>
      </c>
      <c r="I1284" t="s">
        <v>23</v>
      </c>
      <c r="J1284" t="s">
        <v>24</v>
      </c>
      <c r="K1284" s="2" t="s">
        <v>422</v>
      </c>
      <c r="L1284" t="s">
        <v>26</v>
      </c>
      <c r="M1284">
        <v>340298</v>
      </c>
      <c r="N1284">
        <v>1</v>
      </c>
      <c r="O1284" s="3">
        <v>79950</v>
      </c>
      <c r="P1284" s="3">
        <v>27848</v>
      </c>
      <c r="Q1284" s="5">
        <f t="shared" si="57"/>
        <v>67184.873949579836</v>
      </c>
      <c r="R1284" s="5">
        <f t="shared" si="58"/>
        <v>27848</v>
      </c>
      <c r="S1284" s="5">
        <f t="shared" si="59"/>
        <v>39336.873949579836</v>
      </c>
    </row>
    <row r="1285" spans="1:19" hidden="1" x14ac:dyDescent="0.3">
      <c r="A1285">
        <v>130</v>
      </c>
      <c r="B1285" t="s">
        <v>2244</v>
      </c>
      <c r="C1285" t="s">
        <v>2550</v>
      </c>
      <c r="D1285" s="2" t="s">
        <v>2551</v>
      </c>
      <c r="E1285" t="s">
        <v>2552</v>
      </c>
      <c r="F1285" t="s">
        <v>20</v>
      </c>
      <c r="G1285" t="s">
        <v>21</v>
      </c>
      <c r="H1285" t="s">
        <v>2353</v>
      </c>
      <c r="I1285" t="s">
        <v>23</v>
      </c>
      <c r="J1285" t="s">
        <v>40</v>
      </c>
      <c r="K1285" s="2" t="s">
        <v>814</v>
      </c>
      <c r="L1285" t="s">
        <v>26</v>
      </c>
      <c r="M1285">
        <v>340299</v>
      </c>
      <c r="N1285">
        <v>1</v>
      </c>
      <c r="O1285" s="3">
        <v>69990</v>
      </c>
      <c r="P1285" s="3">
        <v>31436</v>
      </c>
      <c r="Q1285" s="5">
        <f t="shared" si="57"/>
        <v>58815.126050420171</v>
      </c>
      <c r="R1285" s="5">
        <f t="shared" si="58"/>
        <v>31436</v>
      </c>
      <c r="S1285" s="5">
        <f t="shared" si="59"/>
        <v>27379.126050420171</v>
      </c>
    </row>
    <row r="1286" spans="1:19" hidden="1" x14ac:dyDescent="0.3">
      <c r="A1286">
        <v>130</v>
      </c>
      <c r="B1286" t="s">
        <v>2244</v>
      </c>
      <c r="C1286" t="s">
        <v>2553</v>
      </c>
      <c r="D1286" s="2" t="s">
        <v>2554</v>
      </c>
      <c r="E1286" t="s">
        <v>2555</v>
      </c>
      <c r="F1286" t="s">
        <v>20</v>
      </c>
      <c r="G1286" t="s">
        <v>21</v>
      </c>
      <c r="H1286" t="s">
        <v>152</v>
      </c>
      <c r="I1286" t="s">
        <v>23</v>
      </c>
      <c r="J1286" t="s">
        <v>40</v>
      </c>
      <c r="K1286" s="2" t="s">
        <v>814</v>
      </c>
      <c r="L1286" t="s">
        <v>26</v>
      </c>
      <c r="M1286">
        <v>340300</v>
      </c>
      <c r="N1286">
        <v>1</v>
      </c>
      <c r="O1286" s="3">
        <v>34990</v>
      </c>
      <c r="P1286" s="3">
        <v>16861</v>
      </c>
      <c r="Q1286" s="5">
        <f t="shared" ref="Q1286:Q1349" si="60">O1286/1.19</f>
        <v>29403.361344537818</v>
      </c>
      <c r="R1286" s="5">
        <f t="shared" ref="R1286:R1349" si="61">N1286*P1286</f>
        <v>16861</v>
      </c>
      <c r="S1286" s="5">
        <f t="shared" ref="S1286:S1349" si="62">Q1286-R1286</f>
        <v>12542.361344537818</v>
      </c>
    </row>
    <row r="1287" spans="1:19" hidden="1" x14ac:dyDescent="0.3">
      <c r="A1287">
        <v>130</v>
      </c>
      <c r="B1287" t="s">
        <v>2244</v>
      </c>
      <c r="C1287">
        <v>1687976791</v>
      </c>
      <c r="D1287" s="2" t="s">
        <v>200</v>
      </c>
      <c r="E1287" t="s">
        <v>201</v>
      </c>
      <c r="F1287" t="s">
        <v>201</v>
      </c>
      <c r="G1287" t="s">
        <v>202</v>
      </c>
      <c r="H1287" t="s">
        <v>202</v>
      </c>
      <c r="I1287" t="s">
        <v>23</v>
      </c>
      <c r="J1287" t="s">
        <v>202</v>
      </c>
      <c r="K1287" s="2" t="s">
        <v>814</v>
      </c>
      <c r="L1287" t="s">
        <v>26</v>
      </c>
      <c r="M1287">
        <v>340300</v>
      </c>
      <c r="N1287">
        <v>1</v>
      </c>
      <c r="O1287" s="3">
        <v>3200</v>
      </c>
      <c r="P1287">
        <v>1</v>
      </c>
      <c r="Q1287" s="5">
        <f t="shared" si="60"/>
        <v>2689.0756302521008</v>
      </c>
      <c r="R1287" s="5">
        <f t="shared" si="61"/>
        <v>1</v>
      </c>
      <c r="S1287" s="5">
        <f t="shared" si="62"/>
        <v>2688.0756302521008</v>
      </c>
    </row>
    <row r="1288" spans="1:19" hidden="1" x14ac:dyDescent="0.3">
      <c r="A1288">
        <v>130</v>
      </c>
      <c r="B1288" t="s">
        <v>2244</v>
      </c>
      <c r="C1288" t="s">
        <v>2556</v>
      </c>
      <c r="D1288" s="2" t="s">
        <v>2557</v>
      </c>
      <c r="E1288" t="s">
        <v>2558</v>
      </c>
      <c r="F1288" t="s">
        <v>20</v>
      </c>
      <c r="G1288" t="s">
        <v>21</v>
      </c>
      <c r="H1288" t="s">
        <v>870</v>
      </c>
      <c r="I1288" t="s">
        <v>23</v>
      </c>
      <c r="J1288" t="s">
        <v>49</v>
      </c>
      <c r="K1288" s="2" t="s">
        <v>814</v>
      </c>
      <c r="L1288" t="s">
        <v>26</v>
      </c>
      <c r="M1288">
        <v>340301</v>
      </c>
      <c r="N1288">
        <v>1</v>
      </c>
      <c r="O1288" s="3">
        <v>64950</v>
      </c>
      <c r="P1288" s="3">
        <v>22955</v>
      </c>
      <c r="Q1288" s="5">
        <f t="shared" si="60"/>
        <v>54579.831932773115</v>
      </c>
      <c r="R1288" s="5">
        <f t="shared" si="61"/>
        <v>22955</v>
      </c>
      <c r="S1288" s="5">
        <f t="shared" si="62"/>
        <v>31624.831932773115</v>
      </c>
    </row>
    <row r="1289" spans="1:19" hidden="1" x14ac:dyDescent="0.3">
      <c r="A1289">
        <v>130</v>
      </c>
      <c r="B1289" t="s">
        <v>2244</v>
      </c>
      <c r="C1289" t="s">
        <v>2559</v>
      </c>
      <c r="D1289" s="2" t="s">
        <v>2560</v>
      </c>
      <c r="E1289" t="s">
        <v>2561</v>
      </c>
      <c r="F1289" t="s">
        <v>20</v>
      </c>
      <c r="G1289" t="s">
        <v>21</v>
      </c>
      <c r="H1289" t="s">
        <v>1914</v>
      </c>
      <c r="I1289" t="s">
        <v>23</v>
      </c>
      <c r="J1289" t="s">
        <v>35</v>
      </c>
      <c r="K1289" s="2" t="s">
        <v>814</v>
      </c>
      <c r="L1289" t="s">
        <v>26</v>
      </c>
      <c r="M1289">
        <v>340302</v>
      </c>
      <c r="N1289">
        <v>1</v>
      </c>
      <c r="O1289" s="3">
        <v>89950</v>
      </c>
      <c r="P1289" s="3">
        <v>28298</v>
      </c>
      <c r="Q1289" s="5">
        <f t="shared" si="60"/>
        <v>75588.23529411765</v>
      </c>
      <c r="R1289" s="5">
        <f t="shared" si="61"/>
        <v>28298</v>
      </c>
      <c r="S1289" s="5">
        <f t="shared" si="62"/>
        <v>47290.23529411765</v>
      </c>
    </row>
    <row r="1290" spans="1:19" hidden="1" x14ac:dyDescent="0.3">
      <c r="A1290">
        <v>130</v>
      </c>
      <c r="B1290" t="s">
        <v>2244</v>
      </c>
      <c r="C1290" t="s">
        <v>2562</v>
      </c>
      <c r="D1290" s="2" t="s">
        <v>2563</v>
      </c>
      <c r="E1290" t="s">
        <v>2465</v>
      </c>
      <c r="F1290" t="s">
        <v>20</v>
      </c>
      <c r="G1290" t="s">
        <v>21</v>
      </c>
      <c r="H1290" t="s">
        <v>30</v>
      </c>
      <c r="I1290" t="s">
        <v>23</v>
      </c>
      <c r="J1290" t="s">
        <v>35</v>
      </c>
      <c r="K1290" s="2" t="s">
        <v>814</v>
      </c>
      <c r="L1290" t="s">
        <v>26</v>
      </c>
      <c r="M1290">
        <v>340303</v>
      </c>
      <c r="N1290">
        <v>1</v>
      </c>
      <c r="O1290" s="3">
        <v>79950</v>
      </c>
      <c r="P1290" s="3">
        <v>30749</v>
      </c>
      <c r="Q1290" s="5">
        <f t="shared" si="60"/>
        <v>67184.873949579836</v>
      </c>
      <c r="R1290" s="5">
        <f t="shared" si="61"/>
        <v>30749</v>
      </c>
      <c r="S1290" s="5">
        <f t="shared" si="62"/>
        <v>36435.873949579836</v>
      </c>
    </row>
    <row r="1291" spans="1:19" hidden="1" x14ac:dyDescent="0.3">
      <c r="A1291">
        <v>130</v>
      </c>
      <c r="B1291" t="s">
        <v>2244</v>
      </c>
      <c r="C1291" t="s">
        <v>2564</v>
      </c>
      <c r="D1291" s="2" t="s">
        <v>2565</v>
      </c>
      <c r="E1291" t="s">
        <v>2566</v>
      </c>
      <c r="F1291" t="s">
        <v>20</v>
      </c>
      <c r="G1291" t="s">
        <v>21</v>
      </c>
      <c r="H1291" t="s">
        <v>1689</v>
      </c>
      <c r="I1291" t="s">
        <v>23</v>
      </c>
      <c r="J1291" t="s">
        <v>49</v>
      </c>
      <c r="K1291" s="2" t="s">
        <v>814</v>
      </c>
      <c r="L1291" t="s">
        <v>26</v>
      </c>
      <c r="M1291">
        <v>340304</v>
      </c>
      <c r="N1291">
        <v>1</v>
      </c>
      <c r="O1291" s="3">
        <v>89950</v>
      </c>
      <c r="P1291" s="3">
        <v>36301</v>
      </c>
      <c r="Q1291" s="5">
        <f t="shared" si="60"/>
        <v>75588.23529411765</v>
      </c>
      <c r="R1291" s="5">
        <f t="shared" si="61"/>
        <v>36301</v>
      </c>
      <c r="S1291" s="5">
        <f t="shared" si="62"/>
        <v>39287.23529411765</v>
      </c>
    </row>
    <row r="1292" spans="1:19" hidden="1" x14ac:dyDescent="0.3">
      <c r="A1292">
        <v>130</v>
      </c>
      <c r="B1292" t="s">
        <v>2244</v>
      </c>
      <c r="C1292" t="s">
        <v>2567</v>
      </c>
      <c r="D1292" s="2" t="s">
        <v>2568</v>
      </c>
      <c r="E1292" t="s">
        <v>2287</v>
      </c>
      <c r="F1292" t="s">
        <v>20</v>
      </c>
      <c r="G1292" t="s">
        <v>21</v>
      </c>
      <c r="H1292" t="s">
        <v>429</v>
      </c>
      <c r="I1292" t="s">
        <v>23</v>
      </c>
      <c r="J1292" t="s">
        <v>49</v>
      </c>
      <c r="K1292" s="2" t="s">
        <v>814</v>
      </c>
      <c r="L1292" t="s">
        <v>26</v>
      </c>
      <c r="M1292">
        <v>340304</v>
      </c>
      <c r="N1292">
        <v>-1</v>
      </c>
      <c r="O1292" s="3">
        <v>-79950</v>
      </c>
      <c r="P1292" s="3">
        <v>32028</v>
      </c>
      <c r="Q1292" s="5">
        <f t="shared" si="60"/>
        <v>-67184.873949579836</v>
      </c>
      <c r="R1292" s="5">
        <f t="shared" si="61"/>
        <v>-32028</v>
      </c>
      <c r="S1292" s="5">
        <f t="shared" si="62"/>
        <v>-35156.873949579836</v>
      </c>
    </row>
    <row r="1293" spans="1:19" hidden="1" x14ac:dyDescent="0.3">
      <c r="A1293">
        <v>130</v>
      </c>
      <c r="B1293" t="s">
        <v>2244</v>
      </c>
      <c r="C1293" t="s">
        <v>2569</v>
      </c>
      <c r="D1293" s="2" t="s">
        <v>2570</v>
      </c>
      <c r="E1293" t="s">
        <v>2148</v>
      </c>
      <c r="F1293" t="s">
        <v>20</v>
      </c>
      <c r="G1293" t="s">
        <v>21</v>
      </c>
      <c r="H1293" t="s">
        <v>614</v>
      </c>
      <c r="I1293" t="s">
        <v>23</v>
      </c>
      <c r="J1293" t="s">
        <v>35</v>
      </c>
      <c r="K1293" s="2" t="s">
        <v>814</v>
      </c>
      <c r="L1293" t="s">
        <v>26</v>
      </c>
      <c r="M1293">
        <v>340305</v>
      </c>
      <c r="N1293">
        <v>1</v>
      </c>
      <c r="O1293" s="3">
        <v>64950</v>
      </c>
      <c r="P1293" s="3">
        <v>18266</v>
      </c>
      <c r="Q1293" s="5">
        <f t="shared" si="60"/>
        <v>54579.831932773115</v>
      </c>
      <c r="R1293" s="5">
        <f t="shared" si="61"/>
        <v>18266</v>
      </c>
      <c r="S1293" s="5">
        <f t="shared" si="62"/>
        <v>36313.831932773115</v>
      </c>
    </row>
    <row r="1294" spans="1:19" hidden="1" x14ac:dyDescent="0.3">
      <c r="A1294">
        <v>130</v>
      </c>
      <c r="B1294" t="s">
        <v>2244</v>
      </c>
      <c r="C1294" t="s">
        <v>1761</v>
      </c>
      <c r="D1294" s="2" t="s">
        <v>1762</v>
      </c>
      <c r="E1294" t="s">
        <v>1763</v>
      </c>
      <c r="F1294" t="s">
        <v>377</v>
      </c>
      <c r="G1294" t="s">
        <v>21</v>
      </c>
      <c r="H1294" t="s">
        <v>378</v>
      </c>
      <c r="I1294" t="s">
        <v>23</v>
      </c>
      <c r="J1294" t="s">
        <v>379</v>
      </c>
      <c r="K1294" s="2" t="s">
        <v>814</v>
      </c>
      <c r="L1294" t="s">
        <v>26</v>
      </c>
      <c r="M1294">
        <v>340306</v>
      </c>
      <c r="N1294">
        <v>1</v>
      </c>
      <c r="O1294" s="3">
        <v>5950</v>
      </c>
      <c r="P1294" s="3">
        <v>3279</v>
      </c>
      <c r="Q1294" s="5">
        <f t="shared" si="60"/>
        <v>5000</v>
      </c>
      <c r="R1294" s="5">
        <f t="shared" si="61"/>
        <v>3279</v>
      </c>
      <c r="S1294" s="5">
        <f t="shared" si="62"/>
        <v>1721</v>
      </c>
    </row>
    <row r="1295" spans="1:19" hidden="1" x14ac:dyDescent="0.3">
      <c r="A1295">
        <v>130</v>
      </c>
      <c r="B1295" t="s">
        <v>2244</v>
      </c>
      <c r="C1295" t="s">
        <v>2571</v>
      </c>
      <c r="D1295" s="2" t="s">
        <v>2572</v>
      </c>
      <c r="E1295" t="s">
        <v>714</v>
      </c>
      <c r="F1295" t="s">
        <v>20</v>
      </c>
      <c r="G1295" t="s">
        <v>21</v>
      </c>
      <c r="H1295" t="s">
        <v>30</v>
      </c>
      <c r="I1295" t="s">
        <v>23</v>
      </c>
      <c r="J1295" t="s">
        <v>49</v>
      </c>
      <c r="K1295" s="2" t="s">
        <v>814</v>
      </c>
      <c r="L1295" t="s">
        <v>26</v>
      </c>
      <c r="M1295">
        <v>340307</v>
      </c>
      <c r="N1295">
        <v>1</v>
      </c>
      <c r="O1295" s="3">
        <v>69950</v>
      </c>
      <c r="P1295" s="3">
        <v>25242</v>
      </c>
      <c r="Q1295" s="5">
        <f t="shared" si="60"/>
        <v>58781.512605042022</v>
      </c>
      <c r="R1295" s="5">
        <f t="shared" si="61"/>
        <v>25242</v>
      </c>
      <c r="S1295" s="5">
        <f t="shared" si="62"/>
        <v>33539.512605042022</v>
      </c>
    </row>
    <row r="1296" spans="1:19" hidden="1" x14ac:dyDescent="0.3">
      <c r="A1296">
        <v>130</v>
      </c>
      <c r="B1296" t="s">
        <v>2244</v>
      </c>
      <c r="C1296" t="s">
        <v>2573</v>
      </c>
      <c r="D1296" s="2" t="s">
        <v>2574</v>
      </c>
      <c r="E1296" t="s">
        <v>1678</v>
      </c>
      <c r="F1296" t="s">
        <v>20</v>
      </c>
      <c r="G1296" t="s">
        <v>21</v>
      </c>
      <c r="H1296" t="s">
        <v>590</v>
      </c>
      <c r="I1296" t="s">
        <v>23</v>
      </c>
      <c r="J1296" t="s">
        <v>40</v>
      </c>
      <c r="K1296" s="2" t="s">
        <v>814</v>
      </c>
      <c r="L1296" t="s">
        <v>26</v>
      </c>
      <c r="M1296">
        <v>340307</v>
      </c>
      <c r="N1296">
        <v>1</v>
      </c>
      <c r="O1296" s="3">
        <v>39990</v>
      </c>
      <c r="P1296" s="3">
        <v>22297</v>
      </c>
      <c r="Q1296" s="5">
        <f t="shared" si="60"/>
        <v>33605.042016806721</v>
      </c>
      <c r="R1296" s="5">
        <f t="shared" si="61"/>
        <v>22297</v>
      </c>
      <c r="S1296" s="5">
        <f t="shared" si="62"/>
        <v>11308.042016806721</v>
      </c>
    </row>
    <row r="1297" spans="1:19" hidden="1" x14ac:dyDescent="0.3">
      <c r="A1297">
        <v>130</v>
      </c>
      <c r="B1297" t="s">
        <v>2244</v>
      </c>
      <c r="C1297" t="s">
        <v>1756</v>
      </c>
      <c r="D1297" s="2" t="s">
        <v>1757</v>
      </c>
      <c r="E1297" t="s">
        <v>1758</v>
      </c>
      <c r="F1297" t="s">
        <v>20</v>
      </c>
      <c r="G1297" t="s">
        <v>338</v>
      </c>
      <c r="H1297">
        <v>25133</v>
      </c>
      <c r="I1297" t="s">
        <v>23</v>
      </c>
      <c r="J1297" t="s">
        <v>35</v>
      </c>
      <c r="K1297" s="2" t="s">
        <v>814</v>
      </c>
      <c r="L1297" t="s">
        <v>26</v>
      </c>
      <c r="M1297">
        <v>340308</v>
      </c>
      <c r="N1297">
        <v>-1</v>
      </c>
      <c r="O1297" s="3">
        <v>-74950</v>
      </c>
      <c r="P1297" s="3">
        <v>21167</v>
      </c>
      <c r="Q1297" s="5">
        <f t="shared" si="60"/>
        <v>-62983.193277310929</v>
      </c>
      <c r="R1297" s="5">
        <f t="shared" si="61"/>
        <v>-21167</v>
      </c>
      <c r="S1297" s="5">
        <f t="shared" si="62"/>
        <v>-41816.193277310929</v>
      </c>
    </row>
    <row r="1298" spans="1:19" hidden="1" x14ac:dyDescent="0.3">
      <c r="A1298">
        <v>130</v>
      </c>
      <c r="B1298" t="s">
        <v>2244</v>
      </c>
      <c r="C1298" t="s">
        <v>126</v>
      </c>
      <c r="D1298" s="2" t="s">
        <v>127</v>
      </c>
      <c r="E1298" t="s">
        <v>102</v>
      </c>
      <c r="F1298" t="s">
        <v>20</v>
      </c>
      <c r="G1298" t="s">
        <v>21</v>
      </c>
      <c r="H1298" t="s">
        <v>57</v>
      </c>
      <c r="I1298" t="s">
        <v>23</v>
      </c>
      <c r="J1298" t="s">
        <v>35</v>
      </c>
      <c r="K1298" s="2" t="s">
        <v>814</v>
      </c>
      <c r="L1298" t="s">
        <v>26</v>
      </c>
      <c r="M1298">
        <v>340308</v>
      </c>
      <c r="N1298">
        <v>1</v>
      </c>
      <c r="O1298" s="3">
        <v>69990</v>
      </c>
      <c r="P1298" s="3">
        <v>35351</v>
      </c>
      <c r="Q1298" s="5">
        <f t="shared" si="60"/>
        <v>58815.126050420171</v>
      </c>
      <c r="R1298" s="5">
        <f t="shared" si="61"/>
        <v>35351</v>
      </c>
      <c r="S1298" s="5">
        <f t="shared" si="62"/>
        <v>23464.126050420171</v>
      </c>
    </row>
    <row r="1299" spans="1:19" hidden="1" x14ac:dyDescent="0.3">
      <c r="A1299">
        <v>130</v>
      </c>
      <c r="B1299" t="s">
        <v>2244</v>
      </c>
      <c r="C1299" t="s">
        <v>2575</v>
      </c>
      <c r="D1299" s="2" t="s">
        <v>2576</v>
      </c>
      <c r="E1299" t="s">
        <v>2577</v>
      </c>
      <c r="F1299" t="s">
        <v>377</v>
      </c>
      <c r="G1299" t="s">
        <v>21</v>
      </c>
      <c r="H1299" t="s">
        <v>378</v>
      </c>
      <c r="I1299" t="s">
        <v>23</v>
      </c>
      <c r="J1299" t="s">
        <v>379</v>
      </c>
      <c r="K1299" s="2" t="s">
        <v>814</v>
      </c>
      <c r="L1299" t="s">
        <v>26</v>
      </c>
      <c r="M1299">
        <v>340308</v>
      </c>
      <c r="N1299">
        <v>1</v>
      </c>
      <c r="O1299" s="3">
        <v>5950</v>
      </c>
      <c r="P1299" s="3">
        <v>3307</v>
      </c>
      <c r="Q1299" s="5">
        <f t="shared" si="60"/>
        <v>5000</v>
      </c>
      <c r="R1299" s="5">
        <f t="shared" si="61"/>
        <v>3307</v>
      </c>
      <c r="S1299" s="5">
        <f t="shared" si="62"/>
        <v>1693</v>
      </c>
    </row>
    <row r="1300" spans="1:19" hidden="1" x14ac:dyDescent="0.3">
      <c r="A1300">
        <v>130</v>
      </c>
      <c r="B1300" t="s">
        <v>2244</v>
      </c>
      <c r="C1300" t="s">
        <v>292</v>
      </c>
      <c r="D1300" s="2" t="s">
        <v>293</v>
      </c>
      <c r="E1300" t="s">
        <v>294</v>
      </c>
      <c r="F1300" t="s">
        <v>20</v>
      </c>
      <c r="G1300" t="s">
        <v>21</v>
      </c>
      <c r="H1300" t="s">
        <v>295</v>
      </c>
      <c r="I1300" t="s">
        <v>23</v>
      </c>
      <c r="J1300" t="s">
        <v>40</v>
      </c>
      <c r="K1300" s="2" t="s">
        <v>814</v>
      </c>
      <c r="L1300" t="s">
        <v>26</v>
      </c>
      <c r="M1300">
        <v>340309</v>
      </c>
      <c r="N1300">
        <v>1</v>
      </c>
      <c r="O1300" s="3">
        <v>79950</v>
      </c>
      <c r="P1300" s="3">
        <v>26951</v>
      </c>
      <c r="Q1300" s="5">
        <f t="shared" si="60"/>
        <v>67184.873949579836</v>
      </c>
      <c r="R1300" s="5">
        <f t="shared" si="61"/>
        <v>26951</v>
      </c>
      <c r="S1300" s="5">
        <f t="shared" si="62"/>
        <v>40233.873949579836</v>
      </c>
    </row>
    <row r="1301" spans="1:19" hidden="1" x14ac:dyDescent="0.3">
      <c r="A1301">
        <v>130</v>
      </c>
      <c r="B1301" t="s">
        <v>2244</v>
      </c>
      <c r="C1301" t="s">
        <v>2578</v>
      </c>
      <c r="D1301" s="2" t="s">
        <v>2579</v>
      </c>
      <c r="E1301" t="s">
        <v>1120</v>
      </c>
      <c r="F1301" t="s">
        <v>20</v>
      </c>
      <c r="G1301" t="s">
        <v>21</v>
      </c>
      <c r="H1301" t="s">
        <v>285</v>
      </c>
      <c r="I1301" t="s">
        <v>23</v>
      </c>
      <c r="J1301" t="s">
        <v>49</v>
      </c>
      <c r="K1301" s="2" t="s">
        <v>814</v>
      </c>
      <c r="L1301" t="s">
        <v>26</v>
      </c>
      <c r="M1301">
        <v>340310</v>
      </c>
      <c r="N1301">
        <v>1</v>
      </c>
      <c r="O1301" s="3">
        <v>59990</v>
      </c>
      <c r="P1301" s="3">
        <v>30297</v>
      </c>
      <c r="Q1301" s="5">
        <f t="shared" si="60"/>
        <v>50411.764705882357</v>
      </c>
      <c r="R1301" s="5">
        <f t="shared" si="61"/>
        <v>30297</v>
      </c>
      <c r="S1301" s="5">
        <f t="shared" si="62"/>
        <v>20114.764705882357</v>
      </c>
    </row>
    <row r="1302" spans="1:19" hidden="1" x14ac:dyDescent="0.3">
      <c r="A1302">
        <v>130</v>
      </c>
      <c r="B1302" t="s">
        <v>2244</v>
      </c>
      <c r="C1302">
        <v>1687976791</v>
      </c>
      <c r="D1302" s="2" t="s">
        <v>200</v>
      </c>
      <c r="E1302" t="s">
        <v>201</v>
      </c>
      <c r="F1302" t="s">
        <v>201</v>
      </c>
      <c r="G1302" t="s">
        <v>202</v>
      </c>
      <c r="H1302" t="s">
        <v>202</v>
      </c>
      <c r="I1302" t="s">
        <v>23</v>
      </c>
      <c r="J1302" t="s">
        <v>202</v>
      </c>
      <c r="K1302" s="2" t="s">
        <v>814</v>
      </c>
      <c r="L1302" t="s">
        <v>26</v>
      </c>
      <c r="M1302">
        <v>340310</v>
      </c>
      <c r="N1302">
        <v>1</v>
      </c>
      <c r="O1302" s="3">
        <v>3200</v>
      </c>
      <c r="P1302">
        <v>1</v>
      </c>
      <c r="Q1302" s="5">
        <f t="shared" si="60"/>
        <v>2689.0756302521008</v>
      </c>
      <c r="R1302" s="5">
        <f t="shared" si="61"/>
        <v>1</v>
      </c>
      <c r="S1302" s="5">
        <f t="shared" si="62"/>
        <v>2688.0756302521008</v>
      </c>
    </row>
    <row r="1303" spans="1:19" hidden="1" x14ac:dyDescent="0.3">
      <c r="A1303">
        <v>130</v>
      </c>
      <c r="B1303" t="s">
        <v>2244</v>
      </c>
      <c r="C1303" t="s">
        <v>2460</v>
      </c>
      <c r="D1303" s="2" t="s">
        <v>2461</v>
      </c>
      <c r="E1303" t="s">
        <v>2462</v>
      </c>
      <c r="F1303" t="s">
        <v>20</v>
      </c>
      <c r="G1303" t="s">
        <v>21</v>
      </c>
      <c r="H1303" t="s">
        <v>65</v>
      </c>
      <c r="I1303" t="s">
        <v>23</v>
      </c>
      <c r="J1303" t="s">
        <v>49</v>
      </c>
      <c r="K1303" s="2" t="s">
        <v>814</v>
      </c>
      <c r="L1303" t="s">
        <v>26</v>
      </c>
      <c r="M1303">
        <v>340311</v>
      </c>
      <c r="N1303">
        <v>-1</v>
      </c>
      <c r="O1303" s="3">
        <v>-64950</v>
      </c>
      <c r="P1303" s="3">
        <v>21425</v>
      </c>
      <c r="Q1303" s="5">
        <f t="shared" si="60"/>
        <v>-54579.831932773115</v>
      </c>
      <c r="R1303" s="5">
        <f t="shared" si="61"/>
        <v>-21425</v>
      </c>
      <c r="S1303" s="5">
        <f t="shared" si="62"/>
        <v>-33154.831932773115</v>
      </c>
    </row>
    <row r="1304" spans="1:19" hidden="1" x14ac:dyDescent="0.3">
      <c r="A1304">
        <v>130</v>
      </c>
      <c r="B1304" t="s">
        <v>2244</v>
      </c>
      <c r="C1304" t="s">
        <v>2580</v>
      </c>
      <c r="D1304" s="2" t="s">
        <v>2581</v>
      </c>
      <c r="E1304" t="s">
        <v>2462</v>
      </c>
      <c r="F1304" t="s">
        <v>20</v>
      </c>
      <c r="G1304" t="s">
        <v>21</v>
      </c>
      <c r="H1304" t="s">
        <v>65</v>
      </c>
      <c r="I1304" t="s">
        <v>23</v>
      </c>
      <c r="J1304" t="s">
        <v>49</v>
      </c>
      <c r="K1304" s="2" t="s">
        <v>814</v>
      </c>
      <c r="L1304" t="s">
        <v>26</v>
      </c>
      <c r="M1304">
        <v>340311</v>
      </c>
      <c r="N1304">
        <v>1</v>
      </c>
      <c r="O1304" s="3">
        <v>64951</v>
      </c>
      <c r="P1304" s="3">
        <v>22105</v>
      </c>
      <c r="Q1304" s="5">
        <f t="shared" si="60"/>
        <v>54580.672268907569</v>
      </c>
      <c r="R1304" s="5">
        <f t="shared" si="61"/>
        <v>22105</v>
      </c>
      <c r="S1304" s="5">
        <f t="shared" si="62"/>
        <v>32475.672268907569</v>
      </c>
    </row>
    <row r="1305" spans="1:19" hidden="1" x14ac:dyDescent="0.3">
      <c r="A1305">
        <v>130</v>
      </c>
      <c r="B1305" t="s">
        <v>2244</v>
      </c>
      <c r="C1305" t="s">
        <v>2582</v>
      </c>
      <c r="D1305" s="2" t="s">
        <v>2583</v>
      </c>
      <c r="E1305" t="s">
        <v>2407</v>
      </c>
      <c r="F1305" t="s">
        <v>20</v>
      </c>
      <c r="G1305" t="s">
        <v>21</v>
      </c>
      <c r="H1305" t="s">
        <v>30</v>
      </c>
      <c r="I1305" t="s">
        <v>23</v>
      </c>
      <c r="J1305" t="s">
        <v>49</v>
      </c>
      <c r="K1305" s="2" t="s">
        <v>814</v>
      </c>
      <c r="L1305" t="s">
        <v>26</v>
      </c>
      <c r="M1305">
        <v>340312</v>
      </c>
      <c r="N1305">
        <v>1</v>
      </c>
      <c r="O1305" s="3">
        <v>49990</v>
      </c>
      <c r="P1305" s="3">
        <v>22533</v>
      </c>
      <c r="Q1305" s="5">
        <f t="shared" si="60"/>
        <v>42008.403361344543</v>
      </c>
      <c r="R1305" s="5">
        <f t="shared" si="61"/>
        <v>22533</v>
      </c>
      <c r="S1305" s="5">
        <f t="shared" si="62"/>
        <v>19475.403361344543</v>
      </c>
    </row>
    <row r="1306" spans="1:19" hidden="1" x14ac:dyDescent="0.3">
      <c r="A1306">
        <v>130</v>
      </c>
      <c r="B1306" t="s">
        <v>2244</v>
      </c>
      <c r="C1306" t="s">
        <v>2584</v>
      </c>
      <c r="D1306" s="2" t="s">
        <v>2585</v>
      </c>
      <c r="E1306" t="s">
        <v>2586</v>
      </c>
      <c r="F1306" t="s">
        <v>20</v>
      </c>
      <c r="G1306" t="s">
        <v>21</v>
      </c>
      <c r="H1306" t="s">
        <v>600</v>
      </c>
      <c r="I1306" t="s">
        <v>23</v>
      </c>
      <c r="J1306" t="s">
        <v>40</v>
      </c>
      <c r="K1306" s="2" t="s">
        <v>814</v>
      </c>
      <c r="L1306" t="s">
        <v>26</v>
      </c>
      <c r="M1306">
        <v>340313</v>
      </c>
      <c r="N1306">
        <v>1</v>
      </c>
      <c r="O1306" s="3">
        <v>49990</v>
      </c>
      <c r="P1306" s="3">
        <v>21327</v>
      </c>
      <c r="Q1306" s="5">
        <f t="shared" si="60"/>
        <v>42008.403361344543</v>
      </c>
      <c r="R1306" s="5">
        <f t="shared" si="61"/>
        <v>21327</v>
      </c>
      <c r="S1306" s="5">
        <f t="shared" si="62"/>
        <v>20681.403361344543</v>
      </c>
    </row>
    <row r="1307" spans="1:19" hidden="1" x14ac:dyDescent="0.3">
      <c r="A1307">
        <v>130</v>
      </c>
      <c r="B1307" t="s">
        <v>2244</v>
      </c>
      <c r="C1307" t="s">
        <v>2587</v>
      </c>
      <c r="D1307" s="2" t="s">
        <v>2588</v>
      </c>
      <c r="E1307" t="s">
        <v>2589</v>
      </c>
      <c r="F1307" t="s">
        <v>20</v>
      </c>
      <c r="G1307" t="s">
        <v>21</v>
      </c>
      <c r="H1307" t="s">
        <v>53</v>
      </c>
      <c r="I1307" t="s">
        <v>23</v>
      </c>
      <c r="J1307" t="s">
        <v>49</v>
      </c>
      <c r="K1307" s="2" t="s">
        <v>902</v>
      </c>
      <c r="L1307" t="s">
        <v>26</v>
      </c>
      <c r="M1307">
        <v>340314</v>
      </c>
      <c r="N1307">
        <v>1</v>
      </c>
      <c r="O1307" s="3">
        <v>49990</v>
      </c>
      <c r="P1307" s="3">
        <v>22285</v>
      </c>
      <c r="Q1307" s="5">
        <f t="shared" si="60"/>
        <v>42008.403361344543</v>
      </c>
      <c r="R1307" s="5">
        <f t="shared" si="61"/>
        <v>22285</v>
      </c>
      <c r="S1307" s="5">
        <f t="shared" si="62"/>
        <v>19723.403361344543</v>
      </c>
    </row>
    <row r="1308" spans="1:19" hidden="1" x14ac:dyDescent="0.3">
      <c r="A1308">
        <v>130</v>
      </c>
      <c r="B1308" t="s">
        <v>2244</v>
      </c>
      <c r="C1308" t="s">
        <v>2590</v>
      </c>
      <c r="D1308" s="2" t="s">
        <v>2591</v>
      </c>
      <c r="E1308" t="s">
        <v>2592</v>
      </c>
      <c r="F1308" t="s">
        <v>20</v>
      </c>
      <c r="G1308" t="s">
        <v>21</v>
      </c>
      <c r="H1308" t="s">
        <v>2593</v>
      </c>
      <c r="I1308" t="s">
        <v>23</v>
      </c>
      <c r="J1308" t="s">
        <v>35</v>
      </c>
      <c r="K1308" s="2" t="s">
        <v>902</v>
      </c>
      <c r="L1308" t="s">
        <v>26</v>
      </c>
      <c r="M1308">
        <v>340315</v>
      </c>
      <c r="N1308">
        <v>1</v>
      </c>
      <c r="O1308" s="3">
        <v>99950</v>
      </c>
      <c r="P1308" s="3">
        <v>38102</v>
      </c>
      <c r="Q1308" s="5">
        <f t="shared" si="60"/>
        <v>83991.596638655465</v>
      </c>
      <c r="R1308" s="5">
        <f t="shared" si="61"/>
        <v>38102</v>
      </c>
      <c r="S1308" s="5">
        <f t="shared" si="62"/>
        <v>45889.596638655465</v>
      </c>
    </row>
    <row r="1309" spans="1:19" hidden="1" x14ac:dyDescent="0.3">
      <c r="A1309">
        <v>130</v>
      </c>
      <c r="B1309" t="s">
        <v>2244</v>
      </c>
      <c r="C1309" t="s">
        <v>2594</v>
      </c>
      <c r="D1309" s="2" t="s">
        <v>2595</v>
      </c>
      <c r="E1309" t="s">
        <v>2558</v>
      </c>
      <c r="F1309" t="s">
        <v>20</v>
      </c>
      <c r="G1309" t="s">
        <v>21</v>
      </c>
      <c r="H1309" t="s">
        <v>870</v>
      </c>
      <c r="I1309" t="s">
        <v>23</v>
      </c>
      <c r="J1309" t="s">
        <v>49</v>
      </c>
      <c r="K1309" s="2" t="s">
        <v>902</v>
      </c>
      <c r="L1309" t="s">
        <v>26</v>
      </c>
      <c r="M1309">
        <v>340316</v>
      </c>
      <c r="N1309">
        <v>1</v>
      </c>
      <c r="O1309" s="3">
        <v>55200</v>
      </c>
      <c r="P1309" s="3">
        <v>22955</v>
      </c>
      <c r="Q1309" s="5">
        <f t="shared" si="60"/>
        <v>46386.554621848743</v>
      </c>
      <c r="R1309" s="5">
        <f t="shared" si="61"/>
        <v>22955</v>
      </c>
      <c r="S1309" s="5">
        <f t="shared" si="62"/>
        <v>23431.554621848743</v>
      </c>
    </row>
    <row r="1310" spans="1:19" hidden="1" x14ac:dyDescent="0.3">
      <c r="A1310">
        <v>130</v>
      </c>
      <c r="B1310" t="s">
        <v>2244</v>
      </c>
      <c r="C1310" t="s">
        <v>1048</v>
      </c>
      <c r="D1310" s="2" t="s">
        <v>1049</v>
      </c>
      <c r="E1310" t="s">
        <v>1050</v>
      </c>
      <c r="F1310" t="s">
        <v>20</v>
      </c>
      <c r="G1310" t="s">
        <v>21</v>
      </c>
      <c r="H1310" t="s">
        <v>61</v>
      </c>
      <c r="I1310" t="s">
        <v>23</v>
      </c>
      <c r="J1310" t="s">
        <v>40</v>
      </c>
      <c r="K1310" s="2" t="s">
        <v>902</v>
      </c>
      <c r="L1310" t="s">
        <v>26</v>
      </c>
      <c r="M1310">
        <v>340317</v>
      </c>
      <c r="N1310">
        <v>1</v>
      </c>
      <c r="O1310" s="3">
        <v>49990</v>
      </c>
      <c r="P1310" s="3">
        <v>25171</v>
      </c>
      <c r="Q1310" s="5">
        <f t="shared" si="60"/>
        <v>42008.403361344543</v>
      </c>
      <c r="R1310" s="5">
        <f t="shared" si="61"/>
        <v>25171</v>
      </c>
      <c r="S1310" s="5">
        <f t="shared" si="62"/>
        <v>16837.403361344543</v>
      </c>
    </row>
    <row r="1311" spans="1:19" hidden="1" x14ac:dyDescent="0.3">
      <c r="A1311">
        <v>130</v>
      </c>
      <c r="B1311" t="s">
        <v>2244</v>
      </c>
      <c r="C1311" t="s">
        <v>2596</v>
      </c>
      <c r="D1311" s="2" t="s">
        <v>2597</v>
      </c>
      <c r="E1311" t="s">
        <v>2598</v>
      </c>
      <c r="F1311" t="s">
        <v>20</v>
      </c>
      <c r="G1311" t="s">
        <v>21</v>
      </c>
      <c r="H1311" t="s">
        <v>247</v>
      </c>
      <c r="I1311" t="s">
        <v>23</v>
      </c>
      <c r="J1311" t="s">
        <v>40</v>
      </c>
      <c r="K1311" s="2" t="s">
        <v>902</v>
      </c>
      <c r="L1311" t="s">
        <v>26</v>
      </c>
      <c r="M1311">
        <v>340318</v>
      </c>
      <c r="N1311">
        <v>1</v>
      </c>
      <c r="O1311" s="3">
        <v>34990</v>
      </c>
      <c r="P1311" s="3">
        <v>18016</v>
      </c>
      <c r="Q1311" s="5">
        <f t="shared" si="60"/>
        <v>29403.361344537818</v>
      </c>
      <c r="R1311" s="5">
        <f t="shared" si="61"/>
        <v>18016</v>
      </c>
      <c r="S1311" s="5">
        <f t="shared" si="62"/>
        <v>11387.361344537818</v>
      </c>
    </row>
    <row r="1312" spans="1:19" hidden="1" x14ac:dyDescent="0.3">
      <c r="A1312">
        <v>130</v>
      </c>
      <c r="B1312" t="s">
        <v>2244</v>
      </c>
      <c r="C1312" t="s">
        <v>2599</v>
      </c>
      <c r="D1312" s="2" t="s">
        <v>2600</v>
      </c>
      <c r="E1312" t="s">
        <v>2601</v>
      </c>
      <c r="F1312" t="s">
        <v>20</v>
      </c>
      <c r="G1312" t="s">
        <v>21</v>
      </c>
      <c r="H1312" t="s">
        <v>783</v>
      </c>
      <c r="I1312" t="s">
        <v>23</v>
      </c>
      <c r="J1312" t="s">
        <v>40</v>
      </c>
      <c r="K1312" s="2" t="s">
        <v>902</v>
      </c>
      <c r="L1312" t="s">
        <v>26</v>
      </c>
      <c r="M1312">
        <v>340319</v>
      </c>
      <c r="N1312">
        <v>1</v>
      </c>
      <c r="O1312" s="3">
        <v>54950</v>
      </c>
      <c r="P1312" s="3">
        <v>19451</v>
      </c>
      <c r="Q1312" s="5">
        <f t="shared" si="60"/>
        <v>46176.470588235294</v>
      </c>
      <c r="R1312" s="5">
        <f t="shared" si="61"/>
        <v>19451</v>
      </c>
      <c r="S1312" s="5">
        <f t="shared" si="62"/>
        <v>26725.470588235294</v>
      </c>
    </row>
    <row r="1313" spans="1:19" hidden="1" x14ac:dyDescent="0.3">
      <c r="A1313">
        <v>130</v>
      </c>
      <c r="B1313" t="s">
        <v>2244</v>
      </c>
      <c r="C1313" t="s">
        <v>2602</v>
      </c>
      <c r="D1313" s="2" t="s">
        <v>2603</v>
      </c>
      <c r="E1313" t="s">
        <v>2533</v>
      </c>
      <c r="F1313" t="s">
        <v>20</v>
      </c>
      <c r="G1313" t="s">
        <v>21</v>
      </c>
      <c r="H1313" t="s">
        <v>500</v>
      </c>
      <c r="I1313" t="s">
        <v>23</v>
      </c>
      <c r="J1313" t="s">
        <v>40</v>
      </c>
      <c r="K1313" s="2" t="s">
        <v>902</v>
      </c>
      <c r="L1313" t="s">
        <v>26</v>
      </c>
      <c r="M1313">
        <v>340320</v>
      </c>
      <c r="N1313">
        <v>1</v>
      </c>
      <c r="O1313" s="3">
        <v>49990</v>
      </c>
      <c r="P1313" s="3">
        <v>20043</v>
      </c>
      <c r="Q1313" s="5">
        <f t="shared" si="60"/>
        <v>42008.403361344543</v>
      </c>
      <c r="R1313" s="5">
        <f t="shared" si="61"/>
        <v>20043</v>
      </c>
      <c r="S1313" s="5">
        <f t="shared" si="62"/>
        <v>21965.403361344543</v>
      </c>
    </row>
    <row r="1314" spans="1:19" hidden="1" x14ac:dyDescent="0.3">
      <c r="A1314">
        <v>130</v>
      </c>
      <c r="B1314" t="s">
        <v>2244</v>
      </c>
      <c r="C1314" t="s">
        <v>2604</v>
      </c>
      <c r="D1314" s="2" t="s">
        <v>2605</v>
      </c>
      <c r="E1314" t="s">
        <v>2606</v>
      </c>
      <c r="F1314" t="s">
        <v>20</v>
      </c>
      <c r="G1314" t="s">
        <v>21</v>
      </c>
      <c r="H1314" t="s">
        <v>970</v>
      </c>
      <c r="I1314" t="s">
        <v>23</v>
      </c>
      <c r="J1314" t="s">
        <v>40</v>
      </c>
      <c r="K1314" s="2" t="s">
        <v>902</v>
      </c>
      <c r="L1314" t="s">
        <v>26</v>
      </c>
      <c r="M1314">
        <v>340321</v>
      </c>
      <c r="N1314">
        <v>1</v>
      </c>
      <c r="O1314" s="3">
        <v>49990</v>
      </c>
      <c r="P1314" s="3">
        <v>18897</v>
      </c>
      <c r="Q1314" s="5">
        <f t="shared" si="60"/>
        <v>42008.403361344543</v>
      </c>
      <c r="R1314" s="5">
        <f t="shared" si="61"/>
        <v>18897</v>
      </c>
      <c r="S1314" s="5">
        <f t="shared" si="62"/>
        <v>23111.403361344543</v>
      </c>
    </row>
    <row r="1315" spans="1:19" hidden="1" x14ac:dyDescent="0.3">
      <c r="A1315">
        <v>130</v>
      </c>
      <c r="B1315" t="s">
        <v>2244</v>
      </c>
      <c r="C1315" t="s">
        <v>2607</v>
      </c>
      <c r="D1315" s="2" t="s">
        <v>2608</v>
      </c>
      <c r="E1315" t="s">
        <v>1474</v>
      </c>
      <c r="F1315" t="s">
        <v>20</v>
      </c>
      <c r="G1315" t="s">
        <v>21</v>
      </c>
      <c r="H1315" t="s">
        <v>65</v>
      </c>
      <c r="I1315" t="s">
        <v>23</v>
      </c>
      <c r="J1315" t="s">
        <v>49</v>
      </c>
      <c r="K1315" s="2" t="s">
        <v>902</v>
      </c>
      <c r="L1315" t="s">
        <v>26</v>
      </c>
      <c r="M1315">
        <v>340322</v>
      </c>
      <c r="N1315">
        <v>-1</v>
      </c>
      <c r="O1315" s="3">
        <v>-39990</v>
      </c>
      <c r="P1315" s="3">
        <v>23307</v>
      </c>
      <c r="Q1315" s="5">
        <f t="shared" si="60"/>
        <v>-33605.042016806721</v>
      </c>
      <c r="R1315" s="5">
        <f t="shared" si="61"/>
        <v>-23307</v>
      </c>
      <c r="S1315" s="5">
        <f t="shared" si="62"/>
        <v>-10298.042016806721</v>
      </c>
    </row>
    <row r="1316" spans="1:19" hidden="1" x14ac:dyDescent="0.3">
      <c r="A1316">
        <v>130</v>
      </c>
      <c r="B1316" t="s">
        <v>2244</v>
      </c>
      <c r="C1316" t="s">
        <v>2609</v>
      </c>
      <c r="D1316" s="2" t="s">
        <v>2610</v>
      </c>
      <c r="E1316" t="s">
        <v>2611</v>
      </c>
      <c r="F1316" t="s">
        <v>20</v>
      </c>
      <c r="G1316" t="s">
        <v>338</v>
      </c>
      <c r="H1316">
        <v>25312</v>
      </c>
      <c r="I1316" t="s">
        <v>23</v>
      </c>
      <c r="J1316" t="s">
        <v>35</v>
      </c>
      <c r="K1316" s="2" t="s">
        <v>902</v>
      </c>
      <c r="L1316" t="s">
        <v>26</v>
      </c>
      <c r="M1316">
        <v>340322</v>
      </c>
      <c r="N1316">
        <v>1</v>
      </c>
      <c r="O1316" s="3">
        <v>69950</v>
      </c>
      <c r="P1316" s="3">
        <v>21167</v>
      </c>
      <c r="Q1316" s="5">
        <f t="shared" si="60"/>
        <v>58781.512605042022</v>
      </c>
      <c r="R1316" s="5">
        <f t="shared" si="61"/>
        <v>21167</v>
      </c>
      <c r="S1316" s="5">
        <f t="shared" si="62"/>
        <v>37614.512605042022</v>
      </c>
    </row>
    <row r="1317" spans="1:19" hidden="1" x14ac:dyDescent="0.3">
      <c r="A1317">
        <v>130</v>
      </c>
      <c r="B1317" t="s">
        <v>2244</v>
      </c>
      <c r="C1317" t="s">
        <v>128</v>
      </c>
      <c r="D1317" s="2" t="s">
        <v>129</v>
      </c>
      <c r="E1317" t="s">
        <v>130</v>
      </c>
      <c r="F1317" t="s">
        <v>20</v>
      </c>
      <c r="G1317" t="s">
        <v>21</v>
      </c>
      <c r="H1317" t="s">
        <v>131</v>
      </c>
      <c r="I1317" t="s">
        <v>23</v>
      </c>
      <c r="J1317" t="s">
        <v>49</v>
      </c>
      <c r="K1317" s="2" t="s">
        <v>902</v>
      </c>
      <c r="L1317" t="s">
        <v>26</v>
      </c>
      <c r="M1317">
        <v>340323</v>
      </c>
      <c r="N1317">
        <v>1</v>
      </c>
      <c r="O1317" s="3">
        <v>39990</v>
      </c>
      <c r="P1317" s="3">
        <v>28069</v>
      </c>
      <c r="Q1317" s="5">
        <f t="shared" si="60"/>
        <v>33605.042016806721</v>
      </c>
      <c r="R1317" s="5">
        <f t="shared" si="61"/>
        <v>28069</v>
      </c>
      <c r="S1317" s="5">
        <f t="shared" si="62"/>
        <v>5536.0420168067212</v>
      </c>
    </row>
    <row r="1318" spans="1:19" hidden="1" x14ac:dyDescent="0.3">
      <c r="A1318">
        <v>130</v>
      </c>
      <c r="B1318" t="s">
        <v>2244</v>
      </c>
      <c r="C1318" t="s">
        <v>2612</v>
      </c>
      <c r="D1318" s="2" t="s">
        <v>2613</v>
      </c>
      <c r="E1318" t="s">
        <v>337</v>
      </c>
      <c r="F1318" t="s">
        <v>20</v>
      </c>
      <c r="G1318" t="s">
        <v>338</v>
      </c>
      <c r="H1318">
        <v>23746</v>
      </c>
      <c r="I1318" t="s">
        <v>23</v>
      </c>
      <c r="J1318" t="s">
        <v>40</v>
      </c>
      <c r="K1318" s="2" t="s">
        <v>999</v>
      </c>
      <c r="L1318" t="s">
        <v>26</v>
      </c>
      <c r="M1318">
        <v>340324</v>
      </c>
      <c r="N1318">
        <v>1</v>
      </c>
      <c r="O1318" s="3">
        <v>79950</v>
      </c>
      <c r="P1318" s="3">
        <v>27470</v>
      </c>
      <c r="Q1318" s="5">
        <f t="shared" si="60"/>
        <v>67184.873949579836</v>
      </c>
      <c r="R1318" s="5">
        <f t="shared" si="61"/>
        <v>27470</v>
      </c>
      <c r="S1318" s="5">
        <f t="shared" si="62"/>
        <v>39714.873949579836</v>
      </c>
    </row>
    <row r="1319" spans="1:19" hidden="1" x14ac:dyDescent="0.3">
      <c r="A1319">
        <v>130</v>
      </c>
      <c r="B1319" t="s">
        <v>2244</v>
      </c>
      <c r="C1319" t="s">
        <v>2614</v>
      </c>
      <c r="D1319" s="2" t="s">
        <v>2615</v>
      </c>
      <c r="E1319" t="s">
        <v>2616</v>
      </c>
      <c r="F1319" t="s">
        <v>20</v>
      </c>
      <c r="G1319" t="s">
        <v>338</v>
      </c>
      <c r="H1319">
        <v>83717</v>
      </c>
      <c r="I1319" t="s">
        <v>23</v>
      </c>
      <c r="J1319" t="s">
        <v>40</v>
      </c>
      <c r="K1319" s="2" t="s">
        <v>999</v>
      </c>
      <c r="L1319" t="s">
        <v>26</v>
      </c>
      <c r="M1319">
        <v>340324</v>
      </c>
      <c r="N1319">
        <v>1</v>
      </c>
      <c r="O1319" s="3">
        <v>89950</v>
      </c>
      <c r="P1319" s="3">
        <v>30263</v>
      </c>
      <c r="Q1319" s="5">
        <f t="shared" si="60"/>
        <v>75588.23529411765</v>
      </c>
      <c r="R1319" s="5">
        <f t="shared" si="61"/>
        <v>30263</v>
      </c>
      <c r="S1319" s="5">
        <f t="shared" si="62"/>
        <v>45325.23529411765</v>
      </c>
    </row>
    <row r="1320" spans="1:19" hidden="1" x14ac:dyDescent="0.3">
      <c r="A1320">
        <v>130</v>
      </c>
      <c r="B1320" t="s">
        <v>2244</v>
      </c>
      <c r="C1320">
        <v>1687976791</v>
      </c>
      <c r="D1320" s="2" t="s">
        <v>200</v>
      </c>
      <c r="E1320" t="s">
        <v>201</v>
      </c>
      <c r="F1320" t="s">
        <v>201</v>
      </c>
      <c r="G1320" t="s">
        <v>202</v>
      </c>
      <c r="H1320" t="s">
        <v>202</v>
      </c>
      <c r="I1320" t="s">
        <v>23</v>
      </c>
      <c r="J1320" t="s">
        <v>202</v>
      </c>
      <c r="K1320" s="2" t="s">
        <v>999</v>
      </c>
      <c r="L1320" t="s">
        <v>26</v>
      </c>
      <c r="M1320">
        <v>340325</v>
      </c>
      <c r="N1320">
        <v>1</v>
      </c>
      <c r="O1320" s="3">
        <v>3200</v>
      </c>
      <c r="P1320">
        <v>1</v>
      </c>
      <c r="Q1320" s="5">
        <f t="shared" si="60"/>
        <v>2689.0756302521008</v>
      </c>
      <c r="R1320" s="5">
        <f t="shared" si="61"/>
        <v>1</v>
      </c>
      <c r="S1320" s="5">
        <f t="shared" si="62"/>
        <v>2688.0756302521008</v>
      </c>
    </row>
    <row r="1321" spans="1:19" hidden="1" x14ac:dyDescent="0.3">
      <c r="A1321">
        <v>130</v>
      </c>
      <c r="B1321" t="s">
        <v>2244</v>
      </c>
      <c r="C1321" t="s">
        <v>2617</v>
      </c>
      <c r="D1321" s="2" t="s">
        <v>2618</v>
      </c>
      <c r="E1321" t="s">
        <v>2619</v>
      </c>
      <c r="F1321" t="s">
        <v>377</v>
      </c>
      <c r="G1321" t="s">
        <v>21</v>
      </c>
      <c r="H1321" t="s">
        <v>378</v>
      </c>
      <c r="I1321" t="s">
        <v>23</v>
      </c>
      <c r="J1321" t="s">
        <v>2620</v>
      </c>
      <c r="K1321" s="2" t="s">
        <v>999</v>
      </c>
      <c r="L1321" t="s">
        <v>26</v>
      </c>
      <c r="M1321">
        <v>340325</v>
      </c>
      <c r="N1321">
        <v>1</v>
      </c>
      <c r="O1321" s="3">
        <v>24950</v>
      </c>
      <c r="P1321" s="3">
        <v>13329</v>
      </c>
      <c r="Q1321" s="5">
        <f t="shared" si="60"/>
        <v>20966.386554621851</v>
      </c>
      <c r="R1321" s="5">
        <f t="shared" si="61"/>
        <v>13329</v>
      </c>
      <c r="S1321" s="5">
        <f t="shared" si="62"/>
        <v>7637.3865546218512</v>
      </c>
    </row>
    <row r="1322" spans="1:19" hidden="1" x14ac:dyDescent="0.3">
      <c r="A1322">
        <v>130</v>
      </c>
      <c r="B1322" t="s">
        <v>2244</v>
      </c>
      <c r="C1322" t="s">
        <v>2621</v>
      </c>
      <c r="D1322" s="2" t="s">
        <v>2622</v>
      </c>
      <c r="E1322" t="s">
        <v>714</v>
      </c>
      <c r="F1322" t="s">
        <v>20</v>
      </c>
      <c r="G1322" t="s">
        <v>21</v>
      </c>
      <c r="H1322" t="s">
        <v>30</v>
      </c>
      <c r="I1322" t="s">
        <v>23</v>
      </c>
      <c r="J1322" t="s">
        <v>49</v>
      </c>
      <c r="K1322" s="2" t="s">
        <v>999</v>
      </c>
      <c r="L1322" t="s">
        <v>26</v>
      </c>
      <c r="M1322">
        <v>340326</v>
      </c>
      <c r="N1322">
        <v>1</v>
      </c>
      <c r="O1322" s="3">
        <v>69950</v>
      </c>
      <c r="P1322" s="3">
        <v>24651</v>
      </c>
      <c r="Q1322" s="5">
        <f t="shared" si="60"/>
        <v>58781.512605042022</v>
      </c>
      <c r="R1322" s="5">
        <f t="shared" si="61"/>
        <v>24651</v>
      </c>
      <c r="S1322" s="5">
        <f t="shared" si="62"/>
        <v>34130.512605042022</v>
      </c>
    </row>
    <row r="1323" spans="1:19" hidden="1" x14ac:dyDescent="0.3">
      <c r="A1323">
        <v>130</v>
      </c>
      <c r="B1323" t="s">
        <v>2244</v>
      </c>
      <c r="C1323" t="s">
        <v>2623</v>
      </c>
      <c r="D1323" s="2" t="s">
        <v>2624</v>
      </c>
      <c r="E1323" t="s">
        <v>2278</v>
      </c>
      <c r="F1323" t="s">
        <v>20</v>
      </c>
      <c r="G1323" t="s">
        <v>21</v>
      </c>
      <c r="H1323" t="s">
        <v>346</v>
      </c>
      <c r="I1323" t="s">
        <v>23</v>
      </c>
      <c r="J1323" t="s">
        <v>49</v>
      </c>
      <c r="K1323" s="2" t="s">
        <v>999</v>
      </c>
      <c r="L1323" t="s">
        <v>26</v>
      </c>
      <c r="M1323">
        <v>340327</v>
      </c>
      <c r="N1323">
        <v>1</v>
      </c>
      <c r="O1323" s="3">
        <v>49990</v>
      </c>
      <c r="P1323" s="3">
        <v>23234</v>
      </c>
      <c r="Q1323" s="5">
        <f t="shared" si="60"/>
        <v>42008.403361344543</v>
      </c>
      <c r="R1323" s="5">
        <f t="shared" si="61"/>
        <v>23234</v>
      </c>
      <c r="S1323" s="5">
        <f t="shared" si="62"/>
        <v>18774.403361344543</v>
      </c>
    </row>
    <row r="1324" spans="1:19" hidden="1" x14ac:dyDescent="0.3">
      <c r="A1324">
        <v>130</v>
      </c>
      <c r="B1324" t="s">
        <v>2244</v>
      </c>
      <c r="C1324" t="s">
        <v>2625</v>
      </c>
      <c r="D1324" s="2" t="s">
        <v>2626</v>
      </c>
      <c r="E1324" t="s">
        <v>2539</v>
      </c>
      <c r="F1324" t="s">
        <v>20</v>
      </c>
      <c r="G1324" t="s">
        <v>21</v>
      </c>
      <c r="H1324" t="s">
        <v>966</v>
      </c>
      <c r="I1324" t="s">
        <v>23</v>
      </c>
      <c r="J1324" t="s">
        <v>35</v>
      </c>
      <c r="K1324" s="2" t="s">
        <v>999</v>
      </c>
      <c r="L1324" t="s">
        <v>26</v>
      </c>
      <c r="M1324">
        <v>340328</v>
      </c>
      <c r="N1324">
        <v>1</v>
      </c>
      <c r="O1324" s="3">
        <v>74950</v>
      </c>
      <c r="P1324" s="3">
        <v>27026</v>
      </c>
      <c r="Q1324" s="5">
        <f t="shared" si="60"/>
        <v>62983.193277310929</v>
      </c>
      <c r="R1324" s="5">
        <f t="shared" si="61"/>
        <v>27026</v>
      </c>
      <c r="S1324" s="5">
        <f t="shared" si="62"/>
        <v>35957.193277310929</v>
      </c>
    </row>
    <row r="1325" spans="1:19" hidden="1" x14ac:dyDescent="0.3">
      <c r="A1325">
        <v>130</v>
      </c>
      <c r="B1325" t="s">
        <v>2244</v>
      </c>
      <c r="C1325" t="s">
        <v>2627</v>
      </c>
      <c r="D1325" s="2" t="s">
        <v>2628</v>
      </c>
      <c r="E1325" t="s">
        <v>2629</v>
      </c>
      <c r="F1325" t="s">
        <v>20</v>
      </c>
      <c r="G1325" t="s">
        <v>21</v>
      </c>
      <c r="H1325" t="s">
        <v>1987</v>
      </c>
      <c r="I1325" t="s">
        <v>23</v>
      </c>
      <c r="J1325" t="s">
        <v>49</v>
      </c>
      <c r="K1325" s="2" t="s">
        <v>999</v>
      </c>
      <c r="L1325" t="s">
        <v>26</v>
      </c>
      <c r="M1325">
        <v>340329</v>
      </c>
      <c r="N1325">
        <v>1</v>
      </c>
      <c r="O1325" s="3">
        <v>74950</v>
      </c>
      <c r="P1325" s="3">
        <v>23391</v>
      </c>
      <c r="Q1325" s="5">
        <f t="shared" si="60"/>
        <v>62983.193277310929</v>
      </c>
      <c r="R1325" s="5">
        <f t="shared" si="61"/>
        <v>23391</v>
      </c>
      <c r="S1325" s="5">
        <f t="shared" si="62"/>
        <v>39592.193277310929</v>
      </c>
    </row>
    <row r="1326" spans="1:19" hidden="1" x14ac:dyDescent="0.3">
      <c r="A1326">
        <v>130</v>
      </c>
      <c r="B1326" t="s">
        <v>2244</v>
      </c>
      <c r="C1326" t="s">
        <v>2630</v>
      </c>
      <c r="D1326" s="2" t="s">
        <v>2631</v>
      </c>
      <c r="E1326" t="s">
        <v>2632</v>
      </c>
      <c r="F1326" t="s">
        <v>20</v>
      </c>
      <c r="G1326" t="s">
        <v>21</v>
      </c>
      <c r="H1326" t="s">
        <v>2469</v>
      </c>
      <c r="I1326" t="s">
        <v>23</v>
      </c>
      <c r="J1326" t="s">
        <v>49</v>
      </c>
      <c r="K1326" s="2" t="s">
        <v>999</v>
      </c>
      <c r="L1326" t="s">
        <v>26</v>
      </c>
      <c r="M1326">
        <v>340330</v>
      </c>
      <c r="N1326">
        <v>1</v>
      </c>
      <c r="O1326" s="3">
        <v>64950</v>
      </c>
      <c r="P1326" s="3">
        <v>21365</v>
      </c>
      <c r="Q1326" s="5">
        <f t="shared" si="60"/>
        <v>54579.831932773115</v>
      </c>
      <c r="R1326" s="5">
        <f t="shared" si="61"/>
        <v>21365</v>
      </c>
      <c r="S1326" s="5">
        <f t="shared" si="62"/>
        <v>33214.831932773115</v>
      </c>
    </row>
    <row r="1327" spans="1:19" hidden="1" x14ac:dyDescent="0.3">
      <c r="A1327">
        <v>130</v>
      </c>
      <c r="B1327" t="s">
        <v>2244</v>
      </c>
      <c r="C1327" t="s">
        <v>2633</v>
      </c>
      <c r="D1327" s="2" t="s">
        <v>2634</v>
      </c>
      <c r="E1327" t="s">
        <v>866</v>
      </c>
      <c r="F1327" t="s">
        <v>20</v>
      </c>
      <c r="G1327" t="s">
        <v>21</v>
      </c>
      <c r="H1327" t="s">
        <v>90</v>
      </c>
      <c r="I1327" t="s">
        <v>23</v>
      </c>
      <c r="J1327" t="s">
        <v>35</v>
      </c>
      <c r="K1327" s="2" t="s">
        <v>999</v>
      </c>
      <c r="L1327" t="s">
        <v>26</v>
      </c>
      <c r="M1327">
        <v>340331</v>
      </c>
      <c r="N1327">
        <v>1</v>
      </c>
      <c r="O1327" s="3">
        <v>84950</v>
      </c>
      <c r="P1327" s="3">
        <v>35383</v>
      </c>
      <c r="Q1327" s="5">
        <f t="shared" si="60"/>
        <v>71386.554621848743</v>
      </c>
      <c r="R1327" s="5">
        <f t="shared" si="61"/>
        <v>35383</v>
      </c>
      <c r="S1327" s="5">
        <f t="shared" si="62"/>
        <v>36003.554621848743</v>
      </c>
    </row>
    <row r="1328" spans="1:19" hidden="1" x14ac:dyDescent="0.3">
      <c r="A1328">
        <v>130</v>
      </c>
      <c r="B1328" t="s">
        <v>2244</v>
      </c>
      <c r="C1328" t="s">
        <v>2635</v>
      </c>
      <c r="D1328" s="2" t="s">
        <v>2636</v>
      </c>
      <c r="E1328" t="s">
        <v>2637</v>
      </c>
      <c r="F1328" t="s">
        <v>377</v>
      </c>
      <c r="G1328" t="s">
        <v>21</v>
      </c>
      <c r="H1328" t="s">
        <v>378</v>
      </c>
      <c r="I1328" t="s">
        <v>23</v>
      </c>
      <c r="J1328" t="s">
        <v>2638</v>
      </c>
      <c r="K1328" s="2" t="s">
        <v>999</v>
      </c>
      <c r="L1328" t="s">
        <v>26</v>
      </c>
      <c r="M1328">
        <v>340332</v>
      </c>
      <c r="N1328">
        <v>1</v>
      </c>
      <c r="O1328" s="3">
        <v>3450</v>
      </c>
      <c r="P1328" s="3">
        <v>1510</v>
      </c>
      <c r="Q1328" s="5">
        <f t="shared" si="60"/>
        <v>2899.1596638655465</v>
      </c>
      <c r="R1328" s="5">
        <f t="shared" si="61"/>
        <v>1510</v>
      </c>
      <c r="S1328" s="5">
        <f t="shared" si="62"/>
        <v>1389.1596638655465</v>
      </c>
    </row>
    <row r="1329" spans="1:19" hidden="1" x14ac:dyDescent="0.3">
      <c r="A1329">
        <v>130</v>
      </c>
      <c r="B1329" t="s">
        <v>2244</v>
      </c>
      <c r="C1329" t="s">
        <v>2639</v>
      </c>
      <c r="D1329" s="2" t="s">
        <v>2640</v>
      </c>
      <c r="E1329" t="s">
        <v>2641</v>
      </c>
      <c r="F1329" t="s">
        <v>20</v>
      </c>
      <c r="G1329" t="s">
        <v>21</v>
      </c>
      <c r="H1329" t="s">
        <v>30</v>
      </c>
      <c r="I1329" t="s">
        <v>23</v>
      </c>
      <c r="J1329" t="s">
        <v>49</v>
      </c>
      <c r="K1329" s="2" t="s">
        <v>999</v>
      </c>
      <c r="L1329" t="s">
        <v>26</v>
      </c>
      <c r="M1329">
        <v>340333</v>
      </c>
      <c r="N1329">
        <v>1</v>
      </c>
      <c r="O1329" s="3">
        <v>69950</v>
      </c>
      <c r="P1329" s="3">
        <v>26131</v>
      </c>
      <c r="Q1329" s="5">
        <f t="shared" si="60"/>
        <v>58781.512605042022</v>
      </c>
      <c r="R1329" s="5">
        <f t="shared" si="61"/>
        <v>26131</v>
      </c>
      <c r="S1329" s="5">
        <f t="shared" si="62"/>
        <v>32650.512605042022</v>
      </c>
    </row>
    <row r="1330" spans="1:19" hidden="1" x14ac:dyDescent="0.3">
      <c r="A1330">
        <v>130</v>
      </c>
      <c r="B1330" t="s">
        <v>2244</v>
      </c>
      <c r="C1330" t="s">
        <v>2642</v>
      </c>
      <c r="D1330" s="2" t="s">
        <v>2643</v>
      </c>
      <c r="E1330" t="s">
        <v>425</v>
      </c>
      <c r="F1330" t="s">
        <v>20</v>
      </c>
      <c r="G1330" t="s">
        <v>21</v>
      </c>
      <c r="H1330" t="s">
        <v>22</v>
      </c>
      <c r="I1330" t="s">
        <v>23</v>
      </c>
      <c r="J1330" t="s">
        <v>24</v>
      </c>
      <c r="K1330" s="2" t="s">
        <v>999</v>
      </c>
      <c r="L1330" t="s">
        <v>26</v>
      </c>
      <c r="M1330">
        <v>340334</v>
      </c>
      <c r="N1330">
        <v>1</v>
      </c>
      <c r="O1330" s="3">
        <v>79950</v>
      </c>
      <c r="P1330" s="3">
        <v>27799</v>
      </c>
      <c r="Q1330" s="5">
        <f t="shared" si="60"/>
        <v>67184.873949579836</v>
      </c>
      <c r="R1330" s="5">
        <f t="shared" si="61"/>
        <v>27799</v>
      </c>
      <c r="S1330" s="5">
        <f t="shared" si="62"/>
        <v>39385.873949579836</v>
      </c>
    </row>
    <row r="1331" spans="1:19" hidden="1" x14ac:dyDescent="0.3">
      <c r="A1331">
        <v>130</v>
      </c>
      <c r="B1331" t="s">
        <v>2244</v>
      </c>
      <c r="C1331" t="s">
        <v>2623</v>
      </c>
      <c r="D1331" s="2" t="s">
        <v>2624</v>
      </c>
      <c r="E1331" t="s">
        <v>2278</v>
      </c>
      <c r="F1331" t="s">
        <v>20</v>
      </c>
      <c r="G1331" t="s">
        <v>21</v>
      </c>
      <c r="H1331" t="s">
        <v>346</v>
      </c>
      <c r="I1331" t="s">
        <v>23</v>
      </c>
      <c r="J1331" t="s">
        <v>49</v>
      </c>
      <c r="K1331" s="2" t="s">
        <v>999</v>
      </c>
      <c r="L1331" t="s">
        <v>26</v>
      </c>
      <c r="M1331">
        <v>340335</v>
      </c>
      <c r="N1331">
        <v>-1</v>
      </c>
      <c r="O1331" s="3">
        <v>-49990</v>
      </c>
      <c r="P1331" s="3">
        <v>23234</v>
      </c>
      <c r="Q1331" s="5">
        <f t="shared" si="60"/>
        <v>-42008.403361344543</v>
      </c>
      <c r="R1331" s="5">
        <f t="shared" si="61"/>
        <v>-23234</v>
      </c>
      <c r="S1331" s="5">
        <f t="shared" si="62"/>
        <v>-18774.403361344543</v>
      </c>
    </row>
    <row r="1332" spans="1:19" hidden="1" x14ac:dyDescent="0.3">
      <c r="A1332">
        <v>130</v>
      </c>
      <c r="B1332" t="s">
        <v>2244</v>
      </c>
      <c r="C1332" t="s">
        <v>2276</v>
      </c>
      <c r="D1332" s="2" t="s">
        <v>2277</v>
      </c>
      <c r="E1332" t="s">
        <v>2278</v>
      </c>
      <c r="F1332" t="s">
        <v>20</v>
      </c>
      <c r="G1332" t="s">
        <v>21</v>
      </c>
      <c r="H1332" t="s">
        <v>346</v>
      </c>
      <c r="I1332" t="s">
        <v>23</v>
      </c>
      <c r="J1332" t="s">
        <v>49</v>
      </c>
      <c r="K1332" s="2" t="s">
        <v>999</v>
      </c>
      <c r="L1332" t="s">
        <v>26</v>
      </c>
      <c r="M1332">
        <v>340335</v>
      </c>
      <c r="N1332">
        <v>1</v>
      </c>
      <c r="O1332" s="3">
        <v>49991</v>
      </c>
      <c r="P1332" s="3">
        <v>23224</v>
      </c>
      <c r="Q1332" s="5">
        <f t="shared" si="60"/>
        <v>42009.243697478996</v>
      </c>
      <c r="R1332" s="5">
        <f t="shared" si="61"/>
        <v>23224</v>
      </c>
      <c r="S1332" s="5">
        <f t="shared" si="62"/>
        <v>18785.243697478996</v>
      </c>
    </row>
    <row r="1333" spans="1:19" hidden="1" x14ac:dyDescent="0.3">
      <c r="A1333">
        <v>130</v>
      </c>
      <c r="B1333" t="s">
        <v>2244</v>
      </c>
      <c r="C1333" t="s">
        <v>2644</v>
      </c>
      <c r="D1333" s="2" t="s">
        <v>2645</v>
      </c>
      <c r="E1333" t="s">
        <v>428</v>
      </c>
      <c r="F1333" t="s">
        <v>20</v>
      </c>
      <c r="G1333" t="s">
        <v>21</v>
      </c>
      <c r="H1333" t="s">
        <v>429</v>
      </c>
      <c r="I1333" t="s">
        <v>23</v>
      </c>
      <c r="J1333" t="s">
        <v>49</v>
      </c>
      <c r="K1333" s="2" t="s">
        <v>999</v>
      </c>
      <c r="L1333" t="s">
        <v>26</v>
      </c>
      <c r="M1333">
        <v>340336</v>
      </c>
      <c r="N1333">
        <v>1</v>
      </c>
      <c r="O1333" s="3">
        <v>59990</v>
      </c>
      <c r="P1333" s="3">
        <v>28864</v>
      </c>
      <c r="Q1333" s="5">
        <f t="shared" si="60"/>
        <v>50411.764705882357</v>
      </c>
      <c r="R1333" s="5">
        <f t="shared" si="61"/>
        <v>28864</v>
      </c>
      <c r="S1333" s="5">
        <f t="shared" si="62"/>
        <v>21547.764705882357</v>
      </c>
    </row>
    <row r="1334" spans="1:19" hidden="1" x14ac:dyDescent="0.3">
      <c r="A1334">
        <v>130</v>
      </c>
      <c r="B1334" t="s">
        <v>2244</v>
      </c>
      <c r="C1334" t="s">
        <v>2646</v>
      </c>
      <c r="D1334" s="2" t="s">
        <v>2647</v>
      </c>
      <c r="E1334" t="s">
        <v>2648</v>
      </c>
      <c r="F1334" t="s">
        <v>20</v>
      </c>
      <c r="G1334" t="s">
        <v>21</v>
      </c>
      <c r="H1334" t="s">
        <v>970</v>
      </c>
      <c r="I1334" t="s">
        <v>23</v>
      </c>
      <c r="J1334" t="s">
        <v>40</v>
      </c>
      <c r="K1334" s="2" t="s">
        <v>999</v>
      </c>
      <c r="L1334" t="s">
        <v>26</v>
      </c>
      <c r="M1334">
        <v>340337</v>
      </c>
      <c r="N1334">
        <v>1</v>
      </c>
      <c r="O1334" s="3">
        <v>59950</v>
      </c>
      <c r="P1334" s="3">
        <v>18610</v>
      </c>
      <c r="Q1334" s="5">
        <f t="shared" si="60"/>
        <v>50378.151260504201</v>
      </c>
      <c r="R1334" s="5">
        <f t="shared" si="61"/>
        <v>18610</v>
      </c>
      <c r="S1334" s="5">
        <f t="shared" si="62"/>
        <v>31768.151260504201</v>
      </c>
    </row>
    <row r="1335" spans="1:19" hidden="1" x14ac:dyDescent="0.3">
      <c r="A1335">
        <v>130</v>
      </c>
      <c r="B1335" t="s">
        <v>2244</v>
      </c>
      <c r="C1335" t="s">
        <v>2623</v>
      </c>
      <c r="D1335" s="2" t="s">
        <v>2624</v>
      </c>
      <c r="E1335" t="s">
        <v>2278</v>
      </c>
      <c r="F1335" t="s">
        <v>20</v>
      </c>
      <c r="G1335" t="s">
        <v>21</v>
      </c>
      <c r="H1335" t="s">
        <v>346</v>
      </c>
      <c r="I1335" t="s">
        <v>23</v>
      </c>
      <c r="J1335" t="s">
        <v>49</v>
      </c>
      <c r="K1335" s="2" t="s">
        <v>1072</v>
      </c>
      <c r="L1335" t="s">
        <v>26</v>
      </c>
      <c r="M1335">
        <v>340338</v>
      </c>
      <c r="N1335">
        <v>1</v>
      </c>
      <c r="O1335" s="3">
        <v>49991</v>
      </c>
      <c r="P1335" s="3">
        <v>23234</v>
      </c>
      <c r="Q1335" s="5">
        <f t="shared" si="60"/>
        <v>42009.243697478996</v>
      </c>
      <c r="R1335" s="5">
        <f t="shared" si="61"/>
        <v>23234</v>
      </c>
      <c r="S1335" s="5">
        <f t="shared" si="62"/>
        <v>18775.243697478996</v>
      </c>
    </row>
    <row r="1336" spans="1:19" hidden="1" x14ac:dyDescent="0.3">
      <c r="A1336">
        <v>130</v>
      </c>
      <c r="B1336" t="s">
        <v>2244</v>
      </c>
      <c r="C1336" t="s">
        <v>2276</v>
      </c>
      <c r="D1336" s="2" t="s">
        <v>2277</v>
      </c>
      <c r="E1336" t="s">
        <v>2278</v>
      </c>
      <c r="F1336" t="s">
        <v>20</v>
      </c>
      <c r="G1336" t="s">
        <v>21</v>
      </c>
      <c r="H1336" t="s">
        <v>346</v>
      </c>
      <c r="I1336" t="s">
        <v>23</v>
      </c>
      <c r="J1336" t="s">
        <v>49</v>
      </c>
      <c r="K1336" s="2" t="s">
        <v>1072</v>
      </c>
      <c r="L1336" t="s">
        <v>26</v>
      </c>
      <c r="M1336">
        <v>340338</v>
      </c>
      <c r="N1336">
        <v>-1</v>
      </c>
      <c r="O1336" s="3">
        <v>-49990</v>
      </c>
      <c r="P1336" s="3">
        <v>23224</v>
      </c>
      <c r="Q1336" s="5">
        <f t="shared" si="60"/>
        <v>-42008.403361344543</v>
      </c>
      <c r="R1336" s="5">
        <f t="shared" si="61"/>
        <v>-23224</v>
      </c>
      <c r="S1336" s="5">
        <f t="shared" si="62"/>
        <v>-18784.403361344543</v>
      </c>
    </row>
    <row r="1337" spans="1:19" hidden="1" x14ac:dyDescent="0.3">
      <c r="A1337">
        <v>130</v>
      </c>
      <c r="B1337" t="s">
        <v>2244</v>
      </c>
      <c r="C1337" t="s">
        <v>2649</v>
      </c>
      <c r="D1337" s="2" t="s">
        <v>2650</v>
      </c>
      <c r="E1337" t="s">
        <v>266</v>
      </c>
      <c r="F1337" t="s">
        <v>20</v>
      </c>
      <c r="G1337" t="s">
        <v>21</v>
      </c>
      <c r="H1337" t="s">
        <v>267</v>
      </c>
      <c r="I1337" t="s">
        <v>23</v>
      </c>
      <c r="J1337" t="s">
        <v>49</v>
      </c>
      <c r="K1337" s="2" t="s">
        <v>1072</v>
      </c>
      <c r="L1337" t="s">
        <v>26</v>
      </c>
      <c r="M1337">
        <v>340339</v>
      </c>
      <c r="N1337">
        <v>1</v>
      </c>
      <c r="O1337" s="3">
        <v>64950</v>
      </c>
      <c r="P1337" s="3">
        <v>24504</v>
      </c>
      <c r="Q1337" s="5">
        <f t="shared" si="60"/>
        <v>54579.831932773115</v>
      </c>
      <c r="R1337" s="5">
        <f t="shared" si="61"/>
        <v>24504</v>
      </c>
      <c r="S1337" s="5">
        <f t="shared" si="62"/>
        <v>30075.831932773115</v>
      </c>
    </row>
    <row r="1338" spans="1:19" hidden="1" x14ac:dyDescent="0.3">
      <c r="A1338">
        <v>130</v>
      </c>
      <c r="B1338" t="s">
        <v>2244</v>
      </c>
      <c r="C1338" t="s">
        <v>2651</v>
      </c>
      <c r="D1338" s="2" t="s">
        <v>2652</v>
      </c>
      <c r="E1338" t="s">
        <v>2653</v>
      </c>
      <c r="F1338" t="s">
        <v>20</v>
      </c>
      <c r="G1338" t="s">
        <v>21</v>
      </c>
      <c r="H1338" t="s">
        <v>2315</v>
      </c>
      <c r="I1338" t="s">
        <v>23</v>
      </c>
      <c r="J1338" t="s">
        <v>35</v>
      </c>
      <c r="K1338" s="2" t="s">
        <v>1072</v>
      </c>
      <c r="L1338" t="s">
        <v>26</v>
      </c>
      <c r="M1338">
        <v>340340</v>
      </c>
      <c r="N1338">
        <v>1</v>
      </c>
      <c r="O1338" s="3">
        <v>89950</v>
      </c>
      <c r="P1338" s="3">
        <v>30749</v>
      </c>
      <c r="Q1338" s="5">
        <f t="shared" si="60"/>
        <v>75588.23529411765</v>
      </c>
      <c r="R1338" s="5">
        <f t="shared" si="61"/>
        <v>30749</v>
      </c>
      <c r="S1338" s="5">
        <f t="shared" si="62"/>
        <v>44839.23529411765</v>
      </c>
    </row>
    <row r="1339" spans="1:19" hidden="1" x14ac:dyDescent="0.3">
      <c r="A1339">
        <v>130</v>
      </c>
      <c r="B1339" t="s">
        <v>2244</v>
      </c>
      <c r="C1339" t="s">
        <v>2654</v>
      </c>
      <c r="D1339" s="2" t="s">
        <v>2655</v>
      </c>
      <c r="E1339" t="s">
        <v>2468</v>
      </c>
      <c r="F1339" t="s">
        <v>20</v>
      </c>
      <c r="G1339" t="s">
        <v>21</v>
      </c>
      <c r="H1339" t="s">
        <v>2469</v>
      </c>
      <c r="I1339" t="s">
        <v>23</v>
      </c>
      <c r="J1339" t="s">
        <v>49</v>
      </c>
      <c r="K1339" s="2" t="s">
        <v>1072</v>
      </c>
      <c r="L1339" t="s">
        <v>26</v>
      </c>
      <c r="M1339">
        <v>340341</v>
      </c>
      <c r="N1339">
        <v>1</v>
      </c>
      <c r="O1339" s="3">
        <v>64950</v>
      </c>
      <c r="P1339" s="3">
        <v>19040</v>
      </c>
      <c r="Q1339" s="5">
        <f t="shared" si="60"/>
        <v>54579.831932773115</v>
      </c>
      <c r="R1339" s="5">
        <f t="shared" si="61"/>
        <v>19040</v>
      </c>
      <c r="S1339" s="5">
        <f t="shared" si="62"/>
        <v>35539.831932773115</v>
      </c>
    </row>
    <row r="1340" spans="1:19" hidden="1" x14ac:dyDescent="0.3">
      <c r="A1340">
        <v>130</v>
      </c>
      <c r="B1340" t="s">
        <v>2244</v>
      </c>
      <c r="C1340" t="s">
        <v>2656</v>
      </c>
      <c r="D1340" s="2" t="s">
        <v>2657</v>
      </c>
      <c r="E1340" t="s">
        <v>2658</v>
      </c>
      <c r="F1340" t="s">
        <v>20</v>
      </c>
      <c r="G1340" t="s">
        <v>21</v>
      </c>
      <c r="H1340" t="s">
        <v>500</v>
      </c>
      <c r="I1340" t="s">
        <v>23</v>
      </c>
      <c r="J1340" t="s">
        <v>40</v>
      </c>
      <c r="K1340" s="2" t="s">
        <v>1072</v>
      </c>
      <c r="L1340" t="s">
        <v>26</v>
      </c>
      <c r="M1340">
        <v>340342</v>
      </c>
      <c r="N1340">
        <v>-1</v>
      </c>
      <c r="O1340" s="3">
        <v>-59950</v>
      </c>
      <c r="P1340" s="3">
        <v>16978</v>
      </c>
      <c r="Q1340" s="5">
        <f t="shared" si="60"/>
        <v>-50378.151260504201</v>
      </c>
      <c r="R1340" s="5">
        <f t="shared" si="61"/>
        <v>-16978</v>
      </c>
      <c r="S1340" s="5">
        <f t="shared" si="62"/>
        <v>-33400.151260504201</v>
      </c>
    </row>
    <row r="1341" spans="1:19" hidden="1" x14ac:dyDescent="0.3">
      <c r="A1341">
        <v>130</v>
      </c>
      <c r="B1341" t="s">
        <v>2244</v>
      </c>
      <c r="C1341" t="s">
        <v>2659</v>
      </c>
      <c r="D1341" s="2" t="s">
        <v>2660</v>
      </c>
      <c r="E1341" t="s">
        <v>2661</v>
      </c>
      <c r="F1341" t="s">
        <v>20</v>
      </c>
      <c r="G1341" t="s">
        <v>21</v>
      </c>
      <c r="H1341" t="s">
        <v>317</v>
      </c>
      <c r="I1341" t="s">
        <v>23</v>
      </c>
      <c r="J1341" t="s">
        <v>35</v>
      </c>
      <c r="K1341" s="2" t="s">
        <v>1072</v>
      </c>
      <c r="L1341" t="s">
        <v>26</v>
      </c>
      <c r="M1341">
        <v>340342</v>
      </c>
      <c r="N1341">
        <v>1</v>
      </c>
      <c r="O1341" s="3">
        <v>69950</v>
      </c>
      <c r="P1341" s="3">
        <v>25849</v>
      </c>
      <c r="Q1341" s="5">
        <f t="shared" si="60"/>
        <v>58781.512605042022</v>
      </c>
      <c r="R1341" s="5">
        <f t="shared" si="61"/>
        <v>25849</v>
      </c>
      <c r="S1341" s="5">
        <f t="shared" si="62"/>
        <v>32932.512605042022</v>
      </c>
    </row>
    <row r="1342" spans="1:19" hidden="1" x14ac:dyDescent="0.3">
      <c r="A1342">
        <v>130</v>
      </c>
      <c r="B1342" t="s">
        <v>2244</v>
      </c>
      <c r="C1342" t="s">
        <v>2662</v>
      </c>
      <c r="D1342" s="2" t="s">
        <v>2663</v>
      </c>
      <c r="E1342" t="s">
        <v>2148</v>
      </c>
      <c r="F1342" t="s">
        <v>20</v>
      </c>
      <c r="G1342" t="s">
        <v>21</v>
      </c>
      <c r="H1342" t="s">
        <v>614</v>
      </c>
      <c r="I1342" t="s">
        <v>23</v>
      </c>
      <c r="J1342" t="s">
        <v>35</v>
      </c>
      <c r="K1342" s="2" t="s">
        <v>1072</v>
      </c>
      <c r="L1342" t="s">
        <v>26</v>
      </c>
      <c r="M1342">
        <v>340343</v>
      </c>
      <c r="N1342">
        <v>1</v>
      </c>
      <c r="O1342" s="3">
        <v>64950</v>
      </c>
      <c r="P1342" s="3">
        <v>18266</v>
      </c>
      <c r="Q1342" s="5">
        <f t="shared" si="60"/>
        <v>54579.831932773115</v>
      </c>
      <c r="R1342" s="5">
        <f t="shared" si="61"/>
        <v>18266</v>
      </c>
      <c r="S1342" s="5">
        <f t="shared" si="62"/>
        <v>36313.831932773115</v>
      </c>
    </row>
    <row r="1343" spans="1:19" hidden="1" x14ac:dyDescent="0.3">
      <c r="A1343">
        <v>130</v>
      </c>
      <c r="B1343" t="s">
        <v>2244</v>
      </c>
      <c r="C1343" t="s">
        <v>2664</v>
      </c>
      <c r="D1343" s="2" t="s">
        <v>2665</v>
      </c>
      <c r="E1343" t="s">
        <v>2666</v>
      </c>
      <c r="F1343" t="s">
        <v>20</v>
      </c>
      <c r="G1343" t="s">
        <v>21</v>
      </c>
      <c r="H1343" t="s">
        <v>65</v>
      </c>
      <c r="I1343" t="s">
        <v>23</v>
      </c>
      <c r="J1343" t="s">
        <v>49</v>
      </c>
      <c r="K1343" s="2" t="s">
        <v>1072</v>
      </c>
      <c r="L1343" t="s">
        <v>26</v>
      </c>
      <c r="M1343">
        <v>340344</v>
      </c>
      <c r="N1343">
        <v>1</v>
      </c>
      <c r="O1343" s="3">
        <v>64950</v>
      </c>
      <c r="P1343" s="3">
        <v>22802</v>
      </c>
      <c r="Q1343" s="5">
        <f t="shared" si="60"/>
        <v>54579.831932773115</v>
      </c>
      <c r="R1343" s="5">
        <f t="shared" si="61"/>
        <v>22802</v>
      </c>
      <c r="S1343" s="5">
        <f t="shared" si="62"/>
        <v>31777.831932773115</v>
      </c>
    </row>
    <row r="1344" spans="1:19" hidden="1" x14ac:dyDescent="0.3">
      <c r="A1344">
        <v>130</v>
      </c>
      <c r="B1344" t="s">
        <v>2244</v>
      </c>
      <c r="C1344" t="s">
        <v>2667</v>
      </c>
      <c r="D1344" s="2" t="s">
        <v>2668</v>
      </c>
      <c r="E1344" t="s">
        <v>2476</v>
      </c>
      <c r="F1344" t="s">
        <v>20</v>
      </c>
      <c r="G1344" t="s">
        <v>21</v>
      </c>
      <c r="H1344" t="s">
        <v>114</v>
      </c>
      <c r="I1344" t="s">
        <v>23</v>
      </c>
      <c r="J1344" t="s">
        <v>49</v>
      </c>
      <c r="K1344" s="2" t="s">
        <v>1072</v>
      </c>
      <c r="L1344" t="s">
        <v>26</v>
      </c>
      <c r="M1344">
        <v>340345</v>
      </c>
      <c r="N1344">
        <v>1</v>
      </c>
      <c r="O1344" s="3">
        <v>69950</v>
      </c>
      <c r="P1344" s="3">
        <v>22186</v>
      </c>
      <c r="Q1344" s="5">
        <f t="shared" si="60"/>
        <v>58781.512605042022</v>
      </c>
      <c r="R1344" s="5">
        <f t="shared" si="61"/>
        <v>22186</v>
      </c>
      <c r="S1344" s="5">
        <f t="shared" si="62"/>
        <v>36595.512605042022</v>
      </c>
    </row>
    <row r="1345" spans="1:19" hidden="1" x14ac:dyDescent="0.3">
      <c r="A1345">
        <v>130</v>
      </c>
      <c r="B1345" t="s">
        <v>2244</v>
      </c>
      <c r="C1345" t="s">
        <v>2604</v>
      </c>
      <c r="D1345" s="2" t="s">
        <v>2605</v>
      </c>
      <c r="E1345" t="s">
        <v>2606</v>
      </c>
      <c r="F1345" t="s">
        <v>20</v>
      </c>
      <c r="G1345" t="s">
        <v>21</v>
      </c>
      <c r="H1345" t="s">
        <v>970</v>
      </c>
      <c r="I1345" t="s">
        <v>23</v>
      </c>
      <c r="J1345" t="s">
        <v>40</v>
      </c>
      <c r="K1345" s="2" t="s">
        <v>1072</v>
      </c>
      <c r="L1345" t="s">
        <v>26</v>
      </c>
      <c r="M1345">
        <v>340346</v>
      </c>
      <c r="N1345">
        <v>1</v>
      </c>
      <c r="O1345" s="3">
        <v>49990</v>
      </c>
      <c r="P1345" s="3">
        <v>18897</v>
      </c>
      <c r="Q1345" s="5">
        <f t="shared" si="60"/>
        <v>42008.403361344543</v>
      </c>
      <c r="R1345" s="5">
        <f t="shared" si="61"/>
        <v>18897</v>
      </c>
      <c r="S1345" s="5">
        <f t="shared" si="62"/>
        <v>23111.403361344543</v>
      </c>
    </row>
    <row r="1346" spans="1:19" hidden="1" x14ac:dyDescent="0.3">
      <c r="A1346">
        <v>130</v>
      </c>
      <c r="B1346" t="s">
        <v>2244</v>
      </c>
      <c r="C1346" t="s">
        <v>2669</v>
      </c>
      <c r="D1346" s="2" t="s">
        <v>2670</v>
      </c>
      <c r="E1346" t="s">
        <v>2671</v>
      </c>
      <c r="F1346" t="s">
        <v>20</v>
      </c>
      <c r="G1346" t="s">
        <v>21</v>
      </c>
      <c r="H1346" t="s">
        <v>874</v>
      </c>
      <c r="I1346" t="s">
        <v>23</v>
      </c>
      <c r="J1346" t="s">
        <v>95</v>
      </c>
      <c r="K1346" s="2" t="s">
        <v>1072</v>
      </c>
      <c r="L1346" t="s">
        <v>26</v>
      </c>
      <c r="M1346">
        <v>340347</v>
      </c>
      <c r="N1346">
        <v>1</v>
      </c>
      <c r="O1346" s="3">
        <v>39990</v>
      </c>
      <c r="P1346" s="3">
        <v>20699</v>
      </c>
      <c r="Q1346" s="5">
        <f t="shared" si="60"/>
        <v>33605.042016806721</v>
      </c>
      <c r="R1346" s="5">
        <f t="shared" si="61"/>
        <v>20699</v>
      </c>
      <c r="S1346" s="5">
        <f t="shared" si="62"/>
        <v>12906.042016806721</v>
      </c>
    </row>
    <row r="1347" spans="1:19" hidden="1" x14ac:dyDescent="0.3">
      <c r="A1347">
        <v>130</v>
      </c>
      <c r="B1347" t="s">
        <v>2244</v>
      </c>
      <c r="C1347">
        <v>1687976791</v>
      </c>
      <c r="D1347" s="2" t="s">
        <v>200</v>
      </c>
      <c r="E1347" t="s">
        <v>201</v>
      </c>
      <c r="F1347" t="s">
        <v>201</v>
      </c>
      <c r="G1347" t="s">
        <v>202</v>
      </c>
      <c r="H1347" t="s">
        <v>202</v>
      </c>
      <c r="I1347" t="s">
        <v>23</v>
      </c>
      <c r="J1347" t="s">
        <v>202</v>
      </c>
      <c r="K1347" s="2" t="s">
        <v>1072</v>
      </c>
      <c r="L1347" t="s">
        <v>26</v>
      </c>
      <c r="M1347">
        <v>340348</v>
      </c>
      <c r="N1347">
        <v>1</v>
      </c>
      <c r="O1347" s="3">
        <v>3200</v>
      </c>
      <c r="P1347">
        <v>1</v>
      </c>
      <c r="Q1347" s="5">
        <f t="shared" si="60"/>
        <v>2689.0756302521008</v>
      </c>
      <c r="R1347" s="5">
        <f t="shared" si="61"/>
        <v>1</v>
      </c>
      <c r="S1347" s="5">
        <f t="shared" si="62"/>
        <v>2688.0756302521008</v>
      </c>
    </row>
    <row r="1348" spans="1:19" hidden="1" x14ac:dyDescent="0.3">
      <c r="A1348">
        <v>130</v>
      </c>
      <c r="B1348" t="s">
        <v>2244</v>
      </c>
      <c r="C1348" t="s">
        <v>2672</v>
      </c>
      <c r="D1348" s="2" t="s">
        <v>2673</v>
      </c>
      <c r="E1348" t="s">
        <v>1217</v>
      </c>
      <c r="F1348" t="s">
        <v>20</v>
      </c>
      <c r="G1348" t="s">
        <v>21</v>
      </c>
      <c r="H1348" t="s">
        <v>53</v>
      </c>
      <c r="I1348" t="s">
        <v>23</v>
      </c>
      <c r="J1348" t="s">
        <v>49</v>
      </c>
      <c r="K1348" s="2" t="s">
        <v>1072</v>
      </c>
      <c r="L1348" t="s">
        <v>26</v>
      </c>
      <c r="M1348">
        <v>340348</v>
      </c>
      <c r="N1348">
        <v>1</v>
      </c>
      <c r="O1348" s="3">
        <v>49990</v>
      </c>
      <c r="P1348" s="3">
        <v>20271</v>
      </c>
      <c r="Q1348" s="5">
        <f t="shared" si="60"/>
        <v>42008.403361344543</v>
      </c>
      <c r="R1348" s="5">
        <f t="shared" si="61"/>
        <v>20271</v>
      </c>
      <c r="S1348" s="5">
        <f t="shared" si="62"/>
        <v>21737.403361344543</v>
      </c>
    </row>
    <row r="1349" spans="1:19" hidden="1" x14ac:dyDescent="0.3">
      <c r="A1349">
        <v>130</v>
      </c>
      <c r="B1349" t="s">
        <v>2244</v>
      </c>
      <c r="C1349" t="s">
        <v>2674</v>
      </c>
      <c r="D1349" s="2" t="s">
        <v>2675</v>
      </c>
      <c r="E1349" t="s">
        <v>2143</v>
      </c>
      <c r="F1349" t="s">
        <v>20</v>
      </c>
      <c r="G1349" t="s">
        <v>338</v>
      </c>
      <c r="H1349">
        <v>23732</v>
      </c>
      <c r="I1349" t="s">
        <v>23</v>
      </c>
      <c r="J1349" t="s">
        <v>40</v>
      </c>
      <c r="K1349" s="2" t="s">
        <v>1072</v>
      </c>
      <c r="L1349" t="s">
        <v>26</v>
      </c>
      <c r="M1349">
        <v>340349</v>
      </c>
      <c r="N1349">
        <v>1</v>
      </c>
      <c r="O1349" s="3">
        <v>59990</v>
      </c>
      <c r="P1349" s="3">
        <v>26539</v>
      </c>
      <c r="Q1349" s="5">
        <f t="shared" si="60"/>
        <v>50411.764705882357</v>
      </c>
      <c r="R1349" s="5">
        <f t="shared" si="61"/>
        <v>26539</v>
      </c>
      <c r="S1349" s="5">
        <f t="shared" si="62"/>
        <v>23872.764705882357</v>
      </c>
    </row>
    <row r="1350" spans="1:19" hidden="1" x14ac:dyDescent="0.3">
      <c r="A1350">
        <v>130</v>
      </c>
      <c r="B1350" t="s">
        <v>2244</v>
      </c>
      <c r="C1350" t="s">
        <v>2575</v>
      </c>
      <c r="D1350" s="2" t="s">
        <v>2576</v>
      </c>
      <c r="E1350" t="s">
        <v>2577</v>
      </c>
      <c r="F1350" t="s">
        <v>377</v>
      </c>
      <c r="G1350" t="s">
        <v>21</v>
      </c>
      <c r="H1350" t="s">
        <v>378</v>
      </c>
      <c r="I1350" t="s">
        <v>23</v>
      </c>
      <c r="J1350" t="s">
        <v>379</v>
      </c>
      <c r="K1350" s="2" t="s">
        <v>1072</v>
      </c>
      <c r="L1350" t="s">
        <v>26</v>
      </c>
      <c r="M1350">
        <v>340350</v>
      </c>
      <c r="N1350">
        <v>1</v>
      </c>
      <c r="O1350" s="3">
        <v>5950</v>
      </c>
      <c r="P1350" s="3">
        <v>3307</v>
      </c>
      <c r="Q1350" s="5">
        <f t="shared" ref="Q1350:Q1413" si="63">O1350/1.19</f>
        <v>5000</v>
      </c>
      <c r="R1350" s="5">
        <f t="shared" ref="R1350:R1413" si="64">N1350*P1350</f>
        <v>3307</v>
      </c>
      <c r="S1350" s="5">
        <f t="shared" ref="S1350:S1413" si="65">Q1350-R1350</f>
        <v>1693</v>
      </c>
    </row>
    <row r="1351" spans="1:19" hidden="1" x14ac:dyDescent="0.3">
      <c r="A1351">
        <v>130</v>
      </c>
      <c r="B1351" t="s">
        <v>2244</v>
      </c>
      <c r="C1351" t="s">
        <v>2676</v>
      </c>
      <c r="D1351" s="2" t="s">
        <v>2677</v>
      </c>
      <c r="E1351" t="s">
        <v>1421</v>
      </c>
      <c r="F1351" t="s">
        <v>20</v>
      </c>
      <c r="G1351" t="s">
        <v>21</v>
      </c>
      <c r="H1351" t="s">
        <v>1422</v>
      </c>
      <c r="I1351" t="s">
        <v>23</v>
      </c>
      <c r="J1351" t="s">
        <v>49</v>
      </c>
      <c r="K1351" s="2" t="s">
        <v>1072</v>
      </c>
      <c r="L1351" t="s">
        <v>26</v>
      </c>
      <c r="M1351">
        <v>340351</v>
      </c>
      <c r="N1351">
        <v>1</v>
      </c>
      <c r="O1351" s="3">
        <v>74950</v>
      </c>
      <c r="P1351" s="3">
        <v>25179</v>
      </c>
      <c r="Q1351" s="5">
        <f t="shared" si="63"/>
        <v>62983.193277310929</v>
      </c>
      <c r="R1351" s="5">
        <f t="shared" si="64"/>
        <v>25179</v>
      </c>
      <c r="S1351" s="5">
        <f t="shared" si="65"/>
        <v>37804.193277310929</v>
      </c>
    </row>
    <row r="1352" spans="1:19" hidden="1" x14ac:dyDescent="0.3">
      <c r="A1352">
        <v>130</v>
      </c>
      <c r="B1352" t="s">
        <v>2244</v>
      </c>
      <c r="C1352" t="s">
        <v>2525</v>
      </c>
      <c r="D1352" s="2" t="s">
        <v>2526</v>
      </c>
      <c r="E1352" t="s">
        <v>2527</v>
      </c>
      <c r="F1352" t="s">
        <v>377</v>
      </c>
      <c r="G1352" t="s">
        <v>21</v>
      </c>
      <c r="H1352" t="s">
        <v>378</v>
      </c>
      <c r="I1352" t="s">
        <v>23</v>
      </c>
      <c r="J1352" t="s">
        <v>2459</v>
      </c>
      <c r="K1352" s="2" t="s">
        <v>1072</v>
      </c>
      <c r="L1352" t="s">
        <v>26</v>
      </c>
      <c r="M1352">
        <v>340352</v>
      </c>
      <c r="N1352">
        <v>1</v>
      </c>
      <c r="O1352" s="3">
        <v>6950</v>
      </c>
      <c r="P1352" s="3">
        <v>2964</v>
      </c>
      <c r="Q1352" s="5">
        <f t="shared" si="63"/>
        <v>5840.3361344537816</v>
      </c>
      <c r="R1352" s="5">
        <f t="shared" si="64"/>
        <v>2964</v>
      </c>
      <c r="S1352" s="5">
        <f t="shared" si="65"/>
        <v>2876.3361344537816</v>
      </c>
    </row>
    <row r="1353" spans="1:19" hidden="1" x14ac:dyDescent="0.3">
      <c r="A1353">
        <v>130</v>
      </c>
      <c r="B1353" t="s">
        <v>2244</v>
      </c>
      <c r="C1353" t="s">
        <v>2678</v>
      </c>
      <c r="D1353" s="2" t="s">
        <v>2679</v>
      </c>
      <c r="E1353" t="s">
        <v>2632</v>
      </c>
      <c r="F1353" t="s">
        <v>20</v>
      </c>
      <c r="G1353" t="s">
        <v>21</v>
      </c>
      <c r="H1353" t="s">
        <v>2469</v>
      </c>
      <c r="I1353" t="s">
        <v>23</v>
      </c>
      <c r="J1353" t="s">
        <v>49</v>
      </c>
      <c r="K1353" s="2" t="s">
        <v>1072</v>
      </c>
      <c r="L1353" t="s">
        <v>26</v>
      </c>
      <c r="M1353">
        <v>340353</v>
      </c>
      <c r="N1353">
        <v>1</v>
      </c>
      <c r="O1353" s="3">
        <v>64950</v>
      </c>
      <c r="P1353" s="3">
        <v>21368</v>
      </c>
      <c r="Q1353" s="5">
        <f t="shared" si="63"/>
        <v>54579.831932773115</v>
      </c>
      <c r="R1353" s="5">
        <f t="shared" si="64"/>
        <v>21368</v>
      </c>
      <c r="S1353" s="5">
        <f t="shared" si="65"/>
        <v>33211.831932773115</v>
      </c>
    </row>
    <row r="1354" spans="1:19" hidden="1" x14ac:dyDescent="0.3">
      <c r="A1354">
        <v>130</v>
      </c>
      <c r="B1354" t="s">
        <v>2244</v>
      </c>
      <c r="C1354" t="s">
        <v>2365</v>
      </c>
      <c r="D1354" s="2" t="s">
        <v>2366</v>
      </c>
      <c r="E1354" t="s">
        <v>2367</v>
      </c>
      <c r="F1354" t="s">
        <v>377</v>
      </c>
      <c r="G1354" t="s">
        <v>21</v>
      </c>
      <c r="H1354" t="s">
        <v>378</v>
      </c>
      <c r="I1354" t="s">
        <v>23</v>
      </c>
      <c r="J1354" t="s">
        <v>379</v>
      </c>
      <c r="K1354" s="2" t="s">
        <v>1072</v>
      </c>
      <c r="L1354" t="s">
        <v>26</v>
      </c>
      <c r="M1354">
        <v>340354</v>
      </c>
      <c r="N1354">
        <v>2</v>
      </c>
      <c r="O1354" s="3">
        <v>13900</v>
      </c>
      <c r="P1354" s="3">
        <v>3759</v>
      </c>
      <c r="Q1354" s="5">
        <f t="shared" si="63"/>
        <v>11680.672268907563</v>
      </c>
      <c r="R1354" s="5">
        <f t="shared" si="64"/>
        <v>7518</v>
      </c>
      <c r="S1354" s="5">
        <f t="shared" si="65"/>
        <v>4162.6722689075632</v>
      </c>
    </row>
    <row r="1355" spans="1:19" hidden="1" x14ac:dyDescent="0.3">
      <c r="A1355">
        <v>130</v>
      </c>
      <c r="B1355" t="s">
        <v>2244</v>
      </c>
      <c r="C1355" t="s">
        <v>2680</v>
      </c>
      <c r="D1355" s="2" t="s">
        <v>2681</v>
      </c>
      <c r="E1355" t="s">
        <v>756</v>
      </c>
      <c r="F1355" t="s">
        <v>20</v>
      </c>
      <c r="G1355" t="s">
        <v>21</v>
      </c>
      <c r="H1355" t="s">
        <v>131</v>
      </c>
      <c r="I1355" t="s">
        <v>23</v>
      </c>
      <c r="J1355" t="s">
        <v>49</v>
      </c>
      <c r="K1355" s="2" t="s">
        <v>1072</v>
      </c>
      <c r="L1355" t="s">
        <v>26</v>
      </c>
      <c r="M1355">
        <v>340355</v>
      </c>
      <c r="N1355">
        <v>1</v>
      </c>
      <c r="O1355" s="3">
        <v>39990</v>
      </c>
      <c r="P1355" s="3">
        <v>28069</v>
      </c>
      <c r="Q1355" s="5">
        <f t="shared" si="63"/>
        <v>33605.042016806721</v>
      </c>
      <c r="R1355" s="5">
        <f t="shared" si="64"/>
        <v>28069</v>
      </c>
      <c r="S1355" s="5">
        <f t="shared" si="65"/>
        <v>5536.0420168067212</v>
      </c>
    </row>
    <row r="1356" spans="1:19" hidden="1" x14ac:dyDescent="0.3">
      <c r="A1356">
        <v>130</v>
      </c>
      <c r="B1356" t="s">
        <v>2244</v>
      </c>
      <c r="C1356" t="s">
        <v>2682</v>
      </c>
      <c r="D1356" s="2" t="s">
        <v>2683</v>
      </c>
      <c r="E1356" t="s">
        <v>1439</v>
      </c>
      <c r="F1356" t="s">
        <v>20</v>
      </c>
      <c r="G1356" t="s">
        <v>21</v>
      </c>
      <c r="H1356" t="s">
        <v>1440</v>
      </c>
      <c r="I1356" t="s">
        <v>23</v>
      </c>
      <c r="J1356" t="s">
        <v>40</v>
      </c>
      <c r="K1356" s="2" t="s">
        <v>1072</v>
      </c>
      <c r="L1356" t="s">
        <v>26</v>
      </c>
      <c r="M1356">
        <v>340356</v>
      </c>
      <c r="N1356">
        <v>1</v>
      </c>
      <c r="O1356" s="3">
        <v>64950</v>
      </c>
      <c r="P1356" s="3">
        <v>17328</v>
      </c>
      <c r="Q1356" s="5">
        <f t="shared" si="63"/>
        <v>54579.831932773115</v>
      </c>
      <c r="R1356" s="5">
        <f t="shared" si="64"/>
        <v>17328</v>
      </c>
      <c r="S1356" s="5">
        <f t="shared" si="65"/>
        <v>37251.831932773115</v>
      </c>
    </row>
    <row r="1357" spans="1:19" hidden="1" x14ac:dyDescent="0.3">
      <c r="A1357">
        <v>130</v>
      </c>
      <c r="B1357" t="s">
        <v>2244</v>
      </c>
      <c r="C1357" t="s">
        <v>2684</v>
      </c>
      <c r="D1357" s="2" t="s">
        <v>2685</v>
      </c>
      <c r="E1357" t="s">
        <v>2686</v>
      </c>
      <c r="F1357" t="s">
        <v>20</v>
      </c>
      <c r="G1357" t="s">
        <v>21</v>
      </c>
      <c r="H1357" t="s">
        <v>48</v>
      </c>
      <c r="I1357" t="s">
        <v>23</v>
      </c>
      <c r="J1357" t="s">
        <v>49</v>
      </c>
      <c r="K1357" s="2" t="s">
        <v>1072</v>
      </c>
      <c r="L1357" t="s">
        <v>26</v>
      </c>
      <c r="M1357">
        <v>340357</v>
      </c>
      <c r="N1357">
        <v>1</v>
      </c>
      <c r="O1357" s="3">
        <v>39990</v>
      </c>
      <c r="P1357" s="3">
        <v>26781</v>
      </c>
      <c r="Q1357" s="5">
        <f t="shared" si="63"/>
        <v>33605.042016806721</v>
      </c>
      <c r="R1357" s="5">
        <f t="shared" si="64"/>
        <v>26781</v>
      </c>
      <c r="S1357" s="5">
        <f t="shared" si="65"/>
        <v>6824.0420168067212</v>
      </c>
    </row>
    <row r="1358" spans="1:19" hidden="1" x14ac:dyDescent="0.3">
      <c r="A1358">
        <v>130</v>
      </c>
      <c r="B1358" t="s">
        <v>2244</v>
      </c>
      <c r="C1358" t="s">
        <v>2687</v>
      </c>
      <c r="D1358" s="2" t="s">
        <v>2688</v>
      </c>
      <c r="E1358" t="s">
        <v>373</v>
      </c>
      <c r="F1358" t="s">
        <v>20</v>
      </c>
      <c r="G1358" t="s">
        <v>21</v>
      </c>
      <c r="H1358" t="s">
        <v>224</v>
      </c>
      <c r="I1358" t="s">
        <v>23</v>
      </c>
      <c r="J1358" t="s">
        <v>35</v>
      </c>
      <c r="K1358" s="2" t="s">
        <v>1072</v>
      </c>
      <c r="L1358" t="s">
        <v>26</v>
      </c>
      <c r="M1358">
        <v>340358</v>
      </c>
      <c r="N1358">
        <v>1</v>
      </c>
      <c r="O1358" s="3">
        <v>59990</v>
      </c>
      <c r="P1358" s="3">
        <v>32028</v>
      </c>
      <c r="Q1358" s="5">
        <f t="shared" si="63"/>
        <v>50411.764705882357</v>
      </c>
      <c r="R1358" s="5">
        <f t="shared" si="64"/>
        <v>32028</v>
      </c>
      <c r="S1358" s="5">
        <f t="shared" si="65"/>
        <v>18383.764705882357</v>
      </c>
    </row>
    <row r="1359" spans="1:19" hidden="1" x14ac:dyDescent="0.3">
      <c r="A1359">
        <v>130</v>
      </c>
      <c r="B1359" t="s">
        <v>2244</v>
      </c>
      <c r="C1359" t="s">
        <v>2689</v>
      </c>
      <c r="D1359" s="2" t="s">
        <v>2690</v>
      </c>
      <c r="E1359" t="s">
        <v>2195</v>
      </c>
      <c r="F1359" t="s">
        <v>20</v>
      </c>
      <c r="G1359" t="s">
        <v>338</v>
      </c>
      <c r="H1359">
        <v>24722</v>
      </c>
      <c r="I1359" t="s">
        <v>23</v>
      </c>
      <c r="J1359" t="s">
        <v>95</v>
      </c>
      <c r="K1359" s="2" t="s">
        <v>1072</v>
      </c>
      <c r="L1359" t="s">
        <v>26</v>
      </c>
      <c r="M1359">
        <v>340359</v>
      </c>
      <c r="N1359">
        <v>1</v>
      </c>
      <c r="O1359" s="3">
        <v>89950</v>
      </c>
      <c r="P1359" s="3">
        <v>30987</v>
      </c>
      <c r="Q1359" s="5">
        <f t="shared" si="63"/>
        <v>75588.23529411765</v>
      </c>
      <c r="R1359" s="5">
        <f t="shared" si="64"/>
        <v>30987</v>
      </c>
      <c r="S1359" s="5">
        <f t="shared" si="65"/>
        <v>44601.23529411765</v>
      </c>
    </row>
    <row r="1360" spans="1:19" hidden="1" x14ac:dyDescent="0.3">
      <c r="A1360">
        <v>130</v>
      </c>
      <c r="B1360" t="s">
        <v>2244</v>
      </c>
      <c r="C1360" t="s">
        <v>2691</v>
      </c>
      <c r="D1360" s="2" t="s">
        <v>2692</v>
      </c>
      <c r="E1360" t="s">
        <v>2436</v>
      </c>
      <c r="F1360" t="s">
        <v>20</v>
      </c>
      <c r="G1360" t="s">
        <v>338</v>
      </c>
      <c r="H1360">
        <v>22318</v>
      </c>
      <c r="I1360" t="s">
        <v>23</v>
      </c>
      <c r="J1360" t="s">
        <v>49</v>
      </c>
      <c r="K1360" s="2" t="s">
        <v>1072</v>
      </c>
      <c r="L1360" t="s">
        <v>26</v>
      </c>
      <c r="M1360">
        <v>340360</v>
      </c>
      <c r="N1360">
        <v>1</v>
      </c>
      <c r="O1360" s="3">
        <v>74950</v>
      </c>
      <c r="P1360" s="3">
        <v>23473</v>
      </c>
      <c r="Q1360" s="5">
        <f t="shared" si="63"/>
        <v>62983.193277310929</v>
      </c>
      <c r="R1360" s="5">
        <f t="shared" si="64"/>
        <v>23473</v>
      </c>
      <c r="S1360" s="5">
        <f t="shared" si="65"/>
        <v>39510.193277310929</v>
      </c>
    </row>
    <row r="1361" spans="1:19" hidden="1" x14ac:dyDescent="0.3">
      <c r="A1361">
        <v>130</v>
      </c>
      <c r="B1361" t="s">
        <v>2244</v>
      </c>
      <c r="C1361" t="s">
        <v>2689</v>
      </c>
      <c r="D1361" s="2" t="s">
        <v>2690</v>
      </c>
      <c r="E1361" t="s">
        <v>2195</v>
      </c>
      <c r="F1361" t="s">
        <v>20</v>
      </c>
      <c r="G1361" t="s">
        <v>338</v>
      </c>
      <c r="H1361">
        <v>24722</v>
      </c>
      <c r="I1361" t="s">
        <v>23</v>
      </c>
      <c r="J1361" t="s">
        <v>95</v>
      </c>
      <c r="K1361" s="2" t="s">
        <v>2693</v>
      </c>
      <c r="L1361" t="s">
        <v>2249</v>
      </c>
      <c r="M1361">
        <v>25330</v>
      </c>
      <c r="N1361">
        <v>-1</v>
      </c>
      <c r="O1361" s="3">
        <v>-89950</v>
      </c>
      <c r="P1361" s="3">
        <v>30987</v>
      </c>
      <c r="Q1361" s="5">
        <f t="shared" si="63"/>
        <v>-75588.23529411765</v>
      </c>
      <c r="R1361" s="5">
        <f t="shared" si="64"/>
        <v>-30987</v>
      </c>
      <c r="S1361" s="5">
        <f t="shared" si="65"/>
        <v>-44601.23529411765</v>
      </c>
    </row>
    <row r="1362" spans="1:19" hidden="1" x14ac:dyDescent="0.3">
      <c r="A1362">
        <v>130</v>
      </c>
      <c r="B1362" t="s">
        <v>2244</v>
      </c>
      <c r="C1362" t="s">
        <v>2694</v>
      </c>
      <c r="D1362" s="2" t="s">
        <v>2695</v>
      </c>
      <c r="E1362" t="s">
        <v>2616</v>
      </c>
      <c r="F1362" t="s">
        <v>20</v>
      </c>
      <c r="G1362" t="s">
        <v>338</v>
      </c>
      <c r="H1362">
        <v>83717</v>
      </c>
      <c r="I1362" t="s">
        <v>23</v>
      </c>
      <c r="J1362" t="s">
        <v>40</v>
      </c>
      <c r="K1362" s="2" t="s">
        <v>2693</v>
      </c>
      <c r="L1362" t="s">
        <v>2249</v>
      </c>
      <c r="M1362">
        <v>25331</v>
      </c>
      <c r="N1362">
        <v>-1</v>
      </c>
      <c r="O1362" s="3">
        <v>-89950</v>
      </c>
      <c r="P1362" s="3">
        <v>30263</v>
      </c>
      <c r="Q1362" s="5">
        <f t="shared" si="63"/>
        <v>-75588.23529411765</v>
      </c>
      <c r="R1362" s="5">
        <f t="shared" si="64"/>
        <v>-30263</v>
      </c>
      <c r="S1362" s="5">
        <f t="shared" si="65"/>
        <v>-45325.23529411765</v>
      </c>
    </row>
    <row r="1363" spans="1:19" hidden="1" x14ac:dyDescent="0.3">
      <c r="A1363">
        <v>130</v>
      </c>
      <c r="B1363" t="s">
        <v>2244</v>
      </c>
      <c r="C1363" t="s">
        <v>2696</v>
      </c>
      <c r="D1363" s="2" t="s">
        <v>2697</v>
      </c>
      <c r="E1363" t="s">
        <v>1120</v>
      </c>
      <c r="F1363" t="s">
        <v>20</v>
      </c>
      <c r="G1363" t="s">
        <v>21</v>
      </c>
      <c r="H1363" t="s">
        <v>285</v>
      </c>
      <c r="I1363" t="s">
        <v>23</v>
      </c>
      <c r="J1363" t="s">
        <v>49</v>
      </c>
      <c r="K1363" s="2" t="s">
        <v>2693</v>
      </c>
      <c r="L1363" t="s">
        <v>26</v>
      </c>
      <c r="M1363">
        <v>340361</v>
      </c>
      <c r="N1363">
        <v>1</v>
      </c>
      <c r="O1363" s="3">
        <v>59990</v>
      </c>
      <c r="P1363" s="3">
        <v>29137</v>
      </c>
      <c r="Q1363" s="5">
        <f t="shared" si="63"/>
        <v>50411.764705882357</v>
      </c>
      <c r="R1363" s="5">
        <f t="shared" si="64"/>
        <v>29137</v>
      </c>
      <c r="S1363" s="5">
        <f t="shared" si="65"/>
        <v>21274.764705882357</v>
      </c>
    </row>
    <row r="1364" spans="1:19" hidden="1" x14ac:dyDescent="0.3">
      <c r="A1364">
        <v>130</v>
      </c>
      <c r="B1364" t="s">
        <v>2244</v>
      </c>
      <c r="C1364" t="s">
        <v>2698</v>
      </c>
      <c r="D1364" s="2" t="s">
        <v>2699</v>
      </c>
      <c r="E1364" t="s">
        <v>1758</v>
      </c>
      <c r="F1364" t="s">
        <v>20</v>
      </c>
      <c r="G1364" t="s">
        <v>338</v>
      </c>
      <c r="H1364">
        <v>25133</v>
      </c>
      <c r="I1364" t="s">
        <v>23</v>
      </c>
      <c r="J1364" t="s">
        <v>35</v>
      </c>
      <c r="K1364" s="2" t="s">
        <v>2693</v>
      </c>
      <c r="L1364" t="s">
        <v>26</v>
      </c>
      <c r="M1364">
        <v>340362</v>
      </c>
      <c r="N1364">
        <v>1</v>
      </c>
      <c r="O1364" s="3">
        <v>74950</v>
      </c>
      <c r="P1364" s="3">
        <v>21167</v>
      </c>
      <c r="Q1364" s="5">
        <f t="shared" si="63"/>
        <v>62983.193277310929</v>
      </c>
      <c r="R1364" s="5">
        <f t="shared" si="64"/>
        <v>21167</v>
      </c>
      <c r="S1364" s="5">
        <f t="shared" si="65"/>
        <v>41816.193277310929</v>
      </c>
    </row>
    <row r="1365" spans="1:19" hidden="1" x14ac:dyDescent="0.3">
      <c r="A1365">
        <v>130</v>
      </c>
      <c r="B1365" t="s">
        <v>2244</v>
      </c>
      <c r="C1365" t="s">
        <v>2700</v>
      </c>
      <c r="D1365" s="2" t="s">
        <v>2701</v>
      </c>
      <c r="E1365" t="s">
        <v>2702</v>
      </c>
      <c r="F1365" t="s">
        <v>20</v>
      </c>
      <c r="G1365" t="s">
        <v>21</v>
      </c>
      <c r="H1365" t="s">
        <v>90</v>
      </c>
      <c r="I1365" t="s">
        <v>23</v>
      </c>
      <c r="J1365" t="s">
        <v>35</v>
      </c>
      <c r="K1365" s="2" t="s">
        <v>2693</v>
      </c>
      <c r="L1365" t="s">
        <v>26</v>
      </c>
      <c r="M1365">
        <v>340363</v>
      </c>
      <c r="N1365">
        <v>1</v>
      </c>
      <c r="O1365" s="3">
        <v>84950</v>
      </c>
      <c r="P1365" s="3">
        <v>35265</v>
      </c>
      <c r="Q1365" s="5">
        <f t="shared" si="63"/>
        <v>71386.554621848743</v>
      </c>
      <c r="R1365" s="5">
        <f t="shared" si="64"/>
        <v>35265</v>
      </c>
      <c r="S1365" s="5">
        <f t="shared" si="65"/>
        <v>36121.554621848743</v>
      </c>
    </row>
    <row r="1366" spans="1:19" hidden="1" x14ac:dyDescent="0.3">
      <c r="A1366">
        <v>130</v>
      </c>
      <c r="B1366" t="s">
        <v>2244</v>
      </c>
      <c r="C1366" t="s">
        <v>2703</v>
      </c>
      <c r="D1366" s="2" t="s">
        <v>2704</v>
      </c>
      <c r="E1366" t="s">
        <v>2705</v>
      </c>
      <c r="F1366" t="s">
        <v>20</v>
      </c>
      <c r="G1366" t="s">
        <v>21</v>
      </c>
      <c r="H1366" t="s">
        <v>2593</v>
      </c>
      <c r="I1366" t="s">
        <v>23</v>
      </c>
      <c r="J1366" t="s">
        <v>35</v>
      </c>
      <c r="K1366" s="2" t="s">
        <v>2693</v>
      </c>
      <c r="L1366" t="s">
        <v>26</v>
      </c>
      <c r="M1366">
        <v>340363</v>
      </c>
      <c r="N1366">
        <v>1</v>
      </c>
      <c r="O1366" s="3">
        <v>94950</v>
      </c>
      <c r="P1366" s="3">
        <v>34760</v>
      </c>
      <c r="Q1366" s="5">
        <f t="shared" si="63"/>
        <v>79789.915966386558</v>
      </c>
      <c r="R1366" s="5">
        <f t="shared" si="64"/>
        <v>34760</v>
      </c>
      <c r="S1366" s="5">
        <f t="shared" si="65"/>
        <v>45029.915966386558</v>
      </c>
    </row>
    <row r="1367" spans="1:19" hidden="1" x14ac:dyDescent="0.3">
      <c r="A1367">
        <v>130</v>
      </c>
      <c r="B1367" t="s">
        <v>2244</v>
      </c>
      <c r="C1367" t="s">
        <v>2706</v>
      </c>
      <c r="D1367" s="2" t="s">
        <v>2707</v>
      </c>
      <c r="E1367" t="s">
        <v>2708</v>
      </c>
      <c r="F1367" t="s">
        <v>20</v>
      </c>
      <c r="G1367" t="s">
        <v>21</v>
      </c>
      <c r="H1367" t="s">
        <v>783</v>
      </c>
      <c r="I1367" t="s">
        <v>23</v>
      </c>
      <c r="J1367" t="s">
        <v>40</v>
      </c>
      <c r="K1367" s="2" t="s">
        <v>2693</v>
      </c>
      <c r="L1367" t="s">
        <v>26</v>
      </c>
      <c r="M1367">
        <v>340364</v>
      </c>
      <c r="N1367">
        <v>1</v>
      </c>
      <c r="O1367" s="3">
        <v>54950</v>
      </c>
      <c r="P1367" s="3">
        <v>19451</v>
      </c>
      <c r="Q1367" s="5">
        <f t="shared" si="63"/>
        <v>46176.470588235294</v>
      </c>
      <c r="R1367" s="5">
        <f t="shared" si="64"/>
        <v>19451</v>
      </c>
      <c r="S1367" s="5">
        <f t="shared" si="65"/>
        <v>26725.470588235294</v>
      </c>
    </row>
    <row r="1368" spans="1:19" hidden="1" x14ac:dyDescent="0.3">
      <c r="A1368">
        <v>130</v>
      </c>
      <c r="B1368" t="s">
        <v>2244</v>
      </c>
      <c r="C1368" t="s">
        <v>2709</v>
      </c>
      <c r="D1368" s="2" t="s">
        <v>2710</v>
      </c>
      <c r="E1368" t="s">
        <v>2711</v>
      </c>
      <c r="F1368" t="s">
        <v>20</v>
      </c>
      <c r="G1368" t="s">
        <v>21</v>
      </c>
      <c r="H1368" t="s">
        <v>614</v>
      </c>
      <c r="I1368" t="s">
        <v>23</v>
      </c>
      <c r="J1368" t="s">
        <v>40</v>
      </c>
      <c r="K1368" s="2" t="s">
        <v>2693</v>
      </c>
      <c r="L1368" t="s">
        <v>26</v>
      </c>
      <c r="M1368">
        <v>340365</v>
      </c>
      <c r="N1368">
        <v>1</v>
      </c>
      <c r="O1368" s="3">
        <v>39990</v>
      </c>
      <c r="P1368" s="3">
        <v>17070</v>
      </c>
      <c r="Q1368" s="5">
        <f t="shared" si="63"/>
        <v>33605.042016806721</v>
      </c>
      <c r="R1368" s="5">
        <f t="shared" si="64"/>
        <v>17070</v>
      </c>
      <c r="S1368" s="5">
        <f t="shared" si="65"/>
        <v>16535.042016806721</v>
      </c>
    </row>
    <row r="1369" spans="1:19" hidden="1" x14ac:dyDescent="0.3">
      <c r="A1369">
        <v>130</v>
      </c>
      <c r="B1369" t="s">
        <v>2244</v>
      </c>
      <c r="C1369" t="s">
        <v>2712</v>
      </c>
      <c r="D1369" s="2" t="s">
        <v>2713</v>
      </c>
      <c r="E1369" t="s">
        <v>2714</v>
      </c>
      <c r="F1369" t="s">
        <v>20</v>
      </c>
      <c r="G1369" t="s">
        <v>21</v>
      </c>
      <c r="H1369" t="s">
        <v>2715</v>
      </c>
      <c r="I1369" t="s">
        <v>23</v>
      </c>
      <c r="J1369" t="s">
        <v>49</v>
      </c>
      <c r="K1369" s="2" t="s">
        <v>2693</v>
      </c>
      <c r="L1369" t="s">
        <v>26</v>
      </c>
      <c r="M1369">
        <v>340366</v>
      </c>
      <c r="N1369">
        <v>1</v>
      </c>
      <c r="O1369" s="3">
        <v>74950</v>
      </c>
      <c r="P1369" s="3">
        <v>28430</v>
      </c>
      <c r="Q1369" s="5">
        <f t="shared" si="63"/>
        <v>62983.193277310929</v>
      </c>
      <c r="R1369" s="5">
        <f t="shared" si="64"/>
        <v>28430</v>
      </c>
      <c r="S1369" s="5">
        <f t="shared" si="65"/>
        <v>34553.193277310929</v>
      </c>
    </row>
    <row r="1370" spans="1:19" hidden="1" x14ac:dyDescent="0.3">
      <c r="A1370">
        <v>130</v>
      </c>
      <c r="B1370" t="s">
        <v>2244</v>
      </c>
      <c r="C1370" t="s">
        <v>2716</v>
      </c>
      <c r="D1370" s="2" t="s">
        <v>2717</v>
      </c>
      <c r="E1370" t="s">
        <v>2718</v>
      </c>
      <c r="F1370" t="s">
        <v>20</v>
      </c>
      <c r="G1370" t="s">
        <v>21</v>
      </c>
      <c r="H1370" t="s">
        <v>1887</v>
      </c>
      <c r="I1370" t="s">
        <v>23</v>
      </c>
      <c r="J1370" t="s">
        <v>40</v>
      </c>
      <c r="K1370" s="2" t="s">
        <v>2693</v>
      </c>
      <c r="L1370" t="s">
        <v>26</v>
      </c>
      <c r="M1370">
        <v>340367</v>
      </c>
      <c r="N1370">
        <v>1</v>
      </c>
      <c r="O1370" s="3">
        <v>69950</v>
      </c>
      <c r="P1370" s="3">
        <v>22018</v>
      </c>
      <c r="Q1370" s="5">
        <f t="shared" si="63"/>
        <v>58781.512605042022</v>
      </c>
      <c r="R1370" s="5">
        <f t="shared" si="64"/>
        <v>22018</v>
      </c>
      <c r="S1370" s="5">
        <f t="shared" si="65"/>
        <v>36763.512605042022</v>
      </c>
    </row>
    <row r="1371" spans="1:19" hidden="1" x14ac:dyDescent="0.3">
      <c r="A1371">
        <v>130</v>
      </c>
      <c r="B1371" t="s">
        <v>2244</v>
      </c>
      <c r="C1371" t="s">
        <v>2719</v>
      </c>
      <c r="D1371" s="2" t="s">
        <v>2720</v>
      </c>
      <c r="E1371" t="s">
        <v>2721</v>
      </c>
      <c r="F1371" t="s">
        <v>20</v>
      </c>
      <c r="G1371" t="s">
        <v>21</v>
      </c>
      <c r="H1371" t="s">
        <v>1422</v>
      </c>
      <c r="I1371" t="s">
        <v>23</v>
      </c>
      <c r="J1371" t="s">
        <v>49</v>
      </c>
      <c r="K1371" s="2" t="s">
        <v>2693</v>
      </c>
      <c r="L1371" t="s">
        <v>26</v>
      </c>
      <c r="M1371">
        <v>340368</v>
      </c>
      <c r="N1371">
        <v>1</v>
      </c>
      <c r="O1371" s="3">
        <v>59990</v>
      </c>
      <c r="P1371" s="3">
        <v>27667</v>
      </c>
      <c r="Q1371" s="5">
        <f t="shared" si="63"/>
        <v>50411.764705882357</v>
      </c>
      <c r="R1371" s="5">
        <f t="shared" si="64"/>
        <v>27667</v>
      </c>
      <c r="S1371" s="5">
        <f t="shared" si="65"/>
        <v>22744.764705882357</v>
      </c>
    </row>
    <row r="1372" spans="1:19" hidden="1" x14ac:dyDescent="0.3">
      <c r="A1372">
        <v>130</v>
      </c>
      <c r="B1372" t="s">
        <v>2244</v>
      </c>
      <c r="C1372" t="s">
        <v>2722</v>
      </c>
      <c r="D1372" s="2" t="s">
        <v>2723</v>
      </c>
      <c r="E1372" t="s">
        <v>2340</v>
      </c>
      <c r="F1372" t="s">
        <v>20</v>
      </c>
      <c r="G1372" t="s">
        <v>21</v>
      </c>
      <c r="H1372" t="s">
        <v>1914</v>
      </c>
      <c r="I1372" t="s">
        <v>23</v>
      </c>
      <c r="J1372" t="s">
        <v>35</v>
      </c>
      <c r="K1372" s="2" t="s">
        <v>2693</v>
      </c>
      <c r="L1372" t="s">
        <v>26</v>
      </c>
      <c r="M1372">
        <v>340368</v>
      </c>
      <c r="N1372">
        <v>1</v>
      </c>
      <c r="O1372" s="3">
        <v>89950</v>
      </c>
      <c r="P1372" s="3">
        <v>27630</v>
      </c>
      <c r="Q1372" s="5">
        <f t="shared" si="63"/>
        <v>75588.23529411765</v>
      </c>
      <c r="R1372" s="5">
        <f t="shared" si="64"/>
        <v>27630</v>
      </c>
      <c r="S1372" s="5">
        <f t="shared" si="65"/>
        <v>47958.23529411765</v>
      </c>
    </row>
    <row r="1373" spans="1:19" hidden="1" x14ac:dyDescent="0.3">
      <c r="A1373">
        <v>130</v>
      </c>
      <c r="B1373" t="s">
        <v>2244</v>
      </c>
      <c r="C1373" t="s">
        <v>605</v>
      </c>
      <c r="D1373" s="2" t="s">
        <v>606</v>
      </c>
      <c r="E1373" t="s">
        <v>117</v>
      </c>
      <c r="F1373" t="s">
        <v>20</v>
      </c>
      <c r="G1373" t="s">
        <v>21</v>
      </c>
      <c r="H1373" t="s">
        <v>118</v>
      </c>
      <c r="I1373" t="s">
        <v>23</v>
      </c>
      <c r="J1373" t="s">
        <v>49</v>
      </c>
      <c r="K1373" s="2" t="s">
        <v>2693</v>
      </c>
      <c r="L1373" t="s">
        <v>26</v>
      </c>
      <c r="M1373">
        <v>340369</v>
      </c>
      <c r="N1373">
        <v>1</v>
      </c>
      <c r="O1373" s="3">
        <v>39990</v>
      </c>
      <c r="P1373" s="3">
        <v>26877</v>
      </c>
      <c r="Q1373" s="5">
        <f t="shared" si="63"/>
        <v>33605.042016806721</v>
      </c>
      <c r="R1373" s="5">
        <f t="shared" si="64"/>
        <v>26877</v>
      </c>
      <c r="S1373" s="5">
        <f t="shared" si="65"/>
        <v>6728.0420168067212</v>
      </c>
    </row>
    <row r="1374" spans="1:19" hidden="1" x14ac:dyDescent="0.3">
      <c r="A1374">
        <v>130</v>
      </c>
      <c r="B1374" t="s">
        <v>2244</v>
      </c>
      <c r="C1374" t="s">
        <v>2724</v>
      </c>
      <c r="D1374" s="2" t="s">
        <v>2725</v>
      </c>
      <c r="E1374" t="s">
        <v>2422</v>
      </c>
      <c r="F1374" t="s">
        <v>20</v>
      </c>
      <c r="G1374" t="s">
        <v>21</v>
      </c>
      <c r="H1374" t="s">
        <v>152</v>
      </c>
      <c r="I1374" t="s">
        <v>23</v>
      </c>
      <c r="J1374" t="s">
        <v>40</v>
      </c>
      <c r="K1374" s="2" t="s">
        <v>2693</v>
      </c>
      <c r="L1374" t="s">
        <v>26</v>
      </c>
      <c r="M1374">
        <v>340370</v>
      </c>
      <c r="N1374">
        <v>1</v>
      </c>
      <c r="O1374" s="3">
        <v>34991</v>
      </c>
      <c r="P1374" s="3">
        <v>18485</v>
      </c>
      <c r="Q1374" s="5">
        <f t="shared" si="63"/>
        <v>29404.201680672271</v>
      </c>
      <c r="R1374" s="5">
        <f t="shared" si="64"/>
        <v>18485</v>
      </c>
      <c r="S1374" s="5">
        <f t="shared" si="65"/>
        <v>10919.201680672271</v>
      </c>
    </row>
    <row r="1375" spans="1:19" hidden="1" x14ac:dyDescent="0.3">
      <c r="A1375">
        <v>130</v>
      </c>
      <c r="B1375" t="s">
        <v>2244</v>
      </c>
      <c r="C1375" t="s">
        <v>2726</v>
      </c>
      <c r="D1375" s="2" t="s">
        <v>2727</v>
      </c>
      <c r="E1375" t="s">
        <v>2422</v>
      </c>
      <c r="F1375" t="s">
        <v>20</v>
      </c>
      <c r="G1375" t="s">
        <v>21</v>
      </c>
      <c r="H1375" t="s">
        <v>152</v>
      </c>
      <c r="I1375" t="s">
        <v>23</v>
      </c>
      <c r="J1375" t="s">
        <v>40</v>
      </c>
      <c r="K1375" s="2" t="s">
        <v>2693</v>
      </c>
      <c r="L1375" t="s">
        <v>26</v>
      </c>
      <c r="M1375">
        <v>340370</v>
      </c>
      <c r="N1375">
        <v>-1</v>
      </c>
      <c r="O1375" s="3">
        <v>-34990</v>
      </c>
      <c r="P1375" s="3">
        <v>18485</v>
      </c>
      <c r="Q1375" s="5">
        <f t="shared" si="63"/>
        <v>-29403.361344537818</v>
      </c>
      <c r="R1375" s="5">
        <f t="shared" si="64"/>
        <v>-18485</v>
      </c>
      <c r="S1375" s="5">
        <f t="shared" si="65"/>
        <v>-10918.361344537818</v>
      </c>
    </row>
    <row r="1376" spans="1:19" hidden="1" x14ac:dyDescent="0.3">
      <c r="A1376">
        <v>130</v>
      </c>
      <c r="B1376" t="s">
        <v>2244</v>
      </c>
      <c r="C1376" t="s">
        <v>2728</v>
      </c>
      <c r="D1376" s="2" t="s">
        <v>2729</v>
      </c>
      <c r="E1376" t="s">
        <v>2536</v>
      </c>
      <c r="F1376" t="s">
        <v>20</v>
      </c>
      <c r="G1376" t="s">
        <v>21</v>
      </c>
      <c r="H1376" t="s">
        <v>454</v>
      </c>
      <c r="I1376" t="s">
        <v>23</v>
      </c>
      <c r="J1376" t="s">
        <v>407</v>
      </c>
      <c r="K1376" s="2" t="s">
        <v>2693</v>
      </c>
      <c r="L1376" t="s">
        <v>26</v>
      </c>
      <c r="M1376">
        <v>340371</v>
      </c>
      <c r="N1376">
        <v>1</v>
      </c>
      <c r="O1376" s="3">
        <v>39990</v>
      </c>
      <c r="P1376" s="3">
        <v>21038</v>
      </c>
      <c r="Q1376" s="5">
        <f t="shared" si="63"/>
        <v>33605.042016806721</v>
      </c>
      <c r="R1376" s="5">
        <f t="shared" si="64"/>
        <v>21038</v>
      </c>
      <c r="S1376" s="5">
        <f t="shared" si="65"/>
        <v>12567.042016806721</v>
      </c>
    </row>
    <row r="1377" spans="1:19" hidden="1" x14ac:dyDescent="0.3">
      <c r="A1377">
        <v>130</v>
      </c>
      <c r="B1377" t="s">
        <v>2244</v>
      </c>
      <c r="C1377" t="s">
        <v>2324</v>
      </c>
      <c r="D1377" s="2" t="s">
        <v>2325</v>
      </c>
      <c r="E1377" t="s">
        <v>453</v>
      </c>
      <c r="F1377" t="s">
        <v>20</v>
      </c>
      <c r="G1377" t="s">
        <v>21</v>
      </c>
      <c r="H1377" t="s">
        <v>454</v>
      </c>
      <c r="I1377" t="s">
        <v>23</v>
      </c>
      <c r="J1377" t="s">
        <v>407</v>
      </c>
      <c r="K1377" s="2" t="s">
        <v>2693</v>
      </c>
      <c r="L1377" t="s">
        <v>26</v>
      </c>
      <c r="M1377">
        <v>340372</v>
      </c>
      <c r="N1377">
        <v>1</v>
      </c>
      <c r="O1377" s="3">
        <v>39990</v>
      </c>
      <c r="P1377" s="3">
        <v>21038</v>
      </c>
      <c r="Q1377" s="5">
        <f t="shared" si="63"/>
        <v>33605.042016806721</v>
      </c>
      <c r="R1377" s="5">
        <f t="shared" si="64"/>
        <v>21038</v>
      </c>
      <c r="S1377" s="5">
        <f t="shared" si="65"/>
        <v>12567.042016806721</v>
      </c>
    </row>
    <row r="1378" spans="1:19" hidden="1" x14ac:dyDescent="0.3">
      <c r="A1378">
        <v>130</v>
      </c>
      <c r="B1378" t="s">
        <v>2244</v>
      </c>
      <c r="C1378" t="s">
        <v>2730</v>
      </c>
      <c r="D1378" s="2" t="s">
        <v>2731</v>
      </c>
      <c r="E1378" t="s">
        <v>2308</v>
      </c>
      <c r="F1378" t="s">
        <v>20</v>
      </c>
      <c r="G1378" t="s">
        <v>21</v>
      </c>
      <c r="H1378" t="s">
        <v>1337</v>
      </c>
      <c r="I1378" t="s">
        <v>23</v>
      </c>
      <c r="J1378" t="s">
        <v>49</v>
      </c>
      <c r="K1378" s="2" t="s">
        <v>2693</v>
      </c>
      <c r="L1378" t="s">
        <v>26</v>
      </c>
      <c r="M1378">
        <v>340372</v>
      </c>
      <c r="N1378">
        <v>1</v>
      </c>
      <c r="O1378" s="3">
        <v>59950</v>
      </c>
      <c r="P1378" s="3">
        <v>21847</v>
      </c>
      <c r="Q1378" s="5">
        <f t="shared" si="63"/>
        <v>50378.151260504201</v>
      </c>
      <c r="R1378" s="5">
        <f t="shared" si="64"/>
        <v>21847</v>
      </c>
      <c r="S1378" s="5">
        <f t="shared" si="65"/>
        <v>28531.151260504201</v>
      </c>
    </row>
    <row r="1379" spans="1:19" hidden="1" x14ac:dyDescent="0.3">
      <c r="A1379">
        <v>130</v>
      </c>
      <c r="B1379" t="s">
        <v>2244</v>
      </c>
      <c r="C1379" t="s">
        <v>2347</v>
      </c>
      <c r="D1379" s="2" t="s">
        <v>2348</v>
      </c>
      <c r="E1379" t="s">
        <v>2349</v>
      </c>
      <c r="F1379" t="s">
        <v>20</v>
      </c>
      <c r="G1379" t="s">
        <v>338</v>
      </c>
      <c r="H1379">
        <v>23709</v>
      </c>
      <c r="I1379" t="s">
        <v>23</v>
      </c>
      <c r="J1379" t="s">
        <v>40</v>
      </c>
      <c r="K1379" s="2" t="s">
        <v>2693</v>
      </c>
      <c r="L1379" t="s">
        <v>26</v>
      </c>
      <c r="M1379">
        <v>340373</v>
      </c>
      <c r="N1379">
        <v>1</v>
      </c>
      <c r="O1379" s="3">
        <v>79950</v>
      </c>
      <c r="P1379" s="3">
        <v>27728</v>
      </c>
      <c r="Q1379" s="5">
        <f t="shared" si="63"/>
        <v>67184.873949579836</v>
      </c>
      <c r="R1379" s="5">
        <f t="shared" si="64"/>
        <v>27728</v>
      </c>
      <c r="S1379" s="5">
        <f t="shared" si="65"/>
        <v>39456.873949579836</v>
      </c>
    </row>
    <row r="1380" spans="1:19" hidden="1" x14ac:dyDescent="0.3">
      <c r="A1380">
        <v>130</v>
      </c>
      <c r="B1380" t="s">
        <v>2244</v>
      </c>
      <c r="C1380" t="s">
        <v>2534</v>
      </c>
      <c r="D1380" s="2" t="s">
        <v>2535</v>
      </c>
      <c r="E1380" t="s">
        <v>2536</v>
      </c>
      <c r="F1380" t="s">
        <v>20</v>
      </c>
      <c r="G1380" t="s">
        <v>21</v>
      </c>
      <c r="H1380" t="s">
        <v>454</v>
      </c>
      <c r="I1380" t="s">
        <v>23</v>
      </c>
      <c r="J1380" t="s">
        <v>407</v>
      </c>
      <c r="K1380" s="2" t="s">
        <v>2693</v>
      </c>
      <c r="L1380" t="s">
        <v>26</v>
      </c>
      <c r="M1380">
        <v>340374</v>
      </c>
      <c r="N1380">
        <v>-1</v>
      </c>
      <c r="O1380" s="3">
        <v>-39990</v>
      </c>
      <c r="P1380" s="3">
        <v>21038</v>
      </c>
      <c r="Q1380" s="5">
        <f t="shared" si="63"/>
        <v>-33605.042016806721</v>
      </c>
      <c r="R1380" s="5">
        <f t="shared" si="64"/>
        <v>-21038</v>
      </c>
      <c r="S1380" s="5">
        <f t="shared" si="65"/>
        <v>-12567.042016806721</v>
      </c>
    </row>
    <row r="1381" spans="1:19" hidden="1" x14ac:dyDescent="0.3">
      <c r="A1381">
        <v>130</v>
      </c>
      <c r="B1381" t="s">
        <v>2244</v>
      </c>
      <c r="C1381" t="s">
        <v>2732</v>
      </c>
      <c r="D1381" s="2" t="s">
        <v>2733</v>
      </c>
      <c r="E1381" t="s">
        <v>2533</v>
      </c>
      <c r="F1381" t="s">
        <v>20</v>
      </c>
      <c r="G1381" t="s">
        <v>21</v>
      </c>
      <c r="H1381" t="s">
        <v>500</v>
      </c>
      <c r="I1381" t="s">
        <v>23</v>
      </c>
      <c r="J1381" t="s">
        <v>40</v>
      </c>
      <c r="K1381" s="2" t="s">
        <v>2693</v>
      </c>
      <c r="L1381" t="s">
        <v>26</v>
      </c>
      <c r="M1381">
        <v>340374</v>
      </c>
      <c r="N1381">
        <v>1</v>
      </c>
      <c r="O1381" s="3">
        <v>49990</v>
      </c>
      <c r="P1381" s="3">
        <v>20043</v>
      </c>
      <c r="Q1381" s="5">
        <f t="shared" si="63"/>
        <v>42008.403361344543</v>
      </c>
      <c r="R1381" s="5">
        <f t="shared" si="64"/>
        <v>20043</v>
      </c>
      <c r="S1381" s="5">
        <f t="shared" si="65"/>
        <v>21965.403361344543</v>
      </c>
    </row>
    <row r="1382" spans="1:19" hidden="1" x14ac:dyDescent="0.3">
      <c r="A1382">
        <v>130</v>
      </c>
      <c r="B1382" t="s">
        <v>2244</v>
      </c>
      <c r="C1382" t="s">
        <v>492</v>
      </c>
      <c r="D1382" s="2" t="s">
        <v>493</v>
      </c>
      <c r="E1382" t="s">
        <v>494</v>
      </c>
      <c r="F1382" t="s">
        <v>20</v>
      </c>
      <c r="G1382" t="s">
        <v>21</v>
      </c>
      <c r="H1382" t="s">
        <v>317</v>
      </c>
      <c r="I1382" t="s">
        <v>23</v>
      </c>
      <c r="J1382" t="s">
        <v>35</v>
      </c>
      <c r="K1382" s="2" t="s">
        <v>2693</v>
      </c>
      <c r="L1382" t="s">
        <v>26</v>
      </c>
      <c r="M1382">
        <v>340375</v>
      </c>
      <c r="N1382">
        <v>1</v>
      </c>
      <c r="O1382" s="3">
        <v>69950</v>
      </c>
      <c r="P1382" s="3">
        <v>23619</v>
      </c>
      <c r="Q1382" s="5">
        <f t="shared" si="63"/>
        <v>58781.512605042022</v>
      </c>
      <c r="R1382" s="5">
        <f t="shared" si="64"/>
        <v>23619</v>
      </c>
      <c r="S1382" s="5">
        <f t="shared" si="65"/>
        <v>35162.512605042022</v>
      </c>
    </row>
    <row r="1383" spans="1:19" hidden="1" x14ac:dyDescent="0.3">
      <c r="A1383">
        <v>130</v>
      </c>
      <c r="B1383" t="s">
        <v>2244</v>
      </c>
      <c r="C1383" t="s">
        <v>343</v>
      </c>
      <c r="D1383" s="2" t="s">
        <v>344</v>
      </c>
      <c r="E1383" t="s">
        <v>345</v>
      </c>
      <c r="F1383" t="s">
        <v>20</v>
      </c>
      <c r="G1383" t="s">
        <v>21</v>
      </c>
      <c r="H1383" t="s">
        <v>346</v>
      </c>
      <c r="I1383" t="s">
        <v>23</v>
      </c>
      <c r="J1383" t="s">
        <v>49</v>
      </c>
      <c r="K1383" s="2" t="s">
        <v>2693</v>
      </c>
      <c r="L1383" t="s">
        <v>26</v>
      </c>
      <c r="M1383">
        <v>340376</v>
      </c>
      <c r="N1383">
        <v>1</v>
      </c>
      <c r="O1383" s="3">
        <v>49990</v>
      </c>
      <c r="P1383" s="3">
        <v>21039</v>
      </c>
      <c r="Q1383" s="5">
        <f t="shared" si="63"/>
        <v>42008.403361344543</v>
      </c>
      <c r="R1383" s="5">
        <f t="shared" si="64"/>
        <v>21039</v>
      </c>
      <c r="S1383" s="5">
        <f t="shared" si="65"/>
        <v>20969.403361344543</v>
      </c>
    </row>
    <row r="1384" spans="1:19" hidden="1" x14ac:dyDescent="0.3">
      <c r="A1384">
        <v>130</v>
      </c>
      <c r="B1384" t="s">
        <v>2244</v>
      </c>
      <c r="C1384" t="s">
        <v>2734</v>
      </c>
      <c r="D1384" s="2" t="s">
        <v>2735</v>
      </c>
      <c r="E1384" t="s">
        <v>2718</v>
      </c>
      <c r="F1384" t="s">
        <v>20</v>
      </c>
      <c r="G1384" t="s">
        <v>21</v>
      </c>
      <c r="H1384" t="s">
        <v>1887</v>
      </c>
      <c r="I1384" t="s">
        <v>23</v>
      </c>
      <c r="J1384" t="s">
        <v>40</v>
      </c>
      <c r="K1384" s="2" t="s">
        <v>2693</v>
      </c>
      <c r="L1384" t="s">
        <v>26</v>
      </c>
      <c r="M1384">
        <v>340377</v>
      </c>
      <c r="N1384">
        <v>1</v>
      </c>
      <c r="O1384" s="3">
        <v>69950</v>
      </c>
      <c r="P1384" s="3">
        <v>22018</v>
      </c>
      <c r="Q1384" s="5">
        <f t="shared" si="63"/>
        <v>58781.512605042022</v>
      </c>
      <c r="R1384" s="5">
        <f t="shared" si="64"/>
        <v>22018</v>
      </c>
      <c r="S1384" s="5">
        <f t="shared" si="65"/>
        <v>36763.512605042022</v>
      </c>
    </row>
    <row r="1385" spans="1:19" hidden="1" x14ac:dyDescent="0.3">
      <c r="A1385">
        <v>130</v>
      </c>
      <c r="B1385" t="s">
        <v>2244</v>
      </c>
      <c r="C1385" t="s">
        <v>2736</v>
      </c>
      <c r="D1385" s="2" t="s">
        <v>2737</v>
      </c>
      <c r="E1385" t="s">
        <v>2738</v>
      </c>
      <c r="F1385" t="s">
        <v>20</v>
      </c>
      <c r="G1385" t="s">
        <v>21</v>
      </c>
      <c r="H1385" t="s">
        <v>22</v>
      </c>
      <c r="I1385" t="s">
        <v>23</v>
      </c>
      <c r="J1385" t="s">
        <v>49</v>
      </c>
      <c r="K1385" s="2" t="s">
        <v>2693</v>
      </c>
      <c r="L1385" t="s">
        <v>26</v>
      </c>
      <c r="M1385">
        <v>340378</v>
      </c>
      <c r="N1385">
        <v>1</v>
      </c>
      <c r="O1385" s="3">
        <v>74950</v>
      </c>
      <c r="P1385" s="3">
        <v>26246</v>
      </c>
      <c r="Q1385" s="5">
        <f t="shared" si="63"/>
        <v>62983.193277310929</v>
      </c>
      <c r="R1385" s="5">
        <f t="shared" si="64"/>
        <v>26246</v>
      </c>
      <c r="S1385" s="5">
        <f t="shared" si="65"/>
        <v>36737.193277310929</v>
      </c>
    </row>
    <row r="1386" spans="1:19" hidden="1" x14ac:dyDescent="0.3">
      <c r="A1386">
        <v>130</v>
      </c>
      <c r="B1386" t="s">
        <v>2244</v>
      </c>
      <c r="C1386" t="s">
        <v>2525</v>
      </c>
      <c r="D1386" s="2" t="s">
        <v>2526</v>
      </c>
      <c r="E1386" t="s">
        <v>2527</v>
      </c>
      <c r="F1386" t="s">
        <v>377</v>
      </c>
      <c r="G1386" t="s">
        <v>21</v>
      </c>
      <c r="H1386" t="s">
        <v>378</v>
      </c>
      <c r="I1386" t="s">
        <v>23</v>
      </c>
      <c r="J1386" t="s">
        <v>2459</v>
      </c>
      <c r="K1386" s="2" t="s">
        <v>2693</v>
      </c>
      <c r="L1386" t="s">
        <v>26</v>
      </c>
      <c r="M1386">
        <v>340379</v>
      </c>
      <c r="N1386">
        <v>1</v>
      </c>
      <c r="O1386" s="3">
        <v>6950</v>
      </c>
      <c r="P1386" s="3">
        <v>2964</v>
      </c>
      <c r="Q1386" s="5">
        <f t="shared" si="63"/>
        <v>5840.3361344537816</v>
      </c>
      <c r="R1386" s="5">
        <f t="shared" si="64"/>
        <v>2964</v>
      </c>
      <c r="S1386" s="5">
        <f t="shared" si="65"/>
        <v>2876.3361344537816</v>
      </c>
    </row>
    <row r="1387" spans="1:19" hidden="1" x14ac:dyDescent="0.3">
      <c r="A1387">
        <v>130</v>
      </c>
      <c r="B1387" t="s">
        <v>2244</v>
      </c>
      <c r="C1387" t="s">
        <v>2739</v>
      </c>
      <c r="D1387" s="2" t="s">
        <v>2740</v>
      </c>
      <c r="E1387" t="s">
        <v>2741</v>
      </c>
      <c r="F1387" t="s">
        <v>20</v>
      </c>
      <c r="G1387" t="s">
        <v>21</v>
      </c>
      <c r="H1387" t="s">
        <v>2494</v>
      </c>
      <c r="I1387" t="s">
        <v>23</v>
      </c>
      <c r="J1387" t="s">
        <v>40</v>
      </c>
      <c r="K1387" s="2" t="s">
        <v>2693</v>
      </c>
      <c r="L1387" t="s">
        <v>26</v>
      </c>
      <c r="M1387">
        <v>340380</v>
      </c>
      <c r="N1387">
        <v>1</v>
      </c>
      <c r="O1387" s="3">
        <v>69950</v>
      </c>
      <c r="P1387" s="3">
        <v>23470</v>
      </c>
      <c r="Q1387" s="5">
        <f t="shared" si="63"/>
        <v>58781.512605042022</v>
      </c>
      <c r="R1387" s="5">
        <f t="shared" si="64"/>
        <v>23470</v>
      </c>
      <c r="S1387" s="5">
        <f t="shared" si="65"/>
        <v>35311.512605042022</v>
      </c>
    </row>
    <row r="1388" spans="1:19" hidden="1" x14ac:dyDescent="0.3">
      <c r="A1388">
        <v>130</v>
      </c>
      <c r="B1388" t="s">
        <v>2244</v>
      </c>
      <c r="C1388" t="s">
        <v>2742</v>
      </c>
      <c r="D1388" s="2" t="s">
        <v>2743</v>
      </c>
      <c r="E1388" t="s">
        <v>2744</v>
      </c>
      <c r="F1388" t="s">
        <v>20</v>
      </c>
      <c r="G1388" t="s">
        <v>21</v>
      </c>
      <c r="H1388" t="s">
        <v>2745</v>
      </c>
      <c r="I1388" t="s">
        <v>23</v>
      </c>
      <c r="J1388" t="s">
        <v>35</v>
      </c>
      <c r="K1388" s="2" t="s">
        <v>2693</v>
      </c>
      <c r="L1388" t="s">
        <v>26</v>
      </c>
      <c r="M1388">
        <v>340381</v>
      </c>
      <c r="N1388">
        <v>1</v>
      </c>
      <c r="O1388" s="3">
        <v>99950</v>
      </c>
      <c r="P1388" s="3">
        <v>33200</v>
      </c>
      <c r="Q1388" s="5">
        <f t="shared" si="63"/>
        <v>83991.596638655465</v>
      </c>
      <c r="R1388" s="5">
        <f t="shared" si="64"/>
        <v>33200</v>
      </c>
      <c r="S1388" s="5">
        <f t="shared" si="65"/>
        <v>50791.596638655465</v>
      </c>
    </row>
    <row r="1389" spans="1:19" hidden="1" x14ac:dyDescent="0.3">
      <c r="A1389">
        <v>130</v>
      </c>
      <c r="B1389" t="s">
        <v>2244</v>
      </c>
      <c r="C1389" t="s">
        <v>2746</v>
      </c>
      <c r="D1389" s="2" t="s">
        <v>2747</v>
      </c>
      <c r="E1389" t="s">
        <v>2748</v>
      </c>
      <c r="F1389" t="s">
        <v>20</v>
      </c>
      <c r="G1389" t="s">
        <v>338</v>
      </c>
      <c r="H1389">
        <v>26266</v>
      </c>
      <c r="I1389" t="s">
        <v>23</v>
      </c>
      <c r="J1389" t="s">
        <v>35</v>
      </c>
      <c r="K1389" s="2" t="s">
        <v>2693</v>
      </c>
      <c r="L1389" t="s">
        <v>26</v>
      </c>
      <c r="M1389">
        <v>340382</v>
      </c>
      <c r="N1389">
        <v>1</v>
      </c>
      <c r="O1389" s="3">
        <v>79950</v>
      </c>
      <c r="P1389" s="3">
        <v>25300</v>
      </c>
      <c r="Q1389" s="5">
        <f t="shared" si="63"/>
        <v>67184.873949579836</v>
      </c>
      <c r="R1389" s="5">
        <f t="shared" si="64"/>
        <v>25300</v>
      </c>
      <c r="S1389" s="5">
        <f t="shared" si="65"/>
        <v>41884.873949579836</v>
      </c>
    </row>
    <row r="1390" spans="1:19" hidden="1" x14ac:dyDescent="0.3">
      <c r="A1390">
        <v>130</v>
      </c>
      <c r="B1390" t="s">
        <v>2244</v>
      </c>
      <c r="C1390">
        <v>1687976791</v>
      </c>
      <c r="D1390" s="2" t="s">
        <v>200</v>
      </c>
      <c r="E1390" t="s">
        <v>201</v>
      </c>
      <c r="F1390" t="s">
        <v>201</v>
      </c>
      <c r="G1390" t="s">
        <v>202</v>
      </c>
      <c r="H1390" t="s">
        <v>202</v>
      </c>
      <c r="I1390" t="s">
        <v>23</v>
      </c>
      <c r="J1390" t="s">
        <v>202</v>
      </c>
      <c r="K1390" s="2" t="s">
        <v>2693</v>
      </c>
      <c r="L1390" t="s">
        <v>26</v>
      </c>
      <c r="M1390">
        <v>340383</v>
      </c>
      <c r="N1390">
        <v>1</v>
      </c>
      <c r="O1390" s="3">
        <v>3200</v>
      </c>
      <c r="P1390">
        <v>1</v>
      </c>
      <c r="Q1390" s="5">
        <f t="shared" si="63"/>
        <v>2689.0756302521008</v>
      </c>
      <c r="R1390" s="5">
        <f t="shared" si="64"/>
        <v>1</v>
      </c>
      <c r="S1390" s="5">
        <f t="shared" si="65"/>
        <v>2688.0756302521008</v>
      </c>
    </row>
    <row r="1391" spans="1:19" hidden="1" x14ac:dyDescent="0.3">
      <c r="A1391">
        <v>130</v>
      </c>
      <c r="B1391" t="s">
        <v>2244</v>
      </c>
      <c r="C1391" t="s">
        <v>2401</v>
      </c>
      <c r="D1391" s="2" t="s">
        <v>2402</v>
      </c>
      <c r="E1391" t="s">
        <v>2287</v>
      </c>
      <c r="F1391" t="s">
        <v>20</v>
      </c>
      <c r="G1391" t="s">
        <v>21</v>
      </c>
      <c r="H1391" t="s">
        <v>429</v>
      </c>
      <c r="I1391" t="s">
        <v>23</v>
      </c>
      <c r="J1391" t="s">
        <v>49</v>
      </c>
      <c r="K1391" s="2" t="s">
        <v>2693</v>
      </c>
      <c r="L1391" t="s">
        <v>26</v>
      </c>
      <c r="M1391">
        <v>340383</v>
      </c>
      <c r="N1391">
        <v>1</v>
      </c>
      <c r="O1391" s="3">
        <v>49990</v>
      </c>
      <c r="P1391" s="3">
        <v>31025</v>
      </c>
      <c r="Q1391" s="5">
        <f t="shared" si="63"/>
        <v>42008.403361344543</v>
      </c>
      <c r="R1391" s="5">
        <f t="shared" si="64"/>
        <v>31025</v>
      </c>
      <c r="S1391" s="5">
        <f t="shared" si="65"/>
        <v>10983.403361344543</v>
      </c>
    </row>
    <row r="1392" spans="1:19" hidden="1" x14ac:dyDescent="0.3">
      <c r="A1392">
        <v>130</v>
      </c>
      <c r="B1392" t="s">
        <v>2244</v>
      </c>
      <c r="C1392" t="s">
        <v>2749</v>
      </c>
      <c r="D1392" s="2" t="s">
        <v>2750</v>
      </c>
      <c r="E1392" t="s">
        <v>2629</v>
      </c>
      <c r="F1392" t="s">
        <v>20</v>
      </c>
      <c r="G1392" t="s">
        <v>21</v>
      </c>
      <c r="H1392" t="s">
        <v>1987</v>
      </c>
      <c r="I1392" t="s">
        <v>23</v>
      </c>
      <c r="J1392" t="s">
        <v>49</v>
      </c>
      <c r="K1392" s="2" t="s">
        <v>2693</v>
      </c>
      <c r="L1392" t="s">
        <v>26</v>
      </c>
      <c r="M1392">
        <v>340384</v>
      </c>
      <c r="N1392">
        <v>1</v>
      </c>
      <c r="O1392" s="3">
        <v>74950</v>
      </c>
      <c r="P1392" s="3">
        <v>23391</v>
      </c>
      <c r="Q1392" s="5">
        <f t="shared" si="63"/>
        <v>62983.193277310929</v>
      </c>
      <c r="R1392" s="5">
        <f t="shared" si="64"/>
        <v>23391</v>
      </c>
      <c r="S1392" s="5">
        <f t="shared" si="65"/>
        <v>39592.193277310929</v>
      </c>
    </row>
    <row r="1393" spans="1:19" hidden="1" x14ac:dyDescent="0.3">
      <c r="A1393">
        <v>130</v>
      </c>
      <c r="B1393" t="s">
        <v>2244</v>
      </c>
      <c r="C1393" t="s">
        <v>2485</v>
      </c>
      <c r="D1393" s="2" t="s">
        <v>2486</v>
      </c>
      <c r="E1393" t="s">
        <v>2487</v>
      </c>
      <c r="F1393" t="s">
        <v>377</v>
      </c>
      <c r="G1393" t="s">
        <v>21</v>
      </c>
      <c r="H1393" t="s">
        <v>378</v>
      </c>
      <c r="I1393" t="s">
        <v>23</v>
      </c>
      <c r="J1393" t="s">
        <v>379</v>
      </c>
      <c r="K1393" s="2" t="s">
        <v>2751</v>
      </c>
      <c r="L1393" t="s">
        <v>26</v>
      </c>
      <c r="M1393">
        <v>340385</v>
      </c>
      <c r="N1393">
        <v>1</v>
      </c>
      <c r="O1393" s="3">
        <v>5950</v>
      </c>
      <c r="P1393" s="3">
        <v>2243</v>
      </c>
      <c r="Q1393" s="5">
        <f t="shared" si="63"/>
        <v>5000</v>
      </c>
      <c r="R1393" s="5">
        <f t="shared" si="64"/>
        <v>2243</v>
      </c>
      <c r="S1393" s="5">
        <f t="shared" si="65"/>
        <v>2757</v>
      </c>
    </row>
    <row r="1394" spans="1:19" hidden="1" x14ac:dyDescent="0.3">
      <c r="A1394">
        <v>130</v>
      </c>
      <c r="B1394" t="s">
        <v>2244</v>
      </c>
      <c r="C1394" t="s">
        <v>2752</v>
      </c>
      <c r="D1394" s="2" t="s">
        <v>2753</v>
      </c>
      <c r="E1394" t="s">
        <v>2606</v>
      </c>
      <c r="F1394" t="s">
        <v>20</v>
      </c>
      <c r="G1394" t="s">
        <v>21</v>
      </c>
      <c r="H1394" t="s">
        <v>970</v>
      </c>
      <c r="I1394" t="s">
        <v>23</v>
      </c>
      <c r="J1394" t="s">
        <v>40</v>
      </c>
      <c r="K1394" s="2" t="s">
        <v>2751</v>
      </c>
      <c r="L1394" t="s">
        <v>26</v>
      </c>
      <c r="M1394">
        <v>340386</v>
      </c>
      <c r="N1394">
        <v>1</v>
      </c>
      <c r="O1394" s="3">
        <v>49990</v>
      </c>
      <c r="P1394" s="3">
        <v>18897</v>
      </c>
      <c r="Q1394" s="5">
        <f t="shared" si="63"/>
        <v>42008.403361344543</v>
      </c>
      <c r="R1394" s="5">
        <f t="shared" si="64"/>
        <v>18897</v>
      </c>
      <c r="S1394" s="5">
        <f t="shared" si="65"/>
        <v>23111.403361344543</v>
      </c>
    </row>
    <row r="1395" spans="1:19" hidden="1" x14ac:dyDescent="0.3">
      <c r="A1395">
        <v>130</v>
      </c>
      <c r="B1395" t="s">
        <v>2244</v>
      </c>
      <c r="C1395" t="s">
        <v>2754</v>
      </c>
      <c r="D1395" s="2" t="s">
        <v>2755</v>
      </c>
      <c r="E1395" t="s">
        <v>506</v>
      </c>
      <c r="F1395" t="s">
        <v>20</v>
      </c>
      <c r="G1395" t="s">
        <v>21</v>
      </c>
      <c r="H1395" t="s">
        <v>357</v>
      </c>
      <c r="I1395" t="s">
        <v>23</v>
      </c>
      <c r="J1395" t="s">
        <v>49</v>
      </c>
      <c r="K1395" s="2" t="s">
        <v>2751</v>
      </c>
      <c r="L1395" t="s">
        <v>26</v>
      </c>
      <c r="M1395">
        <v>340387</v>
      </c>
      <c r="N1395">
        <v>1</v>
      </c>
      <c r="O1395" s="3">
        <v>44990</v>
      </c>
      <c r="P1395" s="3">
        <v>26615</v>
      </c>
      <c r="Q1395" s="5">
        <f t="shared" si="63"/>
        <v>37806.722689075636</v>
      </c>
      <c r="R1395" s="5">
        <f t="shared" si="64"/>
        <v>26615</v>
      </c>
      <c r="S1395" s="5">
        <f t="shared" si="65"/>
        <v>11191.722689075636</v>
      </c>
    </row>
    <row r="1396" spans="1:19" hidden="1" x14ac:dyDescent="0.3">
      <c r="A1396">
        <v>130</v>
      </c>
      <c r="B1396" t="s">
        <v>2244</v>
      </c>
      <c r="C1396" t="s">
        <v>2756</v>
      </c>
      <c r="D1396" s="2" t="s">
        <v>2757</v>
      </c>
      <c r="E1396" t="s">
        <v>2758</v>
      </c>
      <c r="F1396" t="s">
        <v>20</v>
      </c>
      <c r="G1396" t="s">
        <v>21</v>
      </c>
      <c r="H1396" t="s">
        <v>2759</v>
      </c>
      <c r="I1396" t="s">
        <v>23</v>
      </c>
      <c r="J1396" t="s">
        <v>49</v>
      </c>
      <c r="K1396" s="2" t="s">
        <v>2751</v>
      </c>
      <c r="L1396" t="s">
        <v>26</v>
      </c>
      <c r="M1396">
        <v>340388</v>
      </c>
      <c r="N1396">
        <v>1</v>
      </c>
      <c r="O1396" s="3">
        <v>79950</v>
      </c>
      <c r="P1396" s="3">
        <v>33469</v>
      </c>
      <c r="Q1396" s="5">
        <f t="shared" si="63"/>
        <v>67184.873949579836</v>
      </c>
      <c r="R1396" s="5">
        <f t="shared" si="64"/>
        <v>33469</v>
      </c>
      <c r="S1396" s="5">
        <f t="shared" si="65"/>
        <v>33715.873949579836</v>
      </c>
    </row>
    <row r="1397" spans="1:19" hidden="1" x14ac:dyDescent="0.3">
      <c r="A1397">
        <v>130</v>
      </c>
      <c r="B1397" t="s">
        <v>2244</v>
      </c>
      <c r="C1397" t="s">
        <v>2575</v>
      </c>
      <c r="D1397" s="2" t="s">
        <v>2576</v>
      </c>
      <c r="E1397" t="s">
        <v>2577</v>
      </c>
      <c r="F1397" t="s">
        <v>377</v>
      </c>
      <c r="G1397" t="s">
        <v>21</v>
      </c>
      <c r="H1397" t="s">
        <v>378</v>
      </c>
      <c r="I1397" t="s">
        <v>23</v>
      </c>
      <c r="J1397" t="s">
        <v>379</v>
      </c>
      <c r="K1397" s="2" t="s">
        <v>2751</v>
      </c>
      <c r="L1397" t="s">
        <v>26</v>
      </c>
      <c r="M1397">
        <v>340389</v>
      </c>
      <c r="N1397">
        <v>1</v>
      </c>
      <c r="O1397" s="3">
        <v>5950</v>
      </c>
      <c r="P1397" s="3">
        <v>3307</v>
      </c>
      <c r="Q1397" s="5">
        <f t="shared" si="63"/>
        <v>5000</v>
      </c>
      <c r="R1397" s="5">
        <f t="shared" si="64"/>
        <v>3307</v>
      </c>
      <c r="S1397" s="5">
        <f t="shared" si="65"/>
        <v>1693</v>
      </c>
    </row>
    <row r="1398" spans="1:19" hidden="1" x14ac:dyDescent="0.3">
      <c r="A1398">
        <v>130</v>
      </c>
      <c r="B1398" t="s">
        <v>2244</v>
      </c>
      <c r="C1398" t="s">
        <v>2760</v>
      </c>
      <c r="D1398" s="2" t="s">
        <v>2761</v>
      </c>
      <c r="E1398" t="s">
        <v>1443</v>
      </c>
      <c r="F1398" t="s">
        <v>20</v>
      </c>
      <c r="G1398" t="s">
        <v>338</v>
      </c>
      <c r="H1398">
        <v>25301</v>
      </c>
      <c r="I1398" t="s">
        <v>23</v>
      </c>
      <c r="J1398" t="s">
        <v>35</v>
      </c>
      <c r="K1398" s="2" t="s">
        <v>2751</v>
      </c>
      <c r="L1398" t="s">
        <v>26</v>
      </c>
      <c r="M1398">
        <v>340390</v>
      </c>
      <c r="N1398">
        <v>1</v>
      </c>
      <c r="O1398" s="3">
        <v>99950</v>
      </c>
      <c r="P1398" s="3">
        <v>34157</v>
      </c>
      <c r="Q1398" s="5">
        <f t="shared" si="63"/>
        <v>83991.596638655465</v>
      </c>
      <c r="R1398" s="5">
        <f t="shared" si="64"/>
        <v>34157</v>
      </c>
      <c r="S1398" s="5">
        <f t="shared" si="65"/>
        <v>49834.596638655465</v>
      </c>
    </row>
    <row r="1399" spans="1:19" hidden="1" x14ac:dyDescent="0.3">
      <c r="A1399">
        <v>130</v>
      </c>
      <c r="B1399" t="s">
        <v>2244</v>
      </c>
      <c r="C1399" t="s">
        <v>2762</v>
      </c>
      <c r="D1399" s="2" t="s">
        <v>2763</v>
      </c>
      <c r="E1399" t="s">
        <v>2764</v>
      </c>
      <c r="F1399" t="s">
        <v>20</v>
      </c>
      <c r="G1399" t="s">
        <v>21</v>
      </c>
      <c r="H1399" t="s">
        <v>742</v>
      </c>
      <c r="I1399" t="s">
        <v>23</v>
      </c>
      <c r="J1399" t="s">
        <v>40</v>
      </c>
      <c r="K1399" s="2" t="s">
        <v>2751</v>
      </c>
      <c r="L1399" t="s">
        <v>26</v>
      </c>
      <c r="M1399">
        <v>340391</v>
      </c>
      <c r="N1399">
        <v>1</v>
      </c>
      <c r="O1399" s="3">
        <v>74950</v>
      </c>
      <c r="P1399" s="3">
        <v>22440</v>
      </c>
      <c r="Q1399" s="5">
        <f t="shared" si="63"/>
        <v>62983.193277310929</v>
      </c>
      <c r="R1399" s="5">
        <f t="shared" si="64"/>
        <v>22440</v>
      </c>
      <c r="S1399" s="5">
        <f t="shared" si="65"/>
        <v>40543.193277310929</v>
      </c>
    </row>
    <row r="1400" spans="1:19" hidden="1" x14ac:dyDescent="0.3">
      <c r="A1400">
        <v>130</v>
      </c>
      <c r="B1400" t="s">
        <v>2244</v>
      </c>
      <c r="C1400" t="s">
        <v>2698</v>
      </c>
      <c r="D1400" s="2" t="s">
        <v>2699</v>
      </c>
      <c r="E1400" t="s">
        <v>1758</v>
      </c>
      <c r="F1400" t="s">
        <v>20</v>
      </c>
      <c r="G1400" t="s">
        <v>338</v>
      </c>
      <c r="H1400">
        <v>25133</v>
      </c>
      <c r="I1400" t="s">
        <v>23</v>
      </c>
      <c r="J1400" t="s">
        <v>35</v>
      </c>
      <c r="K1400" s="2" t="s">
        <v>2751</v>
      </c>
      <c r="L1400" t="s">
        <v>26</v>
      </c>
      <c r="M1400">
        <v>340392</v>
      </c>
      <c r="N1400">
        <v>1</v>
      </c>
      <c r="O1400" s="3">
        <v>74950</v>
      </c>
      <c r="P1400" s="3">
        <v>21167</v>
      </c>
      <c r="Q1400" s="5">
        <f t="shared" si="63"/>
        <v>62983.193277310929</v>
      </c>
      <c r="R1400" s="5">
        <f t="shared" si="64"/>
        <v>21167</v>
      </c>
      <c r="S1400" s="5">
        <f t="shared" si="65"/>
        <v>41816.193277310929</v>
      </c>
    </row>
    <row r="1401" spans="1:19" hidden="1" x14ac:dyDescent="0.3">
      <c r="A1401">
        <v>130</v>
      </c>
      <c r="B1401" t="s">
        <v>2244</v>
      </c>
      <c r="C1401" t="s">
        <v>2765</v>
      </c>
      <c r="D1401" s="2" t="s">
        <v>2766</v>
      </c>
      <c r="E1401" t="s">
        <v>2658</v>
      </c>
      <c r="F1401" t="s">
        <v>20</v>
      </c>
      <c r="G1401" t="s">
        <v>21</v>
      </c>
      <c r="H1401" t="s">
        <v>500</v>
      </c>
      <c r="I1401" t="s">
        <v>23</v>
      </c>
      <c r="J1401" t="s">
        <v>40</v>
      </c>
      <c r="K1401" s="2" t="s">
        <v>2751</v>
      </c>
      <c r="L1401" t="s">
        <v>26</v>
      </c>
      <c r="M1401">
        <v>340393</v>
      </c>
      <c r="N1401">
        <v>-1</v>
      </c>
      <c r="O1401" s="3">
        <v>-59950</v>
      </c>
      <c r="P1401" s="3">
        <v>16978</v>
      </c>
      <c r="Q1401" s="5">
        <f t="shared" si="63"/>
        <v>-50378.151260504201</v>
      </c>
      <c r="R1401" s="5">
        <f t="shared" si="64"/>
        <v>-16978</v>
      </c>
      <c r="S1401" s="5">
        <f t="shared" si="65"/>
        <v>-33400.151260504201</v>
      </c>
    </row>
    <row r="1402" spans="1:19" hidden="1" x14ac:dyDescent="0.3">
      <c r="A1402">
        <v>130</v>
      </c>
      <c r="B1402" t="s">
        <v>2244</v>
      </c>
      <c r="C1402" t="s">
        <v>2479</v>
      </c>
      <c r="D1402" s="2" t="s">
        <v>2480</v>
      </c>
      <c r="E1402" t="s">
        <v>1244</v>
      </c>
      <c r="F1402" t="s">
        <v>20</v>
      </c>
      <c r="G1402" t="s">
        <v>338</v>
      </c>
      <c r="H1402">
        <v>83707</v>
      </c>
      <c r="I1402" t="s">
        <v>23</v>
      </c>
      <c r="J1402" t="s">
        <v>40</v>
      </c>
      <c r="K1402" s="2" t="s">
        <v>2751</v>
      </c>
      <c r="L1402" t="s">
        <v>26</v>
      </c>
      <c r="M1402">
        <v>340393</v>
      </c>
      <c r="N1402">
        <v>1</v>
      </c>
      <c r="O1402" s="3">
        <v>69990</v>
      </c>
      <c r="P1402" s="3">
        <v>30263</v>
      </c>
      <c r="Q1402" s="5">
        <f t="shared" si="63"/>
        <v>58815.126050420171</v>
      </c>
      <c r="R1402" s="5">
        <f t="shared" si="64"/>
        <v>30263</v>
      </c>
      <c r="S1402" s="5">
        <f t="shared" si="65"/>
        <v>28552.126050420171</v>
      </c>
    </row>
    <row r="1403" spans="1:19" hidden="1" x14ac:dyDescent="0.3">
      <c r="A1403">
        <v>130</v>
      </c>
      <c r="B1403" t="s">
        <v>2244</v>
      </c>
      <c r="C1403" t="s">
        <v>2767</v>
      </c>
      <c r="D1403" s="2" t="s">
        <v>2768</v>
      </c>
      <c r="E1403" t="s">
        <v>1336</v>
      </c>
      <c r="F1403" t="s">
        <v>20</v>
      </c>
      <c r="G1403" t="s">
        <v>21</v>
      </c>
      <c r="H1403" t="s">
        <v>1337</v>
      </c>
      <c r="I1403" t="s">
        <v>23</v>
      </c>
      <c r="J1403" t="s">
        <v>49</v>
      </c>
      <c r="K1403" s="2" t="s">
        <v>2751</v>
      </c>
      <c r="L1403" t="s">
        <v>26</v>
      </c>
      <c r="M1403">
        <v>340394</v>
      </c>
      <c r="N1403">
        <v>1</v>
      </c>
      <c r="O1403" s="3">
        <v>59950</v>
      </c>
      <c r="P1403" s="3">
        <v>19179</v>
      </c>
      <c r="Q1403" s="5">
        <f t="shared" si="63"/>
        <v>50378.151260504201</v>
      </c>
      <c r="R1403" s="5">
        <f t="shared" si="64"/>
        <v>19179</v>
      </c>
      <c r="S1403" s="5">
        <f t="shared" si="65"/>
        <v>31199.151260504201</v>
      </c>
    </row>
    <row r="1404" spans="1:19" hidden="1" x14ac:dyDescent="0.3">
      <c r="A1404">
        <v>130</v>
      </c>
      <c r="B1404" t="s">
        <v>2244</v>
      </c>
      <c r="C1404" t="s">
        <v>2769</v>
      </c>
      <c r="D1404" s="2" t="s">
        <v>2770</v>
      </c>
      <c r="E1404" t="s">
        <v>2771</v>
      </c>
      <c r="F1404" t="s">
        <v>20</v>
      </c>
      <c r="G1404" t="s">
        <v>21</v>
      </c>
      <c r="H1404" t="s">
        <v>57</v>
      </c>
      <c r="I1404" t="s">
        <v>23</v>
      </c>
      <c r="J1404" t="s">
        <v>35</v>
      </c>
      <c r="K1404" s="2" t="s">
        <v>2751</v>
      </c>
      <c r="L1404" t="s">
        <v>26</v>
      </c>
      <c r="M1404">
        <v>340395</v>
      </c>
      <c r="N1404">
        <v>1</v>
      </c>
      <c r="O1404" s="3">
        <v>89950</v>
      </c>
      <c r="P1404" s="3">
        <v>29189</v>
      </c>
      <c r="Q1404" s="5">
        <f t="shared" si="63"/>
        <v>75588.23529411765</v>
      </c>
      <c r="R1404" s="5">
        <f t="shared" si="64"/>
        <v>29189</v>
      </c>
      <c r="S1404" s="5">
        <f t="shared" si="65"/>
        <v>46399.23529411765</v>
      </c>
    </row>
    <row r="1405" spans="1:19" hidden="1" x14ac:dyDescent="0.3">
      <c r="A1405">
        <v>130</v>
      </c>
      <c r="B1405" t="s">
        <v>2244</v>
      </c>
      <c r="C1405" t="s">
        <v>2772</v>
      </c>
      <c r="D1405" s="2" t="s">
        <v>2773</v>
      </c>
      <c r="E1405" t="s">
        <v>2771</v>
      </c>
      <c r="F1405" t="s">
        <v>20</v>
      </c>
      <c r="G1405" t="s">
        <v>21</v>
      </c>
      <c r="H1405" t="s">
        <v>57</v>
      </c>
      <c r="I1405" t="s">
        <v>23</v>
      </c>
      <c r="J1405" t="s">
        <v>35</v>
      </c>
      <c r="K1405" s="2" t="s">
        <v>2751</v>
      </c>
      <c r="L1405" t="s">
        <v>26</v>
      </c>
      <c r="M1405">
        <v>340396</v>
      </c>
      <c r="N1405">
        <v>1</v>
      </c>
      <c r="O1405" s="3">
        <v>89950</v>
      </c>
      <c r="P1405" s="3">
        <v>29189</v>
      </c>
      <c r="Q1405" s="5">
        <f t="shared" si="63"/>
        <v>75588.23529411765</v>
      </c>
      <c r="R1405" s="5">
        <f t="shared" si="64"/>
        <v>29189</v>
      </c>
      <c r="S1405" s="5">
        <f t="shared" si="65"/>
        <v>46399.23529411765</v>
      </c>
    </row>
    <row r="1406" spans="1:19" hidden="1" x14ac:dyDescent="0.3">
      <c r="A1406">
        <v>130</v>
      </c>
      <c r="B1406" t="s">
        <v>2244</v>
      </c>
      <c r="C1406" t="s">
        <v>2774</v>
      </c>
      <c r="D1406" s="2" t="s">
        <v>2775</v>
      </c>
      <c r="E1406" t="s">
        <v>266</v>
      </c>
      <c r="F1406" t="s">
        <v>20</v>
      </c>
      <c r="G1406" t="s">
        <v>21</v>
      </c>
      <c r="H1406" t="s">
        <v>267</v>
      </c>
      <c r="I1406" t="s">
        <v>23</v>
      </c>
      <c r="J1406" t="s">
        <v>49</v>
      </c>
      <c r="K1406" s="2" t="s">
        <v>2751</v>
      </c>
      <c r="L1406" t="s">
        <v>26</v>
      </c>
      <c r="M1406">
        <v>340397</v>
      </c>
      <c r="N1406">
        <v>1</v>
      </c>
      <c r="O1406" s="3">
        <v>64950</v>
      </c>
      <c r="P1406" s="3">
        <v>24504</v>
      </c>
      <c r="Q1406" s="5">
        <f t="shared" si="63"/>
        <v>54579.831932773115</v>
      </c>
      <c r="R1406" s="5">
        <f t="shared" si="64"/>
        <v>24504</v>
      </c>
      <c r="S1406" s="5">
        <f t="shared" si="65"/>
        <v>30075.831932773115</v>
      </c>
    </row>
    <row r="1407" spans="1:19" hidden="1" x14ac:dyDescent="0.3">
      <c r="A1407">
        <v>130</v>
      </c>
      <c r="B1407" t="s">
        <v>2244</v>
      </c>
      <c r="C1407" t="s">
        <v>103</v>
      </c>
      <c r="D1407" s="2" t="s">
        <v>104</v>
      </c>
      <c r="E1407" t="s">
        <v>105</v>
      </c>
      <c r="F1407" t="s">
        <v>20</v>
      </c>
      <c r="G1407" t="s">
        <v>21</v>
      </c>
      <c r="H1407" t="s">
        <v>106</v>
      </c>
      <c r="I1407" t="s">
        <v>23</v>
      </c>
      <c r="J1407" t="s">
        <v>49</v>
      </c>
      <c r="K1407" s="2" t="s">
        <v>2751</v>
      </c>
      <c r="L1407" t="s">
        <v>26</v>
      </c>
      <c r="M1407">
        <v>340398</v>
      </c>
      <c r="N1407">
        <v>1</v>
      </c>
      <c r="O1407" s="3">
        <v>44990</v>
      </c>
      <c r="P1407" s="3">
        <v>26342</v>
      </c>
      <c r="Q1407" s="5">
        <f t="shared" si="63"/>
        <v>37806.722689075636</v>
      </c>
      <c r="R1407" s="5">
        <f t="shared" si="64"/>
        <v>26342</v>
      </c>
      <c r="S1407" s="5">
        <f t="shared" si="65"/>
        <v>11464.722689075636</v>
      </c>
    </row>
    <row r="1408" spans="1:19" hidden="1" x14ac:dyDescent="0.3">
      <c r="A1408">
        <v>130</v>
      </c>
      <c r="B1408" t="s">
        <v>2244</v>
      </c>
      <c r="C1408" t="s">
        <v>1149</v>
      </c>
      <c r="D1408" s="2" t="s">
        <v>1150</v>
      </c>
      <c r="E1408" t="s">
        <v>1151</v>
      </c>
      <c r="F1408" t="s">
        <v>20</v>
      </c>
      <c r="G1408" t="s">
        <v>338</v>
      </c>
      <c r="H1408">
        <v>25362</v>
      </c>
      <c r="I1408" t="s">
        <v>23</v>
      </c>
      <c r="J1408" t="s">
        <v>35</v>
      </c>
      <c r="K1408" s="2" t="s">
        <v>2751</v>
      </c>
      <c r="L1408" t="s">
        <v>26</v>
      </c>
      <c r="M1408">
        <v>340399</v>
      </c>
      <c r="N1408">
        <v>1</v>
      </c>
      <c r="O1408" s="3">
        <v>74950</v>
      </c>
      <c r="P1408" s="3">
        <v>23473</v>
      </c>
      <c r="Q1408" s="5">
        <f t="shared" si="63"/>
        <v>62983.193277310929</v>
      </c>
      <c r="R1408" s="5">
        <f t="shared" si="64"/>
        <v>23473</v>
      </c>
      <c r="S1408" s="5">
        <f t="shared" si="65"/>
        <v>39510.193277310929</v>
      </c>
    </row>
    <row r="1409" spans="1:19" hidden="1" x14ac:dyDescent="0.3">
      <c r="A1409">
        <v>130</v>
      </c>
      <c r="B1409" t="s">
        <v>2244</v>
      </c>
      <c r="C1409" t="s">
        <v>2776</v>
      </c>
      <c r="D1409" s="2" t="s">
        <v>2777</v>
      </c>
      <c r="E1409" t="s">
        <v>2778</v>
      </c>
      <c r="F1409" t="s">
        <v>20</v>
      </c>
      <c r="G1409" t="s">
        <v>21</v>
      </c>
      <c r="H1409" t="s">
        <v>1296</v>
      </c>
      <c r="I1409" t="s">
        <v>23</v>
      </c>
      <c r="J1409" t="s">
        <v>35</v>
      </c>
      <c r="K1409" s="2" t="s">
        <v>2751</v>
      </c>
      <c r="L1409" t="s">
        <v>26</v>
      </c>
      <c r="M1409">
        <v>340400</v>
      </c>
      <c r="N1409">
        <v>1</v>
      </c>
      <c r="O1409" s="3">
        <v>99950</v>
      </c>
      <c r="P1409" s="3">
        <v>34091</v>
      </c>
      <c r="Q1409" s="5">
        <f t="shared" si="63"/>
        <v>83991.596638655465</v>
      </c>
      <c r="R1409" s="5">
        <f t="shared" si="64"/>
        <v>34091</v>
      </c>
      <c r="S1409" s="5">
        <f t="shared" si="65"/>
        <v>49900.596638655465</v>
      </c>
    </row>
    <row r="1410" spans="1:19" hidden="1" x14ac:dyDescent="0.3">
      <c r="A1410">
        <v>130</v>
      </c>
      <c r="B1410" t="s">
        <v>2244</v>
      </c>
      <c r="C1410" t="s">
        <v>2779</v>
      </c>
      <c r="D1410" s="2" t="s">
        <v>2780</v>
      </c>
      <c r="E1410" t="s">
        <v>2781</v>
      </c>
      <c r="F1410" t="s">
        <v>20</v>
      </c>
      <c r="G1410" t="s">
        <v>21</v>
      </c>
      <c r="H1410" t="s">
        <v>2782</v>
      </c>
      <c r="I1410" t="s">
        <v>23</v>
      </c>
      <c r="J1410" t="s">
        <v>35</v>
      </c>
      <c r="K1410" s="2" t="s">
        <v>2751</v>
      </c>
      <c r="L1410" t="s">
        <v>26</v>
      </c>
      <c r="M1410">
        <v>340401</v>
      </c>
      <c r="N1410">
        <v>1</v>
      </c>
      <c r="O1410" s="3">
        <v>74950</v>
      </c>
      <c r="P1410" s="3">
        <v>24388</v>
      </c>
      <c r="Q1410" s="5">
        <f t="shared" si="63"/>
        <v>62983.193277310929</v>
      </c>
      <c r="R1410" s="5">
        <f t="shared" si="64"/>
        <v>24388</v>
      </c>
      <c r="S1410" s="5">
        <f t="shared" si="65"/>
        <v>38595.193277310929</v>
      </c>
    </row>
    <row r="1411" spans="1:19" hidden="1" x14ac:dyDescent="0.3">
      <c r="A1411">
        <v>130</v>
      </c>
      <c r="B1411" t="s">
        <v>2244</v>
      </c>
      <c r="C1411" t="s">
        <v>2783</v>
      </c>
      <c r="D1411" s="2" t="s">
        <v>2784</v>
      </c>
      <c r="E1411" t="s">
        <v>2236</v>
      </c>
      <c r="F1411" t="s">
        <v>20</v>
      </c>
      <c r="G1411" t="s">
        <v>215</v>
      </c>
      <c r="H1411" t="s">
        <v>2237</v>
      </c>
      <c r="I1411" t="s">
        <v>23</v>
      </c>
      <c r="J1411" t="s">
        <v>49</v>
      </c>
      <c r="K1411" s="2" t="s">
        <v>2751</v>
      </c>
      <c r="L1411" t="s">
        <v>26</v>
      </c>
      <c r="M1411">
        <v>340401</v>
      </c>
      <c r="N1411">
        <v>1</v>
      </c>
      <c r="O1411" s="3">
        <v>69990</v>
      </c>
      <c r="P1411" s="3">
        <v>40145</v>
      </c>
      <c r="Q1411" s="5">
        <f t="shared" si="63"/>
        <v>58815.126050420171</v>
      </c>
      <c r="R1411" s="5">
        <f t="shared" si="64"/>
        <v>40145</v>
      </c>
      <c r="S1411" s="5">
        <f t="shared" si="65"/>
        <v>18670.126050420171</v>
      </c>
    </row>
    <row r="1412" spans="1:19" hidden="1" x14ac:dyDescent="0.3">
      <c r="A1412">
        <v>130</v>
      </c>
      <c r="B1412" t="s">
        <v>2244</v>
      </c>
      <c r="C1412" t="s">
        <v>2785</v>
      </c>
      <c r="D1412" s="2" t="s">
        <v>2786</v>
      </c>
      <c r="E1412" t="s">
        <v>2787</v>
      </c>
      <c r="F1412" t="s">
        <v>20</v>
      </c>
      <c r="G1412" t="s">
        <v>21</v>
      </c>
      <c r="H1412" t="s">
        <v>1286</v>
      </c>
      <c r="I1412" t="s">
        <v>23</v>
      </c>
      <c r="J1412" t="s">
        <v>40</v>
      </c>
      <c r="K1412" s="2" t="s">
        <v>2751</v>
      </c>
      <c r="L1412" t="s">
        <v>26</v>
      </c>
      <c r="M1412">
        <v>340402</v>
      </c>
      <c r="N1412">
        <v>1</v>
      </c>
      <c r="O1412" s="3">
        <v>49990</v>
      </c>
      <c r="P1412" s="3">
        <v>24783</v>
      </c>
      <c r="Q1412" s="5">
        <f t="shared" si="63"/>
        <v>42008.403361344543</v>
      </c>
      <c r="R1412" s="5">
        <f t="shared" si="64"/>
        <v>24783</v>
      </c>
      <c r="S1412" s="5">
        <f t="shared" si="65"/>
        <v>17225.403361344543</v>
      </c>
    </row>
    <row r="1413" spans="1:19" hidden="1" x14ac:dyDescent="0.3">
      <c r="A1413">
        <v>130</v>
      </c>
      <c r="B1413" t="s">
        <v>2244</v>
      </c>
      <c r="C1413" t="s">
        <v>2788</v>
      </c>
      <c r="D1413" s="2" t="s">
        <v>2789</v>
      </c>
      <c r="E1413" t="s">
        <v>2790</v>
      </c>
      <c r="F1413" t="s">
        <v>20</v>
      </c>
      <c r="G1413" t="s">
        <v>21</v>
      </c>
      <c r="H1413" t="s">
        <v>2759</v>
      </c>
      <c r="I1413" t="s">
        <v>23</v>
      </c>
      <c r="J1413" t="s">
        <v>35</v>
      </c>
      <c r="K1413" s="2" t="s">
        <v>2751</v>
      </c>
      <c r="L1413" t="s">
        <v>26</v>
      </c>
      <c r="M1413">
        <v>340403</v>
      </c>
      <c r="N1413">
        <v>1</v>
      </c>
      <c r="O1413" s="3">
        <v>89950</v>
      </c>
      <c r="P1413" s="3">
        <v>30972</v>
      </c>
      <c r="Q1413" s="5">
        <f t="shared" si="63"/>
        <v>75588.23529411765</v>
      </c>
      <c r="R1413" s="5">
        <f t="shared" si="64"/>
        <v>30972</v>
      </c>
      <c r="S1413" s="5">
        <f t="shared" si="65"/>
        <v>44616.23529411765</v>
      </c>
    </row>
    <row r="1414" spans="1:19" hidden="1" x14ac:dyDescent="0.3">
      <c r="A1414">
        <v>130</v>
      </c>
      <c r="B1414" t="s">
        <v>2244</v>
      </c>
      <c r="C1414" t="s">
        <v>2791</v>
      </c>
      <c r="D1414" s="2" t="s">
        <v>2792</v>
      </c>
      <c r="E1414" t="s">
        <v>2504</v>
      </c>
      <c r="F1414" t="s">
        <v>20</v>
      </c>
      <c r="G1414" t="s">
        <v>21</v>
      </c>
      <c r="H1414" t="s">
        <v>2501</v>
      </c>
      <c r="I1414" t="s">
        <v>23</v>
      </c>
      <c r="J1414" t="s">
        <v>40</v>
      </c>
      <c r="K1414" s="2" t="s">
        <v>2751</v>
      </c>
      <c r="L1414" t="s">
        <v>26</v>
      </c>
      <c r="M1414">
        <v>340403</v>
      </c>
      <c r="N1414">
        <v>1</v>
      </c>
      <c r="O1414" s="3">
        <v>84950</v>
      </c>
      <c r="P1414" s="3">
        <v>31649</v>
      </c>
      <c r="Q1414" s="5">
        <f t="shared" ref="Q1414:Q1477" si="66">O1414/1.19</f>
        <v>71386.554621848743</v>
      </c>
      <c r="R1414" s="5">
        <f t="shared" ref="R1414:R1477" si="67">N1414*P1414</f>
        <v>31649</v>
      </c>
      <c r="S1414" s="5">
        <f t="shared" ref="S1414:S1477" si="68">Q1414-R1414</f>
        <v>39737.554621848743</v>
      </c>
    </row>
    <row r="1415" spans="1:19" hidden="1" x14ac:dyDescent="0.3">
      <c r="A1415">
        <v>130</v>
      </c>
      <c r="B1415" t="s">
        <v>2244</v>
      </c>
      <c r="C1415" t="s">
        <v>1434</v>
      </c>
      <c r="D1415" s="2" t="s">
        <v>1435</v>
      </c>
      <c r="E1415" t="s">
        <v>1436</v>
      </c>
      <c r="F1415" t="s">
        <v>20</v>
      </c>
      <c r="G1415" t="s">
        <v>21</v>
      </c>
      <c r="H1415" t="s">
        <v>500</v>
      </c>
      <c r="I1415" t="s">
        <v>23</v>
      </c>
      <c r="J1415" t="s">
        <v>40</v>
      </c>
      <c r="K1415" s="2" t="s">
        <v>1152</v>
      </c>
      <c r="L1415" t="s">
        <v>26</v>
      </c>
      <c r="M1415">
        <v>340404</v>
      </c>
      <c r="N1415">
        <v>1</v>
      </c>
      <c r="O1415" s="3">
        <v>59950</v>
      </c>
      <c r="P1415" s="3">
        <v>17591</v>
      </c>
      <c r="Q1415" s="5">
        <f t="shared" si="66"/>
        <v>50378.151260504201</v>
      </c>
      <c r="R1415" s="5">
        <f t="shared" si="67"/>
        <v>17591</v>
      </c>
      <c r="S1415" s="5">
        <f t="shared" si="68"/>
        <v>32787.151260504201</v>
      </c>
    </row>
    <row r="1416" spans="1:19" hidden="1" x14ac:dyDescent="0.3">
      <c r="A1416">
        <v>130</v>
      </c>
      <c r="B1416" t="s">
        <v>2244</v>
      </c>
      <c r="C1416" t="s">
        <v>2793</v>
      </c>
      <c r="D1416" s="2" t="s">
        <v>2794</v>
      </c>
      <c r="E1416" t="s">
        <v>2795</v>
      </c>
      <c r="F1416" t="s">
        <v>20</v>
      </c>
      <c r="G1416" t="s">
        <v>21</v>
      </c>
      <c r="H1416" t="s">
        <v>57</v>
      </c>
      <c r="I1416" t="s">
        <v>23</v>
      </c>
      <c r="J1416" t="s">
        <v>35</v>
      </c>
      <c r="K1416" s="2" t="s">
        <v>1152</v>
      </c>
      <c r="L1416" t="s">
        <v>26</v>
      </c>
      <c r="M1416">
        <v>340405</v>
      </c>
      <c r="N1416">
        <v>1</v>
      </c>
      <c r="O1416" s="3">
        <v>89950</v>
      </c>
      <c r="P1416" s="3">
        <v>31631</v>
      </c>
      <c r="Q1416" s="5">
        <f t="shared" si="66"/>
        <v>75588.23529411765</v>
      </c>
      <c r="R1416" s="5">
        <f t="shared" si="67"/>
        <v>31631</v>
      </c>
      <c r="S1416" s="5">
        <f t="shared" si="68"/>
        <v>43957.23529411765</v>
      </c>
    </row>
    <row r="1417" spans="1:19" hidden="1" x14ac:dyDescent="0.3">
      <c r="A1417">
        <v>130</v>
      </c>
      <c r="B1417" t="s">
        <v>2244</v>
      </c>
      <c r="C1417" t="s">
        <v>2796</v>
      </c>
      <c r="D1417" s="2" t="s">
        <v>2797</v>
      </c>
      <c r="E1417" t="s">
        <v>1453</v>
      </c>
      <c r="F1417" t="s">
        <v>20</v>
      </c>
      <c r="G1417" t="s">
        <v>338</v>
      </c>
      <c r="H1417">
        <v>22410</v>
      </c>
      <c r="I1417" t="s">
        <v>23</v>
      </c>
      <c r="J1417" t="s">
        <v>49</v>
      </c>
      <c r="K1417" s="2" t="s">
        <v>1152</v>
      </c>
      <c r="L1417" t="s">
        <v>26</v>
      </c>
      <c r="M1417">
        <v>340406</v>
      </c>
      <c r="N1417">
        <v>1</v>
      </c>
      <c r="O1417" s="3">
        <v>69950</v>
      </c>
      <c r="P1417" s="3">
        <v>20848</v>
      </c>
      <c r="Q1417" s="5">
        <f t="shared" si="66"/>
        <v>58781.512605042022</v>
      </c>
      <c r="R1417" s="5">
        <f t="shared" si="67"/>
        <v>20848</v>
      </c>
      <c r="S1417" s="5">
        <f t="shared" si="68"/>
        <v>37933.512605042022</v>
      </c>
    </row>
    <row r="1418" spans="1:19" hidden="1" x14ac:dyDescent="0.3">
      <c r="A1418">
        <v>130</v>
      </c>
      <c r="B1418" t="s">
        <v>2244</v>
      </c>
      <c r="C1418" t="s">
        <v>2798</v>
      </c>
      <c r="D1418" s="2" t="s">
        <v>2799</v>
      </c>
      <c r="E1418" t="s">
        <v>2800</v>
      </c>
      <c r="F1418" t="s">
        <v>20</v>
      </c>
      <c r="G1418" t="s">
        <v>21</v>
      </c>
      <c r="H1418" t="s">
        <v>600</v>
      </c>
      <c r="I1418" t="s">
        <v>23</v>
      </c>
      <c r="J1418" t="s">
        <v>40</v>
      </c>
      <c r="K1418" s="2" t="s">
        <v>1152</v>
      </c>
      <c r="L1418" t="s">
        <v>26</v>
      </c>
      <c r="M1418">
        <v>340407</v>
      </c>
      <c r="N1418">
        <v>1</v>
      </c>
      <c r="O1418" s="3">
        <v>49990</v>
      </c>
      <c r="P1418" s="3">
        <v>21327</v>
      </c>
      <c r="Q1418" s="5">
        <f t="shared" si="66"/>
        <v>42008.403361344543</v>
      </c>
      <c r="R1418" s="5">
        <f t="shared" si="67"/>
        <v>21327</v>
      </c>
      <c r="S1418" s="5">
        <f t="shared" si="68"/>
        <v>20681.403361344543</v>
      </c>
    </row>
    <row r="1419" spans="1:19" hidden="1" x14ac:dyDescent="0.3">
      <c r="A1419">
        <v>130</v>
      </c>
      <c r="B1419" t="s">
        <v>2244</v>
      </c>
      <c r="C1419" t="s">
        <v>2801</v>
      </c>
      <c r="D1419" s="2" t="s">
        <v>2802</v>
      </c>
      <c r="E1419" t="s">
        <v>2803</v>
      </c>
      <c r="F1419" t="s">
        <v>20</v>
      </c>
      <c r="G1419" t="s">
        <v>338</v>
      </c>
      <c r="H1419">
        <v>23726</v>
      </c>
      <c r="I1419" t="s">
        <v>23</v>
      </c>
      <c r="J1419" t="s">
        <v>40</v>
      </c>
      <c r="K1419" s="2" t="s">
        <v>1152</v>
      </c>
      <c r="L1419" t="s">
        <v>26</v>
      </c>
      <c r="M1419">
        <v>340408</v>
      </c>
      <c r="N1419">
        <v>1</v>
      </c>
      <c r="O1419" s="3">
        <v>89950</v>
      </c>
      <c r="P1419" s="3">
        <v>29798</v>
      </c>
      <c r="Q1419" s="5">
        <f t="shared" si="66"/>
        <v>75588.23529411765</v>
      </c>
      <c r="R1419" s="5">
        <f t="shared" si="67"/>
        <v>29798</v>
      </c>
      <c r="S1419" s="5">
        <f t="shared" si="68"/>
        <v>45790.23529411765</v>
      </c>
    </row>
    <row r="1420" spans="1:19" hidden="1" x14ac:dyDescent="0.3">
      <c r="A1420">
        <v>130</v>
      </c>
      <c r="B1420" t="s">
        <v>2244</v>
      </c>
      <c r="C1420" t="s">
        <v>2804</v>
      </c>
      <c r="D1420" s="2" t="s">
        <v>2805</v>
      </c>
      <c r="E1420" t="s">
        <v>512</v>
      </c>
      <c r="F1420" t="s">
        <v>20</v>
      </c>
      <c r="G1420" t="s">
        <v>21</v>
      </c>
      <c r="H1420" t="s">
        <v>513</v>
      </c>
      <c r="I1420" t="s">
        <v>23</v>
      </c>
      <c r="J1420" t="s">
        <v>35</v>
      </c>
      <c r="K1420" s="2" t="s">
        <v>1152</v>
      </c>
      <c r="L1420" t="s">
        <v>26</v>
      </c>
      <c r="M1420">
        <v>340409</v>
      </c>
      <c r="N1420">
        <v>1</v>
      </c>
      <c r="O1420" s="3">
        <v>119950</v>
      </c>
      <c r="P1420" s="3">
        <v>63050</v>
      </c>
      <c r="Q1420" s="5">
        <f t="shared" si="66"/>
        <v>100798.31932773109</v>
      </c>
      <c r="R1420" s="5">
        <f t="shared" si="67"/>
        <v>63050</v>
      </c>
      <c r="S1420" s="5">
        <f t="shared" si="68"/>
        <v>37748.319327731093</v>
      </c>
    </row>
    <row r="1421" spans="1:19" hidden="1" x14ac:dyDescent="0.3">
      <c r="A1421">
        <v>130</v>
      </c>
      <c r="B1421" t="s">
        <v>2244</v>
      </c>
      <c r="C1421">
        <v>1687976791</v>
      </c>
      <c r="D1421" s="2" t="s">
        <v>200</v>
      </c>
      <c r="E1421" t="s">
        <v>201</v>
      </c>
      <c r="F1421" t="s">
        <v>201</v>
      </c>
      <c r="G1421" t="s">
        <v>202</v>
      </c>
      <c r="H1421" t="s">
        <v>202</v>
      </c>
      <c r="I1421" t="s">
        <v>23</v>
      </c>
      <c r="J1421" t="s">
        <v>202</v>
      </c>
      <c r="K1421" s="2" t="s">
        <v>1152</v>
      </c>
      <c r="L1421" t="s">
        <v>26</v>
      </c>
      <c r="M1421">
        <v>340410</v>
      </c>
      <c r="N1421">
        <v>1</v>
      </c>
      <c r="O1421" s="3">
        <v>3200</v>
      </c>
      <c r="P1421">
        <v>1</v>
      </c>
      <c r="Q1421" s="5">
        <f t="shared" si="66"/>
        <v>2689.0756302521008</v>
      </c>
      <c r="R1421" s="5">
        <f t="shared" si="67"/>
        <v>1</v>
      </c>
      <c r="S1421" s="5">
        <f t="shared" si="68"/>
        <v>2688.0756302521008</v>
      </c>
    </row>
    <row r="1422" spans="1:19" hidden="1" x14ac:dyDescent="0.3">
      <c r="A1422">
        <v>130</v>
      </c>
      <c r="B1422" t="s">
        <v>2244</v>
      </c>
      <c r="C1422" t="s">
        <v>2567</v>
      </c>
      <c r="D1422" s="2" t="s">
        <v>2568</v>
      </c>
      <c r="E1422" t="s">
        <v>2287</v>
      </c>
      <c r="F1422" t="s">
        <v>20</v>
      </c>
      <c r="G1422" t="s">
        <v>21</v>
      </c>
      <c r="H1422" t="s">
        <v>429</v>
      </c>
      <c r="I1422" t="s">
        <v>23</v>
      </c>
      <c r="J1422" t="s">
        <v>49</v>
      </c>
      <c r="K1422" s="2" t="s">
        <v>1152</v>
      </c>
      <c r="L1422" t="s">
        <v>26</v>
      </c>
      <c r="M1422">
        <v>340410</v>
      </c>
      <c r="N1422">
        <v>1</v>
      </c>
      <c r="O1422" s="3">
        <v>49990</v>
      </c>
      <c r="P1422" s="3">
        <v>32028</v>
      </c>
      <c r="Q1422" s="5">
        <f t="shared" si="66"/>
        <v>42008.403361344543</v>
      </c>
      <c r="R1422" s="5">
        <f t="shared" si="67"/>
        <v>32028</v>
      </c>
      <c r="S1422" s="5">
        <f t="shared" si="68"/>
        <v>9980.4033613445426</v>
      </c>
    </row>
    <row r="1423" spans="1:19" hidden="1" x14ac:dyDescent="0.3">
      <c r="A1423">
        <v>130</v>
      </c>
      <c r="B1423" t="s">
        <v>2244</v>
      </c>
      <c r="C1423" t="s">
        <v>2806</v>
      </c>
      <c r="D1423" s="2" t="s">
        <v>2807</v>
      </c>
      <c r="E1423" t="s">
        <v>1754</v>
      </c>
      <c r="F1423" t="s">
        <v>20</v>
      </c>
      <c r="G1423" t="s">
        <v>21</v>
      </c>
      <c r="H1423" t="s">
        <v>1755</v>
      </c>
      <c r="I1423" t="s">
        <v>23</v>
      </c>
      <c r="J1423" t="s">
        <v>40</v>
      </c>
      <c r="K1423" s="2" t="s">
        <v>1152</v>
      </c>
      <c r="L1423" t="s">
        <v>26</v>
      </c>
      <c r="M1423">
        <v>340411</v>
      </c>
      <c r="N1423">
        <v>1</v>
      </c>
      <c r="O1423" s="3">
        <v>39990</v>
      </c>
      <c r="P1423" s="3">
        <v>28528</v>
      </c>
      <c r="Q1423" s="5">
        <f t="shared" si="66"/>
        <v>33605.042016806721</v>
      </c>
      <c r="R1423" s="5">
        <f t="shared" si="67"/>
        <v>28528</v>
      </c>
      <c r="S1423" s="5">
        <f t="shared" si="68"/>
        <v>5077.0420168067212</v>
      </c>
    </row>
    <row r="1424" spans="1:19" hidden="1" x14ac:dyDescent="0.3">
      <c r="A1424">
        <v>130</v>
      </c>
      <c r="B1424" t="s">
        <v>2244</v>
      </c>
      <c r="C1424" t="s">
        <v>2808</v>
      </c>
      <c r="D1424" s="2" t="s">
        <v>2809</v>
      </c>
      <c r="E1424" t="s">
        <v>2810</v>
      </c>
      <c r="F1424" t="s">
        <v>20</v>
      </c>
      <c r="G1424" t="s">
        <v>21</v>
      </c>
      <c r="H1424" t="s">
        <v>1987</v>
      </c>
      <c r="I1424" t="s">
        <v>23</v>
      </c>
      <c r="J1424" t="s">
        <v>35</v>
      </c>
      <c r="K1424" s="2" t="s">
        <v>1152</v>
      </c>
      <c r="L1424" t="s">
        <v>26</v>
      </c>
      <c r="M1424">
        <v>340412</v>
      </c>
      <c r="N1424">
        <v>1</v>
      </c>
      <c r="O1424" s="3">
        <v>89950</v>
      </c>
      <c r="P1424" s="3">
        <v>29858</v>
      </c>
      <c r="Q1424" s="5">
        <f t="shared" si="66"/>
        <v>75588.23529411765</v>
      </c>
      <c r="R1424" s="5">
        <f t="shared" si="67"/>
        <v>29858</v>
      </c>
      <c r="S1424" s="5">
        <f t="shared" si="68"/>
        <v>45730.23529411765</v>
      </c>
    </row>
    <row r="1425" spans="1:19" hidden="1" x14ac:dyDescent="0.3">
      <c r="A1425">
        <v>130</v>
      </c>
      <c r="B1425" t="s">
        <v>2244</v>
      </c>
      <c r="C1425" t="s">
        <v>2811</v>
      </c>
      <c r="D1425" s="2" t="s">
        <v>2812</v>
      </c>
      <c r="E1425" t="s">
        <v>2813</v>
      </c>
      <c r="F1425" t="s">
        <v>20</v>
      </c>
      <c r="G1425" t="s">
        <v>21</v>
      </c>
      <c r="H1425" t="s">
        <v>171</v>
      </c>
      <c r="I1425" t="s">
        <v>23</v>
      </c>
      <c r="J1425" t="s">
        <v>40</v>
      </c>
      <c r="K1425" s="2" t="s">
        <v>1152</v>
      </c>
      <c r="L1425" t="s">
        <v>26</v>
      </c>
      <c r="M1425">
        <v>340413</v>
      </c>
      <c r="N1425">
        <v>1</v>
      </c>
      <c r="O1425" s="3">
        <v>59990</v>
      </c>
      <c r="P1425" s="3">
        <v>29949</v>
      </c>
      <c r="Q1425" s="5">
        <f t="shared" si="66"/>
        <v>50411.764705882357</v>
      </c>
      <c r="R1425" s="5">
        <f t="shared" si="67"/>
        <v>29949</v>
      </c>
      <c r="S1425" s="5">
        <f t="shared" si="68"/>
        <v>20462.764705882357</v>
      </c>
    </row>
    <row r="1426" spans="1:19" hidden="1" x14ac:dyDescent="0.3">
      <c r="A1426">
        <v>130</v>
      </c>
      <c r="B1426" t="s">
        <v>2244</v>
      </c>
      <c r="C1426" t="s">
        <v>2814</v>
      </c>
      <c r="D1426" s="2" t="s">
        <v>2815</v>
      </c>
      <c r="E1426" t="s">
        <v>189</v>
      </c>
      <c r="F1426" t="s">
        <v>20</v>
      </c>
      <c r="G1426" t="s">
        <v>21</v>
      </c>
      <c r="H1426" t="s">
        <v>131</v>
      </c>
      <c r="I1426" t="s">
        <v>23</v>
      </c>
      <c r="J1426" t="s">
        <v>49</v>
      </c>
      <c r="K1426" s="2" t="s">
        <v>1152</v>
      </c>
      <c r="L1426" t="s">
        <v>26</v>
      </c>
      <c r="M1426">
        <v>340414</v>
      </c>
      <c r="N1426">
        <v>1</v>
      </c>
      <c r="O1426" s="3">
        <v>39990</v>
      </c>
      <c r="P1426" s="3">
        <v>30976</v>
      </c>
      <c r="Q1426" s="5">
        <f t="shared" si="66"/>
        <v>33605.042016806721</v>
      </c>
      <c r="R1426" s="5">
        <f t="shared" si="67"/>
        <v>30976</v>
      </c>
      <c r="S1426" s="5">
        <f t="shared" si="68"/>
        <v>2629.0420168067212</v>
      </c>
    </row>
    <row r="1427" spans="1:19" hidden="1" x14ac:dyDescent="0.3">
      <c r="A1427">
        <v>130</v>
      </c>
      <c r="B1427" t="s">
        <v>2244</v>
      </c>
      <c r="C1427" t="s">
        <v>2816</v>
      </c>
      <c r="D1427" s="2" t="s">
        <v>2817</v>
      </c>
      <c r="E1427" t="s">
        <v>516</v>
      </c>
      <c r="F1427" t="s">
        <v>20</v>
      </c>
      <c r="G1427" t="s">
        <v>338</v>
      </c>
      <c r="H1427">
        <v>23763</v>
      </c>
      <c r="I1427" t="s">
        <v>23</v>
      </c>
      <c r="J1427" t="s">
        <v>40</v>
      </c>
      <c r="K1427" s="2" t="s">
        <v>1152</v>
      </c>
      <c r="L1427" t="s">
        <v>26</v>
      </c>
      <c r="M1427">
        <v>340415</v>
      </c>
      <c r="N1427">
        <v>1</v>
      </c>
      <c r="O1427" s="3">
        <v>59950</v>
      </c>
      <c r="P1427" s="3">
        <v>19813</v>
      </c>
      <c r="Q1427" s="5">
        <f t="shared" si="66"/>
        <v>50378.151260504201</v>
      </c>
      <c r="R1427" s="5">
        <f t="shared" si="67"/>
        <v>19813</v>
      </c>
      <c r="S1427" s="5">
        <f t="shared" si="68"/>
        <v>30565.151260504201</v>
      </c>
    </row>
    <row r="1428" spans="1:19" hidden="1" x14ac:dyDescent="0.3">
      <c r="A1428">
        <v>130</v>
      </c>
      <c r="B1428" t="s">
        <v>2244</v>
      </c>
      <c r="C1428" t="s">
        <v>2818</v>
      </c>
      <c r="D1428" s="2" t="s">
        <v>2819</v>
      </c>
      <c r="E1428" t="s">
        <v>2820</v>
      </c>
      <c r="F1428" t="s">
        <v>20</v>
      </c>
      <c r="G1428" t="s">
        <v>21</v>
      </c>
      <c r="H1428" t="s">
        <v>2821</v>
      </c>
      <c r="I1428" t="s">
        <v>23</v>
      </c>
      <c r="J1428" t="s">
        <v>40</v>
      </c>
      <c r="K1428" s="2" t="s">
        <v>1152</v>
      </c>
      <c r="L1428" t="s">
        <v>26</v>
      </c>
      <c r="M1428">
        <v>340416</v>
      </c>
      <c r="N1428">
        <v>1</v>
      </c>
      <c r="O1428" s="3">
        <v>79950</v>
      </c>
      <c r="P1428" s="3">
        <v>32843</v>
      </c>
      <c r="Q1428" s="5">
        <f t="shared" si="66"/>
        <v>67184.873949579836</v>
      </c>
      <c r="R1428" s="5">
        <f t="shared" si="67"/>
        <v>32843</v>
      </c>
      <c r="S1428" s="5">
        <f t="shared" si="68"/>
        <v>34341.873949579836</v>
      </c>
    </row>
    <row r="1429" spans="1:19" hidden="1" x14ac:dyDescent="0.3">
      <c r="A1429">
        <v>130</v>
      </c>
      <c r="B1429" t="s">
        <v>2244</v>
      </c>
      <c r="C1429" t="s">
        <v>2822</v>
      </c>
      <c r="D1429" s="2" t="s">
        <v>2823</v>
      </c>
      <c r="E1429" t="s">
        <v>2382</v>
      </c>
      <c r="F1429" t="s">
        <v>20</v>
      </c>
      <c r="G1429" t="s">
        <v>21</v>
      </c>
      <c r="H1429" t="s">
        <v>2379</v>
      </c>
      <c r="I1429" t="s">
        <v>23</v>
      </c>
      <c r="J1429" t="s">
        <v>40</v>
      </c>
      <c r="K1429" s="2" t="s">
        <v>1152</v>
      </c>
      <c r="L1429" t="s">
        <v>26</v>
      </c>
      <c r="M1429">
        <v>340417</v>
      </c>
      <c r="N1429">
        <v>1</v>
      </c>
      <c r="O1429" s="3">
        <v>34990</v>
      </c>
      <c r="P1429" s="3">
        <v>13135</v>
      </c>
      <c r="Q1429" s="5">
        <f t="shared" si="66"/>
        <v>29403.361344537818</v>
      </c>
      <c r="R1429" s="5">
        <f t="shared" si="67"/>
        <v>13135</v>
      </c>
      <c r="S1429" s="5">
        <f t="shared" si="68"/>
        <v>16268.361344537818</v>
      </c>
    </row>
    <row r="1430" spans="1:19" hidden="1" x14ac:dyDescent="0.3">
      <c r="A1430">
        <v>130</v>
      </c>
      <c r="B1430" t="s">
        <v>2244</v>
      </c>
      <c r="C1430">
        <v>1687976791</v>
      </c>
      <c r="D1430" s="2" t="s">
        <v>200</v>
      </c>
      <c r="E1430" t="s">
        <v>201</v>
      </c>
      <c r="F1430" t="s">
        <v>201</v>
      </c>
      <c r="G1430" t="s">
        <v>202</v>
      </c>
      <c r="H1430" t="s">
        <v>202</v>
      </c>
      <c r="I1430" t="s">
        <v>23</v>
      </c>
      <c r="J1430" t="s">
        <v>202</v>
      </c>
      <c r="K1430" s="2" t="s">
        <v>1152</v>
      </c>
      <c r="L1430" t="s">
        <v>26</v>
      </c>
      <c r="M1430">
        <v>340417</v>
      </c>
      <c r="N1430">
        <v>1</v>
      </c>
      <c r="O1430" s="3">
        <v>3200</v>
      </c>
      <c r="P1430">
        <v>1</v>
      </c>
      <c r="Q1430" s="5">
        <f t="shared" si="66"/>
        <v>2689.0756302521008</v>
      </c>
      <c r="R1430" s="5">
        <f t="shared" si="67"/>
        <v>1</v>
      </c>
      <c r="S1430" s="5">
        <f t="shared" si="68"/>
        <v>2688.0756302521008</v>
      </c>
    </row>
    <row r="1431" spans="1:19" hidden="1" x14ac:dyDescent="0.3">
      <c r="A1431">
        <v>130</v>
      </c>
      <c r="B1431" t="s">
        <v>2244</v>
      </c>
      <c r="C1431" t="s">
        <v>2824</v>
      </c>
      <c r="D1431" s="2" t="s">
        <v>2825</v>
      </c>
      <c r="E1431" t="s">
        <v>2826</v>
      </c>
      <c r="F1431" t="s">
        <v>20</v>
      </c>
      <c r="G1431" t="s">
        <v>21</v>
      </c>
      <c r="H1431" t="s">
        <v>2827</v>
      </c>
      <c r="I1431" t="s">
        <v>23</v>
      </c>
      <c r="J1431" t="s">
        <v>49</v>
      </c>
      <c r="K1431" s="2" t="s">
        <v>1152</v>
      </c>
      <c r="L1431" t="s">
        <v>26</v>
      </c>
      <c r="M1431">
        <v>340418</v>
      </c>
      <c r="N1431">
        <v>-1</v>
      </c>
      <c r="O1431" s="3">
        <v>-49990</v>
      </c>
      <c r="P1431" s="3">
        <v>26081</v>
      </c>
      <c r="Q1431" s="5">
        <f t="shared" si="66"/>
        <v>-42008.403361344543</v>
      </c>
      <c r="R1431" s="5">
        <f t="shared" si="67"/>
        <v>-26081</v>
      </c>
      <c r="S1431" s="5">
        <f t="shared" si="68"/>
        <v>-15927.403361344543</v>
      </c>
    </row>
    <row r="1432" spans="1:19" hidden="1" x14ac:dyDescent="0.3">
      <c r="A1432">
        <v>130</v>
      </c>
      <c r="B1432" t="s">
        <v>2244</v>
      </c>
      <c r="C1432" t="s">
        <v>2285</v>
      </c>
      <c r="D1432" s="2" t="s">
        <v>2286</v>
      </c>
      <c r="E1432" t="s">
        <v>2287</v>
      </c>
      <c r="F1432" t="s">
        <v>20</v>
      </c>
      <c r="G1432" t="s">
        <v>21</v>
      </c>
      <c r="H1432" t="s">
        <v>429</v>
      </c>
      <c r="I1432" t="s">
        <v>23</v>
      </c>
      <c r="J1432" t="s">
        <v>49</v>
      </c>
      <c r="K1432" s="2" t="s">
        <v>1152</v>
      </c>
      <c r="L1432" t="s">
        <v>26</v>
      </c>
      <c r="M1432">
        <v>340418</v>
      </c>
      <c r="N1432">
        <v>1</v>
      </c>
      <c r="O1432" s="3">
        <v>49991</v>
      </c>
      <c r="P1432" s="3">
        <v>31855</v>
      </c>
      <c r="Q1432" s="5">
        <f t="shared" si="66"/>
        <v>42009.243697478996</v>
      </c>
      <c r="R1432" s="5">
        <f t="shared" si="67"/>
        <v>31855</v>
      </c>
      <c r="S1432" s="5">
        <f t="shared" si="68"/>
        <v>10154.243697478996</v>
      </c>
    </row>
    <row r="1433" spans="1:19" hidden="1" x14ac:dyDescent="0.3">
      <c r="A1433">
        <v>130</v>
      </c>
      <c r="B1433" t="s">
        <v>2244</v>
      </c>
      <c r="C1433" t="s">
        <v>2828</v>
      </c>
      <c r="D1433" s="2" t="s">
        <v>2829</v>
      </c>
      <c r="E1433" t="s">
        <v>1171</v>
      </c>
      <c r="F1433" t="s">
        <v>20</v>
      </c>
      <c r="G1433" t="s">
        <v>21</v>
      </c>
      <c r="H1433" t="s">
        <v>500</v>
      </c>
      <c r="I1433" t="s">
        <v>23</v>
      </c>
      <c r="J1433" t="s">
        <v>40</v>
      </c>
      <c r="K1433" s="2" t="s">
        <v>1152</v>
      </c>
      <c r="L1433" t="s">
        <v>26</v>
      </c>
      <c r="M1433">
        <v>340419</v>
      </c>
      <c r="N1433">
        <v>1</v>
      </c>
      <c r="O1433" s="3">
        <v>59950</v>
      </c>
      <c r="P1433" s="3">
        <v>17416</v>
      </c>
      <c r="Q1433" s="5">
        <f t="shared" si="66"/>
        <v>50378.151260504201</v>
      </c>
      <c r="R1433" s="5">
        <f t="shared" si="67"/>
        <v>17416</v>
      </c>
      <c r="S1433" s="5">
        <f t="shared" si="68"/>
        <v>32962.151260504201</v>
      </c>
    </row>
    <row r="1434" spans="1:19" hidden="1" x14ac:dyDescent="0.3">
      <c r="A1434">
        <v>130</v>
      </c>
      <c r="B1434" t="s">
        <v>2244</v>
      </c>
      <c r="C1434" t="s">
        <v>504</v>
      </c>
      <c r="D1434" s="2" t="s">
        <v>505</v>
      </c>
      <c r="E1434" t="s">
        <v>506</v>
      </c>
      <c r="F1434" t="s">
        <v>20</v>
      </c>
      <c r="G1434" t="s">
        <v>21</v>
      </c>
      <c r="H1434" t="s">
        <v>357</v>
      </c>
      <c r="I1434" t="s">
        <v>23</v>
      </c>
      <c r="J1434" t="s">
        <v>49</v>
      </c>
      <c r="K1434" s="2" t="s">
        <v>1152</v>
      </c>
      <c r="L1434" t="s">
        <v>26</v>
      </c>
      <c r="M1434">
        <v>340420</v>
      </c>
      <c r="N1434">
        <v>1</v>
      </c>
      <c r="O1434" s="3">
        <v>44990</v>
      </c>
      <c r="P1434" s="3">
        <v>26636</v>
      </c>
      <c r="Q1434" s="5">
        <f t="shared" si="66"/>
        <v>37806.722689075636</v>
      </c>
      <c r="R1434" s="5">
        <f t="shared" si="67"/>
        <v>26636</v>
      </c>
      <c r="S1434" s="5">
        <f t="shared" si="68"/>
        <v>11170.722689075636</v>
      </c>
    </row>
    <row r="1435" spans="1:19" hidden="1" x14ac:dyDescent="0.3">
      <c r="A1435">
        <v>130</v>
      </c>
      <c r="B1435" t="s">
        <v>2244</v>
      </c>
      <c r="C1435" t="s">
        <v>2830</v>
      </c>
      <c r="D1435" s="2" t="s">
        <v>2831</v>
      </c>
      <c r="E1435" t="s">
        <v>1330</v>
      </c>
      <c r="F1435" t="s">
        <v>20</v>
      </c>
      <c r="G1435" t="s">
        <v>338</v>
      </c>
      <c r="H1435">
        <v>25133</v>
      </c>
      <c r="I1435" t="s">
        <v>23</v>
      </c>
      <c r="J1435" t="s">
        <v>35</v>
      </c>
      <c r="K1435" s="2" t="s">
        <v>1152</v>
      </c>
      <c r="L1435" t="s">
        <v>26</v>
      </c>
      <c r="M1435">
        <v>340421</v>
      </c>
      <c r="N1435">
        <v>1</v>
      </c>
      <c r="O1435" s="3">
        <v>74950</v>
      </c>
      <c r="P1435" s="3">
        <v>21167</v>
      </c>
      <c r="Q1435" s="5">
        <f t="shared" si="66"/>
        <v>62983.193277310929</v>
      </c>
      <c r="R1435" s="5">
        <f t="shared" si="67"/>
        <v>21167</v>
      </c>
      <c r="S1435" s="5">
        <f t="shared" si="68"/>
        <v>41816.193277310929</v>
      </c>
    </row>
    <row r="1436" spans="1:19" hidden="1" x14ac:dyDescent="0.3">
      <c r="A1436">
        <v>130</v>
      </c>
      <c r="B1436" t="s">
        <v>2244</v>
      </c>
      <c r="C1436">
        <v>1687976791</v>
      </c>
      <c r="D1436" s="2" t="s">
        <v>200</v>
      </c>
      <c r="E1436" t="s">
        <v>201</v>
      </c>
      <c r="F1436" t="s">
        <v>201</v>
      </c>
      <c r="G1436" t="s">
        <v>202</v>
      </c>
      <c r="H1436" t="s">
        <v>202</v>
      </c>
      <c r="I1436" t="s">
        <v>23</v>
      </c>
      <c r="J1436" t="s">
        <v>202</v>
      </c>
      <c r="K1436" s="2" t="s">
        <v>1152</v>
      </c>
      <c r="L1436" t="s">
        <v>26</v>
      </c>
      <c r="M1436">
        <v>340422</v>
      </c>
      <c r="N1436">
        <v>1</v>
      </c>
      <c r="O1436" s="3">
        <v>3200</v>
      </c>
      <c r="P1436">
        <v>1</v>
      </c>
      <c r="Q1436" s="5">
        <f t="shared" si="66"/>
        <v>2689.0756302521008</v>
      </c>
      <c r="R1436" s="5">
        <f t="shared" si="67"/>
        <v>1</v>
      </c>
      <c r="S1436" s="5">
        <f t="shared" si="68"/>
        <v>2688.0756302521008</v>
      </c>
    </row>
    <row r="1437" spans="1:19" hidden="1" x14ac:dyDescent="0.3">
      <c r="A1437">
        <v>130</v>
      </c>
      <c r="B1437" t="s">
        <v>2244</v>
      </c>
      <c r="C1437" t="s">
        <v>1147</v>
      </c>
      <c r="D1437" s="2" t="s">
        <v>1148</v>
      </c>
      <c r="E1437" t="s">
        <v>1042</v>
      </c>
      <c r="F1437" t="s">
        <v>20</v>
      </c>
      <c r="G1437" t="s">
        <v>21</v>
      </c>
      <c r="H1437" t="s">
        <v>317</v>
      </c>
      <c r="I1437" t="s">
        <v>23</v>
      </c>
      <c r="J1437" t="s">
        <v>35</v>
      </c>
      <c r="K1437" s="2" t="s">
        <v>1152</v>
      </c>
      <c r="L1437" t="s">
        <v>26</v>
      </c>
      <c r="M1437">
        <v>340422</v>
      </c>
      <c r="N1437">
        <v>1</v>
      </c>
      <c r="O1437" s="3">
        <v>49990</v>
      </c>
      <c r="P1437" s="3">
        <v>24344</v>
      </c>
      <c r="Q1437" s="5">
        <f t="shared" si="66"/>
        <v>42008.403361344543</v>
      </c>
      <c r="R1437" s="5">
        <f t="shared" si="67"/>
        <v>24344</v>
      </c>
      <c r="S1437" s="5">
        <f t="shared" si="68"/>
        <v>17664.403361344543</v>
      </c>
    </row>
    <row r="1438" spans="1:19" hidden="1" x14ac:dyDescent="0.3">
      <c r="A1438">
        <v>130</v>
      </c>
      <c r="B1438" t="s">
        <v>2244</v>
      </c>
      <c r="C1438" t="s">
        <v>2832</v>
      </c>
      <c r="D1438" s="2" t="s">
        <v>2833</v>
      </c>
      <c r="E1438" t="s">
        <v>2834</v>
      </c>
      <c r="F1438" t="s">
        <v>20</v>
      </c>
      <c r="G1438" t="s">
        <v>21</v>
      </c>
      <c r="H1438" t="s">
        <v>870</v>
      </c>
      <c r="I1438" t="s">
        <v>23</v>
      </c>
      <c r="J1438" t="s">
        <v>49</v>
      </c>
      <c r="K1438" s="2" t="s">
        <v>1152</v>
      </c>
      <c r="L1438" t="s">
        <v>26</v>
      </c>
      <c r="M1438">
        <v>340423</v>
      </c>
      <c r="N1438">
        <v>1</v>
      </c>
      <c r="O1438" s="3">
        <v>64950</v>
      </c>
      <c r="P1438" s="3">
        <v>23542</v>
      </c>
      <c r="Q1438" s="5">
        <f t="shared" si="66"/>
        <v>54579.831932773115</v>
      </c>
      <c r="R1438" s="5">
        <f t="shared" si="67"/>
        <v>23542</v>
      </c>
      <c r="S1438" s="5">
        <f t="shared" si="68"/>
        <v>31037.831932773115</v>
      </c>
    </row>
    <row r="1439" spans="1:19" hidden="1" x14ac:dyDescent="0.3">
      <c r="A1439">
        <v>130</v>
      </c>
      <c r="B1439" t="s">
        <v>2244</v>
      </c>
      <c r="C1439" t="s">
        <v>2835</v>
      </c>
      <c r="D1439" s="2" t="s">
        <v>2836</v>
      </c>
      <c r="E1439" t="s">
        <v>2837</v>
      </c>
      <c r="F1439" t="s">
        <v>20</v>
      </c>
      <c r="G1439" t="s">
        <v>21</v>
      </c>
      <c r="H1439" t="s">
        <v>272</v>
      </c>
      <c r="I1439" t="s">
        <v>23</v>
      </c>
      <c r="J1439" t="s">
        <v>40</v>
      </c>
      <c r="K1439" s="2" t="s">
        <v>1152</v>
      </c>
      <c r="L1439" t="s">
        <v>26</v>
      </c>
      <c r="M1439">
        <v>340424</v>
      </c>
      <c r="N1439">
        <v>1</v>
      </c>
      <c r="O1439" s="3">
        <v>74950</v>
      </c>
      <c r="P1439" s="3">
        <v>26157</v>
      </c>
      <c r="Q1439" s="5">
        <f t="shared" si="66"/>
        <v>62983.193277310929</v>
      </c>
      <c r="R1439" s="5">
        <f t="shared" si="67"/>
        <v>26157</v>
      </c>
      <c r="S1439" s="5">
        <f t="shared" si="68"/>
        <v>36826.193277310929</v>
      </c>
    </row>
    <row r="1440" spans="1:19" hidden="1" x14ac:dyDescent="0.3">
      <c r="A1440">
        <v>130</v>
      </c>
      <c r="B1440" t="s">
        <v>2244</v>
      </c>
      <c r="C1440" t="s">
        <v>2838</v>
      </c>
      <c r="D1440" s="2" t="s">
        <v>2839</v>
      </c>
      <c r="E1440" t="s">
        <v>467</v>
      </c>
      <c r="F1440" t="s">
        <v>20</v>
      </c>
      <c r="G1440" t="s">
        <v>21</v>
      </c>
      <c r="H1440" t="s">
        <v>171</v>
      </c>
      <c r="I1440" t="s">
        <v>23</v>
      </c>
      <c r="J1440" t="s">
        <v>40</v>
      </c>
      <c r="K1440" s="2" t="s">
        <v>1152</v>
      </c>
      <c r="L1440" t="s">
        <v>26</v>
      </c>
      <c r="M1440">
        <v>340425</v>
      </c>
      <c r="N1440">
        <v>1</v>
      </c>
      <c r="O1440" s="3">
        <v>59990</v>
      </c>
      <c r="P1440" s="3">
        <v>29948</v>
      </c>
      <c r="Q1440" s="5">
        <f t="shared" si="66"/>
        <v>50411.764705882357</v>
      </c>
      <c r="R1440" s="5">
        <f t="shared" si="67"/>
        <v>29948</v>
      </c>
      <c r="S1440" s="5">
        <f t="shared" si="68"/>
        <v>20463.764705882357</v>
      </c>
    </row>
    <row r="1441" spans="1:19" hidden="1" x14ac:dyDescent="0.3">
      <c r="A1441">
        <v>130</v>
      </c>
      <c r="B1441" t="s">
        <v>2244</v>
      </c>
      <c r="C1441">
        <v>1687976791</v>
      </c>
      <c r="D1441" s="2" t="s">
        <v>200</v>
      </c>
      <c r="E1441" t="s">
        <v>201</v>
      </c>
      <c r="F1441" t="s">
        <v>201</v>
      </c>
      <c r="G1441" t="s">
        <v>202</v>
      </c>
      <c r="H1441" t="s">
        <v>202</v>
      </c>
      <c r="I1441" t="s">
        <v>23</v>
      </c>
      <c r="J1441" t="s">
        <v>202</v>
      </c>
      <c r="K1441" s="2" t="s">
        <v>1152</v>
      </c>
      <c r="L1441" t="s">
        <v>26</v>
      </c>
      <c r="M1441">
        <v>340425</v>
      </c>
      <c r="N1441">
        <v>1</v>
      </c>
      <c r="O1441" s="3">
        <v>3200</v>
      </c>
      <c r="P1441">
        <v>1</v>
      </c>
      <c r="Q1441" s="5">
        <f t="shared" si="66"/>
        <v>2689.0756302521008</v>
      </c>
      <c r="R1441" s="5">
        <f t="shared" si="67"/>
        <v>1</v>
      </c>
      <c r="S1441" s="5">
        <f t="shared" si="68"/>
        <v>2688.0756302521008</v>
      </c>
    </row>
    <row r="1442" spans="1:19" hidden="1" x14ac:dyDescent="0.3">
      <c r="A1442">
        <v>130</v>
      </c>
      <c r="B1442" t="s">
        <v>2244</v>
      </c>
      <c r="C1442" t="s">
        <v>2840</v>
      </c>
      <c r="D1442" s="2" t="s">
        <v>2841</v>
      </c>
      <c r="E1442" t="s">
        <v>2110</v>
      </c>
      <c r="F1442" t="s">
        <v>20</v>
      </c>
      <c r="G1442" t="s">
        <v>21</v>
      </c>
      <c r="H1442" t="s">
        <v>22</v>
      </c>
      <c r="I1442" t="s">
        <v>23</v>
      </c>
      <c r="J1442" t="s">
        <v>24</v>
      </c>
      <c r="K1442" s="2" t="s">
        <v>1309</v>
      </c>
      <c r="L1442" t="s">
        <v>26</v>
      </c>
      <c r="M1442">
        <v>340426</v>
      </c>
      <c r="N1442">
        <v>1</v>
      </c>
      <c r="O1442" s="3">
        <v>79950</v>
      </c>
      <c r="P1442" s="3">
        <v>27760</v>
      </c>
      <c r="Q1442" s="5">
        <f t="shared" si="66"/>
        <v>67184.873949579836</v>
      </c>
      <c r="R1442" s="5">
        <f t="shared" si="67"/>
        <v>27760</v>
      </c>
      <c r="S1442" s="5">
        <f t="shared" si="68"/>
        <v>39424.873949579836</v>
      </c>
    </row>
    <row r="1443" spans="1:19" hidden="1" x14ac:dyDescent="0.3">
      <c r="A1443">
        <v>130</v>
      </c>
      <c r="B1443" t="s">
        <v>2244</v>
      </c>
      <c r="C1443" t="s">
        <v>2842</v>
      </c>
      <c r="D1443" s="2" t="s">
        <v>2843</v>
      </c>
      <c r="E1443" t="s">
        <v>2844</v>
      </c>
      <c r="F1443" t="s">
        <v>20</v>
      </c>
      <c r="G1443" t="s">
        <v>338</v>
      </c>
      <c r="H1443">
        <v>24722</v>
      </c>
      <c r="I1443" t="s">
        <v>23</v>
      </c>
      <c r="J1443" t="s">
        <v>95</v>
      </c>
      <c r="K1443" s="2" t="s">
        <v>1309</v>
      </c>
      <c r="L1443" t="s">
        <v>26</v>
      </c>
      <c r="M1443">
        <v>340427</v>
      </c>
      <c r="N1443">
        <v>1</v>
      </c>
      <c r="O1443" s="3">
        <v>89950</v>
      </c>
      <c r="P1443" s="3">
        <v>30987</v>
      </c>
      <c r="Q1443" s="5">
        <f t="shared" si="66"/>
        <v>75588.23529411765</v>
      </c>
      <c r="R1443" s="5">
        <f t="shared" si="67"/>
        <v>30987</v>
      </c>
      <c r="S1443" s="5">
        <f t="shared" si="68"/>
        <v>44601.23529411765</v>
      </c>
    </row>
    <row r="1444" spans="1:19" hidden="1" x14ac:dyDescent="0.3">
      <c r="A1444">
        <v>130</v>
      </c>
      <c r="B1444" t="s">
        <v>2244</v>
      </c>
      <c r="C1444" t="s">
        <v>2845</v>
      </c>
      <c r="D1444" s="2" t="s">
        <v>2846</v>
      </c>
      <c r="E1444" t="s">
        <v>2076</v>
      </c>
      <c r="F1444" t="s">
        <v>20</v>
      </c>
      <c r="G1444" t="s">
        <v>338</v>
      </c>
      <c r="H1444">
        <v>83726</v>
      </c>
      <c r="I1444" t="s">
        <v>23</v>
      </c>
      <c r="J1444" t="s">
        <v>40</v>
      </c>
      <c r="K1444" s="2" t="s">
        <v>1309</v>
      </c>
      <c r="L1444" t="s">
        <v>26</v>
      </c>
      <c r="M1444">
        <v>340427</v>
      </c>
      <c r="N1444">
        <v>1</v>
      </c>
      <c r="O1444" s="3">
        <v>89950</v>
      </c>
      <c r="P1444" s="3">
        <v>30263</v>
      </c>
      <c r="Q1444" s="5">
        <f t="shared" si="66"/>
        <v>75588.23529411765</v>
      </c>
      <c r="R1444" s="5">
        <f t="shared" si="67"/>
        <v>30263</v>
      </c>
      <c r="S1444" s="5">
        <f t="shared" si="68"/>
        <v>45325.23529411765</v>
      </c>
    </row>
    <row r="1445" spans="1:19" hidden="1" x14ac:dyDescent="0.3">
      <c r="A1445">
        <v>130</v>
      </c>
      <c r="B1445" t="s">
        <v>2244</v>
      </c>
      <c r="C1445" t="s">
        <v>2847</v>
      </c>
      <c r="D1445" s="2" t="s">
        <v>2848</v>
      </c>
      <c r="E1445" t="s">
        <v>2195</v>
      </c>
      <c r="F1445" t="s">
        <v>20</v>
      </c>
      <c r="G1445" t="s">
        <v>338</v>
      </c>
      <c r="H1445">
        <v>24722</v>
      </c>
      <c r="I1445" t="s">
        <v>23</v>
      </c>
      <c r="J1445" t="s">
        <v>95</v>
      </c>
      <c r="K1445" s="2" t="s">
        <v>1309</v>
      </c>
      <c r="L1445" t="s">
        <v>26</v>
      </c>
      <c r="M1445">
        <v>340428</v>
      </c>
      <c r="N1445">
        <v>1</v>
      </c>
      <c r="O1445" s="3">
        <v>89950</v>
      </c>
      <c r="P1445" s="3">
        <v>30987</v>
      </c>
      <c r="Q1445" s="5">
        <f t="shared" si="66"/>
        <v>75588.23529411765</v>
      </c>
      <c r="R1445" s="5">
        <f t="shared" si="67"/>
        <v>30987</v>
      </c>
      <c r="S1445" s="5">
        <f t="shared" si="68"/>
        <v>44601.23529411765</v>
      </c>
    </row>
    <row r="1446" spans="1:19" hidden="1" x14ac:dyDescent="0.3">
      <c r="A1446">
        <v>130</v>
      </c>
      <c r="B1446" t="s">
        <v>2244</v>
      </c>
      <c r="C1446" t="s">
        <v>2849</v>
      </c>
      <c r="D1446" s="2" t="s">
        <v>2850</v>
      </c>
      <c r="E1446" t="s">
        <v>2851</v>
      </c>
      <c r="F1446" t="s">
        <v>377</v>
      </c>
      <c r="G1446" t="s">
        <v>21</v>
      </c>
      <c r="H1446" t="s">
        <v>378</v>
      </c>
      <c r="I1446" t="s">
        <v>23</v>
      </c>
      <c r="J1446" t="s">
        <v>2459</v>
      </c>
      <c r="K1446" s="2" t="s">
        <v>1309</v>
      </c>
      <c r="L1446" t="s">
        <v>26</v>
      </c>
      <c r="M1446">
        <v>340429</v>
      </c>
      <c r="N1446">
        <v>1</v>
      </c>
      <c r="O1446" s="3">
        <v>3450</v>
      </c>
      <c r="P1446" s="3">
        <v>1874</v>
      </c>
      <c r="Q1446" s="5">
        <f t="shared" si="66"/>
        <v>2899.1596638655465</v>
      </c>
      <c r="R1446" s="5">
        <f t="shared" si="67"/>
        <v>1874</v>
      </c>
      <c r="S1446" s="5">
        <f t="shared" si="68"/>
        <v>1025.1596638655465</v>
      </c>
    </row>
    <row r="1447" spans="1:19" hidden="1" x14ac:dyDescent="0.3">
      <c r="A1447">
        <v>130</v>
      </c>
      <c r="B1447" t="s">
        <v>2244</v>
      </c>
      <c r="C1447" t="s">
        <v>2852</v>
      </c>
      <c r="D1447" s="2" t="s">
        <v>2853</v>
      </c>
      <c r="E1447" t="s">
        <v>2854</v>
      </c>
      <c r="F1447" t="s">
        <v>377</v>
      </c>
      <c r="G1447" t="s">
        <v>21</v>
      </c>
      <c r="H1447" t="s">
        <v>378</v>
      </c>
      <c r="I1447" t="s">
        <v>23</v>
      </c>
      <c r="J1447" t="s">
        <v>2459</v>
      </c>
      <c r="K1447" s="2" t="s">
        <v>1309</v>
      </c>
      <c r="L1447" t="s">
        <v>26</v>
      </c>
      <c r="M1447">
        <v>340429</v>
      </c>
      <c r="N1447">
        <v>1</v>
      </c>
      <c r="O1447" s="3">
        <v>2950</v>
      </c>
      <c r="P1447" s="3">
        <v>1667</v>
      </c>
      <c r="Q1447" s="5">
        <f t="shared" si="66"/>
        <v>2478.9915966386557</v>
      </c>
      <c r="R1447" s="5">
        <f t="shared" si="67"/>
        <v>1667</v>
      </c>
      <c r="S1447" s="5">
        <f t="shared" si="68"/>
        <v>811.99159663865566</v>
      </c>
    </row>
    <row r="1448" spans="1:19" hidden="1" x14ac:dyDescent="0.3">
      <c r="A1448">
        <v>130</v>
      </c>
      <c r="B1448" t="s">
        <v>2244</v>
      </c>
      <c r="C1448" t="s">
        <v>2855</v>
      </c>
      <c r="D1448" s="2" t="s">
        <v>2856</v>
      </c>
      <c r="E1448" t="s">
        <v>2781</v>
      </c>
      <c r="F1448" t="s">
        <v>20</v>
      </c>
      <c r="G1448" t="s">
        <v>21</v>
      </c>
      <c r="H1448" t="s">
        <v>2782</v>
      </c>
      <c r="I1448" t="s">
        <v>23</v>
      </c>
      <c r="J1448" t="s">
        <v>35</v>
      </c>
      <c r="K1448" s="2" t="s">
        <v>1309</v>
      </c>
      <c r="L1448" t="s">
        <v>26</v>
      </c>
      <c r="M1448">
        <v>340430</v>
      </c>
      <c r="N1448">
        <v>1</v>
      </c>
      <c r="O1448" s="3">
        <v>74950</v>
      </c>
      <c r="P1448" s="3">
        <v>24388</v>
      </c>
      <c r="Q1448" s="5">
        <f t="shared" si="66"/>
        <v>62983.193277310929</v>
      </c>
      <c r="R1448" s="5">
        <f t="shared" si="67"/>
        <v>24388</v>
      </c>
      <c r="S1448" s="5">
        <f t="shared" si="68"/>
        <v>38595.193277310929</v>
      </c>
    </row>
    <row r="1449" spans="1:19" hidden="1" x14ac:dyDescent="0.3">
      <c r="A1449">
        <v>130</v>
      </c>
      <c r="B1449" t="s">
        <v>2244</v>
      </c>
      <c r="C1449" t="s">
        <v>2857</v>
      </c>
      <c r="D1449" s="2" t="s">
        <v>2858</v>
      </c>
      <c r="E1449" t="s">
        <v>2859</v>
      </c>
      <c r="F1449" t="s">
        <v>20</v>
      </c>
      <c r="G1449" t="s">
        <v>338</v>
      </c>
      <c r="H1449">
        <v>83717</v>
      </c>
      <c r="I1449" t="s">
        <v>23</v>
      </c>
      <c r="J1449" t="s">
        <v>40</v>
      </c>
      <c r="K1449" s="2" t="s">
        <v>1309</v>
      </c>
      <c r="L1449" t="s">
        <v>26</v>
      </c>
      <c r="M1449">
        <v>340431</v>
      </c>
      <c r="N1449">
        <v>1</v>
      </c>
      <c r="O1449" s="3">
        <v>89950</v>
      </c>
      <c r="P1449" s="3">
        <v>30263</v>
      </c>
      <c r="Q1449" s="5">
        <f t="shared" si="66"/>
        <v>75588.23529411765</v>
      </c>
      <c r="R1449" s="5">
        <f t="shared" si="67"/>
        <v>30263</v>
      </c>
      <c r="S1449" s="5">
        <f t="shared" si="68"/>
        <v>45325.23529411765</v>
      </c>
    </row>
    <row r="1450" spans="1:19" hidden="1" x14ac:dyDescent="0.3">
      <c r="A1450">
        <v>130</v>
      </c>
      <c r="B1450" t="s">
        <v>2244</v>
      </c>
      <c r="C1450" t="s">
        <v>2860</v>
      </c>
      <c r="D1450" s="2" t="s">
        <v>2861</v>
      </c>
      <c r="E1450" t="s">
        <v>2862</v>
      </c>
      <c r="F1450" t="s">
        <v>20</v>
      </c>
      <c r="G1450" t="s">
        <v>338</v>
      </c>
      <c r="H1450">
        <v>27239</v>
      </c>
      <c r="I1450" t="s">
        <v>23</v>
      </c>
      <c r="J1450" t="s">
        <v>207</v>
      </c>
      <c r="K1450" s="2" t="s">
        <v>1309</v>
      </c>
      <c r="L1450" t="s">
        <v>26</v>
      </c>
      <c r="M1450">
        <v>340432</v>
      </c>
      <c r="N1450">
        <v>-1</v>
      </c>
      <c r="O1450" s="3">
        <v>-49990</v>
      </c>
      <c r="P1450" s="3">
        <v>27728</v>
      </c>
      <c r="Q1450" s="5">
        <f t="shared" si="66"/>
        <v>-42008.403361344543</v>
      </c>
      <c r="R1450" s="5">
        <f t="shared" si="67"/>
        <v>-27728</v>
      </c>
      <c r="S1450" s="5">
        <f t="shared" si="68"/>
        <v>-14280.403361344543</v>
      </c>
    </row>
    <row r="1451" spans="1:19" hidden="1" x14ac:dyDescent="0.3">
      <c r="A1451">
        <v>130</v>
      </c>
      <c r="B1451" t="s">
        <v>2244</v>
      </c>
      <c r="C1451" t="s">
        <v>2863</v>
      </c>
      <c r="D1451" s="2" t="s">
        <v>2864</v>
      </c>
      <c r="E1451" t="s">
        <v>2865</v>
      </c>
      <c r="F1451" t="s">
        <v>20</v>
      </c>
      <c r="G1451" t="s">
        <v>21</v>
      </c>
      <c r="H1451" t="s">
        <v>57</v>
      </c>
      <c r="I1451" t="s">
        <v>23</v>
      </c>
      <c r="J1451" t="s">
        <v>35</v>
      </c>
      <c r="K1451" s="2" t="s">
        <v>1309</v>
      </c>
      <c r="L1451" t="s">
        <v>26</v>
      </c>
      <c r="M1451">
        <v>340432</v>
      </c>
      <c r="N1451">
        <v>1</v>
      </c>
      <c r="O1451" s="3">
        <v>89950</v>
      </c>
      <c r="P1451" s="3">
        <v>29189</v>
      </c>
      <c r="Q1451" s="5">
        <f t="shared" si="66"/>
        <v>75588.23529411765</v>
      </c>
      <c r="R1451" s="5">
        <f t="shared" si="67"/>
        <v>29189</v>
      </c>
      <c r="S1451" s="5">
        <f t="shared" si="68"/>
        <v>46399.23529411765</v>
      </c>
    </row>
    <row r="1452" spans="1:19" hidden="1" x14ac:dyDescent="0.3">
      <c r="A1452">
        <v>130</v>
      </c>
      <c r="B1452" t="s">
        <v>2244</v>
      </c>
      <c r="C1452" t="s">
        <v>2866</v>
      </c>
      <c r="D1452" s="2" t="s">
        <v>2867</v>
      </c>
      <c r="E1452" t="s">
        <v>714</v>
      </c>
      <c r="F1452" t="s">
        <v>20</v>
      </c>
      <c r="G1452" t="s">
        <v>21</v>
      </c>
      <c r="H1452" t="s">
        <v>30</v>
      </c>
      <c r="I1452" t="s">
        <v>23</v>
      </c>
      <c r="J1452" t="s">
        <v>49</v>
      </c>
      <c r="K1452" s="2" t="s">
        <v>1309</v>
      </c>
      <c r="L1452" t="s">
        <v>26</v>
      </c>
      <c r="M1452">
        <v>340433</v>
      </c>
      <c r="N1452">
        <v>1</v>
      </c>
      <c r="O1452" s="3">
        <v>69950</v>
      </c>
      <c r="P1452" s="3">
        <v>25153</v>
      </c>
      <c r="Q1452" s="5">
        <f t="shared" si="66"/>
        <v>58781.512605042022</v>
      </c>
      <c r="R1452" s="5">
        <f t="shared" si="67"/>
        <v>25153</v>
      </c>
      <c r="S1452" s="5">
        <f t="shared" si="68"/>
        <v>33628.512605042022</v>
      </c>
    </row>
    <row r="1453" spans="1:19" hidden="1" x14ac:dyDescent="0.3">
      <c r="A1453">
        <v>130</v>
      </c>
      <c r="B1453" t="s">
        <v>2244</v>
      </c>
      <c r="C1453" t="s">
        <v>2868</v>
      </c>
      <c r="D1453" s="2" t="s">
        <v>2869</v>
      </c>
      <c r="E1453" t="s">
        <v>2870</v>
      </c>
      <c r="F1453" t="s">
        <v>20</v>
      </c>
      <c r="G1453" t="s">
        <v>21</v>
      </c>
      <c r="H1453" t="s">
        <v>30</v>
      </c>
      <c r="I1453" t="s">
        <v>23</v>
      </c>
      <c r="J1453" t="s">
        <v>35</v>
      </c>
      <c r="K1453" s="2" t="s">
        <v>1309</v>
      </c>
      <c r="L1453" t="s">
        <v>26</v>
      </c>
      <c r="M1453">
        <v>340434</v>
      </c>
      <c r="N1453">
        <v>1</v>
      </c>
      <c r="O1453" s="3">
        <v>79950</v>
      </c>
      <c r="P1453" s="3">
        <v>30749</v>
      </c>
      <c r="Q1453" s="5">
        <f t="shared" si="66"/>
        <v>67184.873949579836</v>
      </c>
      <c r="R1453" s="5">
        <f t="shared" si="67"/>
        <v>30749</v>
      </c>
      <c r="S1453" s="5">
        <f t="shared" si="68"/>
        <v>36435.873949579836</v>
      </c>
    </row>
    <row r="1454" spans="1:19" hidden="1" x14ac:dyDescent="0.3">
      <c r="A1454">
        <v>130</v>
      </c>
      <c r="B1454" t="s">
        <v>2244</v>
      </c>
      <c r="C1454" t="s">
        <v>2871</v>
      </c>
      <c r="D1454" s="2" t="s">
        <v>2872</v>
      </c>
      <c r="E1454" t="s">
        <v>1446</v>
      </c>
      <c r="F1454" t="s">
        <v>20</v>
      </c>
      <c r="G1454" t="s">
        <v>338</v>
      </c>
      <c r="H1454">
        <v>25321</v>
      </c>
      <c r="I1454" t="s">
        <v>23</v>
      </c>
      <c r="J1454" t="s">
        <v>35</v>
      </c>
      <c r="K1454" s="2" t="s">
        <v>1309</v>
      </c>
      <c r="L1454" t="s">
        <v>26</v>
      </c>
      <c r="M1454">
        <v>340435</v>
      </c>
      <c r="N1454">
        <v>1</v>
      </c>
      <c r="O1454" s="3">
        <v>109950</v>
      </c>
      <c r="P1454" s="3">
        <v>33748</v>
      </c>
      <c r="Q1454" s="5">
        <f t="shared" si="66"/>
        <v>92394.957983193279</v>
      </c>
      <c r="R1454" s="5">
        <f t="shared" si="67"/>
        <v>33748</v>
      </c>
      <c r="S1454" s="5">
        <f t="shared" si="68"/>
        <v>58646.957983193279</v>
      </c>
    </row>
    <row r="1455" spans="1:19" hidden="1" x14ac:dyDescent="0.3">
      <c r="A1455">
        <v>130</v>
      </c>
      <c r="B1455" t="s">
        <v>2244</v>
      </c>
      <c r="C1455" t="s">
        <v>2716</v>
      </c>
      <c r="D1455" s="2" t="s">
        <v>2717</v>
      </c>
      <c r="E1455" t="s">
        <v>2718</v>
      </c>
      <c r="F1455" t="s">
        <v>20</v>
      </c>
      <c r="G1455" t="s">
        <v>21</v>
      </c>
      <c r="H1455" t="s">
        <v>1887</v>
      </c>
      <c r="I1455" t="s">
        <v>23</v>
      </c>
      <c r="J1455" t="s">
        <v>40</v>
      </c>
      <c r="K1455" s="2" t="s">
        <v>1309</v>
      </c>
      <c r="L1455" t="s">
        <v>26</v>
      </c>
      <c r="M1455">
        <v>340436</v>
      </c>
      <c r="N1455">
        <v>1</v>
      </c>
      <c r="O1455" s="3">
        <v>69950</v>
      </c>
      <c r="P1455" s="3">
        <v>22018</v>
      </c>
      <c r="Q1455" s="5">
        <f t="shared" si="66"/>
        <v>58781.512605042022</v>
      </c>
      <c r="R1455" s="5">
        <f t="shared" si="67"/>
        <v>22018</v>
      </c>
      <c r="S1455" s="5">
        <f t="shared" si="68"/>
        <v>36763.512605042022</v>
      </c>
    </row>
    <row r="1456" spans="1:19" hidden="1" x14ac:dyDescent="0.3">
      <c r="A1456">
        <v>130</v>
      </c>
      <c r="B1456" t="s">
        <v>2244</v>
      </c>
      <c r="C1456" t="s">
        <v>2873</v>
      </c>
      <c r="D1456" s="2" t="s">
        <v>2874</v>
      </c>
      <c r="E1456" t="s">
        <v>2744</v>
      </c>
      <c r="F1456" t="s">
        <v>20</v>
      </c>
      <c r="G1456" t="s">
        <v>21</v>
      </c>
      <c r="H1456" t="s">
        <v>2745</v>
      </c>
      <c r="I1456" t="s">
        <v>23</v>
      </c>
      <c r="J1456" t="s">
        <v>35</v>
      </c>
      <c r="K1456" s="2" t="s">
        <v>1309</v>
      </c>
      <c r="L1456" t="s">
        <v>26</v>
      </c>
      <c r="M1456">
        <v>340437</v>
      </c>
      <c r="N1456">
        <v>1</v>
      </c>
      <c r="O1456" s="3">
        <v>99950</v>
      </c>
      <c r="P1456" s="3">
        <v>33200</v>
      </c>
      <c r="Q1456" s="5">
        <f t="shared" si="66"/>
        <v>83991.596638655465</v>
      </c>
      <c r="R1456" s="5">
        <f t="shared" si="67"/>
        <v>33200</v>
      </c>
      <c r="S1456" s="5">
        <f t="shared" si="68"/>
        <v>50791.596638655465</v>
      </c>
    </row>
    <row r="1457" spans="1:19" hidden="1" x14ac:dyDescent="0.3">
      <c r="A1457">
        <v>130</v>
      </c>
      <c r="B1457" t="s">
        <v>2244</v>
      </c>
      <c r="C1457" t="s">
        <v>2875</v>
      </c>
      <c r="D1457" s="2" t="s">
        <v>2876</v>
      </c>
      <c r="E1457" t="s">
        <v>2877</v>
      </c>
      <c r="F1457" t="s">
        <v>20</v>
      </c>
      <c r="G1457" t="s">
        <v>21</v>
      </c>
      <c r="H1457" t="s">
        <v>30</v>
      </c>
      <c r="I1457" t="s">
        <v>23</v>
      </c>
      <c r="J1457" t="s">
        <v>49</v>
      </c>
      <c r="K1457" s="2" t="s">
        <v>1309</v>
      </c>
      <c r="L1457" t="s">
        <v>26</v>
      </c>
      <c r="M1457">
        <v>340438</v>
      </c>
      <c r="N1457">
        <v>1</v>
      </c>
      <c r="O1457" s="3">
        <v>69950</v>
      </c>
      <c r="P1457" s="3">
        <v>26131</v>
      </c>
      <c r="Q1457" s="5">
        <f t="shared" si="66"/>
        <v>58781.512605042022</v>
      </c>
      <c r="R1457" s="5">
        <f t="shared" si="67"/>
        <v>26131</v>
      </c>
      <c r="S1457" s="5">
        <f t="shared" si="68"/>
        <v>32650.512605042022</v>
      </c>
    </row>
    <row r="1458" spans="1:19" hidden="1" x14ac:dyDescent="0.3">
      <c r="A1458">
        <v>130</v>
      </c>
      <c r="B1458" t="s">
        <v>2244</v>
      </c>
      <c r="C1458" t="s">
        <v>497</v>
      </c>
      <c r="D1458" s="2" t="s">
        <v>498</v>
      </c>
      <c r="E1458" t="s">
        <v>499</v>
      </c>
      <c r="F1458" t="s">
        <v>20</v>
      </c>
      <c r="G1458" t="s">
        <v>21</v>
      </c>
      <c r="H1458" t="s">
        <v>500</v>
      </c>
      <c r="I1458" t="s">
        <v>23</v>
      </c>
      <c r="J1458" t="s">
        <v>40</v>
      </c>
      <c r="K1458" s="2" t="s">
        <v>1309</v>
      </c>
      <c r="L1458" t="s">
        <v>26</v>
      </c>
      <c r="M1458">
        <v>340439</v>
      </c>
      <c r="N1458">
        <v>1</v>
      </c>
      <c r="O1458" s="3">
        <v>59950</v>
      </c>
      <c r="P1458" s="3">
        <v>17416</v>
      </c>
      <c r="Q1458" s="5">
        <f t="shared" si="66"/>
        <v>50378.151260504201</v>
      </c>
      <c r="R1458" s="5">
        <f t="shared" si="67"/>
        <v>17416</v>
      </c>
      <c r="S1458" s="5">
        <f t="shared" si="68"/>
        <v>32962.151260504201</v>
      </c>
    </row>
    <row r="1459" spans="1:19" hidden="1" x14ac:dyDescent="0.3">
      <c r="A1459">
        <v>130</v>
      </c>
      <c r="B1459" t="s">
        <v>2244</v>
      </c>
      <c r="C1459" t="s">
        <v>2878</v>
      </c>
      <c r="D1459" s="2" t="s">
        <v>2879</v>
      </c>
      <c r="E1459" t="s">
        <v>599</v>
      </c>
      <c r="F1459" t="s">
        <v>20</v>
      </c>
      <c r="G1459" t="s">
        <v>21</v>
      </c>
      <c r="H1459" t="s">
        <v>600</v>
      </c>
      <c r="I1459" t="s">
        <v>23</v>
      </c>
      <c r="J1459" t="s">
        <v>40</v>
      </c>
      <c r="K1459" s="2" t="s">
        <v>1309</v>
      </c>
      <c r="L1459" t="s">
        <v>26</v>
      </c>
      <c r="M1459">
        <v>340440</v>
      </c>
      <c r="N1459">
        <v>1</v>
      </c>
      <c r="O1459" s="3">
        <v>49990</v>
      </c>
      <c r="P1459" s="3">
        <v>21327</v>
      </c>
      <c r="Q1459" s="5">
        <f t="shared" si="66"/>
        <v>42008.403361344543</v>
      </c>
      <c r="R1459" s="5">
        <f t="shared" si="67"/>
        <v>21327</v>
      </c>
      <c r="S1459" s="5">
        <f t="shared" si="68"/>
        <v>20681.403361344543</v>
      </c>
    </row>
    <row r="1460" spans="1:19" hidden="1" x14ac:dyDescent="0.3">
      <c r="A1460">
        <v>130</v>
      </c>
      <c r="B1460" t="s">
        <v>2244</v>
      </c>
      <c r="C1460" t="s">
        <v>2880</v>
      </c>
      <c r="D1460" s="2" t="s">
        <v>2881</v>
      </c>
      <c r="E1460" t="s">
        <v>1913</v>
      </c>
      <c r="F1460" t="s">
        <v>20</v>
      </c>
      <c r="G1460" t="s">
        <v>21</v>
      </c>
      <c r="H1460" t="s">
        <v>1914</v>
      </c>
      <c r="I1460" t="s">
        <v>23</v>
      </c>
      <c r="J1460" t="s">
        <v>35</v>
      </c>
      <c r="K1460" s="2" t="s">
        <v>1309</v>
      </c>
      <c r="L1460" t="s">
        <v>26</v>
      </c>
      <c r="M1460">
        <v>340441</v>
      </c>
      <c r="N1460">
        <v>1</v>
      </c>
      <c r="O1460" s="3">
        <v>89950</v>
      </c>
      <c r="P1460" s="3">
        <v>28298</v>
      </c>
      <c r="Q1460" s="5">
        <f t="shared" si="66"/>
        <v>75588.23529411765</v>
      </c>
      <c r="R1460" s="5">
        <f t="shared" si="67"/>
        <v>28298</v>
      </c>
      <c r="S1460" s="5">
        <f t="shared" si="68"/>
        <v>47290.23529411765</v>
      </c>
    </row>
    <row r="1461" spans="1:19" hidden="1" x14ac:dyDescent="0.3">
      <c r="A1461">
        <v>130</v>
      </c>
      <c r="B1461" t="s">
        <v>2244</v>
      </c>
      <c r="C1461" t="s">
        <v>2882</v>
      </c>
      <c r="D1461" s="2" t="s">
        <v>2883</v>
      </c>
      <c r="E1461" t="s">
        <v>2473</v>
      </c>
      <c r="F1461" t="s">
        <v>20</v>
      </c>
      <c r="G1461" t="s">
        <v>21</v>
      </c>
      <c r="H1461" t="s">
        <v>114</v>
      </c>
      <c r="I1461" t="s">
        <v>23</v>
      </c>
      <c r="J1461" t="s">
        <v>49</v>
      </c>
      <c r="K1461" s="2" t="s">
        <v>1309</v>
      </c>
      <c r="L1461" t="s">
        <v>26</v>
      </c>
      <c r="M1461">
        <v>340442</v>
      </c>
      <c r="N1461">
        <v>1</v>
      </c>
      <c r="O1461" s="3">
        <v>49990</v>
      </c>
      <c r="P1461" s="3">
        <v>23514</v>
      </c>
      <c r="Q1461" s="5">
        <f t="shared" si="66"/>
        <v>42008.403361344543</v>
      </c>
      <c r="R1461" s="5">
        <f t="shared" si="67"/>
        <v>23514</v>
      </c>
      <c r="S1461" s="5">
        <f t="shared" si="68"/>
        <v>18494.403361344543</v>
      </c>
    </row>
    <row r="1462" spans="1:19" hidden="1" x14ac:dyDescent="0.3">
      <c r="A1462">
        <v>130</v>
      </c>
      <c r="B1462" t="s">
        <v>2244</v>
      </c>
      <c r="C1462" t="s">
        <v>2884</v>
      </c>
      <c r="D1462" s="2" t="s">
        <v>2885</v>
      </c>
      <c r="E1462" t="s">
        <v>1330</v>
      </c>
      <c r="F1462" t="s">
        <v>20</v>
      </c>
      <c r="G1462" t="s">
        <v>338</v>
      </c>
      <c r="H1462">
        <v>25133</v>
      </c>
      <c r="I1462" t="s">
        <v>23</v>
      </c>
      <c r="J1462" t="s">
        <v>35</v>
      </c>
      <c r="K1462" s="2" t="s">
        <v>1309</v>
      </c>
      <c r="L1462" t="s">
        <v>26</v>
      </c>
      <c r="M1462">
        <v>340443</v>
      </c>
      <c r="N1462">
        <v>1</v>
      </c>
      <c r="O1462" s="3">
        <v>74950</v>
      </c>
      <c r="P1462" s="3">
        <v>21167</v>
      </c>
      <c r="Q1462" s="5">
        <f t="shared" si="66"/>
        <v>62983.193277310929</v>
      </c>
      <c r="R1462" s="5">
        <f t="shared" si="67"/>
        <v>21167</v>
      </c>
      <c r="S1462" s="5">
        <f t="shared" si="68"/>
        <v>41816.193277310929</v>
      </c>
    </row>
    <row r="1463" spans="1:19" hidden="1" x14ac:dyDescent="0.3">
      <c r="A1463">
        <v>130</v>
      </c>
      <c r="B1463" t="s">
        <v>2244</v>
      </c>
      <c r="C1463" t="s">
        <v>2886</v>
      </c>
      <c r="D1463" s="2" t="s">
        <v>2887</v>
      </c>
      <c r="E1463" t="s">
        <v>2888</v>
      </c>
      <c r="F1463" t="s">
        <v>20</v>
      </c>
      <c r="G1463" t="s">
        <v>21</v>
      </c>
      <c r="H1463" t="s">
        <v>2593</v>
      </c>
      <c r="I1463" t="s">
        <v>23</v>
      </c>
      <c r="J1463" t="s">
        <v>35</v>
      </c>
      <c r="K1463" s="2" t="s">
        <v>1309</v>
      </c>
      <c r="L1463" t="s">
        <v>26</v>
      </c>
      <c r="M1463">
        <v>340444</v>
      </c>
      <c r="N1463">
        <v>1</v>
      </c>
      <c r="O1463" s="3">
        <v>99950</v>
      </c>
      <c r="P1463" s="3">
        <v>38102</v>
      </c>
      <c r="Q1463" s="5">
        <f t="shared" si="66"/>
        <v>83991.596638655465</v>
      </c>
      <c r="R1463" s="5">
        <f t="shared" si="67"/>
        <v>38102</v>
      </c>
      <c r="S1463" s="5">
        <f t="shared" si="68"/>
        <v>45889.596638655465</v>
      </c>
    </row>
    <row r="1464" spans="1:19" hidden="1" x14ac:dyDescent="0.3">
      <c r="A1464">
        <v>130</v>
      </c>
      <c r="B1464" t="s">
        <v>2244</v>
      </c>
      <c r="C1464" t="s">
        <v>762</v>
      </c>
      <c r="D1464" s="2" t="s">
        <v>763</v>
      </c>
      <c r="E1464" t="s">
        <v>183</v>
      </c>
      <c r="F1464" t="s">
        <v>20</v>
      </c>
      <c r="G1464" t="s">
        <v>21</v>
      </c>
      <c r="H1464" t="s">
        <v>61</v>
      </c>
      <c r="I1464" t="s">
        <v>23</v>
      </c>
      <c r="J1464" t="s">
        <v>40</v>
      </c>
      <c r="K1464" s="2" t="s">
        <v>1365</v>
      </c>
      <c r="L1464" t="s">
        <v>2249</v>
      </c>
      <c r="M1464">
        <v>25383</v>
      </c>
      <c r="N1464">
        <v>-1</v>
      </c>
      <c r="O1464" s="3">
        <v>-39990</v>
      </c>
      <c r="P1464" s="3">
        <v>23582</v>
      </c>
      <c r="Q1464" s="5">
        <f t="shared" si="66"/>
        <v>-33605.042016806721</v>
      </c>
      <c r="R1464" s="5">
        <f t="shared" si="67"/>
        <v>-23582</v>
      </c>
      <c r="S1464" s="5">
        <f t="shared" si="68"/>
        <v>-10023.042016806721</v>
      </c>
    </row>
    <row r="1465" spans="1:19" hidden="1" x14ac:dyDescent="0.3">
      <c r="A1465">
        <v>130</v>
      </c>
      <c r="B1465" t="s">
        <v>2244</v>
      </c>
      <c r="C1465" t="s">
        <v>174</v>
      </c>
      <c r="D1465" s="2" t="s">
        <v>175</v>
      </c>
      <c r="E1465" t="s">
        <v>176</v>
      </c>
      <c r="F1465" t="s">
        <v>20</v>
      </c>
      <c r="G1465" t="s">
        <v>21</v>
      </c>
      <c r="H1465" t="s">
        <v>61</v>
      </c>
      <c r="I1465" t="s">
        <v>23</v>
      </c>
      <c r="J1465" t="s">
        <v>40</v>
      </c>
      <c r="K1465" s="2" t="s">
        <v>1365</v>
      </c>
      <c r="L1465" t="s">
        <v>2249</v>
      </c>
      <c r="M1465">
        <v>25383</v>
      </c>
      <c r="N1465">
        <v>-1</v>
      </c>
      <c r="O1465" s="3">
        <v>-39990</v>
      </c>
      <c r="P1465" s="3">
        <v>23618</v>
      </c>
      <c r="Q1465" s="5">
        <f t="shared" si="66"/>
        <v>-33605.042016806721</v>
      </c>
      <c r="R1465" s="5">
        <f t="shared" si="67"/>
        <v>-23618</v>
      </c>
      <c r="S1465" s="5">
        <f t="shared" si="68"/>
        <v>-9987.0420168067212</v>
      </c>
    </row>
    <row r="1466" spans="1:19" hidden="1" x14ac:dyDescent="0.3">
      <c r="A1466">
        <v>130</v>
      </c>
      <c r="B1466" t="s">
        <v>2244</v>
      </c>
      <c r="C1466" t="s">
        <v>2830</v>
      </c>
      <c r="D1466" s="2" t="s">
        <v>2831</v>
      </c>
      <c r="E1466" t="s">
        <v>1330</v>
      </c>
      <c r="F1466" t="s">
        <v>20</v>
      </c>
      <c r="G1466" t="s">
        <v>338</v>
      </c>
      <c r="H1466">
        <v>25133</v>
      </c>
      <c r="I1466" t="s">
        <v>23</v>
      </c>
      <c r="J1466" t="s">
        <v>35</v>
      </c>
      <c r="K1466" s="2" t="s">
        <v>1365</v>
      </c>
      <c r="L1466" t="s">
        <v>26</v>
      </c>
      <c r="M1466">
        <v>340445</v>
      </c>
      <c r="N1466">
        <v>1</v>
      </c>
      <c r="O1466" s="3">
        <v>74950</v>
      </c>
      <c r="P1466" s="3">
        <v>21167</v>
      </c>
      <c r="Q1466" s="5">
        <f t="shared" si="66"/>
        <v>62983.193277310929</v>
      </c>
      <c r="R1466" s="5">
        <f t="shared" si="67"/>
        <v>21167</v>
      </c>
      <c r="S1466" s="5">
        <f t="shared" si="68"/>
        <v>41816.193277310929</v>
      </c>
    </row>
    <row r="1467" spans="1:19" hidden="1" x14ac:dyDescent="0.3">
      <c r="A1467">
        <v>130</v>
      </c>
      <c r="B1467" t="s">
        <v>2244</v>
      </c>
      <c r="C1467" t="s">
        <v>2889</v>
      </c>
      <c r="D1467" s="2" t="s">
        <v>2890</v>
      </c>
      <c r="E1467" t="s">
        <v>453</v>
      </c>
      <c r="F1467" t="s">
        <v>20</v>
      </c>
      <c r="G1467" t="s">
        <v>21</v>
      </c>
      <c r="H1467" t="s">
        <v>454</v>
      </c>
      <c r="I1467" t="s">
        <v>23</v>
      </c>
      <c r="J1467" t="s">
        <v>407</v>
      </c>
      <c r="K1467" s="2" t="s">
        <v>1365</v>
      </c>
      <c r="L1467" t="s">
        <v>26</v>
      </c>
      <c r="M1467">
        <v>340446</v>
      </c>
      <c r="N1467">
        <v>1</v>
      </c>
      <c r="O1467" s="3">
        <v>39990</v>
      </c>
      <c r="P1467" s="3">
        <v>21037</v>
      </c>
      <c r="Q1467" s="5">
        <f t="shared" si="66"/>
        <v>33605.042016806721</v>
      </c>
      <c r="R1467" s="5">
        <f t="shared" si="67"/>
        <v>21037</v>
      </c>
      <c r="S1467" s="5">
        <f t="shared" si="68"/>
        <v>12568.042016806721</v>
      </c>
    </row>
    <row r="1468" spans="1:19" hidden="1" x14ac:dyDescent="0.3">
      <c r="A1468">
        <v>130</v>
      </c>
      <c r="B1468" t="s">
        <v>2244</v>
      </c>
      <c r="C1468" t="s">
        <v>2891</v>
      </c>
      <c r="D1468" s="2" t="s">
        <v>2892</v>
      </c>
      <c r="E1468" t="s">
        <v>2536</v>
      </c>
      <c r="F1468" t="s">
        <v>20</v>
      </c>
      <c r="G1468" t="s">
        <v>21</v>
      </c>
      <c r="H1468" t="s">
        <v>454</v>
      </c>
      <c r="I1468" t="s">
        <v>23</v>
      </c>
      <c r="J1468" t="s">
        <v>407</v>
      </c>
      <c r="K1468" s="2" t="s">
        <v>1365</v>
      </c>
      <c r="L1468" t="s">
        <v>26</v>
      </c>
      <c r="M1468">
        <v>340446</v>
      </c>
      <c r="N1468">
        <v>1</v>
      </c>
      <c r="O1468" s="3">
        <v>39990</v>
      </c>
      <c r="P1468" s="3">
        <v>21038</v>
      </c>
      <c r="Q1468" s="5">
        <f t="shared" si="66"/>
        <v>33605.042016806721</v>
      </c>
      <c r="R1468" s="5">
        <f t="shared" si="67"/>
        <v>21038</v>
      </c>
      <c r="S1468" s="5">
        <f t="shared" si="68"/>
        <v>12567.042016806721</v>
      </c>
    </row>
    <row r="1469" spans="1:19" hidden="1" x14ac:dyDescent="0.3">
      <c r="A1469">
        <v>130</v>
      </c>
      <c r="B1469" t="s">
        <v>2244</v>
      </c>
      <c r="C1469" t="s">
        <v>2893</v>
      </c>
      <c r="D1469" s="2" t="s">
        <v>2894</v>
      </c>
      <c r="E1469" t="s">
        <v>2382</v>
      </c>
      <c r="F1469" t="s">
        <v>20</v>
      </c>
      <c r="G1469" t="s">
        <v>21</v>
      </c>
      <c r="H1469" t="s">
        <v>2379</v>
      </c>
      <c r="I1469" t="s">
        <v>23</v>
      </c>
      <c r="J1469" t="s">
        <v>40</v>
      </c>
      <c r="K1469" s="2" t="s">
        <v>1365</v>
      </c>
      <c r="L1469" t="s">
        <v>26</v>
      </c>
      <c r="M1469">
        <v>340447</v>
      </c>
      <c r="N1469">
        <v>1</v>
      </c>
      <c r="O1469" s="3">
        <v>34990</v>
      </c>
      <c r="P1469" s="3">
        <v>13135</v>
      </c>
      <c r="Q1469" s="5">
        <f t="shared" si="66"/>
        <v>29403.361344537818</v>
      </c>
      <c r="R1469" s="5">
        <f t="shared" si="67"/>
        <v>13135</v>
      </c>
      <c r="S1469" s="5">
        <f t="shared" si="68"/>
        <v>16268.361344537818</v>
      </c>
    </row>
    <row r="1470" spans="1:19" hidden="1" x14ac:dyDescent="0.3">
      <c r="A1470">
        <v>130</v>
      </c>
      <c r="B1470" t="s">
        <v>2244</v>
      </c>
      <c r="C1470" t="s">
        <v>2895</v>
      </c>
      <c r="D1470" s="2" t="s">
        <v>2896</v>
      </c>
      <c r="E1470" t="s">
        <v>1318</v>
      </c>
      <c r="F1470" t="s">
        <v>20</v>
      </c>
      <c r="G1470" t="s">
        <v>21</v>
      </c>
      <c r="H1470" t="s">
        <v>272</v>
      </c>
      <c r="I1470" t="s">
        <v>23</v>
      </c>
      <c r="J1470" t="s">
        <v>40</v>
      </c>
      <c r="K1470" s="2" t="s">
        <v>1365</v>
      </c>
      <c r="L1470" t="s">
        <v>26</v>
      </c>
      <c r="M1470">
        <v>340448</v>
      </c>
      <c r="N1470">
        <v>1</v>
      </c>
      <c r="O1470" s="3">
        <v>74950</v>
      </c>
      <c r="P1470" s="3">
        <v>25819</v>
      </c>
      <c r="Q1470" s="5">
        <f t="shared" si="66"/>
        <v>62983.193277310929</v>
      </c>
      <c r="R1470" s="5">
        <f t="shared" si="67"/>
        <v>25819</v>
      </c>
      <c r="S1470" s="5">
        <f t="shared" si="68"/>
        <v>37164.193277310929</v>
      </c>
    </row>
    <row r="1471" spans="1:19" hidden="1" x14ac:dyDescent="0.3">
      <c r="A1471">
        <v>130</v>
      </c>
      <c r="B1471" t="s">
        <v>2244</v>
      </c>
      <c r="C1471" t="s">
        <v>2897</v>
      </c>
      <c r="D1471" s="2" t="s">
        <v>2898</v>
      </c>
      <c r="E1471" t="s">
        <v>2899</v>
      </c>
      <c r="F1471" t="s">
        <v>20</v>
      </c>
      <c r="G1471" t="s">
        <v>21</v>
      </c>
      <c r="H1471" t="s">
        <v>295</v>
      </c>
      <c r="I1471" t="s">
        <v>23</v>
      </c>
      <c r="J1471" t="s">
        <v>40</v>
      </c>
      <c r="K1471" s="2" t="s">
        <v>1365</v>
      </c>
      <c r="L1471" t="s">
        <v>26</v>
      </c>
      <c r="M1471">
        <v>340449</v>
      </c>
      <c r="N1471">
        <v>1</v>
      </c>
      <c r="O1471" s="3">
        <v>79950</v>
      </c>
      <c r="P1471" s="3">
        <v>26951</v>
      </c>
      <c r="Q1471" s="5">
        <f t="shared" si="66"/>
        <v>67184.873949579836</v>
      </c>
      <c r="R1471" s="5">
        <f t="shared" si="67"/>
        <v>26951</v>
      </c>
      <c r="S1471" s="5">
        <f t="shared" si="68"/>
        <v>40233.873949579836</v>
      </c>
    </row>
    <row r="1472" spans="1:19" hidden="1" x14ac:dyDescent="0.3">
      <c r="A1472">
        <v>130</v>
      </c>
      <c r="B1472" t="s">
        <v>2244</v>
      </c>
      <c r="C1472" t="s">
        <v>2900</v>
      </c>
      <c r="D1472" s="2" t="s">
        <v>2901</v>
      </c>
      <c r="E1472" t="s">
        <v>2902</v>
      </c>
      <c r="F1472" t="s">
        <v>20</v>
      </c>
      <c r="G1472" t="s">
        <v>21</v>
      </c>
      <c r="H1472" t="s">
        <v>267</v>
      </c>
      <c r="I1472" t="s">
        <v>23</v>
      </c>
      <c r="J1472" t="s">
        <v>49</v>
      </c>
      <c r="K1472" s="2" t="s">
        <v>1365</v>
      </c>
      <c r="L1472" t="s">
        <v>26</v>
      </c>
      <c r="M1472">
        <v>340450</v>
      </c>
      <c r="N1472">
        <v>1</v>
      </c>
      <c r="O1472" s="3">
        <v>64950</v>
      </c>
      <c r="P1472" s="3">
        <v>24504</v>
      </c>
      <c r="Q1472" s="5">
        <f t="shared" si="66"/>
        <v>54579.831932773115</v>
      </c>
      <c r="R1472" s="5">
        <f t="shared" si="67"/>
        <v>24504</v>
      </c>
      <c r="S1472" s="5">
        <f t="shared" si="68"/>
        <v>30075.831932773115</v>
      </c>
    </row>
    <row r="1473" spans="1:19" hidden="1" x14ac:dyDescent="0.3">
      <c r="A1473">
        <v>130</v>
      </c>
      <c r="B1473" t="s">
        <v>2244</v>
      </c>
      <c r="C1473" t="s">
        <v>2903</v>
      </c>
      <c r="D1473" s="2" t="s">
        <v>2904</v>
      </c>
      <c r="E1473" t="s">
        <v>2905</v>
      </c>
      <c r="F1473" t="s">
        <v>20</v>
      </c>
      <c r="G1473" t="s">
        <v>21</v>
      </c>
      <c r="H1473" t="s">
        <v>272</v>
      </c>
      <c r="I1473" t="s">
        <v>23</v>
      </c>
      <c r="J1473" t="s">
        <v>35</v>
      </c>
      <c r="K1473" s="2" t="s">
        <v>1365</v>
      </c>
      <c r="L1473" t="s">
        <v>26</v>
      </c>
      <c r="M1473">
        <v>340451</v>
      </c>
      <c r="N1473">
        <v>1</v>
      </c>
      <c r="O1473" s="3">
        <v>79950</v>
      </c>
      <c r="P1473" s="3">
        <v>27771</v>
      </c>
      <c r="Q1473" s="5">
        <f t="shared" si="66"/>
        <v>67184.873949579836</v>
      </c>
      <c r="R1473" s="5">
        <f t="shared" si="67"/>
        <v>27771</v>
      </c>
      <c r="S1473" s="5">
        <f t="shared" si="68"/>
        <v>39413.873949579836</v>
      </c>
    </row>
    <row r="1474" spans="1:19" hidden="1" x14ac:dyDescent="0.3">
      <c r="A1474">
        <v>130</v>
      </c>
      <c r="B1474" t="s">
        <v>2244</v>
      </c>
      <c r="C1474" t="s">
        <v>2906</v>
      </c>
      <c r="D1474" s="2" t="s">
        <v>2907</v>
      </c>
      <c r="E1474" t="s">
        <v>2311</v>
      </c>
      <c r="F1474" t="s">
        <v>20</v>
      </c>
      <c r="G1474" t="s">
        <v>338</v>
      </c>
      <c r="H1474">
        <v>83716</v>
      </c>
      <c r="I1474" t="s">
        <v>23</v>
      </c>
      <c r="J1474" t="s">
        <v>40</v>
      </c>
      <c r="K1474" s="2" t="s">
        <v>1365</v>
      </c>
      <c r="L1474" t="s">
        <v>26</v>
      </c>
      <c r="M1474">
        <v>340452</v>
      </c>
      <c r="N1474">
        <v>1</v>
      </c>
      <c r="O1474" s="3">
        <v>89950</v>
      </c>
      <c r="P1474" s="3">
        <v>30263</v>
      </c>
      <c r="Q1474" s="5">
        <f t="shared" si="66"/>
        <v>75588.23529411765</v>
      </c>
      <c r="R1474" s="5">
        <f t="shared" si="67"/>
        <v>30263</v>
      </c>
      <c r="S1474" s="5">
        <f t="shared" si="68"/>
        <v>45325.23529411765</v>
      </c>
    </row>
    <row r="1475" spans="1:19" hidden="1" x14ac:dyDescent="0.3">
      <c r="A1475">
        <v>130</v>
      </c>
      <c r="B1475" t="s">
        <v>2244</v>
      </c>
      <c r="C1475" t="s">
        <v>2908</v>
      </c>
      <c r="D1475" s="2" t="s">
        <v>2909</v>
      </c>
      <c r="E1475" t="s">
        <v>2910</v>
      </c>
      <c r="F1475" t="s">
        <v>20</v>
      </c>
      <c r="G1475" t="s">
        <v>338</v>
      </c>
      <c r="H1475">
        <v>25212</v>
      </c>
      <c r="I1475" t="s">
        <v>23</v>
      </c>
      <c r="J1475" t="s">
        <v>35</v>
      </c>
      <c r="K1475" s="2" t="s">
        <v>1365</v>
      </c>
      <c r="L1475" t="s">
        <v>26</v>
      </c>
      <c r="M1475">
        <v>340453</v>
      </c>
      <c r="N1475">
        <v>1</v>
      </c>
      <c r="O1475" s="3">
        <v>109950</v>
      </c>
      <c r="P1475" s="3">
        <v>34157</v>
      </c>
      <c r="Q1475" s="5">
        <f t="shared" si="66"/>
        <v>92394.957983193279</v>
      </c>
      <c r="R1475" s="5">
        <f t="shared" si="67"/>
        <v>34157</v>
      </c>
      <c r="S1475" s="5">
        <f t="shared" si="68"/>
        <v>58237.957983193279</v>
      </c>
    </row>
    <row r="1476" spans="1:19" hidden="1" x14ac:dyDescent="0.3">
      <c r="A1476">
        <v>130</v>
      </c>
      <c r="B1476" t="s">
        <v>2244</v>
      </c>
      <c r="C1476" t="s">
        <v>2911</v>
      </c>
      <c r="D1476" s="2" t="s">
        <v>2912</v>
      </c>
      <c r="E1476" t="s">
        <v>2913</v>
      </c>
      <c r="F1476" t="s">
        <v>20</v>
      </c>
      <c r="G1476" t="s">
        <v>21</v>
      </c>
      <c r="H1476" t="s">
        <v>870</v>
      </c>
      <c r="I1476" t="s">
        <v>23</v>
      </c>
      <c r="J1476" t="s">
        <v>49</v>
      </c>
      <c r="K1476" s="2" t="s">
        <v>1365</v>
      </c>
      <c r="L1476" t="s">
        <v>26</v>
      </c>
      <c r="M1476">
        <v>340454</v>
      </c>
      <c r="N1476">
        <v>1</v>
      </c>
      <c r="O1476" s="3">
        <v>39990</v>
      </c>
      <c r="P1476" s="3">
        <v>22955</v>
      </c>
      <c r="Q1476" s="5">
        <f t="shared" si="66"/>
        <v>33605.042016806721</v>
      </c>
      <c r="R1476" s="5">
        <f t="shared" si="67"/>
        <v>22955</v>
      </c>
      <c r="S1476" s="5">
        <f t="shared" si="68"/>
        <v>10650.042016806721</v>
      </c>
    </row>
    <row r="1477" spans="1:19" hidden="1" x14ac:dyDescent="0.3">
      <c r="A1477">
        <v>130</v>
      </c>
      <c r="B1477" t="s">
        <v>2244</v>
      </c>
      <c r="C1477" t="s">
        <v>2914</v>
      </c>
      <c r="D1477" s="2" t="s">
        <v>2915</v>
      </c>
      <c r="E1477" t="s">
        <v>1668</v>
      </c>
      <c r="F1477" t="s">
        <v>20</v>
      </c>
      <c r="G1477" t="s">
        <v>338</v>
      </c>
      <c r="H1477">
        <v>23603</v>
      </c>
      <c r="I1477" t="s">
        <v>23</v>
      </c>
      <c r="J1477" t="s">
        <v>40</v>
      </c>
      <c r="K1477" s="2" t="s">
        <v>1365</v>
      </c>
      <c r="L1477" t="s">
        <v>26</v>
      </c>
      <c r="M1477">
        <v>340455</v>
      </c>
      <c r="N1477">
        <v>1</v>
      </c>
      <c r="O1477" s="3">
        <v>69950</v>
      </c>
      <c r="P1477" s="3">
        <v>22607</v>
      </c>
      <c r="Q1477" s="5">
        <f t="shared" si="66"/>
        <v>58781.512605042022</v>
      </c>
      <c r="R1477" s="5">
        <f t="shared" si="67"/>
        <v>22607</v>
      </c>
      <c r="S1477" s="5">
        <f t="shared" si="68"/>
        <v>36174.512605042022</v>
      </c>
    </row>
    <row r="1478" spans="1:19" hidden="1" x14ac:dyDescent="0.3">
      <c r="A1478">
        <v>130</v>
      </c>
      <c r="B1478" t="s">
        <v>2244</v>
      </c>
      <c r="C1478" t="s">
        <v>2916</v>
      </c>
      <c r="D1478" s="2" t="s">
        <v>2917</v>
      </c>
      <c r="E1478" t="s">
        <v>2918</v>
      </c>
      <c r="F1478" t="s">
        <v>20</v>
      </c>
      <c r="G1478" t="s">
        <v>21</v>
      </c>
      <c r="H1478" t="s">
        <v>2715</v>
      </c>
      <c r="I1478" t="s">
        <v>23</v>
      </c>
      <c r="J1478" t="s">
        <v>49</v>
      </c>
      <c r="K1478" s="2" t="s">
        <v>1365</v>
      </c>
      <c r="L1478" t="s">
        <v>26</v>
      </c>
      <c r="M1478">
        <v>340456</v>
      </c>
      <c r="N1478">
        <v>1</v>
      </c>
      <c r="O1478" s="3">
        <v>74950</v>
      </c>
      <c r="P1478" s="3">
        <v>28266</v>
      </c>
      <c r="Q1478" s="5">
        <f t="shared" ref="Q1478:Q1541" si="69">O1478/1.19</f>
        <v>62983.193277310929</v>
      </c>
      <c r="R1478" s="5">
        <f t="shared" ref="R1478:R1541" si="70">N1478*P1478</f>
        <v>28266</v>
      </c>
      <c r="S1478" s="5">
        <f t="shared" ref="S1478:S1541" si="71">Q1478-R1478</f>
        <v>34717.193277310929</v>
      </c>
    </row>
    <row r="1479" spans="1:19" hidden="1" x14ac:dyDescent="0.3">
      <c r="A1479">
        <v>130</v>
      </c>
      <c r="B1479" t="s">
        <v>2244</v>
      </c>
      <c r="C1479" t="s">
        <v>2919</v>
      </c>
      <c r="D1479" s="2" t="s">
        <v>2920</v>
      </c>
      <c r="E1479" t="s">
        <v>2085</v>
      </c>
      <c r="F1479" t="s">
        <v>20</v>
      </c>
      <c r="G1479" t="s">
        <v>21</v>
      </c>
      <c r="H1479" t="s">
        <v>870</v>
      </c>
      <c r="I1479" t="s">
        <v>23</v>
      </c>
      <c r="J1479" t="s">
        <v>49</v>
      </c>
      <c r="K1479" s="2" t="s">
        <v>1365</v>
      </c>
      <c r="L1479" t="s">
        <v>26</v>
      </c>
      <c r="M1479">
        <v>340457</v>
      </c>
      <c r="N1479">
        <v>1</v>
      </c>
      <c r="O1479" s="3">
        <v>39990</v>
      </c>
      <c r="P1479" s="3">
        <v>22955</v>
      </c>
      <c r="Q1479" s="5">
        <f t="shared" si="69"/>
        <v>33605.042016806721</v>
      </c>
      <c r="R1479" s="5">
        <f t="shared" si="70"/>
        <v>22955</v>
      </c>
      <c r="S1479" s="5">
        <f t="shared" si="71"/>
        <v>10650.042016806721</v>
      </c>
    </row>
    <row r="1480" spans="1:19" hidden="1" x14ac:dyDescent="0.3">
      <c r="A1480">
        <v>130</v>
      </c>
      <c r="B1480" t="s">
        <v>2244</v>
      </c>
      <c r="C1480" t="s">
        <v>2276</v>
      </c>
      <c r="D1480" s="2" t="s">
        <v>2277</v>
      </c>
      <c r="E1480" t="s">
        <v>2278</v>
      </c>
      <c r="F1480" t="s">
        <v>20</v>
      </c>
      <c r="G1480" t="s">
        <v>21</v>
      </c>
      <c r="H1480" t="s">
        <v>346</v>
      </c>
      <c r="I1480" t="s">
        <v>23</v>
      </c>
      <c r="J1480" t="s">
        <v>49</v>
      </c>
      <c r="K1480" s="2" t="s">
        <v>1450</v>
      </c>
      <c r="L1480" t="s">
        <v>26</v>
      </c>
      <c r="M1480">
        <v>340458</v>
      </c>
      <c r="N1480">
        <v>1</v>
      </c>
      <c r="O1480" s="3">
        <v>49990</v>
      </c>
      <c r="P1480" s="3">
        <v>23224</v>
      </c>
      <c r="Q1480" s="5">
        <f t="shared" si="69"/>
        <v>42008.403361344543</v>
      </c>
      <c r="R1480" s="5">
        <f t="shared" si="70"/>
        <v>23224</v>
      </c>
      <c r="S1480" s="5">
        <f t="shared" si="71"/>
        <v>18784.403361344543</v>
      </c>
    </row>
    <row r="1481" spans="1:19" hidden="1" x14ac:dyDescent="0.3">
      <c r="A1481">
        <v>130</v>
      </c>
      <c r="B1481" t="s">
        <v>2244</v>
      </c>
      <c r="C1481">
        <v>1687976791</v>
      </c>
      <c r="D1481" s="2" t="s">
        <v>200</v>
      </c>
      <c r="E1481" t="s">
        <v>201</v>
      </c>
      <c r="F1481" t="s">
        <v>201</v>
      </c>
      <c r="G1481" t="s">
        <v>202</v>
      </c>
      <c r="H1481" t="s">
        <v>202</v>
      </c>
      <c r="I1481" t="s">
        <v>23</v>
      </c>
      <c r="J1481" t="s">
        <v>202</v>
      </c>
      <c r="K1481" s="2" t="s">
        <v>1450</v>
      </c>
      <c r="L1481" t="s">
        <v>26</v>
      </c>
      <c r="M1481">
        <v>340458</v>
      </c>
      <c r="N1481">
        <v>1</v>
      </c>
      <c r="O1481" s="3">
        <v>6713</v>
      </c>
      <c r="P1481">
        <v>1</v>
      </c>
      <c r="Q1481" s="5">
        <f t="shared" si="69"/>
        <v>5641.1764705882351</v>
      </c>
      <c r="R1481" s="5">
        <f t="shared" si="70"/>
        <v>1</v>
      </c>
      <c r="S1481" s="5">
        <f t="shared" si="71"/>
        <v>5640.1764705882351</v>
      </c>
    </row>
    <row r="1482" spans="1:19" hidden="1" x14ac:dyDescent="0.3">
      <c r="A1482">
        <v>130</v>
      </c>
      <c r="B1482" t="s">
        <v>2244</v>
      </c>
      <c r="C1482" t="s">
        <v>2649</v>
      </c>
      <c r="D1482" s="2" t="s">
        <v>2650</v>
      </c>
      <c r="E1482" t="s">
        <v>266</v>
      </c>
      <c r="F1482" t="s">
        <v>20</v>
      </c>
      <c r="G1482" t="s">
        <v>21</v>
      </c>
      <c r="H1482" t="s">
        <v>267</v>
      </c>
      <c r="I1482" t="s">
        <v>23</v>
      </c>
      <c r="J1482" t="s">
        <v>49</v>
      </c>
      <c r="K1482" s="2" t="s">
        <v>1450</v>
      </c>
      <c r="L1482" t="s">
        <v>26</v>
      </c>
      <c r="M1482">
        <v>340459</v>
      </c>
      <c r="N1482">
        <v>1</v>
      </c>
      <c r="O1482" s="3">
        <v>64950</v>
      </c>
      <c r="P1482" s="3">
        <v>24504</v>
      </c>
      <c r="Q1482" s="5">
        <f t="shared" si="69"/>
        <v>54579.831932773115</v>
      </c>
      <c r="R1482" s="5">
        <f t="shared" si="70"/>
        <v>24504</v>
      </c>
      <c r="S1482" s="5">
        <f t="shared" si="71"/>
        <v>30075.831932773115</v>
      </c>
    </row>
    <row r="1483" spans="1:19" hidden="1" x14ac:dyDescent="0.3">
      <c r="A1483">
        <v>130</v>
      </c>
      <c r="B1483" t="s">
        <v>2244</v>
      </c>
      <c r="C1483" t="s">
        <v>864</v>
      </c>
      <c r="D1483" s="2" t="s">
        <v>865</v>
      </c>
      <c r="E1483" t="s">
        <v>866</v>
      </c>
      <c r="F1483" t="s">
        <v>20</v>
      </c>
      <c r="G1483" t="s">
        <v>21</v>
      </c>
      <c r="H1483" t="s">
        <v>90</v>
      </c>
      <c r="I1483" t="s">
        <v>23</v>
      </c>
      <c r="J1483" t="s">
        <v>35</v>
      </c>
      <c r="K1483" s="2" t="s">
        <v>1450</v>
      </c>
      <c r="L1483" t="s">
        <v>26</v>
      </c>
      <c r="M1483">
        <v>340460</v>
      </c>
      <c r="N1483">
        <v>1</v>
      </c>
      <c r="O1483" s="3">
        <v>84950</v>
      </c>
      <c r="P1483" s="3">
        <v>35325</v>
      </c>
      <c r="Q1483" s="5">
        <f t="shared" si="69"/>
        <v>71386.554621848743</v>
      </c>
      <c r="R1483" s="5">
        <f t="shared" si="70"/>
        <v>35325</v>
      </c>
      <c r="S1483" s="5">
        <f t="shared" si="71"/>
        <v>36061.554621848743</v>
      </c>
    </row>
    <row r="1484" spans="1:19" hidden="1" x14ac:dyDescent="0.3">
      <c r="A1484">
        <v>130</v>
      </c>
      <c r="B1484" t="s">
        <v>2244</v>
      </c>
      <c r="C1484" t="s">
        <v>2921</v>
      </c>
      <c r="D1484" s="2" t="s">
        <v>2922</v>
      </c>
      <c r="E1484" t="s">
        <v>2923</v>
      </c>
      <c r="F1484" t="s">
        <v>20</v>
      </c>
      <c r="G1484" t="s">
        <v>21</v>
      </c>
      <c r="H1484" t="s">
        <v>818</v>
      </c>
      <c r="I1484" t="s">
        <v>23</v>
      </c>
      <c r="J1484" t="s">
        <v>35</v>
      </c>
      <c r="K1484" s="2" t="s">
        <v>1450</v>
      </c>
      <c r="L1484" t="s">
        <v>26</v>
      </c>
      <c r="M1484">
        <v>340461</v>
      </c>
      <c r="N1484">
        <v>1</v>
      </c>
      <c r="O1484" s="3">
        <v>89950</v>
      </c>
      <c r="P1484" s="3">
        <v>33421</v>
      </c>
      <c r="Q1484" s="5">
        <f t="shared" si="69"/>
        <v>75588.23529411765</v>
      </c>
      <c r="R1484" s="5">
        <f t="shared" si="70"/>
        <v>33421</v>
      </c>
      <c r="S1484" s="5">
        <f t="shared" si="71"/>
        <v>42167.23529411765</v>
      </c>
    </row>
    <row r="1485" spans="1:19" hidden="1" x14ac:dyDescent="0.3">
      <c r="A1485">
        <v>130</v>
      </c>
      <c r="B1485" t="s">
        <v>2244</v>
      </c>
      <c r="C1485" t="s">
        <v>2924</v>
      </c>
      <c r="D1485" s="2" t="s">
        <v>2925</v>
      </c>
      <c r="E1485" t="s">
        <v>2493</v>
      </c>
      <c r="F1485" t="s">
        <v>20</v>
      </c>
      <c r="G1485" t="s">
        <v>21</v>
      </c>
      <c r="H1485" t="s">
        <v>2494</v>
      </c>
      <c r="I1485" t="s">
        <v>23</v>
      </c>
      <c r="J1485" t="s">
        <v>40</v>
      </c>
      <c r="K1485" s="2" t="s">
        <v>1450</v>
      </c>
      <c r="L1485" t="s">
        <v>26</v>
      </c>
      <c r="M1485">
        <v>340462</v>
      </c>
      <c r="N1485">
        <v>1</v>
      </c>
      <c r="O1485" s="3">
        <v>69950</v>
      </c>
      <c r="P1485" s="3">
        <v>22206</v>
      </c>
      <c r="Q1485" s="5">
        <f t="shared" si="69"/>
        <v>58781.512605042022</v>
      </c>
      <c r="R1485" s="5">
        <f t="shared" si="70"/>
        <v>22206</v>
      </c>
      <c r="S1485" s="5">
        <f t="shared" si="71"/>
        <v>36575.512605042022</v>
      </c>
    </row>
    <row r="1486" spans="1:19" hidden="1" x14ac:dyDescent="0.3">
      <c r="A1486">
        <v>130</v>
      </c>
      <c r="B1486" t="s">
        <v>2244</v>
      </c>
      <c r="C1486" t="s">
        <v>2926</v>
      </c>
      <c r="D1486" s="2" t="s">
        <v>2927</v>
      </c>
      <c r="E1486" t="s">
        <v>2110</v>
      </c>
      <c r="F1486" t="s">
        <v>20</v>
      </c>
      <c r="G1486" t="s">
        <v>21</v>
      </c>
      <c r="H1486" t="s">
        <v>22</v>
      </c>
      <c r="I1486" t="s">
        <v>23</v>
      </c>
      <c r="J1486" t="s">
        <v>24</v>
      </c>
      <c r="K1486" s="2" t="s">
        <v>1450</v>
      </c>
      <c r="L1486" t="s">
        <v>26</v>
      </c>
      <c r="M1486">
        <v>340463</v>
      </c>
      <c r="N1486">
        <v>1</v>
      </c>
      <c r="O1486" s="3">
        <v>79950</v>
      </c>
      <c r="P1486" s="3">
        <v>27748</v>
      </c>
      <c r="Q1486" s="5">
        <f t="shared" si="69"/>
        <v>67184.873949579836</v>
      </c>
      <c r="R1486" s="5">
        <f t="shared" si="70"/>
        <v>27748</v>
      </c>
      <c r="S1486" s="5">
        <f t="shared" si="71"/>
        <v>39436.873949579836</v>
      </c>
    </row>
    <row r="1487" spans="1:19" hidden="1" x14ac:dyDescent="0.3">
      <c r="A1487">
        <v>130</v>
      </c>
      <c r="B1487" t="s">
        <v>2244</v>
      </c>
      <c r="C1487" t="s">
        <v>2928</v>
      </c>
      <c r="D1487" s="2" t="s">
        <v>2929</v>
      </c>
      <c r="E1487" t="s">
        <v>2930</v>
      </c>
      <c r="F1487" t="s">
        <v>20</v>
      </c>
      <c r="G1487" t="s">
        <v>21</v>
      </c>
      <c r="H1487" t="s">
        <v>1703</v>
      </c>
      <c r="I1487" t="s">
        <v>23</v>
      </c>
      <c r="J1487" t="s">
        <v>49</v>
      </c>
      <c r="K1487" s="2" t="s">
        <v>1450</v>
      </c>
      <c r="L1487" t="s">
        <v>26</v>
      </c>
      <c r="M1487">
        <v>340464</v>
      </c>
      <c r="N1487">
        <v>1</v>
      </c>
      <c r="O1487" s="3">
        <v>74950</v>
      </c>
      <c r="P1487" s="3">
        <v>26457</v>
      </c>
      <c r="Q1487" s="5">
        <f t="shared" si="69"/>
        <v>62983.193277310929</v>
      </c>
      <c r="R1487" s="5">
        <f t="shared" si="70"/>
        <v>26457</v>
      </c>
      <c r="S1487" s="5">
        <f t="shared" si="71"/>
        <v>36526.193277310929</v>
      </c>
    </row>
    <row r="1488" spans="1:19" hidden="1" x14ac:dyDescent="0.3">
      <c r="A1488">
        <v>130</v>
      </c>
      <c r="B1488" t="s">
        <v>2244</v>
      </c>
      <c r="C1488" t="s">
        <v>2931</v>
      </c>
      <c r="D1488" s="2" t="s">
        <v>2932</v>
      </c>
      <c r="E1488" t="s">
        <v>2933</v>
      </c>
      <c r="F1488" t="s">
        <v>20</v>
      </c>
      <c r="G1488" t="s">
        <v>338</v>
      </c>
      <c r="H1488">
        <v>25539</v>
      </c>
      <c r="I1488" t="s">
        <v>23</v>
      </c>
      <c r="J1488" t="s">
        <v>31</v>
      </c>
      <c r="K1488" s="2" t="s">
        <v>1450</v>
      </c>
      <c r="L1488" t="s">
        <v>26</v>
      </c>
      <c r="M1488">
        <v>340465</v>
      </c>
      <c r="N1488">
        <v>1</v>
      </c>
      <c r="O1488" s="3">
        <v>139950</v>
      </c>
      <c r="P1488" s="3">
        <v>46011</v>
      </c>
      <c r="Q1488" s="5">
        <f t="shared" si="69"/>
        <v>117605.04201680672</v>
      </c>
      <c r="R1488" s="5">
        <f t="shared" si="70"/>
        <v>46011</v>
      </c>
      <c r="S1488" s="5">
        <f t="shared" si="71"/>
        <v>71594.042016806721</v>
      </c>
    </row>
    <row r="1489" spans="1:19" hidden="1" x14ac:dyDescent="0.3">
      <c r="A1489">
        <v>130</v>
      </c>
      <c r="B1489" t="s">
        <v>2244</v>
      </c>
      <c r="C1489" t="s">
        <v>2934</v>
      </c>
      <c r="D1489" s="2" t="s">
        <v>2935</v>
      </c>
      <c r="E1489" t="s">
        <v>2936</v>
      </c>
      <c r="F1489" t="s">
        <v>20</v>
      </c>
      <c r="G1489" t="s">
        <v>338</v>
      </c>
      <c r="H1489">
        <v>25357</v>
      </c>
      <c r="I1489" t="s">
        <v>23</v>
      </c>
      <c r="J1489" t="s">
        <v>35</v>
      </c>
      <c r="K1489" s="2" t="s">
        <v>1450</v>
      </c>
      <c r="L1489" t="s">
        <v>26</v>
      </c>
      <c r="M1489">
        <v>340466</v>
      </c>
      <c r="N1489">
        <v>1</v>
      </c>
      <c r="O1489" s="3">
        <v>79950</v>
      </c>
      <c r="P1489" s="3">
        <v>24482</v>
      </c>
      <c r="Q1489" s="5">
        <f t="shared" si="69"/>
        <v>67184.873949579836</v>
      </c>
      <c r="R1489" s="5">
        <f t="shared" si="70"/>
        <v>24482</v>
      </c>
      <c r="S1489" s="5">
        <f t="shared" si="71"/>
        <v>42702.873949579836</v>
      </c>
    </row>
    <row r="1490" spans="1:19" hidden="1" x14ac:dyDescent="0.3">
      <c r="A1490">
        <v>130</v>
      </c>
      <c r="B1490" t="s">
        <v>2244</v>
      </c>
      <c r="C1490" t="s">
        <v>2937</v>
      </c>
      <c r="D1490" s="2" t="s">
        <v>2938</v>
      </c>
      <c r="E1490" t="s">
        <v>2939</v>
      </c>
      <c r="F1490" t="s">
        <v>20</v>
      </c>
      <c r="G1490" t="s">
        <v>338</v>
      </c>
      <c r="H1490">
        <v>25321</v>
      </c>
      <c r="I1490" t="s">
        <v>23</v>
      </c>
      <c r="J1490" t="s">
        <v>35</v>
      </c>
      <c r="K1490" s="2" t="s">
        <v>1450</v>
      </c>
      <c r="L1490" t="s">
        <v>26</v>
      </c>
      <c r="M1490">
        <v>340467</v>
      </c>
      <c r="N1490">
        <v>1</v>
      </c>
      <c r="O1490" s="3">
        <v>109950</v>
      </c>
      <c r="P1490" s="3">
        <v>33748</v>
      </c>
      <c r="Q1490" s="5">
        <f t="shared" si="69"/>
        <v>92394.957983193279</v>
      </c>
      <c r="R1490" s="5">
        <f t="shared" si="70"/>
        <v>33748</v>
      </c>
      <c r="S1490" s="5">
        <f t="shared" si="71"/>
        <v>58646.957983193279</v>
      </c>
    </row>
    <row r="1491" spans="1:19" hidden="1" x14ac:dyDescent="0.3">
      <c r="A1491">
        <v>130</v>
      </c>
      <c r="B1491" t="s">
        <v>2244</v>
      </c>
      <c r="C1491" t="s">
        <v>1761</v>
      </c>
      <c r="D1491" s="2" t="s">
        <v>1762</v>
      </c>
      <c r="E1491" t="s">
        <v>1763</v>
      </c>
      <c r="F1491" t="s">
        <v>377</v>
      </c>
      <c r="G1491" t="s">
        <v>21</v>
      </c>
      <c r="H1491" t="s">
        <v>378</v>
      </c>
      <c r="I1491" t="s">
        <v>23</v>
      </c>
      <c r="J1491" t="s">
        <v>379</v>
      </c>
      <c r="K1491" s="2" t="s">
        <v>1450</v>
      </c>
      <c r="L1491" t="s">
        <v>26</v>
      </c>
      <c r="M1491">
        <v>340467</v>
      </c>
      <c r="N1491">
        <v>1</v>
      </c>
      <c r="O1491" s="3">
        <v>5950</v>
      </c>
      <c r="P1491" s="3">
        <v>3279</v>
      </c>
      <c r="Q1491" s="5">
        <f t="shared" si="69"/>
        <v>5000</v>
      </c>
      <c r="R1491" s="5">
        <f t="shared" si="70"/>
        <v>3279</v>
      </c>
      <c r="S1491" s="5">
        <f t="shared" si="71"/>
        <v>1721</v>
      </c>
    </row>
    <row r="1492" spans="1:19" hidden="1" x14ac:dyDescent="0.3">
      <c r="A1492">
        <v>130</v>
      </c>
      <c r="B1492" t="s">
        <v>2244</v>
      </c>
      <c r="C1492" t="s">
        <v>2940</v>
      </c>
      <c r="D1492" s="2" t="s">
        <v>2941</v>
      </c>
      <c r="E1492" t="s">
        <v>1986</v>
      </c>
      <c r="F1492" t="s">
        <v>20</v>
      </c>
      <c r="G1492" t="s">
        <v>21</v>
      </c>
      <c r="H1492" t="s">
        <v>1987</v>
      </c>
      <c r="I1492" t="s">
        <v>23</v>
      </c>
      <c r="J1492" t="s">
        <v>49</v>
      </c>
      <c r="K1492" s="2" t="s">
        <v>1450</v>
      </c>
      <c r="L1492" t="s">
        <v>26</v>
      </c>
      <c r="M1492">
        <v>340468</v>
      </c>
      <c r="N1492">
        <v>1</v>
      </c>
      <c r="O1492" s="3">
        <v>74950</v>
      </c>
      <c r="P1492" s="3">
        <v>25014</v>
      </c>
      <c r="Q1492" s="5">
        <f t="shared" si="69"/>
        <v>62983.193277310929</v>
      </c>
      <c r="R1492" s="5">
        <f t="shared" si="70"/>
        <v>25014</v>
      </c>
      <c r="S1492" s="5">
        <f t="shared" si="71"/>
        <v>37969.193277310929</v>
      </c>
    </row>
    <row r="1493" spans="1:19" hidden="1" x14ac:dyDescent="0.3">
      <c r="A1493">
        <v>130</v>
      </c>
      <c r="B1493" t="s">
        <v>2244</v>
      </c>
      <c r="C1493" t="s">
        <v>2942</v>
      </c>
      <c r="D1493" s="2" t="s">
        <v>2943</v>
      </c>
      <c r="E1493" t="s">
        <v>2870</v>
      </c>
      <c r="F1493" t="s">
        <v>20</v>
      </c>
      <c r="G1493" t="s">
        <v>21</v>
      </c>
      <c r="H1493" t="s">
        <v>30</v>
      </c>
      <c r="I1493" t="s">
        <v>23</v>
      </c>
      <c r="J1493" t="s">
        <v>35</v>
      </c>
      <c r="K1493" s="2" t="s">
        <v>1450</v>
      </c>
      <c r="L1493" t="s">
        <v>26</v>
      </c>
      <c r="M1493">
        <v>340469</v>
      </c>
      <c r="N1493">
        <v>1</v>
      </c>
      <c r="O1493" s="3">
        <v>79950</v>
      </c>
      <c r="P1493" s="3">
        <v>30749</v>
      </c>
      <c r="Q1493" s="5">
        <f t="shared" si="69"/>
        <v>67184.873949579836</v>
      </c>
      <c r="R1493" s="5">
        <f t="shared" si="70"/>
        <v>30749</v>
      </c>
      <c r="S1493" s="5">
        <f t="shared" si="71"/>
        <v>36435.873949579836</v>
      </c>
    </row>
    <row r="1494" spans="1:19" hidden="1" x14ac:dyDescent="0.3">
      <c r="A1494">
        <v>130</v>
      </c>
      <c r="B1494" t="s">
        <v>2244</v>
      </c>
      <c r="C1494" t="s">
        <v>2408</v>
      </c>
      <c r="D1494" s="2" t="s">
        <v>2409</v>
      </c>
      <c r="E1494" t="s">
        <v>2370</v>
      </c>
      <c r="F1494" t="s">
        <v>20</v>
      </c>
      <c r="G1494" t="s">
        <v>338</v>
      </c>
      <c r="H1494">
        <v>24200</v>
      </c>
      <c r="I1494" t="s">
        <v>23</v>
      </c>
      <c r="J1494" t="s">
        <v>95</v>
      </c>
      <c r="K1494" s="2" t="s">
        <v>1450</v>
      </c>
      <c r="L1494" t="s">
        <v>26</v>
      </c>
      <c r="M1494">
        <v>340470</v>
      </c>
      <c r="N1494">
        <v>1</v>
      </c>
      <c r="O1494" s="3">
        <v>84950</v>
      </c>
      <c r="P1494" s="3">
        <v>28401</v>
      </c>
      <c r="Q1494" s="5">
        <f t="shared" si="69"/>
        <v>71386.554621848743</v>
      </c>
      <c r="R1494" s="5">
        <f t="shared" si="70"/>
        <v>28401</v>
      </c>
      <c r="S1494" s="5">
        <f t="shared" si="71"/>
        <v>42985.554621848743</v>
      </c>
    </row>
    <row r="1495" spans="1:19" hidden="1" x14ac:dyDescent="0.3">
      <c r="A1495">
        <v>130</v>
      </c>
      <c r="B1495" t="s">
        <v>2244</v>
      </c>
      <c r="C1495" t="s">
        <v>1105</v>
      </c>
      <c r="D1495" s="2" t="s">
        <v>1106</v>
      </c>
      <c r="E1495" t="s">
        <v>316</v>
      </c>
      <c r="F1495" t="s">
        <v>20</v>
      </c>
      <c r="G1495" t="s">
        <v>21</v>
      </c>
      <c r="H1495" t="s">
        <v>317</v>
      </c>
      <c r="I1495" t="s">
        <v>23</v>
      </c>
      <c r="J1495" t="s">
        <v>35</v>
      </c>
      <c r="K1495" s="2" t="s">
        <v>1450</v>
      </c>
      <c r="L1495" t="s">
        <v>26</v>
      </c>
      <c r="M1495">
        <v>340471</v>
      </c>
      <c r="N1495">
        <v>1</v>
      </c>
      <c r="O1495" s="3">
        <v>69950</v>
      </c>
      <c r="P1495" s="3">
        <v>24908</v>
      </c>
      <c r="Q1495" s="5">
        <f t="shared" si="69"/>
        <v>58781.512605042022</v>
      </c>
      <c r="R1495" s="5">
        <f t="shared" si="70"/>
        <v>24908</v>
      </c>
      <c r="S1495" s="5">
        <f t="shared" si="71"/>
        <v>33873.512605042022</v>
      </c>
    </row>
    <row r="1496" spans="1:19" hidden="1" x14ac:dyDescent="0.3">
      <c r="A1496">
        <v>130</v>
      </c>
      <c r="B1496" t="s">
        <v>2244</v>
      </c>
      <c r="C1496" t="s">
        <v>2944</v>
      </c>
      <c r="D1496" s="2" t="s">
        <v>2945</v>
      </c>
      <c r="E1496" t="s">
        <v>1120</v>
      </c>
      <c r="F1496" t="s">
        <v>20</v>
      </c>
      <c r="G1496" t="s">
        <v>21</v>
      </c>
      <c r="H1496" t="s">
        <v>285</v>
      </c>
      <c r="I1496" t="s">
        <v>23</v>
      </c>
      <c r="J1496" t="s">
        <v>49</v>
      </c>
      <c r="K1496" s="2" t="s">
        <v>1525</v>
      </c>
      <c r="L1496" t="s">
        <v>26</v>
      </c>
      <c r="M1496">
        <v>340472</v>
      </c>
      <c r="N1496">
        <v>1</v>
      </c>
      <c r="O1496" s="3">
        <v>59990</v>
      </c>
      <c r="P1496" s="3">
        <v>31088</v>
      </c>
      <c r="Q1496" s="5">
        <f t="shared" si="69"/>
        <v>50411.764705882357</v>
      </c>
      <c r="R1496" s="5">
        <f t="shared" si="70"/>
        <v>31088</v>
      </c>
      <c r="S1496" s="5">
        <f t="shared" si="71"/>
        <v>19323.764705882357</v>
      </c>
    </row>
    <row r="1497" spans="1:19" hidden="1" x14ac:dyDescent="0.3">
      <c r="A1497">
        <v>130</v>
      </c>
      <c r="B1497" t="s">
        <v>2244</v>
      </c>
      <c r="C1497" t="s">
        <v>2769</v>
      </c>
      <c r="D1497" s="2" t="s">
        <v>2770</v>
      </c>
      <c r="E1497" t="s">
        <v>2771</v>
      </c>
      <c r="F1497" t="s">
        <v>20</v>
      </c>
      <c r="G1497" t="s">
        <v>21</v>
      </c>
      <c r="H1497" t="s">
        <v>57</v>
      </c>
      <c r="I1497" t="s">
        <v>23</v>
      </c>
      <c r="J1497" t="s">
        <v>35</v>
      </c>
      <c r="K1497" s="2" t="s">
        <v>1525</v>
      </c>
      <c r="L1497" t="s">
        <v>26</v>
      </c>
      <c r="M1497">
        <v>340473</v>
      </c>
      <c r="N1497">
        <v>1</v>
      </c>
      <c r="O1497" s="3">
        <v>89950</v>
      </c>
      <c r="P1497" s="3">
        <v>29189</v>
      </c>
      <c r="Q1497" s="5">
        <f t="shared" si="69"/>
        <v>75588.23529411765</v>
      </c>
      <c r="R1497" s="5">
        <f t="shared" si="70"/>
        <v>29189</v>
      </c>
      <c r="S1497" s="5">
        <f t="shared" si="71"/>
        <v>46399.23529411765</v>
      </c>
    </row>
    <row r="1498" spans="1:19" hidden="1" x14ac:dyDescent="0.3">
      <c r="A1498">
        <v>130</v>
      </c>
      <c r="B1498" t="s">
        <v>2244</v>
      </c>
      <c r="C1498" t="s">
        <v>2946</v>
      </c>
      <c r="D1498" s="2" t="s">
        <v>2947</v>
      </c>
      <c r="E1498" t="s">
        <v>1123</v>
      </c>
      <c r="F1498" t="s">
        <v>20</v>
      </c>
      <c r="G1498" t="s">
        <v>21</v>
      </c>
      <c r="H1498" t="s">
        <v>1124</v>
      </c>
      <c r="I1498" t="s">
        <v>23</v>
      </c>
      <c r="J1498" t="s">
        <v>24</v>
      </c>
      <c r="K1498" s="2" t="s">
        <v>1525</v>
      </c>
      <c r="L1498" t="s">
        <v>26</v>
      </c>
      <c r="M1498">
        <v>340474</v>
      </c>
      <c r="N1498">
        <v>1</v>
      </c>
      <c r="O1498" s="3">
        <v>74950</v>
      </c>
      <c r="P1498" s="3">
        <v>25857</v>
      </c>
      <c r="Q1498" s="5">
        <f t="shared" si="69"/>
        <v>62983.193277310929</v>
      </c>
      <c r="R1498" s="5">
        <f t="shared" si="70"/>
        <v>25857</v>
      </c>
      <c r="S1498" s="5">
        <f t="shared" si="71"/>
        <v>37126.193277310929</v>
      </c>
    </row>
    <row r="1499" spans="1:19" hidden="1" x14ac:dyDescent="0.3">
      <c r="A1499">
        <v>130</v>
      </c>
      <c r="B1499" t="s">
        <v>2244</v>
      </c>
      <c r="C1499" t="s">
        <v>2948</v>
      </c>
      <c r="D1499" s="2" t="s">
        <v>2949</v>
      </c>
      <c r="E1499" t="s">
        <v>2226</v>
      </c>
      <c r="F1499" t="s">
        <v>20</v>
      </c>
      <c r="G1499" t="s">
        <v>21</v>
      </c>
      <c r="H1499" t="s">
        <v>53</v>
      </c>
      <c r="I1499" t="s">
        <v>23</v>
      </c>
      <c r="J1499" t="s">
        <v>49</v>
      </c>
      <c r="K1499" s="2" t="s">
        <v>1525</v>
      </c>
      <c r="L1499" t="s">
        <v>26</v>
      </c>
      <c r="M1499">
        <v>340475</v>
      </c>
      <c r="N1499">
        <v>1</v>
      </c>
      <c r="O1499" s="3">
        <v>69950</v>
      </c>
      <c r="P1499" s="3">
        <v>21044</v>
      </c>
      <c r="Q1499" s="5">
        <f t="shared" si="69"/>
        <v>58781.512605042022</v>
      </c>
      <c r="R1499" s="5">
        <f t="shared" si="70"/>
        <v>21044</v>
      </c>
      <c r="S1499" s="5">
        <f t="shared" si="71"/>
        <v>37737.512605042022</v>
      </c>
    </row>
    <row r="1500" spans="1:19" hidden="1" x14ac:dyDescent="0.3">
      <c r="A1500">
        <v>130</v>
      </c>
      <c r="B1500" t="s">
        <v>2244</v>
      </c>
      <c r="C1500" t="s">
        <v>2950</v>
      </c>
      <c r="D1500" s="2" t="s">
        <v>2951</v>
      </c>
      <c r="E1500" t="s">
        <v>2952</v>
      </c>
      <c r="F1500" t="s">
        <v>20</v>
      </c>
      <c r="G1500" t="s">
        <v>21</v>
      </c>
      <c r="H1500" t="s">
        <v>2484</v>
      </c>
      <c r="I1500" t="s">
        <v>23</v>
      </c>
      <c r="J1500" t="s">
        <v>40</v>
      </c>
      <c r="K1500" s="2" t="s">
        <v>1525</v>
      </c>
      <c r="L1500" t="s">
        <v>26</v>
      </c>
      <c r="M1500">
        <v>340476</v>
      </c>
      <c r="N1500">
        <v>1</v>
      </c>
      <c r="O1500" s="3">
        <v>59950</v>
      </c>
      <c r="P1500" s="3">
        <v>18378</v>
      </c>
      <c r="Q1500" s="5">
        <f t="shared" si="69"/>
        <v>50378.151260504201</v>
      </c>
      <c r="R1500" s="5">
        <f t="shared" si="70"/>
        <v>18378</v>
      </c>
      <c r="S1500" s="5">
        <f t="shared" si="71"/>
        <v>32000.151260504201</v>
      </c>
    </row>
    <row r="1501" spans="1:19" hidden="1" x14ac:dyDescent="0.3">
      <c r="A1501">
        <v>130</v>
      </c>
      <c r="B1501" t="s">
        <v>2244</v>
      </c>
      <c r="C1501" t="s">
        <v>2953</v>
      </c>
      <c r="D1501" s="2" t="s">
        <v>2954</v>
      </c>
      <c r="E1501" t="s">
        <v>2549</v>
      </c>
      <c r="F1501" t="s">
        <v>20</v>
      </c>
      <c r="G1501" t="s">
        <v>338</v>
      </c>
      <c r="H1501">
        <v>23755</v>
      </c>
      <c r="I1501" t="s">
        <v>23</v>
      </c>
      <c r="J1501" t="s">
        <v>40</v>
      </c>
      <c r="K1501" s="2" t="s">
        <v>1525</v>
      </c>
      <c r="L1501" t="s">
        <v>26</v>
      </c>
      <c r="M1501">
        <v>340476</v>
      </c>
      <c r="N1501">
        <v>1</v>
      </c>
      <c r="O1501" s="3">
        <v>63700</v>
      </c>
      <c r="P1501" s="3">
        <v>24718</v>
      </c>
      <c r="Q1501" s="5">
        <f t="shared" si="69"/>
        <v>53529.411764705888</v>
      </c>
      <c r="R1501" s="5">
        <f t="shared" si="70"/>
        <v>24718</v>
      </c>
      <c r="S1501" s="5">
        <f t="shared" si="71"/>
        <v>28811.411764705888</v>
      </c>
    </row>
    <row r="1502" spans="1:19" hidden="1" x14ac:dyDescent="0.3">
      <c r="A1502">
        <v>130</v>
      </c>
      <c r="B1502" t="s">
        <v>2244</v>
      </c>
      <c r="C1502" t="s">
        <v>2955</v>
      </c>
      <c r="D1502" s="2" t="s">
        <v>2956</v>
      </c>
      <c r="E1502" t="s">
        <v>1758</v>
      </c>
      <c r="F1502" t="s">
        <v>20</v>
      </c>
      <c r="G1502" t="s">
        <v>338</v>
      </c>
      <c r="H1502">
        <v>25133</v>
      </c>
      <c r="I1502" t="s">
        <v>23</v>
      </c>
      <c r="J1502" t="s">
        <v>35</v>
      </c>
      <c r="K1502" s="2" t="s">
        <v>1525</v>
      </c>
      <c r="L1502" t="s">
        <v>26</v>
      </c>
      <c r="M1502">
        <v>340477</v>
      </c>
      <c r="N1502">
        <v>1</v>
      </c>
      <c r="O1502" s="3">
        <v>74950</v>
      </c>
      <c r="P1502" s="3">
        <v>21167</v>
      </c>
      <c r="Q1502" s="5">
        <f t="shared" si="69"/>
        <v>62983.193277310929</v>
      </c>
      <c r="R1502" s="5">
        <f t="shared" si="70"/>
        <v>21167</v>
      </c>
      <c r="S1502" s="5">
        <f t="shared" si="71"/>
        <v>41816.193277310929</v>
      </c>
    </row>
    <row r="1503" spans="1:19" hidden="1" x14ac:dyDescent="0.3">
      <c r="A1503">
        <v>130</v>
      </c>
      <c r="B1503" t="s">
        <v>2244</v>
      </c>
      <c r="C1503" t="s">
        <v>2957</v>
      </c>
      <c r="D1503" s="2" t="s">
        <v>2958</v>
      </c>
      <c r="E1503" t="s">
        <v>2959</v>
      </c>
      <c r="F1503" t="s">
        <v>20</v>
      </c>
      <c r="G1503" t="s">
        <v>338</v>
      </c>
      <c r="H1503">
        <v>25529</v>
      </c>
      <c r="I1503" t="s">
        <v>23</v>
      </c>
      <c r="J1503" t="s">
        <v>31</v>
      </c>
      <c r="K1503" s="2" t="s">
        <v>1525</v>
      </c>
      <c r="L1503" t="s">
        <v>26</v>
      </c>
      <c r="M1503">
        <v>340478</v>
      </c>
      <c r="N1503">
        <v>1</v>
      </c>
      <c r="O1503" s="3">
        <v>149950</v>
      </c>
      <c r="P1503" s="3">
        <v>50690</v>
      </c>
      <c r="Q1503" s="5">
        <f t="shared" si="69"/>
        <v>126008.40336134455</v>
      </c>
      <c r="R1503" s="5">
        <f t="shared" si="70"/>
        <v>50690</v>
      </c>
      <c r="S1503" s="5">
        <f t="shared" si="71"/>
        <v>75318.40336134455</v>
      </c>
    </row>
    <row r="1504" spans="1:19" hidden="1" x14ac:dyDescent="0.3">
      <c r="A1504">
        <v>130</v>
      </c>
      <c r="B1504" t="s">
        <v>2244</v>
      </c>
      <c r="C1504" t="s">
        <v>2960</v>
      </c>
      <c r="D1504" s="2" t="s">
        <v>2961</v>
      </c>
      <c r="E1504" t="s">
        <v>2539</v>
      </c>
      <c r="F1504" t="s">
        <v>20</v>
      </c>
      <c r="G1504" t="s">
        <v>21</v>
      </c>
      <c r="H1504" t="s">
        <v>966</v>
      </c>
      <c r="I1504" t="s">
        <v>23</v>
      </c>
      <c r="J1504" t="s">
        <v>35</v>
      </c>
      <c r="K1504" s="2" t="s">
        <v>1525</v>
      </c>
      <c r="L1504" t="s">
        <v>26</v>
      </c>
      <c r="M1504">
        <v>340479</v>
      </c>
      <c r="N1504">
        <v>1</v>
      </c>
      <c r="O1504" s="3">
        <v>74950</v>
      </c>
      <c r="P1504" s="3">
        <v>27380</v>
      </c>
      <c r="Q1504" s="5">
        <f t="shared" si="69"/>
        <v>62983.193277310929</v>
      </c>
      <c r="R1504" s="5">
        <f t="shared" si="70"/>
        <v>27380</v>
      </c>
      <c r="S1504" s="5">
        <f t="shared" si="71"/>
        <v>35603.193277310929</v>
      </c>
    </row>
    <row r="1505" spans="1:19" hidden="1" x14ac:dyDescent="0.3">
      <c r="A1505">
        <v>130</v>
      </c>
      <c r="B1505" t="s">
        <v>2244</v>
      </c>
      <c r="C1505" t="s">
        <v>2403</v>
      </c>
      <c r="D1505" s="2" t="s">
        <v>2404</v>
      </c>
      <c r="E1505" t="s">
        <v>2389</v>
      </c>
      <c r="F1505" t="s">
        <v>20</v>
      </c>
      <c r="G1505" t="s">
        <v>21</v>
      </c>
      <c r="H1505" t="s">
        <v>65</v>
      </c>
      <c r="I1505" t="s">
        <v>23</v>
      </c>
      <c r="J1505" t="s">
        <v>49</v>
      </c>
      <c r="K1505" s="2" t="s">
        <v>1525</v>
      </c>
      <c r="L1505" t="s">
        <v>26</v>
      </c>
      <c r="M1505">
        <v>340480</v>
      </c>
      <c r="N1505">
        <v>1</v>
      </c>
      <c r="O1505" s="3">
        <v>49990</v>
      </c>
      <c r="P1505" s="3">
        <v>23717</v>
      </c>
      <c r="Q1505" s="5">
        <f t="shared" si="69"/>
        <v>42008.403361344543</v>
      </c>
      <c r="R1505" s="5">
        <f t="shared" si="70"/>
        <v>23717</v>
      </c>
      <c r="S1505" s="5">
        <f t="shared" si="71"/>
        <v>18291.403361344543</v>
      </c>
    </row>
    <row r="1506" spans="1:19" hidden="1" x14ac:dyDescent="0.3">
      <c r="A1506">
        <v>130</v>
      </c>
      <c r="B1506" t="s">
        <v>2244</v>
      </c>
      <c r="C1506" t="s">
        <v>2962</v>
      </c>
      <c r="D1506" s="2" t="s">
        <v>2963</v>
      </c>
      <c r="E1506" t="s">
        <v>2536</v>
      </c>
      <c r="F1506" t="s">
        <v>20</v>
      </c>
      <c r="G1506" t="s">
        <v>21</v>
      </c>
      <c r="H1506" t="s">
        <v>454</v>
      </c>
      <c r="I1506" t="s">
        <v>23</v>
      </c>
      <c r="J1506" t="s">
        <v>407</v>
      </c>
      <c r="K1506" s="2" t="s">
        <v>1525</v>
      </c>
      <c r="L1506" t="s">
        <v>26</v>
      </c>
      <c r="M1506">
        <v>340481</v>
      </c>
      <c r="N1506">
        <v>1</v>
      </c>
      <c r="O1506" s="3">
        <v>39990</v>
      </c>
      <c r="P1506" s="3">
        <v>21038</v>
      </c>
      <c r="Q1506" s="5">
        <f t="shared" si="69"/>
        <v>33605.042016806721</v>
      </c>
      <c r="R1506" s="5">
        <f t="shared" si="70"/>
        <v>21038</v>
      </c>
      <c r="S1506" s="5">
        <f t="shared" si="71"/>
        <v>12567.042016806721</v>
      </c>
    </row>
    <row r="1507" spans="1:19" hidden="1" x14ac:dyDescent="0.3">
      <c r="A1507">
        <v>130</v>
      </c>
      <c r="B1507" t="s">
        <v>2244</v>
      </c>
      <c r="C1507" t="s">
        <v>2964</v>
      </c>
      <c r="D1507" s="2" t="s">
        <v>2965</v>
      </c>
      <c r="E1507" t="s">
        <v>2542</v>
      </c>
      <c r="F1507" t="s">
        <v>20</v>
      </c>
      <c r="G1507" t="s">
        <v>21</v>
      </c>
      <c r="H1507" t="s">
        <v>2469</v>
      </c>
      <c r="I1507" t="s">
        <v>23</v>
      </c>
      <c r="J1507" t="s">
        <v>49</v>
      </c>
      <c r="K1507" s="2" t="s">
        <v>1525</v>
      </c>
      <c r="L1507" t="s">
        <v>26</v>
      </c>
      <c r="M1507">
        <v>340481</v>
      </c>
      <c r="N1507">
        <v>1</v>
      </c>
      <c r="O1507" s="3">
        <v>64950</v>
      </c>
      <c r="P1507" s="3">
        <v>21341</v>
      </c>
      <c r="Q1507" s="5">
        <f t="shared" si="69"/>
        <v>54579.831932773115</v>
      </c>
      <c r="R1507" s="5">
        <f t="shared" si="70"/>
        <v>21341</v>
      </c>
      <c r="S1507" s="5">
        <f t="shared" si="71"/>
        <v>33238.831932773115</v>
      </c>
    </row>
    <row r="1508" spans="1:19" hidden="1" x14ac:dyDescent="0.3">
      <c r="A1508">
        <v>130</v>
      </c>
      <c r="B1508" t="s">
        <v>2244</v>
      </c>
      <c r="C1508" t="s">
        <v>2966</v>
      </c>
      <c r="D1508" s="2" t="s">
        <v>2967</v>
      </c>
      <c r="E1508" t="s">
        <v>1858</v>
      </c>
      <c r="F1508" t="s">
        <v>20</v>
      </c>
      <c r="G1508" t="s">
        <v>21</v>
      </c>
      <c r="H1508" t="s">
        <v>1337</v>
      </c>
      <c r="I1508" t="s">
        <v>23</v>
      </c>
      <c r="J1508" t="s">
        <v>49</v>
      </c>
      <c r="K1508" s="2" t="s">
        <v>1525</v>
      </c>
      <c r="L1508" t="s">
        <v>26</v>
      </c>
      <c r="M1508">
        <v>340482</v>
      </c>
      <c r="N1508">
        <v>1</v>
      </c>
      <c r="O1508" s="3">
        <v>49990</v>
      </c>
      <c r="P1508" s="3">
        <v>19802</v>
      </c>
      <c r="Q1508" s="5">
        <f t="shared" si="69"/>
        <v>42008.403361344543</v>
      </c>
      <c r="R1508" s="5">
        <f t="shared" si="70"/>
        <v>19802</v>
      </c>
      <c r="S1508" s="5">
        <f t="shared" si="71"/>
        <v>22206.403361344543</v>
      </c>
    </row>
    <row r="1509" spans="1:19" hidden="1" x14ac:dyDescent="0.3">
      <c r="A1509">
        <v>130</v>
      </c>
      <c r="B1509" t="s">
        <v>2244</v>
      </c>
      <c r="C1509" t="s">
        <v>2968</v>
      </c>
      <c r="D1509" s="2" t="s">
        <v>2969</v>
      </c>
      <c r="E1509" t="s">
        <v>2970</v>
      </c>
      <c r="F1509" t="s">
        <v>20</v>
      </c>
      <c r="G1509" t="s">
        <v>21</v>
      </c>
      <c r="H1509" t="s">
        <v>171</v>
      </c>
      <c r="I1509" t="s">
        <v>23</v>
      </c>
      <c r="J1509" t="s">
        <v>40</v>
      </c>
      <c r="K1509" s="2" t="s">
        <v>1525</v>
      </c>
      <c r="L1509" t="s">
        <v>26</v>
      </c>
      <c r="M1509">
        <v>340483</v>
      </c>
      <c r="N1509">
        <v>1</v>
      </c>
      <c r="O1509" s="3">
        <v>59990</v>
      </c>
      <c r="P1509" s="3">
        <v>29949</v>
      </c>
      <c r="Q1509" s="5">
        <f t="shared" si="69"/>
        <v>50411.764705882357</v>
      </c>
      <c r="R1509" s="5">
        <f t="shared" si="70"/>
        <v>29949</v>
      </c>
      <c r="S1509" s="5">
        <f t="shared" si="71"/>
        <v>20462.764705882357</v>
      </c>
    </row>
    <row r="1510" spans="1:19" hidden="1" x14ac:dyDescent="0.3">
      <c r="A1510">
        <v>130</v>
      </c>
      <c r="B1510" t="s">
        <v>2244</v>
      </c>
      <c r="C1510" t="s">
        <v>2971</v>
      </c>
      <c r="D1510" s="2" t="s">
        <v>2972</v>
      </c>
      <c r="E1510" t="s">
        <v>2301</v>
      </c>
      <c r="F1510" t="s">
        <v>20</v>
      </c>
      <c r="G1510" t="s">
        <v>21</v>
      </c>
      <c r="H1510" t="s">
        <v>1124</v>
      </c>
      <c r="I1510" t="s">
        <v>23</v>
      </c>
      <c r="J1510" t="s">
        <v>24</v>
      </c>
      <c r="K1510" s="2" t="s">
        <v>1525</v>
      </c>
      <c r="L1510" t="s">
        <v>26</v>
      </c>
      <c r="M1510">
        <v>340484</v>
      </c>
      <c r="N1510">
        <v>1</v>
      </c>
      <c r="O1510" s="3">
        <v>74950</v>
      </c>
      <c r="P1510" s="3">
        <v>25834</v>
      </c>
      <c r="Q1510" s="5">
        <f t="shared" si="69"/>
        <v>62983.193277310929</v>
      </c>
      <c r="R1510" s="5">
        <f t="shared" si="70"/>
        <v>25834</v>
      </c>
      <c r="S1510" s="5">
        <f t="shared" si="71"/>
        <v>37149.193277310929</v>
      </c>
    </row>
    <row r="1511" spans="1:19" hidden="1" x14ac:dyDescent="0.3">
      <c r="A1511">
        <v>130</v>
      </c>
      <c r="B1511" t="s">
        <v>2244</v>
      </c>
      <c r="C1511" t="s">
        <v>2575</v>
      </c>
      <c r="D1511" s="2" t="s">
        <v>2576</v>
      </c>
      <c r="E1511" t="s">
        <v>2577</v>
      </c>
      <c r="F1511" t="s">
        <v>377</v>
      </c>
      <c r="G1511" t="s">
        <v>21</v>
      </c>
      <c r="H1511" t="s">
        <v>378</v>
      </c>
      <c r="I1511" t="s">
        <v>23</v>
      </c>
      <c r="J1511" t="s">
        <v>379</v>
      </c>
      <c r="K1511" s="2" t="s">
        <v>1525</v>
      </c>
      <c r="L1511" t="s">
        <v>26</v>
      </c>
      <c r="M1511">
        <v>340485</v>
      </c>
      <c r="N1511">
        <v>1</v>
      </c>
      <c r="O1511" s="3">
        <v>5950</v>
      </c>
      <c r="P1511" s="3">
        <v>3307</v>
      </c>
      <c r="Q1511" s="5">
        <f t="shared" si="69"/>
        <v>5000</v>
      </c>
      <c r="R1511" s="5">
        <f t="shared" si="70"/>
        <v>3307</v>
      </c>
      <c r="S1511" s="5">
        <f t="shared" si="71"/>
        <v>1693</v>
      </c>
    </row>
    <row r="1512" spans="1:19" hidden="1" x14ac:dyDescent="0.3">
      <c r="A1512">
        <v>130</v>
      </c>
      <c r="B1512" t="s">
        <v>2244</v>
      </c>
      <c r="C1512" t="s">
        <v>2973</v>
      </c>
      <c r="D1512" s="2" t="s">
        <v>2974</v>
      </c>
      <c r="E1512" t="s">
        <v>1886</v>
      </c>
      <c r="F1512" t="s">
        <v>20</v>
      </c>
      <c r="G1512" t="s">
        <v>21</v>
      </c>
      <c r="H1512" t="s">
        <v>1887</v>
      </c>
      <c r="I1512" t="s">
        <v>23</v>
      </c>
      <c r="J1512" t="s">
        <v>40</v>
      </c>
      <c r="K1512" s="2" t="s">
        <v>1525</v>
      </c>
      <c r="L1512" t="s">
        <v>26</v>
      </c>
      <c r="M1512">
        <v>340486</v>
      </c>
      <c r="N1512">
        <v>1</v>
      </c>
      <c r="O1512" s="3">
        <v>69950</v>
      </c>
      <c r="P1512" s="3">
        <v>21623</v>
      </c>
      <c r="Q1512" s="5">
        <f t="shared" si="69"/>
        <v>58781.512605042022</v>
      </c>
      <c r="R1512" s="5">
        <f t="shared" si="70"/>
        <v>21623</v>
      </c>
      <c r="S1512" s="5">
        <f t="shared" si="71"/>
        <v>37158.512605042022</v>
      </c>
    </row>
    <row r="1513" spans="1:19" hidden="1" x14ac:dyDescent="0.3">
      <c r="A1513">
        <v>130</v>
      </c>
      <c r="B1513" t="s">
        <v>2244</v>
      </c>
      <c r="C1513" t="s">
        <v>2975</v>
      </c>
      <c r="D1513" s="2" t="s">
        <v>2976</v>
      </c>
      <c r="E1513" t="s">
        <v>1453</v>
      </c>
      <c r="F1513" t="s">
        <v>20</v>
      </c>
      <c r="G1513" t="s">
        <v>338</v>
      </c>
      <c r="H1513">
        <v>22410</v>
      </c>
      <c r="I1513" t="s">
        <v>23</v>
      </c>
      <c r="J1513" t="s">
        <v>49</v>
      </c>
      <c r="K1513" s="2" t="s">
        <v>1525</v>
      </c>
      <c r="L1513" t="s">
        <v>26</v>
      </c>
      <c r="M1513">
        <v>340487</v>
      </c>
      <c r="N1513">
        <v>1</v>
      </c>
      <c r="O1513" s="3">
        <v>69950</v>
      </c>
      <c r="P1513" s="3">
        <v>20848</v>
      </c>
      <c r="Q1513" s="5">
        <f t="shared" si="69"/>
        <v>58781.512605042022</v>
      </c>
      <c r="R1513" s="5">
        <f t="shared" si="70"/>
        <v>20848</v>
      </c>
      <c r="S1513" s="5">
        <f t="shared" si="71"/>
        <v>37933.512605042022</v>
      </c>
    </row>
    <row r="1514" spans="1:19" hidden="1" x14ac:dyDescent="0.3">
      <c r="A1514">
        <v>130</v>
      </c>
      <c r="B1514" t="s">
        <v>2244</v>
      </c>
      <c r="C1514" t="s">
        <v>2977</v>
      </c>
      <c r="D1514" s="2" t="s">
        <v>2978</v>
      </c>
      <c r="E1514" t="s">
        <v>2468</v>
      </c>
      <c r="F1514" t="s">
        <v>20</v>
      </c>
      <c r="G1514" t="s">
        <v>21</v>
      </c>
      <c r="H1514" t="s">
        <v>2469</v>
      </c>
      <c r="I1514" t="s">
        <v>23</v>
      </c>
      <c r="J1514" t="s">
        <v>49</v>
      </c>
      <c r="K1514" s="2" t="s">
        <v>1525</v>
      </c>
      <c r="L1514" t="s">
        <v>26</v>
      </c>
      <c r="M1514">
        <v>340488</v>
      </c>
      <c r="N1514">
        <v>1</v>
      </c>
      <c r="O1514" s="3">
        <v>64950</v>
      </c>
      <c r="P1514" s="3">
        <v>19034</v>
      </c>
      <c r="Q1514" s="5">
        <f t="shared" si="69"/>
        <v>54579.831932773115</v>
      </c>
      <c r="R1514" s="5">
        <f t="shared" si="70"/>
        <v>19034</v>
      </c>
      <c r="S1514" s="5">
        <f t="shared" si="71"/>
        <v>35545.831932773115</v>
      </c>
    </row>
    <row r="1515" spans="1:19" hidden="1" x14ac:dyDescent="0.3">
      <c r="A1515">
        <v>130</v>
      </c>
      <c r="B1515" t="s">
        <v>2244</v>
      </c>
      <c r="C1515" t="s">
        <v>2736</v>
      </c>
      <c r="D1515" s="2" t="s">
        <v>2737</v>
      </c>
      <c r="E1515" t="s">
        <v>2738</v>
      </c>
      <c r="F1515" t="s">
        <v>20</v>
      </c>
      <c r="G1515" t="s">
        <v>21</v>
      </c>
      <c r="H1515" t="s">
        <v>22</v>
      </c>
      <c r="I1515" t="s">
        <v>23</v>
      </c>
      <c r="J1515" t="s">
        <v>49</v>
      </c>
      <c r="K1515" s="2" t="s">
        <v>1525</v>
      </c>
      <c r="L1515" t="s">
        <v>26</v>
      </c>
      <c r="M1515">
        <v>340489</v>
      </c>
      <c r="N1515">
        <v>1</v>
      </c>
      <c r="O1515" s="3">
        <v>74950</v>
      </c>
      <c r="P1515" s="3">
        <v>26246</v>
      </c>
      <c r="Q1515" s="5">
        <f t="shared" si="69"/>
        <v>62983.193277310929</v>
      </c>
      <c r="R1515" s="5">
        <f t="shared" si="70"/>
        <v>26246</v>
      </c>
      <c r="S1515" s="5">
        <f t="shared" si="71"/>
        <v>36737.193277310929</v>
      </c>
    </row>
    <row r="1516" spans="1:19" hidden="1" x14ac:dyDescent="0.3">
      <c r="A1516">
        <v>130</v>
      </c>
      <c r="B1516" t="s">
        <v>2244</v>
      </c>
      <c r="C1516" t="s">
        <v>2830</v>
      </c>
      <c r="D1516" s="2" t="s">
        <v>2831</v>
      </c>
      <c r="E1516" t="s">
        <v>1330</v>
      </c>
      <c r="F1516" t="s">
        <v>20</v>
      </c>
      <c r="G1516" t="s">
        <v>338</v>
      </c>
      <c r="H1516">
        <v>25133</v>
      </c>
      <c r="I1516" t="s">
        <v>23</v>
      </c>
      <c r="J1516" t="s">
        <v>35</v>
      </c>
      <c r="K1516" s="2" t="s">
        <v>1525</v>
      </c>
      <c r="L1516" t="s">
        <v>26</v>
      </c>
      <c r="M1516">
        <v>340490</v>
      </c>
      <c r="N1516">
        <v>-1</v>
      </c>
      <c r="O1516" s="3">
        <v>-74950</v>
      </c>
      <c r="P1516" s="3">
        <v>21167</v>
      </c>
      <c r="Q1516" s="5">
        <f t="shared" si="69"/>
        <v>-62983.193277310929</v>
      </c>
      <c r="R1516" s="5">
        <f t="shared" si="70"/>
        <v>-21167</v>
      </c>
      <c r="S1516" s="5">
        <f t="shared" si="71"/>
        <v>-41816.193277310929</v>
      </c>
    </row>
    <row r="1517" spans="1:19" hidden="1" x14ac:dyDescent="0.3">
      <c r="A1517">
        <v>130</v>
      </c>
      <c r="B1517" t="s">
        <v>2244</v>
      </c>
      <c r="C1517" t="s">
        <v>2979</v>
      </c>
      <c r="D1517" s="2" t="s">
        <v>2980</v>
      </c>
      <c r="E1517" t="s">
        <v>2795</v>
      </c>
      <c r="F1517" t="s">
        <v>20</v>
      </c>
      <c r="G1517" t="s">
        <v>21</v>
      </c>
      <c r="H1517" t="s">
        <v>57</v>
      </c>
      <c r="I1517" t="s">
        <v>23</v>
      </c>
      <c r="J1517" t="s">
        <v>35</v>
      </c>
      <c r="K1517" s="2" t="s">
        <v>1525</v>
      </c>
      <c r="L1517" t="s">
        <v>26</v>
      </c>
      <c r="M1517">
        <v>340490</v>
      </c>
      <c r="N1517">
        <v>1</v>
      </c>
      <c r="O1517" s="3">
        <v>89950</v>
      </c>
      <c r="P1517" s="3">
        <v>31829</v>
      </c>
      <c r="Q1517" s="5">
        <f t="shared" si="69"/>
        <v>75588.23529411765</v>
      </c>
      <c r="R1517" s="5">
        <f t="shared" si="70"/>
        <v>31829</v>
      </c>
      <c r="S1517" s="5">
        <f t="shared" si="71"/>
        <v>43759.23529411765</v>
      </c>
    </row>
    <row r="1518" spans="1:19" hidden="1" x14ac:dyDescent="0.3">
      <c r="A1518">
        <v>130</v>
      </c>
      <c r="B1518" t="s">
        <v>2244</v>
      </c>
      <c r="C1518" t="s">
        <v>2981</v>
      </c>
      <c r="D1518" s="2" t="s">
        <v>2982</v>
      </c>
      <c r="E1518" t="s">
        <v>294</v>
      </c>
      <c r="F1518" t="s">
        <v>20</v>
      </c>
      <c r="G1518" t="s">
        <v>21</v>
      </c>
      <c r="H1518" t="s">
        <v>295</v>
      </c>
      <c r="I1518" t="s">
        <v>23</v>
      </c>
      <c r="J1518" t="s">
        <v>40</v>
      </c>
      <c r="K1518" s="2" t="s">
        <v>2983</v>
      </c>
      <c r="L1518" t="s">
        <v>26</v>
      </c>
      <c r="M1518">
        <v>340491</v>
      </c>
      <c r="N1518">
        <v>1</v>
      </c>
      <c r="O1518" s="3">
        <v>79950</v>
      </c>
      <c r="P1518" s="3">
        <v>26951</v>
      </c>
      <c r="Q1518" s="5">
        <f t="shared" si="69"/>
        <v>67184.873949579836</v>
      </c>
      <c r="R1518" s="5">
        <f t="shared" si="70"/>
        <v>26951</v>
      </c>
      <c r="S1518" s="5">
        <f t="shared" si="71"/>
        <v>40233.873949579836</v>
      </c>
    </row>
    <row r="1519" spans="1:19" hidden="1" x14ac:dyDescent="0.3">
      <c r="A1519">
        <v>130</v>
      </c>
      <c r="B1519" t="s">
        <v>2244</v>
      </c>
      <c r="C1519" t="s">
        <v>2984</v>
      </c>
      <c r="D1519" s="2" t="s">
        <v>2985</v>
      </c>
      <c r="E1519" t="s">
        <v>2986</v>
      </c>
      <c r="F1519" t="s">
        <v>20</v>
      </c>
      <c r="G1519" t="s">
        <v>21</v>
      </c>
      <c r="H1519" t="s">
        <v>267</v>
      </c>
      <c r="I1519" t="s">
        <v>23</v>
      </c>
      <c r="J1519" t="s">
        <v>35</v>
      </c>
      <c r="K1519" s="2" t="s">
        <v>2983</v>
      </c>
      <c r="L1519" t="s">
        <v>26</v>
      </c>
      <c r="M1519">
        <v>340492</v>
      </c>
      <c r="N1519">
        <v>1</v>
      </c>
      <c r="O1519" s="3">
        <v>59990</v>
      </c>
      <c r="P1519" s="3">
        <v>24733</v>
      </c>
      <c r="Q1519" s="5">
        <f t="shared" si="69"/>
        <v>50411.764705882357</v>
      </c>
      <c r="R1519" s="5">
        <f t="shared" si="70"/>
        <v>24733</v>
      </c>
      <c r="S1519" s="5">
        <f t="shared" si="71"/>
        <v>25678.764705882357</v>
      </c>
    </row>
    <row r="1520" spans="1:19" hidden="1" x14ac:dyDescent="0.3">
      <c r="A1520">
        <v>130</v>
      </c>
      <c r="B1520" t="s">
        <v>2244</v>
      </c>
      <c r="C1520" t="s">
        <v>2361</v>
      </c>
      <c r="D1520" s="2" t="s">
        <v>2362</v>
      </c>
      <c r="E1520" t="s">
        <v>2363</v>
      </c>
      <c r="F1520" t="s">
        <v>20</v>
      </c>
      <c r="G1520" t="s">
        <v>21</v>
      </c>
      <c r="H1520" t="s">
        <v>2364</v>
      </c>
      <c r="I1520" t="s">
        <v>23</v>
      </c>
      <c r="J1520" t="s">
        <v>40</v>
      </c>
      <c r="K1520" s="2" t="s">
        <v>2983</v>
      </c>
      <c r="L1520" t="s">
        <v>26</v>
      </c>
      <c r="M1520">
        <v>340492</v>
      </c>
      <c r="N1520">
        <v>-1</v>
      </c>
      <c r="O1520" s="3">
        <v>-39990</v>
      </c>
      <c r="P1520" s="3">
        <v>30446</v>
      </c>
      <c r="Q1520" s="5">
        <f t="shared" si="69"/>
        <v>-33605.042016806721</v>
      </c>
      <c r="R1520" s="5">
        <f t="shared" si="70"/>
        <v>-30446</v>
      </c>
      <c r="S1520" s="5">
        <f t="shared" si="71"/>
        <v>-3159.0420168067212</v>
      </c>
    </row>
    <row r="1521" spans="1:19" hidden="1" x14ac:dyDescent="0.3">
      <c r="A1521">
        <v>130</v>
      </c>
      <c r="B1521" t="s">
        <v>2244</v>
      </c>
      <c r="C1521" t="s">
        <v>2987</v>
      </c>
      <c r="D1521" s="2" t="s">
        <v>2988</v>
      </c>
      <c r="E1521" t="s">
        <v>2870</v>
      </c>
      <c r="F1521" t="s">
        <v>20</v>
      </c>
      <c r="G1521" t="s">
        <v>21</v>
      </c>
      <c r="H1521" t="s">
        <v>30</v>
      </c>
      <c r="I1521" t="s">
        <v>23</v>
      </c>
      <c r="J1521" t="s">
        <v>35</v>
      </c>
      <c r="K1521" s="2" t="s">
        <v>2983</v>
      </c>
      <c r="L1521" t="s">
        <v>26</v>
      </c>
      <c r="M1521">
        <v>340493</v>
      </c>
      <c r="N1521">
        <v>1</v>
      </c>
      <c r="O1521" s="3">
        <v>79950</v>
      </c>
      <c r="P1521" s="3">
        <v>30749</v>
      </c>
      <c r="Q1521" s="5">
        <f t="shared" si="69"/>
        <v>67184.873949579836</v>
      </c>
      <c r="R1521" s="5">
        <f t="shared" si="70"/>
        <v>30749</v>
      </c>
      <c r="S1521" s="5">
        <f t="shared" si="71"/>
        <v>36435.873949579836</v>
      </c>
    </row>
    <row r="1522" spans="1:19" hidden="1" x14ac:dyDescent="0.3">
      <c r="A1522">
        <v>130</v>
      </c>
      <c r="B1522" t="s">
        <v>2244</v>
      </c>
      <c r="C1522" t="s">
        <v>2989</v>
      </c>
      <c r="D1522" s="2" t="s">
        <v>2990</v>
      </c>
      <c r="E1522" t="s">
        <v>2208</v>
      </c>
      <c r="F1522" t="s">
        <v>20</v>
      </c>
      <c r="G1522" t="s">
        <v>338</v>
      </c>
      <c r="H1522">
        <v>25823</v>
      </c>
      <c r="I1522" t="s">
        <v>23</v>
      </c>
      <c r="J1522" t="s">
        <v>35</v>
      </c>
      <c r="K1522" s="2" t="s">
        <v>2983</v>
      </c>
      <c r="L1522" t="s">
        <v>26</v>
      </c>
      <c r="M1522">
        <v>340493</v>
      </c>
      <c r="N1522">
        <v>1</v>
      </c>
      <c r="O1522" s="3">
        <v>99950</v>
      </c>
      <c r="P1522" s="3">
        <v>33748</v>
      </c>
      <c r="Q1522" s="5">
        <f t="shared" si="69"/>
        <v>83991.596638655465</v>
      </c>
      <c r="R1522" s="5">
        <f t="shared" si="70"/>
        <v>33748</v>
      </c>
      <c r="S1522" s="5">
        <f t="shared" si="71"/>
        <v>50243.596638655465</v>
      </c>
    </row>
    <row r="1523" spans="1:19" hidden="1" x14ac:dyDescent="0.3">
      <c r="A1523">
        <v>130</v>
      </c>
      <c r="B1523" t="s">
        <v>2244</v>
      </c>
      <c r="C1523" t="s">
        <v>2991</v>
      </c>
      <c r="D1523" s="2" t="s">
        <v>2992</v>
      </c>
      <c r="E1523" t="s">
        <v>2993</v>
      </c>
      <c r="F1523" t="s">
        <v>20</v>
      </c>
      <c r="G1523" t="s">
        <v>21</v>
      </c>
      <c r="H1523" t="s">
        <v>1887</v>
      </c>
      <c r="I1523" t="s">
        <v>23</v>
      </c>
      <c r="J1523" t="s">
        <v>40</v>
      </c>
      <c r="K1523" s="2" t="s">
        <v>2983</v>
      </c>
      <c r="L1523" t="s">
        <v>26</v>
      </c>
      <c r="M1523">
        <v>340494</v>
      </c>
      <c r="N1523">
        <v>1</v>
      </c>
      <c r="O1523" s="3">
        <v>69950</v>
      </c>
      <c r="P1523" s="3">
        <v>22018</v>
      </c>
      <c r="Q1523" s="5">
        <f t="shared" si="69"/>
        <v>58781.512605042022</v>
      </c>
      <c r="R1523" s="5">
        <f t="shared" si="70"/>
        <v>22018</v>
      </c>
      <c r="S1523" s="5">
        <f t="shared" si="71"/>
        <v>36763.512605042022</v>
      </c>
    </row>
    <row r="1524" spans="1:19" hidden="1" x14ac:dyDescent="0.3">
      <c r="A1524">
        <v>130</v>
      </c>
      <c r="B1524" t="s">
        <v>2244</v>
      </c>
      <c r="C1524" t="s">
        <v>2994</v>
      </c>
      <c r="D1524" s="2" t="s">
        <v>2995</v>
      </c>
      <c r="E1524" t="s">
        <v>2996</v>
      </c>
      <c r="F1524" t="s">
        <v>20</v>
      </c>
      <c r="G1524" t="s">
        <v>338</v>
      </c>
      <c r="H1524">
        <v>25823</v>
      </c>
      <c r="I1524" t="s">
        <v>23</v>
      </c>
      <c r="J1524" t="s">
        <v>35</v>
      </c>
      <c r="K1524" s="2" t="s">
        <v>2983</v>
      </c>
      <c r="L1524" t="s">
        <v>26</v>
      </c>
      <c r="M1524">
        <v>340495</v>
      </c>
      <c r="N1524">
        <v>1</v>
      </c>
      <c r="O1524" s="3">
        <v>99950</v>
      </c>
      <c r="P1524" s="3">
        <v>33748</v>
      </c>
      <c r="Q1524" s="5">
        <f t="shared" si="69"/>
        <v>83991.596638655465</v>
      </c>
      <c r="R1524" s="5">
        <f t="shared" si="70"/>
        <v>33748</v>
      </c>
      <c r="S1524" s="5">
        <f t="shared" si="71"/>
        <v>50243.596638655465</v>
      </c>
    </row>
    <row r="1525" spans="1:19" hidden="1" x14ac:dyDescent="0.3">
      <c r="A1525">
        <v>130</v>
      </c>
      <c r="B1525" t="s">
        <v>2244</v>
      </c>
      <c r="C1525" t="s">
        <v>2997</v>
      </c>
      <c r="D1525" s="2" t="s">
        <v>2998</v>
      </c>
      <c r="E1525" t="s">
        <v>2483</v>
      </c>
      <c r="F1525" t="s">
        <v>20</v>
      </c>
      <c r="G1525" t="s">
        <v>21</v>
      </c>
      <c r="H1525" t="s">
        <v>2484</v>
      </c>
      <c r="I1525" t="s">
        <v>23</v>
      </c>
      <c r="J1525" t="s">
        <v>40</v>
      </c>
      <c r="K1525" s="2" t="s">
        <v>2983</v>
      </c>
      <c r="L1525" t="s">
        <v>26</v>
      </c>
      <c r="M1525">
        <v>340496</v>
      </c>
      <c r="N1525">
        <v>1</v>
      </c>
      <c r="O1525" s="3">
        <v>59950</v>
      </c>
      <c r="P1525" s="3">
        <v>17503</v>
      </c>
      <c r="Q1525" s="5">
        <f t="shared" si="69"/>
        <v>50378.151260504201</v>
      </c>
      <c r="R1525" s="5">
        <f t="shared" si="70"/>
        <v>17503</v>
      </c>
      <c r="S1525" s="5">
        <f t="shared" si="71"/>
        <v>32875.151260504201</v>
      </c>
    </row>
    <row r="1526" spans="1:19" hidden="1" x14ac:dyDescent="0.3">
      <c r="A1526">
        <v>130</v>
      </c>
      <c r="B1526" t="s">
        <v>2244</v>
      </c>
      <c r="C1526" t="s">
        <v>392</v>
      </c>
      <c r="D1526" s="2" t="s">
        <v>393</v>
      </c>
      <c r="E1526" t="s">
        <v>394</v>
      </c>
      <c r="F1526" t="s">
        <v>20</v>
      </c>
      <c r="G1526" t="s">
        <v>21</v>
      </c>
      <c r="H1526" t="s">
        <v>395</v>
      </c>
      <c r="I1526" t="s">
        <v>23</v>
      </c>
      <c r="J1526" t="s">
        <v>49</v>
      </c>
      <c r="K1526" s="2" t="s">
        <v>2983</v>
      </c>
      <c r="L1526" t="s">
        <v>26</v>
      </c>
      <c r="M1526">
        <v>340497</v>
      </c>
      <c r="N1526">
        <v>1</v>
      </c>
      <c r="O1526" s="3">
        <v>49990</v>
      </c>
      <c r="P1526" s="3">
        <v>28952</v>
      </c>
      <c r="Q1526" s="5">
        <f t="shared" si="69"/>
        <v>42008.403361344543</v>
      </c>
      <c r="R1526" s="5">
        <f t="shared" si="70"/>
        <v>28952</v>
      </c>
      <c r="S1526" s="5">
        <f t="shared" si="71"/>
        <v>13056.403361344543</v>
      </c>
    </row>
    <row r="1527" spans="1:19" hidden="1" x14ac:dyDescent="0.3">
      <c r="A1527">
        <v>130</v>
      </c>
      <c r="B1527" t="s">
        <v>2244</v>
      </c>
      <c r="C1527">
        <v>1687976791</v>
      </c>
      <c r="D1527" s="2" t="s">
        <v>200</v>
      </c>
      <c r="E1527" t="s">
        <v>201</v>
      </c>
      <c r="F1527" t="s">
        <v>201</v>
      </c>
      <c r="G1527" t="s">
        <v>202</v>
      </c>
      <c r="H1527" t="s">
        <v>202</v>
      </c>
      <c r="I1527" t="s">
        <v>23</v>
      </c>
      <c r="J1527" t="s">
        <v>202</v>
      </c>
      <c r="K1527" s="2" t="s">
        <v>2983</v>
      </c>
      <c r="L1527" t="s">
        <v>26</v>
      </c>
      <c r="M1527">
        <v>340498</v>
      </c>
      <c r="N1527">
        <v>1</v>
      </c>
      <c r="O1527" s="3">
        <v>3400</v>
      </c>
      <c r="P1527">
        <v>1</v>
      </c>
      <c r="Q1527" s="5">
        <f t="shared" si="69"/>
        <v>2857.1428571428573</v>
      </c>
      <c r="R1527" s="5">
        <f t="shared" si="70"/>
        <v>1</v>
      </c>
      <c r="S1527" s="5">
        <f t="shared" si="71"/>
        <v>2856.1428571428573</v>
      </c>
    </row>
    <row r="1528" spans="1:19" hidden="1" x14ac:dyDescent="0.3">
      <c r="A1528">
        <v>130</v>
      </c>
      <c r="B1528" t="s">
        <v>2244</v>
      </c>
      <c r="C1528" t="s">
        <v>2999</v>
      </c>
      <c r="D1528" s="2" t="s">
        <v>3000</v>
      </c>
      <c r="E1528" t="s">
        <v>654</v>
      </c>
      <c r="F1528" t="s">
        <v>20</v>
      </c>
      <c r="G1528" t="s">
        <v>21</v>
      </c>
      <c r="H1528" t="s">
        <v>565</v>
      </c>
      <c r="I1528" t="s">
        <v>23</v>
      </c>
      <c r="J1528" t="s">
        <v>35</v>
      </c>
      <c r="K1528" s="2" t="s">
        <v>2983</v>
      </c>
      <c r="L1528" t="s">
        <v>26</v>
      </c>
      <c r="M1528">
        <v>340498</v>
      </c>
      <c r="N1528">
        <v>1</v>
      </c>
      <c r="O1528" s="3">
        <v>54990</v>
      </c>
      <c r="P1528" s="3">
        <v>30840</v>
      </c>
      <c r="Q1528" s="5">
        <f t="shared" si="69"/>
        <v>46210.08403361345</v>
      </c>
      <c r="R1528" s="5">
        <f t="shared" si="70"/>
        <v>30840</v>
      </c>
      <c r="S1528" s="5">
        <f t="shared" si="71"/>
        <v>15370.08403361345</v>
      </c>
    </row>
    <row r="1529" spans="1:19" hidden="1" x14ac:dyDescent="0.3">
      <c r="A1529">
        <v>130</v>
      </c>
      <c r="B1529" t="s">
        <v>2244</v>
      </c>
      <c r="C1529" t="s">
        <v>2984</v>
      </c>
      <c r="D1529" s="2" t="s">
        <v>2985</v>
      </c>
      <c r="E1529" t="s">
        <v>2986</v>
      </c>
      <c r="F1529" t="s">
        <v>20</v>
      </c>
      <c r="G1529" t="s">
        <v>21</v>
      </c>
      <c r="H1529" t="s">
        <v>267</v>
      </c>
      <c r="I1529" t="s">
        <v>23</v>
      </c>
      <c r="J1529" t="s">
        <v>35</v>
      </c>
      <c r="K1529" s="2" t="s">
        <v>2983</v>
      </c>
      <c r="L1529" t="s">
        <v>26</v>
      </c>
      <c r="M1529">
        <v>340499</v>
      </c>
      <c r="N1529">
        <v>1</v>
      </c>
      <c r="O1529" s="3">
        <v>59990</v>
      </c>
      <c r="P1529" s="3">
        <v>24733</v>
      </c>
      <c r="Q1529" s="5">
        <f t="shared" si="69"/>
        <v>50411.764705882357</v>
      </c>
      <c r="R1529" s="5">
        <f t="shared" si="70"/>
        <v>24733</v>
      </c>
      <c r="S1529" s="5">
        <f t="shared" si="71"/>
        <v>25678.764705882357</v>
      </c>
    </row>
    <row r="1530" spans="1:19" hidden="1" x14ac:dyDescent="0.3">
      <c r="A1530">
        <v>130</v>
      </c>
      <c r="B1530" t="s">
        <v>2244</v>
      </c>
      <c r="C1530" t="s">
        <v>3001</v>
      </c>
      <c r="D1530" s="2" t="s">
        <v>3002</v>
      </c>
      <c r="E1530" t="s">
        <v>3003</v>
      </c>
      <c r="F1530" t="s">
        <v>20</v>
      </c>
      <c r="G1530" t="s">
        <v>338</v>
      </c>
      <c r="H1530">
        <v>25312</v>
      </c>
      <c r="I1530" t="s">
        <v>23</v>
      </c>
      <c r="J1530" t="s">
        <v>35</v>
      </c>
      <c r="K1530" s="2" t="s">
        <v>2983</v>
      </c>
      <c r="L1530" t="s">
        <v>26</v>
      </c>
      <c r="M1530">
        <v>340499</v>
      </c>
      <c r="N1530">
        <v>1</v>
      </c>
      <c r="O1530" s="3">
        <v>69950</v>
      </c>
      <c r="P1530" s="3">
        <v>21167</v>
      </c>
      <c r="Q1530" s="5">
        <f t="shared" si="69"/>
        <v>58781.512605042022</v>
      </c>
      <c r="R1530" s="5">
        <f t="shared" si="70"/>
        <v>21167</v>
      </c>
      <c r="S1530" s="5">
        <f t="shared" si="71"/>
        <v>37614.512605042022</v>
      </c>
    </row>
    <row r="1531" spans="1:19" hidden="1" x14ac:dyDescent="0.3">
      <c r="A1531">
        <v>130</v>
      </c>
      <c r="B1531" t="s">
        <v>2244</v>
      </c>
      <c r="C1531" t="s">
        <v>1434</v>
      </c>
      <c r="D1531" s="2" t="s">
        <v>1435</v>
      </c>
      <c r="E1531" t="s">
        <v>1436</v>
      </c>
      <c r="F1531" t="s">
        <v>20</v>
      </c>
      <c r="G1531" t="s">
        <v>21</v>
      </c>
      <c r="H1531" t="s">
        <v>500</v>
      </c>
      <c r="I1531" t="s">
        <v>23</v>
      </c>
      <c r="J1531" t="s">
        <v>40</v>
      </c>
      <c r="K1531" s="2" t="s">
        <v>2983</v>
      </c>
      <c r="L1531" t="s">
        <v>26</v>
      </c>
      <c r="M1531">
        <v>340500</v>
      </c>
      <c r="N1531">
        <v>1</v>
      </c>
      <c r="O1531" s="3">
        <v>59950</v>
      </c>
      <c r="P1531" s="3">
        <v>17591</v>
      </c>
      <c r="Q1531" s="5">
        <f t="shared" si="69"/>
        <v>50378.151260504201</v>
      </c>
      <c r="R1531" s="5">
        <f t="shared" si="70"/>
        <v>17591</v>
      </c>
      <c r="S1531" s="5">
        <f t="shared" si="71"/>
        <v>32787.151260504201</v>
      </c>
    </row>
    <row r="1532" spans="1:19" hidden="1" x14ac:dyDescent="0.3">
      <c r="A1532">
        <v>130</v>
      </c>
      <c r="B1532" t="s">
        <v>2244</v>
      </c>
      <c r="C1532" t="s">
        <v>3004</v>
      </c>
      <c r="D1532" s="2" t="s">
        <v>3005</v>
      </c>
      <c r="E1532" t="s">
        <v>3006</v>
      </c>
      <c r="F1532" t="s">
        <v>20</v>
      </c>
      <c r="G1532" t="s">
        <v>21</v>
      </c>
      <c r="H1532" t="s">
        <v>1457</v>
      </c>
      <c r="I1532" t="s">
        <v>23</v>
      </c>
      <c r="J1532" t="s">
        <v>40</v>
      </c>
      <c r="K1532" s="2" t="s">
        <v>2983</v>
      </c>
      <c r="L1532" t="s">
        <v>26</v>
      </c>
      <c r="M1532">
        <v>340500</v>
      </c>
      <c r="N1532">
        <v>1</v>
      </c>
      <c r="O1532" s="3">
        <v>64950</v>
      </c>
      <c r="P1532" s="3">
        <v>18239</v>
      </c>
      <c r="Q1532" s="5">
        <f t="shared" si="69"/>
        <v>54579.831932773115</v>
      </c>
      <c r="R1532" s="5">
        <f t="shared" si="70"/>
        <v>18239</v>
      </c>
      <c r="S1532" s="5">
        <f t="shared" si="71"/>
        <v>36340.831932773115</v>
      </c>
    </row>
    <row r="1533" spans="1:19" hidden="1" x14ac:dyDescent="0.3">
      <c r="A1533">
        <v>130</v>
      </c>
      <c r="B1533" t="s">
        <v>2244</v>
      </c>
      <c r="C1533" t="s">
        <v>3007</v>
      </c>
      <c r="D1533" s="2" t="s">
        <v>3008</v>
      </c>
      <c r="E1533" t="s">
        <v>2986</v>
      </c>
      <c r="F1533" t="s">
        <v>20</v>
      </c>
      <c r="G1533" t="s">
        <v>21</v>
      </c>
      <c r="H1533" t="s">
        <v>267</v>
      </c>
      <c r="I1533" t="s">
        <v>23</v>
      </c>
      <c r="J1533" t="s">
        <v>35</v>
      </c>
      <c r="K1533" s="2" t="s">
        <v>2983</v>
      </c>
      <c r="L1533" t="s">
        <v>26</v>
      </c>
      <c r="M1533">
        <v>340501</v>
      </c>
      <c r="N1533">
        <v>1</v>
      </c>
      <c r="O1533" s="3">
        <v>59990</v>
      </c>
      <c r="P1533" s="3">
        <v>24733</v>
      </c>
      <c r="Q1533" s="5">
        <f t="shared" si="69"/>
        <v>50411.764705882357</v>
      </c>
      <c r="R1533" s="5">
        <f t="shared" si="70"/>
        <v>24733</v>
      </c>
      <c r="S1533" s="5">
        <f t="shared" si="71"/>
        <v>25678.764705882357</v>
      </c>
    </row>
    <row r="1534" spans="1:19" hidden="1" x14ac:dyDescent="0.3">
      <c r="A1534">
        <v>130</v>
      </c>
      <c r="B1534" t="s">
        <v>2244</v>
      </c>
      <c r="C1534" t="s">
        <v>3009</v>
      </c>
      <c r="D1534" s="2" t="s">
        <v>3010</v>
      </c>
      <c r="E1534" t="s">
        <v>2208</v>
      </c>
      <c r="F1534" t="s">
        <v>20</v>
      </c>
      <c r="G1534" t="s">
        <v>338</v>
      </c>
      <c r="H1534">
        <v>25823</v>
      </c>
      <c r="I1534" t="s">
        <v>23</v>
      </c>
      <c r="J1534" t="s">
        <v>35</v>
      </c>
      <c r="K1534" s="2" t="s">
        <v>2983</v>
      </c>
      <c r="L1534" t="s">
        <v>26</v>
      </c>
      <c r="M1534">
        <v>340502</v>
      </c>
      <c r="N1534">
        <v>1</v>
      </c>
      <c r="O1534" s="3">
        <v>99950</v>
      </c>
      <c r="P1534" s="3">
        <v>33748</v>
      </c>
      <c r="Q1534" s="5">
        <f t="shared" si="69"/>
        <v>83991.596638655465</v>
      </c>
      <c r="R1534" s="5">
        <f t="shared" si="70"/>
        <v>33748</v>
      </c>
      <c r="S1534" s="5">
        <f t="shared" si="71"/>
        <v>50243.596638655465</v>
      </c>
    </row>
    <row r="1535" spans="1:19" hidden="1" x14ac:dyDescent="0.3">
      <c r="A1535">
        <v>130</v>
      </c>
      <c r="B1535" t="s">
        <v>2244</v>
      </c>
      <c r="C1535" t="s">
        <v>3011</v>
      </c>
      <c r="D1535" s="2" t="s">
        <v>3012</v>
      </c>
      <c r="E1535" t="s">
        <v>3013</v>
      </c>
      <c r="F1535" t="s">
        <v>20</v>
      </c>
      <c r="G1535" t="s">
        <v>21</v>
      </c>
      <c r="H1535" t="s">
        <v>2070</v>
      </c>
      <c r="I1535" t="s">
        <v>23</v>
      </c>
      <c r="J1535" t="s">
        <v>24</v>
      </c>
      <c r="K1535" s="2" t="s">
        <v>2983</v>
      </c>
      <c r="L1535" t="s">
        <v>26</v>
      </c>
      <c r="M1535">
        <v>340503</v>
      </c>
      <c r="N1535">
        <v>1</v>
      </c>
      <c r="O1535" s="3">
        <v>84950</v>
      </c>
      <c r="P1535" s="3">
        <v>27701</v>
      </c>
      <c r="Q1535" s="5">
        <f t="shared" si="69"/>
        <v>71386.554621848743</v>
      </c>
      <c r="R1535" s="5">
        <f t="shared" si="70"/>
        <v>27701</v>
      </c>
      <c r="S1535" s="5">
        <f t="shared" si="71"/>
        <v>43685.554621848743</v>
      </c>
    </row>
    <row r="1536" spans="1:19" hidden="1" x14ac:dyDescent="0.3">
      <c r="A1536">
        <v>130</v>
      </c>
      <c r="B1536" t="s">
        <v>2244</v>
      </c>
      <c r="C1536" t="s">
        <v>3014</v>
      </c>
      <c r="D1536" s="2" t="s">
        <v>3015</v>
      </c>
      <c r="E1536" t="s">
        <v>3016</v>
      </c>
      <c r="F1536" t="s">
        <v>20</v>
      </c>
      <c r="G1536" t="s">
        <v>338</v>
      </c>
      <c r="H1536">
        <v>25301</v>
      </c>
      <c r="I1536" t="s">
        <v>23</v>
      </c>
      <c r="J1536" t="s">
        <v>35</v>
      </c>
      <c r="K1536" s="2" t="s">
        <v>2983</v>
      </c>
      <c r="L1536" t="s">
        <v>26</v>
      </c>
      <c r="M1536">
        <v>340503</v>
      </c>
      <c r="N1536">
        <v>1</v>
      </c>
      <c r="O1536" s="3">
        <v>99950</v>
      </c>
      <c r="P1536" s="3">
        <v>34679</v>
      </c>
      <c r="Q1536" s="5">
        <f t="shared" si="69"/>
        <v>83991.596638655465</v>
      </c>
      <c r="R1536" s="5">
        <f t="shared" si="70"/>
        <v>34679</v>
      </c>
      <c r="S1536" s="5">
        <f t="shared" si="71"/>
        <v>49312.596638655465</v>
      </c>
    </row>
    <row r="1537" spans="1:19" hidden="1" x14ac:dyDescent="0.3">
      <c r="A1537">
        <v>130</v>
      </c>
      <c r="B1537" t="s">
        <v>2244</v>
      </c>
      <c r="C1537" t="s">
        <v>3017</v>
      </c>
      <c r="D1537" s="2" t="s">
        <v>3018</v>
      </c>
      <c r="E1537" t="s">
        <v>3019</v>
      </c>
      <c r="F1537" t="s">
        <v>20</v>
      </c>
      <c r="G1537" t="s">
        <v>338</v>
      </c>
      <c r="H1537">
        <v>85408</v>
      </c>
      <c r="I1537" t="s">
        <v>23</v>
      </c>
      <c r="J1537" t="s">
        <v>35</v>
      </c>
      <c r="K1537" s="2" t="s">
        <v>2983</v>
      </c>
      <c r="L1537" t="s">
        <v>26</v>
      </c>
      <c r="M1537">
        <v>340504</v>
      </c>
      <c r="N1537">
        <v>1</v>
      </c>
      <c r="O1537" s="3">
        <v>109950</v>
      </c>
      <c r="P1537" s="3">
        <v>33793</v>
      </c>
      <c r="Q1537" s="5">
        <f t="shared" si="69"/>
        <v>92394.957983193279</v>
      </c>
      <c r="R1537" s="5">
        <f t="shared" si="70"/>
        <v>33793</v>
      </c>
      <c r="S1537" s="5">
        <f t="shared" si="71"/>
        <v>58601.957983193279</v>
      </c>
    </row>
    <row r="1538" spans="1:19" hidden="1" x14ac:dyDescent="0.3">
      <c r="A1538">
        <v>130</v>
      </c>
      <c r="B1538" t="s">
        <v>2244</v>
      </c>
      <c r="C1538" t="s">
        <v>2285</v>
      </c>
      <c r="D1538" s="2" t="s">
        <v>2286</v>
      </c>
      <c r="E1538" t="s">
        <v>2287</v>
      </c>
      <c r="F1538" t="s">
        <v>20</v>
      </c>
      <c r="G1538" t="s">
        <v>21</v>
      </c>
      <c r="H1538" t="s">
        <v>429</v>
      </c>
      <c r="I1538" t="s">
        <v>23</v>
      </c>
      <c r="J1538" t="s">
        <v>49</v>
      </c>
      <c r="K1538" s="2" t="s">
        <v>2983</v>
      </c>
      <c r="L1538" t="s">
        <v>26</v>
      </c>
      <c r="M1538">
        <v>340505</v>
      </c>
      <c r="N1538">
        <v>1</v>
      </c>
      <c r="O1538" s="3">
        <v>49990</v>
      </c>
      <c r="P1538" s="3">
        <v>31855</v>
      </c>
      <c r="Q1538" s="5">
        <f t="shared" si="69"/>
        <v>42008.403361344543</v>
      </c>
      <c r="R1538" s="5">
        <f t="shared" si="70"/>
        <v>31855</v>
      </c>
      <c r="S1538" s="5">
        <f t="shared" si="71"/>
        <v>10153.403361344543</v>
      </c>
    </row>
    <row r="1539" spans="1:19" hidden="1" x14ac:dyDescent="0.3">
      <c r="A1539">
        <v>130</v>
      </c>
      <c r="B1539" t="s">
        <v>2244</v>
      </c>
      <c r="C1539" t="s">
        <v>3020</v>
      </c>
      <c r="D1539" s="2" t="s">
        <v>3021</v>
      </c>
      <c r="E1539" t="s">
        <v>3022</v>
      </c>
      <c r="F1539" t="s">
        <v>20</v>
      </c>
      <c r="G1539" t="s">
        <v>21</v>
      </c>
      <c r="H1539" t="s">
        <v>614</v>
      </c>
      <c r="I1539" t="s">
        <v>23</v>
      </c>
      <c r="J1539" t="s">
        <v>35</v>
      </c>
      <c r="K1539" s="2" t="s">
        <v>2983</v>
      </c>
      <c r="L1539" t="s">
        <v>26</v>
      </c>
      <c r="M1539">
        <v>340506</v>
      </c>
      <c r="N1539">
        <v>1</v>
      </c>
      <c r="O1539" s="3">
        <v>44990</v>
      </c>
      <c r="P1539" s="3">
        <v>18266</v>
      </c>
      <c r="Q1539" s="5">
        <f t="shared" si="69"/>
        <v>37806.722689075636</v>
      </c>
      <c r="R1539" s="5">
        <f t="shared" si="70"/>
        <v>18266</v>
      </c>
      <c r="S1539" s="5">
        <f t="shared" si="71"/>
        <v>19540.722689075636</v>
      </c>
    </row>
    <row r="1540" spans="1:19" hidden="1" x14ac:dyDescent="0.3">
      <c r="A1540">
        <v>130</v>
      </c>
      <c r="B1540" t="s">
        <v>2244</v>
      </c>
      <c r="C1540" t="s">
        <v>3023</v>
      </c>
      <c r="D1540" s="2" t="s">
        <v>3024</v>
      </c>
      <c r="E1540" t="s">
        <v>938</v>
      </c>
      <c r="F1540" t="s">
        <v>20</v>
      </c>
      <c r="G1540" t="s">
        <v>21</v>
      </c>
      <c r="H1540" t="s">
        <v>317</v>
      </c>
      <c r="I1540" t="s">
        <v>23</v>
      </c>
      <c r="J1540" t="s">
        <v>35</v>
      </c>
      <c r="K1540" s="2" t="s">
        <v>2983</v>
      </c>
      <c r="L1540" t="s">
        <v>26</v>
      </c>
      <c r="M1540">
        <v>340507</v>
      </c>
      <c r="N1540">
        <v>1</v>
      </c>
      <c r="O1540" s="3">
        <v>69950</v>
      </c>
      <c r="P1540" s="3">
        <v>26455</v>
      </c>
      <c r="Q1540" s="5">
        <f t="shared" si="69"/>
        <v>58781.512605042022</v>
      </c>
      <c r="R1540" s="5">
        <f t="shared" si="70"/>
        <v>26455</v>
      </c>
      <c r="S1540" s="5">
        <f t="shared" si="71"/>
        <v>32326.512605042022</v>
      </c>
    </row>
    <row r="1541" spans="1:19" hidden="1" x14ac:dyDescent="0.3">
      <c r="A1541">
        <v>130</v>
      </c>
      <c r="B1541" t="s">
        <v>2244</v>
      </c>
      <c r="C1541" t="s">
        <v>3025</v>
      </c>
      <c r="D1541" s="2" t="s">
        <v>3026</v>
      </c>
      <c r="E1541" t="s">
        <v>3027</v>
      </c>
      <c r="F1541" t="s">
        <v>20</v>
      </c>
      <c r="G1541" t="s">
        <v>21</v>
      </c>
      <c r="H1541" t="s">
        <v>3028</v>
      </c>
      <c r="I1541" t="s">
        <v>23</v>
      </c>
      <c r="J1541" t="s">
        <v>35</v>
      </c>
      <c r="K1541" s="2" t="s">
        <v>2983</v>
      </c>
      <c r="L1541" t="s">
        <v>26</v>
      </c>
      <c r="M1541">
        <v>340508</v>
      </c>
      <c r="N1541">
        <v>1</v>
      </c>
      <c r="O1541" s="3">
        <v>99950</v>
      </c>
      <c r="P1541" s="3">
        <v>53748</v>
      </c>
      <c r="Q1541" s="5">
        <f t="shared" si="69"/>
        <v>83991.596638655465</v>
      </c>
      <c r="R1541" s="5">
        <f t="shared" si="70"/>
        <v>53748</v>
      </c>
      <c r="S1541" s="5">
        <f t="shared" si="71"/>
        <v>30243.596638655465</v>
      </c>
    </row>
    <row r="1542" spans="1:19" hidden="1" x14ac:dyDescent="0.3">
      <c r="A1542">
        <v>130</v>
      </c>
      <c r="B1542" t="s">
        <v>2244</v>
      </c>
      <c r="C1542" t="s">
        <v>3029</v>
      </c>
      <c r="D1542" s="2" t="s">
        <v>3030</v>
      </c>
      <c r="E1542" t="s">
        <v>3031</v>
      </c>
      <c r="F1542" t="s">
        <v>20</v>
      </c>
      <c r="G1542" t="s">
        <v>21</v>
      </c>
      <c r="H1542" t="s">
        <v>2315</v>
      </c>
      <c r="I1542" t="s">
        <v>23</v>
      </c>
      <c r="J1542" t="s">
        <v>49</v>
      </c>
      <c r="K1542" s="2" t="s">
        <v>2983</v>
      </c>
      <c r="L1542" t="s">
        <v>26</v>
      </c>
      <c r="M1542">
        <v>340508</v>
      </c>
      <c r="N1542">
        <v>1</v>
      </c>
      <c r="O1542" s="3">
        <v>74950</v>
      </c>
      <c r="P1542" s="3">
        <v>24255</v>
      </c>
      <c r="Q1542" s="5">
        <f t="shared" ref="Q1542:Q1605" si="72">O1542/1.19</f>
        <v>62983.193277310929</v>
      </c>
      <c r="R1542" s="5">
        <f t="shared" ref="R1542:R1605" si="73">N1542*P1542</f>
        <v>24255</v>
      </c>
      <c r="S1542" s="5">
        <f t="shared" ref="S1542:S1605" si="74">Q1542-R1542</f>
        <v>38728.193277310929</v>
      </c>
    </row>
    <row r="1543" spans="1:19" hidden="1" x14ac:dyDescent="0.3">
      <c r="A1543">
        <v>130</v>
      </c>
      <c r="B1543" t="s">
        <v>2244</v>
      </c>
      <c r="C1543" t="s">
        <v>3032</v>
      </c>
      <c r="D1543" s="2" t="s">
        <v>3033</v>
      </c>
      <c r="E1543" t="s">
        <v>2653</v>
      </c>
      <c r="F1543" t="s">
        <v>20</v>
      </c>
      <c r="G1543" t="s">
        <v>21</v>
      </c>
      <c r="H1543" t="s">
        <v>2315</v>
      </c>
      <c r="I1543" t="s">
        <v>23</v>
      </c>
      <c r="J1543" t="s">
        <v>35</v>
      </c>
      <c r="K1543" s="2" t="s">
        <v>2983</v>
      </c>
      <c r="L1543" t="s">
        <v>26</v>
      </c>
      <c r="M1543">
        <v>340509</v>
      </c>
      <c r="N1543">
        <v>1</v>
      </c>
      <c r="O1543" s="3">
        <v>89950</v>
      </c>
      <c r="P1543" s="3">
        <v>30749</v>
      </c>
      <c r="Q1543" s="5">
        <f t="shared" si="72"/>
        <v>75588.23529411765</v>
      </c>
      <c r="R1543" s="5">
        <f t="shared" si="73"/>
        <v>30749</v>
      </c>
      <c r="S1543" s="5">
        <f t="shared" si="74"/>
        <v>44839.23529411765</v>
      </c>
    </row>
    <row r="1544" spans="1:19" hidden="1" x14ac:dyDescent="0.3">
      <c r="A1544">
        <v>130</v>
      </c>
      <c r="B1544" t="s">
        <v>2244</v>
      </c>
      <c r="C1544" t="s">
        <v>3034</v>
      </c>
      <c r="D1544" s="2" t="s">
        <v>3035</v>
      </c>
      <c r="E1544" t="s">
        <v>3036</v>
      </c>
      <c r="F1544" t="s">
        <v>20</v>
      </c>
      <c r="G1544" t="s">
        <v>338</v>
      </c>
      <c r="H1544">
        <v>25273</v>
      </c>
      <c r="I1544" t="s">
        <v>23</v>
      </c>
      <c r="J1544" t="s">
        <v>35</v>
      </c>
      <c r="K1544" s="2" t="s">
        <v>2983</v>
      </c>
      <c r="L1544" t="s">
        <v>26</v>
      </c>
      <c r="M1544">
        <v>340510</v>
      </c>
      <c r="N1544">
        <v>1</v>
      </c>
      <c r="O1544" s="3">
        <v>99950</v>
      </c>
      <c r="P1544" s="3">
        <v>32658</v>
      </c>
      <c r="Q1544" s="5">
        <f t="shared" si="72"/>
        <v>83991.596638655465</v>
      </c>
      <c r="R1544" s="5">
        <f t="shared" si="73"/>
        <v>32658</v>
      </c>
      <c r="S1544" s="5">
        <f t="shared" si="74"/>
        <v>51333.596638655465</v>
      </c>
    </row>
    <row r="1545" spans="1:19" hidden="1" x14ac:dyDescent="0.3">
      <c r="A1545">
        <v>130</v>
      </c>
      <c r="B1545" t="s">
        <v>2244</v>
      </c>
      <c r="C1545" t="s">
        <v>492</v>
      </c>
      <c r="D1545" s="2" t="s">
        <v>493</v>
      </c>
      <c r="E1545" t="s">
        <v>494</v>
      </c>
      <c r="F1545" t="s">
        <v>20</v>
      </c>
      <c r="G1545" t="s">
        <v>21</v>
      </c>
      <c r="H1545" t="s">
        <v>317</v>
      </c>
      <c r="I1545" t="s">
        <v>23</v>
      </c>
      <c r="J1545" t="s">
        <v>35</v>
      </c>
      <c r="K1545" s="2" t="s">
        <v>2983</v>
      </c>
      <c r="L1545" t="s">
        <v>26</v>
      </c>
      <c r="M1545">
        <v>340511</v>
      </c>
      <c r="N1545">
        <v>1</v>
      </c>
      <c r="O1545" s="3">
        <v>69950</v>
      </c>
      <c r="P1545" s="3">
        <v>23619</v>
      </c>
      <c r="Q1545" s="5">
        <f t="shared" si="72"/>
        <v>58781.512605042022</v>
      </c>
      <c r="R1545" s="5">
        <f t="shared" si="73"/>
        <v>23619</v>
      </c>
      <c r="S1545" s="5">
        <f t="shared" si="74"/>
        <v>35162.512605042022</v>
      </c>
    </row>
    <row r="1546" spans="1:19" hidden="1" x14ac:dyDescent="0.3">
      <c r="A1546">
        <v>130</v>
      </c>
      <c r="B1546" t="s">
        <v>2244</v>
      </c>
      <c r="C1546" t="s">
        <v>3037</v>
      </c>
      <c r="D1546" s="2" t="s">
        <v>3038</v>
      </c>
      <c r="E1546" t="s">
        <v>1404</v>
      </c>
      <c r="F1546" t="s">
        <v>20</v>
      </c>
      <c r="G1546" t="s">
        <v>21</v>
      </c>
      <c r="H1546" t="s">
        <v>1405</v>
      </c>
      <c r="I1546" t="s">
        <v>23</v>
      </c>
      <c r="J1546" t="s">
        <v>40</v>
      </c>
      <c r="K1546" s="2" t="s">
        <v>2983</v>
      </c>
      <c r="L1546" t="s">
        <v>26</v>
      </c>
      <c r="M1546">
        <v>340512</v>
      </c>
      <c r="N1546">
        <v>1</v>
      </c>
      <c r="O1546" s="3">
        <v>49950</v>
      </c>
      <c r="P1546" s="3">
        <v>13302</v>
      </c>
      <c r="Q1546" s="5">
        <f t="shared" si="72"/>
        <v>41974.789915966387</v>
      </c>
      <c r="R1546" s="5">
        <f t="shared" si="73"/>
        <v>13302</v>
      </c>
      <c r="S1546" s="5">
        <f t="shared" si="74"/>
        <v>28672.789915966387</v>
      </c>
    </row>
    <row r="1547" spans="1:19" hidden="1" x14ac:dyDescent="0.3">
      <c r="A1547">
        <v>130</v>
      </c>
      <c r="B1547" t="s">
        <v>2244</v>
      </c>
      <c r="C1547" t="s">
        <v>3039</v>
      </c>
      <c r="D1547" s="2" t="s">
        <v>3040</v>
      </c>
      <c r="E1547" t="s">
        <v>3041</v>
      </c>
      <c r="F1547" t="s">
        <v>20</v>
      </c>
      <c r="G1547" t="s">
        <v>338</v>
      </c>
      <c r="H1547">
        <v>25327</v>
      </c>
      <c r="I1547" t="s">
        <v>23</v>
      </c>
      <c r="J1547" t="s">
        <v>35</v>
      </c>
      <c r="K1547" s="2" t="s">
        <v>2983</v>
      </c>
      <c r="L1547" t="s">
        <v>26</v>
      </c>
      <c r="M1547">
        <v>340513</v>
      </c>
      <c r="N1547">
        <v>1</v>
      </c>
      <c r="O1547" s="3">
        <v>74950</v>
      </c>
      <c r="P1547" s="3">
        <v>23119</v>
      </c>
      <c r="Q1547" s="5">
        <f t="shared" si="72"/>
        <v>62983.193277310929</v>
      </c>
      <c r="R1547" s="5">
        <f t="shared" si="73"/>
        <v>23119</v>
      </c>
      <c r="S1547" s="5">
        <f t="shared" si="74"/>
        <v>39864.193277310929</v>
      </c>
    </row>
    <row r="1548" spans="1:19" hidden="1" x14ac:dyDescent="0.3">
      <c r="A1548">
        <v>130</v>
      </c>
      <c r="B1548" t="s">
        <v>2244</v>
      </c>
      <c r="C1548" t="s">
        <v>2934</v>
      </c>
      <c r="D1548" s="2" t="s">
        <v>2935</v>
      </c>
      <c r="E1548" t="s">
        <v>2936</v>
      </c>
      <c r="F1548" t="s">
        <v>20</v>
      </c>
      <c r="G1548" t="s">
        <v>338</v>
      </c>
      <c r="H1548">
        <v>25357</v>
      </c>
      <c r="I1548" t="s">
        <v>23</v>
      </c>
      <c r="J1548" t="s">
        <v>35</v>
      </c>
      <c r="K1548" s="2" t="s">
        <v>2983</v>
      </c>
      <c r="L1548" t="s">
        <v>26</v>
      </c>
      <c r="M1548">
        <v>340513</v>
      </c>
      <c r="N1548">
        <v>1</v>
      </c>
      <c r="O1548" s="3">
        <v>67950</v>
      </c>
      <c r="P1548" s="3">
        <v>24482</v>
      </c>
      <c r="Q1548" s="5">
        <f t="shared" si="72"/>
        <v>57100.840336134454</v>
      </c>
      <c r="R1548" s="5">
        <f t="shared" si="73"/>
        <v>24482</v>
      </c>
      <c r="S1548" s="5">
        <f t="shared" si="74"/>
        <v>32618.840336134454</v>
      </c>
    </row>
    <row r="1549" spans="1:19" hidden="1" x14ac:dyDescent="0.3">
      <c r="A1549">
        <v>130</v>
      </c>
      <c r="B1549" t="s">
        <v>2244</v>
      </c>
      <c r="C1549" t="s">
        <v>2973</v>
      </c>
      <c r="D1549" s="2" t="s">
        <v>2974</v>
      </c>
      <c r="E1549" t="s">
        <v>1886</v>
      </c>
      <c r="F1549" t="s">
        <v>20</v>
      </c>
      <c r="G1549" t="s">
        <v>21</v>
      </c>
      <c r="H1549" t="s">
        <v>1887</v>
      </c>
      <c r="I1549" t="s">
        <v>23</v>
      </c>
      <c r="J1549" t="s">
        <v>40</v>
      </c>
      <c r="K1549" s="2" t="s">
        <v>2983</v>
      </c>
      <c r="L1549" t="s">
        <v>26</v>
      </c>
      <c r="M1549">
        <v>340514</v>
      </c>
      <c r="N1549">
        <v>1</v>
      </c>
      <c r="O1549" s="3">
        <v>69950</v>
      </c>
      <c r="P1549" s="3">
        <v>21623</v>
      </c>
      <c r="Q1549" s="5">
        <f t="shared" si="72"/>
        <v>58781.512605042022</v>
      </c>
      <c r="R1549" s="5">
        <f t="shared" si="73"/>
        <v>21623</v>
      </c>
      <c r="S1549" s="5">
        <f t="shared" si="74"/>
        <v>37158.512605042022</v>
      </c>
    </row>
    <row r="1550" spans="1:19" hidden="1" x14ac:dyDescent="0.3">
      <c r="A1550">
        <v>130</v>
      </c>
      <c r="B1550" t="s">
        <v>2244</v>
      </c>
      <c r="C1550" t="s">
        <v>3042</v>
      </c>
      <c r="D1550" s="2" t="s">
        <v>3043</v>
      </c>
      <c r="E1550" t="s">
        <v>3044</v>
      </c>
      <c r="F1550" t="s">
        <v>20</v>
      </c>
      <c r="G1550" t="s">
        <v>215</v>
      </c>
      <c r="H1550" t="s">
        <v>3045</v>
      </c>
      <c r="I1550" t="s">
        <v>23</v>
      </c>
      <c r="J1550" t="s">
        <v>49</v>
      </c>
      <c r="K1550" s="2" t="s">
        <v>2983</v>
      </c>
      <c r="L1550" t="s">
        <v>26</v>
      </c>
      <c r="M1550">
        <v>340515</v>
      </c>
      <c r="N1550">
        <v>1</v>
      </c>
      <c r="O1550" s="3">
        <v>69990</v>
      </c>
      <c r="P1550" s="3">
        <v>35744</v>
      </c>
      <c r="Q1550" s="5">
        <f t="shared" si="72"/>
        <v>58815.126050420171</v>
      </c>
      <c r="R1550" s="5">
        <f t="shared" si="73"/>
        <v>35744</v>
      </c>
      <c r="S1550" s="5">
        <f t="shared" si="74"/>
        <v>23071.126050420171</v>
      </c>
    </row>
    <row r="1551" spans="1:19" hidden="1" x14ac:dyDescent="0.3">
      <c r="A1551">
        <v>130</v>
      </c>
      <c r="B1551" t="s">
        <v>2244</v>
      </c>
      <c r="C1551" t="s">
        <v>3046</v>
      </c>
      <c r="D1551" s="2" t="s">
        <v>3047</v>
      </c>
      <c r="E1551" t="s">
        <v>3048</v>
      </c>
      <c r="F1551" t="s">
        <v>20</v>
      </c>
      <c r="G1551" t="s">
        <v>21</v>
      </c>
      <c r="H1551" t="s">
        <v>2484</v>
      </c>
      <c r="I1551" t="s">
        <v>23</v>
      </c>
      <c r="J1551" t="s">
        <v>40</v>
      </c>
      <c r="K1551" s="2" t="s">
        <v>2983</v>
      </c>
      <c r="L1551" t="s">
        <v>26</v>
      </c>
      <c r="M1551">
        <v>340516</v>
      </c>
      <c r="N1551">
        <v>1</v>
      </c>
      <c r="O1551" s="3">
        <v>59950</v>
      </c>
      <c r="P1551" s="3">
        <v>17503</v>
      </c>
      <c r="Q1551" s="5">
        <f t="shared" si="72"/>
        <v>50378.151260504201</v>
      </c>
      <c r="R1551" s="5">
        <f t="shared" si="73"/>
        <v>17503</v>
      </c>
      <c r="S1551" s="5">
        <f t="shared" si="74"/>
        <v>32875.151260504201</v>
      </c>
    </row>
    <row r="1552" spans="1:19" hidden="1" x14ac:dyDescent="0.3">
      <c r="A1552">
        <v>130</v>
      </c>
      <c r="B1552" t="s">
        <v>2244</v>
      </c>
      <c r="C1552" t="s">
        <v>3049</v>
      </c>
      <c r="D1552" s="2" t="s">
        <v>3050</v>
      </c>
      <c r="E1552" t="s">
        <v>3051</v>
      </c>
      <c r="F1552" t="s">
        <v>20</v>
      </c>
      <c r="G1552" t="s">
        <v>21</v>
      </c>
      <c r="H1552" t="s">
        <v>1440</v>
      </c>
      <c r="I1552" t="s">
        <v>23</v>
      </c>
      <c r="J1552" t="s">
        <v>40</v>
      </c>
      <c r="K1552" s="2" t="s">
        <v>2983</v>
      </c>
      <c r="L1552" t="s">
        <v>26</v>
      </c>
      <c r="M1552">
        <v>340517</v>
      </c>
      <c r="N1552">
        <v>1</v>
      </c>
      <c r="O1552" s="3">
        <v>64950</v>
      </c>
      <c r="P1552" s="3">
        <v>17328</v>
      </c>
      <c r="Q1552" s="5">
        <f t="shared" si="72"/>
        <v>54579.831932773115</v>
      </c>
      <c r="R1552" s="5">
        <f t="shared" si="73"/>
        <v>17328</v>
      </c>
      <c r="S1552" s="5">
        <f t="shared" si="74"/>
        <v>37251.831932773115</v>
      </c>
    </row>
    <row r="1553" spans="1:19" hidden="1" x14ac:dyDescent="0.3">
      <c r="A1553">
        <v>130</v>
      </c>
      <c r="B1553" t="s">
        <v>2244</v>
      </c>
      <c r="C1553" t="s">
        <v>3052</v>
      </c>
      <c r="D1553" s="2" t="s">
        <v>3053</v>
      </c>
      <c r="E1553" t="s">
        <v>2446</v>
      </c>
      <c r="F1553" t="s">
        <v>20</v>
      </c>
      <c r="G1553" t="s">
        <v>21</v>
      </c>
      <c r="H1553" t="s">
        <v>1286</v>
      </c>
      <c r="I1553" t="s">
        <v>23</v>
      </c>
      <c r="J1553" t="s">
        <v>40</v>
      </c>
      <c r="K1553" s="2" t="s">
        <v>2983</v>
      </c>
      <c r="L1553" t="s">
        <v>26</v>
      </c>
      <c r="M1553">
        <v>340518</v>
      </c>
      <c r="N1553">
        <v>1</v>
      </c>
      <c r="O1553" s="3">
        <v>69950</v>
      </c>
      <c r="P1553" s="3">
        <v>19604</v>
      </c>
      <c r="Q1553" s="5">
        <f t="shared" si="72"/>
        <v>58781.512605042022</v>
      </c>
      <c r="R1553" s="5">
        <f t="shared" si="73"/>
        <v>19604</v>
      </c>
      <c r="S1553" s="5">
        <f t="shared" si="74"/>
        <v>39177.512605042022</v>
      </c>
    </row>
    <row r="1554" spans="1:19" hidden="1" x14ac:dyDescent="0.3">
      <c r="A1554">
        <v>130</v>
      </c>
      <c r="B1554" t="s">
        <v>2244</v>
      </c>
      <c r="C1554" t="s">
        <v>3054</v>
      </c>
      <c r="D1554" s="2" t="s">
        <v>3055</v>
      </c>
      <c r="E1554" t="s">
        <v>2870</v>
      </c>
      <c r="F1554" t="s">
        <v>20</v>
      </c>
      <c r="G1554" t="s">
        <v>21</v>
      </c>
      <c r="H1554" t="s">
        <v>30</v>
      </c>
      <c r="I1554" t="s">
        <v>23</v>
      </c>
      <c r="J1554" t="s">
        <v>35</v>
      </c>
      <c r="K1554" s="2" t="s">
        <v>2983</v>
      </c>
      <c r="L1554" t="s">
        <v>26</v>
      </c>
      <c r="M1554">
        <v>340519</v>
      </c>
      <c r="N1554">
        <v>1</v>
      </c>
      <c r="O1554" s="3">
        <v>79950</v>
      </c>
      <c r="P1554" s="3">
        <v>30749</v>
      </c>
      <c r="Q1554" s="5">
        <f t="shared" si="72"/>
        <v>67184.873949579836</v>
      </c>
      <c r="R1554" s="5">
        <f t="shared" si="73"/>
        <v>30749</v>
      </c>
      <c r="S1554" s="5">
        <f t="shared" si="74"/>
        <v>36435.873949579836</v>
      </c>
    </row>
    <row r="1555" spans="1:19" hidden="1" x14ac:dyDescent="0.3">
      <c r="A1555">
        <v>130</v>
      </c>
      <c r="B1555" t="s">
        <v>2244</v>
      </c>
      <c r="C1555" t="s">
        <v>3056</v>
      </c>
      <c r="D1555" s="2" t="s">
        <v>3057</v>
      </c>
      <c r="E1555" t="s">
        <v>3058</v>
      </c>
      <c r="F1555" t="s">
        <v>20</v>
      </c>
      <c r="G1555" t="s">
        <v>338</v>
      </c>
      <c r="H1555">
        <v>26419</v>
      </c>
      <c r="I1555" t="s">
        <v>23</v>
      </c>
      <c r="J1555" t="s">
        <v>35</v>
      </c>
      <c r="K1555" s="2" t="s">
        <v>2983</v>
      </c>
      <c r="L1555" t="s">
        <v>26</v>
      </c>
      <c r="M1555">
        <v>340520</v>
      </c>
      <c r="N1555">
        <v>1</v>
      </c>
      <c r="O1555" s="3">
        <v>63710</v>
      </c>
      <c r="P1555" s="3">
        <v>24346</v>
      </c>
      <c r="Q1555" s="5">
        <f t="shared" si="72"/>
        <v>53537.815126050424</v>
      </c>
      <c r="R1555" s="5">
        <f t="shared" si="73"/>
        <v>24346</v>
      </c>
      <c r="S1555" s="5">
        <f t="shared" si="74"/>
        <v>29191.815126050424</v>
      </c>
    </row>
    <row r="1556" spans="1:19" hidden="1" x14ac:dyDescent="0.3">
      <c r="A1556">
        <v>130</v>
      </c>
      <c r="B1556" t="s">
        <v>2244</v>
      </c>
      <c r="C1556" t="s">
        <v>3059</v>
      </c>
      <c r="D1556" s="2" t="s">
        <v>3060</v>
      </c>
      <c r="E1556" t="s">
        <v>3061</v>
      </c>
      <c r="F1556" t="s">
        <v>20</v>
      </c>
      <c r="G1556" t="s">
        <v>21</v>
      </c>
      <c r="H1556" t="s">
        <v>2315</v>
      </c>
      <c r="I1556" t="s">
        <v>23</v>
      </c>
      <c r="J1556" t="s">
        <v>49</v>
      </c>
      <c r="K1556" s="2" t="s">
        <v>2983</v>
      </c>
      <c r="L1556" t="s">
        <v>26</v>
      </c>
      <c r="M1556">
        <v>340521</v>
      </c>
      <c r="N1556">
        <v>1</v>
      </c>
      <c r="O1556" s="3">
        <v>74950</v>
      </c>
      <c r="P1556" s="3">
        <v>29090</v>
      </c>
      <c r="Q1556" s="5">
        <f t="shared" si="72"/>
        <v>62983.193277310929</v>
      </c>
      <c r="R1556" s="5">
        <f t="shared" si="73"/>
        <v>29090</v>
      </c>
      <c r="S1556" s="5">
        <f t="shared" si="74"/>
        <v>33893.193277310929</v>
      </c>
    </row>
    <row r="1557" spans="1:19" hidden="1" x14ac:dyDescent="0.3">
      <c r="A1557">
        <v>130</v>
      </c>
      <c r="B1557" t="s">
        <v>2244</v>
      </c>
      <c r="C1557">
        <v>1687976791</v>
      </c>
      <c r="D1557" s="2" t="s">
        <v>200</v>
      </c>
      <c r="E1557" t="s">
        <v>201</v>
      </c>
      <c r="F1557" t="s">
        <v>201</v>
      </c>
      <c r="G1557" t="s">
        <v>202</v>
      </c>
      <c r="H1557" t="s">
        <v>202</v>
      </c>
      <c r="I1557" t="s">
        <v>23</v>
      </c>
      <c r="J1557" t="s">
        <v>202</v>
      </c>
      <c r="K1557" s="2" t="s">
        <v>2983</v>
      </c>
      <c r="L1557" t="s">
        <v>26</v>
      </c>
      <c r="M1557">
        <v>340522</v>
      </c>
      <c r="N1557">
        <v>1</v>
      </c>
      <c r="O1557" s="3">
        <v>3400</v>
      </c>
      <c r="P1557">
        <v>1</v>
      </c>
      <c r="Q1557" s="5">
        <f t="shared" si="72"/>
        <v>2857.1428571428573</v>
      </c>
      <c r="R1557" s="5">
        <f t="shared" si="73"/>
        <v>1</v>
      </c>
      <c r="S1557" s="5">
        <f t="shared" si="74"/>
        <v>2856.1428571428573</v>
      </c>
    </row>
    <row r="1558" spans="1:19" hidden="1" x14ac:dyDescent="0.3">
      <c r="A1558">
        <v>130</v>
      </c>
      <c r="B1558" t="s">
        <v>2244</v>
      </c>
      <c r="C1558" t="s">
        <v>3062</v>
      </c>
      <c r="D1558" s="2" t="s">
        <v>3063</v>
      </c>
      <c r="E1558" t="s">
        <v>1858</v>
      </c>
      <c r="F1558" t="s">
        <v>20</v>
      </c>
      <c r="G1558" t="s">
        <v>21</v>
      </c>
      <c r="H1558" t="s">
        <v>1337</v>
      </c>
      <c r="I1558" t="s">
        <v>23</v>
      </c>
      <c r="J1558" t="s">
        <v>49</v>
      </c>
      <c r="K1558" s="2" t="s">
        <v>2983</v>
      </c>
      <c r="L1558" t="s">
        <v>26</v>
      </c>
      <c r="M1558">
        <v>340522</v>
      </c>
      <c r="N1558">
        <v>1</v>
      </c>
      <c r="O1558" s="3">
        <v>49990</v>
      </c>
      <c r="P1558" s="3">
        <v>18970</v>
      </c>
      <c r="Q1558" s="5">
        <f t="shared" si="72"/>
        <v>42008.403361344543</v>
      </c>
      <c r="R1558" s="5">
        <f t="shared" si="73"/>
        <v>18970</v>
      </c>
      <c r="S1558" s="5">
        <f t="shared" si="74"/>
        <v>23038.403361344543</v>
      </c>
    </row>
    <row r="1559" spans="1:19" hidden="1" x14ac:dyDescent="0.3">
      <c r="A1559">
        <v>130</v>
      </c>
      <c r="B1559" t="s">
        <v>2244</v>
      </c>
      <c r="C1559" t="s">
        <v>3064</v>
      </c>
      <c r="D1559" s="2" t="s">
        <v>3065</v>
      </c>
      <c r="E1559" t="s">
        <v>3031</v>
      </c>
      <c r="F1559" t="s">
        <v>20</v>
      </c>
      <c r="G1559" t="s">
        <v>21</v>
      </c>
      <c r="H1559" t="s">
        <v>2315</v>
      </c>
      <c r="I1559" t="s">
        <v>23</v>
      </c>
      <c r="J1559" t="s">
        <v>49</v>
      </c>
      <c r="K1559" s="2" t="s">
        <v>2983</v>
      </c>
      <c r="L1559" t="s">
        <v>26</v>
      </c>
      <c r="M1559">
        <v>340523</v>
      </c>
      <c r="N1559">
        <v>1</v>
      </c>
      <c r="O1559" s="3">
        <v>74950</v>
      </c>
      <c r="P1559" s="3">
        <v>24255</v>
      </c>
      <c r="Q1559" s="5">
        <f t="shared" si="72"/>
        <v>62983.193277310929</v>
      </c>
      <c r="R1559" s="5">
        <f t="shared" si="73"/>
        <v>24255</v>
      </c>
      <c r="S1559" s="5">
        <f t="shared" si="74"/>
        <v>38728.193277310929</v>
      </c>
    </row>
    <row r="1560" spans="1:19" hidden="1" x14ac:dyDescent="0.3">
      <c r="A1560">
        <v>130</v>
      </c>
      <c r="B1560" t="s">
        <v>2244</v>
      </c>
      <c r="C1560" t="s">
        <v>2644</v>
      </c>
      <c r="D1560" s="2" t="s">
        <v>2645</v>
      </c>
      <c r="E1560" t="s">
        <v>428</v>
      </c>
      <c r="F1560" t="s">
        <v>20</v>
      </c>
      <c r="G1560" t="s">
        <v>21</v>
      </c>
      <c r="H1560" t="s">
        <v>429</v>
      </c>
      <c r="I1560" t="s">
        <v>23</v>
      </c>
      <c r="J1560" t="s">
        <v>49</v>
      </c>
      <c r="K1560" s="2" t="s">
        <v>2983</v>
      </c>
      <c r="L1560" t="s">
        <v>26</v>
      </c>
      <c r="M1560">
        <v>340524</v>
      </c>
      <c r="N1560">
        <v>1</v>
      </c>
      <c r="O1560" s="3">
        <v>59990</v>
      </c>
      <c r="P1560" s="3">
        <v>28864</v>
      </c>
      <c r="Q1560" s="5">
        <f t="shared" si="72"/>
        <v>50411.764705882357</v>
      </c>
      <c r="R1560" s="5">
        <f t="shared" si="73"/>
        <v>28864</v>
      </c>
      <c r="S1560" s="5">
        <f t="shared" si="74"/>
        <v>21547.764705882357</v>
      </c>
    </row>
    <row r="1561" spans="1:19" hidden="1" x14ac:dyDescent="0.3">
      <c r="A1561">
        <v>130</v>
      </c>
      <c r="B1561" t="s">
        <v>2244</v>
      </c>
      <c r="C1561" t="s">
        <v>554</v>
      </c>
      <c r="D1561" s="2" t="s">
        <v>555</v>
      </c>
      <c r="E1561" t="s">
        <v>556</v>
      </c>
      <c r="F1561" t="s">
        <v>20</v>
      </c>
      <c r="G1561" t="s">
        <v>21</v>
      </c>
      <c r="H1561" t="s">
        <v>557</v>
      </c>
      <c r="I1561" t="s">
        <v>23</v>
      </c>
      <c r="J1561" t="s">
        <v>40</v>
      </c>
      <c r="K1561" s="2" t="s">
        <v>2983</v>
      </c>
      <c r="L1561" t="s">
        <v>26</v>
      </c>
      <c r="M1561">
        <v>340525</v>
      </c>
      <c r="N1561">
        <v>1</v>
      </c>
      <c r="O1561" s="3">
        <v>54990</v>
      </c>
      <c r="P1561" s="3">
        <v>28049</v>
      </c>
      <c r="Q1561" s="5">
        <f t="shared" si="72"/>
        <v>46210.08403361345</v>
      </c>
      <c r="R1561" s="5">
        <f t="shared" si="73"/>
        <v>28049</v>
      </c>
      <c r="S1561" s="5">
        <f t="shared" si="74"/>
        <v>18161.08403361345</v>
      </c>
    </row>
    <row r="1562" spans="1:19" hidden="1" x14ac:dyDescent="0.3">
      <c r="A1562">
        <v>130</v>
      </c>
      <c r="B1562" t="s">
        <v>2244</v>
      </c>
      <c r="C1562" t="s">
        <v>3066</v>
      </c>
      <c r="D1562" s="2" t="s">
        <v>3067</v>
      </c>
      <c r="E1562" t="s">
        <v>3068</v>
      </c>
      <c r="F1562" t="s">
        <v>20</v>
      </c>
      <c r="G1562" t="s">
        <v>21</v>
      </c>
      <c r="H1562" t="s">
        <v>1286</v>
      </c>
      <c r="I1562" t="s">
        <v>23</v>
      </c>
      <c r="J1562" t="s">
        <v>40</v>
      </c>
      <c r="K1562" s="2" t="s">
        <v>2983</v>
      </c>
      <c r="L1562" t="s">
        <v>26</v>
      </c>
      <c r="M1562">
        <v>340526</v>
      </c>
      <c r="N1562">
        <v>1</v>
      </c>
      <c r="O1562" s="3">
        <v>69950</v>
      </c>
      <c r="P1562" s="3">
        <v>19604</v>
      </c>
      <c r="Q1562" s="5">
        <f t="shared" si="72"/>
        <v>58781.512605042022</v>
      </c>
      <c r="R1562" s="5">
        <f t="shared" si="73"/>
        <v>19604</v>
      </c>
      <c r="S1562" s="5">
        <f t="shared" si="74"/>
        <v>39177.512605042022</v>
      </c>
    </row>
    <row r="1563" spans="1:19" hidden="1" x14ac:dyDescent="0.3">
      <c r="A1563">
        <v>130</v>
      </c>
      <c r="B1563" t="s">
        <v>2244</v>
      </c>
      <c r="C1563" t="s">
        <v>726</v>
      </c>
      <c r="D1563" s="2" t="s">
        <v>727</v>
      </c>
      <c r="E1563" t="s">
        <v>728</v>
      </c>
      <c r="F1563" t="s">
        <v>20</v>
      </c>
      <c r="G1563" t="s">
        <v>21</v>
      </c>
      <c r="H1563" t="s">
        <v>729</v>
      </c>
      <c r="I1563" t="s">
        <v>23</v>
      </c>
      <c r="J1563" t="s">
        <v>207</v>
      </c>
      <c r="K1563" s="2" t="s">
        <v>2983</v>
      </c>
      <c r="L1563" t="s">
        <v>26</v>
      </c>
      <c r="M1563">
        <v>340527</v>
      </c>
      <c r="N1563">
        <v>-1</v>
      </c>
      <c r="O1563" s="3">
        <v>-39990</v>
      </c>
      <c r="P1563" s="3">
        <v>29974</v>
      </c>
      <c r="Q1563" s="5">
        <f t="shared" si="72"/>
        <v>-33605.042016806721</v>
      </c>
      <c r="R1563" s="5">
        <f t="shared" si="73"/>
        <v>-29974</v>
      </c>
      <c r="S1563" s="5">
        <f t="shared" si="74"/>
        <v>-3631.0420168067212</v>
      </c>
    </row>
    <row r="1564" spans="1:19" hidden="1" x14ac:dyDescent="0.3">
      <c r="A1564">
        <v>130</v>
      </c>
      <c r="B1564" t="s">
        <v>2244</v>
      </c>
      <c r="C1564" t="s">
        <v>3069</v>
      </c>
      <c r="D1564" s="2" t="s">
        <v>3070</v>
      </c>
      <c r="E1564" t="s">
        <v>3027</v>
      </c>
      <c r="F1564" t="s">
        <v>20</v>
      </c>
      <c r="G1564" t="s">
        <v>21</v>
      </c>
      <c r="H1564" t="s">
        <v>3028</v>
      </c>
      <c r="I1564" t="s">
        <v>23</v>
      </c>
      <c r="J1564" t="s">
        <v>35</v>
      </c>
      <c r="K1564" s="2" t="s">
        <v>2983</v>
      </c>
      <c r="L1564" t="s">
        <v>26</v>
      </c>
      <c r="M1564">
        <v>340527</v>
      </c>
      <c r="N1564">
        <v>1</v>
      </c>
      <c r="O1564" s="3">
        <v>99950</v>
      </c>
      <c r="P1564" s="3">
        <v>53748</v>
      </c>
      <c r="Q1564" s="5">
        <f t="shared" si="72"/>
        <v>83991.596638655465</v>
      </c>
      <c r="R1564" s="5">
        <f t="shared" si="73"/>
        <v>53748</v>
      </c>
      <c r="S1564" s="5">
        <f t="shared" si="74"/>
        <v>30243.596638655465</v>
      </c>
    </row>
    <row r="1565" spans="1:19" hidden="1" x14ac:dyDescent="0.3">
      <c r="A1565">
        <v>130</v>
      </c>
      <c r="B1565" t="s">
        <v>2244</v>
      </c>
      <c r="C1565" t="s">
        <v>3071</v>
      </c>
      <c r="D1565" s="2" t="s">
        <v>3072</v>
      </c>
      <c r="E1565" t="s">
        <v>3073</v>
      </c>
      <c r="F1565" t="s">
        <v>20</v>
      </c>
      <c r="G1565" t="s">
        <v>338</v>
      </c>
      <c r="H1565">
        <v>25391</v>
      </c>
      <c r="I1565" t="s">
        <v>23</v>
      </c>
      <c r="J1565" t="s">
        <v>35</v>
      </c>
      <c r="K1565" s="2" t="s">
        <v>3074</v>
      </c>
      <c r="L1565" t="s">
        <v>26</v>
      </c>
      <c r="M1565">
        <v>340528</v>
      </c>
      <c r="N1565">
        <v>1</v>
      </c>
      <c r="O1565" s="3">
        <v>109950</v>
      </c>
      <c r="P1565" s="3">
        <v>34974</v>
      </c>
      <c r="Q1565" s="5">
        <f t="shared" si="72"/>
        <v>92394.957983193279</v>
      </c>
      <c r="R1565" s="5">
        <f t="shared" si="73"/>
        <v>34974</v>
      </c>
      <c r="S1565" s="5">
        <f t="shared" si="74"/>
        <v>57420.957983193279</v>
      </c>
    </row>
    <row r="1566" spans="1:19" hidden="1" x14ac:dyDescent="0.3">
      <c r="A1566">
        <v>130</v>
      </c>
      <c r="B1566" t="s">
        <v>2244</v>
      </c>
      <c r="C1566" t="s">
        <v>3075</v>
      </c>
      <c r="D1566" s="2" t="s">
        <v>3076</v>
      </c>
      <c r="E1566" t="s">
        <v>2433</v>
      </c>
      <c r="F1566" t="s">
        <v>20</v>
      </c>
      <c r="G1566" t="s">
        <v>338</v>
      </c>
      <c r="H1566">
        <v>24722</v>
      </c>
      <c r="I1566" t="s">
        <v>23</v>
      </c>
      <c r="J1566" t="s">
        <v>95</v>
      </c>
      <c r="K1566" s="2" t="s">
        <v>3074</v>
      </c>
      <c r="L1566" t="s">
        <v>26</v>
      </c>
      <c r="M1566">
        <v>340529</v>
      </c>
      <c r="N1566">
        <v>1</v>
      </c>
      <c r="O1566" s="3">
        <v>89950</v>
      </c>
      <c r="P1566" s="3">
        <v>30987</v>
      </c>
      <c r="Q1566" s="5">
        <f t="shared" si="72"/>
        <v>75588.23529411765</v>
      </c>
      <c r="R1566" s="5">
        <f t="shared" si="73"/>
        <v>30987</v>
      </c>
      <c r="S1566" s="5">
        <f t="shared" si="74"/>
        <v>44601.23529411765</v>
      </c>
    </row>
    <row r="1567" spans="1:19" hidden="1" x14ac:dyDescent="0.3">
      <c r="A1567">
        <v>130</v>
      </c>
      <c r="B1567" t="s">
        <v>2244</v>
      </c>
      <c r="C1567" t="s">
        <v>3077</v>
      </c>
      <c r="D1567" s="2" t="s">
        <v>3078</v>
      </c>
      <c r="E1567" t="s">
        <v>1123</v>
      </c>
      <c r="F1567" t="s">
        <v>20</v>
      </c>
      <c r="G1567" t="s">
        <v>21</v>
      </c>
      <c r="H1567" t="s">
        <v>1124</v>
      </c>
      <c r="I1567" t="s">
        <v>23</v>
      </c>
      <c r="J1567" t="s">
        <v>24</v>
      </c>
      <c r="K1567" s="2" t="s">
        <v>3074</v>
      </c>
      <c r="L1567" t="s">
        <v>26</v>
      </c>
      <c r="M1567">
        <v>340530</v>
      </c>
      <c r="N1567">
        <v>1</v>
      </c>
      <c r="O1567" s="3">
        <v>63700</v>
      </c>
      <c r="P1567" s="3">
        <v>25857</v>
      </c>
      <c r="Q1567" s="5">
        <f t="shared" si="72"/>
        <v>53529.411764705888</v>
      </c>
      <c r="R1567" s="5">
        <f t="shared" si="73"/>
        <v>25857</v>
      </c>
      <c r="S1567" s="5">
        <f t="shared" si="74"/>
        <v>27672.411764705888</v>
      </c>
    </row>
    <row r="1568" spans="1:19" hidden="1" x14ac:dyDescent="0.3">
      <c r="A1568">
        <v>130</v>
      </c>
      <c r="B1568" t="s">
        <v>2244</v>
      </c>
      <c r="C1568" t="s">
        <v>3079</v>
      </c>
      <c r="D1568" s="2" t="s">
        <v>3080</v>
      </c>
      <c r="E1568" t="s">
        <v>3031</v>
      </c>
      <c r="F1568" t="s">
        <v>20</v>
      </c>
      <c r="G1568" t="s">
        <v>21</v>
      </c>
      <c r="H1568" t="s">
        <v>2315</v>
      </c>
      <c r="I1568" t="s">
        <v>23</v>
      </c>
      <c r="J1568" t="s">
        <v>49</v>
      </c>
      <c r="K1568" s="2" t="s">
        <v>3074</v>
      </c>
      <c r="L1568" t="s">
        <v>26</v>
      </c>
      <c r="M1568">
        <v>340530</v>
      </c>
      <c r="N1568">
        <v>1</v>
      </c>
      <c r="O1568" s="3">
        <v>74950</v>
      </c>
      <c r="P1568" s="3">
        <v>24256</v>
      </c>
      <c r="Q1568" s="5">
        <f t="shared" si="72"/>
        <v>62983.193277310929</v>
      </c>
      <c r="R1568" s="5">
        <f t="shared" si="73"/>
        <v>24256</v>
      </c>
      <c r="S1568" s="5">
        <f t="shared" si="74"/>
        <v>38727.193277310929</v>
      </c>
    </row>
    <row r="1569" spans="1:19" hidden="1" x14ac:dyDescent="0.3">
      <c r="A1569">
        <v>130</v>
      </c>
      <c r="B1569" t="s">
        <v>2244</v>
      </c>
      <c r="C1569" t="s">
        <v>3081</v>
      </c>
      <c r="D1569" s="2" t="s">
        <v>3082</v>
      </c>
      <c r="E1569" t="s">
        <v>3083</v>
      </c>
      <c r="F1569" t="s">
        <v>20</v>
      </c>
      <c r="G1569" t="s">
        <v>21</v>
      </c>
      <c r="H1569" t="s">
        <v>2469</v>
      </c>
      <c r="I1569" t="s">
        <v>23</v>
      </c>
      <c r="J1569" t="s">
        <v>35</v>
      </c>
      <c r="K1569" s="2" t="s">
        <v>3074</v>
      </c>
      <c r="L1569" t="s">
        <v>26</v>
      </c>
      <c r="M1569">
        <v>340531</v>
      </c>
      <c r="N1569">
        <v>1</v>
      </c>
      <c r="O1569" s="3">
        <v>69990</v>
      </c>
      <c r="P1569" s="3">
        <v>29635</v>
      </c>
      <c r="Q1569" s="5">
        <f t="shared" si="72"/>
        <v>58815.126050420171</v>
      </c>
      <c r="R1569" s="5">
        <f t="shared" si="73"/>
        <v>29635</v>
      </c>
      <c r="S1569" s="5">
        <f t="shared" si="74"/>
        <v>29180.126050420171</v>
      </c>
    </row>
    <row r="1570" spans="1:19" hidden="1" x14ac:dyDescent="0.3">
      <c r="A1570">
        <v>130</v>
      </c>
      <c r="B1570" t="s">
        <v>2244</v>
      </c>
      <c r="C1570" t="s">
        <v>2338</v>
      </c>
      <c r="D1570" s="2" t="s">
        <v>2339</v>
      </c>
      <c r="E1570" t="s">
        <v>2340</v>
      </c>
      <c r="F1570" t="s">
        <v>20</v>
      </c>
      <c r="G1570" t="s">
        <v>21</v>
      </c>
      <c r="H1570" t="s">
        <v>1914</v>
      </c>
      <c r="I1570" t="s">
        <v>23</v>
      </c>
      <c r="J1570" t="s">
        <v>35</v>
      </c>
      <c r="K1570" s="2" t="s">
        <v>3074</v>
      </c>
      <c r="L1570" t="s">
        <v>26</v>
      </c>
      <c r="M1570">
        <v>340531</v>
      </c>
      <c r="N1570">
        <v>1</v>
      </c>
      <c r="O1570" s="3">
        <v>76450</v>
      </c>
      <c r="P1570" s="3">
        <v>27630</v>
      </c>
      <c r="Q1570" s="5">
        <f t="shared" si="72"/>
        <v>64243.697478991598</v>
      </c>
      <c r="R1570" s="5">
        <f t="shared" si="73"/>
        <v>27630</v>
      </c>
      <c r="S1570" s="5">
        <f t="shared" si="74"/>
        <v>36613.697478991598</v>
      </c>
    </row>
    <row r="1571" spans="1:19" hidden="1" x14ac:dyDescent="0.3">
      <c r="A1571">
        <v>130</v>
      </c>
      <c r="B1571" t="s">
        <v>2244</v>
      </c>
      <c r="C1571" t="s">
        <v>3084</v>
      </c>
      <c r="D1571" s="2" t="s">
        <v>3085</v>
      </c>
      <c r="E1571" t="s">
        <v>3086</v>
      </c>
      <c r="F1571" t="s">
        <v>20</v>
      </c>
      <c r="G1571" t="s">
        <v>21</v>
      </c>
      <c r="H1571" t="s">
        <v>1418</v>
      </c>
      <c r="I1571" t="s">
        <v>23</v>
      </c>
      <c r="J1571" t="s">
        <v>35</v>
      </c>
      <c r="K1571" s="2" t="s">
        <v>3074</v>
      </c>
      <c r="L1571" t="s">
        <v>26</v>
      </c>
      <c r="M1571">
        <v>340532</v>
      </c>
      <c r="N1571">
        <v>1</v>
      </c>
      <c r="O1571" s="3">
        <v>64990</v>
      </c>
      <c r="P1571" s="3">
        <v>29189</v>
      </c>
      <c r="Q1571" s="5">
        <f t="shared" si="72"/>
        <v>54613.445378151264</v>
      </c>
      <c r="R1571" s="5">
        <f t="shared" si="73"/>
        <v>29189</v>
      </c>
      <c r="S1571" s="5">
        <f t="shared" si="74"/>
        <v>25424.445378151264</v>
      </c>
    </row>
    <row r="1572" spans="1:19" hidden="1" x14ac:dyDescent="0.3">
      <c r="A1572">
        <v>130</v>
      </c>
      <c r="B1572" t="s">
        <v>2244</v>
      </c>
      <c r="C1572" t="s">
        <v>3087</v>
      </c>
      <c r="D1572" s="2" t="s">
        <v>3088</v>
      </c>
      <c r="E1572" t="s">
        <v>2933</v>
      </c>
      <c r="F1572" t="s">
        <v>20</v>
      </c>
      <c r="G1572" t="s">
        <v>338</v>
      </c>
      <c r="H1572">
        <v>25539</v>
      </c>
      <c r="I1572" t="s">
        <v>23</v>
      </c>
      <c r="J1572" t="s">
        <v>31</v>
      </c>
      <c r="K1572" s="2" t="s">
        <v>3074</v>
      </c>
      <c r="L1572" t="s">
        <v>26</v>
      </c>
      <c r="M1572">
        <v>340533</v>
      </c>
      <c r="N1572">
        <v>1</v>
      </c>
      <c r="O1572" s="3">
        <v>139950</v>
      </c>
      <c r="P1572" s="3">
        <v>46011</v>
      </c>
      <c r="Q1572" s="5">
        <f t="shared" si="72"/>
        <v>117605.04201680672</v>
      </c>
      <c r="R1572" s="5">
        <f t="shared" si="73"/>
        <v>46011</v>
      </c>
      <c r="S1572" s="5">
        <f t="shared" si="74"/>
        <v>71594.042016806721</v>
      </c>
    </row>
    <row r="1573" spans="1:19" hidden="1" x14ac:dyDescent="0.3">
      <c r="A1573">
        <v>130</v>
      </c>
      <c r="B1573" t="s">
        <v>2244</v>
      </c>
      <c r="C1573" t="s">
        <v>3089</v>
      </c>
      <c r="D1573" s="2" t="s">
        <v>3090</v>
      </c>
      <c r="E1573" t="s">
        <v>3091</v>
      </c>
      <c r="F1573" t="s">
        <v>20</v>
      </c>
      <c r="G1573" t="s">
        <v>338</v>
      </c>
      <c r="H1573">
        <v>26266</v>
      </c>
      <c r="I1573" t="s">
        <v>23</v>
      </c>
      <c r="J1573" t="s">
        <v>35</v>
      </c>
      <c r="K1573" s="2" t="s">
        <v>3074</v>
      </c>
      <c r="L1573" t="s">
        <v>26</v>
      </c>
      <c r="M1573">
        <v>340533</v>
      </c>
      <c r="N1573">
        <v>1</v>
      </c>
      <c r="O1573" s="3">
        <v>79950</v>
      </c>
      <c r="P1573" s="3">
        <v>25300</v>
      </c>
      <c r="Q1573" s="5">
        <f t="shared" si="72"/>
        <v>67184.873949579836</v>
      </c>
      <c r="R1573" s="5">
        <f t="shared" si="73"/>
        <v>25300</v>
      </c>
      <c r="S1573" s="5">
        <f t="shared" si="74"/>
        <v>41884.873949579836</v>
      </c>
    </row>
    <row r="1574" spans="1:19" hidden="1" x14ac:dyDescent="0.3">
      <c r="A1574">
        <v>130</v>
      </c>
      <c r="B1574" t="s">
        <v>2244</v>
      </c>
      <c r="C1574" t="s">
        <v>2689</v>
      </c>
      <c r="D1574" s="2" t="s">
        <v>2690</v>
      </c>
      <c r="E1574" t="s">
        <v>2195</v>
      </c>
      <c r="F1574" t="s">
        <v>20</v>
      </c>
      <c r="G1574" t="s">
        <v>338</v>
      </c>
      <c r="H1574">
        <v>24722</v>
      </c>
      <c r="I1574" t="s">
        <v>23</v>
      </c>
      <c r="J1574" t="s">
        <v>95</v>
      </c>
      <c r="K1574" s="2" t="s">
        <v>3074</v>
      </c>
      <c r="L1574" t="s">
        <v>26</v>
      </c>
      <c r="M1574">
        <v>340534</v>
      </c>
      <c r="N1574">
        <v>1</v>
      </c>
      <c r="O1574" s="3">
        <v>89950</v>
      </c>
      <c r="P1574" s="3">
        <v>30987</v>
      </c>
      <c r="Q1574" s="5">
        <f t="shared" si="72"/>
        <v>75588.23529411765</v>
      </c>
      <c r="R1574" s="5">
        <f t="shared" si="73"/>
        <v>30987</v>
      </c>
      <c r="S1574" s="5">
        <f t="shared" si="74"/>
        <v>44601.23529411765</v>
      </c>
    </row>
    <row r="1575" spans="1:19" hidden="1" x14ac:dyDescent="0.3">
      <c r="A1575">
        <v>130</v>
      </c>
      <c r="B1575" t="s">
        <v>2244</v>
      </c>
      <c r="C1575" t="s">
        <v>2224</v>
      </c>
      <c r="D1575" s="2" t="s">
        <v>2225</v>
      </c>
      <c r="E1575" t="s">
        <v>2226</v>
      </c>
      <c r="F1575" t="s">
        <v>20</v>
      </c>
      <c r="G1575" t="s">
        <v>21</v>
      </c>
      <c r="H1575" t="s">
        <v>53</v>
      </c>
      <c r="I1575" t="s">
        <v>23</v>
      </c>
      <c r="J1575" t="s">
        <v>49</v>
      </c>
      <c r="K1575" s="2" t="s">
        <v>3074</v>
      </c>
      <c r="L1575" t="s">
        <v>26</v>
      </c>
      <c r="M1575">
        <v>340535</v>
      </c>
      <c r="N1575">
        <v>1</v>
      </c>
      <c r="O1575" s="3">
        <v>69950</v>
      </c>
      <c r="P1575" s="3">
        <v>20951</v>
      </c>
      <c r="Q1575" s="5">
        <f t="shared" si="72"/>
        <v>58781.512605042022</v>
      </c>
      <c r="R1575" s="5">
        <f t="shared" si="73"/>
        <v>20951</v>
      </c>
      <c r="S1575" s="5">
        <f t="shared" si="74"/>
        <v>37830.512605042022</v>
      </c>
    </row>
    <row r="1576" spans="1:19" hidden="1" x14ac:dyDescent="0.3">
      <c r="A1576">
        <v>130</v>
      </c>
      <c r="B1576" t="s">
        <v>2244</v>
      </c>
      <c r="C1576">
        <v>1687976791</v>
      </c>
      <c r="D1576" s="2" t="s">
        <v>200</v>
      </c>
      <c r="E1576" t="s">
        <v>201</v>
      </c>
      <c r="F1576" t="s">
        <v>201</v>
      </c>
      <c r="G1576" t="s">
        <v>202</v>
      </c>
      <c r="H1576" t="s">
        <v>202</v>
      </c>
      <c r="I1576" t="s">
        <v>23</v>
      </c>
      <c r="J1576" t="s">
        <v>202</v>
      </c>
      <c r="K1576" s="2" t="s">
        <v>3074</v>
      </c>
      <c r="L1576" t="s">
        <v>26</v>
      </c>
      <c r="M1576">
        <v>340536</v>
      </c>
      <c r="N1576">
        <v>1</v>
      </c>
      <c r="O1576" s="3">
        <v>3200</v>
      </c>
      <c r="P1576">
        <v>1</v>
      </c>
      <c r="Q1576" s="5">
        <f t="shared" si="72"/>
        <v>2689.0756302521008</v>
      </c>
      <c r="R1576" s="5">
        <f t="shared" si="73"/>
        <v>1</v>
      </c>
      <c r="S1576" s="5">
        <f t="shared" si="74"/>
        <v>2688.0756302521008</v>
      </c>
    </row>
    <row r="1577" spans="1:19" hidden="1" x14ac:dyDescent="0.3">
      <c r="A1577">
        <v>130</v>
      </c>
      <c r="B1577" t="s">
        <v>2244</v>
      </c>
      <c r="C1577" t="s">
        <v>3092</v>
      </c>
      <c r="D1577" s="2" t="s">
        <v>3093</v>
      </c>
      <c r="E1577" t="s">
        <v>2589</v>
      </c>
      <c r="F1577" t="s">
        <v>20</v>
      </c>
      <c r="G1577" t="s">
        <v>21</v>
      </c>
      <c r="H1577" t="s">
        <v>53</v>
      </c>
      <c r="I1577" t="s">
        <v>23</v>
      </c>
      <c r="J1577" t="s">
        <v>49</v>
      </c>
      <c r="K1577" s="2" t="s">
        <v>3074</v>
      </c>
      <c r="L1577" t="s">
        <v>26</v>
      </c>
      <c r="M1577">
        <v>340536</v>
      </c>
      <c r="N1577">
        <v>1</v>
      </c>
      <c r="O1577" s="3">
        <v>49990</v>
      </c>
      <c r="P1577" s="3">
        <v>22764</v>
      </c>
      <c r="Q1577" s="5">
        <f t="shared" si="72"/>
        <v>42008.403361344543</v>
      </c>
      <c r="R1577" s="5">
        <f t="shared" si="73"/>
        <v>22764</v>
      </c>
      <c r="S1577" s="5">
        <f t="shared" si="74"/>
        <v>19244.403361344543</v>
      </c>
    </row>
    <row r="1578" spans="1:19" hidden="1" x14ac:dyDescent="0.3">
      <c r="A1578">
        <v>130</v>
      </c>
      <c r="B1578" t="s">
        <v>2244</v>
      </c>
      <c r="C1578" t="s">
        <v>3094</v>
      </c>
      <c r="D1578" s="2" t="s">
        <v>3095</v>
      </c>
      <c r="E1578" t="s">
        <v>3096</v>
      </c>
      <c r="F1578" t="s">
        <v>20</v>
      </c>
      <c r="G1578" t="s">
        <v>21</v>
      </c>
      <c r="H1578" t="s">
        <v>991</v>
      </c>
      <c r="I1578" t="s">
        <v>23</v>
      </c>
      <c r="J1578" t="s">
        <v>49</v>
      </c>
      <c r="K1578" s="2" t="s">
        <v>3074</v>
      </c>
      <c r="L1578" t="s">
        <v>26</v>
      </c>
      <c r="M1578">
        <v>340537</v>
      </c>
      <c r="N1578">
        <v>1</v>
      </c>
      <c r="O1578" s="3">
        <v>54990</v>
      </c>
      <c r="P1578" s="3">
        <v>21265</v>
      </c>
      <c r="Q1578" s="5">
        <f t="shared" si="72"/>
        <v>46210.08403361345</v>
      </c>
      <c r="R1578" s="5">
        <f t="shared" si="73"/>
        <v>21265</v>
      </c>
      <c r="S1578" s="5">
        <f t="shared" si="74"/>
        <v>24945.08403361345</v>
      </c>
    </row>
    <row r="1579" spans="1:19" hidden="1" x14ac:dyDescent="0.3">
      <c r="A1579">
        <v>130</v>
      </c>
      <c r="B1579" t="s">
        <v>2244</v>
      </c>
      <c r="C1579" t="s">
        <v>3097</v>
      </c>
      <c r="D1579" s="2" t="s">
        <v>3098</v>
      </c>
      <c r="E1579" t="s">
        <v>1791</v>
      </c>
      <c r="F1579" t="s">
        <v>20</v>
      </c>
      <c r="G1579" t="s">
        <v>21</v>
      </c>
      <c r="H1579" t="s">
        <v>742</v>
      </c>
      <c r="I1579" t="s">
        <v>23</v>
      </c>
      <c r="J1579" t="s">
        <v>40</v>
      </c>
      <c r="K1579" s="2" t="s">
        <v>3074</v>
      </c>
      <c r="L1579" t="s">
        <v>26</v>
      </c>
      <c r="M1579">
        <v>340538</v>
      </c>
      <c r="N1579">
        <v>1</v>
      </c>
      <c r="O1579" s="3">
        <v>69990</v>
      </c>
      <c r="P1579" s="3">
        <v>26560</v>
      </c>
      <c r="Q1579" s="5">
        <f t="shared" si="72"/>
        <v>58815.126050420171</v>
      </c>
      <c r="R1579" s="5">
        <f t="shared" si="73"/>
        <v>26560</v>
      </c>
      <c r="S1579" s="5">
        <f t="shared" si="74"/>
        <v>32255.126050420171</v>
      </c>
    </row>
    <row r="1580" spans="1:19" hidden="1" x14ac:dyDescent="0.3">
      <c r="A1580">
        <v>130</v>
      </c>
      <c r="B1580" t="s">
        <v>2244</v>
      </c>
      <c r="C1580" t="s">
        <v>3099</v>
      </c>
      <c r="D1580" s="2" t="s">
        <v>3100</v>
      </c>
      <c r="E1580" t="s">
        <v>2718</v>
      </c>
      <c r="F1580" t="s">
        <v>20</v>
      </c>
      <c r="G1580" t="s">
        <v>21</v>
      </c>
      <c r="H1580" t="s">
        <v>1887</v>
      </c>
      <c r="I1580" t="s">
        <v>23</v>
      </c>
      <c r="J1580" t="s">
        <v>40</v>
      </c>
      <c r="K1580" s="2" t="s">
        <v>3074</v>
      </c>
      <c r="L1580" t="s">
        <v>26</v>
      </c>
      <c r="M1580">
        <v>340538</v>
      </c>
      <c r="N1580">
        <v>-1</v>
      </c>
      <c r="O1580" s="3">
        <v>-69950</v>
      </c>
      <c r="P1580" s="3">
        <v>22018</v>
      </c>
      <c r="Q1580" s="5">
        <f t="shared" si="72"/>
        <v>-58781.512605042022</v>
      </c>
      <c r="R1580" s="5">
        <f t="shared" si="73"/>
        <v>-22018</v>
      </c>
      <c r="S1580" s="5">
        <f t="shared" si="74"/>
        <v>-36763.512605042022</v>
      </c>
    </row>
    <row r="1581" spans="1:19" hidden="1" x14ac:dyDescent="0.3">
      <c r="A1581">
        <v>130</v>
      </c>
      <c r="B1581" t="s">
        <v>2244</v>
      </c>
      <c r="C1581" t="s">
        <v>2429</v>
      </c>
      <c r="D1581" s="2" t="s">
        <v>2430</v>
      </c>
      <c r="E1581" t="s">
        <v>1828</v>
      </c>
      <c r="F1581" t="s">
        <v>20</v>
      </c>
      <c r="G1581" t="s">
        <v>21</v>
      </c>
      <c r="H1581" t="s">
        <v>1689</v>
      </c>
      <c r="I1581" t="s">
        <v>23</v>
      </c>
      <c r="J1581" t="s">
        <v>49</v>
      </c>
      <c r="K1581" s="2" t="s">
        <v>3074</v>
      </c>
      <c r="L1581" t="s">
        <v>26</v>
      </c>
      <c r="M1581">
        <v>340539</v>
      </c>
      <c r="N1581">
        <v>1</v>
      </c>
      <c r="O1581" s="3">
        <v>69990</v>
      </c>
      <c r="P1581" s="3">
        <v>36616</v>
      </c>
      <c r="Q1581" s="5">
        <f t="shared" si="72"/>
        <v>58815.126050420171</v>
      </c>
      <c r="R1581" s="5">
        <f t="shared" si="73"/>
        <v>36616</v>
      </c>
      <c r="S1581" s="5">
        <f t="shared" si="74"/>
        <v>22199.126050420171</v>
      </c>
    </row>
    <row r="1582" spans="1:19" hidden="1" x14ac:dyDescent="0.3">
      <c r="A1582">
        <v>130</v>
      </c>
      <c r="B1582" t="s">
        <v>2244</v>
      </c>
      <c r="C1582" t="s">
        <v>3101</v>
      </c>
      <c r="D1582" s="2" t="s">
        <v>3102</v>
      </c>
      <c r="E1582" t="s">
        <v>2566</v>
      </c>
      <c r="F1582" t="s">
        <v>20</v>
      </c>
      <c r="G1582" t="s">
        <v>21</v>
      </c>
      <c r="H1582" t="s">
        <v>1689</v>
      </c>
      <c r="I1582" t="s">
        <v>23</v>
      </c>
      <c r="J1582" t="s">
        <v>49</v>
      </c>
      <c r="K1582" s="2" t="s">
        <v>3074</v>
      </c>
      <c r="L1582" t="s">
        <v>26</v>
      </c>
      <c r="M1582">
        <v>340540</v>
      </c>
      <c r="N1582">
        <v>1</v>
      </c>
      <c r="O1582" s="3">
        <v>89950</v>
      </c>
      <c r="P1582" s="3">
        <v>37901</v>
      </c>
      <c r="Q1582" s="5">
        <f t="shared" si="72"/>
        <v>75588.23529411765</v>
      </c>
      <c r="R1582" s="5">
        <f t="shared" si="73"/>
        <v>37901</v>
      </c>
      <c r="S1582" s="5">
        <f t="shared" si="74"/>
        <v>37687.23529411765</v>
      </c>
    </row>
    <row r="1583" spans="1:19" hidden="1" x14ac:dyDescent="0.3">
      <c r="A1583">
        <v>130</v>
      </c>
      <c r="B1583" t="s">
        <v>2244</v>
      </c>
      <c r="C1583" t="s">
        <v>426</v>
      </c>
      <c r="D1583" s="2" t="s">
        <v>427</v>
      </c>
      <c r="E1583" t="s">
        <v>428</v>
      </c>
      <c r="F1583" t="s">
        <v>20</v>
      </c>
      <c r="G1583" t="s">
        <v>21</v>
      </c>
      <c r="H1583" t="s">
        <v>429</v>
      </c>
      <c r="I1583" t="s">
        <v>23</v>
      </c>
      <c r="J1583" t="s">
        <v>49</v>
      </c>
      <c r="K1583" s="2" t="s">
        <v>3074</v>
      </c>
      <c r="L1583" t="s">
        <v>26</v>
      </c>
      <c r="M1583">
        <v>340541</v>
      </c>
      <c r="N1583">
        <v>1</v>
      </c>
      <c r="O1583" s="3">
        <v>59990</v>
      </c>
      <c r="P1583" s="3">
        <v>28897</v>
      </c>
      <c r="Q1583" s="5">
        <f t="shared" si="72"/>
        <v>50411.764705882357</v>
      </c>
      <c r="R1583" s="5">
        <f t="shared" si="73"/>
        <v>28897</v>
      </c>
      <c r="S1583" s="5">
        <f t="shared" si="74"/>
        <v>21514.764705882357</v>
      </c>
    </row>
    <row r="1584" spans="1:19" hidden="1" x14ac:dyDescent="0.3">
      <c r="A1584">
        <v>130</v>
      </c>
      <c r="B1584" t="s">
        <v>2244</v>
      </c>
      <c r="C1584" t="s">
        <v>3103</v>
      </c>
      <c r="D1584" s="2" t="s">
        <v>3104</v>
      </c>
      <c r="E1584" t="s">
        <v>3105</v>
      </c>
      <c r="F1584" t="s">
        <v>377</v>
      </c>
      <c r="G1584" t="s">
        <v>21</v>
      </c>
      <c r="H1584" t="s">
        <v>378</v>
      </c>
      <c r="I1584" t="s">
        <v>23</v>
      </c>
      <c r="J1584" t="s">
        <v>2620</v>
      </c>
      <c r="K1584" s="2" t="s">
        <v>3074</v>
      </c>
      <c r="L1584" t="s">
        <v>26</v>
      </c>
      <c r="M1584">
        <v>340541</v>
      </c>
      <c r="N1584">
        <v>1</v>
      </c>
      <c r="O1584" s="3">
        <v>24950</v>
      </c>
      <c r="P1584" s="3">
        <v>10562</v>
      </c>
      <c r="Q1584" s="5">
        <f t="shared" si="72"/>
        <v>20966.386554621851</v>
      </c>
      <c r="R1584" s="5">
        <f t="shared" si="73"/>
        <v>10562</v>
      </c>
      <c r="S1584" s="5">
        <f t="shared" si="74"/>
        <v>10404.386554621851</v>
      </c>
    </row>
    <row r="1585" spans="1:19" hidden="1" x14ac:dyDescent="0.3">
      <c r="A1585">
        <v>130</v>
      </c>
      <c r="B1585" t="s">
        <v>2244</v>
      </c>
      <c r="C1585" t="s">
        <v>3106</v>
      </c>
      <c r="D1585" s="2" t="s">
        <v>3107</v>
      </c>
      <c r="E1585" t="s">
        <v>3108</v>
      </c>
      <c r="F1585" t="s">
        <v>377</v>
      </c>
      <c r="G1585" t="s">
        <v>21</v>
      </c>
      <c r="H1585" t="s">
        <v>378</v>
      </c>
      <c r="I1585" t="s">
        <v>23</v>
      </c>
      <c r="J1585" t="s">
        <v>2620</v>
      </c>
      <c r="K1585" s="2" t="s">
        <v>3074</v>
      </c>
      <c r="L1585" t="s">
        <v>26</v>
      </c>
      <c r="M1585">
        <v>340541</v>
      </c>
      <c r="N1585">
        <v>1</v>
      </c>
      <c r="O1585" s="3">
        <v>26950</v>
      </c>
      <c r="P1585" s="3">
        <v>13329</v>
      </c>
      <c r="Q1585" s="5">
        <f t="shared" si="72"/>
        <v>22647.058823529413</v>
      </c>
      <c r="R1585" s="5">
        <f t="shared" si="73"/>
        <v>13329</v>
      </c>
      <c r="S1585" s="5">
        <f t="shared" si="74"/>
        <v>9318.0588235294126</v>
      </c>
    </row>
    <row r="1586" spans="1:19" hidden="1" x14ac:dyDescent="0.3">
      <c r="A1586">
        <v>130</v>
      </c>
      <c r="B1586" t="s">
        <v>2244</v>
      </c>
      <c r="C1586" t="s">
        <v>3109</v>
      </c>
      <c r="D1586" s="2" t="s">
        <v>3110</v>
      </c>
      <c r="E1586" t="s">
        <v>2378</v>
      </c>
      <c r="F1586" t="s">
        <v>20</v>
      </c>
      <c r="G1586" t="s">
        <v>21</v>
      </c>
      <c r="H1586" t="s">
        <v>2379</v>
      </c>
      <c r="I1586" t="s">
        <v>23</v>
      </c>
      <c r="J1586" t="s">
        <v>40</v>
      </c>
      <c r="K1586" s="2" t="s">
        <v>3074</v>
      </c>
      <c r="L1586" t="s">
        <v>26</v>
      </c>
      <c r="M1586">
        <v>340542</v>
      </c>
      <c r="N1586">
        <v>1</v>
      </c>
      <c r="O1586" s="3">
        <v>39990</v>
      </c>
      <c r="P1586" s="3">
        <v>15732</v>
      </c>
      <c r="Q1586" s="5">
        <f t="shared" si="72"/>
        <v>33605.042016806721</v>
      </c>
      <c r="R1586" s="5">
        <f t="shared" si="73"/>
        <v>15732</v>
      </c>
      <c r="S1586" s="5">
        <f t="shared" si="74"/>
        <v>17873.042016806721</v>
      </c>
    </row>
    <row r="1587" spans="1:19" hidden="1" x14ac:dyDescent="0.3">
      <c r="A1587">
        <v>130</v>
      </c>
      <c r="B1587" t="s">
        <v>2244</v>
      </c>
      <c r="C1587" t="s">
        <v>3111</v>
      </c>
      <c r="D1587" s="2" t="s">
        <v>3112</v>
      </c>
      <c r="E1587" t="s">
        <v>3113</v>
      </c>
      <c r="F1587" t="s">
        <v>20</v>
      </c>
      <c r="G1587" t="s">
        <v>338</v>
      </c>
      <c r="H1587">
        <v>25702</v>
      </c>
      <c r="I1587" t="s">
        <v>23</v>
      </c>
      <c r="J1587" t="s">
        <v>35</v>
      </c>
      <c r="K1587" s="2" t="s">
        <v>3074</v>
      </c>
      <c r="L1587" t="s">
        <v>26</v>
      </c>
      <c r="M1587">
        <v>340543</v>
      </c>
      <c r="N1587">
        <v>1</v>
      </c>
      <c r="O1587" s="3">
        <v>109950</v>
      </c>
      <c r="P1587" s="3">
        <v>34974</v>
      </c>
      <c r="Q1587" s="5">
        <f t="shared" si="72"/>
        <v>92394.957983193279</v>
      </c>
      <c r="R1587" s="5">
        <f t="shared" si="73"/>
        <v>34974</v>
      </c>
      <c r="S1587" s="5">
        <f t="shared" si="74"/>
        <v>57420.957983193279</v>
      </c>
    </row>
    <row r="1588" spans="1:19" hidden="1" x14ac:dyDescent="0.3">
      <c r="A1588">
        <v>130</v>
      </c>
      <c r="B1588" t="s">
        <v>2244</v>
      </c>
      <c r="C1588" t="s">
        <v>2830</v>
      </c>
      <c r="D1588" s="2" t="s">
        <v>2831</v>
      </c>
      <c r="E1588" t="s">
        <v>1330</v>
      </c>
      <c r="F1588" t="s">
        <v>20</v>
      </c>
      <c r="G1588" t="s">
        <v>338</v>
      </c>
      <c r="H1588">
        <v>25133</v>
      </c>
      <c r="I1588" t="s">
        <v>23</v>
      </c>
      <c r="J1588" t="s">
        <v>35</v>
      </c>
      <c r="K1588" s="2" t="s">
        <v>3074</v>
      </c>
      <c r="L1588" t="s">
        <v>26</v>
      </c>
      <c r="M1588">
        <v>340544</v>
      </c>
      <c r="N1588">
        <v>1</v>
      </c>
      <c r="O1588" s="3">
        <v>74950</v>
      </c>
      <c r="P1588" s="3">
        <v>21167</v>
      </c>
      <c r="Q1588" s="5">
        <f t="shared" si="72"/>
        <v>62983.193277310929</v>
      </c>
      <c r="R1588" s="5">
        <f t="shared" si="73"/>
        <v>21167</v>
      </c>
      <c r="S1588" s="5">
        <f t="shared" si="74"/>
        <v>41816.193277310929</v>
      </c>
    </row>
    <row r="1589" spans="1:19" hidden="1" x14ac:dyDescent="0.3">
      <c r="A1589">
        <v>130</v>
      </c>
      <c r="B1589" t="s">
        <v>2244</v>
      </c>
      <c r="C1589" t="s">
        <v>3114</v>
      </c>
      <c r="D1589" s="2" t="s">
        <v>3115</v>
      </c>
      <c r="E1589" t="s">
        <v>189</v>
      </c>
      <c r="F1589" t="s">
        <v>20</v>
      </c>
      <c r="G1589" t="s">
        <v>21</v>
      </c>
      <c r="H1589" t="s">
        <v>131</v>
      </c>
      <c r="I1589" t="s">
        <v>23</v>
      </c>
      <c r="J1589" t="s">
        <v>49</v>
      </c>
      <c r="K1589" s="2" t="s">
        <v>3074</v>
      </c>
      <c r="L1589" t="s">
        <v>26</v>
      </c>
      <c r="M1589">
        <v>340545</v>
      </c>
      <c r="N1589">
        <v>1</v>
      </c>
      <c r="O1589" s="3">
        <v>39990</v>
      </c>
      <c r="P1589" s="3">
        <v>29255</v>
      </c>
      <c r="Q1589" s="5">
        <f t="shared" si="72"/>
        <v>33605.042016806721</v>
      </c>
      <c r="R1589" s="5">
        <f t="shared" si="73"/>
        <v>29255</v>
      </c>
      <c r="S1589" s="5">
        <f t="shared" si="74"/>
        <v>4350.0420168067212</v>
      </c>
    </row>
    <row r="1590" spans="1:19" hidden="1" x14ac:dyDescent="0.3">
      <c r="A1590">
        <v>130</v>
      </c>
      <c r="B1590" t="s">
        <v>2244</v>
      </c>
      <c r="C1590">
        <v>1687976791</v>
      </c>
      <c r="D1590" s="2" t="s">
        <v>200</v>
      </c>
      <c r="E1590" t="s">
        <v>201</v>
      </c>
      <c r="F1590" t="s">
        <v>201</v>
      </c>
      <c r="G1590" t="s">
        <v>202</v>
      </c>
      <c r="H1590" t="s">
        <v>202</v>
      </c>
      <c r="I1590" t="s">
        <v>23</v>
      </c>
      <c r="J1590" t="s">
        <v>202</v>
      </c>
      <c r="K1590" s="2" t="s">
        <v>3074</v>
      </c>
      <c r="L1590" t="s">
        <v>26</v>
      </c>
      <c r="M1590">
        <v>340545</v>
      </c>
      <c r="N1590">
        <v>1</v>
      </c>
      <c r="O1590" s="3">
        <v>5658</v>
      </c>
      <c r="P1590">
        <v>1</v>
      </c>
      <c r="Q1590" s="5">
        <f t="shared" si="72"/>
        <v>4754.6218487394963</v>
      </c>
      <c r="R1590" s="5">
        <f t="shared" si="73"/>
        <v>1</v>
      </c>
      <c r="S1590" s="5">
        <f t="shared" si="74"/>
        <v>4753.6218487394963</v>
      </c>
    </row>
    <row r="1591" spans="1:19" hidden="1" x14ac:dyDescent="0.3">
      <c r="A1591">
        <v>130</v>
      </c>
      <c r="B1591" t="s">
        <v>2244</v>
      </c>
      <c r="C1591" t="s">
        <v>3116</v>
      </c>
      <c r="D1591" s="2" t="s">
        <v>3117</v>
      </c>
      <c r="E1591" t="s">
        <v>2185</v>
      </c>
      <c r="F1591" t="s">
        <v>20</v>
      </c>
      <c r="G1591" t="s">
        <v>21</v>
      </c>
      <c r="H1591" t="s">
        <v>614</v>
      </c>
      <c r="I1591" t="s">
        <v>23</v>
      </c>
      <c r="J1591" t="s">
        <v>40</v>
      </c>
      <c r="K1591" s="2" t="s">
        <v>3074</v>
      </c>
      <c r="L1591" t="s">
        <v>26</v>
      </c>
      <c r="M1591">
        <v>340546</v>
      </c>
      <c r="N1591">
        <v>1</v>
      </c>
      <c r="O1591" s="3">
        <v>44990</v>
      </c>
      <c r="P1591" s="3">
        <v>17389</v>
      </c>
      <c r="Q1591" s="5">
        <f t="shared" si="72"/>
        <v>37806.722689075636</v>
      </c>
      <c r="R1591" s="5">
        <f t="shared" si="73"/>
        <v>17389</v>
      </c>
      <c r="S1591" s="5">
        <f t="shared" si="74"/>
        <v>20417.722689075636</v>
      </c>
    </row>
    <row r="1592" spans="1:19" hidden="1" x14ac:dyDescent="0.3">
      <c r="A1592">
        <v>130</v>
      </c>
      <c r="B1592" t="s">
        <v>2244</v>
      </c>
      <c r="C1592" t="s">
        <v>3118</v>
      </c>
      <c r="D1592" s="2" t="s">
        <v>3119</v>
      </c>
      <c r="E1592" t="s">
        <v>954</v>
      </c>
      <c r="F1592" t="s">
        <v>20</v>
      </c>
      <c r="G1592" t="s">
        <v>21</v>
      </c>
      <c r="H1592" t="s">
        <v>557</v>
      </c>
      <c r="I1592" t="s">
        <v>23</v>
      </c>
      <c r="J1592" t="s">
        <v>40</v>
      </c>
      <c r="K1592" s="2" t="s">
        <v>3074</v>
      </c>
      <c r="L1592" t="s">
        <v>26</v>
      </c>
      <c r="M1592">
        <v>340547</v>
      </c>
      <c r="N1592">
        <v>1</v>
      </c>
      <c r="O1592" s="3">
        <v>79950</v>
      </c>
      <c r="P1592" s="3">
        <v>26747</v>
      </c>
      <c r="Q1592" s="5">
        <f t="shared" si="72"/>
        <v>67184.873949579836</v>
      </c>
      <c r="R1592" s="5">
        <f t="shared" si="73"/>
        <v>26747</v>
      </c>
      <c r="S1592" s="5">
        <f t="shared" si="74"/>
        <v>40437.873949579836</v>
      </c>
    </row>
    <row r="1593" spans="1:19" hidden="1" x14ac:dyDescent="0.3">
      <c r="A1593">
        <v>130</v>
      </c>
      <c r="B1593" t="s">
        <v>2244</v>
      </c>
      <c r="C1593" t="s">
        <v>3120</v>
      </c>
      <c r="D1593" s="2" t="s">
        <v>3121</v>
      </c>
      <c r="E1593" t="s">
        <v>3122</v>
      </c>
      <c r="F1593" t="s">
        <v>20</v>
      </c>
      <c r="G1593" t="s">
        <v>21</v>
      </c>
      <c r="H1593" t="s">
        <v>718</v>
      </c>
      <c r="I1593" t="s">
        <v>23</v>
      </c>
      <c r="J1593" t="s">
        <v>49</v>
      </c>
      <c r="K1593" s="2" t="s">
        <v>3074</v>
      </c>
      <c r="L1593" t="s">
        <v>26</v>
      </c>
      <c r="M1593">
        <v>340548</v>
      </c>
      <c r="N1593">
        <v>1</v>
      </c>
      <c r="O1593" s="3">
        <v>39990</v>
      </c>
      <c r="P1593" s="3">
        <v>26647</v>
      </c>
      <c r="Q1593" s="5">
        <f t="shared" si="72"/>
        <v>33605.042016806721</v>
      </c>
      <c r="R1593" s="5">
        <f t="shared" si="73"/>
        <v>26647</v>
      </c>
      <c r="S1593" s="5">
        <f t="shared" si="74"/>
        <v>6958.0420168067212</v>
      </c>
    </row>
    <row r="1594" spans="1:19" hidden="1" x14ac:dyDescent="0.3">
      <c r="A1594">
        <v>130</v>
      </c>
      <c r="B1594" t="s">
        <v>2244</v>
      </c>
      <c r="C1594" t="s">
        <v>2900</v>
      </c>
      <c r="D1594" s="2" t="s">
        <v>2901</v>
      </c>
      <c r="E1594" t="s">
        <v>2902</v>
      </c>
      <c r="F1594" t="s">
        <v>20</v>
      </c>
      <c r="G1594" t="s">
        <v>21</v>
      </c>
      <c r="H1594" t="s">
        <v>267</v>
      </c>
      <c r="I1594" t="s">
        <v>23</v>
      </c>
      <c r="J1594" t="s">
        <v>49</v>
      </c>
      <c r="K1594" s="2" t="s">
        <v>3074</v>
      </c>
      <c r="L1594" t="s">
        <v>26</v>
      </c>
      <c r="M1594">
        <v>340549</v>
      </c>
      <c r="N1594">
        <v>1</v>
      </c>
      <c r="O1594" s="3">
        <v>64950</v>
      </c>
      <c r="P1594" s="3">
        <v>24504</v>
      </c>
      <c r="Q1594" s="5">
        <f t="shared" si="72"/>
        <v>54579.831932773115</v>
      </c>
      <c r="R1594" s="5">
        <f t="shared" si="73"/>
        <v>24504</v>
      </c>
      <c r="S1594" s="5">
        <f t="shared" si="74"/>
        <v>30075.831932773115</v>
      </c>
    </row>
    <row r="1595" spans="1:19" hidden="1" x14ac:dyDescent="0.3">
      <c r="A1595">
        <v>130</v>
      </c>
      <c r="B1595" t="s">
        <v>2244</v>
      </c>
      <c r="C1595" t="s">
        <v>3123</v>
      </c>
      <c r="D1595" s="2" t="s">
        <v>3124</v>
      </c>
      <c r="E1595" t="s">
        <v>2436</v>
      </c>
      <c r="F1595" t="s">
        <v>20</v>
      </c>
      <c r="G1595" t="s">
        <v>338</v>
      </c>
      <c r="H1595">
        <v>22318</v>
      </c>
      <c r="I1595" t="s">
        <v>23</v>
      </c>
      <c r="J1595" t="s">
        <v>49</v>
      </c>
      <c r="K1595" s="2" t="s">
        <v>3074</v>
      </c>
      <c r="L1595" t="s">
        <v>26</v>
      </c>
      <c r="M1595">
        <v>340550</v>
      </c>
      <c r="N1595">
        <v>1</v>
      </c>
      <c r="O1595" s="3">
        <v>74950</v>
      </c>
      <c r="P1595" s="3">
        <v>23473</v>
      </c>
      <c r="Q1595" s="5">
        <f t="shared" si="72"/>
        <v>62983.193277310929</v>
      </c>
      <c r="R1595" s="5">
        <f t="shared" si="73"/>
        <v>23473</v>
      </c>
      <c r="S1595" s="5">
        <f t="shared" si="74"/>
        <v>39510.193277310929</v>
      </c>
    </row>
    <row r="1596" spans="1:19" hidden="1" x14ac:dyDescent="0.3">
      <c r="A1596">
        <v>130</v>
      </c>
      <c r="B1596" t="s">
        <v>2244</v>
      </c>
      <c r="C1596" t="s">
        <v>3125</v>
      </c>
      <c r="D1596" s="2" t="s">
        <v>3126</v>
      </c>
      <c r="E1596" t="s">
        <v>3127</v>
      </c>
      <c r="F1596" t="s">
        <v>20</v>
      </c>
      <c r="G1596" t="s">
        <v>21</v>
      </c>
      <c r="H1596" t="s">
        <v>3128</v>
      </c>
      <c r="I1596" t="s">
        <v>23</v>
      </c>
      <c r="J1596" t="s">
        <v>35</v>
      </c>
      <c r="K1596" s="2" t="s">
        <v>3074</v>
      </c>
      <c r="L1596" t="s">
        <v>26</v>
      </c>
      <c r="M1596">
        <v>340551</v>
      </c>
      <c r="N1596">
        <v>1</v>
      </c>
      <c r="O1596" s="3">
        <v>84950</v>
      </c>
      <c r="P1596" s="3">
        <v>29189</v>
      </c>
      <c r="Q1596" s="5">
        <f t="shared" si="72"/>
        <v>71386.554621848743</v>
      </c>
      <c r="R1596" s="5">
        <f t="shared" si="73"/>
        <v>29189</v>
      </c>
      <c r="S1596" s="5">
        <f t="shared" si="74"/>
        <v>42197.554621848743</v>
      </c>
    </row>
    <row r="1597" spans="1:19" hidden="1" x14ac:dyDescent="0.3">
      <c r="A1597">
        <v>130</v>
      </c>
      <c r="B1597" t="s">
        <v>2244</v>
      </c>
      <c r="C1597" t="s">
        <v>3129</v>
      </c>
      <c r="D1597" s="2" t="s">
        <v>3130</v>
      </c>
      <c r="E1597" t="s">
        <v>394</v>
      </c>
      <c r="F1597" t="s">
        <v>20</v>
      </c>
      <c r="G1597" t="s">
        <v>21</v>
      </c>
      <c r="H1597" t="s">
        <v>395</v>
      </c>
      <c r="I1597" t="s">
        <v>23</v>
      </c>
      <c r="J1597" t="s">
        <v>49</v>
      </c>
      <c r="K1597" s="2" t="s">
        <v>3074</v>
      </c>
      <c r="L1597" t="s">
        <v>26</v>
      </c>
      <c r="M1597">
        <v>340552</v>
      </c>
      <c r="N1597">
        <v>1</v>
      </c>
      <c r="O1597" s="3">
        <v>49990</v>
      </c>
      <c r="P1597" s="3">
        <v>28712</v>
      </c>
      <c r="Q1597" s="5">
        <f t="shared" si="72"/>
        <v>42008.403361344543</v>
      </c>
      <c r="R1597" s="5">
        <f t="shared" si="73"/>
        <v>28712</v>
      </c>
      <c r="S1597" s="5">
        <f t="shared" si="74"/>
        <v>13296.403361344543</v>
      </c>
    </row>
    <row r="1598" spans="1:19" hidden="1" x14ac:dyDescent="0.3">
      <c r="A1598">
        <v>130</v>
      </c>
      <c r="B1598" t="s">
        <v>2244</v>
      </c>
      <c r="C1598" t="s">
        <v>3131</v>
      </c>
      <c r="D1598" s="2" t="s">
        <v>3132</v>
      </c>
      <c r="E1598" t="s">
        <v>2298</v>
      </c>
      <c r="F1598" t="s">
        <v>20</v>
      </c>
      <c r="G1598" t="s">
        <v>21</v>
      </c>
      <c r="H1598" t="s">
        <v>2189</v>
      </c>
      <c r="I1598" t="s">
        <v>23</v>
      </c>
      <c r="J1598" t="s">
        <v>40</v>
      </c>
      <c r="K1598" s="2" t="s">
        <v>3074</v>
      </c>
      <c r="L1598" t="s">
        <v>26</v>
      </c>
      <c r="M1598">
        <v>340553</v>
      </c>
      <c r="N1598">
        <v>1</v>
      </c>
      <c r="O1598" s="3">
        <v>64950</v>
      </c>
      <c r="P1598" s="3">
        <v>20776</v>
      </c>
      <c r="Q1598" s="5">
        <f t="shared" si="72"/>
        <v>54579.831932773115</v>
      </c>
      <c r="R1598" s="5">
        <f t="shared" si="73"/>
        <v>20776</v>
      </c>
      <c r="S1598" s="5">
        <f t="shared" si="74"/>
        <v>33803.831932773115</v>
      </c>
    </row>
    <row r="1599" spans="1:19" hidden="1" x14ac:dyDescent="0.3">
      <c r="A1599">
        <v>130</v>
      </c>
      <c r="B1599" t="s">
        <v>2244</v>
      </c>
      <c r="C1599" t="s">
        <v>3133</v>
      </c>
      <c r="D1599" s="2" t="s">
        <v>3134</v>
      </c>
      <c r="E1599" t="s">
        <v>3135</v>
      </c>
      <c r="F1599" t="s">
        <v>377</v>
      </c>
      <c r="G1599" t="s">
        <v>21</v>
      </c>
      <c r="H1599" t="s">
        <v>378</v>
      </c>
      <c r="I1599" t="s">
        <v>23</v>
      </c>
      <c r="J1599" t="s">
        <v>2638</v>
      </c>
      <c r="K1599" s="2" t="s">
        <v>3074</v>
      </c>
      <c r="L1599" t="s">
        <v>26</v>
      </c>
      <c r="M1599">
        <v>340554</v>
      </c>
      <c r="N1599">
        <v>1</v>
      </c>
      <c r="O1599" s="3">
        <v>3450</v>
      </c>
      <c r="P1599" s="3">
        <v>1410</v>
      </c>
      <c r="Q1599" s="5">
        <f t="shared" si="72"/>
        <v>2899.1596638655465</v>
      </c>
      <c r="R1599" s="5">
        <f t="shared" si="73"/>
        <v>1410</v>
      </c>
      <c r="S1599" s="5">
        <f t="shared" si="74"/>
        <v>1489.1596638655465</v>
      </c>
    </row>
    <row r="1600" spans="1:19" hidden="1" x14ac:dyDescent="0.3">
      <c r="A1600">
        <v>130</v>
      </c>
      <c r="B1600" t="s">
        <v>2244</v>
      </c>
      <c r="C1600" t="s">
        <v>3007</v>
      </c>
      <c r="D1600" s="2" t="s">
        <v>3008</v>
      </c>
      <c r="E1600" t="s">
        <v>2986</v>
      </c>
      <c r="F1600" t="s">
        <v>20</v>
      </c>
      <c r="G1600" t="s">
        <v>21</v>
      </c>
      <c r="H1600" t="s">
        <v>267</v>
      </c>
      <c r="I1600" t="s">
        <v>23</v>
      </c>
      <c r="J1600" t="s">
        <v>35</v>
      </c>
      <c r="K1600" s="2" t="s">
        <v>3074</v>
      </c>
      <c r="L1600" t="s">
        <v>26</v>
      </c>
      <c r="M1600">
        <v>340555</v>
      </c>
      <c r="N1600">
        <v>1</v>
      </c>
      <c r="O1600" s="3">
        <v>59990</v>
      </c>
      <c r="P1600" s="3">
        <v>24733</v>
      </c>
      <c r="Q1600" s="5">
        <f t="shared" si="72"/>
        <v>50411.764705882357</v>
      </c>
      <c r="R1600" s="5">
        <f t="shared" si="73"/>
        <v>24733</v>
      </c>
      <c r="S1600" s="5">
        <f t="shared" si="74"/>
        <v>25678.764705882357</v>
      </c>
    </row>
    <row r="1601" spans="1:19" hidden="1" x14ac:dyDescent="0.3">
      <c r="A1601">
        <v>130</v>
      </c>
      <c r="B1601" t="s">
        <v>2244</v>
      </c>
      <c r="C1601" t="s">
        <v>2193</v>
      </c>
      <c r="D1601" s="2" t="s">
        <v>2194</v>
      </c>
      <c r="E1601" t="s">
        <v>2195</v>
      </c>
      <c r="F1601" t="s">
        <v>20</v>
      </c>
      <c r="G1601" t="s">
        <v>338</v>
      </c>
      <c r="H1601">
        <v>24722</v>
      </c>
      <c r="I1601" t="s">
        <v>23</v>
      </c>
      <c r="J1601" t="s">
        <v>95</v>
      </c>
      <c r="K1601" s="2" t="s">
        <v>1569</v>
      </c>
      <c r="L1601" t="s">
        <v>26</v>
      </c>
      <c r="M1601">
        <v>340556</v>
      </c>
      <c r="N1601">
        <v>1</v>
      </c>
      <c r="O1601" s="3">
        <v>89950</v>
      </c>
      <c r="P1601" s="3">
        <v>30987</v>
      </c>
      <c r="Q1601" s="5">
        <f t="shared" si="72"/>
        <v>75588.23529411765</v>
      </c>
      <c r="R1601" s="5">
        <f t="shared" si="73"/>
        <v>30987</v>
      </c>
      <c r="S1601" s="5">
        <f t="shared" si="74"/>
        <v>44601.23529411765</v>
      </c>
    </row>
    <row r="1602" spans="1:19" hidden="1" x14ac:dyDescent="0.3">
      <c r="A1602">
        <v>130</v>
      </c>
      <c r="B1602" t="s">
        <v>2244</v>
      </c>
      <c r="C1602" t="s">
        <v>3136</v>
      </c>
      <c r="D1602" s="2" t="s">
        <v>3137</v>
      </c>
      <c r="E1602" t="s">
        <v>2301</v>
      </c>
      <c r="F1602" t="s">
        <v>20</v>
      </c>
      <c r="G1602" t="s">
        <v>21</v>
      </c>
      <c r="H1602" t="s">
        <v>1124</v>
      </c>
      <c r="I1602" t="s">
        <v>23</v>
      </c>
      <c r="J1602" t="s">
        <v>24</v>
      </c>
      <c r="K1602" s="2" t="s">
        <v>1569</v>
      </c>
      <c r="L1602" t="s">
        <v>26</v>
      </c>
      <c r="M1602">
        <v>340557</v>
      </c>
      <c r="N1602">
        <v>1</v>
      </c>
      <c r="O1602" s="3">
        <v>74950</v>
      </c>
      <c r="P1602" s="3">
        <v>25834</v>
      </c>
      <c r="Q1602" s="5">
        <f t="shared" si="72"/>
        <v>62983.193277310929</v>
      </c>
      <c r="R1602" s="5">
        <f t="shared" si="73"/>
        <v>25834</v>
      </c>
      <c r="S1602" s="5">
        <f t="shared" si="74"/>
        <v>37149.193277310929</v>
      </c>
    </row>
    <row r="1603" spans="1:19" hidden="1" x14ac:dyDescent="0.3">
      <c r="A1603">
        <v>130</v>
      </c>
      <c r="B1603" t="s">
        <v>2244</v>
      </c>
      <c r="C1603" t="s">
        <v>3138</v>
      </c>
      <c r="D1603" s="2" t="s">
        <v>3139</v>
      </c>
      <c r="E1603" t="s">
        <v>3140</v>
      </c>
      <c r="F1603" t="s">
        <v>20</v>
      </c>
      <c r="G1603" t="s">
        <v>21</v>
      </c>
      <c r="H1603" t="s">
        <v>991</v>
      </c>
      <c r="I1603" t="s">
        <v>23</v>
      </c>
      <c r="J1603" t="s">
        <v>49</v>
      </c>
      <c r="K1603" s="2" t="s">
        <v>1569</v>
      </c>
      <c r="L1603" t="s">
        <v>26</v>
      </c>
      <c r="M1603">
        <v>340557</v>
      </c>
      <c r="N1603">
        <v>1</v>
      </c>
      <c r="O1603" s="3">
        <v>69950</v>
      </c>
      <c r="P1603" s="3">
        <v>24501</v>
      </c>
      <c r="Q1603" s="5">
        <f t="shared" si="72"/>
        <v>58781.512605042022</v>
      </c>
      <c r="R1603" s="5">
        <f t="shared" si="73"/>
        <v>24501</v>
      </c>
      <c r="S1603" s="5">
        <f t="shared" si="74"/>
        <v>34280.512605042022</v>
      </c>
    </row>
    <row r="1604" spans="1:19" hidden="1" x14ac:dyDescent="0.3">
      <c r="A1604">
        <v>130</v>
      </c>
      <c r="B1604" t="s">
        <v>2244</v>
      </c>
      <c r="C1604" t="s">
        <v>2387</v>
      </c>
      <c r="D1604" s="2" t="s">
        <v>2388</v>
      </c>
      <c r="E1604" t="s">
        <v>2389</v>
      </c>
      <c r="F1604" t="s">
        <v>20</v>
      </c>
      <c r="G1604" t="s">
        <v>21</v>
      </c>
      <c r="H1604" t="s">
        <v>65</v>
      </c>
      <c r="I1604" t="s">
        <v>23</v>
      </c>
      <c r="J1604" t="s">
        <v>49</v>
      </c>
      <c r="K1604" s="2" t="s">
        <v>1569</v>
      </c>
      <c r="L1604" t="s">
        <v>26</v>
      </c>
      <c r="M1604">
        <v>340558</v>
      </c>
      <c r="N1604">
        <v>1</v>
      </c>
      <c r="O1604" s="3">
        <v>49990</v>
      </c>
      <c r="P1604" s="3">
        <v>23712</v>
      </c>
      <c r="Q1604" s="5">
        <f t="shared" si="72"/>
        <v>42008.403361344543</v>
      </c>
      <c r="R1604" s="5">
        <f t="shared" si="73"/>
        <v>23712</v>
      </c>
      <c r="S1604" s="5">
        <f t="shared" si="74"/>
        <v>18296.403361344543</v>
      </c>
    </row>
    <row r="1605" spans="1:19" hidden="1" x14ac:dyDescent="0.3">
      <c r="A1605">
        <v>130</v>
      </c>
      <c r="B1605" t="s">
        <v>2244</v>
      </c>
      <c r="C1605" t="s">
        <v>1279</v>
      </c>
      <c r="D1605" s="2" t="s">
        <v>1280</v>
      </c>
      <c r="E1605" t="s">
        <v>1281</v>
      </c>
      <c r="F1605" t="s">
        <v>20</v>
      </c>
      <c r="G1605" t="s">
        <v>21</v>
      </c>
      <c r="H1605" t="s">
        <v>1282</v>
      </c>
      <c r="I1605" t="s">
        <v>23</v>
      </c>
      <c r="J1605" t="s">
        <v>40</v>
      </c>
      <c r="K1605" s="2" t="s">
        <v>1569</v>
      </c>
      <c r="L1605" t="s">
        <v>26</v>
      </c>
      <c r="M1605">
        <v>340559</v>
      </c>
      <c r="N1605">
        <v>1</v>
      </c>
      <c r="O1605" s="3">
        <v>49950</v>
      </c>
      <c r="P1605" s="3">
        <v>13922</v>
      </c>
      <c r="Q1605" s="5">
        <f t="shared" si="72"/>
        <v>41974.789915966387</v>
      </c>
      <c r="R1605" s="5">
        <f t="shared" si="73"/>
        <v>13922</v>
      </c>
      <c r="S1605" s="5">
        <f t="shared" si="74"/>
        <v>28052.789915966387</v>
      </c>
    </row>
    <row r="1606" spans="1:19" hidden="1" x14ac:dyDescent="0.3">
      <c r="A1606">
        <v>130</v>
      </c>
      <c r="B1606" t="s">
        <v>2244</v>
      </c>
      <c r="C1606" t="s">
        <v>3141</v>
      </c>
      <c r="D1606" s="2" t="s">
        <v>3142</v>
      </c>
      <c r="E1606" t="s">
        <v>2323</v>
      </c>
      <c r="F1606" t="s">
        <v>20</v>
      </c>
      <c r="G1606" t="s">
        <v>21</v>
      </c>
      <c r="H1606" t="s">
        <v>1887</v>
      </c>
      <c r="I1606" t="s">
        <v>23</v>
      </c>
      <c r="J1606" t="s">
        <v>40</v>
      </c>
      <c r="K1606" s="2" t="s">
        <v>1569</v>
      </c>
      <c r="L1606" t="s">
        <v>26</v>
      </c>
      <c r="M1606">
        <v>340560</v>
      </c>
      <c r="N1606">
        <v>1</v>
      </c>
      <c r="O1606" s="3">
        <v>69950</v>
      </c>
      <c r="P1606" s="3">
        <v>21623</v>
      </c>
      <c r="Q1606" s="5">
        <f t="shared" ref="Q1606:Q1669" si="75">O1606/1.19</f>
        <v>58781.512605042022</v>
      </c>
      <c r="R1606" s="5">
        <f t="shared" ref="R1606:R1669" si="76">N1606*P1606</f>
        <v>21623</v>
      </c>
      <c r="S1606" s="5">
        <f t="shared" ref="S1606:S1669" si="77">Q1606-R1606</f>
        <v>37158.512605042022</v>
      </c>
    </row>
    <row r="1607" spans="1:19" hidden="1" x14ac:dyDescent="0.3">
      <c r="A1607">
        <v>130</v>
      </c>
      <c r="B1607" t="s">
        <v>2244</v>
      </c>
      <c r="C1607" t="s">
        <v>3143</v>
      </c>
      <c r="D1607" s="2" t="s">
        <v>3144</v>
      </c>
      <c r="E1607" t="s">
        <v>3145</v>
      </c>
      <c r="F1607" t="s">
        <v>20</v>
      </c>
      <c r="G1607" t="s">
        <v>21</v>
      </c>
      <c r="H1607" t="s">
        <v>958</v>
      </c>
      <c r="I1607" t="s">
        <v>23</v>
      </c>
      <c r="J1607" t="s">
        <v>40</v>
      </c>
      <c r="K1607" s="2" t="s">
        <v>1569</v>
      </c>
      <c r="L1607" t="s">
        <v>26</v>
      </c>
      <c r="M1607">
        <v>340561</v>
      </c>
      <c r="N1607">
        <v>1</v>
      </c>
      <c r="O1607" s="3">
        <v>59950</v>
      </c>
      <c r="P1607" s="3">
        <v>16439</v>
      </c>
      <c r="Q1607" s="5">
        <f t="shared" si="75"/>
        <v>50378.151260504201</v>
      </c>
      <c r="R1607" s="5">
        <f t="shared" si="76"/>
        <v>16439</v>
      </c>
      <c r="S1607" s="5">
        <f t="shared" si="77"/>
        <v>33939.151260504201</v>
      </c>
    </row>
    <row r="1608" spans="1:19" hidden="1" x14ac:dyDescent="0.3">
      <c r="A1608">
        <v>130</v>
      </c>
      <c r="B1608" t="s">
        <v>2244</v>
      </c>
      <c r="C1608" t="s">
        <v>3146</v>
      </c>
      <c r="D1608" s="2" t="s">
        <v>3147</v>
      </c>
      <c r="E1608" t="s">
        <v>3148</v>
      </c>
      <c r="F1608" t="s">
        <v>20</v>
      </c>
      <c r="G1608" t="s">
        <v>338</v>
      </c>
      <c r="H1608">
        <v>23313</v>
      </c>
      <c r="I1608" t="s">
        <v>23</v>
      </c>
      <c r="J1608" t="s">
        <v>40</v>
      </c>
      <c r="K1608" s="2" t="s">
        <v>1569</v>
      </c>
      <c r="L1608" t="s">
        <v>26</v>
      </c>
      <c r="M1608">
        <v>340562</v>
      </c>
      <c r="N1608">
        <v>1</v>
      </c>
      <c r="O1608" s="3">
        <v>49990</v>
      </c>
      <c r="P1608" s="3">
        <v>23476</v>
      </c>
      <c r="Q1608" s="5">
        <f t="shared" si="75"/>
        <v>42008.403361344543</v>
      </c>
      <c r="R1608" s="5">
        <f t="shared" si="76"/>
        <v>23476</v>
      </c>
      <c r="S1608" s="5">
        <f t="shared" si="77"/>
        <v>18532.403361344543</v>
      </c>
    </row>
    <row r="1609" spans="1:19" hidden="1" x14ac:dyDescent="0.3">
      <c r="A1609">
        <v>130</v>
      </c>
      <c r="B1609" t="s">
        <v>2244</v>
      </c>
      <c r="C1609" t="s">
        <v>2682</v>
      </c>
      <c r="D1609" s="2" t="s">
        <v>2683</v>
      </c>
      <c r="E1609" t="s">
        <v>1439</v>
      </c>
      <c r="F1609" t="s">
        <v>20</v>
      </c>
      <c r="G1609" t="s">
        <v>21</v>
      </c>
      <c r="H1609" t="s">
        <v>1440</v>
      </c>
      <c r="I1609" t="s">
        <v>23</v>
      </c>
      <c r="J1609" t="s">
        <v>40</v>
      </c>
      <c r="K1609" s="2" t="s">
        <v>1569</v>
      </c>
      <c r="L1609" t="s">
        <v>26</v>
      </c>
      <c r="M1609">
        <v>340563</v>
      </c>
      <c r="N1609">
        <v>1</v>
      </c>
      <c r="O1609" s="3">
        <v>64951</v>
      </c>
      <c r="P1609" s="3">
        <v>17328</v>
      </c>
      <c r="Q1609" s="5">
        <f t="shared" si="75"/>
        <v>54580.672268907569</v>
      </c>
      <c r="R1609" s="5">
        <f t="shared" si="76"/>
        <v>17328</v>
      </c>
      <c r="S1609" s="5">
        <f t="shared" si="77"/>
        <v>37252.672268907569</v>
      </c>
    </row>
    <row r="1610" spans="1:19" hidden="1" x14ac:dyDescent="0.3">
      <c r="A1610">
        <v>130</v>
      </c>
      <c r="B1610" t="s">
        <v>2244</v>
      </c>
      <c r="C1610" t="s">
        <v>3149</v>
      </c>
      <c r="D1610" s="2" t="s">
        <v>3150</v>
      </c>
      <c r="E1610" t="s">
        <v>3051</v>
      </c>
      <c r="F1610" t="s">
        <v>20</v>
      </c>
      <c r="G1610" t="s">
        <v>21</v>
      </c>
      <c r="H1610" t="s">
        <v>1440</v>
      </c>
      <c r="I1610" t="s">
        <v>23</v>
      </c>
      <c r="J1610" t="s">
        <v>40</v>
      </c>
      <c r="K1610" s="2" t="s">
        <v>1569</v>
      </c>
      <c r="L1610" t="s">
        <v>26</v>
      </c>
      <c r="M1610">
        <v>340563</v>
      </c>
      <c r="N1610">
        <v>-1</v>
      </c>
      <c r="O1610" s="3">
        <v>-64950</v>
      </c>
      <c r="P1610" s="3">
        <v>17328</v>
      </c>
      <c r="Q1610" s="5">
        <f t="shared" si="75"/>
        <v>-54579.831932773115</v>
      </c>
      <c r="R1610" s="5">
        <f t="shared" si="76"/>
        <v>-17328</v>
      </c>
      <c r="S1610" s="5">
        <f t="shared" si="77"/>
        <v>-37251.831932773115</v>
      </c>
    </row>
    <row r="1611" spans="1:19" hidden="1" x14ac:dyDescent="0.3">
      <c r="A1611">
        <v>130</v>
      </c>
      <c r="B1611" t="s">
        <v>2244</v>
      </c>
      <c r="C1611" t="s">
        <v>3151</v>
      </c>
      <c r="D1611" s="2" t="s">
        <v>3152</v>
      </c>
      <c r="E1611" t="s">
        <v>2666</v>
      </c>
      <c r="F1611" t="s">
        <v>20</v>
      </c>
      <c r="G1611" t="s">
        <v>21</v>
      </c>
      <c r="H1611" t="s">
        <v>65</v>
      </c>
      <c r="I1611" t="s">
        <v>23</v>
      </c>
      <c r="J1611" t="s">
        <v>49</v>
      </c>
      <c r="K1611" s="2" t="s">
        <v>1569</v>
      </c>
      <c r="L1611" t="s">
        <v>26</v>
      </c>
      <c r="M1611">
        <v>340564</v>
      </c>
      <c r="N1611">
        <v>1</v>
      </c>
      <c r="O1611" s="3">
        <v>64950</v>
      </c>
      <c r="P1611" s="3">
        <v>22816</v>
      </c>
      <c r="Q1611" s="5">
        <f t="shared" si="75"/>
        <v>54579.831932773115</v>
      </c>
      <c r="R1611" s="5">
        <f t="shared" si="76"/>
        <v>22816</v>
      </c>
      <c r="S1611" s="5">
        <f t="shared" si="77"/>
        <v>31763.831932773115</v>
      </c>
    </row>
    <row r="1612" spans="1:19" hidden="1" x14ac:dyDescent="0.3">
      <c r="A1612">
        <v>130</v>
      </c>
      <c r="B1612" t="s">
        <v>2244</v>
      </c>
      <c r="C1612" t="s">
        <v>3153</v>
      </c>
      <c r="D1612" s="2" t="s">
        <v>3154</v>
      </c>
      <c r="E1612" t="s">
        <v>3155</v>
      </c>
      <c r="F1612" t="s">
        <v>20</v>
      </c>
      <c r="G1612" t="s">
        <v>21</v>
      </c>
      <c r="H1612" t="s">
        <v>970</v>
      </c>
      <c r="I1612" t="s">
        <v>23</v>
      </c>
      <c r="J1612" t="s">
        <v>40</v>
      </c>
      <c r="K1612" s="2" t="s">
        <v>1569</v>
      </c>
      <c r="L1612" t="s">
        <v>26</v>
      </c>
      <c r="M1612">
        <v>340564</v>
      </c>
      <c r="N1612">
        <v>1</v>
      </c>
      <c r="O1612" s="3">
        <v>59950</v>
      </c>
      <c r="P1612" s="3">
        <v>19352</v>
      </c>
      <c r="Q1612" s="5">
        <f t="shared" si="75"/>
        <v>50378.151260504201</v>
      </c>
      <c r="R1612" s="5">
        <f t="shared" si="76"/>
        <v>19352</v>
      </c>
      <c r="S1612" s="5">
        <f t="shared" si="77"/>
        <v>31026.151260504201</v>
      </c>
    </row>
    <row r="1613" spans="1:19" hidden="1" x14ac:dyDescent="0.3">
      <c r="A1613">
        <v>130</v>
      </c>
      <c r="B1613" t="s">
        <v>2244</v>
      </c>
      <c r="C1613" t="s">
        <v>2356</v>
      </c>
      <c r="D1613" s="2" t="s">
        <v>2357</v>
      </c>
      <c r="E1613" t="s">
        <v>1858</v>
      </c>
      <c r="F1613" t="s">
        <v>20</v>
      </c>
      <c r="G1613" t="s">
        <v>21</v>
      </c>
      <c r="H1613" t="s">
        <v>1337</v>
      </c>
      <c r="I1613" t="s">
        <v>23</v>
      </c>
      <c r="J1613" t="s">
        <v>49</v>
      </c>
      <c r="K1613" s="2" t="s">
        <v>1569</v>
      </c>
      <c r="L1613" t="s">
        <v>26</v>
      </c>
      <c r="M1613">
        <v>340564</v>
      </c>
      <c r="N1613">
        <v>1</v>
      </c>
      <c r="O1613" s="3">
        <v>49990</v>
      </c>
      <c r="P1613" s="3">
        <v>19309</v>
      </c>
      <c r="Q1613" s="5">
        <f t="shared" si="75"/>
        <v>42008.403361344543</v>
      </c>
      <c r="R1613" s="5">
        <f t="shared" si="76"/>
        <v>19309</v>
      </c>
      <c r="S1613" s="5">
        <f t="shared" si="77"/>
        <v>22699.403361344543</v>
      </c>
    </row>
    <row r="1614" spans="1:19" hidden="1" x14ac:dyDescent="0.3">
      <c r="A1614">
        <v>130</v>
      </c>
      <c r="B1614" t="s">
        <v>2244</v>
      </c>
      <c r="C1614" t="s">
        <v>2742</v>
      </c>
      <c r="D1614" s="2" t="s">
        <v>2743</v>
      </c>
      <c r="E1614" t="s">
        <v>2744</v>
      </c>
      <c r="F1614" t="s">
        <v>20</v>
      </c>
      <c r="G1614" t="s">
        <v>21</v>
      </c>
      <c r="H1614" t="s">
        <v>2745</v>
      </c>
      <c r="I1614" t="s">
        <v>23</v>
      </c>
      <c r="J1614" t="s">
        <v>35</v>
      </c>
      <c r="K1614" s="2" t="s">
        <v>1569</v>
      </c>
      <c r="L1614" t="s">
        <v>26</v>
      </c>
      <c r="M1614">
        <v>340565</v>
      </c>
      <c r="N1614">
        <v>1</v>
      </c>
      <c r="O1614" s="3">
        <v>99950</v>
      </c>
      <c r="P1614" s="3">
        <v>33200</v>
      </c>
      <c r="Q1614" s="5">
        <f t="shared" si="75"/>
        <v>83991.596638655465</v>
      </c>
      <c r="R1614" s="5">
        <f t="shared" si="76"/>
        <v>33200</v>
      </c>
      <c r="S1614" s="5">
        <f t="shared" si="77"/>
        <v>50791.596638655465</v>
      </c>
    </row>
    <row r="1615" spans="1:19" hidden="1" x14ac:dyDescent="0.3">
      <c r="A1615">
        <v>130</v>
      </c>
      <c r="B1615" t="s">
        <v>2244</v>
      </c>
      <c r="C1615" t="s">
        <v>2485</v>
      </c>
      <c r="D1615" s="2" t="s">
        <v>2486</v>
      </c>
      <c r="E1615" t="s">
        <v>2487</v>
      </c>
      <c r="F1615" t="s">
        <v>377</v>
      </c>
      <c r="G1615" t="s">
        <v>21</v>
      </c>
      <c r="H1615" t="s">
        <v>378</v>
      </c>
      <c r="I1615" t="s">
        <v>23</v>
      </c>
      <c r="J1615" t="s">
        <v>379</v>
      </c>
      <c r="K1615" s="2" t="s">
        <v>1569</v>
      </c>
      <c r="L1615" t="s">
        <v>26</v>
      </c>
      <c r="M1615">
        <v>340566</v>
      </c>
      <c r="N1615">
        <v>1</v>
      </c>
      <c r="O1615" s="3">
        <v>5950</v>
      </c>
      <c r="P1615" s="3">
        <v>2243</v>
      </c>
      <c r="Q1615" s="5">
        <f t="shared" si="75"/>
        <v>5000</v>
      </c>
      <c r="R1615" s="5">
        <f t="shared" si="76"/>
        <v>2243</v>
      </c>
      <c r="S1615" s="5">
        <f t="shared" si="77"/>
        <v>2757</v>
      </c>
    </row>
    <row r="1616" spans="1:19" hidden="1" x14ac:dyDescent="0.3">
      <c r="A1616">
        <v>130</v>
      </c>
      <c r="B1616" t="s">
        <v>2244</v>
      </c>
      <c r="C1616" t="s">
        <v>3156</v>
      </c>
      <c r="D1616" s="2" t="s">
        <v>3157</v>
      </c>
      <c r="E1616" t="s">
        <v>3158</v>
      </c>
      <c r="F1616" t="s">
        <v>20</v>
      </c>
      <c r="G1616" t="s">
        <v>21</v>
      </c>
      <c r="H1616" t="s">
        <v>406</v>
      </c>
      <c r="I1616" t="s">
        <v>23</v>
      </c>
      <c r="J1616" t="s">
        <v>407</v>
      </c>
      <c r="K1616" s="2" t="s">
        <v>1569</v>
      </c>
      <c r="L1616" t="s">
        <v>26</v>
      </c>
      <c r="M1616">
        <v>340567</v>
      </c>
      <c r="N1616">
        <v>1</v>
      </c>
      <c r="O1616" s="3">
        <v>44990</v>
      </c>
      <c r="P1616" s="3">
        <v>21598</v>
      </c>
      <c r="Q1616" s="5">
        <f t="shared" si="75"/>
        <v>37806.722689075636</v>
      </c>
      <c r="R1616" s="5">
        <f t="shared" si="76"/>
        <v>21598</v>
      </c>
      <c r="S1616" s="5">
        <f t="shared" si="77"/>
        <v>16208.722689075636</v>
      </c>
    </row>
    <row r="1617" spans="1:19" hidden="1" x14ac:dyDescent="0.3">
      <c r="A1617">
        <v>130</v>
      </c>
      <c r="B1617" t="s">
        <v>2244</v>
      </c>
      <c r="C1617" t="s">
        <v>3159</v>
      </c>
      <c r="D1617" s="2" t="s">
        <v>3160</v>
      </c>
      <c r="E1617" t="s">
        <v>1886</v>
      </c>
      <c r="F1617" t="s">
        <v>20</v>
      </c>
      <c r="G1617" t="s">
        <v>21</v>
      </c>
      <c r="H1617" t="s">
        <v>1887</v>
      </c>
      <c r="I1617" t="s">
        <v>23</v>
      </c>
      <c r="J1617" t="s">
        <v>40</v>
      </c>
      <c r="K1617" s="2" t="s">
        <v>1569</v>
      </c>
      <c r="L1617" t="s">
        <v>26</v>
      </c>
      <c r="M1617">
        <v>340568</v>
      </c>
      <c r="N1617">
        <v>1</v>
      </c>
      <c r="O1617" s="3">
        <v>69950</v>
      </c>
      <c r="P1617" s="3">
        <v>21623</v>
      </c>
      <c r="Q1617" s="5">
        <f t="shared" si="75"/>
        <v>58781.512605042022</v>
      </c>
      <c r="R1617" s="5">
        <f t="shared" si="76"/>
        <v>21623</v>
      </c>
      <c r="S1617" s="5">
        <f t="shared" si="77"/>
        <v>37158.512605042022</v>
      </c>
    </row>
    <row r="1618" spans="1:19" hidden="1" x14ac:dyDescent="0.3">
      <c r="A1618">
        <v>130</v>
      </c>
      <c r="B1618" t="s">
        <v>2244</v>
      </c>
      <c r="C1618" t="s">
        <v>1690</v>
      </c>
      <c r="D1618" s="2" t="s">
        <v>1691</v>
      </c>
      <c r="E1618" t="s">
        <v>664</v>
      </c>
      <c r="F1618" t="s">
        <v>20</v>
      </c>
      <c r="G1618" t="s">
        <v>21</v>
      </c>
      <c r="H1618" t="s">
        <v>557</v>
      </c>
      <c r="I1618" t="s">
        <v>23</v>
      </c>
      <c r="J1618" t="s">
        <v>40</v>
      </c>
      <c r="K1618" s="2" t="s">
        <v>1744</v>
      </c>
      <c r="L1618" t="s">
        <v>2249</v>
      </c>
      <c r="M1618">
        <v>25384</v>
      </c>
      <c r="N1618">
        <v>-1</v>
      </c>
      <c r="O1618" s="3">
        <v>-49990</v>
      </c>
      <c r="P1618" s="3">
        <v>28049</v>
      </c>
      <c r="Q1618" s="5">
        <f t="shared" si="75"/>
        <v>-42008.403361344543</v>
      </c>
      <c r="R1618" s="5">
        <f t="shared" si="76"/>
        <v>-28049</v>
      </c>
      <c r="S1618" s="5">
        <f t="shared" si="77"/>
        <v>-13959.403361344543</v>
      </c>
    </row>
    <row r="1619" spans="1:19" hidden="1" x14ac:dyDescent="0.3">
      <c r="A1619">
        <v>130</v>
      </c>
      <c r="B1619" t="s">
        <v>2244</v>
      </c>
      <c r="C1619" t="s">
        <v>2895</v>
      </c>
      <c r="D1619" s="2" t="s">
        <v>2896</v>
      </c>
      <c r="E1619" t="s">
        <v>1318</v>
      </c>
      <c r="F1619" t="s">
        <v>20</v>
      </c>
      <c r="G1619" t="s">
        <v>21</v>
      </c>
      <c r="H1619" t="s">
        <v>272</v>
      </c>
      <c r="I1619" t="s">
        <v>23</v>
      </c>
      <c r="J1619" t="s">
        <v>40</v>
      </c>
      <c r="K1619" s="2" t="s">
        <v>1744</v>
      </c>
      <c r="L1619" t="s">
        <v>26</v>
      </c>
      <c r="M1619">
        <v>340569</v>
      </c>
      <c r="N1619">
        <v>1</v>
      </c>
      <c r="O1619" s="3">
        <v>74950</v>
      </c>
      <c r="P1619" s="3">
        <v>25819</v>
      </c>
      <c r="Q1619" s="5">
        <f t="shared" si="75"/>
        <v>62983.193277310929</v>
      </c>
      <c r="R1619" s="5">
        <f t="shared" si="76"/>
        <v>25819</v>
      </c>
      <c r="S1619" s="5">
        <f t="shared" si="77"/>
        <v>37164.193277310929</v>
      </c>
    </row>
    <row r="1620" spans="1:19" hidden="1" x14ac:dyDescent="0.3">
      <c r="A1620">
        <v>130</v>
      </c>
      <c r="B1620" t="s">
        <v>2244</v>
      </c>
      <c r="C1620" t="s">
        <v>2774</v>
      </c>
      <c r="D1620" s="2" t="s">
        <v>2775</v>
      </c>
      <c r="E1620" t="s">
        <v>266</v>
      </c>
      <c r="F1620" t="s">
        <v>20</v>
      </c>
      <c r="G1620" t="s">
        <v>21</v>
      </c>
      <c r="H1620" t="s">
        <v>267</v>
      </c>
      <c r="I1620" t="s">
        <v>23</v>
      </c>
      <c r="J1620" t="s">
        <v>49</v>
      </c>
      <c r="K1620" s="2" t="s">
        <v>1744</v>
      </c>
      <c r="L1620" t="s">
        <v>26</v>
      </c>
      <c r="M1620">
        <v>340570</v>
      </c>
      <c r="N1620">
        <v>1</v>
      </c>
      <c r="O1620" s="3">
        <v>64950</v>
      </c>
      <c r="P1620" s="3">
        <v>24504</v>
      </c>
      <c r="Q1620" s="5">
        <f t="shared" si="75"/>
        <v>54579.831932773115</v>
      </c>
      <c r="R1620" s="5">
        <f t="shared" si="76"/>
        <v>24504</v>
      </c>
      <c r="S1620" s="5">
        <f t="shared" si="77"/>
        <v>30075.831932773115</v>
      </c>
    </row>
    <row r="1621" spans="1:19" hidden="1" x14ac:dyDescent="0.3">
      <c r="A1621">
        <v>130</v>
      </c>
      <c r="B1621" t="s">
        <v>2244</v>
      </c>
      <c r="C1621" t="s">
        <v>3161</v>
      </c>
      <c r="D1621" s="2" t="s">
        <v>3162</v>
      </c>
      <c r="E1621" t="s">
        <v>2996</v>
      </c>
      <c r="F1621" t="s">
        <v>20</v>
      </c>
      <c r="G1621" t="s">
        <v>338</v>
      </c>
      <c r="H1621">
        <v>25823</v>
      </c>
      <c r="I1621" t="s">
        <v>23</v>
      </c>
      <c r="J1621" t="s">
        <v>35</v>
      </c>
      <c r="K1621" s="2" t="s">
        <v>1744</v>
      </c>
      <c r="L1621" t="s">
        <v>26</v>
      </c>
      <c r="M1621">
        <v>340571</v>
      </c>
      <c r="N1621">
        <v>1</v>
      </c>
      <c r="O1621" s="3">
        <v>99950</v>
      </c>
      <c r="P1621" s="3">
        <v>33748</v>
      </c>
      <c r="Q1621" s="5">
        <f t="shared" si="75"/>
        <v>83991.596638655465</v>
      </c>
      <c r="R1621" s="5">
        <f t="shared" si="76"/>
        <v>33748</v>
      </c>
      <c r="S1621" s="5">
        <f t="shared" si="77"/>
        <v>50243.596638655465</v>
      </c>
    </row>
    <row r="1622" spans="1:19" hidden="1" x14ac:dyDescent="0.3">
      <c r="A1622">
        <v>130</v>
      </c>
      <c r="B1622" t="s">
        <v>2244</v>
      </c>
      <c r="C1622" t="s">
        <v>3163</v>
      </c>
      <c r="D1622" s="2" t="s">
        <v>3164</v>
      </c>
      <c r="E1622" t="s">
        <v>3165</v>
      </c>
      <c r="F1622" t="s">
        <v>20</v>
      </c>
      <c r="G1622" t="s">
        <v>338</v>
      </c>
      <c r="H1622">
        <v>83707</v>
      </c>
      <c r="I1622" t="s">
        <v>23</v>
      </c>
      <c r="J1622" t="s">
        <v>40</v>
      </c>
      <c r="K1622" s="2" t="s">
        <v>1744</v>
      </c>
      <c r="L1622" t="s">
        <v>26</v>
      </c>
      <c r="M1622">
        <v>340572</v>
      </c>
      <c r="N1622">
        <v>1</v>
      </c>
      <c r="O1622" s="3">
        <v>89950</v>
      </c>
      <c r="P1622" s="3">
        <v>30263</v>
      </c>
      <c r="Q1622" s="5">
        <f t="shared" si="75"/>
        <v>75588.23529411765</v>
      </c>
      <c r="R1622" s="5">
        <f t="shared" si="76"/>
        <v>30263</v>
      </c>
      <c r="S1622" s="5">
        <f t="shared" si="77"/>
        <v>45325.23529411765</v>
      </c>
    </row>
    <row r="1623" spans="1:19" hidden="1" x14ac:dyDescent="0.3">
      <c r="A1623">
        <v>130</v>
      </c>
      <c r="B1623" t="s">
        <v>2244</v>
      </c>
      <c r="C1623">
        <v>1687976791</v>
      </c>
      <c r="D1623" s="2" t="s">
        <v>200</v>
      </c>
      <c r="E1623" t="s">
        <v>201</v>
      </c>
      <c r="F1623" t="s">
        <v>201</v>
      </c>
      <c r="G1623" t="s">
        <v>202</v>
      </c>
      <c r="H1623" t="s">
        <v>202</v>
      </c>
      <c r="I1623" t="s">
        <v>23</v>
      </c>
      <c r="J1623" t="s">
        <v>202</v>
      </c>
      <c r="K1623" s="2" t="s">
        <v>1744</v>
      </c>
      <c r="L1623" t="s">
        <v>26</v>
      </c>
      <c r="M1623">
        <v>340573</v>
      </c>
      <c r="N1623">
        <v>1</v>
      </c>
      <c r="O1623" s="3">
        <v>10493</v>
      </c>
      <c r="P1623">
        <v>1</v>
      </c>
      <c r="Q1623" s="5">
        <f t="shared" si="75"/>
        <v>8817.6470588235297</v>
      </c>
      <c r="R1623" s="5">
        <f t="shared" si="76"/>
        <v>1</v>
      </c>
      <c r="S1623" s="5">
        <f t="shared" si="77"/>
        <v>8816.6470588235297</v>
      </c>
    </row>
    <row r="1624" spans="1:19" hidden="1" x14ac:dyDescent="0.3">
      <c r="A1624">
        <v>130</v>
      </c>
      <c r="B1624" t="s">
        <v>2244</v>
      </c>
      <c r="C1624" t="s">
        <v>3166</v>
      </c>
      <c r="D1624" s="2" t="s">
        <v>3167</v>
      </c>
      <c r="E1624" t="s">
        <v>3168</v>
      </c>
      <c r="F1624" t="s">
        <v>20</v>
      </c>
      <c r="G1624" t="s">
        <v>338</v>
      </c>
      <c r="H1624">
        <v>23731</v>
      </c>
      <c r="I1624" t="s">
        <v>23</v>
      </c>
      <c r="J1624" t="s">
        <v>40</v>
      </c>
      <c r="K1624" s="2" t="s">
        <v>1744</v>
      </c>
      <c r="L1624" t="s">
        <v>26</v>
      </c>
      <c r="M1624">
        <v>340573</v>
      </c>
      <c r="N1624">
        <v>1</v>
      </c>
      <c r="O1624" s="3">
        <v>69950</v>
      </c>
      <c r="P1624" s="3">
        <v>23119</v>
      </c>
      <c r="Q1624" s="5">
        <f t="shared" si="75"/>
        <v>58781.512605042022</v>
      </c>
      <c r="R1624" s="5">
        <f t="shared" si="76"/>
        <v>23119</v>
      </c>
      <c r="S1624" s="5">
        <f t="shared" si="77"/>
        <v>35662.512605042022</v>
      </c>
    </row>
    <row r="1625" spans="1:19" hidden="1" x14ac:dyDescent="0.3">
      <c r="A1625">
        <v>130</v>
      </c>
      <c r="B1625" t="s">
        <v>2244</v>
      </c>
      <c r="C1625" t="s">
        <v>3169</v>
      </c>
      <c r="D1625" s="2" t="s">
        <v>3170</v>
      </c>
      <c r="E1625" t="s">
        <v>2708</v>
      </c>
      <c r="F1625" t="s">
        <v>20</v>
      </c>
      <c r="G1625" t="s">
        <v>21</v>
      </c>
      <c r="H1625" t="s">
        <v>783</v>
      </c>
      <c r="I1625" t="s">
        <v>23</v>
      </c>
      <c r="J1625" t="s">
        <v>40</v>
      </c>
      <c r="K1625" s="2" t="s">
        <v>1744</v>
      </c>
      <c r="L1625" t="s">
        <v>26</v>
      </c>
      <c r="M1625">
        <v>340574</v>
      </c>
      <c r="N1625">
        <v>1</v>
      </c>
      <c r="O1625" s="3">
        <v>54950</v>
      </c>
      <c r="P1625" s="3">
        <v>19451</v>
      </c>
      <c r="Q1625" s="5">
        <f t="shared" si="75"/>
        <v>46176.470588235294</v>
      </c>
      <c r="R1625" s="5">
        <f t="shared" si="76"/>
        <v>19451</v>
      </c>
      <c r="S1625" s="5">
        <f t="shared" si="77"/>
        <v>26725.470588235294</v>
      </c>
    </row>
    <row r="1626" spans="1:19" hidden="1" x14ac:dyDescent="0.3">
      <c r="A1626">
        <v>130</v>
      </c>
      <c r="B1626" t="s">
        <v>2244</v>
      </c>
      <c r="C1626" t="s">
        <v>3171</v>
      </c>
      <c r="D1626" s="2" t="s">
        <v>3172</v>
      </c>
      <c r="E1626" t="s">
        <v>2589</v>
      </c>
      <c r="F1626" t="s">
        <v>20</v>
      </c>
      <c r="G1626" t="s">
        <v>21</v>
      </c>
      <c r="H1626" t="s">
        <v>53</v>
      </c>
      <c r="I1626" t="s">
        <v>23</v>
      </c>
      <c r="J1626" t="s">
        <v>49</v>
      </c>
      <c r="K1626" s="2" t="s">
        <v>1744</v>
      </c>
      <c r="L1626" t="s">
        <v>26</v>
      </c>
      <c r="M1626">
        <v>340575</v>
      </c>
      <c r="N1626">
        <v>1</v>
      </c>
      <c r="O1626" s="3">
        <v>49990</v>
      </c>
      <c r="P1626" s="3">
        <v>22719</v>
      </c>
      <c r="Q1626" s="5">
        <f t="shared" si="75"/>
        <v>42008.403361344543</v>
      </c>
      <c r="R1626" s="5">
        <f t="shared" si="76"/>
        <v>22719</v>
      </c>
      <c r="S1626" s="5">
        <f t="shared" si="77"/>
        <v>19289.403361344543</v>
      </c>
    </row>
    <row r="1627" spans="1:19" hidden="1" x14ac:dyDescent="0.3">
      <c r="A1627">
        <v>130</v>
      </c>
      <c r="B1627" t="s">
        <v>2244</v>
      </c>
      <c r="C1627" t="s">
        <v>3173</v>
      </c>
      <c r="D1627" s="2" t="s">
        <v>3174</v>
      </c>
      <c r="E1627" t="s">
        <v>3175</v>
      </c>
      <c r="F1627" t="s">
        <v>20</v>
      </c>
      <c r="G1627" t="s">
        <v>21</v>
      </c>
      <c r="H1627" t="s">
        <v>625</v>
      </c>
      <c r="I1627" t="s">
        <v>23</v>
      </c>
      <c r="J1627" t="s">
        <v>35</v>
      </c>
      <c r="K1627" s="2" t="s">
        <v>1744</v>
      </c>
      <c r="L1627" t="s">
        <v>26</v>
      </c>
      <c r="M1627">
        <v>340576</v>
      </c>
      <c r="N1627">
        <v>1</v>
      </c>
      <c r="O1627" s="3">
        <v>49991</v>
      </c>
      <c r="P1627" s="3">
        <v>24956</v>
      </c>
      <c r="Q1627" s="5">
        <f t="shared" si="75"/>
        <v>42009.243697478996</v>
      </c>
      <c r="R1627" s="5">
        <f t="shared" si="76"/>
        <v>24956</v>
      </c>
      <c r="S1627" s="5">
        <f t="shared" si="77"/>
        <v>17053.243697478996</v>
      </c>
    </row>
    <row r="1628" spans="1:19" hidden="1" x14ac:dyDescent="0.3">
      <c r="A1628">
        <v>130</v>
      </c>
      <c r="B1628" t="s">
        <v>2244</v>
      </c>
      <c r="C1628" t="s">
        <v>1147</v>
      </c>
      <c r="D1628" s="2" t="s">
        <v>1148</v>
      </c>
      <c r="E1628" t="s">
        <v>1042</v>
      </c>
      <c r="F1628" t="s">
        <v>20</v>
      </c>
      <c r="G1628" t="s">
        <v>21</v>
      </c>
      <c r="H1628" t="s">
        <v>317</v>
      </c>
      <c r="I1628" t="s">
        <v>23</v>
      </c>
      <c r="J1628" t="s">
        <v>35</v>
      </c>
      <c r="K1628" s="2" t="s">
        <v>1744</v>
      </c>
      <c r="L1628" t="s">
        <v>26</v>
      </c>
      <c r="M1628">
        <v>340576</v>
      </c>
      <c r="N1628">
        <v>-1</v>
      </c>
      <c r="O1628" s="3">
        <v>-49990</v>
      </c>
      <c r="P1628" s="3">
        <v>24344</v>
      </c>
      <c r="Q1628" s="5">
        <f t="shared" si="75"/>
        <v>-42008.403361344543</v>
      </c>
      <c r="R1628" s="5">
        <f t="shared" si="76"/>
        <v>-24344</v>
      </c>
      <c r="S1628" s="5">
        <f t="shared" si="77"/>
        <v>-17664.403361344543</v>
      </c>
    </row>
    <row r="1629" spans="1:19" hidden="1" x14ac:dyDescent="0.3">
      <c r="A1629">
        <v>130</v>
      </c>
      <c r="B1629" t="s">
        <v>2244</v>
      </c>
      <c r="C1629" t="s">
        <v>2960</v>
      </c>
      <c r="D1629" s="2" t="s">
        <v>2961</v>
      </c>
      <c r="E1629" t="s">
        <v>2539</v>
      </c>
      <c r="F1629" t="s">
        <v>20</v>
      </c>
      <c r="G1629" t="s">
        <v>21</v>
      </c>
      <c r="H1629" t="s">
        <v>966</v>
      </c>
      <c r="I1629" t="s">
        <v>23</v>
      </c>
      <c r="J1629" t="s">
        <v>35</v>
      </c>
      <c r="K1629" s="2" t="s">
        <v>1744</v>
      </c>
      <c r="L1629" t="s">
        <v>26</v>
      </c>
      <c r="M1629">
        <v>340577</v>
      </c>
      <c r="N1629">
        <v>1</v>
      </c>
      <c r="O1629" s="3">
        <v>74950</v>
      </c>
      <c r="P1629" s="3">
        <v>27380</v>
      </c>
      <c r="Q1629" s="5">
        <f t="shared" si="75"/>
        <v>62983.193277310929</v>
      </c>
      <c r="R1629" s="5">
        <f t="shared" si="76"/>
        <v>27380</v>
      </c>
      <c r="S1629" s="5">
        <f t="shared" si="77"/>
        <v>35603.193277310929</v>
      </c>
    </row>
    <row r="1630" spans="1:19" hidden="1" x14ac:dyDescent="0.3">
      <c r="A1630">
        <v>130</v>
      </c>
      <c r="B1630" t="s">
        <v>2244</v>
      </c>
      <c r="C1630" t="s">
        <v>3176</v>
      </c>
      <c r="D1630" s="2" t="s">
        <v>3177</v>
      </c>
      <c r="E1630" t="s">
        <v>2539</v>
      </c>
      <c r="F1630" t="s">
        <v>20</v>
      </c>
      <c r="G1630" t="s">
        <v>21</v>
      </c>
      <c r="H1630" t="s">
        <v>966</v>
      </c>
      <c r="I1630" t="s">
        <v>23</v>
      </c>
      <c r="J1630" t="s">
        <v>35</v>
      </c>
      <c r="K1630" s="2" t="s">
        <v>1744</v>
      </c>
      <c r="L1630" t="s">
        <v>26</v>
      </c>
      <c r="M1630">
        <v>340578</v>
      </c>
      <c r="N1630">
        <v>1</v>
      </c>
      <c r="O1630" s="3">
        <v>74950</v>
      </c>
      <c r="P1630" s="3">
        <v>27328</v>
      </c>
      <c r="Q1630" s="5">
        <f t="shared" si="75"/>
        <v>62983.193277310929</v>
      </c>
      <c r="R1630" s="5">
        <f t="shared" si="76"/>
        <v>27328</v>
      </c>
      <c r="S1630" s="5">
        <f t="shared" si="77"/>
        <v>35655.193277310929</v>
      </c>
    </row>
    <row r="1631" spans="1:19" hidden="1" x14ac:dyDescent="0.3">
      <c r="A1631">
        <v>130</v>
      </c>
      <c r="B1631" t="s">
        <v>2244</v>
      </c>
      <c r="C1631">
        <v>1687976791</v>
      </c>
      <c r="D1631" s="2" t="s">
        <v>200</v>
      </c>
      <c r="E1631" t="s">
        <v>201</v>
      </c>
      <c r="F1631" t="s">
        <v>201</v>
      </c>
      <c r="G1631" t="s">
        <v>202</v>
      </c>
      <c r="H1631" t="s">
        <v>202</v>
      </c>
      <c r="I1631" t="s">
        <v>23</v>
      </c>
      <c r="J1631" t="s">
        <v>202</v>
      </c>
      <c r="K1631" s="2" t="s">
        <v>1744</v>
      </c>
      <c r="L1631" t="s">
        <v>26</v>
      </c>
      <c r="M1631">
        <v>340579</v>
      </c>
      <c r="N1631">
        <v>1</v>
      </c>
      <c r="O1631" s="3">
        <v>3400</v>
      </c>
      <c r="P1631">
        <v>1</v>
      </c>
      <c r="Q1631" s="5">
        <f t="shared" si="75"/>
        <v>2857.1428571428573</v>
      </c>
      <c r="R1631" s="5">
        <f t="shared" si="76"/>
        <v>1</v>
      </c>
      <c r="S1631" s="5">
        <f t="shared" si="77"/>
        <v>2856.1428571428573</v>
      </c>
    </row>
    <row r="1632" spans="1:19" hidden="1" x14ac:dyDescent="0.3">
      <c r="A1632">
        <v>130</v>
      </c>
      <c r="B1632" t="s">
        <v>2244</v>
      </c>
      <c r="C1632" t="s">
        <v>3178</v>
      </c>
      <c r="D1632" s="2" t="s">
        <v>3179</v>
      </c>
      <c r="E1632" t="s">
        <v>3180</v>
      </c>
      <c r="F1632" t="s">
        <v>20</v>
      </c>
      <c r="G1632" t="s">
        <v>338</v>
      </c>
      <c r="H1632">
        <v>23313</v>
      </c>
      <c r="I1632" t="s">
        <v>23</v>
      </c>
      <c r="J1632" t="s">
        <v>40</v>
      </c>
      <c r="K1632" s="2" t="s">
        <v>1744</v>
      </c>
      <c r="L1632" t="s">
        <v>26</v>
      </c>
      <c r="M1632">
        <v>340579</v>
      </c>
      <c r="N1632">
        <v>1</v>
      </c>
      <c r="O1632" s="3">
        <v>69950</v>
      </c>
      <c r="P1632" s="3">
        <v>23533</v>
      </c>
      <c r="Q1632" s="5">
        <f t="shared" si="75"/>
        <v>58781.512605042022</v>
      </c>
      <c r="R1632" s="5">
        <f t="shared" si="76"/>
        <v>23533</v>
      </c>
      <c r="S1632" s="5">
        <f t="shared" si="77"/>
        <v>35248.512605042022</v>
      </c>
    </row>
    <row r="1633" spans="1:19" hidden="1" x14ac:dyDescent="0.3">
      <c r="A1633">
        <v>130</v>
      </c>
      <c r="B1633" t="s">
        <v>2244</v>
      </c>
      <c r="C1633" t="s">
        <v>3181</v>
      </c>
      <c r="D1633" s="2" t="s">
        <v>3182</v>
      </c>
      <c r="E1633" t="s">
        <v>3183</v>
      </c>
      <c r="F1633" t="s">
        <v>20</v>
      </c>
      <c r="G1633" t="s">
        <v>21</v>
      </c>
      <c r="H1633" t="s">
        <v>614</v>
      </c>
      <c r="I1633" t="s">
        <v>23</v>
      </c>
      <c r="J1633" t="s">
        <v>40</v>
      </c>
      <c r="K1633" s="2" t="s">
        <v>1744</v>
      </c>
      <c r="L1633" t="s">
        <v>26</v>
      </c>
      <c r="M1633">
        <v>340580</v>
      </c>
      <c r="N1633">
        <v>1</v>
      </c>
      <c r="O1633" s="3">
        <v>39990</v>
      </c>
      <c r="P1633" s="3">
        <v>17378</v>
      </c>
      <c r="Q1633" s="5">
        <f t="shared" si="75"/>
        <v>33605.042016806721</v>
      </c>
      <c r="R1633" s="5">
        <f t="shared" si="76"/>
        <v>17378</v>
      </c>
      <c r="S1633" s="5">
        <f t="shared" si="77"/>
        <v>16227.042016806721</v>
      </c>
    </row>
    <row r="1634" spans="1:19" hidden="1" x14ac:dyDescent="0.3">
      <c r="A1634">
        <v>130</v>
      </c>
      <c r="B1634" t="s">
        <v>2244</v>
      </c>
      <c r="C1634" t="s">
        <v>3184</v>
      </c>
      <c r="D1634" s="2" t="s">
        <v>3185</v>
      </c>
      <c r="E1634" t="s">
        <v>2226</v>
      </c>
      <c r="F1634" t="s">
        <v>20</v>
      </c>
      <c r="G1634" t="s">
        <v>21</v>
      </c>
      <c r="H1634" t="s">
        <v>53</v>
      </c>
      <c r="I1634" t="s">
        <v>23</v>
      </c>
      <c r="J1634" t="s">
        <v>49</v>
      </c>
      <c r="K1634" s="2" t="s">
        <v>1744</v>
      </c>
      <c r="L1634" t="s">
        <v>26</v>
      </c>
      <c r="M1634">
        <v>340581</v>
      </c>
      <c r="N1634">
        <v>1</v>
      </c>
      <c r="O1634" s="3">
        <v>69950</v>
      </c>
      <c r="P1634" s="3">
        <v>20889</v>
      </c>
      <c r="Q1634" s="5">
        <f t="shared" si="75"/>
        <v>58781.512605042022</v>
      </c>
      <c r="R1634" s="5">
        <f t="shared" si="76"/>
        <v>20889</v>
      </c>
      <c r="S1634" s="5">
        <f t="shared" si="77"/>
        <v>37892.512605042022</v>
      </c>
    </row>
    <row r="1635" spans="1:19" hidden="1" x14ac:dyDescent="0.3">
      <c r="A1635">
        <v>130</v>
      </c>
      <c r="B1635" t="s">
        <v>2244</v>
      </c>
      <c r="C1635" t="s">
        <v>3186</v>
      </c>
      <c r="D1635" s="2" t="s">
        <v>3187</v>
      </c>
      <c r="E1635" t="s">
        <v>789</v>
      </c>
      <c r="F1635" t="s">
        <v>20</v>
      </c>
      <c r="G1635" t="s">
        <v>21</v>
      </c>
      <c r="H1635" t="s">
        <v>790</v>
      </c>
      <c r="I1635" t="s">
        <v>23</v>
      </c>
      <c r="J1635" t="s">
        <v>40</v>
      </c>
      <c r="K1635" s="2" t="s">
        <v>1744</v>
      </c>
      <c r="L1635" t="s">
        <v>26</v>
      </c>
      <c r="M1635">
        <v>340582</v>
      </c>
      <c r="N1635">
        <v>1</v>
      </c>
      <c r="O1635" s="3">
        <v>69990</v>
      </c>
      <c r="P1635" s="3">
        <v>30692</v>
      </c>
      <c r="Q1635" s="5">
        <f t="shared" si="75"/>
        <v>58815.126050420171</v>
      </c>
      <c r="R1635" s="5">
        <f t="shared" si="76"/>
        <v>30692</v>
      </c>
      <c r="S1635" s="5">
        <f t="shared" si="77"/>
        <v>28123.126050420171</v>
      </c>
    </row>
    <row r="1636" spans="1:19" hidden="1" x14ac:dyDescent="0.3">
      <c r="A1636">
        <v>130</v>
      </c>
      <c r="B1636" t="s">
        <v>2244</v>
      </c>
      <c r="C1636" t="s">
        <v>3188</v>
      </c>
      <c r="D1636" s="2" t="s">
        <v>3189</v>
      </c>
      <c r="E1636" t="s">
        <v>3190</v>
      </c>
      <c r="F1636" t="s">
        <v>20</v>
      </c>
      <c r="G1636" t="s">
        <v>21</v>
      </c>
      <c r="H1636" t="s">
        <v>1440</v>
      </c>
      <c r="I1636" t="s">
        <v>23</v>
      </c>
      <c r="J1636" t="s">
        <v>40</v>
      </c>
      <c r="K1636" s="2" t="s">
        <v>1744</v>
      </c>
      <c r="L1636" t="s">
        <v>26</v>
      </c>
      <c r="M1636">
        <v>340582</v>
      </c>
      <c r="N1636">
        <v>1</v>
      </c>
      <c r="O1636" s="3">
        <v>64950</v>
      </c>
      <c r="P1636" s="3">
        <v>17328</v>
      </c>
      <c r="Q1636" s="5">
        <f t="shared" si="75"/>
        <v>54579.831932773115</v>
      </c>
      <c r="R1636" s="5">
        <f t="shared" si="76"/>
        <v>17328</v>
      </c>
      <c r="S1636" s="5">
        <f t="shared" si="77"/>
        <v>37251.831932773115</v>
      </c>
    </row>
    <row r="1637" spans="1:19" hidden="1" x14ac:dyDescent="0.3">
      <c r="A1637">
        <v>130</v>
      </c>
      <c r="B1637" t="s">
        <v>2244</v>
      </c>
      <c r="C1637" t="s">
        <v>2716</v>
      </c>
      <c r="D1637" s="2" t="s">
        <v>2717</v>
      </c>
      <c r="E1637" t="s">
        <v>2718</v>
      </c>
      <c r="F1637" t="s">
        <v>20</v>
      </c>
      <c r="G1637" t="s">
        <v>21</v>
      </c>
      <c r="H1637" t="s">
        <v>1887</v>
      </c>
      <c r="I1637" t="s">
        <v>23</v>
      </c>
      <c r="J1637" t="s">
        <v>40</v>
      </c>
      <c r="K1637" s="2" t="s">
        <v>1744</v>
      </c>
      <c r="L1637" t="s">
        <v>26</v>
      </c>
      <c r="M1637">
        <v>340583</v>
      </c>
      <c r="N1637">
        <v>1</v>
      </c>
      <c r="O1637" s="3">
        <v>69950</v>
      </c>
      <c r="P1637" s="3">
        <v>22018</v>
      </c>
      <c r="Q1637" s="5">
        <f t="shared" si="75"/>
        <v>58781.512605042022</v>
      </c>
      <c r="R1637" s="5">
        <f t="shared" si="76"/>
        <v>22018</v>
      </c>
      <c r="S1637" s="5">
        <f t="shared" si="77"/>
        <v>36763.512605042022</v>
      </c>
    </row>
    <row r="1638" spans="1:19" hidden="1" x14ac:dyDescent="0.3">
      <c r="A1638">
        <v>130</v>
      </c>
      <c r="B1638" t="s">
        <v>2244</v>
      </c>
      <c r="C1638" t="s">
        <v>1328</v>
      </c>
      <c r="D1638" s="2" t="s">
        <v>1329</v>
      </c>
      <c r="E1638" t="s">
        <v>1330</v>
      </c>
      <c r="F1638" t="s">
        <v>20</v>
      </c>
      <c r="G1638" t="s">
        <v>338</v>
      </c>
      <c r="H1638">
        <v>25133</v>
      </c>
      <c r="I1638" t="s">
        <v>23</v>
      </c>
      <c r="J1638" t="s">
        <v>35</v>
      </c>
      <c r="K1638" s="2" t="s">
        <v>1797</v>
      </c>
      <c r="L1638" t="s">
        <v>26</v>
      </c>
      <c r="M1638">
        <v>340584</v>
      </c>
      <c r="N1638">
        <v>1</v>
      </c>
      <c r="O1638" s="3">
        <v>74950</v>
      </c>
      <c r="P1638" s="3">
        <v>21167</v>
      </c>
      <c r="Q1638" s="5">
        <f t="shared" si="75"/>
        <v>62983.193277310929</v>
      </c>
      <c r="R1638" s="5">
        <f t="shared" si="76"/>
        <v>21167</v>
      </c>
      <c r="S1638" s="5">
        <f t="shared" si="77"/>
        <v>41816.193277310929</v>
      </c>
    </row>
    <row r="1639" spans="1:19" hidden="1" x14ac:dyDescent="0.3">
      <c r="A1639">
        <v>130</v>
      </c>
      <c r="B1639" t="s">
        <v>2244</v>
      </c>
      <c r="C1639" t="s">
        <v>3191</v>
      </c>
      <c r="D1639" s="2" t="s">
        <v>3192</v>
      </c>
      <c r="E1639" t="s">
        <v>3140</v>
      </c>
      <c r="F1639" t="s">
        <v>20</v>
      </c>
      <c r="G1639" t="s">
        <v>21</v>
      </c>
      <c r="H1639" t="s">
        <v>991</v>
      </c>
      <c r="I1639" t="s">
        <v>23</v>
      </c>
      <c r="J1639" t="s">
        <v>49</v>
      </c>
      <c r="K1639" s="2" t="s">
        <v>1797</v>
      </c>
      <c r="L1639" t="s">
        <v>26</v>
      </c>
      <c r="M1639">
        <v>340585</v>
      </c>
      <c r="N1639">
        <v>1</v>
      </c>
      <c r="O1639" s="3">
        <v>54990</v>
      </c>
      <c r="P1639" s="3">
        <v>24470</v>
      </c>
      <c r="Q1639" s="5">
        <f t="shared" si="75"/>
        <v>46210.08403361345</v>
      </c>
      <c r="R1639" s="5">
        <f t="shared" si="76"/>
        <v>24470</v>
      </c>
      <c r="S1639" s="5">
        <f t="shared" si="77"/>
        <v>21740.08403361345</v>
      </c>
    </row>
    <row r="1640" spans="1:19" hidden="1" x14ac:dyDescent="0.3">
      <c r="A1640">
        <v>130</v>
      </c>
      <c r="B1640" t="s">
        <v>2244</v>
      </c>
      <c r="C1640" t="s">
        <v>2973</v>
      </c>
      <c r="D1640" s="2" t="s">
        <v>2974</v>
      </c>
      <c r="E1640" t="s">
        <v>1886</v>
      </c>
      <c r="F1640" t="s">
        <v>20</v>
      </c>
      <c r="G1640" t="s">
        <v>21</v>
      </c>
      <c r="H1640" t="s">
        <v>1887</v>
      </c>
      <c r="I1640" t="s">
        <v>23</v>
      </c>
      <c r="J1640" t="s">
        <v>40</v>
      </c>
      <c r="K1640" s="2" t="s">
        <v>1797</v>
      </c>
      <c r="L1640" t="s">
        <v>26</v>
      </c>
      <c r="M1640">
        <v>340585</v>
      </c>
      <c r="N1640">
        <v>1</v>
      </c>
      <c r="O1640" s="3">
        <v>69950</v>
      </c>
      <c r="P1640" s="3">
        <v>21623</v>
      </c>
      <c r="Q1640" s="5">
        <f t="shared" si="75"/>
        <v>58781.512605042022</v>
      </c>
      <c r="R1640" s="5">
        <f t="shared" si="76"/>
        <v>21623</v>
      </c>
      <c r="S1640" s="5">
        <f t="shared" si="77"/>
        <v>37158.512605042022</v>
      </c>
    </row>
    <row r="1641" spans="1:19" hidden="1" x14ac:dyDescent="0.3">
      <c r="A1641">
        <v>130</v>
      </c>
      <c r="B1641" t="s">
        <v>2244</v>
      </c>
      <c r="C1641" t="s">
        <v>3193</v>
      </c>
      <c r="D1641" s="2" t="s">
        <v>3194</v>
      </c>
      <c r="E1641" t="s">
        <v>3195</v>
      </c>
      <c r="F1641" t="s">
        <v>20</v>
      </c>
      <c r="G1641" t="s">
        <v>338</v>
      </c>
      <c r="H1641">
        <v>25366</v>
      </c>
      <c r="I1641" t="s">
        <v>23</v>
      </c>
      <c r="J1641" t="s">
        <v>35</v>
      </c>
      <c r="K1641" s="2" t="s">
        <v>1797</v>
      </c>
      <c r="L1641" t="s">
        <v>26</v>
      </c>
      <c r="M1641">
        <v>340586</v>
      </c>
      <c r="N1641">
        <v>1</v>
      </c>
      <c r="O1641" s="3">
        <v>99950</v>
      </c>
      <c r="P1641" s="3">
        <v>33157</v>
      </c>
      <c r="Q1641" s="5">
        <f t="shared" si="75"/>
        <v>83991.596638655465</v>
      </c>
      <c r="R1641" s="5">
        <f t="shared" si="76"/>
        <v>33157</v>
      </c>
      <c r="S1641" s="5">
        <f t="shared" si="77"/>
        <v>50834.596638655465</v>
      </c>
    </row>
    <row r="1642" spans="1:19" hidden="1" x14ac:dyDescent="0.3">
      <c r="A1642">
        <v>130</v>
      </c>
      <c r="B1642" t="s">
        <v>2244</v>
      </c>
      <c r="C1642" t="s">
        <v>3196</v>
      </c>
      <c r="D1642" s="2" t="s">
        <v>3197</v>
      </c>
      <c r="E1642" t="s">
        <v>717</v>
      </c>
      <c r="F1642" t="s">
        <v>20</v>
      </c>
      <c r="G1642" t="s">
        <v>21</v>
      </c>
      <c r="H1642" t="s">
        <v>718</v>
      </c>
      <c r="I1642" t="s">
        <v>23</v>
      </c>
      <c r="J1642" t="s">
        <v>49</v>
      </c>
      <c r="K1642" s="2" t="s">
        <v>1797</v>
      </c>
      <c r="L1642" t="s">
        <v>26</v>
      </c>
      <c r="M1642">
        <v>340587</v>
      </c>
      <c r="N1642">
        <v>1</v>
      </c>
      <c r="O1642" s="3">
        <v>39990</v>
      </c>
      <c r="P1642" s="3">
        <v>26658</v>
      </c>
      <c r="Q1642" s="5">
        <f t="shared" si="75"/>
        <v>33605.042016806721</v>
      </c>
      <c r="R1642" s="5">
        <f t="shared" si="76"/>
        <v>26658</v>
      </c>
      <c r="S1642" s="5">
        <f t="shared" si="77"/>
        <v>6947.0420168067212</v>
      </c>
    </row>
    <row r="1643" spans="1:19" hidden="1" x14ac:dyDescent="0.3">
      <c r="A1643">
        <v>130</v>
      </c>
      <c r="B1643" t="s">
        <v>2244</v>
      </c>
      <c r="C1643" t="s">
        <v>3198</v>
      </c>
      <c r="D1643" s="2" t="s">
        <v>3199</v>
      </c>
      <c r="E1643" t="s">
        <v>3122</v>
      </c>
      <c r="F1643" t="s">
        <v>20</v>
      </c>
      <c r="G1643" t="s">
        <v>21</v>
      </c>
      <c r="H1643" t="s">
        <v>718</v>
      </c>
      <c r="I1643" t="s">
        <v>23</v>
      </c>
      <c r="J1643" t="s">
        <v>49</v>
      </c>
      <c r="K1643" s="2" t="s">
        <v>1797</v>
      </c>
      <c r="L1643" t="s">
        <v>26</v>
      </c>
      <c r="M1643">
        <v>340588</v>
      </c>
      <c r="N1643">
        <v>1</v>
      </c>
      <c r="O1643" s="3">
        <v>39990</v>
      </c>
      <c r="P1643" s="3">
        <v>26647</v>
      </c>
      <c r="Q1643" s="5">
        <f t="shared" si="75"/>
        <v>33605.042016806721</v>
      </c>
      <c r="R1643" s="5">
        <f t="shared" si="76"/>
        <v>26647</v>
      </c>
      <c r="S1643" s="5">
        <f t="shared" si="77"/>
        <v>6958.0420168067212</v>
      </c>
    </row>
    <row r="1644" spans="1:19" hidden="1" x14ac:dyDescent="0.3">
      <c r="A1644">
        <v>130</v>
      </c>
      <c r="B1644" t="s">
        <v>2244</v>
      </c>
      <c r="C1644" t="s">
        <v>3200</v>
      </c>
      <c r="D1644" s="2" t="s">
        <v>3201</v>
      </c>
      <c r="E1644" t="s">
        <v>3202</v>
      </c>
      <c r="F1644" t="s">
        <v>20</v>
      </c>
      <c r="G1644" t="s">
        <v>338</v>
      </c>
      <c r="H1644">
        <v>25702</v>
      </c>
      <c r="I1644" t="s">
        <v>23</v>
      </c>
      <c r="J1644" t="s">
        <v>35</v>
      </c>
      <c r="K1644" s="2" t="s">
        <v>1797</v>
      </c>
      <c r="L1644" t="s">
        <v>26</v>
      </c>
      <c r="M1644">
        <v>340589</v>
      </c>
      <c r="N1644">
        <v>1</v>
      </c>
      <c r="O1644" s="3">
        <v>109950</v>
      </c>
      <c r="P1644" s="3">
        <v>34974</v>
      </c>
      <c r="Q1644" s="5">
        <f t="shared" si="75"/>
        <v>92394.957983193279</v>
      </c>
      <c r="R1644" s="5">
        <f t="shared" si="76"/>
        <v>34974</v>
      </c>
      <c r="S1644" s="5">
        <f t="shared" si="77"/>
        <v>57420.957983193279</v>
      </c>
    </row>
    <row r="1645" spans="1:19" hidden="1" x14ac:dyDescent="0.3">
      <c r="A1645">
        <v>130</v>
      </c>
      <c r="B1645" t="s">
        <v>2244</v>
      </c>
      <c r="C1645" t="s">
        <v>2365</v>
      </c>
      <c r="D1645" s="2" t="s">
        <v>2366</v>
      </c>
      <c r="E1645" t="s">
        <v>2367</v>
      </c>
      <c r="F1645" t="s">
        <v>377</v>
      </c>
      <c r="G1645" t="s">
        <v>21</v>
      </c>
      <c r="H1645" t="s">
        <v>378</v>
      </c>
      <c r="I1645" t="s">
        <v>23</v>
      </c>
      <c r="J1645" t="s">
        <v>379</v>
      </c>
      <c r="K1645" s="2" t="s">
        <v>1797</v>
      </c>
      <c r="L1645" t="s">
        <v>26</v>
      </c>
      <c r="M1645">
        <v>340589</v>
      </c>
      <c r="N1645">
        <v>1</v>
      </c>
      <c r="O1645" s="3">
        <v>6950</v>
      </c>
      <c r="P1645" s="3">
        <v>3759</v>
      </c>
      <c r="Q1645" s="5">
        <f t="shared" si="75"/>
        <v>5840.3361344537816</v>
      </c>
      <c r="R1645" s="5">
        <f t="shared" si="76"/>
        <v>3759</v>
      </c>
      <c r="S1645" s="5">
        <f t="shared" si="77"/>
        <v>2081.3361344537816</v>
      </c>
    </row>
    <row r="1646" spans="1:19" hidden="1" x14ac:dyDescent="0.3">
      <c r="A1646">
        <v>130</v>
      </c>
      <c r="B1646" t="s">
        <v>2244</v>
      </c>
      <c r="C1646" t="s">
        <v>1635</v>
      </c>
      <c r="D1646" s="2" t="s">
        <v>1636</v>
      </c>
      <c r="E1646" t="s">
        <v>924</v>
      </c>
      <c r="F1646" t="s">
        <v>20</v>
      </c>
      <c r="G1646" t="s">
        <v>21</v>
      </c>
      <c r="H1646" t="s">
        <v>30</v>
      </c>
      <c r="I1646" t="s">
        <v>23</v>
      </c>
      <c r="J1646" t="s">
        <v>35</v>
      </c>
      <c r="K1646" s="2" t="s">
        <v>1797</v>
      </c>
      <c r="L1646" t="s">
        <v>26</v>
      </c>
      <c r="M1646">
        <v>340590</v>
      </c>
      <c r="N1646">
        <v>-1</v>
      </c>
      <c r="O1646" s="3">
        <v>-79950</v>
      </c>
      <c r="P1646" s="3">
        <v>29988</v>
      </c>
      <c r="Q1646" s="5">
        <f t="shared" si="75"/>
        <v>-67184.873949579836</v>
      </c>
      <c r="R1646" s="5">
        <f t="shared" si="76"/>
        <v>-29988</v>
      </c>
      <c r="S1646" s="5">
        <f t="shared" si="77"/>
        <v>-37196.873949579836</v>
      </c>
    </row>
    <row r="1647" spans="1:19" hidden="1" x14ac:dyDescent="0.3">
      <c r="A1647">
        <v>130</v>
      </c>
      <c r="B1647" t="s">
        <v>2244</v>
      </c>
      <c r="C1647" t="s">
        <v>3203</v>
      </c>
      <c r="D1647" s="2" t="s">
        <v>3204</v>
      </c>
      <c r="E1647" t="s">
        <v>2465</v>
      </c>
      <c r="F1647" t="s">
        <v>20</v>
      </c>
      <c r="G1647" t="s">
        <v>21</v>
      </c>
      <c r="H1647" t="s">
        <v>30</v>
      </c>
      <c r="I1647" t="s">
        <v>23</v>
      </c>
      <c r="J1647" t="s">
        <v>35</v>
      </c>
      <c r="K1647" s="2" t="s">
        <v>1797</v>
      </c>
      <c r="L1647" t="s">
        <v>26</v>
      </c>
      <c r="M1647">
        <v>340590</v>
      </c>
      <c r="N1647">
        <v>1</v>
      </c>
      <c r="O1647" s="3">
        <v>79951</v>
      </c>
      <c r="P1647" s="3">
        <v>30749</v>
      </c>
      <c r="Q1647" s="5">
        <f t="shared" si="75"/>
        <v>67185.71428571429</v>
      </c>
      <c r="R1647" s="5">
        <f t="shared" si="76"/>
        <v>30749</v>
      </c>
      <c r="S1647" s="5">
        <f t="shared" si="77"/>
        <v>36436.71428571429</v>
      </c>
    </row>
    <row r="1648" spans="1:19" hidden="1" x14ac:dyDescent="0.3">
      <c r="A1648">
        <v>130</v>
      </c>
      <c r="B1648" t="s">
        <v>2244</v>
      </c>
      <c r="C1648" t="s">
        <v>3205</v>
      </c>
      <c r="D1648" s="2" t="s">
        <v>3206</v>
      </c>
      <c r="E1648" t="s">
        <v>2865</v>
      </c>
      <c r="F1648" t="s">
        <v>20</v>
      </c>
      <c r="G1648" t="s">
        <v>21</v>
      </c>
      <c r="H1648" t="s">
        <v>57</v>
      </c>
      <c r="I1648" t="s">
        <v>23</v>
      </c>
      <c r="J1648" t="s">
        <v>35</v>
      </c>
      <c r="K1648" s="2" t="s">
        <v>1797</v>
      </c>
      <c r="L1648" t="s">
        <v>26</v>
      </c>
      <c r="M1648">
        <v>340591</v>
      </c>
      <c r="N1648">
        <v>1</v>
      </c>
      <c r="O1648" s="3">
        <v>79990</v>
      </c>
      <c r="P1648" s="3">
        <v>29189</v>
      </c>
      <c r="Q1648" s="5">
        <f t="shared" si="75"/>
        <v>67218.487394957992</v>
      </c>
      <c r="R1648" s="5">
        <f t="shared" si="76"/>
        <v>29189</v>
      </c>
      <c r="S1648" s="5">
        <f t="shared" si="77"/>
        <v>38029.487394957992</v>
      </c>
    </row>
    <row r="1649" spans="1:19" hidden="1" x14ac:dyDescent="0.3">
      <c r="A1649">
        <v>130</v>
      </c>
      <c r="B1649" t="s">
        <v>2244</v>
      </c>
      <c r="C1649" t="s">
        <v>1856</v>
      </c>
      <c r="D1649" s="2" t="s">
        <v>1857</v>
      </c>
      <c r="E1649" t="s">
        <v>1858</v>
      </c>
      <c r="F1649" t="s">
        <v>20</v>
      </c>
      <c r="G1649" t="s">
        <v>21</v>
      </c>
      <c r="H1649" t="s">
        <v>1337</v>
      </c>
      <c r="I1649" t="s">
        <v>23</v>
      </c>
      <c r="J1649" t="s">
        <v>49</v>
      </c>
      <c r="K1649" s="2" t="s">
        <v>1797</v>
      </c>
      <c r="L1649" t="s">
        <v>26</v>
      </c>
      <c r="M1649">
        <v>340591</v>
      </c>
      <c r="N1649">
        <v>1</v>
      </c>
      <c r="O1649" s="3">
        <v>49990</v>
      </c>
      <c r="P1649" s="3">
        <v>19472</v>
      </c>
      <c r="Q1649" s="5">
        <f t="shared" si="75"/>
        <v>42008.403361344543</v>
      </c>
      <c r="R1649" s="5">
        <f t="shared" si="76"/>
        <v>19472</v>
      </c>
      <c r="S1649" s="5">
        <f t="shared" si="77"/>
        <v>22536.403361344543</v>
      </c>
    </row>
    <row r="1650" spans="1:19" hidden="1" x14ac:dyDescent="0.3">
      <c r="A1650">
        <v>130</v>
      </c>
      <c r="B1650" t="s">
        <v>2244</v>
      </c>
      <c r="C1650" t="s">
        <v>2582</v>
      </c>
      <c r="D1650" s="2" t="s">
        <v>2583</v>
      </c>
      <c r="E1650" t="s">
        <v>2407</v>
      </c>
      <c r="F1650" t="s">
        <v>20</v>
      </c>
      <c r="G1650" t="s">
        <v>21</v>
      </c>
      <c r="H1650" t="s">
        <v>30</v>
      </c>
      <c r="I1650" t="s">
        <v>23</v>
      </c>
      <c r="J1650" t="s">
        <v>49</v>
      </c>
      <c r="K1650" s="2" t="s">
        <v>1797</v>
      </c>
      <c r="L1650" t="s">
        <v>26</v>
      </c>
      <c r="M1650">
        <v>340592</v>
      </c>
      <c r="N1650">
        <v>1</v>
      </c>
      <c r="O1650" s="3">
        <v>49990</v>
      </c>
      <c r="P1650" s="3">
        <v>22533</v>
      </c>
      <c r="Q1650" s="5">
        <f t="shared" si="75"/>
        <v>42008.403361344543</v>
      </c>
      <c r="R1650" s="5">
        <f t="shared" si="76"/>
        <v>22533</v>
      </c>
      <c r="S1650" s="5">
        <f t="shared" si="77"/>
        <v>19475.403361344543</v>
      </c>
    </row>
    <row r="1651" spans="1:19" hidden="1" x14ac:dyDescent="0.3">
      <c r="A1651">
        <v>130</v>
      </c>
      <c r="B1651" t="s">
        <v>2244</v>
      </c>
      <c r="C1651" t="s">
        <v>3207</v>
      </c>
      <c r="D1651" s="2" t="s">
        <v>3208</v>
      </c>
      <c r="E1651" t="s">
        <v>2844</v>
      </c>
      <c r="F1651" t="s">
        <v>20</v>
      </c>
      <c r="G1651" t="s">
        <v>338</v>
      </c>
      <c r="H1651">
        <v>24722</v>
      </c>
      <c r="I1651" t="s">
        <v>23</v>
      </c>
      <c r="J1651" t="s">
        <v>95</v>
      </c>
      <c r="K1651" s="2" t="s">
        <v>1797</v>
      </c>
      <c r="L1651" t="s">
        <v>26</v>
      </c>
      <c r="M1651">
        <v>340593</v>
      </c>
      <c r="N1651">
        <v>1</v>
      </c>
      <c r="O1651" s="3">
        <v>89950</v>
      </c>
      <c r="P1651" s="3">
        <v>30987</v>
      </c>
      <c r="Q1651" s="5">
        <f t="shared" si="75"/>
        <v>75588.23529411765</v>
      </c>
      <c r="R1651" s="5">
        <f t="shared" si="76"/>
        <v>30987</v>
      </c>
      <c r="S1651" s="5">
        <f t="shared" si="77"/>
        <v>44601.23529411765</v>
      </c>
    </row>
    <row r="1652" spans="1:19" hidden="1" x14ac:dyDescent="0.3">
      <c r="A1652">
        <v>130</v>
      </c>
      <c r="B1652" t="s">
        <v>2244</v>
      </c>
      <c r="C1652">
        <v>1687976791</v>
      </c>
      <c r="D1652" s="2" t="s">
        <v>200</v>
      </c>
      <c r="E1652" t="s">
        <v>201</v>
      </c>
      <c r="F1652" t="s">
        <v>201</v>
      </c>
      <c r="G1652" t="s">
        <v>202</v>
      </c>
      <c r="H1652" t="s">
        <v>202</v>
      </c>
      <c r="I1652" t="s">
        <v>23</v>
      </c>
      <c r="J1652" t="s">
        <v>202</v>
      </c>
      <c r="K1652" s="2" t="s">
        <v>1797</v>
      </c>
      <c r="L1652" t="s">
        <v>26</v>
      </c>
      <c r="M1652">
        <v>340594</v>
      </c>
      <c r="N1652">
        <v>1</v>
      </c>
      <c r="O1652" s="3">
        <v>6302</v>
      </c>
      <c r="P1652">
        <v>1</v>
      </c>
      <c r="Q1652" s="5">
        <f t="shared" si="75"/>
        <v>5295.7983193277314</v>
      </c>
      <c r="R1652" s="5">
        <f t="shared" si="76"/>
        <v>1</v>
      </c>
      <c r="S1652" s="5">
        <f t="shared" si="77"/>
        <v>5294.7983193277314</v>
      </c>
    </row>
    <row r="1653" spans="1:19" hidden="1" x14ac:dyDescent="0.3">
      <c r="A1653">
        <v>130</v>
      </c>
      <c r="B1653" t="s">
        <v>2244</v>
      </c>
      <c r="C1653" t="s">
        <v>3209</v>
      </c>
      <c r="D1653" s="2" t="s">
        <v>3210</v>
      </c>
      <c r="E1653" t="s">
        <v>2143</v>
      </c>
      <c r="F1653" t="s">
        <v>20</v>
      </c>
      <c r="G1653" t="s">
        <v>338</v>
      </c>
      <c r="H1653">
        <v>23732</v>
      </c>
      <c r="I1653" t="s">
        <v>23</v>
      </c>
      <c r="J1653" t="s">
        <v>40</v>
      </c>
      <c r="K1653" s="2" t="s">
        <v>1797</v>
      </c>
      <c r="L1653" t="s">
        <v>26</v>
      </c>
      <c r="M1653">
        <v>340594</v>
      </c>
      <c r="N1653">
        <v>1</v>
      </c>
      <c r="O1653" s="3">
        <v>59990</v>
      </c>
      <c r="P1653" s="3">
        <v>26539</v>
      </c>
      <c r="Q1653" s="5">
        <f t="shared" si="75"/>
        <v>50411.764705882357</v>
      </c>
      <c r="R1653" s="5">
        <f t="shared" si="76"/>
        <v>26539</v>
      </c>
      <c r="S1653" s="5">
        <f t="shared" si="77"/>
        <v>23872.764705882357</v>
      </c>
    </row>
    <row r="1654" spans="1:19" hidden="1" x14ac:dyDescent="0.3">
      <c r="A1654">
        <v>130</v>
      </c>
      <c r="B1654" t="s">
        <v>2244</v>
      </c>
      <c r="C1654" t="s">
        <v>3211</v>
      </c>
      <c r="D1654" s="2" t="s">
        <v>3212</v>
      </c>
      <c r="E1654" t="s">
        <v>3213</v>
      </c>
      <c r="F1654" t="s">
        <v>377</v>
      </c>
      <c r="G1654" t="s">
        <v>21</v>
      </c>
      <c r="H1654" t="s">
        <v>378</v>
      </c>
      <c r="I1654" t="s">
        <v>23</v>
      </c>
      <c r="J1654" t="s">
        <v>2459</v>
      </c>
      <c r="K1654" s="2" t="s">
        <v>1797</v>
      </c>
      <c r="L1654" t="s">
        <v>26</v>
      </c>
      <c r="M1654">
        <v>340595</v>
      </c>
      <c r="N1654">
        <v>1</v>
      </c>
      <c r="O1654" s="3">
        <v>6950</v>
      </c>
      <c r="P1654" s="3">
        <v>3751</v>
      </c>
      <c r="Q1654" s="5">
        <f t="shared" si="75"/>
        <v>5840.3361344537816</v>
      </c>
      <c r="R1654" s="5">
        <f t="shared" si="76"/>
        <v>3751</v>
      </c>
      <c r="S1654" s="5">
        <f t="shared" si="77"/>
        <v>2089.3361344537816</v>
      </c>
    </row>
    <row r="1655" spans="1:19" hidden="1" x14ac:dyDescent="0.3">
      <c r="A1655">
        <v>130</v>
      </c>
      <c r="B1655" t="s">
        <v>2244</v>
      </c>
      <c r="C1655" t="s">
        <v>3214</v>
      </c>
      <c r="D1655" s="2" t="s">
        <v>3215</v>
      </c>
      <c r="E1655" t="s">
        <v>3216</v>
      </c>
      <c r="F1655" t="s">
        <v>20</v>
      </c>
      <c r="G1655" t="s">
        <v>338</v>
      </c>
      <c r="H1655">
        <v>85603</v>
      </c>
      <c r="I1655" t="s">
        <v>23</v>
      </c>
      <c r="J1655" t="s">
        <v>31</v>
      </c>
      <c r="K1655" s="2" t="s">
        <v>1797</v>
      </c>
      <c r="L1655" t="s">
        <v>26</v>
      </c>
      <c r="M1655">
        <v>340596</v>
      </c>
      <c r="N1655">
        <v>1</v>
      </c>
      <c r="O1655" s="3">
        <v>149950</v>
      </c>
      <c r="P1655" s="3">
        <v>50145</v>
      </c>
      <c r="Q1655" s="5">
        <f t="shared" si="75"/>
        <v>126008.40336134455</v>
      </c>
      <c r="R1655" s="5">
        <f t="shared" si="76"/>
        <v>50145</v>
      </c>
      <c r="S1655" s="5">
        <f t="shared" si="77"/>
        <v>75863.40336134455</v>
      </c>
    </row>
    <row r="1656" spans="1:19" hidden="1" x14ac:dyDescent="0.3">
      <c r="A1656">
        <v>130</v>
      </c>
      <c r="B1656" t="s">
        <v>2244</v>
      </c>
      <c r="C1656" t="s">
        <v>115</v>
      </c>
      <c r="D1656" s="2" t="s">
        <v>116</v>
      </c>
      <c r="E1656" t="s">
        <v>117</v>
      </c>
      <c r="F1656" t="s">
        <v>20</v>
      </c>
      <c r="G1656" t="s">
        <v>21</v>
      </c>
      <c r="H1656" t="s">
        <v>118</v>
      </c>
      <c r="I1656" t="s">
        <v>23</v>
      </c>
      <c r="J1656" t="s">
        <v>49</v>
      </c>
      <c r="K1656" s="2" t="s">
        <v>1797</v>
      </c>
      <c r="L1656" t="s">
        <v>26</v>
      </c>
      <c r="M1656">
        <v>340597</v>
      </c>
      <c r="N1656">
        <v>1</v>
      </c>
      <c r="O1656" s="3">
        <v>39990</v>
      </c>
      <c r="P1656" s="3">
        <v>26631</v>
      </c>
      <c r="Q1656" s="5">
        <f t="shared" si="75"/>
        <v>33605.042016806721</v>
      </c>
      <c r="R1656" s="5">
        <f t="shared" si="76"/>
        <v>26631</v>
      </c>
      <c r="S1656" s="5">
        <f t="shared" si="77"/>
        <v>6974.0420168067212</v>
      </c>
    </row>
    <row r="1657" spans="1:19" hidden="1" x14ac:dyDescent="0.3">
      <c r="A1657">
        <v>130</v>
      </c>
      <c r="B1657" t="s">
        <v>2244</v>
      </c>
      <c r="C1657" t="s">
        <v>1477</v>
      </c>
      <c r="D1657" s="2" t="s">
        <v>1478</v>
      </c>
      <c r="E1657" t="s">
        <v>467</v>
      </c>
      <c r="F1657" t="s">
        <v>20</v>
      </c>
      <c r="G1657" t="s">
        <v>21</v>
      </c>
      <c r="H1657" t="s">
        <v>171</v>
      </c>
      <c r="I1657" t="s">
        <v>23</v>
      </c>
      <c r="J1657" t="s">
        <v>40</v>
      </c>
      <c r="K1657" s="2" t="s">
        <v>1797</v>
      </c>
      <c r="L1657" t="s">
        <v>26</v>
      </c>
      <c r="M1657">
        <v>340598</v>
      </c>
      <c r="N1657">
        <v>1</v>
      </c>
      <c r="O1657" s="3">
        <v>59990</v>
      </c>
      <c r="P1657" s="3">
        <v>29948</v>
      </c>
      <c r="Q1657" s="5">
        <f t="shared" si="75"/>
        <v>50411.764705882357</v>
      </c>
      <c r="R1657" s="5">
        <f t="shared" si="76"/>
        <v>29948</v>
      </c>
      <c r="S1657" s="5">
        <f t="shared" si="77"/>
        <v>20463.764705882357</v>
      </c>
    </row>
    <row r="1658" spans="1:19" hidden="1" x14ac:dyDescent="0.3">
      <c r="A1658">
        <v>130</v>
      </c>
      <c r="B1658" t="s">
        <v>2244</v>
      </c>
      <c r="C1658" t="s">
        <v>3217</v>
      </c>
      <c r="D1658" s="2" t="s">
        <v>3218</v>
      </c>
      <c r="E1658" t="s">
        <v>3219</v>
      </c>
      <c r="F1658" t="s">
        <v>20</v>
      </c>
      <c r="G1658" t="s">
        <v>21</v>
      </c>
      <c r="H1658" t="s">
        <v>1296</v>
      </c>
      <c r="I1658" t="s">
        <v>23</v>
      </c>
      <c r="J1658" t="s">
        <v>35</v>
      </c>
      <c r="K1658" s="2" t="s">
        <v>1797</v>
      </c>
      <c r="L1658" t="s">
        <v>26</v>
      </c>
      <c r="M1658">
        <v>340599</v>
      </c>
      <c r="N1658">
        <v>1</v>
      </c>
      <c r="O1658" s="3">
        <v>69990</v>
      </c>
      <c r="P1658" s="3">
        <v>34091</v>
      </c>
      <c r="Q1658" s="5">
        <f t="shared" si="75"/>
        <v>58815.126050420171</v>
      </c>
      <c r="R1658" s="5">
        <f t="shared" si="76"/>
        <v>34091</v>
      </c>
      <c r="S1658" s="5">
        <f t="shared" si="77"/>
        <v>24724.126050420171</v>
      </c>
    </row>
    <row r="1659" spans="1:19" hidden="1" x14ac:dyDescent="0.3">
      <c r="A1659">
        <v>130</v>
      </c>
      <c r="B1659" t="s">
        <v>2244</v>
      </c>
      <c r="C1659" t="s">
        <v>3220</v>
      </c>
      <c r="D1659" s="2" t="s">
        <v>3221</v>
      </c>
      <c r="E1659" t="s">
        <v>2661</v>
      </c>
      <c r="F1659" t="s">
        <v>20</v>
      </c>
      <c r="G1659" t="s">
        <v>21</v>
      </c>
      <c r="H1659" t="s">
        <v>317</v>
      </c>
      <c r="I1659" t="s">
        <v>23</v>
      </c>
      <c r="J1659" t="s">
        <v>35</v>
      </c>
      <c r="K1659" s="2" t="s">
        <v>1797</v>
      </c>
      <c r="L1659" t="s">
        <v>26</v>
      </c>
      <c r="M1659">
        <v>340600</v>
      </c>
      <c r="N1659">
        <v>1</v>
      </c>
      <c r="O1659" s="3">
        <v>69950</v>
      </c>
      <c r="P1659" s="3">
        <v>26119</v>
      </c>
      <c r="Q1659" s="5">
        <f t="shared" si="75"/>
        <v>58781.512605042022</v>
      </c>
      <c r="R1659" s="5">
        <f t="shared" si="76"/>
        <v>26119</v>
      </c>
      <c r="S1659" s="5">
        <f t="shared" si="77"/>
        <v>32662.512605042022</v>
      </c>
    </row>
    <row r="1660" spans="1:19" hidden="1" x14ac:dyDescent="0.3">
      <c r="A1660">
        <v>130</v>
      </c>
      <c r="B1660" t="s">
        <v>2244</v>
      </c>
      <c r="C1660" t="s">
        <v>3222</v>
      </c>
      <c r="D1660" s="2" t="s">
        <v>3223</v>
      </c>
      <c r="E1660" t="s">
        <v>52</v>
      </c>
      <c r="F1660" t="s">
        <v>20</v>
      </c>
      <c r="G1660" t="s">
        <v>21</v>
      </c>
      <c r="H1660" t="s">
        <v>53</v>
      </c>
      <c r="I1660" t="s">
        <v>23</v>
      </c>
      <c r="J1660" t="s">
        <v>49</v>
      </c>
      <c r="K1660" s="2" t="s">
        <v>1797</v>
      </c>
      <c r="L1660" t="s">
        <v>26</v>
      </c>
      <c r="M1660">
        <v>340600</v>
      </c>
      <c r="N1660">
        <v>-1</v>
      </c>
      <c r="O1660" s="3">
        <v>-49990</v>
      </c>
      <c r="P1660" s="3">
        <v>21333</v>
      </c>
      <c r="Q1660" s="5">
        <f t="shared" si="75"/>
        <v>-42008.403361344543</v>
      </c>
      <c r="R1660" s="5">
        <f t="shared" si="76"/>
        <v>-21333</v>
      </c>
      <c r="S1660" s="5">
        <f t="shared" si="77"/>
        <v>-20675.403361344543</v>
      </c>
    </row>
    <row r="1661" spans="1:19" hidden="1" x14ac:dyDescent="0.3">
      <c r="A1661">
        <v>130</v>
      </c>
      <c r="B1661" t="s">
        <v>2244</v>
      </c>
      <c r="C1661" t="s">
        <v>3224</v>
      </c>
      <c r="D1661" s="2" t="s">
        <v>3225</v>
      </c>
      <c r="E1661" t="s">
        <v>3226</v>
      </c>
      <c r="F1661" t="s">
        <v>20</v>
      </c>
      <c r="G1661" t="s">
        <v>21</v>
      </c>
      <c r="H1661" t="s">
        <v>557</v>
      </c>
      <c r="I1661" t="s">
        <v>23</v>
      </c>
      <c r="J1661" t="s">
        <v>40</v>
      </c>
      <c r="K1661" s="2" t="s">
        <v>1797</v>
      </c>
      <c r="L1661" t="s">
        <v>26</v>
      </c>
      <c r="M1661">
        <v>340601</v>
      </c>
      <c r="N1661">
        <v>1</v>
      </c>
      <c r="O1661" s="3">
        <v>69990</v>
      </c>
      <c r="P1661" s="3">
        <v>26810</v>
      </c>
      <c r="Q1661" s="5">
        <f t="shared" si="75"/>
        <v>58815.126050420171</v>
      </c>
      <c r="R1661" s="5">
        <f t="shared" si="76"/>
        <v>26810</v>
      </c>
      <c r="S1661" s="5">
        <f t="shared" si="77"/>
        <v>32005.126050420171</v>
      </c>
    </row>
    <row r="1662" spans="1:19" hidden="1" x14ac:dyDescent="0.3">
      <c r="A1662">
        <v>130</v>
      </c>
      <c r="B1662" t="s">
        <v>2244</v>
      </c>
      <c r="C1662" t="s">
        <v>2083</v>
      </c>
      <c r="D1662" s="2" t="s">
        <v>2084</v>
      </c>
      <c r="E1662" t="s">
        <v>2085</v>
      </c>
      <c r="F1662" t="s">
        <v>20</v>
      </c>
      <c r="G1662" t="s">
        <v>21</v>
      </c>
      <c r="H1662" t="s">
        <v>870</v>
      </c>
      <c r="I1662" t="s">
        <v>23</v>
      </c>
      <c r="J1662" t="s">
        <v>49</v>
      </c>
      <c r="K1662" s="2" t="s">
        <v>1797</v>
      </c>
      <c r="L1662" t="s">
        <v>26</v>
      </c>
      <c r="M1662">
        <v>340602</v>
      </c>
      <c r="N1662">
        <v>1</v>
      </c>
      <c r="O1662" s="3">
        <v>39990</v>
      </c>
      <c r="P1662" s="3">
        <v>22955</v>
      </c>
      <c r="Q1662" s="5">
        <f t="shared" si="75"/>
        <v>33605.042016806721</v>
      </c>
      <c r="R1662" s="5">
        <f t="shared" si="76"/>
        <v>22955</v>
      </c>
      <c r="S1662" s="5">
        <f t="shared" si="77"/>
        <v>10650.042016806721</v>
      </c>
    </row>
    <row r="1663" spans="1:19" hidden="1" x14ac:dyDescent="0.3">
      <c r="A1663">
        <v>130</v>
      </c>
      <c r="B1663" t="s">
        <v>2244</v>
      </c>
      <c r="C1663" t="s">
        <v>3227</v>
      </c>
      <c r="D1663" s="2" t="s">
        <v>3228</v>
      </c>
      <c r="E1663" t="s">
        <v>3229</v>
      </c>
      <c r="F1663" t="s">
        <v>20</v>
      </c>
      <c r="G1663" t="s">
        <v>338</v>
      </c>
      <c r="H1663">
        <v>22419</v>
      </c>
      <c r="I1663" t="s">
        <v>23</v>
      </c>
      <c r="J1663" t="s">
        <v>49</v>
      </c>
      <c r="K1663" s="2" t="s">
        <v>1797</v>
      </c>
      <c r="L1663" t="s">
        <v>26</v>
      </c>
      <c r="M1663">
        <v>340603</v>
      </c>
      <c r="N1663">
        <v>1</v>
      </c>
      <c r="O1663" s="3">
        <v>64950</v>
      </c>
      <c r="P1663" s="3">
        <v>16987</v>
      </c>
      <c r="Q1663" s="5">
        <f t="shared" si="75"/>
        <v>54579.831932773115</v>
      </c>
      <c r="R1663" s="5">
        <f t="shared" si="76"/>
        <v>16987</v>
      </c>
      <c r="S1663" s="5">
        <f t="shared" si="77"/>
        <v>37592.831932773115</v>
      </c>
    </row>
    <row r="1664" spans="1:19" hidden="1" x14ac:dyDescent="0.3">
      <c r="A1664">
        <v>130</v>
      </c>
      <c r="B1664" t="s">
        <v>2244</v>
      </c>
      <c r="C1664" t="s">
        <v>3230</v>
      </c>
      <c r="D1664" s="2" t="s">
        <v>3231</v>
      </c>
      <c r="E1664" t="s">
        <v>3183</v>
      </c>
      <c r="F1664" t="s">
        <v>20</v>
      </c>
      <c r="G1664" t="s">
        <v>21</v>
      </c>
      <c r="H1664" t="s">
        <v>614</v>
      </c>
      <c r="I1664" t="s">
        <v>23</v>
      </c>
      <c r="J1664" t="s">
        <v>40</v>
      </c>
      <c r="K1664" s="2" t="s">
        <v>1797</v>
      </c>
      <c r="L1664" t="s">
        <v>26</v>
      </c>
      <c r="M1664">
        <v>340604</v>
      </c>
      <c r="N1664">
        <v>1</v>
      </c>
      <c r="O1664" s="3">
        <v>39990</v>
      </c>
      <c r="P1664" s="3">
        <v>17378</v>
      </c>
      <c r="Q1664" s="5">
        <f t="shared" si="75"/>
        <v>33605.042016806721</v>
      </c>
      <c r="R1664" s="5">
        <f t="shared" si="76"/>
        <v>17378</v>
      </c>
      <c r="S1664" s="5">
        <f t="shared" si="77"/>
        <v>16227.042016806721</v>
      </c>
    </row>
    <row r="1665" spans="1:19" hidden="1" x14ac:dyDescent="0.3">
      <c r="A1665">
        <v>130</v>
      </c>
      <c r="B1665" t="s">
        <v>2244</v>
      </c>
      <c r="C1665" t="s">
        <v>1419</v>
      </c>
      <c r="D1665" s="2" t="s">
        <v>1420</v>
      </c>
      <c r="E1665" t="s">
        <v>1421</v>
      </c>
      <c r="F1665" t="s">
        <v>20</v>
      </c>
      <c r="G1665" t="s">
        <v>21</v>
      </c>
      <c r="H1665" t="s">
        <v>1422</v>
      </c>
      <c r="I1665" t="s">
        <v>23</v>
      </c>
      <c r="J1665" t="s">
        <v>49</v>
      </c>
      <c r="K1665" s="2" t="s">
        <v>1797</v>
      </c>
      <c r="L1665" t="s">
        <v>26</v>
      </c>
      <c r="M1665">
        <v>340605</v>
      </c>
      <c r="N1665">
        <v>1</v>
      </c>
      <c r="O1665" s="3">
        <v>74950</v>
      </c>
      <c r="P1665" s="3">
        <v>25183</v>
      </c>
      <c r="Q1665" s="5">
        <f t="shared" si="75"/>
        <v>62983.193277310929</v>
      </c>
      <c r="R1665" s="5">
        <f t="shared" si="76"/>
        <v>25183</v>
      </c>
      <c r="S1665" s="5">
        <f t="shared" si="77"/>
        <v>37800.193277310929</v>
      </c>
    </row>
    <row r="1666" spans="1:19" hidden="1" x14ac:dyDescent="0.3">
      <c r="A1666">
        <v>130</v>
      </c>
      <c r="B1666" t="s">
        <v>2244</v>
      </c>
      <c r="C1666" t="s">
        <v>3025</v>
      </c>
      <c r="D1666" s="2" t="s">
        <v>3026</v>
      </c>
      <c r="E1666" t="s">
        <v>3027</v>
      </c>
      <c r="F1666" t="s">
        <v>20</v>
      </c>
      <c r="G1666" t="s">
        <v>21</v>
      </c>
      <c r="H1666" t="s">
        <v>3028</v>
      </c>
      <c r="I1666" t="s">
        <v>23</v>
      </c>
      <c r="J1666" t="s">
        <v>35</v>
      </c>
      <c r="K1666" s="2" t="s">
        <v>1853</v>
      </c>
      <c r="L1666" t="s">
        <v>26</v>
      </c>
      <c r="M1666">
        <v>340606</v>
      </c>
      <c r="N1666">
        <v>-1</v>
      </c>
      <c r="O1666" s="3">
        <v>-99950</v>
      </c>
      <c r="P1666" s="3">
        <v>53748</v>
      </c>
      <c r="Q1666" s="5">
        <f t="shared" si="75"/>
        <v>-83991.596638655465</v>
      </c>
      <c r="R1666" s="5">
        <f t="shared" si="76"/>
        <v>-53748</v>
      </c>
      <c r="S1666" s="5">
        <f t="shared" si="77"/>
        <v>-30243.596638655465</v>
      </c>
    </row>
    <row r="1667" spans="1:19" hidden="1" x14ac:dyDescent="0.3">
      <c r="A1667">
        <v>130</v>
      </c>
      <c r="B1667" t="s">
        <v>2244</v>
      </c>
      <c r="C1667" t="s">
        <v>3232</v>
      </c>
      <c r="D1667" s="2" t="s">
        <v>3233</v>
      </c>
      <c r="E1667" t="s">
        <v>2933</v>
      </c>
      <c r="F1667" t="s">
        <v>20</v>
      </c>
      <c r="G1667" t="s">
        <v>338</v>
      </c>
      <c r="H1667">
        <v>25539</v>
      </c>
      <c r="I1667" t="s">
        <v>23</v>
      </c>
      <c r="J1667" t="s">
        <v>31</v>
      </c>
      <c r="K1667" s="2" t="s">
        <v>1853</v>
      </c>
      <c r="L1667" t="s">
        <v>26</v>
      </c>
      <c r="M1667">
        <v>340606</v>
      </c>
      <c r="N1667">
        <v>1</v>
      </c>
      <c r="O1667" s="3">
        <v>139950</v>
      </c>
      <c r="P1667" s="3">
        <v>46011</v>
      </c>
      <c r="Q1667" s="5">
        <f t="shared" si="75"/>
        <v>117605.04201680672</v>
      </c>
      <c r="R1667" s="5">
        <f t="shared" si="76"/>
        <v>46011</v>
      </c>
      <c r="S1667" s="5">
        <f t="shared" si="77"/>
        <v>71594.042016806721</v>
      </c>
    </row>
    <row r="1668" spans="1:19" hidden="1" x14ac:dyDescent="0.3">
      <c r="A1668">
        <v>130</v>
      </c>
      <c r="B1668" t="s">
        <v>2244</v>
      </c>
      <c r="C1668" t="s">
        <v>3234</v>
      </c>
      <c r="D1668" s="2" t="s">
        <v>3235</v>
      </c>
      <c r="E1668" t="s">
        <v>1330</v>
      </c>
      <c r="F1668" t="s">
        <v>20</v>
      </c>
      <c r="G1668" t="s">
        <v>338</v>
      </c>
      <c r="H1668">
        <v>25133</v>
      </c>
      <c r="I1668" t="s">
        <v>23</v>
      </c>
      <c r="J1668" t="s">
        <v>35</v>
      </c>
      <c r="K1668" s="2" t="s">
        <v>1853</v>
      </c>
      <c r="L1668" t="s">
        <v>26</v>
      </c>
      <c r="M1668">
        <v>340607</v>
      </c>
      <c r="N1668">
        <v>1</v>
      </c>
      <c r="O1668" s="3">
        <v>74950</v>
      </c>
      <c r="P1668" s="3">
        <v>21167</v>
      </c>
      <c r="Q1668" s="5">
        <f t="shared" si="75"/>
        <v>62983.193277310929</v>
      </c>
      <c r="R1668" s="5">
        <f t="shared" si="76"/>
        <v>21167</v>
      </c>
      <c r="S1668" s="5">
        <f t="shared" si="77"/>
        <v>41816.193277310929</v>
      </c>
    </row>
    <row r="1669" spans="1:19" hidden="1" x14ac:dyDescent="0.3">
      <c r="A1669">
        <v>130</v>
      </c>
      <c r="B1669" t="s">
        <v>2244</v>
      </c>
      <c r="C1669" t="s">
        <v>3236</v>
      </c>
      <c r="D1669" s="2" t="s">
        <v>3237</v>
      </c>
      <c r="E1669" t="s">
        <v>189</v>
      </c>
      <c r="F1669" t="s">
        <v>20</v>
      </c>
      <c r="G1669" t="s">
        <v>21</v>
      </c>
      <c r="H1669" t="s">
        <v>131</v>
      </c>
      <c r="I1669" t="s">
        <v>23</v>
      </c>
      <c r="J1669" t="s">
        <v>49</v>
      </c>
      <c r="K1669" s="2" t="s">
        <v>1853</v>
      </c>
      <c r="L1669" t="s">
        <v>26</v>
      </c>
      <c r="M1669">
        <v>340608</v>
      </c>
      <c r="N1669">
        <v>1</v>
      </c>
      <c r="O1669" s="3">
        <v>39990</v>
      </c>
      <c r="P1669" s="3">
        <v>27519</v>
      </c>
      <c r="Q1669" s="5">
        <f t="shared" si="75"/>
        <v>33605.042016806721</v>
      </c>
      <c r="R1669" s="5">
        <f t="shared" si="76"/>
        <v>27519</v>
      </c>
      <c r="S1669" s="5">
        <f t="shared" si="77"/>
        <v>6086.0420168067212</v>
      </c>
    </row>
    <row r="1670" spans="1:19" hidden="1" x14ac:dyDescent="0.3">
      <c r="A1670">
        <v>130</v>
      </c>
      <c r="B1670" t="s">
        <v>2244</v>
      </c>
      <c r="C1670" t="s">
        <v>3238</v>
      </c>
      <c r="D1670" s="2" t="s">
        <v>3239</v>
      </c>
      <c r="E1670" t="s">
        <v>756</v>
      </c>
      <c r="F1670" t="s">
        <v>20</v>
      </c>
      <c r="G1670" t="s">
        <v>21</v>
      </c>
      <c r="H1670" t="s">
        <v>131</v>
      </c>
      <c r="I1670" t="s">
        <v>23</v>
      </c>
      <c r="J1670" t="s">
        <v>49</v>
      </c>
      <c r="K1670" s="2" t="s">
        <v>1853</v>
      </c>
      <c r="L1670" t="s">
        <v>26</v>
      </c>
      <c r="M1670">
        <v>340608</v>
      </c>
      <c r="N1670">
        <v>1</v>
      </c>
      <c r="O1670" s="3">
        <v>39990</v>
      </c>
      <c r="P1670" s="3">
        <v>28069</v>
      </c>
      <c r="Q1670" s="5">
        <f t="shared" ref="Q1670:Q1733" si="78">O1670/1.19</f>
        <v>33605.042016806721</v>
      </c>
      <c r="R1670" s="5">
        <f t="shared" ref="R1670:R1733" si="79">N1670*P1670</f>
        <v>28069</v>
      </c>
      <c r="S1670" s="5">
        <f t="shared" ref="S1670:S1733" si="80">Q1670-R1670</f>
        <v>5536.0420168067212</v>
      </c>
    </row>
    <row r="1671" spans="1:19" hidden="1" x14ac:dyDescent="0.3">
      <c r="A1671">
        <v>130</v>
      </c>
      <c r="B1671" t="s">
        <v>2244</v>
      </c>
      <c r="C1671" t="s">
        <v>3240</v>
      </c>
      <c r="D1671" s="2" t="s">
        <v>3241</v>
      </c>
      <c r="E1671" t="s">
        <v>3061</v>
      </c>
      <c r="F1671" t="s">
        <v>20</v>
      </c>
      <c r="G1671" t="s">
        <v>21</v>
      </c>
      <c r="H1671" t="s">
        <v>2315</v>
      </c>
      <c r="I1671" t="s">
        <v>23</v>
      </c>
      <c r="J1671" t="s">
        <v>49</v>
      </c>
      <c r="K1671" s="2" t="s">
        <v>1853</v>
      </c>
      <c r="L1671" t="s">
        <v>26</v>
      </c>
      <c r="M1671">
        <v>340609</v>
      </c>
      <c r="N1671">
        <v>1</v>
      </c>
      <c r="O1671" s="3">
        <v>74950</v>
      </c>
      <c r="P1671" s="3">
        <v>29090</v>
      </c>
      <c r="Q1671" s="5">
        <f t="shared" si="78"/>
        <v>62983.193277310929</v>
      </c>
      <c r="R1671" s="5">
        <f t="shared" si="79"/>
        <v>29090</v>
      </c>
      <c r="S1671" s="5">
        <f t="shared" si="80"/>
        <v>33893.193277310929</v>
      </c>
    </row>
    <row r="1672" spans="1:19" hidden="1" x14ac:dyDescent="0.3">
      <c r="A1672">
        <v>130</v>
      </c>
      <c r="B1672" t="s">
        <v>2244</v>
      </c>
      <c r="C1672" t="s">
        <v>1977</v>
      </c>
      <c r="D1672" s="2" t="s">
        <v>1978</v>
      </c>
      <c r="E1672" t="s">
        <v>717</v>
      </c>
      <c r="F1672" t="s">
        <v>20</v>
      </c>
      <c r="G1672" t="s">
        <v>21</v>
      </c>
      <c r="H1672" t="s">
        <v>718</v>
      </c>
      <c r="I1672" t="s">
        <v>23</v>
      </c>
      <c r="J1672" t="s">
        <v>49</v>
      </c>
      <c r="K1672" s="2" t="s">
        <v>1853</v>
      </c>
      <c r="L1672" t="s">
        <v>26</v>
      </c>
      <c r="M1672">
        <v>340610</v>
      </c>
      <c r="N1672">
        <v>1</v>
      </c>
      <c r="O1672" s="3">
        <v>39990</v>
      </c>
      <c r="P1672" s="3">
        <v>26646</v>
      </c>
      <c r="Q1672" s="5">
        <f t="shared" si="78"/>
        <v>33605.042016806721</v>
      </c>
      <c r="R1672" s="5">
        <f t="shared" si="79"/>
        <v>26646</v>
      </c>
      <c r="S1672" s="5">
        <f t="shared" si="80"/>
        <v>6959.0420168067212</v>
      </c>
    </row>
    <row r="1673" spans="1:19" hidden="1" x14ac:dyDescent="0.3">
      <c r="A1673">
        <v>130</v>
      </c>
      <c r="B1673" t="s">
        <v>2244</v>
      </c>
      <c r="C1673" t="s">
        <v>3242</v>
      </c>
      <c r="D1673" s="2" t="s">
        <v>3243</v>
      </c>
      <c r="E1673" t="s">
        <v>2378</v>
      </c>
      <c r="F1673" t="s">
        <v>20</v>
      </c>
      <c r="G1673" t="s">
        <v>21</v>
      </c>
      <c r="H1673" t="s">
        <v>2379</v>
      </c>
      <c r="I1673" t="s">
        <v>23</v>
      </c>
      <c r="J1673" t="s">
        <v>40</v>
      </c>
      <c r="K1673" s="2" t="s">
        <v>1853</v>
      </c>
      <c r="L1673" t="s">
        <v>26</v>
      </c>
      <c r="M1673">
        <v>340611</v>
      </c>
      <c r="N1673">
        <v>1</v>
      </c>
      <c r="O1673" s="3">
        <v>37460</v>
      </c>
      <c r="P1673" s="3">
        <v>15735</v>
      </c>
      <c r="Q1673" s="5">
        <f t="shared" si="78"/>
        <v>31478.991596638658</v>
      </c>
      <c r="R1673" s="5">
        <f t="shared" si="79"/>
        <v>15735</v>
      </c>
      <c r="S1673" s="5">
        <f t="shared" si="80"/>
        <v>15743.991596638658</v>
      </c>
    </row>
    <row r="1674" spans="1:19" hidden="1" x14ac:dyDescent="0.3">
      <c r="A1674">
        <v>130</v>
      </c>
      <c r="B1674" t="s">
        <v>2244</v>
      </c>
      <c r="C1674" t="s">
        <v>3244</v>
      </c>
      <c r="D1674" s="2" t="s">
        <v>3245</v>
      </c>
      <c r="E1674" t="s">
        <v>2236</v>
      </c>
      <c r="F1674" t="s">
        <v>20</v>
      </c>
      <c r="G1674" t="s">
        <v>215</v>
      </c>
      <c r="H1674" t="s">
        <v>2237</v>
      </c>
      <c r="I1674" t="s">
        <v>23</v>
      </c>
      <c r="J1674" t="s">
        <v>49</v>
      </c>
      <c r="K1674" s="2" t="s">
        <v>1853</v>
      </c>
      <c r="L1674" t="s">
        <v>26</v>
      </c>
      <c r="M1674">
        <v>340612</v>
      </c>
      <c r="N1674">
        <v>1</v>
      </c>
      <c r="O1674" s="3">
        <v>69990</v>
      </c>
      <c r="P1674" s="3">
        <v>40145</v>
      </c>
      <c r="Q1674" s="5">
        <f t="shared" si="78"/>
        <v>58815.126050420171</v>
      </c>
      <c r="R1674" s="5">
        <f t="shared" si="79"/>
        <v>40145</v>
      </c>
      <c r="S1674" s="5">
        <f t="shared" si="80"/>
        <v>18670.126050420171</v>
      </c>
    </row>
    <row r="1675" spans="1:19" hidden="1" x14ac:dyDescent="0.3">
      <c r="A1675">
        <v>130</v>
      </c>
      <c r="B1675" t="s">
        <v>2244</v>
      </c>
      <c r="C1675" t="s">
        <v>3246</v>
      </c>
      <c r="D1675" s="2" t="s">
        <v>3247</v>
      </c>
      <c r="E1675" t="s">
        <v>3248</v>
      </c>
      <c r="F1675" t="s">
        <v>20</v>
      </c>
      <c r="G1675" t="s">
        <v>338</v>
      </c>
      <c r="H1675">
        <v>23201</v>
      </c>
      <c r="I1675" t="s">
        <v>23</v>
      </c>
      <c r="J1675" t="s">
        <v>49</v>
      </c>
      <c r="K1675" s="2" t="s">
        <v>1853</v>
      </c>
      <c r="L1675" t="s">
        <v>26</v>
      </c>
      <c r="M1675">
        <v>340613</v>
      </c>
      <c r="N1675">
        <v>1</v>
      </c>
      <c r="O1675" s="3">
        <v>84950</v>
      </c>
      <c r="P1675" s="3">
        <v>26390</v>
      </c>
      <c r="Q1675" s="5">
        <f t="shared" si="78"/>
        <v>71386.554621848743</v>
      </c>
      <c r="R1675" s="5">
        <f t="shared" si="79"/>
        <v>26390</v>
      </c>
      <c r="S1675" s="5">
        <f t="shared" si="80"/>
        <v>44996.554621848743</v>
      </c>
    </row>
    <row r="1676" spans="1:19" hidden="1" x14ac:dyDescent="0.3">
      <c r="A1676">
        <v>130</v>
      </c>
      <c r="B1676" t="s">
        <v>2244</v>
      </c>
      <c r="C1676" t="s">
        <v>3249</v>
      </c>
      <c r="D1676" s="2" t="s">
        <v>3250</v>
      </c>
      <c r="E1676" t="s">
        <v>2592</v>
      </c>
      <c r="F1676" t="s">
        <v>20</v>
      </c>
      <c r="G1676" t="s">
        <v>21</v>
      </c>
      <c r="H1676" t="s">
        <v>2593</v>
      </c>
      <c r="I1676" t="s">
        <v>23</v>
      </c>
      <c r="J1676" t="s">
        <v>35</v>
      </c>
      <c r="K1676" s="2" t="s">
        <v>1853</v>
      </c>
      <c r="L1676" t="s">
        <v>26</v>
      </c>
      <c r="M1676">
        <v>340614</v>
      </c>
      <c r="N1676">
        <v>1</v>
      </c>
      <c r="O1676" s="3">
        <v>99950</v>
      </c>
      <c r="P1676" s="3">
        <v>38102</v>
      </c>
      <c r="Q1676" s="5">
        <f t="shared" si="78"/>
        <v>83991.596638655465</v>
      </c>
      <c r="R1676" s="5">
        <f t="shared" si="79"/>
        <v>38102</v>
      </c>
      <c r="S1676" s="5">
        <f t="shared" si="80"/>
        <v>45889.596638655465</v>
      </c>
    </row>
    <row r="1677" spans="1:19" hidden="1" x14ac:dyDescent="0.3">
      <c r="A1677">
        <v>130</v>
      </c>
      <c r="B1677" t="s">
        <v>2244</v>
      </c>
      <c r="C1677" t="s">
        <v>2689</v>
      </c>
      <c r="D1677" s="2" t="s">
        <v>2690</v>
      </c>
      <c r="E1677" t="s">
        <v>2195</v>
      </c>
      <c r="F1677" t="s">
        <v>20</v>
      </c>
      <c r="G1677" t="s">
        <v>338</v>
      </c>
      <c r="H1677">
        <v>24722</v>
      </c>
      <c r="I1677" t="s">
        <v>23</v>
      </c>
      <c r="J1677" t="s">
        <v>95</v>
      </c>
      <c r="K1677" s="2" t="s">
        <v>1910</v>
      </c>
      <c r="L1677" t="s">
        <v>26</v>
      </c>
      <c r="M1677">
        <v>340615</v>
      </c>
      <c r="N1677">
        <v>1</v>
      </c>
      <c r="O1677" s="3">
        <v>89950</v>
      </c>
      <c r="P1677" s="3">
        <v>30987</v>
      </c>
      <c r="Q1677" s="5">
        <f t="shared" si="78"/>
        <v>75588.23529411765</v>
      </c>
      <c r="R1677" s="5">
        <f t="shared" si="79"/>
        <v>30987</v>
      </c>
      <c r="S1677" s="5">
        <f t="shared" si="80"/>
        <v>44601.23529411765</v>
      </c>
    </row>
    <row r="1678" spans="1:19" hidden="1" x14ac:dyDescent="0.3">
      <c r="A1678">
        <v>130</v>
      </c>
      <c r="B1678" t="s">
        <v>2244</v>
      </c>
      <c r="C1678" t="s">
        <v>2977</v>
      </c>
      <c r="D1678" s="2" t="s">
        <v>2978</v>
      </c>
      <c r="E1678" t="s">
        <v>2468</v>
      </c>
      <c r="F1678" t="s">
        <v>20</v>
      </c>
      <c r="G1678" t="s">
        <v>21</v>
      </c>
      <c r="H1678" t="s">
        <v>2469</v>
      </c>
      <c r="I1678" t="s">
        <v>23</v>
      </c>
      <c r="J1678" t="s">
        <v>49</v>
      </c>
      <c r="K1678" s="2" t="s">
        <v>1910</v>
      </c>
      <c r="L1678" t="s">
        <v>26</v>
      </c>
      <c r="M1678">
        <v>340616</v>
      </c>
      <c r="N1678">
        <v>1</v>
      </c>
      <c r="O1678" s="3">
        <v>64950</v>
      </c>
      <c r="P1678" s="3">
        <v>19034</v>
      </c>
      <c r="Q1678" s="5">
        <f t="shared" si="78"/>
        <v>54579.831932773115</v>
      </c>
      <c r="R1678" s="5">
        <f t="shared" si="79"/>
        <v>19034</v>
      </c>
      <c r="S1678" s="5">
        <f t="shared" si="80"/>
        <v>35545.831932773115</v>
      </c>
    </row>
    <row r="1679" spans="1:19" hidden="1" x14ac:dyDescent="0.3">
      <c r="A1679">
        <v>130</v>
      </c>
      <c r="B1679" t="s">
        <v>2244</v>
      </c>
      <c r="C1679" t="s">
        <v>3251</v>
      </c>
      <c r="D1679" s="2" t="s">
        <v>3252</v>
      </c>
      <c r="E1679" t="s">
        <v>2226</v>
      </c>
      <c r="F1679" t="s">
        <v>20</v>
      </c>
      <c r="G1679" t="s">
        <v>21</v>
      </c>
      <c r="H1679" t="s">
        <v>53</v>
      </c>
      <c r="I1679" t="s">
        <v>23</v>
      </c>
      <c r="J1679" t="s">
        <v>49</v>
      </c>
      <c r="K1679" s="2" t="s">
        <v>1910</v>
      </c>
      <c r="L1679" t="s">
        <v>26</v>
      </c>
      <c r="M1679">
        <v>340617</v>
      </c>
      <c r="N1679">
        <v>1</v>
      </c>
      <c r="O1679" s="3">
        <v>69950</v>
      </c>
      <c r="P1679" s="3">
        <v>20749</v>
      </c>
      <c r="Q1679" s="5">
        <f t="shared" si="78"/>
        <v>58781.512605042022</v>
      </c>
      <c r="R1679" s="5">
        <f t="shared" si="79"/>
        <v>20749</v>
      </c>
      <c r="S1679" s="5">
        <f t="shared" si="80"/>
        <v>38032.512605042022</v>
      </c>
    </row>
    <row r="1680" spans="1:19" hidden="1" x14ac:dyDescent="0.3">
      <c r="A1680">
        <v>130</v>
      </c>
      <c r="B1680" t="s">
        <v>2244</v>
      </c>
      <c r="C1680" t="s">
        <v>2097</v>
      </c>
      <c r="D1680" s="2" t="s">
        <v>2098</v>
      </c>
      <c r="E1680" t="s">
        <v>494</v>
      </c>
      <c r="F1680" t="s">
        <v>20</v>
      </c>
      <c r="G1680" t="s">
        <v>21</v>
      </c>
      <c r="H1680" t="s">
        <v>317</v>
      </c>
      <c r="I1680" t="s">
        <v>23</v>
      </c>
      <c r="J1680" t="s">
        <v>35</v>
      </c>
      <c r="K1680" s="2" t="s">
        <v>1910</v>
      </c>
      <c r="L1680" t="s">
        <v>26</v>
      </c>
      <c r="M1680">
        <v>340618</v>
      </c>
      <c r="N1680">
        <v>1</v>
      </c>
      <c r="O1680" s="3">
        <v>69950</v>
      </c>
      <c r="P1680" s="3">
        <v>23619</v>
      </c>
      <c r="Q1680" s="5">
        <f t="shared" si="78"/>
        <v>58781.512605042022</v>
      </c>
      <c r="R1680" s="5">
        <f t="shared" si="79"/>
        <v>23619</v>
      </c>
      <c r="S1680" s="5">
        <f t="shared" si="80"/>
        <v>35162.512605042022</v>
      </c>
    </row>
    <row r="1681" spans="1:19" hidden="1" x14ac:dyDescent="0.3">
      <c r="A1681">
        <v>130</v>
      </c>
      <c r="B1681" t="s">
        <v>2244</v>
      </c>
      <c r="C1681" t="s">
        <v>3253</v>
      </c>
      <c r="D1681" s="2" t="s">
        <v>3254</v>
      </c>
      <c r="E1681" t="s">
        <v>2653</v>
      </c>
      <c r="F1681" t="s">
        <v>20</v>
      </c>
      <c r="G1681" t="s">
        <v>21</v>
      </c>
      <c r="H1681" t="s">
        <v>2315</v>
      </c>
      <c r="I1681" t="s">
        <v>23</v>
      </c>
      <c r="J1681" t="s">
        <v>35</v>
      </c>
      <c r="K1681" s="2" t="s">
        <v>1910</v>
      </c>
      <c r="L1681" t="s">
        <v>26</v>
      </c>
      <c r="M1681">
        <v>340619</v>
      </c>
      <c r="N1681">
        <v>-1</v>
      </c>
      <c r="O1681" s="3">
        <v>-89950</v>
      </c>
      <c r="P1681" s="3">
        <v>30749</v>
      </c>
      <c r="Q1681" s="5">
        <f t="shared" si="78"/>
        <v>-75588.23529411765</v>
      </c>
      <c r="R1681" s="5">
        <f t="shared" si="79"/>
        <v>-30749</v>
      </c>
      <c r="S1681" s="5">
        <f t="shared" si="80"/>
        <v>-44839.23529411765</v>
      </c>
    </row>
    <row r="1682" spans="1:19" hidden="1" x14ac:dyDescent="0.3">
      <c r="A1682">
        <v>130</v>
      </c>
      <c r="B1682" t="s">
        <v>2244</v>
      </c>
      <c r="C1682" t="s">
        <v>3255</v>
      </c>
      <c r="D1682" s="2" t="s">
        <v>3256</v>
      </c>
      <c r="E1682" t="s">
        <v>2653</v>
      </c>
      <c r="F1682" t="s">
        <v>20</v>
      </c>
      <c r="G1682" t="s">
        <v>21</v>
      </c>
      <c r="H1682" t="s">
        <v>2315</v>
      </c>
      <c r="I1682" t="s">
        <v>23</v>
      </c>
      <c r="J1682" t="s">
        <v>35</v>
      </c>
      <c r="K1682" s="2" t="s">
        <v>1910</v>
      </c>
      <c r="L1682" t="s">
        <v>26</v>
      </c>
      <c r="M1682">
        <v>340619</v>
      </c>
      <c r="N1682">
        <v>1</v>
      </c>
      <c r="O1682" s="3">
        <v>89951</v>
      </c>
      <c r="P1682" s="3">
        <v>30749</v>
      </c>
      <c r="Q1682" s="5">
        <f t="shared" si="78"/>
        <v>75589.075630252104</v>
      </c>
      <c r="R1682" s="5">
        <f t="shared" si="79"/>
        <v>30749</v>
      </c>
      <c r="S1682" s="5">
        <f t="shared" si="80"/>
        <v>44840.075630252104</v>
      </c>
    </row>
    <row r="1683" spans="1:19" hidden="1" x14ac:dyDescent="0.3">
      <c r="A1683">
        <v>130</v>
      </c>
      <c r="B1683" t="s">
        <v>2244</v>
      </c>
      <c r="C1683" t="s">
        <v>2984</v>
      </c>
      <c r="D1683" s="2" t="s">
        <v>2985</v>
      </c>
      <c r="E1683" t="s">
        <v>2986</v>
      </c>
      <c r="F1683" t="s">
        <v>20</v>
      </c>
      <c r="G1683" t="s">
        <v>21</v>
      </c>
      <c r="H1683" t="s">
        <v>267</v>
      </c>
      <c r="I1683" t="s">
        <v>23</v>
      </c>
      <c r="J1683" t="s">
        <v>35</v>
      </c>
      <c r="K1683" s="2" t="s">
        <v>1910</v>
      </c>
      <c r="L1683" t="s">
        <v>26</v>
      </c>
      <c r="M1683">
        <v>340620</v>
      </c>
      <c r="N1683">
        <v>1</v>
      </c>
      <c r="O1683" s="3">
        <v>60051</v>
      </c>
      <c r="P1683" s="3">
        <v>24733</v>
      </c>
      <c r="Q1683" s="5">
        <f t="shared" si="78"/>
        <v>50463.025210084037</v>
      </c>
      <c r="R1683" s="5">
        <f t="shared" si="79"/>
        <v>24733</v>
      </c>
      <c r="S1683" s="5">
        <f t="shared" si="80"/>
        <v>25730.025210084037</v>
      </c>
    </row>
    <row r="1684" spans="1:19" hidden="1" x14ac:dyDescent="0.3">
      <c r="A1684">
        <v>130</v>
      </c>
      <c r="B1684" t="s">
        <v>2244</v>
      </c>
      <c r="C1684" t="s">
        <v>3257</v>
      </c>
      <c r="D1684" s="2" t="s">
        <v>3258</v>
      </c>
      <c r="E1684" t="s">
        <v>2433</v>
      </c>
      <c r="F1684" t="s">
        <v>20</v>
      </c>
      <c r="G1684" t="s">
        <v>338</v>
      </c>
      <c r="H1684">
        <v>24722</v>
      </c>
      <c r="I1684" t="s">
        <v>23</v>
      </c>
      <c r="J1684" t="s">
        <v>95</v>
      </c>
      <c r="K1684" s="2" t="s">
        <v>1910</v>
      </c>
      <c r="L1684" t="s">
        <v>26</v>
      </c>
      <c r="M1684">
        <v>340620</v>
      </c>
      <c r="N1684">
        <v>-1</v>
      </c>
      <c r="O1684" s="3">
        <v>-89950</v>
      </c>
      <c r="P1684" s="3">
        <v>30987</v>
      </c>
      <c r="Q1684" s="5">
        <f t="shared" si="78"/>
        <v>-75588.23529411765</v>
      </c>
      <c r="R1684" s="5">
        <f t="shared" si="79"/>
        <v>-30987</v>
      </c>
      <c r="S1684" s="5">
        <f t="shared" si="80"/>
        <v>-44601.23529411765</v>
      </c>
    </row>
    <row r="1685" spans="1:19" hidden="1" x14ac:dyDescent="0.3">
      <c r="A1685">
        <v>130</v>
      </c>
      <c r="B1685" t="s">
        <v>2244</v>
      </c>
      <c r="C1685" t="s">
        <v>3259</v>
      </c>
      <c r="D1685" s="2" t="s">
        <v>3260</v>
      </c>
      <c r="E1685" t="s">
        <v>3261</v>
      </c>
      <c r="F1685" t="s">
        <v>377</v>
      </c>
      <c r="G1685" t="s">
        <v>21</v>
      </c>
      <c r="H1685" t="s">
        <v>378</v>
      </c>
      <c r="I1685" t="s">
        <v>23</v>
      </c>
      <c r="J1685" t="s">
        <v>3262</v>
      </c>
      <c r="K1685" s="2" t="s">
        <v>1910</v>
      </c>
      <c r="L1685" t="s">
        <v>26</v>
      </c>
      <c r="M1685">
        <v>340620</v>
      </c>
      <c r="N1685">
        <v>1</v>
      </c>
      <c r="O1685" s="3">
        <v>24950</v>
      </c>
      <c r="P1685" s="3">
        <v>10900</v>
      </c>
      <c r="Q1685" s="5">
        <f t="shared" si="78"/>
        <v>20966.386554621851</v>
      </c>
      <c r="R1685" s="5">
        <f t="shared" si="79"/>
        <v>10900</v>
      </c>
      <c r="S1685" s="5">
        <f t="shared" si="80"/>
        <v>10066.386554621851</v>
      </c>
    </row>
    <row r="1686" spans="1:19" hidden="1" x14ac:dyDescent="0.3">
      <c r="A1686">
        <v>130</v>
      </c>
      <c r="B1686" t="s">
        <v>2244</v>
      </c>
      <c r="C1686" t="s">
        <v>3263</v>
      </c>
      <c r="D1686" s="2" t="s">
        <v>3264</v>
      </c>
      <c r="E1686" t="s">
        <v>3265</v>
      </c>
      <c r="F1686" t="s">
        <v>377</v>
      </c>
      <c r="G1686" t="s">
        <v>21</v>
      </c>
      <c r="H1686" t="s">
        <v>378</v>
      </c>
      <c r="I1686" t="s">
        <v>23</v>
      </c>
      <c r="J1686" t="s">
        <v>379</v>
      </c>
      <c r="K1686" s="2" t="s">
        <v>1910</v>
      </c>
      <c r="L1686" t="s">
        <v>26</v>
      </c>
      <c r="M1686">
        <v>340620</v>
      </c>
      <c r="N1686">
        <v>1</v>
      </c>
      <c r="O1686" s="3">
        <v>4950</v>
      </c>
      <c r="P1686" s="3">
        <v>2701</v>
      </c>
      <c r="Q1686" s="5">
        <f t="shared" si="78"/>
        <v>4159.6638655462184</v>
      </c>
      <c r="R1686" s="5">
        <f t="shared" si="79"/>
        <v>2701</v>
      </c>
      <c r="S1686" s="5">
        <f t="shared" si="80"/>
        <v>1458.6638655462184</v>
      </c>
    </row>
    <row r="1687" spans="1:19" hidden="1" x14ac:dyDescent="0.3">
      <c r="A1687">
        <v>130</v>
      </c>
      <c r="B1687" t="s">
        <v>2244</v>
      </c>
      <c r="C1687" t="s">
        <v>1037</v>
      </c>
      <c r="D1687" s="2" t="s">
        <v>1038</v>
      </c>
      <c r="E1687" t="s">
        <v>1039</v>
      </c>
      <c r="F1687" t="s">
        <v>377</v>
      </c>
      <c r="G1687" t="s">
        <v>21</v>
      </c>
      <c r="H1687" t="s">
        <v>378</v>
      </c>
      <c r="I1687" t="s">
        <v>23</v>
      </c>
      <c r="J1687" t="s">
        <v>379</v>
      </c>
      <c r="K1687" s="2" t="s">
        <v>1910</v>
      </c>
      <c r="L1687" t="s">
        <v>26</v>
      </c>
      <c r="M1687">
        <v>340621</v>
      </c>
      <c r="N1687">
        <v>1</v>
      </c>
      <c r="O1687" s="3">
        <v>5950</v>
      </c>
      <c r="P1687" s="3">
        <v>3257</v>
      </c>
      <c r="Q1687" s="5">
        <f t="shared" si="78"/>
        <v>5000</v>
      </c>
      <c r="R1687" s="5">
        <f t="shared" si="79"/>
        <v>3257</v>
      </c>
      <c r="S1687" s="5">
        <f t="shared" si="80"/>
        <v>1743</v>
      </c>
    </row>
    <row r="1688" spans="1:19" hidden="1" x14ac:dyDescent="0.3">
      <c r="A1688">
        <v>130</v>
      </c>
      <c r="B1688" t="s">
        <v>2244</v>
      </c>
      <c r="C1688" t="s">
        <v>2575</v>
      </c>
      <c r="D1688" s="2" t="s">
        <v>2576</v>
      </c>
      <c r="E1688" t="s">
        <v>2577</v>
      </c>
      <c r="F1688" t="s">
        <v>377</v>
      </c>
      <c r="G1688" t="s">
        <v>21</v>
      </c>
      <c r="H1688" t="s">
        <v>378</v>
      </c>
      <c r="I1688" t="s">
        <v>23</v>
      </c>
      <c r="J1688" t="s">
        <v>379</v>
      </c>
      <c r="K1688" s="2" t="s">
        <v>1910</v>
      </c>
      <c r="L1688" t="s">
        <v>26</v>
      </c>
      <c r="M1688">
        <v>340621</v>
      </c>
      <c r="N1688">
        <v>1</v>
      </c>
      <c r="O1688" s="3">
        <v>5950</v>
      </c>
      <c r="P1688" s="3">
        <v>3307</v>
      </c>
      <c r="Q1688" s="5">
        <f t="shared" si="78"/>
        <v>5000</v>
      </c>
      <c r="R1688" s="5">
        <f t="shared" si="79"/>
        <v>3307</v>
      </c>
      <c r="S1688" s="5">
        <f t="shared" si="80"/>
        <v>1693</v>
      </c>
    </row>
    <row r="1689" spans="1:19" hidden="1" x14ac:dyDescent="0.3">
      <c r="A1689">
        <v>130</v>
      </c>
      <c r="B1689" t="s">
        <v>2244</v>
      </c>
      <c r="C1689" t="s">
        <v>3266</v>
      </c>
      <c r="D1689" s="2" t="s">
        <v>3267</v>
      </c>
      <c r="E1689" t="s">
        <v>3268</v>
      </c>
      <c r="F1689" t="s">
        <v>20</v>
      </c>
      <c r="G1689" t="s">
        <v>21</v>
      </c>
      <c r="H1689" t="s">
        <v>2189</v>
      </c>
      <c r="I1689" t="s">
        <v>23</v>
      </c>
      <c r="J1689" t="s">
        <v>40</v>
      </c>
      <c r="K1689" s="2" t="s">
        <v>1910</v>
      </c>
      <c r="L1689" t="s">
        <v>26</v>
      </c>
      <c r="M1689">
        <v>340622</v>
      </c>
      <c r="N1689">
        <v>1</v>
      </c>
      <c r="O1689" s="3">
        <v>74950</v>
      </c>
      <c r="P1689" s="3">
        <v>27729</v>
      </c>
      <c r="Q1689" s="5">
        <f t="shared" si="78"/>
        <v>62983.193277310929</v>
      </c>
      <c r="R1689" s="5">
        <f t="shared" si="79"/>
        <v>27729</v>
      </c>
      <c r="S1689" s="5">
        <f t="shared" si="80"/>
        <v>35254.193277310929</v>
      </c>
    </row>
    <row r="1690" spans="1:19" hidden="1" x14ac:dyDescent="0.3">
      <c r="A1690">
        <v>130</v>
      </c>
      <c r="B1690" t="s">
        <v>2244</v>
      </c>
      <c r="C1690" t="s">
        <v>3269</v>
      </c>
      <c r="D1690" s="2" t="s">
        <v>3270</v>
      </c>
      <c r="E1690" t="s">
        <v>3271</v>
      </c>
      <c r="F1690" t="s">
        <v>20</v>
      </c>
      <c r="G1690" t="s">
        <v>21</v>
      </c>
      <c r="H1690" t="s">
        <v>3272</v>
      </c>
      <c r="I1690" t="s">
        <v>23</v>
      </c>
      <c r="J1690" t="s">
        <v>40</v>
      </c>
      <c r="K1690" s="2" t="s">
        <v>1910</v>
      </c>
      <c r="L1690" t="s">
        <v>26</v>
      </c>
      <c r="M1690">
        <v>340623</v>
      </c>
      <c r="N1690">
        <v>1</v>
      </c>
      <c r="O1690" s="3">
        <v>59950</v>
      </c>
      <c r="P1690" s="3">
        <v>23104</v>
      </c>
      <c r="Q1690" s="5">
        <f t="shared" si="78"/>
        <v>50378.151260504201</v>
      </c>
      <c r="R1690" s="5">
        <f t="shared" si="79"/>
        <v>23104</v>
      </c>
      <c r="S1690" s="5">
        <f t="shared" si="80"/>
        <v>27274.151260504201</v>
      </c>
    </row>
    <row r="1691" spans="1:19" hidden="1" x14ac:dyDescent="0.3">
      <c r="A1691">
        <v>130</v>
      </c>
      <c r="B1691" t="s">
        <v>2244</v>
      </c>
      <c r="C1691" t="s">
        <v>3273</v>
      </c>
      <c r="D1691" s="2" t="s">
        <v>3274</v>
      </c>
      <c r="E1691" t="s">
        <v>499</v>
      </c>
      <c r="F1691" t="s">
        <v>20</v>
      </c>
      <c r="G1691" t="s">
        <v>21</v>
      </c>
      <c r="H1691" t="s">
        <v>500</v>
      </c>
      <c r="I1691" t="s">
        <v>23</v>
      </c>
      <c r="J1691" t="s">
        <v>40</v>
      </c>
      <c r="K1691" s="2" t="s">
        <v>1910</v>
      </c>
      <c r="L1691" t="s">
        <v>26</v>
      </c>
      <c r="M1691">
        <v>340624</v>
      </c>
      <c r="N1691">
        <v>1</v>
      </c>
      <c r="O1691" s="3">
        <v>59950</v>
      </c>
      <c r="P1691" s="3">
        <v>17416</v>
      </c>
      <c r="Q1691" s="5">
        <f t="shared" si="78"/>
        <v>50378.151260504201</v>
      </c>
      <c r="R1691" s="5">
        <f t="shared" si="79"/>
        <v>17416</v>
      </c>
      <c r="S1691" s="5">
        <f t="shared" si="80"/>
        <v>32962.151260504201</v>
      </c>
    </row>
    <row r="1692" spans="1:19" hidden="1" x14ac:dyDescent="0.3">
      <c r="A1692">
        <v>130</v>
      </c>
      <c r="B1692" t="s">
        <v>2244</v>
      </c>
      <c r="C1692" t="s">
        <v>3275</v>
      </c>
      <c r="D1692" s="2" t="s">
        <v>3276</v>
      </c>
      <c r="E1692" t="s">
        <v>3277</v>
      </c>
      <c r="F1692" t="s">
        <v>20</v>
      </c>
      <c r="G1692" t="s">
        <v>21</v>
      </c>
      <c r="H1692" t="s">
        <v>57</v>
      </c>
      <c r="I1692" t="s">
        <v>23</v>
      </c>
      <c r="J1692" t="s">
        <v>35</v>
      </c>
      <c r="K1692" s="2" t="s">
        <v>1910</v>
      </c>
      <c r="L1692" t="s">
        <v>26</v>
      </c>
      <c r="M1692">
        <v>340625</v>
      </c>
      <c r="N1692">
        <v>1</v>
      </c>
      <c r="O1692" s="3">
        <v>89950</v>
      </c>
      <c r="P1692" s="3">
        <v>30749</v>
      </c>
      <c r="Q1692" s="5">
        <f t="shared" si="78"/>
        <v>75588.23529411765</v>
      </c>
      <c r="R1692" s="5">
        <f t="shared" si="79"/>
        <v>30749</v>
      </c>
      <c r="S1692" s="5">
        <f t="shared" si="80"/>
        <v>44839.23529411765</v>
      </c>
    </row>
    <row r="1693" spans="1:19" hidden="1" x14ac:dyDescent="0.3">
      <c r="A1693">
        <v>130</v>
      </c>
      <c r="B1693" t="s">
        <v>2244</v>
      </c>
      <c r="C1693" t="s">
        <v>3278</v>
      </c>
      <c r="D1693" s="2" t="s">
        <v>3279</v>
      </c>
      <c r="E1693" t="s">
        <v>3280</v>
      </c>
      <c r="F1693" t="s">
        <v>20</v>
      </c>
      <c r="G1693" t="s">
        <v>21</v>
      </c>
      <c r="H1693" t="s">
        <v>1286</v>
      </c>
      <c r="I1693" t="s">
        <v>23</v>
      </c>
      <c r="J1693" t="s">
        <v>40</v>
      </c>
      <c r="K1693" s="2" t="s">
        <v>1910</v>
      </c>
      <c r="L1693" t="s">
        <v>26</v>
      </c>
      <c r="M1693">
        <v>340625</v>
      </c>
      <c r="N1693">
        <v>1</v>
      </c>
      <c r="O1693" s="3">
        <v>59450</v>
      </c>
      <c r="P1693" s="3">
        <v>24783</v>
      </c>
      <c r="Q1693" s="5">
        <f t="shared" si="78"/>
        <v>49957.983193277316</v>
      </c>
      <c r="R1693" s="5">
        <f t="shared" si="79"/>
        <v>24783</v>
      </c>
      <c r="S1693" s="5">
        <f t="shared" si="80"/>
        <v>25174.983193277316</v>
      </c>
    </row>
    <row r="1694" spans="1:19" hidden="1" x14ac:dyDescent="0.3">
      <c r="A1694">
        <v>130</v>
      </c>
      <c r="B1694" t="s">
        <v>2244</v>
      </c>
      <c r="C1694" t="s">
        <v>3281</v>
      </c>
      <c r="D1694" s="2" t="s">
        <v>3282</v>
      </c>
      <c r="E1694" t="s">
        <v>3283</v>
      </c>
      <c r="F1694" t="s">
        <v>20</v>
      </c>
      <c r="G1694" t="s">
        <v>21</v>
      </c>
      <c r="H1694" t="s">
        <v>2494</v>
      </c>
      <c r="I1694" t="s">
        <v>23</v>
      </c>
      <c r="J1694" t="s">
        <v>40</v>
      </c>
      <c r="K1694" s="2" t="s">
        <v>1910</v>
      </c>
      <c r="L1694" t="s">
        <v>26</v>
      </c>
      <c r="M1694">
        <v>340626</v>
      </c>
      <c r="N1694">
        <v>1</v>
      </c>
      <c r="O1694" s="3">
        <v>69950</v>
      </c>
      <c r="P1694" s="3">
        <v>23470</v>
      </c>
      <c r="Q1694" s="5">
        <f t="shared" si="78"/>
        <v>58781.512605042022</v>
      </c>
      <c r="R1694" s="5">
        <f t="shared" si="79"/>
        <v>23470</v>
      </c>
      <c r="S1694" s="5">
        <f t="shared" si="80"/>
        <v>35311.512605042022</v>
      </c>
    </row>
    <row r="1695" spans="1:19" hidden="1" x14ac:dyDescent="0.3">
      <c r="A1695">
        <v>130</v>
      </c>
      <c r="B1695" t="s">
        <v>2244</v>
      </c>
      <c r="C1695" t="s">
        <v>3284</v>
      </c>
      <c r="D1695" s="2" t="s">
        <v>3285</v>
      </c>
      <c r="E1695" t="s">
        <v>2323</v>
      </c>
      <c r="F1695" t="s">
        <v>20</v>
      </c>
      <c r="G1695" t="s">
        <v>21</v>
      </c>
      <c r="H1695" t="s">
        <v>1887</v>
      </c>
      <c r="I1695" t="s">
        <v>23</v>
      </c>
      <c r="J1695" t="s">
        <v>40</v>
      </c>
      <c r="K1695" s="2" t="s">
        <v>1910</v>
      </c>
      <c r="L1695" t="s">
        <v>26</v>
      </c>
      <c r="M1695">
        <v>340627</v>
      </c>
      <c r="N1695">
        <v>1</v>
      </c>
      <c r="O1695" s="3">
        <v>69950</v>
      </c>
      <c r="P1695" s="3">
        <v>21623</v>
      </c>
      <c r="Q1695" s="5">
        <f t="shared" si="78"/>
        <v>58781.512605042022</v>
      </c>
      <c r="R1695" s="5">
        <f t="shared" si="79"/>
        <v>21623</v>
      </c>
      <c r="S1695" s="5">
        <f t="shared" si="80"/>
        <v>37158.512605042022</v>
      </c>
    </row>
    <row r="1696" spans="1:19" hidden="1" x14ac:dyDescent="0.3">
      <c r="A1696">
        <v>130</v>
      </c>
      <c r="B1696" t="s">
        <v>2244</v>
      </c>
      <c r="C1696" t="s">
        <v>3286</v>
      </c>
      <c r="D1696" s="2" t="s">
        <v>3287</v>
      </c>
      <c r="E1696" t="s">
        <v>2226</v>
      </c>
      <c r="F1696" t="s">
        <v>20</v>
      </c>
      <c r="G1696" t="s">
        <v>21</v>
      </c>
      <c r="H1696" t="s">
        <v>53</v>
      </c>
      <c r="I1696" t="s">
        <v>23</v>
      </c>
      <c r="J1696" t="s">
        <v>49</v>
      </c>
      <c r="K1696" s="2" t="s">
        <v>1910</v>
      </c>
      <c r="L1696" t="s">
        <v>26</v>
      </c>
      <c r="M1696">
        <v>340628</v>
      </c>
      <c r="N1696">
        <v>1</v>
      </c>
      <c r="O1696" s="3">
        <v>69950</v>
      </c>
      <c r="P1696" s="3">
        <v>20849</v>
      </c>
      <c r="Q1696" s="5">
        <f t="shared" si="78"/>
        <v>58781.512605042022</v>
      </c>
      <c r="R1696" s="5">
        <f t="shared" si="79"/>
        <v>20849</v>
      </c>
      <c r="S1696" s="5">
        <f t="shared" si="80"/>
        <v>37932.512605042022</v>
      </c>
    </row>
    <row r="1697" spans="1:19" hidden="1" x14ac:dyDescent="0.3">
      <c r="A1697">
        <v>130</v>
      </c>
      <c r="B1697" t="s">
        <v>2244</v>
      </c>
      <c r="C1697" t="s">
        <v>3288</v>
      </c>
      <c r="D1697" s="2" t="s">
        <v>3289</v>
      </c>
      <c r="E1697" t="s">
        <v>3290</v>
      </c>
      <c r="F1697" t="s">
        <v>20</v>
      </c>
      <c r="G1697" t="s">
        <v>21</v>
      </c>
      <c r="H1697" t="s">
        <v>247</v>
      </c>
      <c r="I1697" t="s">
        <v>23</v>
      </c>
      <c r="J1697" t="s">
        <v>40</v>
      </c>
      <c r="K1697" s="2" t="s">
        <v>1910</v>
      </c>
      <c r="L1697" t="s">
        <v>26</v>
      </c>
      <c r="M1697">
        <v>340629</v>
      </c>
      <c r="N1697">
        <v>1</v>
      </c>
      <c r="O1697" s="3">
        <v>35041</v>
      </c>
      <c r="P1697" s="3">
        <v>18016</v>
      </c>
      <c r="Q1697" s="5">
        <f t="shared" si="78"/>
        <v>29446.218487394959</v>
      </c>
      <c r="R1697" s="5">
        <f t="shared" si="79"/>
        <v>18016</v>
      </c>
      <c r="S1697" s="5">
        <f t="shared" si="80"/>
        <v>11430.218487394959</v>
      </c>
    </row>
    <row r="1698" spans="1:19" hidden="1" x14ac:dyDescent="0.3">
      <c r="A1698">
        <v>130</v>
      </c>
      <c r="B1698" t="s">
        <v>2244</v>
      </c>
      <c r="C1698" t="s">
        <v>3291</v>
      </c>
      <c r="D1698" s="2" t="s">
        <v>3292</v>
      </c>
      <c r="E1698" t="s">
        <v>3293</v>
      </c>
      <c r="F1698" t="s">
        <v>20</v>
      </c>
      <c r="G1698" t="s">
        <v>21</v>
      </c>
      <c r="H1698" t="s">
        <v>247</v>
      </c>
      <c r="I1698" t="s">
        <v>23</v>
      </c>
      <c r="J1698" t="s">
        <v>40</v>
      </c>
      <c r="K1698" s="2" t="s">
        <v>1910</v>
      </c>
      <c r="L1698" t="s">
        <v>26</v>
      </c>
      <c r="M1698">
        <v>340629</v>
      </c>
      <c r="N1698">
        <v>-1</v>
      </c>
      <c r="O1698" s="3">
        <v>-35040</v>
      </c>
      <c r="P1698" s="3">
        <v>18016</v>
      </c>
      <c r="Q1698" s="5">
        <f t="shared" si="78"/>
        <v>-29445.378151260506</v>
      </c>
      <c r="R1698" s="5">
        <f t="shared" si="79"/>
        <v>-18016</v>
      </c>
      <c r="S1698" s="5">
        <f t="shared" si="80"/>
        <v>-11429.378151260506</v>
      </c>
    </row>
    <row r="1699" spans="1:19" hidden="1" x14ac:dyDescent="0.3">
      <c r="A1699">
        <v>130</v>
      </c>
      <c r="B1699" t="s">
        <v>2244</v>
      </c>
      <c r="C1699" t="s">
        <v>1745</v>
      </c>
      <c r="D1699" s="2" t="s">
        <v>1746</v>
      </c>
      <c r="E1699" t="s">
        <v>869</v>
      </c>
      <c r="F1699" t="s">
        <v>20</v>
      </c>
      <c r="G1699" t="s">
        <v>21</v>
      </c>
      <c r="H1699" t="s">
        <v>870</v>
      </c>
      <c r="I1699" t="s">
        <v>23</v>
      </c>
      <c r="J1699" t="s">
        <v>35</v>
      </c>
      <c r="K1699" s="2" t="s">
        <v>1910</v>
      </c>
      <c r="L1699" t="s">
        <v>26</v>
      </c>
      <c r="M1699">
        <v>340630</v>
      </c>
      <c r="N1699">
        <v>1</v>
      </c>
      <c r="O1699" s="3">
        <v>69950</v>
      </c>
      <c r="P1699" s="3">
        <v>25434</v>
      </c>
      <c r="Q1699" s="5">
        <f t="shared" si="78"/>
        <v>58781.512605042022</v>
      </c>
      <c r="R1699" s="5">
        <f t="shared" si="79"/>
        <v>25434</v>
      </c>
      <c r="S1699" s="5">
        <f t="shared" si="80"/>
        <v>33347.512605042022</v>
      </c>
    </row>
    <row r="1700" spans="1:19" hidden="1" x14ac:dyDescent="0.3">
      <c r="A1700">
        <v>130</v>
      </c>
      <c r="B1700" t="s">
        <v>2244</v>
      </c>
      <c r="C1700" t="s">
        <v>2000</v>
      </c>
      <c r="D1700" s="2" t="s">
        <v>2001</v>
      </c>
      <c r="E1700" t="s">
        <v>2002</v>
      </c>
      <c r="F1700" t="s">
        <v>20</v>
      </c>
      <c r="G1700" t="s">
        <v>338</v>
      </c>
      <c r="H1700">
        <v>25026</v>
      </c>
      <c r="I1700" t="s">
        <v>23</v>
      </c>
      <c r="J1700" t="s">
        <v>35</v>
      </c>
      <c r="K1700" s="2" t="s">
        <v>1910</v>
      </c>
      <c r="L1700" t="s">
        <v>26</v>
      </c>
      <c r="M1700">
        <v>340631</v>
      </c>
      <c r="N1700">
        <v>1</v>
      </c>
      <c r="O1700" s="3">
        <v>89950</v>
      </c>
      <c r="P1700" s="3">
        <v>28454</v>
      </c>
      <c r="Q1700" s="5">
        <f t="shared" si="78"/>
        <v>75588.23529411765</v>
      </c>
      <c r="R1700" s="5">
        <f t="shared" si="79"/>
        <v>28454</v>
      </c>
      <c r="S1700" s="5">
        <f t="shared" si="80"/>
        <v>47134.23529411765</v>
      </c>
    </row>
    <row r="1701" spans="1:19" hidden="1" x14ac:dyDescent="0.3">
      <c r="A1701">
        <v>130</v>
      </c>
      <c r="B1701" t="s">
        <v>2244</v>
      </c>
      <c r="C1701" t="s">
        <v>3294</v>
      </c>
      <c r="D1701" s="2" t="s">
        <v>3295</v>
      </c>
      <c r="E1701" t="s">
        <v>3296</v>
      </c>
      <c r="F1701" t="s">
        <v>377</v>
      </c>
      <c r="G1701" t="s">
        <v>21</v>
      </c>
      <c r="H1701" t="s">
        <v>378</v>
      </c>
      <c r="I1701" t="s">
        <v>23</v>
      </c>
      <c r="J1701" t="s">
        <v>3297</v>
      </c>
      <c r="K1701" s="2" t="s">
        <v>1910</v>
      </c>
      <c r="L1701" t="s">
        <v>26</v>
      </c>
      <c r="M1701">
        <v>340631</v>
      </c>
      <c r="N1701">
        <v>1</v>
      </c>
      <c r="O1701">
        <v>500</v>
      </c>
      <c r="P1701">
        <v>358</v>
      </c>
      <c r="Q1701" s="5">
        <f t="shared" si="78"/>
        <v>420.1680672268908</v>
      </c>
      <c r="R1701" s="5">
        <f t="shared" si="79"/>
        <v>358</v>
      </c>
      <c r="S1701" s="5">
        <f t="shared" si="80"/>
        <v>62.168067226890798</v>
      </c>
    </row>
    <row r="1702" spans="1:19" hidden="1" x14ac:dyDescent="0.3">
      <c r="A1702">
        <v>130</v>
      </c>
      <c r="B1702" t="s">
        <v>2244</v>
      </c>
      <c r="C1702" t="s">
        <v>3298</v>
      </c>
      <c r="D1702" s="2" t="s">
        <v>3299</v>
      </c>
      <c r="E1702" t="s">
        <v>2185</v>
      </c>
      <c r="F1702" t="s">
        <v>20</v>
      </c>
      <c r="G1702" t="s">
        <v>21</v>
      </c>
      <c r="H1702" t="s">
        <v>614</v>
      </c>
      <c r="I1702" t="s">
        <v>23</v>
      </c>
      <c r="J1702" t="s">
        <v>40</v>
      </c>
      <c r="K1702" s="2" t="s">
        <v>1910</v>
      </c>
      <c r="L1702" t="s">
        <v>26</v>
      </c>
      <c r="M1702">
        <v>340632</v>
      </c>
      <c r="N1702">
        <v>1</v>
      </c>
      <c r="O1702" s="3">
        <v>44990</v>
      </c>
      <c r="P1702" s="3">
        <v>17386</v>
      </c>
      <c r="Q1702" s="5">
        <f t="shared" si="78"/>
        <v>37806.722689075636</v>
      </c>
      <c r="R1702" s="5">
        <f t="shared" si="79"/>
        <v>17386</v>
      </c>
      <c r="S1702" s="5">
        <f t="shared" si="80"/>
        <v>20420.722689075636</v>
      </c>
    </row>
    <row r="1703" spans="1:19" hidden="1" x14ac:dyDescent="0.3">
      <c r="A1703">
        <v>130</v>
      </c>
      <c r="B1703" t="s">
        <v>2244</v>
      </c>
      <c r="C1703" t="s">
        <v>2183</v>
      </c>
      <c r="D1703" s="2" t="s">
        <v>2184</v>
      </c>
      <c r="E1703" t="s">
        <v>2185</v>
      </c>
      <c r="F1703" t="s">
        <v>20</v>
      </c>
      <c r="G1703" t="s">
        <v>21</v>
      </c>
      <c r="H1703" t="s">
        <v>614</v>
      </c>
      <c r="I1703" t="s">
        <v>23</v>
      </c>
      <c r="J1703" t="s">
        <v>40</v>
      </c>
      <c r="K1703" s="2" t="s">
        <v>1910</v>
      </c>
      <c r="L1703" t="s">
        <v>26</v>
      </c>
      <c r="M1703">
        <v>340633</v>
      </c>
      <c r="N1703">
        <v>1</v>
      </c>
      <c r="O1703" s="3">
        <v>44990</v>
      </c>
      <c r="P1703" s="3">
        <v>17455</v>
      </c>
      <c r="Q1703" s="5">
        <f t="shared" si="78"/>
        <v>37806.722689075636</v>
      </c>
      <c r="R1703" s="5">
        <f t="shared" si="79"/>
        <v>17455</v>
      </c>
      <c r="S1703" s="5">
        <f t="shared" si="80"/>
        <v>20351.722689075636</v>
      </c>
    </row>
    <row r="1704" spans="1:19" hidden="1" x14ac:dyDescent="0.3">
      <c r="A1704">
        <v>130</v>
      </c>
      <c r="B1704" t="s">
        <v>2244</v>
      </c>
      <c r="C1704" t="s">
        <v>3300</v>
      </c>
      <c r="D1704" s="2" t="s">
        <v>3301</v>
      </c>
      <c r="E1704" t="s">
        <v>3302</v>
      </c>
      <c r="F1704" t="s">
        <v>20</v>
      </c>
      <c r="G1704" t="s">
        <v>21</v>
      </c>
      <c r="H1704" t="s">
        <v>958</v>
      </c>
      <c r="I1704" t="s">
        <v>23</v>
      </c>
      <c r="J1704" t="s">
        <v>40</v>
      </c>
      <c r="K1704" s="2" t="s">
        <v>1910</v>
      </c>
      <c r="L1704" t="s">
        <v>26</v>
      </c>
      <c r="M1704">
        <v>340634</v>
      </c>
      <c r="N1704">
        <v>1</v>
      </c>
      <c r="O1704" s="3">
        <v>59950</v>
      </c>
      <c r="P1704" s="3">
        <v>16439</v>
      </c>
      <c r="Q1704" s="5">
        <f t="shared" si="78"/>
        <v>50378.151260504201</v>
      </c>
      <c r="R1704" s="5">
        <f t="shared" si="79"/>
        <v>16439</v>
      </c>
      <c r="S1704" s="5">
        <f t="shared" si="80"/>
        <v>33939.151260504201</v>
      </c>
    </row>
    <row r="1705" spans="1:19" hidden="1" x14ac:dyDescent="0.3">
      <c r="A1705">
        <v>130</v>
      </c>
      <c r="B1705" t="s">
        <v>2244</v>
      </c>
      <c r="C1705" t="s">
        <v>3303</v>
      </c>
      <c r="D1705" s="2" t="s">
        <v>3304</v>
      </c>
      <c r="E1705" t="s">
        <v>3305</v>
      </c>
      <c r="F1705" t="s">
        <v>20</v>
      </c>
      <c r="G1705" t="s">
        <v>21</v>
      </c>
      <c r="H1705" t="s">
        <v>970</v>
      </c>
      <c r="I1705" t="s">
        <v>23</v>
      </c>
      <c r="J1705" t="s">
        <v>40</v>
      </c>
      <c r="K1705" s="2" t="s">
        <v>1910</v>
      </c>
      <c r="L1705" t="s">
        <v>26</v>
      </c>
      <c r="M1705">
        <v>340635</v>
      </c>
      <c r="N1705">
        <v>1</v>
      </c>
      <c r="O1705" s="3">
        <v>34950</v>
      </c>
      <c r="P1705" s="3">
        <v>18897</v>
      </c>
      <c r="Q1705" s="5">
        <f t="shared" si="78"/>
        <v>29369.747899159665</v>
      </c>
      <c r="R1705" s="5">
        <f t="shared" si="79"/>
        <v>18897</v>
      </c>
      <c r="S1705" s="5">
        <f t="shared" si="80"/>
        <v>10472.747899159665</v>
      </c>
    </row>
    <row r="1706" spans="1:19" hidden="1" x14ac:dyDescent="0.3">
      <c r="A1706">
        <v>130</v>
      </c>
      <c r="B1706" t="s">
        <v>2244</v>
      </c>
      <c r="C1706" t="s">
        <v>3306</v>
      </c>
      <c r="D1706" s="2" t="s">
        <v>3307</v>
      </c>
      <c r="E1706" t="s">
        <v>3308</v>
      </c>
      <c r="F1706" t="s">
        <v>20</v>
      </c>
      <c r="G1706" t="s">
        <v>21</v>
      </c>
      <c r="H1706" t="s">
        <v>3309</v>
      </c>
      <c r="I1706" t="s">
        <v>23</v>
      </c>
      <c r="J1706" t="s">
        <v>40</v>
      </c>
      <c r="K1706" s="2" t="s">
        <v>1910</v>
      </c>
      <c r="L1706" t="s">
        <v>26</v>
      </c>
      <c r="M1706">
        <v>340636</v>
      </c>
      <c r="N1706">
        <v>1</v>
      </c>
      <c r="O1706" s="3">
        <v>64950</v>
      </c>
      <c r="P1706" s="3">
        <v>21130</v>
      </c>
      <c r="Q1706" s="5">
        <f t="shared" si="78"/>
        <v>54579.831932773115</v>
      </c>
      <c r="R1706" s="5">
        <f t="shared" si="79"/>
        <v>21130</v>
      </c>
      <c r="S1706" s="5">
        <f t="shared" si="80"/>
        <v>33449.831932773115</v>
      </c>
    </row>
    <row r="1707" spans="1:19" hidden="1" x14ac:dyDescent="0.3">
      <c r="A1707">
        <v>130</v>
      </c>
      <c r="B1707" t="s">
        <v>2244</v>
      </c>
      <c r="C1707">
        <v>1687976791</v>
      </c>
      <c r="D1707" s="2" t="s">
        <v>200</v>
      </c>
      <c r="E1707" t="s">
        <v>201</v>
      </c>
      <c r="F1707" t="s">
        <v>201</v>
      </c>
      <c r="G1707" t="s">
        <v>202</v>
      </c>
      <c r="H1707" t="s">
        <v>202</v>
      </c>
      <c r="I1707" t="s">
        <v>23</v>
      </c>
      <c r="J1707" t="s">
        <v>202</v>
      </c>
      <c r="K1707" s="2" t="s">
        <v>3310</v>
      </c>
      <c r="L1707" t="s">
        <v>26</v>
      </c>
      <c r="M1707">
        <v>340637</v>
      </c>
      <c r="N1707">
        <v>1</v>
      </c>
      <c r="O1707" s="3">
        <v>7673</v>
      </c>
      <c r="P1707">
        <v>1</v>
      </c>
      <c r="Q1707" s="5">
        <f t="shared" si="78"/>
        <v>6447.8991596638662</v>
      </c>
      <c r="R1707" s="5">
        <f t="shared" si="79"/>
        <v>1</v>
      </c>
      <c r="S1707" s="5">
        <f t="shared" si="80"/>
        <v>6446.8991596638662</v>
      </c>
    </row>
    <row r="1708" spans="1:19" hidden="1" x14ac:dyDescent="0.3">
      <c r="A1708">
        <v>130</v>
      </c>
      <c r="B1708" t="s">
        <v>2244</v>
      </c>
      <c r="C1708" t="s">
        <v>3311</v>
      </c>
      <c r="D1708" s="2" t="s">
        <v>3312</v>
      </c>
      <c r="E1708" t="s">
        <v>494</v>
      </c>
      <c r="F1708" t="s">
        <v>20</v>
      </c>
      <c r="G1708" t="s">
        <v>21</v>
      </c>
      <c r="H1708" t="s">
        <v>317</v>
      </c>
      <c r="I1708" t="s">
        <v>23</v>
      </c>
      <c r="J1708" t="s">
        <v>35</v>
      </c>
      <c r="K1708" s="2" t="s">
        <v>3310</v>
      </c>
      <c r="L1708" t="s">
        <v>26</v>
      </c>
      <c r="M1708">
        <v>340637</v>
      </c>
      <c r="N1708">
        <v>1</v>
      </c>
      <c r="O1708" s="3">
        <v>69950</v>
      </c>
      <c r="P1708" s="3">
        <v>23619</v>
      </c>
      <c r="Q1708" s="5">
        <f t="shared" si="78"/>
        <v>58781.512605042022</v>
      </c>
      <c r="R1708" s="5">
        <f t="shared" si="79"/>
        <v>23619</v>
      </c>
      <c r="S1708" s="5">
        <f t="shared" si="80"/>
        <v>35162.512605042022</v>
      </c>
    </row>
    <row r="1709" spans="1:19" hidden="1" x14ac:dyDescent="0.3">
      <c r="A1709">
        <v>130</v>
      </c>
      <c r="B1709" t="s">
        <v>2244</v>
      </c>
      <c r="C1709" t="s">
        <v>3313</v>
      </c>
      <c r="D1709" s="2" t="s">
        <v>3314</v>
      </c>
      <c r="E1709" t="s">
        <v>789</v>
      </c>
      <c r="F1709" t="s">
        <v>20</v>
      </c>
      <c r="G1709" t="s">
        <v>21</v>
      </c>
      <c r="H1709" t="s">
        <v>790</v>
      </c>
      <c r="I1709" t="s">
        <v>23</v>
      </c>
      <c r="J1709" t="s">
        <v>40</v>
      </c>
      <c r="K1709" s="2" t="s">
        <v>3310</v>
      </c>
      <c r="L1709" t="s">
        <v>26</v>
      </c>
      <c r="M1709">
        <v>340638</v>
      </c>
      <c r="N1709">
        <v>1</v>
      </c>
      <c r="O1709" s="3">
        <v>69990</v>
      </c>
      <c r="P1709" s="3">
        <v>30692</v>
      </c>
      <c r="Q1709" s="5">
        <f t="shared" si="78"/>
        <v>58815.126050420171</v>
      </c>
      <c r="R1709" s="5">
        <f t="shared" si="79"/>
        <v>30692</v>
      </c>
      <c r="S1709" s="5">
        <f t="shared" si="80"/>
        <v>28123.126050420171</v>
      </c>
    </row>
    <row r="1710" spans="1:19" hidden="1" x14ac:dyDescent="0.3">
      <c r="A1710">
        <v>130</v>
      </c>
      <c r="B1710" t="s">
        <v>2244</v>
      </c>
      <c r="C1710" t="s">
        <v>3315</v>
      </c>
      <c r="D1710" s="2" t="s">
        <v>3316</v>
      </c>
      <c r="E1710" t="s">
        <v>2888</v>
      </c>
      <c r="F1710" t="s">
        <v>20</v>
      </c>
      <c r="G1710" t="s">
        <v>21</v>
      </c>
      <c r="H1710" t="s">
        <v>2593</v>
      </c>
      <c r="I1710" t="s">
        <v>23</v>
      </c>
      <c r="J1710" t="s">
        <v>35</v>
      </c>
      <c r="K1710" s="2" t="s">
        <v>3310</v>
      </c>
      <c r="L1710" t="s">
        <v>26</v>
      </c>
      <c r="M1710">
        <v>340639</v>
      </c>
      <c r="N1710">
        <v>1</v>
      </c>
      <c r="O1710" s="3">
        <v>84950</v>
      </c>
      <c r="P1710" s="3">
        <v>38102</v>
      </c>
      <c r="Q1710" s="5">
        <f t="shared" si="78"/>
        <v>71386.554621848743</v>
      </c>
      <c r="R1710" s="5">
        <f t="shared" si="79"/>
        <v>38102</v>
      </c>
      <c r="S1710" s="5">
        <f t="shared" si="80"/>
        <v>33284.554621848743</v>
      </c>
    </row>
    <row r="1711" spans="1:19" hidden="1" x14ac:dyDescent="0.3">
      <c r="A1711">
        <v>130</v>
      </c>
      <c r="B1711" t="s">
        <v>2244</v>
      </c>
      <c r="C1711" t="s">
        <v>3317</v>
      </c>
      <c r="D1711" s="2" t="s">
        <v>3318</v>
      </c>
      <c r="E1711" t="s">
        <v>2810</v>
      </c>
      <c r="F1711" t="s">
        <v>20</v>
      </c>
      <c r="G1711" t="s">
        <v>21</v>
      </c>
      <c r="H1711" t="s">
        <v>1987</v>
      </c>
      <c r="I1711" t="s">
        <v>23</v>
      </c>
      <c r="J1711" t="s">
        <v>35</v>
      </c>
      <c r="K1711" s="2" t="s">
        <v>3310</v>
      </c>
      <c r="L1711" t="s">
        <v>26</v>
      </c>
      <c r="M1711">
        <v>340640</v>
      </c>
      <c r="N1711">
        <v>1</v>
      </c>
      <c r="O1711" s="3">
        <v>89950</v>
      </c>
      <c r="P1711" s="3">
        <v>29858</v>
      </c>
      <c r="Q1711" s="5">
        <f t="shared" si="78"/>
        <v>75588.23529411765</v>
      </c>
      <c r="R1711" s="5">
        <f t="shared" si="79"/>
        <v>29858</v>
      </c>
      <c r="S1711" s="5">
        <f t="shared" si="80"/>
        <v>45730.23529411765</v>
      </c>
    </row>
    <row r="1712" spans="1:19" hidden="1" x14ac:dyDescent="0.3">
      <c r="A1712">
        <v>130</v>
      </c>
      <c r="B1712" t="s">
        <v>2244</v>
      </c>
      <c r="C1712" t="s">
        <v>3227</v>
      </c>
      <c r="D1712" s="2" t="s">
        <v>3228</v>
      </c>
      <c r="E1712" t="s">
        <v>3229</v>
      </c>
      <c r="F1712" t="s">
        <v>20</v>
      </c>
      <c r="G1712" t="s">
        <v>338</v>
      </c>
      <c r="H1712">
        <v>22419</v>
      </c>
      <c r="I1712" t="s">
        <v>23</v>
      </c>
      <c r="J1712" t="s">
        <v>49</v>
      </c>
      <c r="K1712" s="2" t="s">
        <v>3310</v>
      </c>
      <c r="L1712" t="s">
        <v>26</v>
      </c>
      <c r="M1712">
        <v>340641</v>
      </c>
      <c r="N1712">
        <v>1</v>
      </c>
      <c r="O1712" s="3">
        <v>64950</v>
      </c>
      <c r="P1712" s="3">
        <v>16987</v>
      </c>
      <c r="Q1712" s="5">
        <f t="shared" si="78"/>
        <v>54579.831932773115</v>
      </c>
      <c r="R1712" s="5">
        <f t="shared" si="79"/>
        <v>16987</v>
      </c>
      <c r="S1712" s="5">
        <f t="shared" si="80"/>
        <v>37592.831932773115</v>
      </c>
    </row>
    <row r="1713" spans="1:19" hidden="1" x14ac:dyDescent="0.3">
      <c r="A1713">
        <v>130</v>
      </c>
      <c r="B1713" t="s">
        <v>2244</v>
      </c>
      <c r="C1713" t="s">
        <v>3319</v>
      </c>
      <c r="D1713" s="2" t="s">
        <v>3320</v>
      </c>
      <c r="E1713" t="s">
        <v>2561</v>
      </c>
      <c r="F1713" t="s">
        <v>20</v>
      </c>
      <c r="G1713" t="s">
        <v>21</v>
      </c>
      <c r="H1713" t="s">
        <v>1914</v>
      </c>
      <c r="I1713" t="s">
        <v>23</v>
      </c>
      <c r="J1713" t="s">
        <v>35</v>
      </c>
      <c r="K1713" s="2" t="s">
        <v>3310</v>
      </c>
      <c r="L1713" t="s">
        <v>26</v>
      </c>
      <c r="M1713">
        <v>340642</v>
      </c>
      <c r="N1713">
        <v>1</v>
      </c>
      <c r="O1713" s="3">
        <v>69990</v>
      </c>
      <c r="P1713" s="3">
        <v>28298</v>
      </c>
      <c r="Q1713" s="5">
        <f t="shared" si="78"/>
        <v>58815.126050420171</v>
      </c>
      <c r="R1713" s="5">
        <f t="shared" si="79"/>
        <v>28298</v>
      </c>
      <c r="S1713" s="5">
        <f t="shared" si="80"/>
        <v>30517.126050420171</v>
      </c>
    </row>
    <row r="1714" spans="1:19" hidden="1" x14ac:dyDescent="0.3">
      <c r="A1714">
        <v>130</v>
      </c>
      <c r="B1714" t="s">
        <v>2244</v>
      </c>
      <c r="C1714" t="s">
        <v>3321</v>
      </c>
      <c r="D1714" s="2" t="s">
        <v>3322</v>
      </c>
      <c r="E1714" t="s">
        <v>3323</v>
      </c>
      <c r="F1714" t="s">
        <v>20</v>
      </c>
      <c r="G1714" t="s">
        <v>21</v>
      </c>
      <c r="H1714" t="s">
        <v>625</v>
      </c>
      <c r="I1714" t="s">
        <v>23</v>
      </c>
      <c r="J1714" t="s">
        <v>35</v>
      </c>
      <c r="K1714" s="2" t="s">
        <v>3310</v>
      </c>
      <c r="L1714" t="s">
        <v>26</v>
      </c>
      <c r="M1714">
        <v>340642</v>
      </c>
      <c r="N1714">
        <v>1</v>
      </c>
      <c r="O1714" s="3">
        <v>49990</v>
      </c>
      <c r="P1714" s="3">
        <v>24956</v>
      </c>
      <c r="Q1714" s="5">
        <f t="shared" si="78"/>
        <v>42008.403361344543</v>
      </c>
      <c r="R1714" s="5">
        <f t="shared" si="79"/>
        <v>24956</v>
      </c>
      <c r="S1714" s="5">
        <f t="shared" si="80"/>
        <v>17052.403361344543</v>
      </c>
    </row>
    <row r="1715" spans="1:19" hidden="1" x14ac:dyDescent="0.3">
      <c r="A1715">
        <v>130</v>
      </c>
      <c r="B1715" t="s">
        <v>2244</v>
      </c>
      <c r="C1715" t="s">
        <v>3324</v>
      </c>
      <c r="D1715" s="2" t="s">
        <v>3325</v>
      </c>
      <c r="E1715" t="s">
        <v>2349</v>
      </c>
      <c r="F1715" t="s">
        <v>20</v>
      </c>
      <c r="G1715" t="s">
        <v>338</v>
      </c>
      <c r="H1715">
        <v>23709</v>
      </c>
      <c r="I1715" t="s">
        <v>23</v>
      </c>
      <c r="J1715" t="s">
        <v>40</v>
      </c>
      <c r="K1715" s="2" t="s">
        <v>3310</v>
      </c>
      <c r="L1715" t="s">
        <v>26</v>
      </c>
      <c r="M1715">
        <v>340643</v>
      </c>
      <c r="N1715">
        <v>1</v>
      </c>
      <c r="O1715" s="3">
        <v>79950</v>
      </c>
      <c r="P1715" s="3">
        <v>27728</v>
      </c>
      <c r="Q1715" s="5">
        <f t="shared" si="78"/>
        <v>67184.873949579836</v>
      </c>
      <c r="R1715" s="5">
        <f t="shared" si="79"/>
        <v>27728</v>
      </c>
      <c r="S1715" s="5">
        <f t="shared" si="80"/>
        <v>39456.873949579836</v>
      </c>
    </row>
    <row r="1716" spans="1:19" hidden="1" x14ac:dyDescent="0.3">
      <c r="A1716">
        <v>130</v>
      </c>
      <c r="B1716" t="s">
        <v>2244</v>
      </c>
      <c r="C1716" t="s">
        <v>3007</v>
      </c>
      <c r="D1716" s="2" t="s">
        <v>3008</v>
      </c>
      <c r="E1716" t="s">
        <v>2986</v>
      </c>
      <c r="F1716" t="s">
        <v>20</v>
      </c>
      <c r="G1716" t="s">
        <v>21</v>
      </c>
      <c r="H1716" t="s">
        <v>267</v>
      </c>
      <c r="I1716" t="s">
        <v>23</v>
      </c>
      <c r="J1716" t="s">
        <v>35</v>
      </c>
      <c r="K1716" s="2" t="s">
        <v>3310</v>
      </c>
      <c r="L1716" t="s">
        <v>26</v>
      </c>
      <c r="M1716">
        <v>340644</v>
      </c>
      <c r="N1716">
        <v>1</v>
      </c>
      <c r="O1716" s="3">
        <v>59990</v>
      </c>
      <c r="P1716" s="3">
        <v>24733</v>
      </c>
      <c r="Q1716" s="5">
        <f t="shared" si="78"/>
        <v>50411.764705882357</v>
      </c>
      <c r="R1716" s="5">
        <f t="shared" si="79"/>
        <v>24733</v>
      </c>
      <c r="S1716" s="5">
        <f t="shared" si="80"/>
        <v>25678.764705882357</v>
      </c>
    </row>
    <row r="1717" spans="1:19" hidden="1" x14ac:dyDescent="0.3">
      <c r="A1717">
        <v>130</v>
      </c>
      <c r="B1717" t="s">
        <v>2244</v>
      </c>
      <c r="C1717" t="s">
        <v>3294</v>
      </c>
      <c r="D1717" s="2" t="s">
        <v>3295</v>
      </c>
      <c r="E1717" t="s">
        <v>3296</v>
      </c>
      <c r="F1717" t="s">
        <v>377</v>
      </c>
      <c r="G1717" t="s">
        <v>21</v>
      </c>
      <c r="H1717" t="s">
        <v>378</v>
      </c>
      <c r="I1717" t="s">
        <v>23</v>
      </c>
      <c r="J1717" t="s">
        <v>3297</v>
      </c>
      <c r="K1717" s="2" t="s">
        <v>3310</v>
      </c>
      <c r="L1717" t="s">
        <v>26</v>
      </c>
      <c r="M1717">
        <v>340644</v>
      </c>
      <c r="N1717">
        <v>1</v>
      </c>
      <c r="O1717">
        <v>500</v>
      </c>
      <c r="P1717">
        <v>358</v>
      </c>
      <c r="Q1717" s="5">
        <f t="shared" si="78"/>
        <v>420.1680672268908</v>
      </c>
      <c r="R1717" s="5">
        <f t="shared" si="79"/>
        <v>358</v>
      </c>
      <c r="S1717" s="5">
        <f t="shared" si="80"/>
        <v>62.168067226890798</v>
      </c>
    </row>
    <row r="1718" spans="1:19" hidden="1" x14ac:dyDescent="0.3">
      <c r="A1718">
        <v>130</v>
      </c>
      <c r="B1718" t="s">
        <v>2244</v>
      </c>
      <c r="C1718" t="s">
        <v>3326</v>
      </c>
      <c r="D1718" s="2" t="s">
        <v>3327</v>
      </c>
      <c r="E1718" t="s">
        <v>3328</v>
      </c>
      <c r="F1718" t="s">
        <v>20</v>
      </c>
      <c r="G1718" t="s">
        <v>338</v>
      </c>
      <c r="H1718">
        <v>23720</v>
      </c>
      <c r="I1718" t="s">
        <v>23</v>
      </c>
      <c r="J1718" t="s">
        <v>40</v>
      </c>
      <c r="K1718" s="2" t="s">
        <v>3310</v>
      </c>
      <c r="L1718" t="s">
        <v>26</v>
      </c>
      <c r="M1718">
        <v>340645</v>
      </c>
      <c r="N1718">
        <v>1</v>
      </c>
      <c r="O1718" s="3">
        <v>59950</v>
      </c>
      <c r="P1718" s="3">
        <v>19506</v>
      </c>
      <c r="Q1718" s="5">
        <f t="shared" si="78"/>
        <v>50378.151260504201</v>
      </c>
      <c r="R1718" s="5">
        <f t="shared" si="79"/>
        <v>19506</v>
      </c>
      <c r="S1718" s="5">
        <f t="shared" si="80"/>
        <v>30872.151260504201</v>
      </c>
    </row>
    <row r="1719" spans="1:19" hidden="1" x14ac:dyDescent="0.3">
      <c r="A1719">
        <v>130</v>
      </c>
      <c r="B1719" t="s">
        <v>2244</v>
      </c>
      <c r="C1719" t="s">
        <v>3329</v>
      </c>
      <c r="D1719" s="2" t="s">
        <v>3330</v>
      </c>
      <c r="E1719" t="s">
        <v>2449</v>
      </c>
      <c r="F1719" t="s">
        <v>20</v>
      </c>
      <c r="G1719" t="s">
        <v>21</v>
      </c>
      <c r="H1719" t="s">
        <v>1703</v>
      </c>
      <c r="I1719" t="s">
        <v>23</v>
      </c>
      <c r="J1719" t="s">
        <v>49</v>
      </c>
      <c r="K1719" s="2" t="s">
        <v>3310</v>
      </c>
      <c r="L1719" t="s">
        <v>26</v>
      </c>
      <c r="M1719">
        <v>340646</v>
      </c>
      <c r="N1719">
        <v>1</v>
      </c>
      <c r="O1719" s="3">
        <v>74950</v>
      </c>
      <c r="P1719" s="3">
        <v>26457</v>
      </c>
      <c r="Q1719" s="5">
        <f t="shared" si="78"/>
        <v>62983.193277310929</v>
      </c>
      <c r="R1719" s="5">
        <f t="shared" si="79"/>
        <v>26457</v>
      </c>
      <c r="S1719" s="5">
        <f t="shared" si="80"/>
        <v>36526.193277310929</v>
      </c>
    </row>
    <row r="1720" spans="1:19" hidden="1" x14ac:dyDescent="0.3">
      <c r="A1720">
        <v>130</v>
      </c>
      <c r="B1720" t="s">
        <v>2244</v>
      </c>
      <c r="C1720" t="s">
        <v>2266</v>
      </c>
      <c r="D1720" s="2" t="s">
        <v>2267</v>
      </c>
      <c r="E1720" t="s">
        <v>2069</v>
      </c>
      <c r="F1720" t="s">
        <v>20</v>
      </c>
      <c r="G1720" t="s">
        <v>21</v>
      </c>
      <c r="H1720" t="s">
        <v>2070</v>
      </c>
      <c r="I1720" t="s">
        <v>23</v>
      </c>
      <c r="J1720" t="s">
        <v>35</v>
      </c>
      <c r="K1720" s="2" t="s">
        <v>3310</v>
      </c>
      <c r="L1720" t="s">
        <v>26</v>
      </c>
      <c r="M1720">
        <v>340647</v>
      </c>
      <c r="N1720">
        <v>1</v>
      </c>
      <c r="O1720" s="3">
        <v>89950</v>
      </c>
      <c r="P1720" s="3">
        <v>29635</v>
      </c>
      <c r="Q1720" s="5">
        <f t="shared" si="78"/>
        <v>75588.23529411765</v>
      </c>
      <c r="R1720" s="5">
        <f t="shared" si="79"/>
        <v>29635</v>
      </c>
      <c r="S1720" s="5">
        <f t="shared" si="80"/>
        <v>45953.23529411765</v>
      </c>
    </row>
    <row r="1721" spans="1:19" hidden="1" x14ac:dyDescent="0.3">
      <c r="A1721">
        <v>130</v>
      </c>
      <c r="B1721" t="s">
        <v>2244</v>
      </c>
      <c r="C1721" t="s">
        <v>3331</v>
      </c>
      <c r="D1721" s="2" t="s">
        <v>3332</v>
      </c>
      <c r="E1721" t="s">
        <v>117</v>
      </c>
      <c r="F1721" t="s">
        <v>20</v>
      </c>
      <c r="G1721" t="s">
        <v>21</v>
      </c>
      <c r="H1721" t="s">
        <v>118</v>
      </c>
      <c r="I1721" t="s">
        <v>23</v>
      </c>
      <c r="J1721" t="s">
        <v>49</v>
      </c>
      <c r="K1721" s="2" t="s">
        <v>3310</v>
      </c>
      <c r="L1721" t="s">
        <v>26</v>
      </c>
      <c r="M1721">
        <v>340648</v>
      </c>
      <c r="N1721">
        <v>1</v>
      </c>
      <c r="O1721" s="3">
        <v>39990</v>
      </c>
      <c r="P1721" s="3">
        <v>26998</v>
      </c>
      <c r="Q1721" s="5">
        <f t="shared" si="78"/>
        <v>33605.042016806721</v>
      </c>
      <c r="R1721" s="5">
        <f t="shared" si="79"/>
        <v>26998</v>
      </c>
      <c r="S1721" s="5">
        <f t="shared" si="80"/>
        <v>6607.0420168067212</v>
      </c>
    </row>
    <row r="1722" spans="1:19" hidden="1" x14ac:dyDescent="0.3">
      <c r="A1722">
        <v>130</v>
      </c>
      <c r="B1722" t="s">
        <v>2244</v>
      </c>
      <c r="C1722" t="s">
        <v>1761</v>
      </c>
      <c r="D1722" s="2" t="s">
        <v>1762</v>
      </c>
      <c r="E1722" t="s">
        <v>1763</v>
      </c>
      <c r="F1722" t="s">
        <v>377</v>
      </c>
      <c r="G1722" t="s">
        <v>21</v>
      </c>
      <c r="H1722" t="s">
        <v>378</v>
      </c>
      <c r="I1722" t="s">
        <v>23</v>
      </c>
      <c r="J1722" t="s">
        <v>379</v>
      </c>
      <c r="K1722" s="2" t="s">
        <v>3310</v>
      </c>
      <c r="L1722" t="s">
        <v>26</v>
      </c>
      <c r="M1722">
        <v>340648</v>
      </c>
      <c r="N1722">
        <v>1</v>
      </c>
      <c r="O1722" s="3">
        <v>5950</v>
      </c>
      <c r="P1722" s="3">
        <v>3279</v>
      </c>
      <c r="Q1722" s="5">
        <f t="shared" si="78"/>
        <v>5000</v>
      </c>
      <c r="R1722" s="5">
        <f t="shared" si="79"/>
        <v>3279</v>
      </c>
      <c r="S1722" s="5">
        <f t="shared" si="80"/>
        <v>1721</v>
      </c>
    </row>
    <row r="1723" spans="1:19" hidden="1" x14ac:dyDescent="0.3">
      <c r="A1723">
        <v>130</v>
      </c>
      <c r="B1723" t="s">
        <v>2244</v>
      </c>
      <c r="C1723" t="s">
        <v>2466</v>
      </c>
      <c r="D1723" s="2" t="s">
        <v>2467</v>
      </c>
      <c r="E1723" t="s">
        <v>2468</v>
      </c>
      <c r="F1723" t="s">
        <v>20</v>
      </c>
      <c r="G1723" t="s">
        <v>21</v>
      </c>
      <c r="H1723" t="s">
        <v>2469</v>
      </c>
      <c r="I1723" t="s">
        <v>23</v>
      </c>
      <c r="J1723" t="s">
        <v>49</v>
      </c>
      <c r="K1723" s="2" t="s">
        <v>3310</v>
      </c>
      <c r="L1723" t="s">
        <v>26</v>
      </c>
      <c r="M1723">
        <v>340649</v>
      </c>
      <c r="N1723">
        <v>1</v>
      </c>
      <c r="O1723" s="3">
        <v>64950</v>
      </c>
      <c r="P1723" s="3">
        <v>19034</v>
      </c>
      <c r="Q1723" s="5">
        <f t="shared" si="78"/>
        <v>54579.831932773115</v>
      </c>
      <c r="R1723" s="5">
        <f t="shared" si="79"/>
        <v>19034</v>
      </c>
      <c r="S1723" s="5">
        <f t="shared" si="80"/>
        <v>35545.831932773115</v>
      </c>
    </row>
    <row r="1724" spans="1:19" hidden="1" x14ac:dyDescent="0.3">
      <c r="A1724">
        <v>130</v>
      </c>
      <c r="B1724" t="s">
        <v>2244</v>
      </c>
      <c r="C1724" t="s">
        <v>3333</v>
      </c>
      <c r="D1724" s="2" t="s">
        <v>3334</v>
      </c>
      <c r="E1724" t="s">
        <v>3335</v>
      </c>
      <c r="F1724" t="s">
        <v>20</v>
      </c>
      <c r="G1724" t="s">
        <v>338</v>
      </c>
      <c r="H1724">
        <v>25273</v>
      </c>
      <c r="I1724" t="s">
        <v>23</v>
      </c>
      <c r="J1724" t="s">
        <v>35</v>
      </c>
      <c r="K1724" s="2" t="s">
        <v>3310</v>
      </c>
      <c r="L1724" t="s">
        <v>26</v>
      </c>
      <c r="M1724">
        <v>340650</v>
      </c>
      <c r="N1724">
        <v>-1</v>
      </c>
      <c r="O1724" s="3">
        <v>-99950</v>
      </c>
      <c r="P1724" s="3">
        <v>32658</v>
      </c>
      <c r="Q1724" s="5">
        <f t="shared" si="78"/>
        <v>-83991.596638655465</v>
      </c>
      <c r="R1724" s="5">
        <f t="shared" si="79"/>
        <v>-32658</v>
      </c>
      <c r="S1724" s="5">
        <f t="shared" si="80"/>
        <v>-51333.596638655465</v>
      </c>
    </row>
    <row r="1725" spans="1:19" hidden="1" x14ac:dyDescent="0.3">
      <c r="A1725">
        <v>130</v>
      </c>
      <c r="B1725" t="s">
        <v>2244</v>
      </c>
      <c r="C1725" t="s">
        <v>3336</v>
      </c>
      <c r="D1725" s="2" t="s">
        <v>3337</v>
      </c>
      <c r="E1725" t="s">
        <v>3335</v>
      </c>
      <c r="F1725" t="s">
        <v>20</v>
      </c>
      <c r="G1725" t="s">
        <v>338</v>
      </c>
      <c r="H1725">
        <v>25273</v>
      </c>
      <c r="I1725" t="s">
        <v>23</v>
      </c>
      <c r="J1725" t="s">
        <v>35</v>
      </c>
      <c r="K1725" s="2" t="s">
        <v>3310</v>
      </c>
      <c r="L1725" t="s">
        <v>26</v>
      </c>
      <c r="M1725">
        <v>340650</v>
      </c>
      <c r="N1725">
        <v>1</v>
      </c>
      <c r="O1725" s="3">
        <v>99951</v>
      </c>
      <c r="P1725" s="3">
        <v>32658</v>
      </c>
      <c r="Q1725" s="5">
        <f t="shared" si="78"/>
        <v>83992.436974789918</v>
      </c>
      <c r="R1725" s="5">
        <f t="shared" si="79"/>
        <v>32658</v>
      </c>
      <c r="S1725" s="5">
        <f t="shared" si="80"/>
        <v>51334.436974789918</v>
      </c>
    </row>
    <row r="1726" spans="1:19" hidden="1" x14ac:dyDescent="0.3">
      <c r="A1726">
        <v>130</v>
      </c>
      <c r="B1726" t="s">
        <v>2244</v>
      </c>
      <c r="C1726" t="s">
        <v>3236</v>
      </c>
      <c r="D1726" s="2" t="s">
        <v>3237</v>
      </c>
      <c r="E1726" t="s">
        <v>189</v>
      </c>
      <c r="F1726" t="s">
        <v>20</v>
      </c>
      <c r="G1726" t="s">
        <v>21</v>
      </c>
      <c r="H1726" t="s">
        <v>131</v>
      </c>
      <c r="I1726" t="s">
        <v>23</v>
      </c>
      <c r="J1726" t="s">
        <v>49</v>
      </c>
      <c r="K1726" s="2" t="s">
        <v>3310</v>
      </c>
      <c r="L1726" t="s">
        <v>26</v>
      </c>
      <c r="M1726">
        <v>340651</v>
      </c>
      <c r="N1726">
        <v>1</v>
      </c>
      <c r="O1726" s="3">
        <v>39990</v>
      </c>
      <c r="P1726" s="3">
        <v>27519</v>
      </c>
      <c r="Q1726" s="5">
        <f t="shared" si="78"/>
        <v>33605.042016806721</v>
      </c>
      <c r="R1726" s="5">
        <f t="shared" si="79"/>
        <v>27519</v>
      </c>
      <c r="S1726" s="5">
        <f t="shared" si="80"/>
        <v>6086.0420168067212</v>
      </c>
    </row>
    <row r="1727" spans="1:19" hidden="1" x14ac:dyDescent="0.3">
      <c r="A1727">
        <v>130</v>
      </c>
      <c r="B1727" t="s">
        <v>2244</v>
      </c>
      <c r="C1727" t="s">
        <v>3294</v>
      </c>
      <c r="D1727" s="2" t="s">
        <v>3295</v>
      </c>
      <c r="E1727" t="s">
        <v>3296</v>
      </c>
      <c r="F1727" t="s">
        <v>377</v>
      </c>
      <c r="G1727" t="s">
        <v>21</v>
      </c>
      <c r="H1727" t="s">
        <v>378</v>
      </c>
      <c r="I1727" t="s">
        <v>23</v>
      </c>
      <c r="J1727" t="s">
        <v>3297</v>
      </c>
      <c r="K1727" s="2" t="s">
        <v>3310</v>
      </c>
      <c r="L1727" t="s">
        <v>26</v>
      </c>
      <c r="M1727">
        <v>340651</v>
      </c>
      <c r="N1727">
        <v>1</v>
      </c>
      <c r="O1727">
        <v>500</v>
      </c>
      <c r="P1727">
        <v>358</v>
      </c>
      <c r="Q1727" s="5">
        <f t="shared" si="78"/>
        <v>420.1680672268908</v>
      </c>
      <c r="R1727" s="5">
        <f t="shared" si="79"/>
        <v>358</v>
      </c>
      <c r="S1727" s="5">
        <f t="shared" si="80"/>
        <v>62.168067226890798</v>
      </c>
    </row>
    <row r="1728" spans="1:19" hidden="1" x14ac:dyDescent="0.3">
      <c r="A1728">
        <v>130</v>
      </c>
      <c r="B1728" t="s">
        <v>2244</v>
      </c>
      <c r="C1728" t="s">
        <v>3338</v>
      </c>
      <c r="D1728" s="2" t="s">
        <v>3339</v>
      </c>
      <c r="E1728" t="s">
        <v>3340</v>
      </c>
      <c r="F1728" t="s">
        <v>20</v>
      </c>
      <c r="G1728" t="s">
        <v>338</v>
      </c>
      <c r="H1728">
        <v>25097</v>
      </c>
      <c r="I1728" t="s">
        <v>23</v>
      </c>
      <c r="J1728" t="s">
        <v>24</v>
      </c>
      <c r="K1728" s="2" t="s">
        <v>3310</v>
      </c>
      <c r="L1728" t="s">
        <v>26</v>
      </c>
      <c r="M1728">
        <v>340652</v>
      </c>
      <c r="N1728">
        <v>1</v>
      </c>
      <c r="O1728" s="3">
        <v>59990</v>
      </c>
      <c r="P1728" s="3">
        <v>23242</v>
      </c>
      <c r="Q1728" s="5">
        <f t="shared" si="78"/>
        <v>50411.764705882357</v>
      </c>
      <c r="R1728" s="5">
        <f t="shared" si="79"/>
        <v>23242</v>
      </c>
      <c r="S1728" s="5">
        <f t="shared" si="80"/>
        <v>27169.764705882357</v>
      </c>
    </row>
    <row r="1729" spans="1:19" hidden="1" x14ac:dyDescent="0.3">
      <c r="A1729">
        <v>130</v>
      </c>
      <c r="B1729" t="s">
        <v>2244</v>
      </c>
      <c r="C1729" t="s">
        <v>3294</v>
      </c>
      <c r="D1729" s="2" t="s">
        <v>3295</v>
      </c>
      <c r="E1729" t="s">
        <v>3296</v>
      </c>
      <c r="F1729" t="s">
        <v>377</v>
      </c>
      <c r="G1729" t="s">
        <v>21</v>
      </c>
      <c r="H1729" t="s">
        <v>378</v>
      </c>
      <c r="I1729" t="s">
        <v>23</v>
      </c>
      <c r="J1729" t="s">
        <v>3297</v>
      </c>
      <c r="K1729" s="2" t="s">
        <v>3310</v>
      </c>
      <c r="L1729" t="s">
        <v>26</v>
      </c>
      <c r="M1729">
        <v>340652</v>
      </c>
      <c r="N1729">
        <v>1</v>
      </c>
      <c r="O1729">
        <v>500</v>
      </c>
      <c r="P1729">
        <v>358</v>
      </c>
      <c r="Q1729" s="5">
        <f t="shared" si="78"/>
        <v>420.1680672268908</v>
      </c>
      <c r="R1729" s="5">
        <f t="shared" si="79"/>
        <v>358</v>
      </c>
      <c r="S1729" s="5">
        <f t="shared" si="80"/>
        <v>62.168067226890798</v>
      </c>
    </row>
    <row r="1730" spans="1:19" hidden="1" x14ac:dyDescent="0.3">
      <c r="A1730">
        <v>130</v>
      </c>
      <c r="B1730" t="s">
        <v>2244</v>
      </c>
      <c r="C1730" t="s">
        <v>3341</v>
      </c>
      <c r="D1730" s="2" t="s">
        <v>3342</v>
      </c>
      <c r="E1730" t="s">
        <v>2661</v>
      </c>
      <c r="F1730" t="s">
        <v>20</v>
      </c>
      <c r="G1730" t="s">
        <v>21</v>
      </c>
      <c r="H1730" t="s">
        <v>317</v>
      </c>
      <c r="I1730" t="s">
        <v>23</v>
      </c>
      <c r="J1730" t="s">
        <v>35</v>
      </c>
      <c r="K1730" s="2" t="s">
        <v>3310</v>
      </c>
      <c r="L1730" t="s">
        <v>26</v>
      </c>
      <c r="M1730">
        <v>340653</v>
      </c>
      <c r="N1730">
        <v>1</v>
      </c>
      <c r="O1730" s="3">
        <v>69950</v>
      </c>
      <c r="P1730" s="3">
        <v>25924</v>
      </c>
      <c r="Q1730" s="5">
        <f t="shared" si="78"/>
        <v>58781.512605042022</v>
      </c>
      <c r="R1730" s="5">
        <f t="shared" si="79"/>
        <v>25924</v>
      </c>
      <c r="S1730" s="5">
        <f t="shared" si="80"/>
        <v>32857.512605042022</v>
      </c>
    </row>
    <row r="1731" spans="1:19" hidden="1" x14ac:dyDescent="0.3">
      <c r="A1731">
        <v>130</v>
      </c>
      <c r="B1731" t="s">
        <v>2244</v>
      </c>
      <c r="C1731" t="s">
        <v>1505</v>
      </c>
      <c r="D1731" s="2" t="s">
        <v>1506</v>
      </c>
      <c r="E1731" t="s">
        <v>866</v>
      </c>
      <c r="F1731" t="s">
        <v>20</v>
      </c>
      <c r="G1731" t="s">
        <v>21</v>
      </c>
      <c r="H1731" t="s">
        <v>90</v>
      </c>
      <c r="I1731" t="s">
        <v>23</v>
      </c>
      <c r="J1731" t="s">
        <v>35</v>
      </c>
      <c r="K1731" s="2" t="s">
        <v>3310</v>
      </c>
      <c r="L1731" t="s">
        <v>26</v>
      </c>
      <c r="M1731">
        <v>340654</v>
      </c>
      <c r="N1731">
        <v>1</v>
      </c>
      <c r="O1731" s="3">
        <v>84950</v>
      </c>
      <c r="P1731" s="3">
        <v>35352</v>
      </c>
      <c r="Q1731" s="5">
        <f t="shared" si="78"/>
        <v>71386.554621848743</v>
      </c>
      <c r="R1731" s="5">
        <f t="shared" si="79"/>
        <v>35352</v>
      </c>
      <c r="S1731" s="5">
        <f t="shared" si="80"/>
        <v>36034.554621848743</v>
      </c>
    </row>
    <row r="1732" spans="1:19" hidden="1" x14ac:dyDescent="0.3">
      <c r="A1732">
        <v>130</v>
      </c>
      <c r="B1732" t="s">
        <v>2244</v>
      </c>
      <c r="C1732" t="s">
        <v>3343</v>
      </c>
      <c r="D1732" s="2" t="s">
        <v>3344</v>
      </c>
      <c r="E1732" t="s">
        <v>3345</v>
      </c>
      <c r="F1732" t="s">
        <v>20</v>
      </c>
      <c r="G1732" t="s">
        <v>338</v>
      </c>
      <c r="H1732">
        <v>25354</v>
      </c>
      <c r="I1732" t="s">
        <v>23</v>
      </c>
      <c r="J1732" t="s">
        <v>35</v>
      </c>
      <c r="K1732" s="2" t="s">
        <v>3310</v>
      </c>
      <c r="L1732" t="s">
        <v>26</v>
      </c>
      <c r="M1732">
        <v>340655</v>
      </c>
      <c r="N1732">
        <v>1</v>
      </c>
      <c r="O1732" s="3">
        <v>69950</v>
      </c>
      <c r="P1732" s="3">
        <v>21167</v>
      </c>
      <c r="Q1732" s="5">
        <f t="shared" si="78"/>
        <v>58781.512605042022</v>
      </c>
      <c r="R1732" s="5">
        <f t="shared" si="79"/>
        <v>21167</v>
      </c>
      <c r="S1732" s="5">
        <f t="shared" si="80"/>
        <v>37614.512605042022</v>
      </c>
    </row>
    <row r="1733" spans="1:19" hidden="1" x14ac:dyDescent="0.3">
      <c r="A1733">
        <v>130</v>
      </c>
      <c r="B1733" t="s">
        <v>2244</v>
      </c>
      <c r="C1733" t="s">
        <v>3294</v>
      </c>
      <c r="D1733" s="2" t="s">
        <v>3295</v>
      </c>
      <c r="E1733" t="s">
        <v>3296</v>
      </c>
      <c r="F1733" t="s">
        <v>377</v>
      </c>
      <c r="G1733" t="s">
        <v>21</v>
      </c>
      <c r="H1733" t="s">
        <v>378</v>
      </c>
      <c r="I1733" t="s">
        <v>23</v>
      </c>
      <c r="J1733" t="s">
        <v>3297</v>
      </c>
      <c r="K1733" s="2" t="s">
        <v>3310</v>
      </c>
      <c r="L1733" t="s">
        <v>26</v>
      </c>
      <c r="M1733">
        <v>340655</v>
      </c>
      <c r="N1733">
        <v>1</v>
      </c>
      <c r="O1733">
        <v>500</v>
      </c>
      <c r="P1733">
        <v>358</v>
      </c>
      <c r="Q1733" s="5">
        <f t="shared" si="78"/>
        <v>420.1680672268908</v>
      </c>
      <c r="R1733" s="5">
        <f t="shared" si="79"/>
        <v>358</v>
      </c>
      <c r="S1733" s="5">
        <f t="shared" si="80"/>
        <v>62.168067226890798</v>
      </c>
    </row>
    <row r="1734" spans="1:19" hidden="1" x14ac:dyDescent="0.3">
      <c r="A1734">
        <v>130</v>
      </c>
      <c r="B1734" t="s">
        <v>2244</v>
      </c>
      <c r="C1734" t="s">
        <v>2962</v>
      </c>
      <c r="D1734" s="2" t="s">
        <v>2963</v>
      </c>
      <c r="E1734" t="s">
        <v>2536</v>
      </c>
      <c r="F1734" t="s">
        <v>20</v>
      </c>
      <c r="G1734" t="s">
        <v>21</v>
      </c>
      <c r="H1734" t="s">
        <v>454</v>
      </c>
      <c r="I1734" t="s">
        <v>23</v>
      </c>
      <c r="J1734" t="s">
        <v>407</v>
      </c>
      <c r="K1734" s="2" t="s">
        <v>3310</v>
      </c>
      <c r="L1734" t="s">
        <v>26</v>
      </c>
      <c r="M1734">
        <v>340656</v>
      </c>
      <c r="N1734">
        <v>-1</v>
      </c>
      <c r="O1734" s="3">
        <v>-39990</v>
      </c>
      <c r="P1734" s="3">
        <v>21038</v>
      </c>
      <c r="Q1734" s="5">
        <f t="shared" ref="Q1734:Q1797" si="81">O1734/1.19</f>
        <v>-33605.042016806721</v>
      </c>
      <c r="R1734" s="5">
        <f t="shared" ref="R1734:R1797" si="82">N1734*P1734</f>
        <v>-21038</v>
      </c>
      <c r="S1734" s="5">
        <f t="shared" ref="S1734:S1797" si="83">Q1734-R1734</f>
        <v>-12567.042016806721</v>
      </c>
    </row>
    <row r="1735" spans="1:19" hidden="1" x14ac:dyDescent="0.3">
      <c r="A1735">
        <v>130</v>
      </c>
      <c r="B1735" t="s">
        <v>2244</v>
      </c>
      <c r="C1735" t="s">
        <v>3346</v>
      </c>
      <c r="D1735" s="2" t="s">
        <v>3347</v>
      </c>
      <c r="E1735" t="s">
        <v>2468</v>
      </c>
      <c r="F1735" t="s">
        <v>20</v>
      </c>
      <c r="G1735" t="s">
        <v>21</v>
      </c>
      <c r="H1735" t="s">
        <v>2469</v>
      </c>
      <c r="I1735" t="s">
        <v>23</v>
      </c>
      <c r="J1735" t="s">
        <v>49</v>
      </c>
      <c r="K1735" s="2" t="s">
        <v>3310</v>
      </c>
      <c r="L1735" t="s">
        <v>26</v>
      </c>
      <c r="M1735">
        <v>340656</v>
      </c>
      <c r="N1735">
        <v>1</v>
      </c>
      <c r="O1735" s="3">
        <v>64950</v>
      </c>
      <c r="P1735" s="3">
        <v>19047</v>
      </c>
      <c r="Q1735" s="5">
        <f t="shared" si="81"/>
        <v>54579.831932773115</v>
      </c>
      <c r="R1735" s="5">
        <f t="shared" si="82"/>
        <v>19047</v>
      </c>
      <c r="S1735" s="5">
        <f t="shared" si="83"/>
        <v>35532.831932773115</v>
      </c>
    </row>
    <row r="1736" spans="1:19" hidden="1" x14ac:dyDescent="0.3">
      <c r="A1736">
        <v>130</v>
      </c>
      <c r="B1736" t="s">
        <v>2244</v>
      </c>
      <c r="C1736" t="s">
        <v>2485</v>
      </c>
      <c r="D1736" s="2" t="s">
        <v>2486</v>
      </c>
      <c r="E1736" t="s">
        <v>2487</v>
      </c>
      <c r="F1736" t="s">
        <v>377</v>
      </c>
      <c r="G1736" t="s">
        <v>21</v>
      </c>
      <c r="H1736" t="s">
        <v>378</v>
      </c>
      <c r="I1736" t="s">
        <v>23</v>
      </c>
      <c r="J1736" t="s">
        <v>379</v>
      </c>
      <c r="K1736" s="2" t="s">
        <v>3310</v>
      </c>
      <c r="L1736" t="s">
        <v>26</v>
      </c>
      <c r="M1736">
        <v>340656</v>
      </c>
      <c r="N1736">
        <v>1</v>
      </c>
      <c r="O1736" s="3">
        <v>5950</v>
      </c>
      <c r="P1736" s="3">
        <v>2243</v>
      </c>
      <c r="Q1736" s="5">
        <f t="shared" si="81"/>
        <v>5000</v>
      </c>
      <c r="R1736" s="5">
        <f t="shared" si="82"/>
        <v>2243</v>
      </c>
      <c r="S1736" s="5">
        <f t="shared" si="83"/>
        <v>2757</v>
      </c>
    </row>
    <row r="1737" spans="1:19" hidden="1" x14ac:dyDescent="0.3">
      <c r="A1737">
        <v>130</v>
      </c>
      <c r="B1737" t="s">
        <v>2244</v>
      </c>
      <c r="C1737" t="s">
        <v>1224</v>
      </c>
      <c r="D1737" s="2" t="s">
        <v>1225</v>
      </c>
      <c r="E1737" t="s">
        <v>1226</v>
      </c>
      <c r="F1737" t="s">
        <v>20</v>
      </c>
      <c r="G1737" t="s">
        <v>21</v>
      </c>
      <c r="H1737" t="s">
        <v>1227</v>
      </c>
      <c r="I1737" t="s">
        <v>23</v>
      </c>
      <c r="J1737" t="s">
        <v>35</v>
      </c>
      <c r="K1737" s="2" t="s">
        <v>3310</v>
      </c>
      <c r="L1737" t="s">
        <v>26</v>
      </c>
      <c r="M1737">
        <v>340657</v>
      </c>
      <c r="N1737">
        <v>1</v>
      </c>
      <c r="O1737" s="3">
        <v>99951</v>
      </c>
      <c r="P1737" s="3">
        <v>52118</v>
      </c>
      <c r="Q1737" s="5">
        <f t="shared" si="81"/>
        <v>83992.436974789918</v>
      </c>
      <c r="R1737" s="5">
        <f t="shared" si="82"/>
        <v>52118</v>
      </c>
      <c r="S1737" s="5">
        <f t="shared" si="83"/>
        <v>31874.436974789918</v>
      </c>
    </row>
    <row r="1738" spans="1:19" hidden="1" x14ac:dyDescent="0.3">
      <c r="A1738">
        <v>130</v>
      </c>
      <c r="B1738" t="s">
        <v>2244</v>
      </c>
      <c r="C1738" t="s">
        <v>2742</v>
      </c>
      <c r="D1738" s="2" t="s">
        <v>2743</v>
      </c>
      <c r="E1738" t="s">
        <v>2744</v>
      </c>
      <c r="F1738" t="s">
        <v>20</v>
      </c>
      <c r="G1738" t="s">
        <v>21</v>
      </c>
      <c r="H1738" t="s">
        <v>2745</v>
      </c>
      <c r="I1738" t="s">
        <v>23</v>
      </c>
      <c r="J1738" t="s">
        <v>35</v>
      </c>
      <c r="K1738" s="2" t="s">
        <v>3310</v>
      </c>
      <c r="L1738" t="s">
        <v>26</v>
      </c>
      <c r="M1738">
        <v>340657</v>
      </c>
      <c r="N1738">
        <v>-1</v>
      </c>
      <c r="O1738" s="3">
        <v>-99950</v>
      </c>
      <c r="P1738" s="3">
        <v>33200</v>
      </c>
      <c r="Q1738" s="5">
        <f t="shared" si="81"/>
        <v>-83991.596638655465</v>
      </c>
      <c r="R1738" s="5">
        <f t="shared" si="82"/>
        <v>-33200</v>
      </c>
      <c r="S1738" s="5">
        <f t="shared" si="83"/>
        <v>-50791.596638655465</v>
      </c>
    </row>
    <row r="1739" spans="1:19" hidden="1" x14ac:dyDescent="0.3">
      <c r="A1739">
        <v>130</v>
      </c>
      <c r="B1739" t="s">
        <v>2244</v>
      </c>
      <c r="C1739" t="s">
        <v>3348</v>
      </c>
      <c r="D1739" s="2" t="s">
        <v>3349</v>
      </c>
      <c r="E1739" t="s">
        <v>3350</v>
      </c>
      <c r="F1739" t="s">
        <v>20</v>
      </c>
      <c r="G1739" t="s">
        <v>21</v>
      </c>
      <c r="H1739" t="s">
        <v>3351</v>
      </c>
      <c r="I1739" t="s">
        <v>23</v>
      </c>
      <c r="J1739" t="s">
        <v>40</v>
      </c>
      <c r="K1739" s="2" t="s">
        <v>3310</v>
      </c>
      <c r="L1739" t="s">
        <v>26</v>
      </c>
      <c r="M1739">
        <v>340658</v>
      </c>
      <c r="N1739">
        <v>1</v>
      </c>
      <c r="O1739" s="3">
        <v>79950</v>
      </c>
      <c r="P1739" s="3">
        <v>28855</v>
      </c>
      <c r="Q1739" s="5">
        <f t="shared" si="81"/>
        <v>67184.873949579836</v>
      </c>
      <c r="R1739" s="5">
        <f t="shared" si="82"/>
        <v>28855</v>
      </c>
      <c r="S1739" s="5">
        <f t="shared" si="83"/>
        <v>38329.873949579836</v>
      </c>
    </row>
    <row r="1740" spans="1:19" hidden="1" x14ac:dyDescent="0.3">
      <c r="A1740">
        <v>130</v>
      </c>
      <c r="B1740" t="s">
        <v>2244</v>
      </c>
      <c r="C1740">
        <v>1687976791</v>
      </c>
      <c r="D1740" s="2" t="s">
        <v>200</v>
      </c>
      <c r="E1740" t="s">
        <v>201</v>
      </c>
      <c r="F1740" t="s">
        <v>201</v>
      </c>
      <c r="G1740" t="s">
        <v>202</v>
      </c>
      <c r="H1740" t="s">
        <v>202</v>
      </c>
      <c r="I1740" t="s">
        <v>23</v>
      </c>
      <c r="J1740" t="s">
        <v>202</v>
      </c>
      <c r="K1740" s="2" t="s">
        <v>3310</v>
      </c>
      <c r="L1740" t="s">
        <v>26</v>
      </c>
      <c r="M1740">
        <v>340659</v>
      </c>
      <c r="N1740">
        <v>1</v>
      </c>
      <c r="O1740">
        <v>1</v>
      </c>
      <c r="P1740">
        <v>1</v>
      </c>
      <c r="Q1740" s="5">
        <f t="shared" si="81"/>
        <v>0.84033613445378152</v>
      </c>
      <c r="R1740" s="5">
        <f t="shared" si="82"/>
        <v>1</v>
      </c>
      <c r="S1740" s="5">
        <f t="shared" si="83"/>
        <v>-0.15966386554621848</v>
      </c>
    </row>
    <row r="1741" spans="1:19" hidden="1" x14ac:dyDescent="0.3">
      <c r="A1741">
        <v>130</v>
      </c>
      <c r="B1741" t="s">
        <v>2244</v>
      </c>
      <c r="C1741" t="s">
        <v>3352</v>
      </c>
      <c r="D1741" s="2" t="s">
        <v>3353</v>
      </c>
      <c r="E1741" t="s">
        <v>3354</v>
      </c>
      <c r="F1741" t="s">
        <v>20</v>
      </c>
      <c r="G1741" t="s">
        <v>215</v>
      </c>
      <c r="H1741" t="s">
        <v>3355</v>
      </c>
      <c r="I1741" t="s">
        <v>23</v>
      </c>
      <c r="J1741" t="s">
        <v>40</v>
      </c>
      <c r="K1741" s="2" t="s">
        <v>3310</v>
      </c>
      <c r="L1741" t="s">
        <v>26</v>
      </c>
      <c r="M1741">
        <v>340659</v>
      </c>
      <c r="N1741">
        <v>1</v>
      </c>
      <c r="O1741" s="3">
        <v>59990</v>
      </c>
      <c r="P1741" s="3">
        <v>38591</v>
      </c>
      <c r="Q1741" s="5">
        <f t="shared" si="81"/>
        <v>50411.764705882357</v>
      </c>
      <c r="R1741" s="5">
        <f t="shared" si="82"/>
        <v>38591</v>
      </c>
      <c r="S1741" s="5">
        <f t="shared" si="83"/>
        <v>11820.764705882357</v>
      </c>
    </row>
    <row r="1742" spans="1:19" hidden="1" x14ac:dyDescent="0.3">
      <c r="A1742">
        <v>130</v>
      </c>
      <c r="B1742" t="s">
        <v>2244</v>
      </c>
      <c r="C1742" t="s">
        <v>3356</v>
      </c>
      <c r="D1742" s="2" t="s">
        <v>3357</v>
      </c>
      <c r="E1742" t="s">
        <v>345</v>
      </c>
      <c r="F1742" t="s">
        <v>20</v>
      </c>
      <c r="G1742" t="s">
        <v>21</v>
      </c>
      <c r="H1742" t="s">
        <v>346</v>
      </c>
      <c r="I1742" t="s">
        <v>23</v>
      </c>
      <c r="J1742" t="s">
        <v>49</v>
      </c>
      <c r="K1742" s="2" t="s">
        <v>3310</v>
      </c>
      <c r="L1742" t="s">
        <v>26</v>
      </c>
      <c r="M1742">
        <v>340660</v>
      </c>
      <c r="N1742">
        <v>1</v>
      </c>
      <c r="O1742" s="3">
        <v>49990</v>
      </c>
      <c r="P1742" s="3">
        <v>21039</v>
      </c>
      <c r="Q1742" s="5">
        <f t="shared" si="81"/>
        <v>42008.403361344543</v>
      </c>
      <c r="R1742" s="5">
        <f t="shared" si="82"/>
        <v>21039</v>
      </c>
      <c r="S1742" s="5">
        <f t="shared" si="83"/>
        <v>20969.403361344543</v>
      </c>
    </row>
    <row r="1743" spans="1:19" hidden="1" x14ac:dyDescent="0.3">
      <c r="A1743">
        <v>130</v>
      </c>
      <c r="B1743" t="s">
        <v>2244</v>
      </c>
      <c r="C1743">
        <v>1687976791</v>
      </c>
      <c r="D1743" s="2" t="s">
        <v>200</v>
      </c>
      <c r="E1743" t="s">
        <v>201</v>
      </c>
      <c r="F1743" t="s">
        <v>201</v>
      </c>
      <c r="G1743" t="s">
        <v>202</v>
      </c>
      <c r="H1743" t="s">
        <v>202</v>
      </c>
      <c r="I1743" t="s">
        <v>23</v>
      </c>
      <c r="J1743" t="s">
        <v>202</v>
      </c>
      <c r="K1743" s="2" t="s">
        <v>3310</v>
      </c>
      <c r="L1743" t="s">
        <v>26</v>
      </c>
      <c r="M1743">
        <v>340660</v>
      </c>
      <c r="N1743">
        <v>1</v>
      </c>
      <c r="O1743">
        <v>1</v>
      </c>
      <c r="P1743">
        <v>1</v>
      </c>
      <c r="Q1743" s="5">
        <f t="shared" si="81"/>
        <v>0.84033613445378152</v>
      </c>
      <c r="R1743" s="5">
        <f t="shared" si="82"/>
        <v>1</v>
      </c>
      <c r="S1743" s="5">
        <f t="shared" si="83"/>
        <v>-0.15966386554621848</v>
      </c>
    </row>
    <row r="1744" spans="1:19" hidden="1" x14ac:dyDescent="0.3">
      <c r="A1744">
        <v>130</v>
      </c>
      <c r="B1744" t="s">
        <v>2244</v>
      </c>
      <c r="C1744" t="s">
        <v>3358</v>
      </c>
      <c r="D1744" s="2" t="s">
        <v>3359</v>
      </c>
      <c r="E1744" t="s">
        <v>2069</v>
      </c>
      <c r="F1744" t="s">
        <v>20</v>
      </c>
      <c r="G1744" t="s">
        <v>21</v>
      </c>
      <c r="H1744" t="s">
        <v>2070</v>
      </c>
      <c r="I1744" t="s">
        <v>23</v>
      </c>
      <c r="J1744" t="s">
        <v>35</v>
      </c>
      <c r="K1744" s="2" t="s">
        <v>3310</v>
      </c>
      <c r="L1744" t="s">
        <v>26</v>
      </c>
      <c r="M1744">
        <v>340661</v>
      </c>
      <c r="N1744">
        <v>1</v>
      </c>
      <c r="O1744" s="3">
        <v>89950</v>
      </c>
      <c r="P1744" s="3">
        <v>29635</v>
      </c>
      <c r="Q1744" s="5">
        <f t="shared" si="81"/>
        <v>75588.23529411765</v>
      </c>
      <c r="R1744" s="5">
        <f t="shared" si="82"/>
        <v>29635</v>
      </c>
      <c r="S1744" s="5">
        <f t="shared" si="83"/>
        <v>45953.23529411765</v>
      </c>
    </row>
    <row r="1745" spans="1:19" hidden="1" x14ac:dyDescent="0.3">
      <c r="A1745">
        <v>130</v>
      </c>
      <c r="B1745" t="s">
        <v>2244</v>
      </c>
      <c r="C1745" t="s">
        <v>3360</v>
      </c>
      <c r="D1745" s="2" t="s">
        <v>3361</v>
      </c>
      <c r="E1745" t="s">
        <v>3003</v>
      </c>
      <c r="F1745" t="s">
        <v>20</v>
      </c>
      <c r="G1745" t="s">
        <v>338</v>
      </c>
      <c r="H1745">
        <v>25312</v>
      </c>
      <c r="I1745" t="s">
        <v>23</v>
      </c>
      <c r="J1745" t="s">
        <v>35</v>
      </c>
      <c r="K1745" s="2" t="s">
        <v>3310</v>
      </c>
      <c r="L1745" t="s">
        <v>26</v>
      </c>
      <c r="M1745">
        <v>340662</v>
      </c>
      <c r="N1745">
        <v>1</v>
      </c>
      <c r="O1745" s="3">
        <v>69950</v>
      </c>
      <c r="P1745" s="3">
        <v>21167</v>
      </c>
      <c r="Q1745" s="5">
        <f t="shared" si="81"/>
        <v>58781.512605042022</v>
      </c>
      <c r="R1745" s="5">
        <f t="shared" si="82"/>
        <v>21167</v>
      </c>
      <c r="S1745" s="5">
        <f t="shared" si="83"/>
        <v>37614.512605042022</v>
      </c>
    </row>
    <row r="1746" spans="1:19" hidden="1" x14ac:dyDescent="0.3">
      <c r="A1746">
        <v>130</v>
      </c>
      <c r="B1746" t="s">
        <v>2244</v>
      </c>
      <c r="C1746" t="s">
        <v>3294</v>
      </c>
      <c r="D1746" s="2" t="s">
        <v>3295</v>
      </c>
      <c r="E1746" t="s">
        <v>3296</v>
      </c>
      <c r="F1746" t="s">
        <v>377</v>
      </c>
      <c r="G1746" t="s">
        <v>21</v>
      </c>
      <c r="H1746" t="s">
        <v>378</v>
      </c>
      <c r="I1746" t="s">
        <v>23</v>
      </c>
      <c r="J1746" t="s">
        <v>3297</v>
      </c>
      <c r="K1746" s="2" t="s">
        <v>3310</v>
      </c>
      <c r="L1746" t="s">
        <v>26</v>
      </c>
      <c r="M1746">
        <v>340662</v>
      </c>
      <c r="N1746">
        <v>1</v>
      </c>
      <c r="O1746">
        <v>500</v>
      </c>
      <c r="P1746">
        <v>358</v>
      </c>
      <c r="Q1746" s="5">
        <f t="shared" si="81"/>
        <v>420.1680672268908</v>
      </c>
      <c r="R1746" s="5">
        <f t="shared" si="82"/>
        <v>358</v>
      </c>
      <c r="S1746" s="5">
        <f t="shared" si="83"/>
        <v>62.168067226890798</v>
      </c>
    </row>
    <row r="1747" spans="1:19" hidden="1" x14ac:dyDescent="0.3">
      <c r="A1747">
        <v>130</v>
      </c>
      <c r="B1747" t="s">
        <v>2244</v>
      </c>
      <c r="C1747" t="s">
        <v>2564</v>
      </c>
      <c r="D1747" s="2" t="s">
        <v>2565</v>
      </c>
      <c r="E1747" t="s">
        <v>2566</v>
      </c>
      <c r="F1747" t="s">
        <v>20</v>
      </c>
      <c r="G1747" t="s">
        <v>21</v>
      </c>
      <c r="H1747" t="s">
        <v>1689</v>
      </c>
      <c r="I1747" t="s">
        <v>23</v>
      </c>
      <c r="J1747" t="s">
        <v>49</v>
      </c>
      <c r="K1747" s="2" t="s">
        <v>3310</v>
      </c>
      <c r="L1747" t="s">
        <v>26</v>
      </c>
      <c r="M1747">
        <v>340663</v>
      </c>
      <c r="N1747">
        <v>-1</v>
      </c>
      <c r="O1747" s="3">
        <v>-89950</v>
      </c>
      <c r="P1747" s="3">
        <v>36301</v>
      </c>
      <c r="Q1747" s="5">
        <f t="shared" si="81"/>
        <v>-75588.23529411765</v>
      </c>
      <c r="R1747" s="5">
        <f t="shared" si="82"/>
        <v>-36301</v>
      </c>
      <c r="S1747" s="5">
        <f t="shared" si="83"/>
        <v>-39287.23529411765</v>
      </c>
    </row>
    <row r="1748" spans="1:19" hidden="1" x14ac:dyDescent="0.3">
      <c r="A1748">
        <v>130</v>
      </c>
      <c r="B1748" t="s">
        <v>2244</v>
      </c>
      <c r="C1748" t="s">
        <v>3362</v>
      </c>
      <c r="D1748" s="2" t="s">
        <v>3363</v>
      </c>
      <c r="E1748" t="s">
        <v>2566</v>
      </c>
      <c r="F1748" t="s">
        <v>20</v>
      </c>
      <c r="G1748" t="s">
        <v>21</v>
      </c>
      <c r="H1748" t="s">
        <v>1689</v>
      </c>
      <c r="I1748" t="s">
        <v>23</v>
      </c>
      <c r="J1748" t="s">
        <v>49</v>
      </c>
      <c r="K1748" s="2" t="s">
        <v>3310</v>
      </c>
      <c r="L1748" t="s">
        <v>26</v>
      </c>
      <c r="M1748">
        <v>340663</v>
      </c>
      <c r="N1748">
        <v>1</v>
      </c>
      <c r="O1748" s="3">
        <v>89951</v>
      </c>
      <c r="P1748" s="3">
        <v>38120</v>
      </c>
      <c r="Q1748" s="5">
        <f t="shared" si="81"/>
        <v>75589.075630252104</v>
      </c>
      <c r="R1748" s="5">
        <f t="shared" si="82"/>
        <v>38120</v>
      </c>
      <c r="S1748" s="5">
        <f t="shared" si="83"/>
        <v>37469.075630252104</v>
      </c>
    </row>
    <row r="1749" spans="1:19" hidden="1" x14ac:dyDescent="0.3">
      <c r="A1749">
        <v>130</v>
      </c>
      <c r="B1749" t="s">
        <v>2244</v>
      </c>
      <c r="C1749" t="s">
        <v>2700</v>
      </c>
      <c r="D1749" s="2" t="s">
        <v>2701</v>
      </c>
      <c r="E1749" t="s">
        <v>2702</v>
      </c>
      <c r="F1749" t="s">
        <v>20</v>
      </c>
      <c r="G1749" t="s">
        <v>21</v>
      </c>
      <c r="H1749" t="s">
        <v>90</v>
      </c>
      <c r="I1749" t="s">
        <v>23</v>
      </c>
      <c r="J1749" t="s">
        <v>35</v>
      </c>
      <c r="K1749" s="2" t="s">
        <v>3310</v>
      </c>
      <c r="L1749" t="s">
        <v>26</v>
      </c>
      <c r="M1749">
        <v>340664</v>
      </c>
      <c r="N1749">
        <v>1</v>
      </c>
      <c r="O1749" s="3">
        <v>84950</v>
      </c>
      <c r="P1749" s="3">
        <v>35265</v>
      </c>
      <c r="Q1749" s="5">
        <f t="shared" si="81"/>
        <v>71386.554621848743</v>
      </c>
      <c r="R1749" s="5">
        <f t="shared" si="82"/>
        <v>35265</v>
      </c>
      <c r="S1749" s="5">
        <f t="shared" si="83"/>
        <v>36121.554621848743</v>
      </c>
    </row>
    <row r="1750" spans="1:19" hidden="1" x14ac:dyDescent="0.3">
      <c r="A1750">
        <v>130</v>
      </c>
      <c r="B1750" t="s">
        <v>2244</v>
      </c>
      <c r="C1750" t="s">
        <v>2525</v>
      </c>
      <c r="D1750" s="2" t="s">
        <v>2526</v>
      </c>
      <c r="E1750" t="s">
        <v>2527</v>
      </c>
      <c r="F1750" t="s">
        <v>377</v>
      </c>
      <c r="G1750" t="s">
        <v>21</v>
      </c>
      <c r="H1750" t="s">
        <v>378</v>
      </c>
      <c r="I1750" t="s">
        <v>23</v>
      </c>
      <c r="J1750" t="s">
        <v>2459</v>
      </c>
      <c r="K1750" s="2" t="s">
        <v>3310</v>
      </c>
      <c r="L1750" t="s">
        <v>26</v>
      </c>
      <c r="M1750">
        <v>340665</v>
      </c>
      <c r="N1750">
        <v>1</v>
      </c>
      <c r="O1750" s="3">
        <v>6950</v>
      </c>
      <c r="P1750" s="3">
        <v>2964</v>
      </c>
      <c r="Q1750" s="5">
        <f t="shared" si="81"/>
        <v>5840.3361344537816</v>
      </c>
      <c r="R1750" s="5">
        <f t="shared" si="82"/>
        <v>2964</v>
      </c>
      <c r="S1750" s="5">
        <f t="shared" si="83"/>
        <v>2876.3361344537816</v>
      </c>
    </row>
    <row r="1751" spans="1:19" hidden="1" x14ac:dyDescent="0.3">
      <c r="A1751">
        <v>130</v>
      </c>
      <c r="B1751" t="s">
        <v>2244</v>
      </c>
      <c r="C1751" t="s">
        <v>3364</v>
      </c>
      <c r="D1751" s="2" t="s">
        <v>3365</v>
      </c>
      <c r="E1751" t="s">
        <v>3323</v>
      </c>
      <c r="F1751" t="s">
        <v>20</v>
      </c>
      <c r="G1751" t="s">
        <v>21</v>
      </c>
      <c r="H1751" t="s">
        <v>625</v>
      </c>
      <c r="I1751" t="s">
        <v>23</v>
      </c>
      <c r="J1751" t="s">
        <v>35</v>
      </c>
      <c r="K1751" s="2" t="s">
        <v>3366</v>
      </c>
      <c r="L1751" t="s">
        <v>26</v>
      </c>
      <c r="M1751">
        <v>340666</v>
      </c>
      <c r="N1751">
        <v>1</v>
      </c>
      <c r="O1751" s="3">
        <v>49990</v>
      </c>
      <c r="P1751" s="3">
        <v>24956</v>
      </c>
      <c r="Q1751" s="5">
        <f t="shared" si="81"/>
        <v>42008.403361344543</v>
      </c>
      <c r="R1751" s="5">
        <f t="shared" si="82"/>
        <v>24956</v>
      </c>
      <c r="S1751" s="5">
        <f t="shared" si="83"/>
        <v>17052.403361344543</v>
      </c>
    </row>
    <row r="1752" spans="1:19" hidden="1" x14ac:dyDescent="0.3">
      <c r="A1752">
        <v>130</v>
      </c>
      <c r="B1752" t="s">
        <v>2244</v>
      </c>
      <c r="C1752" t="s">
        <v>2466</v>
      </c>
      <c r="D1752" s="2" t="s">
        <v>2467</v>
      </c>
      <c r="E1752" t="s">
        <v>2468</v>
      </c>
      <c r="F1752" t="s">
        <v>20</v>
      </c>
      <c r="G1752" t="s">
        <v>21</v>
      </c>
      <c r="H1752" t="s">
        <v>2469</v>
      </c>
      <c r="I1752" t="s">
        <v>23</v>
      </c>
      <c r="J1752" t="s">
        <v>49</v>
      </c>
      <c r="K1752" s="2" t="s">
        <v>3366</v>
      </c>
      <c r="L1752" t="s">
        <v>26</v>
      </c>
      <c r="M1752">
        <v>340667</v>
      </c>
      <c r="N1752">
        <v>1</v>
      </c>
      <c r="O1752" s="3">
        <v>64950</v>
      </c>
      <c r="P1752" s="3">
        <v>19034</v>
      </c>
      <c r="Q1752" s="5">
        <f t="shared" si="81"/>
        <v>54579.831932773115</v>
      </c>
      <c r="R1752" s="5">
        <f t="shared" si="82"/>
        <v>19034</v>
      </c>
      <c r="S1752" s="5">
        <f t="shared" si="83"/>
        <v>35545.831932773115</v>
      </c>
    </row>
    <row r="1753" spans="1:19" hidden="1" x14ac:dyDescent="0.3">
      <c r="A1753">
        <v>130</v>
      </c>
      <c r="B1753" t="s">
        <v>2244</v>
      </c>
      <c r="C1753" t="s">
        <v>3367</v>
      </c>
      <c r="D1753" s="2" t="s">
        <v>3368</v>
      </c>
      <c r="E1753" t="s">
        <v>2902</v>
      </c>
      <c r="F1753" t="s">
        <v>20</v>
      </c>
      <c r="G1753" t="s">
        <v>21</v>
      </c>
      <c r="H1753" t="s">
        <v>267</v>
      </c>
      <c r="I1753" t="s">
        <v>23</v>
      </c>
      <c r="J1753" t="s">
        <v>49</v>
      </c>
      <c r="K1753" s="2" t="s">
        <v>3366</v>
      </c>
      <c r="L1753" t="s">
        <v>26</v>
      </c>
      <c r="M1753">
        <v>340668</v>
      </c>
      <c r="N1753">
        <v>1</v>
      </c>
      <c r="O1753" s="3">
        <v>64950</v>
      </c>
      <c r="P1753" s="3">
        <v>24504</v>
      </c>
      <c r="Q1753" s="5">
        <f t="shared" si="81"/>
        <v>54579.831932773115</v>
      </c>
      <c r="R1753" s="5">
        <f t="shared" si="82"/>
        <v>24504</v>
      </c>
      <c r="S1753" s="5">
        <f t="shared" si="83"/>
        <v>30075.831932773115</v>
      </c>
    </row>
    <row r="1754" spans="1:19" hidden="1" x14ac:dyDescent="0.3">
      <c r="A1754">
        <v>130</v>
      </c>
      <c r="B1754" t="s">
        <v>2244</v>
      </c>
      <c r="C1754" t="s">
        <v>3369</v>
      </c>
      <c r="D1754" s="2" t="s">
        <v>3370</v>
      </c>
      <c r="E1754" t="s">
        <v>2771</v>
      </c>
      <c r="F1754" t="s">
        <v>20</v>
      </c>
      <c r="G1754" t="s">
        <v>21</v>
      </c>
      <c r="H1754" t="s">
        <v>57</v>
      </c>
      <c r="I1754" t="s">
        <v>23</v>
      </c>
      <c r="J1754" t="s">
        <v>35</v>
      </c>
      <c r="K1754" s="2" t="s">
        <v>3366</v>
      </c>
      <c r="L1754" t="s">
        <v>26</v>
      </c>
      <c r="M1754">
        <v>340669</v>
      </c>
      <c r="N1754">
        <v>1</v>
      </c>
      <c r="O1754" s="3">
        <v>79990</v>
      </c>
      <c r="P1754" s="3">
        <v>29189</v>
      </c>
      <c r="Q1754" s="5">
        <f t="shared" si="81"/>
        <v>67218.487394957992</v>
      </c>
      <c r="R1754" s="5">
        <f t="shared" si="82"/>
        <v>29189</v>
      </c>
      <c r="S1754" s="5">
        <f t="shared" si="83"/>
        <v>38029.487394957992</v>
      </c>
    </row>
    <row r="1755" spans="1:19" hidden="1" x14ac:dyDescent="0.3">
      <c r="A1755">
        <v>130</v>
      </c>
      <c r="B1755" t="s">
        <v>2244</v>
      </c>
      <c r="C1755" t="s">
        <v>1172</v>
      </c>
      <c r="D1755" s="2" t="s">
        <v>1173</v>
      </c>
      <c r="E1755" t="s">
        <v>1174</v>
      </c>
      <c r="F1755" t="s">
        <v>20</v>
      </c>
      <c r="G1755" t="s">
        <v>21</v>
      </c>
      <c r="H1755" t="s">
        <v>272</v>
      </c>
      <c r="I1755" t="s">
        <v>23</v>
      </c>
      <c r="J1755" t="s">
        <v>40</v>
      </c>
      <c r="K1755" s="2" t="s">
        <v>3366</v>
      </c>
      <c r="L1755" t="s">
        <v>26</v>
      </c>
      <c r="M1755">
        <v>340670</v>
      </c>
      <c r="N1755">
        <v>1</v>
      </c>
      <c r="O1755" s="3">
        <v>59990</v>
      </c>
      <c r="P1755" s="3">
        <v>25136</v>
      </c>
      <c r="Q1755" s="5">
        <f t="shared" si="81"/>
        <v>50411.764705882357</v>
      </c>
      <c r="R1755" s="5">
        <f t="shared" si="82"/>
        <v>25136</v>
      </c>
      <c r="S1755" s="5">
        <f t="shared" si="83"/>
        <v>25275.764705882357</v>
      </c>
    </row>
    <row r="1756" spans="1:19" hidden="1" x14ac:dyDescent="0.3">
      <c r="A1756">
        <v>130</v>
      </c>
      <c r="B1756" t="s">
        <v>2244</v>
      </c>
      <c r="C1756" t="s">
        <v>3294</v>
      </c>
      <c r="D1756" s="2" t="s">
        <v>3295</v>
      </c>
      <c r="E1756" t="s">
        <v>3296</v>
      </c>
      <c r="F1756" t="s">
        <v>377</v>
      </c>
      <c r="G1756" t="s">
        <v>21</v>
      </c>
      <c r="H1756" t="s">
        <v>378</v>
      </c>
      <c r="I1756" t="s">
        <v>23</v>
      </c>
      <c r="J1756" t="s">
        <v>3297</v>
      </c>
      <c r="K1756" s="2" t="s">
        <v>3366</v>
      </c>
      <c r="L1756" t="s">
        <v>26</v>
      </c>
      <c r="M1756">
        <v>340670</v>
      </c>
      <c r="N1756">
        <v>1</v>
      </c>
      <c r="O1756">
        <v>500</v>
      </c>
      <c r="P1756">
        <v>358</v>
      </c>
      <c r="Q1756" s="5">
        <f t="shared" si="81"/>
        <v>420.1680672268908</v>
      </c>
      <c r="R1756" s="5">
        <f t="shared" si="82"/>
        <v>358</v>
      </c>
      <c r="S1756" s="5">
        <f t="shared" si="83"/>
        <v>62.168067226890798</v>
      </c>
    </row>
    <row r="1757" spans="1:19" hidden="1" x14ac:dyDescent="0.3">
      <c r="A1757">
        <v>130</v>
      </c>
      <c r="B1757" t="s">
        <v>2244</v>
      </c>
      <c r="C1757" t="s">
        <v>1451</v>
      </c>
      <c r="D1757" s="2" t="s">
        <v>1452</v>
      </c>
      <c r="E1757" t="s">
        <v>1453</v>
      </c>
      <c r="F1757" t="s">
        <v>20</v>
      </c>
      <c r="G1757" t="s">
        <v>338</v>
      </c>
      <c r="H1757">
        <v>22410</v>
      </c>
      <c r="I1757" t="s">
        <v>23</v>
      </c>
      <c r="J1757" t="s">
        <v>49</v>
      </c>
      <c r="K1757" s="2" t="s">
        <v>3366</v>
      </c>
      <c r="L1757" t="s">
        <v>26</v>
      </c>
      <c r="M1757">
        <v>340671</v>
      </c>
      <c r="N1757">
        <v>1</v>
      </c>
      <c r="O1757" s="3">
        <v>69950</v>
      </c>
      <c r="P1757" s="3">
        <v>20848</v>
      </c>
      <c r="Q1757" s="5">
        <f t="shared" si="81"/>
        <v>58781.512605042022</v>
      </c>
      <c r="R1757" s="5">
        <f t="shared" si="82"/>
        <v>20848</v>
      </c>
      <c r="S1757" s="5">
        <f t="shared" si="83"/>
        <v>37933.512605042022</v>
      </c>
    </row>
    <row r="1758" spans="1:19" hidden="1" x14ac:dyDescent="0.3">
      <c r="A1758">
        <v>130</v>
      </c>
      <c r="B1758" t="s">
        <v>2244</v>
      </c>
      <c r="C1758" t="s">
        <v>3371</v>
      </c>
      <c r="D1758" s="2" t="s">
        <v>3372</v>
      </c>
      <c r="E1758" t="s">
        <v>2441</v>
      </c>
      <c r="F1758" t="s">
        <v>20</v>
      </c>
      <c r="G1758" t="s">
        <v>21</v>
      </c>
      <c r="H1758" t="s">
        <v>243</v>
      </c>
      <c r="I1758" t="s">
        <v>23</v>
      </c>
      <c r="J1758" t="s">
        <v>35</v>
      </c>
      <c r="K1758" s="2" t="s">
        <v>3366</v>
      </c>
      <c r="L1758" t="s">
        <v>26</v>
      </c>
      <c r="M1758">
        <v>340672</v>
      </c>
      <c r="N1758">
        <v>1</v>
      </c>
      <c r="O1758" s="3">
        <v>99950</v>
      </c>
      <c r="P1758" s="3">
        <v>53269</v>
      </c>
      <c r="Q1758" s="5">
        <f t="shared" si="81"/>
        <v>83991.596638655465</v>
      </c>
      <c r="R1758" s="5">
        <f t="shared" si="82"/>
        <v>53269</v>
      </c>
      <c r="S1758" s="5">
        <f t="shared" si="83"/>
        <v>30722.596638655465</v>
      </c>
    </row>
    <row r="1759" spans="1:19" hidden="1" x14ac:dyDescent="0.3">
      <c r="A1759">
        <v>130</v>
      </c>
      <c r="B1759" t="s">
        <v>2244</v>
      </c>
      <c r="C1759" t="s">
        <v>3373</v>
      </c>
      <c r="D1759" s="2" t="s">
        <v>3374</v>
      </c>
      <c r="E1759" t="s">
        <v>3091</v>
      </c>
      <c r="F1759" t="s">
        <v>20</v>
      </c>
      <c r="G1759" t="s">
        <v>338</v>
      </c>
      <c r="H1759">
        <v>26266</v>
      </c>
      <c r="I1759" t="s">
        <v>23</v>
      </c>
      <c r="J1759" t="s">
        <v>35</v>
      </c>
      <c r="K1759" s="2" t="s">
        <v>3366</v>
      </c>
      <c r="L1759" t="s">
        <v>26</v>
      </c>
      <c r="M1759">
        <v>340673</v>
      </c>
      <c r="N1759">
        <v>1</v>
      </c>
      <c r="O1759" s="3">
        <v>79950</v>
      </c>
      <c r="P1759" s="3">
        <v>25300</v>
      </c>
      <c r="Q1759" s="5">
        <f t="shared" si="81"/>
        <v>67184.873949579836</v>
      </c>
      <c r="R1759" s="5">
        <f t="shared" si="82"/>
        <v>25300</v>
      </c>
      <c r="S1759" s="5">
        <f t="shared" si="83"/>
        <v>41884.873949579836</v>
      </c>
    </row>
    <row r="1760" spans="1:19" hidden="1" x14ac:dyDescent="0.3">
      <c r="A1760">
        <v>130</v>
      </c>
      <c r="B1760" t="s">
        <v>2244</v>
      </c>
      <c r="C1760" t="s">
        <v>3375</v>
      </c>
      <c r="D1760" s="2" t="s">
        <v>3376</v>
      </c>
      <c r="E1760" t="s">
        <v>3377</v>
      </c>
      <c r="F1760" t="s">
        <v>377</v>
      </c>
      <c r="G1760" t="s">
        <v>21</v>
      </c>
      <c r="H1760" t="s">
        <v>378</v>
      </c>
      <c r="I1760" t="s">
        <v>23</v>
      </c>
      <c r="J1760" t="s">
        <v>379</v>
      </c>
      <c r="K1760" s="2" t="s">
        <v>3366</v>
      </c>
      <c r="L1760" t="s">
        <v>26</v>
      </c>
      <c r="M1760">
        <v>340674</v>
      </c>
      <c r="N1760">
        <v>1</v>
      </c>
      <c r="O1760" s="3">
        <v>3950</v>
      </c>
      <c r="P1760" s="3">
        <v>1410</v>
      </c>
      <c r="Q1760" s="5">
        <f t="shared" si="81"/>
        <v>3319.3277310924373</v>
      </c>
      <c r="R1760" s="5">
        <f t="shared" si="82"/>
        <v>1410</v>
      </c>
      <c r="S1760" s="5">
        <f t="shared" si="83"/>
        <v>1909.3277310924373</v>
      </c>
    </row>
    <row r="1761" spans="1:19" hidden="1" x14ac:dyDescent="0.3">
      <c r="A1761">
        <v>130</v>
      </c>
      <c r="B1761" t="s">
        <v>2244</v>
      </c>
      <c r="C1761" t="s">
        <v>2485</v>
      </c>
      <c r="D1761" s="2" t="s">
        <v>2486</v>
      </c>
      <c r="E1761" t="s">
        <v>2487</v>
      </c>
      <c r="F1761" t="s">
        <v>377</v>
      </c>
      <c r="G1761" t="s">
        <v>21</v>
      </c>
      <c r="H1761" t="s">
        <v>378</v>
      </c>
      <c r="I1761" t="s">
        <v>23</v>
      </c>
      <c r="J1761" t="s">
        <v>379</v>
      </c>
      <c r="K1761" s="2" t="s">
        <v>3366</v>
      </c>
      <c r="L1761" t="s">
        <v>26</v>
      </c>
      <c r="M1761">
        <v>340674</v>
      </c>
      <c r="N1761">
        <v>1</v>
      </c>
      <c r="O1761" s="3">
        <v>5950</v>
      </c>
      <c r="P1761" s="3">
        <v>2243</v>
      </c>
      <c r="Q1761" s="5">
        <f t="shared" si="81"/>
        <v>5000</v>
      </c>
      <c r="R1761" s="5">
        <f t="shared" si="82"/>
        <v>2243</v>
      </c>
      <c r="S1761" s="5">
        <f t="shared" si="83"/>
        <v>2757</v>
      </c>
    </row>
    <row r="1762" spans="1:19" hidden="1" x14ac:dyDescent="0.3">
      <c r="A1762">
        <v>130</v>
      </c>
      <c r="B1762" t="s">
        <v>2244</v>
      </c>
      <c r="C1762" t="s">
        <v>3378</v>
      </c>
      <c r="D1762" s="2" t="s">
        <v>3379</v>
      </c>
      <c r="E1762" t="s">
        <v>3380</v>
      </c>
      <c r="F1762" t="s">
        <v>20</v>
      </c>
      <c r="G1762" t="s">
        <v>21</v>
      </c>
      <c r="H1762" t="s">
        <v>1703</v>
      </c>
      <c r="I1762" t="s">
        <v>23</v>
      </c>
      <c r="J1762" t="s">
        <v>49</v>
      </c>
      <c r="K1762" s="2" t="s">
        <v>3366</v>
      </c>
      <c r="L1762" t="s">
        <v>26</v>
      </c>
      <c r="M1762">
        <v>340675</v>
      </c>
      <c r="N1762">
        <v>1</v>
      </c>
      <c r="O1762" s="3">
        <v>69950</v>
      </c>
      <c r="P1762" s="3">
        <v>22284</v>
      </c>
      <c r="Q1762" s="5">
        <f t="shared" si="81"/>
        <v>58781.512605042022</v>
      </c>
      <c r="R1762" s="5">
        <f t="shared" si="82"/>
        <v>22284</v>
      </c>
      <c r="S1762" s="5">
        <f t="shared" si="83"/>
        <v>36497.512605042022</v>
      </c>
    </row>
    <row r="1763" spans="1:19" hidden="1" x14ac:dyDescent="0.3">
      <c r="A1763">
        <v>130</v>
      </c>
      <c r="B1763" t="s">
        <v>2244</v>
      </c>
      <c r="C1763" t="s">
        <v>3294</v>
      </c>
      <c r="D1763" s="2" t="s">
        <v>3295</v>
      </c>
      <c r="E1763" t="s">
        <v>3296</v>
      </c>
      <c r="F1763" t="s">
        <v>377</v>
      </c>
      <c r="G1763" t="s">
        <v>21</v>
      </c>
      <c r="H1763" t="s">
        <v>378</v>
      </c>
      <c r="I1763" t="s">
        <v>23</v>
      </c>
      <c r="J1763" t="s">
        <v>3297</v>
      </c>
      <c r="K1763" s="2" t="s">
        <v>3366</v>
      </c>
      <c r="L1763" t="s">
        <v>26</v>
      </c>
      <c r="M1763">
        <v>340675</v>
      </c>
      <c r="N1763">
        <v>1</v>
      </c>
      <c r="O1763">
        <v>500</v>
      </c>
      <c r="P1763">
        <v>358</v>
      </c>
      <c r="Q1763" s="5">
        <f t="shared" si="81"/>
        <v>420.1680672268908</v>
      </c>
      <c r="R1763" s="5">
        <f t="shared" si="82"/>
        <v>358</v>
      </c>
      <c r="S1763" s="5">
        <f t="shared" si="83"/>
        <v>62.168067226890798</v>
      </c>
    </row>
    <row r="1764" spans="1:19" hidden="1" x14ac:dyDescent="0.3">
      <c r="A1764">
        <v>130</v>
      </c>
      <c r="B1764" t="s">
        <v>2244</v>
      </c>
      <c r="C1764" t="s">
        <v>3381</v>
      </c>
      <c r="D1764" s="2" t="s">
        <v>3382</v>
      </c>
      <c r="E1764" t="s">
        <v>2002</v>
      </c>
      <c r="F1764" t="s">
        <v>20</v>
      </c>
      <c r="G1764" t="s">
        <v>338</v>
      </c>
      <c r="H1764">
        <v>25026</v>
      </c>
      <c r="I1764" t="s">
        <v>23</v>
      </c>
      <c r="J1764" t="s">
        <v>35</v>
      </c>
      <c r="K1764" s="2" t="s">
        <v>3366</v>
      </c>
      <c r="L1764" t="s">
        <v>26</v>
      </c>
      <c r="M1764">
        <v>340676</v>
      </c>
      <c r="N1764">
        <v>1</v>
      </c>
      <c r="O1764" s="3">
        <v>89950</v>
      </c>
      <c r="P1764" s="3">
        <v>28454</v>
      </c>
      <c r="Q1764" s="5">
        <f t="shared" si="81"/>
        <v>75588.23529411765</v>
      </c>
      <c r="R1764" s="5">
        <f t="shared" si="82"/>
        <v>28454</v>
      </c>
      <c r="S1764" s="5">
        <f t="shared" si="83"/>
        <v>47134.23529411765</v>
      </c>
    </row>
    <row r="1765" spans="1:19" hidden="1" x14ac:dyDescent="0.3">
      <c r="A1765">
        <v>130</v>
      </c>
      <c r="B1765" t="s">
        <v>2244</v>
      </c>
      <c r="C1765" t="s">
        <v>3367</v>
      </c>
      <c r="D1765" s="2" t="s">
        <v>3368</v>
      </c>
      <c r="E1765" t="s">
        <v>2902</v>
      </c>
      <c r="F1765" t="s">
        <v>20</v>
      </c>
      <c r="G1765" t="s">
        <v>21</v>
      </c>
      <c r="H1765" t="s">
        <v>267</v>
      </c>
      <c r="I1765" t="s">
        <v>23</v>
      </c>
      <c r="J1765" t="s">
        <v>49</v>
      </c>
      <c r="K1765" s="2" t="s">
        <v>3366</v>
      </c>
      <c r="L1765" t="s">
        <v>26</v>
      </c>
      <c r="M1765">
        <v>340677</v>
      </c>
      <c r="N1765">
        <v>1</v>
      </c>
      <c r="O1765" s="3">
        <v>64950</v>
      </c>
      <c r="P1765" s="3">
        <v>24504</v>
      </c>
      <c r="Q1765" s="5">
        <f t="shared" si="81"/>
        <v>54579.831932773115</v>
      </c>
      <c r="R1765" s="5">
        <f t="shared" si="82"/>
        <v>24504</v>
      </c>
      <c r="S1765" s="5">
        <f t="shared" si="83"/>
        <v>30075.831932773115</v>
      </c>
    </row>
    <row r="1766" spans="1:19" hidden="1" x14ac:dyDescent="0.3">
      <c r="A1766">
        <v>130</v>
      </c>
      <c r="B1766" t="s">
        <v>2244</v>
      </c>
      <c r="C1766">
        <v>1687976791</v>
      </c>
      <c r="D1766" s="2" t="s">
        <v>200</v>
      </c>
      <c r="E1766" t="s">
        <v>201</v>
      </c>
      <c r="F1766" t="s">
        <v>201</v>
      </c>
      <c r="G1766" t="s">
        <v>202</v>
      </c>
      <c r="H1766" t="s">
        <v>202</v>
      </c>
      <c r="I1766" t="s">
        <v>23</v>
      </c>
      <c r="J1766" t="s">
        <v>202</v>
      </c>
      <c r="K1766" s="2" t="s">
        <v>3366</v>
      </c>
      <c r="L1766" t="s">
        <v>26</v>
      </c>
      <c r="M1766">
        <v>340678</v>
      </c>
      <c r="N1766">
        <v>1</v>
      </c>
      <c r="O1766" s="3">
        <v>3400</v>
      </c>
      <c r="P1766">
        <v>1</v>
      </c>
      <c r="Q1766" s="5">
        <f t="shared" si="81"/>
        <v>2857.1428571428573</v>
      </c>
      <c r="R1766" s="5">
        <f t="shared" si="82"/>
        <v>1</v>
      </c>
      <c r="S1766" s="5">
        <f t="shared" si="83"/>
        <v>2856.1428571428573</v>
      </c>
    </row>
    <row r="1767" spans="1:19" hidden="1" x14ac:dyDescent="0.3">
      <c r="A1767">
        <v>130</v>
      </c>
      <c r="B1767" t="s">
        <v>2244</v>
      </c>
      <c r="C1767" t="s">
        <v>3383</v>
      </c>
      <c r="D1767" s="2" t="s">
        <v>3384</v>
      </c>
      <c r="E1767" t="s">
        <v>2360</v>
      </c>
      <c r="F1767" t="s">
        <v>20</v>
      </c>
      <c r="G1767" t="s">
        <v>21</v>
      </c>
      <c r="H1767" t="s">
        <v>1286</v>
      </c>
      <c r="I1767" t="s">
        <v>23</v>
      </c>
      <c r="J1767" t="s">
        <v>40</v>
      </c>
      <c r="K1767" s="2" t="s">
        <v>3366</v>
      </c>
      <c r="L1767" t="s">
        <v>26</v>
      </c>
      <c r="M1767">
        <v>340678</v>
      </c>
      <c r="N1767">
        <v>1</v>
      </c>
      <c r="O1767" s="3">
        <v>49990</v>
      </c>
      <c r="P1767" s="3">
        <v>24783</v>
      </c>
      <c r="Q1767" s="5">
        <f t="shared" si="81"/>
        <v>42008.403361344543</v>
      </c>
      <c r="R1767" s="5">
        <f t="shared" si="82"/>
        <v>24783</v>
      </c>
      <c r="S1767" s="5">
        <f t="shared" si="83"/>
        <v>17225.403361344543</v>
      </c>
    </row>
    <row r="1768" spans="1:19" hidden="1" x14ac:dyDescent="0.3">
      <c r="A1768">
        <v>130</v>
      </c>
      <c r="B1768" t="s">
        <v>2244</v>
      </c>
      <c r="C1768" t="s">
        <v>3385</v>
      </c>
      <c r="D1768" s="2" t="s">
        <v>3386</v>
      </c>
      <c r="E1768" t="s">
        <v>3302</v>
      </c>
      <c r="F1768" t="s">
        <v>20</v>
      </c>
      <c r="G1768" t="s">
        <v>21</v>
      </c>
      <c r="H1768" t="s">
        <v>958</v>
      </c>
      <c r="I1768" t="s">
        <v>23</v>
      </c>
      <c r="J1768" t="s">
        <v>40</v>
      </c>
      <c r="K1768" s="2" t="s">
        <v>3366</v>
      </c>
      <c r="L1768" t="s">
        <v>26</v>
      </c>
      <c r="M1768">
        <v>340679</v>
      </c>
      <c r="N1768">
        <v>1</v>
      </c>
      <c r="O1768" s="3">
        <v>59950</v>
      </c>
      <c r="P1768" s="3">
        <v>16439</v>
      </c>
      <c r="Q1768" s="5">
        <f t="shared" si="81"/>
        <v>50378.151260504201</v>
      </c>
      <c r="R1768" s="5">
        <f t="shared" si="82"/>
        <v>16439</v>
      </c>
      <c r="S1768" s="5">
        <f t="shared" si="83"/>
        <v>33939.151260504201</v>
      </c>
    </row>
    <row r="1769" spans="1:19" hidden="1" x14ac:dyDescent="0.3">
      <c r="A1769">
        <v>130</v>
      </c>
      <c r="B1769" t="s">
        <v>2244</v>
      </c>
      <c r="C1769" t="s">
        <v>3294</v>
      </c>
      <c r="D1769" s="2" t="s">
        <v>3295</v>
      </c>
      <c r="E1769" t="s">
        <v>3296</v>
      </c>
      <c r="F1769" t="s">
        <v>377</v>
      </c>
      <c r="G1769" t="s">
        <v>21</v>
      </c>
      <c r="H1769" t="s">
        <v>378</v>
      </c>
      <c r="I1769" t="s">
        <v>23</v>
      </c>
      <c r="J1769" t="s">
        <v>3297</v>
      </c>
      <c r="K1769" s="2" t="s">
        <v>3366</v>
      </c>
      <c r="L1769" t="s">
        <v>26</v>
      </c>
      <c r="M1769">
        <v>340679</v>
      </c>
      <c r="N1769">
        <v>1</v>
      </c>
      <c r="O1769">
        <v>500</v>
      </c>
      <c r="P1769">
        <v>358</v>
      </c>
      <c r="Q1769" s="5">
        <f t="shared" si="81"/>
        <v>420.1680672268908</v>
      </c>
      <c r="R1769" s="5">
        <f t="shared" si="82"/>
        <v>358</v>
      </c>
      <c r="S1769" s="5">
        <f t="shared" si="83"/>
        <v>62.168067226890798</v>
      </c>
    </row>
    <row r="1770" spans="1:19" hidden="1" x14ac:dyDescent="0.3">
      <c r="A1770">
        <v>130</v>
      </c>
      <c r="B1770" t="s">
        <v>2244</v>
      </c>
      <c r="C1770" t="s">
        <v>3387</v>
      </c>
      <c r="D1770" s="2" t="s">
        <v>3388</v>
      </c>
      <c r="E1770" t="s">
        <v>3019</v>
      </c>
      <c r="F1770" t="s">
        <v>20</v>
      </c>
      <c r="G1770" t="s">
        <v>338</v>
      </c>
      <c r="H1770">
        <v>85408</v>
      </c>
      <c r="I1770" t="s">
        <v>23</v>
      </c>
      <c r="J1770" t="s">
        <v>35</v>
      </c>
      <c r="K1770" s="2" t="s">
        <v>3366</v>
      </c>
      <c r="L1770" t="s">
        <v>26</v>
      </c>
      <c r="M1770">
        <v>340680</v>
      </c>
      <c r="N1770">
        <v>1</v>
      </c>
      <c r="O1770" s="3">
        <v>109950</v>
      </c>
      <c r="P1770" s="3">
        <v>33793</v>
      </c>
      <c r="Q1770" s="5">
        <f t="shared" si="81"/>
        <v>92394.957983193279</v>
      </c>
      <c r="R1770" s="5">
        <f t="shared" si="82"/>
        <v>33793</v>
      </c>
      <c r="S1770" s="5">
        <f t="shared" si="83"/>
        <v>58601.957983193279</v>
      </c>
    </row>
    <row r="1771" spans="1:19" hidden="1" x14ac:dyDescent="0.3">
      <c r="A1771">
        <v>130</v>
      </c>
      <c r="B1771" t="s">
        <v>2244</v>
      </c>
      <c r="C1771" t="s">
        <v>3389</v>
      </c>
      <c r="D1771" s="2" t="s">
        <v>3390</v>
      </c>
      <c r="E1771" t="s">
        <v>1706</v>
      </c>
      <c r="F1771" t="s">
        <v>20</v>
      </c>
      <c r="G1771" t="s">
        <v>338</v>
      </c>
      <c r="H1771">
        <v>23201</v>
      </c>
      <c r="I1771" t="s">
        <v>23</v>
      </c>
      <c r="J1771" t="s">
        <v>49</v>
      </c>
      <c r="K1771" s="2" t="s">
        <v>3366</v>
      </c>
      <c r="L1771" t="s">
        <v>26</v>
      </c>
      <c r="M1771">
        <v>340681</v>
      </c>
      <c r="N1771">
        <v>1</v>
      </c>
      <c r="O1771" s="3">
        <v>84950</v>
      </c>
      <c r="P1771" s="3">
        <v>26390</v>
      </c>
      <c r="Q1771" s="5">
        <f t="shared" si="81"/>
        <v>71386.554621848743</v>
      </c>
      <c r="R1771" s="5">
        <f t="shared" si="82"/>
        <v>26390</v>
      </c>
      <c r="S1771" s="5">
        <f t="shared" si="83"/>
        <v>44996.554621848743</v>
      </c>
    </row>
    <row r="1772" spans="1:19" hidden="1" x14ac:dyDescent="0.3">
      <c r="A1772">
        <v>130</v>
      </c>
      <c r="B1772" t="s">
        <v>2244</v>
      </c>
      <c r="C1772" t="s">
        <v>3391</v>
      </c>
      <c r="D1772" s="2" t="s">
        <v>3392</v>
      </c>
      <c r="E1772" t="s">
        <v>3145</v>
      </c>
      <c r="F1772" t="s">
        <v>20</v>
      </c>
      <c r="G1772" t="s">
        <v>21</v>
      </c>
      <c r="H1772" t="s">
        <v>958</v>
      </c>
      <c r="I1772" t="s">
        <v>23</v>
      </c>
      <c r="J1772" t="s">
        <v>40</v>
      </c>
      <c r="K1772" s="2" t="s">
        <v>3366</v>
      </c>
      <c r="L1772" t="s">
        <v>26</v>
      </c>
      <c r="M1772">
        <v>340682</v>
      </c>
      <c r="N1772">
        <v>1</v>
      </c>
      <c r="O1772" s="3">
        <v>59951</v>
      </c>
      <c r="P1772" s="3">
        <v>16439</v>
      </c>
      <c r="Q1772" s="5">
        <f t="shared" si="81"/>
        <v>50378.991596638654</v>
      </c>
      <c r="R1772" s="5">
        <f t="shared" si="82"/>
        <v>16439</v>
      </c>
      <c r="S1772" s="5">
        <f t="shared" si="83"/>
        <v>33939.991596638654</v>
      </c>
    </row>
    <row r="1773" spans="1:19" hidden="1" x14ac:dyDescent="0.3">
      <c r="A1773">
        <v>130</v>
      </c>
      <c r="B1773" t="s">
        <v>2244</v>
      </c>
      <c r="C1773" t="s">
        <v>3143</v>
      </c>
      <c r="D1773" s="2" t="s">
        <v>3144</v>
      </c>
      <c r="E1773" t="s">
        <v>3145</v>
      </c>
      <c r="F1773" t="s">
        <v>20</v>
      </c>
      <c r="G1773" t="s">
        <v>21</v>
      </c>
      <c r="H1773" t="s">
        <v>958</v>
      </c>
      <c r="I1773" t="s">
        <v>23</v>
      </c>
      <c r="J1773" t="s">
        <v>40</v>
      </c>
      <c r="K1773" s="2" t="s">
        <v>3366</v>
      </c>
      <c r="L1773" t="s">
        <v>26</v>
      </c>
      <c r="M1773">
        <v>340682</v>
      </c>
      <c r="N1773">
        <v>-1</v>
      </c>
      <c r="O1773" s="3">
        <v>-59950</v>
      </c>
      <c r="P1773" s="3">
        <v>16439</v>
      </c>
      <c r="Q1773" s="5">
        <f t="shared" si="81"/>
        <v>-50378.151260504201</v>
      </c>
      <c r="R1773" s="5">
        <f t="shared" si="82"/>
        <v>-16439</v>
      </c>
      <c r="S1773" s="5">
        <f t="shared" si="83"/>
        <v>-33939.151260504201</v>
      </c>
    </row>
    <row r="1774" spans="1:19" hidden="1" x14ac:dyDescent="0.3">
      <c r="A1774">
        <v>130</v>
      </c>
      <c r="B1774" t="s">
        <v>2244</v>
      </c>
      <c r="C1774" t="s">
        <v>3393</v>
      </c>
      <c r="D1774" s="2" t="s">
        <v>3394</v>
      </c>
      <c r="E1774" t="s">
        <v>3395</v>
      </c>
      <c r="F1774" t="s">
        <v>20</v>
      </c>
      <c r="G1774" t="s">
        <v>338</v>
      </c>
      <c r="H1774">
        <v>25459</v>
      </c>
      <c r="I1774" t="s">
        <v>23</v>
      </c>
      <c r="J1774" t="s">
        <v>35</v>
      </c>
      <c r="K1774" s="2" t="s">
        <v>3366</v>
      </c>
      <c r="L1774" t="s">
        <v>26</v>
      </c>
      <c r="M1774">
        <v>340683</v>
      </c>
      <c r="N1774">
        <v>1</v>
      </c>
      <c r="O1774" s="3">
        <v>99950</v>
      </c>
      <c r="P1774" s="3">
        <v>32113</v>
      </c>
      <c r="Q1774" s="5">
        <f t="shared" si="81"/>
        <v>83991.596638655465</v>
      </c>
      <c r="R1774" s="5">
        <f t="shared" si="82"/>
        <v>32113</v>
      </c>
      <c r="S1774" s="5">
        <f t="shared" si="83"/>
        <v>51878.596638655465</v>
      </c>
    </row>
    <row r="1775" spans="1:19" hidden="1" x14ac:dyDescent="0.3">
      <c r="A1775">
        <v>130</v>
      </c>
      <c r="B1775" t="s">
        <v>2244</v>
      </c>
      <c r="C1775" t="s">
        <v>3294</v>
      </c>
      <c r="D1775" s="2" t="s">
        <v>3295</v>
      </c>
      <c r="E1775" t="s">
        <v>3296</v>
      </c>
      <c r="F1775" t="s">
        <v>377</v>
      </c>
      <c r="G1775" t="s">
        <v>21</v>
      </c>
      <c r="H1775" t="s">
        <v>378</v>
      </c>
      <c r="I1775" t="s">
        <v>23</v>
      </c>
      <c r="J1775" t="s">
        <v>3297</v>
      </c>
      <c r="K1775" s="2" t="s">
        <v>3366</v>
      </c>
      <c r="L1775" t="s">
        <v>26</v>
      </c>
      <c r="M1775">
        <v>340683</v>
      </c>
      <c r="N1775">
        <v>1</v>
      </c>
      <c r="O1775">
        <v>500</v>
      </c>
      <c r="P1775">
        <v>358</v>
      </c>
      <c r="Q1775" s="5">
        <f t="shared" si="81"/>
        <v>420.1680672268908</v>
      </c>
      <c r="R1775" s="5">
        <f t="shared" si="82"/>
        <v>358</v>
      </c>
      <c r="S1775" s="5">
        <f t="shared" si="83"/>
        <v>62.168067226890798</v>
      </c>
    </row>
    <row r="1776" spans="1:19" hidden="1" x14ac:dyDescent="0.3">
      <c r="A1776">
        <v>130</v>
      </c>
      <c r="B1776" t="s">
        <v>2244</v>
      </c>
      <c r="C1776" t="s">
        <v>3396</v>
      </c>
      <c r="D1776" s="2" t="s">
        <v>3397</v>
      </c>
      <c r="E1776" t="s">
        <v>494</v>
      </c>
      <c r="F1776" t="s">
        <v>20</v>
      </c>
      <c r="G1776" t="s">
        <v>21</v>
      </c>
      <c r="H1776" t="s">
        <v>317</v>
      </c>
      <c r="I1776" t="s">
        <v>23</v>
      </c>
      <c r="J1776" t="s">
        <v>35</v>
      </c>
      <c r="K1776" s="2" t="s">
        <v>3366</v>
      </c>
      <c r="L1776" t="s">
        <v>26</v>
      </c>
      <c r="M1776">
        <v>340684</v>
      </c>
      <c r="N1776">
        <v>1</v>
      </c>
      <c r="O1776" s="3">
        <v>69950</v>
      </c>
      <c r="P1776" s="3">
        <v>23619</v>
      </c>
      <c r="Q1776" s="5">
        <f t="shared" si="81"/>
        <v>58781.512605042022</v>
      </c>
      <c r="R1776" s="5">
        <f t="shared" si="82"/>
        <v>23619</v>
      </c>
      <c r="S1776" s="5">
        <f t="shared" si="83"/>
        <v>35162.512605042022</v>
      </c>
    </row>
    <row r="1777" spans="1:19" hidden="1" x14ac:dyDescent="0.3">
      <c r="A1777">
        <v>130</v>
      </c>
      <c r="B1777" t="s">
        <v>2244</v>
      </c>
      <c r="C1777" t="s">
        <v>3398</v>
      </c>
      <c r="D1777" s="2" t="s">
        <v>3399</v>
      </c>
      <c r="E1777" t="s">
        <v>3400</v>
      </c>
      <c r="F1777" t="s">
        <v>20</v>
      </c>
      <c r="G1777" t="s">
        <v>338</v>
      </c>
      <c r="H1777">
        <v>85408</v>
      </c>
      <c r="I1777" t="s">
        <v>23</v>
      </c>
      <c r="J1777" t="s">
        <v>35</v>
      </c>
      <c r="K1777" s="2" t="s">
        <v>3366</v>
      </c>
      <c r="L1777" t="s">
        <v>26</v>
      </c>
      <c r="M1777">
        <v>340685</v>
      </c>
      <c r="N1777">
        <v>1</v>
      </c>
      <c r="O1777" s="3">
        <v>109950</v>
      </c>
      <c r="P1777" s="3">
        <v>33793</v>
      </c>
      <c r="Q1777" s="5">
        <f t="shared" si="81"/>
        <v>92394.957983193279</v>
      </c>
      <c r="R1777" s="5">
        <f t="shared" si="82"/>
        <v>33793</v>
      </c>
      <c r="S1777" s="5">
        <f t="shared" si="83"/>
        <v>58601.957983193279</v>
      </c>
    </row>
    <row r="1778" spans="1:19" hidden="1" x14ac:dyDescent="0.3">
      <c r="A1778">
        <v>130</v>
      </c>
      <c r="B1778" t="s">
        <v>2244</v>
      </c>
      <c r="C1778" t="s">
        <v>3401</v>
      </c>
      <c r="D1778" s="2" t="s">
        <v>3402</v>
      </c>
      <c r="E1778" t="s">
        <v>3403</v>
      </c>
      <c r="F1778" t="s">
        <v>377</v>
      </c>
      <c r="G1778" t="s">
        <v>21</v>
      </c>
      <c r="H1778" t="s">
        <v>378</v>
      </c>
      <c r="I1778" t="s">
        <v>23</v>
      </c>
      <c r="J1778" t="s">
        <v>3297</v>
      </c>
      <c r="K1778" s="2" t="s">
        <v>3366</v>
      </c>
      <c r="L1778" t="s">
        <v>26</v>
      </c>
      <c r="M1778">
        <v>340686</v>
      </c>
      <c r="N1778">
        <v>1</v>
      </c>
      <c r="O1778">
        <v>500</v>
      </c>
      <c r="P1778">
        <v>418</v>
      </c>
      <c r="Q1778" s="5">
        <f t="shared" si="81"/>
        <v>420.1680672268908</v>
      </c>
      <c r="R1778" s="5">
        <f t="shared" si="82"/>
        <v>418</v>
      </c>
      <c r="S1778" s="5">
        <f t="shared" si="83"/>
        <v>2.1680672268907983</v>
      </c>
    </row>
    <row r="1779" spans="1:19" hidden="1" x14ac:dyDescent="0.3">
      <c r="A1779">
        <v>130</v>
      </c>
      <c r="B1779" t="s">
        <v>2244</v>
      </c>
      <c r="C1779" t="s">
        <v>3196</v>
      </c>
      <c r="D1779" s="2" t="s">
        <v>3197</v>
      </c>
      <c r="E1779" t="s">
        <v>717</v>
      </c>
      <c r="F1779" t="s">
        <v>20</v>
      </c>
      <c r="G1779" t="s">
        <v>21</v>
      </c>
      <c r="H1779" t="s">
        <v>718</v>
      </c>
      <c r="I1779" t="s">
        <v>23</v>
      </c>
      <c r="J1779" t="s">
        <v>49</v>
      </c>
      <c r="K1779" s="2" t="s">
        <v>3366</v>
      </c>
      <c r="L1779" t="s">
        <v>26</v>
      </c>
      <c r="M1779">
        <v>340687</v>
      </c>
      <c r="N1779">
        <v>1</v>
      </c>
      <c r="O1779" s="3">
        <v>39990</v>
      </c>
      <c r="P1779" s="3">
        <v>26658</v>
      </c>
      <c r="Q1779" s="5">
        <f t="shared" si="81"/>
        <v>33605.042016806721</v>
      </c>
      <c r="R1779" s="5">
        <f t="shared" si="82"/>
        <v>26658</v>
      </c>
      <c r="S1779" s="5">
        <f t="shared" si="83"/>
        <v>6947.0420168067212</v>
      </c>
    </row>
    <row r="1780" spans="1:19" hidden="1" x14ac:dyDescent="0.3">
      <c r="A1780">
        <v>130</v>
      </c>
      <c r="B1780" t="s">
        <v>2244</v>
      </c>
      <c r="C1780" t="s">
        <v>3404</v>
      </c>
      <c r="D1780" s="2" t="s">
        <v>3405</v>
      </c>
      <c r="E1780" t="s">
        <v>3406</v>
      </c>
      <c r="F1780" t="s">
        <v>20</v>
      </c>
      <c r="G1780" t="s">
        <v>338</v>
      </c>
      <c r="H1780">
        <v>26825</v>
      </c>
      <c r="I1780" t="s">
        <v>23</v>
      </c>
      <c r="J1780" t="s">
        <v>35</v>
      </c>
      <c r="K1780" s="2" t="s">
        <v>3366</v>
      </c>
      <c r="L1780" t="s">
        <v>26</v>
      </c>
      <c r="M1780">
        <v>340688</v>
      </c>
      <c r="N1780">
        <v>1</v>
      </c>
      <c r="O1780" s="3">
        <v>79950</v>
      </c>
      <c r="P1780" s="3">
        <v>23119</v>
      </c>
      <c r="Q1780" s="5">
        <f t="shared" si="81"/>
        <v>67184.873949579836</v>
      </c>
      <c r="R1780" s="5">
        <f t="shared" si="82"/>
        <v>23119</v>
      </c>
      <c r="S1780" s="5">
        <f t="shared" si="83"/>
        <v>44065.873949579836</v>
      </c>
    </row>
    <row r="1781" spans="1:19" hidden="1" x14ac:dyDescent="0.3">
      <c r="A1781">
        <v>130</v>
      </c>
      <c r="B1781" t="s">
        <v>2244</v>
      </c>
      <c r="C1781" t="s">
        <v>3294</v>
      </c>
      <c r="D1781" s="2" t="s">
        <v>3295</v>
      </c>
      <c r="E1781" t="s">
        <v>3296</v>
      </c>
      <c r="F1781" t="s">
        <v>377</v>
      </c>
      <c r="G1781" t="s">
        <v>21</v>
      </c>
      <c r="H1781" t="s">
        <v>378</v>
      </c>
      <c r="I1781" t="s">
        <v>23</v>
      </c>
      <c r="J1781" t="s">
        <v>3297</v>
      </c>
      <c r="K1781" s="2" t="s">
        <v>3366</v>
      </c>
      <c r="L1781" t="s">
        <v>26</v>
      </c>
      <c r="M1781">
        <v>340688</v>
      </c>
      <c r="N1781">
        <v>1</v>
      </c>
      <c r="O1781">
        <v>500</v>
      </c>
      <c r="P1781">
        <v>358</v>
      </c>
      <c r="Q1781" s="5">
        <f t="shared" si="81"/>
        <v>420.1680672268908</v>
      </c>
      <c r="R1781" s="5">
        <f t="shared" si="82"/>
        <v>358</v>
      </c>
      <c r="S1781" s="5">
        <f t="shared" si="83"/>
        <v>62.168067226890798</v>
      </c>
    </row>
    <row r="1782" spans="1:19" hidden="1" x14ac:dyDescent="0.3">
      <c r="A1782">
        <v>130</v>
      </c>
      <c r="B1782" t="s">
        <v>2244</v>
      </c>
      <c r="C1782" t="s">
        <v>2365</v>
      </c>
      <c r="D1782" s="2" t="s">
        <v>2366</v>
      </c>
      <c r="E1782" t="s">
        <v>2367</v>
      </c>
      <c r="F1782" t="s">
        <v>377</v>
      </c>
      <c r="G1782" t="s">
        <v>21</v>
      </c>
      <c r="H1782" t="s">
        <v>378</v>
      </c>
      <c r="I1782" t="s">
        <v>23</v>
      </c>
      <c r="J1782" t="s">
        <v>379</v>
      </c>
      <c r="K1782" s="2" t="s">
        <v>3366</v>
      </c>
      <c r="L1782" t="s">
        <v>26</v>
      </c>
      <c r="M1782">
        <v>340688</v>
      </c>
      <c r="N1782">
        <v>1</v>
      </c>
      <c r="O1782" s="3">
        <v>6950</v>
      </c>
      <c r="P1782" s="3">
        <v>3759</v>
      </c>
      <c r="Q1782" s="5">
        <f t="shared" si="81"/>
        <v>5840.3361344537816</v>
      </c>
      <c r="R1782" s="5">
        <f t="shared" si="82"/>
        <v>3759</v>
      </c>
      <c r="S1782" s="5">
        <f t="shared" si="83"/>
        <v>2081.3361344537816</v>
      </c>
    </row>
    <row r="1783" spans="1:19" hidden="1" x14ac:dyDescent="0.3">
      <c r="A1783">
        <v>130</v>
      </c>
      <c r="B1783" t="s">
        <v>2244</v>
      </c>
      <c r="C1783" t="s">
        <v>3407</v>
      </c>
      <c r="D1783" s="2" t="s">
        <v>3408</v>
      </c>
      <c r="E1783" t="s">
        <v>2110</v>
      </c>
      <c r="F1783" t="s">
        <v>20</v>
      </c>
      <c r="G1783" t="s">
        <v>21</v>
      </c>
      <c r="H1783" t="s">
        <v>22</v>
      </c>
      <c r="I1783" t="s">
        <v>23</v>
      </c>
      <c r="J1783" t="s">
        <v>24</v>
      </c>
      <c r="K1783" s="2" t="s">
        <v>3366</v>
      </c>
      <c r="L1783" t="s">
        <v>26</v>
      </c>
      <c r="M1783">
        <v>340689</v>
      </c>
      <c r="N1783">
        <v>1</v>
      </c>
      <c r="O1783" s="3">
        <v>79950</v>
      </c>
      <c r="P1783" s="3">
        <v>27748</v>
      </c>
      <c r="Q1783" s="5">
        <f t="shared" si="81"/>
        <v>67184.873949579836</v>
      </c>
      <c r="R1783" s="5">
        <f t="shared" si="82"/>
        <v>27748</v>
      </c>
      <c r="S1783" s="5">
        <f t="shared" si="83"/>
        <v>39436.873949579836</v>
      </c>
    </row>
    <row r="1784" spans="1:19" hidden="1" x14ac:dyDescent="0.3">
      <c r="A1784">
        <v>130</v>
      </c>
      <c r="B1784" t="s">
        <v>2244</v>
      </c>
      <c r="C1784" t="s">
        <v>3409</v>
      </c>
      <c r="D1784" s="2" t="s">
        <v>3410</v>
      </c>
      <c r="E1784" t="s">
        <v>2428</v>
      </c>
      <c r="F1784" t="s">
        <v>20</v>
      </c>
      <c r="G1784" t="s">
        <v>21</v>
      </c>
      <c r="H1784" t="s">
        <v>2315</v>
      </c>
      <c r="I1784" t="s">
        <v>23</v>
      </c>
      <c r="J1784" t="s">
        <v>35</v>
      </c>
      <c r="K1784" s="2" t="s">
        <v>3366</v>
      </c>
      <c r="L1784" t="s">
        <v>26</v>
      </c>
      <c r="M1784">
        <v>340690</v>
      </c>
      <c r="N1784">
        <v>1</v>
      </c>
      <c r="O1784" s="3">
        <v>89950</v>
      </c>
      <c r="P1784" s="3">
        <v>30749</v>
      </c>
      <c r="Q1784" s="5">
        <f t="shared" si="81"/>
        <v>75588.23529411765</v>
      </c>
      <c r="R1784" s="5">
        <f t="shared" si="82"/>
        <v>30749</v>
      </c>
      <c r="S1784" s="5">
        <f t="shared" si="83"/>
        <v>44839.23529411765</v>
      </c>
    </row>
    <row r="1785" spans="1:19" hidden="1" x14ac:dyDescent="0.3">
      <c r="A1785">
        <v>130</v>
      </c>
      <c r="B1785" t="s">
        <v>2244</v>
      </c>
      <c r="C1785" t="s">
        <v>2942</v>
      </c>
      <c r="D1785" s="2" t="s">
        <v>2943</v>
      </c>
      <c r="E1785" t="s">
        <v>2870</v>
      </c>
      <c r="F1785" t="s">
        <v>20</v>
      </c>
      <c r="G1785" t="s">
        <v>21</v>
      </c>
      <c r="H1785" t="s">
        <v>30</v>
      </c>
      <c r="I1785" t="s">
        <v>23</v>
      </c>
      <c r="J1785" t="s">
        <v>35</v>
      </c>
      <c r="K1785" s="2" t="s">
        <v>3366</v>
      </c>
      <c r="L1785" t="s">
        <v>26</v>
      </c>
      <c r="M1785">
        <v>340691</v>
      </c>
      <c r="N1785">
        <v>1</v>
      </c>
      <c r="O1785" s="3">
        <v>79950</v>
      </c>
      <c r="P1785" s="3">
        <v>30749</v>
      </c>
      <c r="Q1785" s="5">
        <f t="shared" si="81"/>
        <v>67184.873949579836</v>
      </c>
      <c r="R1785" s="5">
        <f t="shared" si="82"/>
        <v>30749</v>
      </c>
      <c r="S1785" s="5">
        <f t="shared" si="83"/>
        <v>36435.873949579836</v>
      </c>
    </row>
    <row r="1786" spans="1:19" hidden="1" x14ac:dyDescent="0.3">
      <c r="A1786">
        <v>130</v>
      </c>
      <c r="B1786" t="s">
        <v>2244</v>
      </c>
      <c r="C1786" t="s">
        <v>3401</v>
      </c>
      <c r="D1786" s="2" t="s">
        <v>3402</v>
      </c>
      <c r="E1786" t="s">
        <v>3403</v>
      </c>
      <c r="F1786" t="s">
        <v>377</v>
      </c>
      <c r="G1786" t="s">
        <v>21</v>
      </c>
      <c r="H1786" t="s">
        <v>378</v>
      </c>
      <c r="I1786" t="s">
        <v>23</v>
      </c>
      <c r="J1786" t="s">
        <v>3297</v>
      </c>
      <c r="K1786" s="2" t="s">
        <v>3366</v>
      </c>
      <c r="L1786" t="s">
        <v>26</v>
      </c>
      <c r="M1786">
        <v>340691</v>
      </c>
      <c r="N1786">
        <v>1</v>
      </c>
      <c r="O1786">
        <v>500</v>
      </c>
      <c r="P1786">
        <v>418</v>
      </c>
      <c r="Q1786" s="5">
        <f t="shared" si="81"/>
        <v>420.1680672268908</v>
      </c>
      <c r="R1786" s="5">
        <f t="shared" si="82"/>
        <v>418</v>
      </c>
      <c r="S1786" s="5">
        <f t="shared" si="83"/>
        <v>2.1680672268907983</v>
      </c>
    </row>
    <row r="1787" spans="1:19" hidden="1" x14ac:dyDescent="0.3">
      <c r="A1787">
        <v>130</v>
      </c>
      <c r="B1787" t="s">
        <v>2244</v>
      </c>
      <c r="C1787" t="s">
        <v>1937</v>
      </c>
      <c r="D1787" s="2" t="s">
        <v>1938</v>
      </c>
      <c r="E1787" t="s">
        <v>1939</v>
      </c>
      <c r="F1787" t="s">
        <v>20</v>
      </c>
      <c r="G1787" t="s">
        <v>21</v>
      </c>
      <c r="H1787" t="s">
        <v>261</v>
      </c>
      <c r="I1787" t="s">
        <v>23</v>
      </c>
      <c r="J1787" t="s">
        <v>95</v>
      </c>
      <c r="K1787" s="2" t="s">
        <v>1958</v>
      </c>
      <c r="L1787" t="s">
        <v>2249</v>
      </c>
      <c r="M1787">
        <v>25385</v>
      </c>
      <c r="N1787">
        <v>-1</v>
      </c>
      <c r="O1787" s="3">
        <v>-34990</v>
      </c>
      <c r="P1787" s="3">
        <v>20294</v>
      </c>
      <c r="Q1787" s="5">
        <f t="shared" si="81"/>
        <v>-29403.361344537818</v>
      </c>
      <c r="R1787" s="5">
        <f t="shared" si="82"/>
        <v>-20294</v>
      </c>
      <c r="S1787" s="5">
        <f t="shared" si="83"/>
        <v>-9109.3613445378178</v>
      </c>
    </row>
    <row r="1788" spans="1:19" hidden="1" x14ac:dyDescent="0.3">
      <c r="A1788">
        <v>130</v>
      </c>
      <c r="B1788" t="s">
        <v>2244</v>
      </c>
      <c r="C1788" t="s">
        <v>2571</v>
      </c>
      <c r="D1788" s="2" t="s">
        <v>2572</v>
      </c>
      <c r="E1788" t="s">
        <v>714</v>
      </c>
      <c r="F1788" t="s">
        <v>20</v>
      </c>
      <c r="G1788" t="s">
        <v>21</v>
      </c>
      <c r="H1788" t="s">
        <v>30</v>
      </c>
      <c r="I1788" t="s">
        <v>23</v>
      </c>
      <c r="J1788" t="s">
        <v>49</v>
      </c>
      <c r="K1788" s="2" t="s">
        <v>1958</v>
      </c>
      <c r="L1788" t="s">
        <v>26</v>
      </c>
      <c r="M1788">
        <v>340692</v>
      </c>
      <c r="N1788">
        <v>1</v>
      </c>
      <c r="O1788" s="3">
        <v>69950</v>
      </c>
      <c r="P1788" s="3">
        <v>25242</v>
      </c>
      <c r="Q1788" s="5">
        <f t="shared" si="81"/>
        <v>58781.512605042022</v>
      </c>
      <c r="R1788" s="5">
        <f t="shared" si="82"/>
        <v>25242</v>
      </c>
      <c r="S1788" s="5">
        <f t="shared" si="83"/>
        <v>33539.512605042022</v>
      </c>
    </row>
    <row r="1789" spans="1:19" hidden="1" x14ac:dyDescent="0.3">
      <c r="A1789">
        <v>130</v>
      </c>
      <c r="B1789" t="s">
        <v>2244</v>
      </c>
      <c r="C1789">
        <v>1687976791</v>
      </c>
      <c r="D1789" s="2" t="s">
        <v>200</v>
      </c>
      <c r="E1789" t="s">
        <v>201</v>
      </c>
      <c r="F1789" t="s">
        <v>201</v>
      </c>
      <c r="G1789" t="s">
        <v>202</v>
      </c>
      <c r="H1789" t="s">
        <v>202</v>
      </c>
      <c r="I1789" t="s">
        <v>23</v>
      </c>
      <c r="J1789" t="s">
        <v>202</v>
      </c>
      <c r="K1789" s="2" t="s">
        <v>1958</v>
      </c>
      <c r="L1789" t="s">
        <v>26</v>
      </c>
      <c r="M1789">
        <v>340692</v>
      </c>
      <c r="N1789">
        <v>1</v>
      </c>
      <c r="O1789" s="3">
        <v>3400</v>
      </c>
      <c r="P1789">
        <v>1</v>
      </c>
      <c r="Q1789" s="5">
        <f t="shared" si="81"/>
        <v>2857.1428571428573</v>
      </c>
      <c r="R1789" s="5">
        <f t="shared" si="82"/>
        <v>1</v>
      </c>
      <c r="S1789" s="5">
        <f t="shared" si="83"/>
        <v>2856.1428571428573</v>
      </c>
    </row>
    <row r="1790" spans="1:19" hidden="1" x14ac:dyDescent="0.3">
      <c r="A1790">
        <v>130</v>
      </c>
      <c r="B1790" t="s">
        <v>2244</v>
      </c>
      <c r="C1790" t="s">
        <v>292</v>
      </c>
      <c r="D1790" s="2" t="s">
        <v>293</v>
      </c>
      <c r="E1790" t="s">
        <v>294</v>
      </c>
      <c r="F1790" t="s">
        <v>20</v>
      </c>
      <c r="G1790" t="s">
        <v>21</v>
      </c>
      <c r="H1790" t="s">
        <v>295</v>
      </c>
      <c r="I1790" t="s">
        <v>23</v>
      </c>
      <c r="J1790" t="s">
        <v>40</v>
      </c>
      <c r="K1790" s="2" t="s">
        <v>1958</v>
      </c>
      <c r="L1790" t="s">
        <v>26</v>
      </c>
      <c r="M1790">
        <v>340693</v>
      </c>
      <c r="N1790">
        <v>1</v>
      </c>
      <c r="O1790" s="3">
        <v>79950</v>
      </c>
      <c r="P1790" s="3">
        <v>26951</v>
      </c>
      <c r="Q1790" s="5">
        <f t="shared" si="81"/>
        <v>67184.873949579836</v>
      </c>
      <c r="R1790" s="5">
        <f t="shared" si="82"/>
        <v>26951</v>
      </c>
      <c r="S1790" s="5">
        <f t="shared" si="83"/>
        <v>40233.873949579836</v>
      </c>
    </row>
    <row r="1791" spans="1:19" hidden="1" x14ac:dyDescent="0.3">
      <c r="A1791">
        <v>130</v>
      </c>
      <c r="B1791" t="s">
        <v>2244</v>
      </c>
      <c r="C1791" t="s">
        <v>3411</v>
      </c>
      <c r="D1791" s="2" t="s">
        <v>3412</v>
      </c>
      <c r="E1791" t="s">
        <v>3283</v>
      </c>
      <c r="F1791" t="s">
        <v>20</v>
      </c>
      <c r="G1791" t="s">
        <v>21</v>
      </c>
      <c r="H1791" t="s">
        <v>2494</v>
      </c>
      <c r="I1791" t="s">
        <v>23</v>
      </c>
      <c r="J1791" t="s">
        <v>40</v>
      </c>
      <c r="K1791" s="2" t="s">
        <v>1958</v>
      </c>
      <c r="L1791" t="s">
        <v>26</v>
      </c>
      <c r="M1791">
        <v>340694</v>
      </c>
      <c r="N1791">
        <v>1</v>
      </c>
      <c r="O1791" s="3">
        <v>69950</v>
      </c>
      <c r="P1791" s="3">
        <v>23470</v>
      </c>
      <c r="Q1791" s="5">
        <f t="shared" si="81"/>
        <v>58781.512605042022</v>
      </c>
      <c r="R1791" s="5">
        <f t="shared" si="82"/>
        <v>23470</v>
      </c>
      <c r="S1791" s="5">
        <f t="shared" si="83"/>
        <v>35311.512605042022</v>
      </c>
    </row>
    <row r="1792" spans="1:19" hidden="1" x14ac:dyDescent="0.3">
      <c r="A1792">
        <v>130</v>
      </c>
      <c r="B1792" t="s">
        <v>2244</v>
      </c>
      <c r="C1792" t="s">
        <v>3401</v>
      </c>
      <c r="D1792" s="2" t="s">
        <v>3402</v>
      </c>
      <c r="E1792" t="s">
        <v>3403</v>
      </c>
      <c r="F1792" t="s">
        <v>377</v>
      </c>
      <c r="G1792" t="s">
        <v>21</v>
      </c>
      <c r="H1792" t="s">
        <v>378</v>
      </c>
      <c r="I1792" t="s">
        <v>23</v>
      </c>
      <c r="J1792" t="s">
        <v>3297</v>
      </c>
      <c r="K1792" s="2" t="s">
        <v>1958</v>
      </c>
      <c r="L1792" t="s">
        <v>26</v>
      </c>
      <c r="M1792">
        <v>340694</v>
      </c>
      <c r="N1792">
        <v>1</v>
      </c>
      <c r="O1792">
        <v>500</v>
      </c>
      <c r="P1792">
        <v>418</v>
      </c>
      <c r="Q1792" s="5">
        <f t="shared" si="81"/>
        <v>420.1680672268908</v>
      </c>
      <c r="R1792" s="5">
        <f t="shared" si="82"/>
        <v>418</v>
      </c>
      <c r="S1792" s="5">
        <f t="shared" si="83"/>
        <v>2.1680672268907983</v>
      </c>
    </row>
    <row r="1793" spans="1:19" hidden="1" x14ac:dyDescent="0.3">
      <c r="A1793">
        <v>130</v>
      </c>
      <c r="B1793" t="s">
        <v>2244</v>
      </c>
      <c r="C1793" t="s">
        <v>2822</v>
      </c>
      <c r="D1793" s="2" t="s">
        <v>2823</v>
      </c>
      <c r="E1793" t="s">
        <v>2382</v>
      </c>
      <c r="F1793" t="s">
        <v>20</v>
      </c>
      <c r="G1793" t="s">
        <v>21</v>
      </c>
      <c r="H1793" t="s">
        <v>2379</v>
      </c>
      <c r="I1793" t="s">
        <v>23</v>
      </c>
      <c r="J1793" t="s">
        <v>40</v>
      </c>
      <c r="K1793" s="2" t="s">
        <v>1958</v>
      </c>
      <c r="L1793" t="s">
        <v>26</v>
      </c>
      <c r="M1793">
        <v>340695</v>
      </c>
      <c r="N1793">
        <v>1</v>
      </c>
      <c r="O1793" s="3">
        <v>34990</v>
      </c>
      <c r="P1793" s="3">
        <v>13135</v>
      </c>
      <c r="Q1793" s="5">
        <f t="shared" si="81"/>
        <v>29403.361344537818</v>
      </c>
      <c r="R1793" s="5">
        <f t="shared" si="82"/>
        <v>13135</v>
      </c>
      <c r="S1793" s="5">
        <f t="shared" si="83"/>
        <v>16268.361344537818</v>
      </c>
    </row>
    <row r="1794" spans="1:19" hidden="1" x14ac:dyDescent="0.3">
      <c r="A1794">
        <v>130</v>
      </c>
      <c r="B1794" t="s">
        <v>2244</v>
      </c>
      <c r="C1794">
        <v>1687976791</v>
      </c>
      <c r="D1794" s="2" t="s">
        <v>200</v>
      </c>
      <c r="E1794" t="s">
        <v>201</v>
      </c>
      <c r="F1794" t="s">
        <v>201</v>
      </c>
      <c r="G1794" t="s">
        <v>202</v>
      </c>
      <c r="H1794" t="s">
        <v>202</v>
      </c>
      <c r="I1794" t="s">
        <v>23</v>
      </c>
      <c r="J1794" t="s">
        <v>202</v>
      </c>
      <c r="K1794" s="2" t="s">
        <v>1958</v>
      </c>
      <c r="L1794" t="s">
        <v>26</v>
      </c>
      <c r="M1794">
        <v>340695</v>
      </c>
      <c r="N1794">
        <v>1</v>
      </c>
      <c r="O1794" s="3">
        <v>3400</v>
      </c>
      <c r="P1794">
        <v>1</v>
      </c>
      <c r="Q1794" s="5">
        <f t="shared" si="81"/>
        <v>2857.1428571428573</v>
      </c>
      <c r="R1794" s="5">
        <f t="shared" si="82"/>
        <v>1</v>
      </c>
      <c r="S1794" s="5">
        <f t="shared" si="83"/>
        <v>2856.1428571428573</v>
      </c>
    </row>
    <row r="1795" spans="1:19" hidden="1" x14ac:dyDescent="0.3">
      <c r="A1795">
        <v>130</v>
      </c>
      <c r="B1795" t="s">
        <v>2244</v>
      </c>
      <c r="C1795" t="s">
        <v>3413</v>
      </c>
      <c r="D1795" s="2" t="s">
        <v>3414</v>
      </c>
      <c r="E1795" t="s">
        <v>3415</v>
      </c>
      <c r="F1795" t="s">
        <v>20</v>
      </c>
      <c r="G1795" t="s">
        <v>21</v>
      </c>
      <c r="H1795" t="s">
        <v>2745</v>
      </c>
      <c r="I1795" t="s">
        <v>23</v>
      </c>
      <c r="J1795" t="s">
        <v>35</v>
      </c>
      <c r="K1795" s="2" t="s">
        <v>1958</v>
      </c>
      <c r="L1795" t="s">
        <v>26</v>
      </c>
      <c r="M1795">
        <v>340696</v>
      </c>
      <c r="N1795">
        <v>1</v>
      </c>
      <c r="O1795" s="3">
        <v>99950</v>
      </c>
      <c r="P1795" s="3">
        <v>33200</v>
      </c>
      <c r="Q1795" s="5">
        <f t="shared" si="81"/>
        <v>83991.596638655465</v>
      </c>
      <c r="R1795" s="5">
        <f t="shared" si="82"/>
        <v>33200</v>
      </c>
      <c r="S1795" s="5">
        <f t="shared" si="83"/>
        <v>50791.596638655465</v>
      </c>
    </row>
    <row r="1796" spans="1:19" hidden="1" x14ac:dyDescent="0.3">
      <c r="A1796">
        <v>130</v>
      </c>
      <c r="B1796" t="s">
        <v>2244</v>
      </c>
      <c r="C1796" t="s">
        <v>3416</v>
      </c>
      <c r="D1796" s="2" t="s">
        <v>3417</v>
      </c>
      <c r="E1796" t="s">
        <v>3418</v>
      </c>
      <c r="F1796" t="s">
        <v>20</v>
      </c>
      <c r="G1796" t="s">
        <v>21</v>
      </c>
      <c r="H1796" t="s">
        <v>1418</v>
      </c>
      <c r="I1796" t="s">
        <v>23</v>
      </c>
      <c r="J1796" t="s">
        <v>35</v>
      </c>
      <c r="K1796" s="2" t="s">
        <v>1958</v>
      </c>
      <c r="L1796" t="s">
        <v>26</v>
      </c>
      <c r="M1796">
        <v>340696</v>
      </c>
      <c r="N1796">
        <v>-1</v>
      </c>
      <c r="O1796" s="3">
        <v>-94950</v>
      </c>
      <c r="P1796" s="3">
        <v>30749</v>
      </c>
      <c r="Q1796" s="5">
        <f t="shared" si="81"/>
        <v>-79789.915966386558</v>
      </c>
      <c r="R1796" s="5">
        <f t="shared" si="82"/>
        <v>-30749</v>
      </c>
      <c r="S1796" s="5">
        <f t="shared" si="83"/>
        <v>-49040.915966386558</v>
      </c>
    </row>
    <row r="1797" spans="1:19" hidden="1" x14ac:dyDescent="0.3">
      <c r="A1797">
        <v>130</v>
      </c>
      <c r="B1797" t="s">
        <v>2244</v>
      </c>
      <c r="C1797" t="s">
        <v>3419</v>
      </c>
      <c r="D1797" s="2" t="s">
        <v>3420</v>
      </c>
      <c r="E1797" t="s">
        <v>3421</v>
      </c>
      <c r="F1797" t="s">
        <v>20</v>
      </c>
      <c r="G1797" t="s">
        <v>21</v>
      </c>
      <c r="H1797" t="s">
        <v>1755</v>
      </c>
      <c r="I1797" t="s">
        <v>23</v>
      </c>
      <c r="J1797" t="s">
        <v>35</v>
      </c>
      <c r="K1797" s="2" t="s">
        <v>1958</v>
      </c>
      <c r="L1797" t="s">
        <v>26</v>
      </c>
      <c r="M1797">
        <v>340697</v>
      </c>
      <c r="N1797">
        <v>-1</v>
      </c>
      <c r="O1797" s="3">
        <v>-59990</v>
      </c>
      <c r="P1797" s="3">
        <v>28298</v>
      </c>
      <c r="Q1797" s="5">
        <f t="shared" si="81"/>
        <v>-50411.764705882357</v>
      </c>
      <c r="R1797" s="5">
        <f t="shared" si="82"/>
        <v>-28298</v>
      </c>
      <c r="S1797" s="5">
        <f t="shared" si="83"/>
        <v>-22113.764705882357</v>
      </c>
    </row>
    <row r="1798" spans="1:19" hidden="1" x14ac:dyDescent="0.3">
      <c r="A1798">
        <v>130</v>
      </c>
      <c r="B1798" t="s">
        <v>2244</v>
      </c>
      <c r="C1798" t="s">
        <v>2772</v>
      </c>
      <c r="D1798" s="2" t="s">
        <v>2773</v>
      </c>
      <c r="E1798" t="s">
        <v>2771</v>
      </c>
      <c r="F1798" t="s">
        <v>20</v>
      </c>
      <c r="G1798" t="s">
        <v>21</v>
      </c>
      <c r="H1798" t="s">
        <v>57</v>
      </c>
      <c r="I1798" t="s">
        <v>23</v>
      </c>
      <c r="J1798" t="s">
        <v>35</v>
      </c>
      <c r="K1798" s="2" t="s">
        <v>1958</v>
      </c>
      <c r="L1798" t="s">
        <v>26</v>
      </c>
      <c r="M1798">
        <v>340697</v>
      </c>
      <c r="N1798">
        <v>1</v>
      </c>
      <c r="O1798" s="3">
        <v>79990</v>
      </c>
      <c r="P1798" s="3">
        <v>29189</v>
      </c>
      <c r="Q1798" s="5">
        <f t="shared" ref="Q1798:Q1861" si="84">O1798/1.19</f>
        <v>67218.487394957992</v>
      </c>
      <c r="R1798" s="5">
        <f t="shared" ref="R1798:R1861" si="85">N1798*P1798</f>
        <v>29189</v>
      </c>
      <c r="S1798" s="5">
        <f t="shared" ref="S1798:S1861" si="86">Q1798-R1798</f>
        <v>38029.487394957992</v>
      </c>
    </row>
    <row r="1799" spans="1:19" hidden="1" x14ac:dyDescent="0.3">
      <c r="A1799">
        <v>130</v>
      </c>
      <c r="B1799" t="s">
        <v>2244</v>
      </c>
      <c r="C1799" t="s">
        <v>2739</v>
      </c>
      <c r="D1799" s="2" t="s">
        <v>2740</v>
      </c>
      <c r="E1799" t="s">
        <v>2741</v>
      </c>
      <c r="F1799" t="s">
        <v>20</v>
      </c>
      <c r="G1799" t="s">
        <v>21</v>
      </c>
      <c r="H1799" t="s">
        <v>2494</v>
      </c>
      <c r="I1799" t="s">
        <v>23</v>
      </c>
      <c r="J1799" t="s">
        <v>40</v>
      </c>
      <c r="K1799" s="2" t="s">
        <v>1958</v>
      </c>
      <c r="L1799" t="s">
        <v>26</v>
      </c>
      <c r="M1799">
        <v>340698</v>
      </c>
      <c r="N1799">
        <v>1</v>
      </c>
      <c r="O1799" s="3">
        <v>69950</v>
      </c>
      <c r="P1799" s="3">
        <v>23470</v>
      </c>
      <c r="Q1799" s="5">
        <f t="shared" si="84"/>
        <v>58781.512605042022</v>
      </c>
      <c r="R1799" s="5">
        <f t="shared" si="85"/>
        <v>23470</v>
      </c>
      <c r="S1799" s="5">
        <f t="shared" si="86"/>
        <v>35311.512605042022</v>
      </c>
    </row>
    <row r="1800" spans="1:19" hidden="1" x14ac:dyDescent="0.3">
      <c r="A1800">
        <v>130</v>
      </c>
      <c r="B1800" t="s">
        <v>2244</v>
      </c>
      <c r="C1800" t="s">
        <v>3422</v>
      </c>
      <c r="D1800" s="2" t="s">
        <v>3423</v>
      </c>
      <c r="E1800" t="s">
        <v>3424</v>
      </c>
      <c r="F1800" t="s">
        <v>20</v>
      </c>
      <c r="G1800" t="s">
        <v>338</v>
      </c>
      <c r="H1800">
        <v>23709</v>
      </c>
      <c r="I1800" t="s">
        <v>23</v>
      </c>
      <c r="J1800" t="s">
        <v>40</v>
      </c>
      <c r="K1800" s="2" t="s">
        <v>1958</v>
      </c>
      <c r="L1800" t="s">
        <v>26</v>
      </c>
      <c r="M1800">
        <v>340698</v>
      </c>
      <c r="N1800">
        <v>1</v>
      </c>
      <c r="O1800" s="3">
        <v>79950</v>
      </c>
      <c r="P1800" s="3">
        <v>27728</v>
      </c>
      <c r="Q1800" s="5">
        <f t="shared" si="84"/>
        <v>67184.873949579836</v>
      </c>
      <c r="R1800" s="5">
        <f t="shared" si="85"/>
        <v>27728</v>
      </c>
      <c r="S1800" s="5">
        <f t="shared" si="86"/>
        <v>39456.873949579836</v>
      </c>
    </row>
    <row r="1801" spans="1:19" hidden="1" x14ac:dyDescent="0.3">
      <c r="A1801">
        <v>130</v>
      </c>
      <c r="B1801" t="s">
        <v>2244</v>
      </c>
      <c r="C1801" t="s">
        <v>3425</v>
      </c>
      <c r="D1801" s="2" t="s">
        <v>3426</v>
      </c>
      <c r="E1801" t="s">
        <v>1404</v>
      </c>
      <c r="F1801" t="s">
        <v>20</v>
      </c>
      <c r="G1801" t="s">
        <v>21</v>
      </c>
      <c r="H1801" t="s">
        <v>1405</v>
      </c>
      <c r="I1801" t="s">
        <v>23</v>
      </c>
      <c r="J1801" t="s">
        <v>40</v>
      </c>
      <c r="K1801" s="2" t="s">
        <v>1958</v>
      </c>
      <c r="L1801" t="s">
        <v>26</v>
      </c>
      <c r="M1801">
        <v>340699</v>
      </c>
      <c r="N1801">
        <v>1</v>
      </c>
      <c r="O1801" s="3">
        <v>49950</v>
      </c>
      <c r="P1801" s="3">
        <v>13302</v>
      </c>
      <c r="Q1801" s="5">
        <f t="shared" si="84"/>
        <v>41974.789915966387</v>
      </c>
      <c r="R1801" s="5">
        <f t="shared" si="85"/>
        <v>13302</v>
      </c>
      <c r="S1801" s="5">
        <f t="shared" si="86"/>
        <v>28672.789915966387</v>
      </c>
    </row>
    <row r="1802" spans="1:19" hidden="1" x14ac:dyDescent="0.3">
      <c r="A1802">
        <v>130</v>
      </c>
      <c r="B1802" t="s">
        <v>2244</v>
      </c>
      <c r="C1802" t="s">
        <v>3427</v>
      </c>
      <c r="D1802" s="2" t="s">
        <v>3428</v>
      </c>
      <c r="E1802" t="s">
        <v>2865</v>
      </c>
      <c r="F1802" t="s">
        <v>20</v>
      </c>
      <c r="G1802" t="s">
        <v>21</v>
      </c>
      <c r="H1802" t="s">
        <v>57</v>
      </c>
      <c r="I1802" t="s">
        <v>23</v>
      </c>
      <c r="J1802" t="s">
        <v>35</v>
      </c>
      <c r="K1802" s="2" t="s">
        <v>1958</v>
      </c>
      <c r="L1802" t="s">
        <v>26</v>
      </c>
      <c r="M1802">
        <v>340700</v>
      </c>
      <c r="N1802">
        <v>1</v>
      </c>
      <c r="O1802" s="3">
        <v>79990</v>
      </c>
      <c r="P1802" s="3">
        <v>29189</v>
      </c>
      <c r="Q1802" s="5">
        <f t="shared" si="84"/>
        <v>67218.487394957992</v>
      </c>
      <c r="R1802" s="5">
        <f t="shared" si="85"/>
        <v>29189</v>
      </c>
      <c r="S1802" s="5">
        <f t="shared" si="86"/>
        <v>38029.487394957992</v>
      </c>
    </row>
    <row r="1803" spans="1:19" hidden="1" x14ac:dyDescent="0.3">
      <c r="A1803">
        <v>130</v>
      </c>
      <c r="B1803" t="s">
        <v>2244</v>
      </c>
      <c r="C1803" t="s">
        <v>3401</v>
      </c>
      <c r="D1803" s="2" t="s">
        <v>3402</v>
      </c>
      <c r="E1803" t="s">
        <v>3403</v>
      </c>
      <c r="F1803" t="s">
        <v>377</v>
      </c>
      <c r="G1803" t="s">
        <v>21</v>
      </c>
      <c r="H1803" t="s">
        <v>378</v>
      </c>
      <c r="I1803" t="s">
        <v>23</v>
      </c>
      <c r="J1803" t="s">
        <v>3297</v>
      </c>
      <c r="K1803" s="2" t="s">
        <v>1958</v>
      </c>
      <c r="L1803" t="s">
        <v>26</v>
      </c>
      <c r="M1803">
        <v>340700</v>
      </c>
      <c r="N1803">
        <v>1</v>
      </c>
      <c r="O1803">
        <v>500</v>
      </c>
      <c r="P1803">
        <v>418</v>
      </c>
      <c r="Q1803" s="5">
        <f t="shared" si="84"/>
        <v>420.1680672268908</v>
      </c>
      <c r="R1803" s="5">
        <f t="shared" si="85"/>
        <v>418</v>
      </c>
      <c r="S1803" s="5">
        <f t="shared" si="86"/>
        <v>2.1680672268907983</v>
      </c>
    </row>
    <row r="1804" spans="1:19" hidden="1" x14ac:dyDescent="0.3">
      <c r="A1804">
        <v>130</v>
      </c>
      <c r="B1804" t="s">
        <v>2244</v>
      </c>
      <c r="C1804" t="s">
        <v>3429</v>
      </c>
      <c r="D1804" s="2" t="s">
        <v>3430</v>
      </c>
      <c r="E1804" t="s">
        <v>2433</v>
      </c>
      <c r="F1804" t="s">
        <v>20</v>
      </c>
      <c r="G1804" t="s">
        <v>338</v>
      </c>
      <c r="H1804">
        <v>24722</v>
      </c>
      <c r="I1804" t="s">
        <v>23</v>
      </c>
      <c r="J1804" t="s">
        <v>95</v>
      </c>
      <c r="K1804" s="2" t="s">
        <v>1958</v>
      </c>
      <c r="L1804" t="s">
        <v>26</v>
      </c>
      <c r="M1804">
        <v>340701</v>
      </c>
      <c r="N1804">
        <v>1</v>
      </c>
      <c r="O1804" s="3">
        <v>89950</v>
      </c>
      <c r="P1804" s="3">
        <v>30987</v>
      </c>
      <c r="Q1804" s="5">
        <f t="shared" si="84"/>
        <v>75588.23529411765</v>
      </c>
      <c r="R1804" s="5">
        <f t="shared" si="85"/>
        <v>30987</v>
      </c>
      <c r="S1804" s="5">
        <f t="shared" si="86"/>
        <v>44601.23529411765</v>
      </c>
    </row>
    <row r="1805" spans="1:19" hidden="1" x14ac:dyDescent="0.3">
      <c r="A1805">
        <v>130</v>
      </c>
      <c r="B1805" t="s">
        <v>2244</v>
      </c>
      <c r="C1805" t="s">
        <v>1712</v>
      </c>
      <c r="D1805" s="2" t="s">
        <v>1713</v>
      </c>
      <c r="E1805" t="s">
        <v>1714</v>
      </c>
      <c r="F1805" t="s">
        <v>20</v>
      </c>
      <c r="G1805" t="s">
        <v>338</v>
      </c>
      <c r="H1805">
        <v>23727</v>
      </c>
      <c r="I1805" t="s">
        <v>23</v>
      </c>
      <c r="J1805" t="s">
        <v>40</v>
      </c>
      <c r="K1805" s="2" t="s">
        <v>2093</v>
      </c>
      <c r="L1805" t="s">
        <v>26</v>
      </c>
      <c r="M1805">
        <v>340702</v>
      </c>
      <c r="N1805">
        <v>1</v>
      </c>
      <c r="O1805" s="3">
        <v>49990</v>
      </c>
      <c r="P1805" s="3">
        <v>26539</v>
      </c>
      <c r="Q1805" s="5">
        <f t="shared" si="84"/>
        <v>42008.403361344543</v>
      </c>
      <c r="R1805" s="5">
        <f t="shared" si="85"/>
        <v>26539</v>
      </c>
      <c r="S1805" s="5">
        <f t="shared" si="86"/>
        <v>15469.403361344543</v>
      </c>
    </row>
    <row r="1806" spans="1:19" hidden="1" x14ac:dyDescent="0.3">
      <c r="A1806">
        <v>130</v>
      </c>
      <c r="B1806" t="s">
        <v>2244</v>
      </c>
      <c r="C1806" t="s">
        <v>3431</v>
      </c>
      <c r="D1806" s="2" t="s">
        <v>3432</v>
      </c>
      <c r="E1806" t="s">
        <v>3433</v>
      </c>
      <c r="F1806" t="s">
        <v>20</v>
      </c>
      <c r="G1806" t="s">
        <v>338</v>
      </c>
      <c r="H1806">
        <v>23732</v>
      </c>
      <c r="I1806" t="s">
        <v>23</v>
      </c>
      <c r="J1806" t="s">
        <v>40</v>
      </c>
      <c r="K1806" s="2" t="s">
        <v>2093</v>
      </c>
      <c r="L1806" t="s">
        <v>26</v>
      </c>
      <c r="M1806">
        <v>340702</v>
      </c>
      <c r="N1806">
        <v>1</v>
      </c>
      <c r="O1806" s="3">
        <v>59990</v>
      </c>
      <c r="P1806" s="3">
        <v>26539</v>
      </c>
      <c r="Q1806" s="5">
        <f t="shared" si="84"/>
        <v>50411.764705882357</v>
      </c>
      <c r="R1806" s="5">
        <f t="shared" si="85"/>
        <v>26539</v>
      </c>
      <c r="S1806" s="5">
        <f t="shared" si="86"/>
        <v>23872.764705882357</v>
      </c>
    </row>
    <row r="1807" spans="1:19" hidden="1" x14ac:dyDescent="0.3">
      <c r="A1807">
        <v>130</v>
      </c>
      <c r="B1807" t="s">
        <v>2244</v>
      </c>
      <c r="C1807" t="s">
        <v>62</v>
      </c>
      <c r="D1807" s="2" t="s">
        <v>63</v>
      </c>
      <c r="E1807" t="s">
        <v>64</v>
      </c>
      <c r="F1807" t="s">
        <v>20</v>
      </c>
      <c r="G1807" t="s">
        <v>21</v>
      </c>
      <c r="H1807" t="s">
        <v>65</v>
      </c>
      <c r="I1807" t="s">
        <v>23</v>
      </c>
      <c r="J1807" t="s">
        <v>49</v>
      </c>
      <c r="K1807" s="2" t="s">
        <v>2093</v>
      </c>
      <c r="L1807" t="s">
        <v>26</v>
      </c>
      <c r="M1807">
        <v>340703</v>
      </c>
      <c r="N1807">
        <v>1</v>
      </c>
      <c r="O1807" s="3">
        <v>49990</v>
      </c>
      <c r="P1807" s="3">
        <v>23707</v>
      </c>
      <c r="Q1807" s="5">
        <f t="shared" si="84"/>
        <v>42008.403361344543</v>
      </c>
      <c r="R1807" s="5">
        <f t="shared" si="85"/>
        <v>23707</v>
      </c>
      <c r="S1807" s="5">
        <f t="shared" si="86"/>
        <v>18301.403361344543</v>
      </c>
    </row>
    <row r="1808" spans="1:19" hidden="1" x14ac:dyDescent="0.3">
      <c r="A1808">
        <v>130</v>
      </c>
      <c r="B1808" t="s">
        <v>2244</v>
      </c>
      <c r="C1808" t="s">
        <v>3434</v>
      </c>
      <c r="D1808" s="2" t="s">
        <v>3435</v>
      </c>
      <c r="E1808" t="s">
        <v>2370</v>
      </c>
      <c r="F1808" t="s">
        <v>20</v>
      </c>
      <c r="G1808" t="s">
        <v>338</v>
      </c>
      <c r="H1808">
        <v>24200</v>
      </c>
      <c r="I1808" t="s">
        <v>23</v>
      </c>
      <c r="J1808" t="s">
        <v>95</v>
      </c>
      <c r="K1808" s="2" t="s">
        <v>2093</v>
      </c>
      <c r="L1808" t="s">
        <v>26</v>
      </c>
      <c r="M1808">
        <v>340703</v>
      </c>
      <c r="N1808">
        <v>-1</v>
      </c>
      <c r="O1808" s="3">
        <v>-84950</v>
      </c>
      <c r="P1808" s="3">
        <v>28401</v>
      </c>
      <c r="Q1808" s="5">
        <f t="shared" si="84"/>
        <v>-71386.554621848743</v>
      </c>
      <c r="R1808" s="5">
        <f t="shared" si="85"/>
        <v>-28401</v>
      </c>
      <c r="S1808" s="5">
        <f t="shared" si="86"/>
        <v>-42985.554621848743</v>
      </c>
    </row>
    <row r="1809" spans="1:19" hidden="1" x14ac:dyDescent="0.3">
      <c r="A1809">
        <v>130</v>
      </c>
      <c r="B1809" t="s">
        <v>2244</v>
      </c>
      <c r="C1809" t="s">
        <v>3436</v>
      </c>
      <c r="D1809" s="2" t="s">
        <v>3437</v>
      </c>
      <c r="E1809" t="s">
        <v>3438</v>
      </c>
      <c r="F1809" t="s">
        <v>20</v>
      </c>
      <c r="G1809" t="s">
        <v>338</v>
      </c>
      <c r="H1809">
        <v>83707</v>
      </c>
      <c r="I1809" t="s">
        <v>23</v>
      </c>
      <c r="J1809" t="s">
        <v>40</v>
      </c>
      <c r="K1809" s="2" t="s">
        <v>2093</v>
      </c>
      <c r="L1809" t="s">
        <v>26</v>
      </c>
      <c r="M1809">
        <v>340703</v>
      </c>
      <c r="N1809">
        <v>1</v>
      </c>
      <c r="O1809" s="3">
        <v>89950</v>
      </c>
      <c r="P1809" s="3">
        <v>30263</v>
      </c>
      <c r="Q1809" s="5">
        <f t="shared" si="84"/>
        <v>75588.23529411765</v>
      </c>
      <c r="R1809" s="5">
        <f t="shared" si="85"/>
        <v>30263</v>
      </c>
      <c r="S1809" s="5">
        <f t="shared" si="86"/>
        <v>45325.23529411765</v>
      </c>
    </row>
    <row r="1810" spans="1:19" hidden="1" x14ac:dyDescent="0.3">
      <c r="A1810">
        <v>130</v>
      </c>
      <c r="B1810" t="s">
        <v>2244</v>
      </c>
      <c r="C1810" t="s">
        <v>3101</v>
      </c>
      <c r="D1810" s="2" t="s">
        <v>3102</v>
      </c>
      <c r="E1810" t="s">
        <v>2566</v>
      </c>
      <c r="F1810" t="s">
        <v>20</v>
      </c>
      <c r="G1810" t="s">
        <v>21</v>
      </c>
      <c r="H1810" t="s">
        <v>1689</v>
      </c>
      <c r="I1810" t="s">
        <v>23</v>
      </c>
      <c r="J1810" t="s">
        <v>49</v>
      </c>
      <c r="K1810" s="2" t="s">
        <v>2093</v>
      </c>
      <c r="L1810" t="s">
        <v>26</v>
      </c>
      <c r="M1810">
        <v>340704</v>
      </c>
      <c r="N1810">
        <v>1</v>
      </c>
      <c r="O1810" s="3">
        <v>89950</v>
      </c>
      <c r="P1810" s="3">
        <v>37901</v>
      </c>
      <c r="Q1810" s="5">
        <f t="shared" si="84"/>
        <v>75588.23529411765</v>
      </c>
      <c r="R1810" s="5">
        <f t="shared" si="85"/>
        <v>37901</v>
      </c>
      <c r="S1810" s="5">
        <f t="shared" si="86"/>
        <v>37687.23529411765</v>
      </c>
    </row>
    <row r="1811" spans="1:19" hidden="1" x14ac:dyDescent="0.3">
      <c r="A1811">
        <v>130</v>
      </c>
      <c r="B1811" t="s">
        <v>2244</v>
      </c>
      <c r="C1811" t="s">
        <v>3439</v>
      </c>
      <c r="D1811" s="2" t="s">
        <v>3440</v>
      </c>
      <c r="E1811" t="s">
        <v>2076</v>
      </c>
      <c r="F1811" t="s">
        <v>20</v>
      </c>
      <c r="G1811" t="s">
        <v>338</v>
      </c>
      <c r="H1811">
        <v>83726</v>
      </c>
      <c r="I1811" t="s">
        <v>23</v>
      </c>
      <c r="J1811" t="s">
        <v>40</v>
      </c>
      <c r="K1811" s="2" t="s">
        <v>2093</v>
      </c>
      <c r="L1811" t="s">
        <v>26</v>
      </c>
      <c r="M1811">
        <v>340705</v>
      </c>
      <c r="N1811">
        <v>1</v>
      </c>
      <c r="O1811" s="3">
        <v>69990</v>
      </c>
      <c r="P1811" s="3">
        <v>30263</v>
      </c>
      <c r="Q1811" s="5">
        <f t="shared" si="84"/>
        <v>58815.126050420171</v>
      </c>
      <c r="R1811" s="5">
        <f t="shared" si="85"/>
        <v>30263</v>
      </c>
      <c r="S1811" s="5">
        <f t="shared" si="86"/>
        <v>28552.126050420171</v>
      </c>
    </row>
    <row r="1812" spans="1:19" hidden="1" x14ac:dyDescent="0.3">
      <c r="A1812">
        <v>130</v>
      </c>
      <c r="B1812" t="s">
        <v>2244</v>
      </c>
      <c r="C1812" t="s">
        <v>3097</v>
      </c>
      <c r="D1812" s="2" t="s">
        <v>3098</v>
      </c>
      <c r="E1812" t="s">
        <v>1791</v>
      </c>
      <c r="F1812" t="s">
        <v>20</v>
      </c>
      <c r="G1812" t="s">
        <v>21</v>
      </c>
      <c r="H1812" t="s">
        <v>742</v>
      </c>
      <c r="I1812" t="s">
        <v>23</v>
      </c>
      <c r="J1812" t="s">
        <v>40</v>
      </c>
      <c r="K1812" s="2" t="s">
        <v>2093</v>
      </c>
      <c r="L1812" t="s">
        <v>26</v>
      </c>
      <c r="M1812">
        <v>340706</v>
      </c>
      <c r="N1812">
        <v>1</v>
      </c>
      <c r="O1812" s="3">
        <v>69990</v>
      </c>
      <c r="P1812" s="3">
        <v>26560</v>
      </c>
      <c r="Q1812" s="5">
        <f t="shared" si="84"/>
        <v>58815.126050420171</v>
      </c>
      <c r="R1812" s="5">
        <f t="shared" si="85"/>
        <v>26560</v>
      </c>
      <c r="S1812" s="5">
        <f t="shared" si="86"/>
        <v>32255.126050420171</v>
      </c>
    </row>
    <row r="1813" spans="1:19" hidden="1" x14ac:dyDescent="0.3">
      <c r="A1813">
        <v>130</v>
      </c>
      <c r="B1813" t="s">
        <v>2244</v>
      </c>
      <c r="C1813" t="s">
        <v>3441</v>
      </c>
      <c r="D1813" s="2" t="s">
        <v>3442</v>
      </c>
      <c r="E1813" t="s">
        <v>3283</v>
      </c>
      <c r="F1813" t="s">
        <v>20</v>
      </c>
      <c r="G1813" t="s">
        <v>21</v>
      </c>
      <c r="H1813" t="s">
        <v>2494</v>
      </c>
      <c r="I1813" t="s">
        <v>23</v>
      </c>
      <c r="J1813" t="s">
        <v>40</v>
      </c>
      <c r="K1813" s="2" t="s">
        <v>2093</v>
      </c>
      <c r="L1813" t="s">
        <v>26</v>
      </c>
      <c r="M1813">
        <v>340707</v>
      </c>
      <c r="N1813">
        <v>1</v>
      </c>
      <c r="O1813" s="3">
        <v>69950</v>
      </c>
      <c r="P1813" s="3">
        <v>23470</v>
      </c>
      <c r="Q1813" s="5">
        <f t="shared" si="84"/>
        <v>58781.512605042022</v>
      </c>
      <c r="R1813" s="5">
        <f t="shared" si="85"/>
        <v>23470</v>
      </c>
      <c r="S1813" s="5">
        <f t="shared" si="86"/>
        <v>35311.512605042022</v>
      </c>
    </row>
    <row r="1814" spans="1:19" hidden="1" x14ac:dyDescent="0.3">
      <c r="A1814">
        <v>130</v>
      </c>
      <c r="B1814" t="s">
        <v>2244</v>
      </c>
      <c r="C1814" t="s">
        <v>3401</v>
      </c>
      <c r="D1814" s="2" t="s">
        <v>3402</v>
      </c>
      <c r="E1814" t="s">
        <v>3403</v>
      </c>
      <c r="F1814" t="s">
        <v>377</v>
      </c>
      <c r="G1814" t="s">
        <v>21</v>
      </c>
      <c r="H1814" t="s">
        <v>378</v>
      </c>
      <c r="I1814" t="s">
        <v>23</v>
      </c>
      <c r="J1814" t="s">
        <v>3297</v>
      </c>
      <c r="K1814" s="2" t="s">
        <v>2093</v>
      </c>
      <c r="L1814" t="s">
        <v>26</v>
      </c>
      <c r="M1814">
        <v>340707</v>
      </c>
      <c r="N1814">
        <v>1</v>
      </c>
      <c r="O1814">
        <v>500</v>
      </c>
      <c r="P1814">
        <v>418</v>
      </c>
      <c r="Q1814" s="5">
        <f t="shared" si="84"/>
        <v>420.1680672268908</v>
      </c>
      <c r="R1814" s="5">
        <f t="shared" si="85"/>
        <v>418</v>
      </c>
      <c r="S1814" s="5">
        <f t="shared" si="86"/>
        <v>2.1680672268907983</v>
      </c>
    </row>
    <row r="1815" spans="1:19" hidden="1" x14ac:dyDescent="0.3">
      <c r="A1815">
        <v>130</v>
      </c>
      <c r="B1815" t="s">
        <v>2244</v>
      </c>
      <c r="C1815" t="s">
        <v>3443</v>
      </c>
      <c r="D1815" s="2" t="s">
        <v>3444</v>
      </c>
      <c r="E1815" t="s">
        <v>1791</v>
      </c>
      <c r="F1815" t="s">
        <v>20</v>
      </c>
      <c r="G1815" t="s">
        <v>21</v>
      </c>
      <c r="H1815" t="s">
        <v>742</v>
      </c>
      <c r="I1815" t="s">
        <v>23</v>
      </c>
      <c r="J1815" t="s">
        <v>40</v>
      </c>
      <c r="K1815" s="2" t="s">
        <v>2093</v>
      </c>
      <c r="L1815" t="s">
        <v>26</v>
      </c>
      <c r="M1815">
        <v>340708</v>
      </c>
      <c r="N1815">
        <v>1</v>
      </c>
      <c r="O1815" s="3">
        <v>69990</v>
      </c>
      <c r="P1815" s="3">
        <v>26517</v>
      </c>
      <c r="Q1815" s="5">
        <f t="shared" si="84"/>
        <v>58815.126050420171</v>
      </c>
      <c r="R1815" s="5">
        <f t="shared" si="85"/>
        <v>26517</v>
      </c>
      <c r="S1815" s="5">
        <f t="shared" si="86"/>
        <v>32298.126050420171</v>
      </c>
    </row>
    <row r="1816" spans="1:19" hidden="1" x14ac:dyDescent="0.3">
      <c r="A1816">
        <v>130</v>
      </c>
      <c r="B1816" t="s">
        <v>2244</v>
      </c>
      <c r="C1816" t="s">
        <v>2390</v>
      </c>
      <c r="D1816" s="2" t="s">
        <v>2391</v>
      </c>
      <c r="E1816" t="s">
        <v>2392</v>
      </c>
      <c r="F1816" t="s">
        <v>20</v>
      </c>
      <c r="G1816" t="s">
        <v>21</v>
      </c>
      <c r="H1816" t="s">
        <v>573</v>
      </c>
      <c r="I1816" t="s">
        <v>23</v>
      </c>
      <c r="J1816" t="s">
        <v>49</v>
      </c>
      <c r="K1816" s="2" t="s">
        <v>2093</v>
      </c>
      <c r="L1816" t="s">
        <v>26</v>
      </c>
      <c r="M1816">
        <v>340709</v>
      </c>
      <c r="N1816">
        <v>-1</v>
      </c>
      <c r="O1816" s="3">
        <v>-44990</v>
      </c>
      <c r="P1816" s="3">
        <v>22646</v>
      </c>
      <c r="Q1816" s="5">
        <f t="shared" si="84"/>
        <v>-37806.722689075636</v>
      </c>
      <c r="R1816" s="5">
        <f t="shared" si="85"/>
        <v>-22646</v>
      </c>
      <c r="S1816" s="5">
        <f t="shared" si="86"/>
        <v>-15160.722689075636</v>
      </c>
    </row>
    <row r="1817" spans="1:19" hidden="1" x14ac:dyDescent="0.3">
      <c r="A1817">
        <v>130</v>
      </c>
      <c r="B1817" t="s">
        <v>2244</v>
      </c>
      <c r="C1817" t="s">
        <v>2774</v>
      </c>
      <c r="D1817" s="2" t="s">
        <v>2775</v>
      </c>
      <c r="E1817" t="s">
        <v>266</v>
      </c>
      <c r="F1817" t="s">
        <v>20</v>
      </c>
      <c r="G1817" t="s">
        <v>21</v>
      </c>
      <c r="H1817" t="s">
        <v>267</v>
      </c>
      <c r="I1817" t="s">
        <v>23</v>
      </c>
      <c r="J1817" t="s">
        <v>49</v>
      </c>
      <c r="K1817" s="2" t="s">
        <v>2093</v>
      </c>
      <c r="L1817" t="s">
        <v>26</v>
      </c>
      <c r="M1817">
        <v>340709</v>
      </c>
      <c r="N1817">
        <v>1</v>
      </c>
      <c r="O1817" s="3">
        <v>64950</v>
      </c>
      <c r="P1817" s="3">
        <v>24504</v>
      </c>
      <c r="Q1817" s="5">
        <f t="shared" si="84"/>
        <v>54579.831932773115</v>
      </c>
      <c r="R1817" s="5">
        <f t="shared" si="85"/>
        <v>24504</v>
      </c>
      <c r="S1817" s="5">
        <f t="shared" si="86"/>
        <v>30075.831932773115</v>
      </c>
    </row>
    <row r="1818" spans="1:19" hidden="1" x14ac:dyDescent="0.3">
      <c r="A1818">
        <v>130</v>
      </c>
      <c r="B1818" t="s">
        <v>2244</v>
      </c>
      <c r="C1818" t="s">
        <v>2356</v>
      </c>
      <c r="D1818" s="2" t="s">
        <v>2357</v>
      </c>
      <c r="E1818" t="s">
        <v>1858</v>
      </c>
      <c r="F1818" t="s">
        <v>20</v>
      </c>
      <c r="G1818" t="s">
        <v>21</v>
      </c>
      <c r="H1818" t="s">
        <v>1337</v>
      </c>
      <c r="I1818" t="s">
        <v>23</v>
      </c>
      <c r="J1818" t="s">
        <v>49</v>
      </c>
      <c r="K1818" s="2" t="s">
        <v>2093</v>
      </c>
      <c r="L1818" t="s">
        <v>26</v>
      </c>
      <c r="M1818">
        <v>340709</v>
      </c>
      <c r="N1818">
        <v>-1</v>
      </c>
      <c r="O1818" s="3">
        <v>-49990</v>
      </c>
      <c r="P1818" s="3">
        <v>19309</v>
      </c>
      <c r="Q1818" s="5">
        <f t="shared" si="84"/>
        <v>-42008.403361344543</v>
      </c>
      <c r="R1818" s="5">
        <f t="shared" si="85"/>
        <v>-19309</v>
      </c>
      <c r="S1818" s="5">
        <f t="shared" si="86"/>
        <v>-22699.403361344543</v>
      </c>
    </row>
    <row r="1819" spans="1:19" hidden="1" x14ac:dyDescent="0.3">
      <c r="A1819">
        <v>130</v>
      </c>
      <c r="B1819" t="s">
        <v>2244</v>
      </c>
      <c r="C1819" t="s">
        <v>2948</v>
      </c>
      <c r="D1819" s="2" t="s">
        <v>2949</v>
      </c>
      <c r="E1819" t="s">
        <v>2226</v>
      </c>
      <c r="F1819" t="s">
        <v>20</v>
      </c>
      <c r="G1819" t="s">
        <v>21</v>
      </c>
      <c r="H1819" t="s">
        <v>53</v>
      </c>
      <c r="I1819" t="s">
        <v>23</v>
      </c>
      <c r="J1819" t="s">
        <v>49</v>
      </c>
      <c r="K1819" s="2" t="s">
        <v>2093</v>
      </c>
      <c r="L1819" t="s">
        <v>26</v>
      </c>
      <c r="M1819">
        <v>340709</v>
      </c>
      <c r="N1819">
        <v>1</v>
      </c>
      <c r="O1819" s="3">
        <v>69950</v>
      </c>
      <c r="P1819" s="3">
        <v>21044</v>
      </c>
      <c r="Q1819" s="5">
        <f t="shared" si="84"/>
        <v>58781.512605042022</v>
      </c>
      <c r="R1819" s="5">
        <f t="shared" si="85"/>
        <v>21044</v>
      </c>
      <c r="S1819" s="5">
        <f t="shared" si="86"/>
        <v>37737.512605042022</v>
      </c>
    </row>
    <row r="1820" spans="1:19" hidden="1" x14ac:dyDescent="0.3">
      <c r="A1820">
        <v>130</v>
      </c>
      <c r="B1820" t="s">
        <v>2244</v>
      </c>
      <c r="C1820" t="s">
        <v>3445</v>
      </c>
      <c r="D1820" s="2" t="s">
        <v>3446</v>
      </c>
      <c r="E1820" t="s">
        <v>1501</v>
      </c>
      <c r="F1820" t="s">
        <v>20</v>
      </c>
      <c r="G1820" t="s">
        <v>21</v>
      </c>
      <c r="H1820" t="s">
        <v>742</v>
      </c>
      <c r="I1820" t="s">
        <v>23</v>
      </c>
      <c r="J1820" t="s">
        <v>40</v>
      </c>
      <c r="K1820" s="2" t="s">
        <v>2093</v>
      </c>
      <c r="L1820" t="s">
        <v>26</v>
      </c>
      <c r="M1820">
        <v>340710</v>
      </c>
      <c r="N1820">
        <v>1</v>
      </c>
      <c r="O1820" s="3">
        <v>69990</v>
      </c>
      <c r="P1820" s="3">
        <v>28723</v>
      </c>
      <c r="Q1820" s="5">
        <f t="shared" si="84"/>
        <v>58815.126050420171</v>
      </c>
      <c r="R1820" s="5">
        <f t="shared" si="85"/>
        <v>28723</v>
      </c>
      <c r="S1820" s="5">
        <f t="shared" si="86"/>
        <v>30092.126050420171</v>
      </c>
    </row>
    <row r="1821" spans="1:19" hidden="1" x14ac:dyDescent="0.3">
      <c r="A1821">
        <v>130</v>
      </c>
      <c r="B1821" t="s">
        <v>2244</v>
      </c>
      <c r="C1821" t="s">
        <v>3401</v>
      </c>
      <c r="D1821" s="2" t="s">
        <v>3402</v>
      </c>
      <c r="E1821" t="s">
        <v>3403</v>
      </c>
      <c r="F1821" t="s">
        <v>377</v>
      </c>
      <c r="G1821" t="s">
        <v>21</v>
      </c>
      <c r="H1821" t="s">
        <v>378</v>
      </c>
      <c r="I1821" t="s">
        <v>23</v>
      </c>
      <c r="J1821" t="s">
        <v>3297</v>
      </c>
      <c r="K1821" s="2" t="s">
        <v>2093</v>
      </c>
      <c r="L1821" t="s">
        <v>26</v>
      </c>
      <c r="M1821">
        <v>340710</v>
      </c>
      <c r="N1821">
        <v>1</v>
      </c>
      <c r="O1821">
        <v>500</v>
      </c>
      <c r="P1821">
        <v>418</v>
      </c>
      <c r="Q1821" s="5">
        <f t="shared" si="84"/>
        <v>420.1680672268908</v>
      </c>
      <c r="R1821" s="5">
        <f t="shared" si="85"/>
        <v>418</v>
      </c>
      <c r="S1821" s="5">
        <f t="shared" si="86"/>
        <v>2.1680672268907983</v>
      </c>
    </row>
    <row r="1822" spans="1:19" hidden="1" x14ac:dyDescent="0.3">
      <c r="A1822">
        <v>130</v>
      </c>
      <c r="B1822" t="s">
        <v>2244</v>
      </c>
      <c r="C1822" t="s">
        <v>3447</v>
      </c>
      <c r="D1822" s="2" t="s">
        <v>3448</v>
      </c>
      <c r="E1822" t="s">
        <v>3449</v>
      </c>
      <c r="F1822" t="s">
        <v>20</v>
      </c>
      <c r="G1822" t="s">
        <v>338</v>
      </c>
      <c r="H1822">
        <v>25366</v>
      </c>
      <c r="I1822" t="s">
        <v>23</v>
      </c>
      <c r="J1822" t="s">
        <v>35</v>
      </c>
      <c r="K1822" s="2" t="s">
        <v>2093</v>
      </c>
      <c r="L1822" t="s">
        <v>26</v>
      </c>
      <c r="M1822">
        <v>340711</v>
      </c>
      <c r="N1822">
        <v>1</v>
      </c>
      <c r="O1822" s="3">
        <v>99950</v>
      </c>
      <c r="P1822" s="3">
        <v>33157</v>
      </c>
      <c r="Q1822" s="5">
        <f t="shared" si="84"/>
        <v>83991.596638655465</v>
      </c>
      <c r="R1822" s="5">
        <f t="shared" si="85"/>
        <v>33157</v>
      </c>
      <c r="S1822" s="5">
        <f t="shared" si="86"/>
        <v>50834.596638655465</v>
      </c>
    </row>
    <row r="1823" spans="1:19" hidden="1" x14ac:dyDescent="0.3">
      <c r="A1823">
        <v>130</v>
      </c>
      <c r="B1823" t="s">
        <v>2244</v>
      </c>
      <c r="C1823" t="s">
        <v>3401</v>
      </c>
      <c r="D1823" s="2" t="s">
        <v>3402</v>
      </c>
      <c r="E1823" t="s">
        <v>3403</v>
      </c>
      <c r="F1823" t="s">
        <v>377</v>
      </c>
      <c r="G1823" t="s">
        <v>21</v>
      </c>
      <c r="H1823" t="s">
        <v>378</v>
      </c>
      <c r="I1823" t="s">
        <v>23</v>
      </c>
      <c r="J1823" t="s">
        <v>3297</v>
      </c>
      <c r="K1823" s="2" t="s">
        <v>2093</v>
      </c>
      <c r="L1823" t="s">
        <v>26</v>
      </c>
      <c r="M1823">
        <v>340711</v>
      </c>
      <c r="N1823">
        <v>1</v>
      </c>
      <c r="O1823">
        <v>500</v>
      </c>
      <c r="P1823">
        <v>418</v>
      </c>
      <c r="Q1823" s="5">
        <f t="shared" si="84"/>
        <v>420.1680672268908</v>
      </c>
      <c r="R1823" s="5">
        <f t="shared" si="85"/>
        <v>418</v>
      </c>
      <c r="S1823" s="5">
        <f t="shared" si="86"/>
        <v>2.1680672268907983</v>
      </c>
    </row>
    <row r="1824" spans="1:19" hidden="1" x14ac:dyDescent="0.3">
      <c r="A1824">
        <v>130</v>
      </c>
      <c r="B1824" t="s">
        <v>2244</v>
      </c>
      <c r="C1824">
        <v>1687976791</v>
      </c>
      <c r="D1824" s="2" t="s">
        <v>200</v>
      </c>
      <c r="E1824" t="s">
        <v>201</v>
      </c>
      <c r="F1824" t="s">
        <v>201</v>
      </c>
      <c r="G1824" t="s">
        <v>202</v>
      </c>
      <c r="H1824" t="s">
        <v>202</v>
      </c>
      <c r="I1824" t="s">
        <v>23</v>
      </c>
      <c r="J1824" t="s">
        <v>202</v>
      </c>
      <c r="K1824" s="2" t="s">
        <v>2093</v>
      </c>
      <c r="L1824" t="s">
        <v>26</v>
      </c>
      <c r="M1824">
        <v>340712</v>
      </c>
      <c r="N1824">
        <v>1</v>
      </c>
      <c r="O1824" s="3">
        <v>6200</v>
      </c>
      <c r="P1824">
        <v>1</v>
      </c>
      <c r="Q1824" s="5">
        <f t="shared" si="84"/>
        <v>5210.0840336134452</v>
      </c>
      <c r="R1824" s="5">
        <f t="shared" si="85"/>
        <v>1</v>
      </c>
      <c r="S1824" s="5">
        <f t="shared" si="86"/>
        <v>5209.0840336134452</v>
      </c>
    </row>
    <row r="1825" spans="1:19" hidden="1" x14ac:dyDescent="0.3">
      <c r="A1825">
        <v>130</v>
      </c>
      <c r="B1825" t="s">
        <v>2244</v>
      </c>
      <c r="C1825" t="s">
        <v>1712</v>
      </c>
      <c r="D1825" s="2" t="s">
        <v>1713</v>
      </c>
      <c r="E1825" t="s">
        <v>1714</v>
      </c>
      <c r="F1825" t="s">
        <v>20</v>
      </c>
      <c r="G1825" t="s">
        <v>338</v>
      </c>
      <c r="H1825">
        <v>23727</v>
      </c>
      <c r="I1825" t="s">
        <v>23</v>
      </c>
      <c r="J1825" t="s">
        <v>40</v>
      </c>
      <c r="K1825" s="2" t="s">
        <v>2093</v>
      </c>
      <c r="L1825" t="s">
        <v>26</v>
      </c>
      <c r="M1825">
        <v>340712</v>
      </c>
      <c r="N1825">
        <v>1</v>
      </c>
      <c r="O1825" s="3">
        <v>49990</v>
      </c>
      <c r="P1825" s="3">
        <v>26539</v>
      </c>
      <c r="Q1825" s="5">
        <f t="shared" si="84"/>
        <v>42008.403361344543</v>
      </c>
      <c r="R1825" s="5">
        <f t="shared" si="85"/>
        <v>26539</v>
      </c>
      <c r="S1825" s="5">
        <f t="shared" si="86"/>
        <v>15469.403361344543</v>
      </c>
    </row>
    <row r="1826" spans="1:19" hidden="1" x14ac:dyDescent="0.3">
      <c r="A1826">
        <v>130</v>
      </c>
      <c r="B1826" t="s">
        <v>2244</v>
      </c>
      <c r="C1826" t="s">
        <v>3450</v>
      </c>
      <c r="D1826" s="2" t="s">
        <v>3451</v>
      </c>
      <c r="E1826" t="s">
        <v>3452</v>
      </c>
      <c r="F1826" t="s">
        <v>377</v>
      </c>
      <c r="G1826" t="s">
        <v>21</v>
      </c>
      <c r="H1826" t="s">
        <v>378</v>
      </c>
      <c r="I1826" t="s">
        <v>23</v>
      </c>
      <c r="J1826" t="s">
        <v>379</v>
      </c>
      <c r="K1826" s="2" t="s">
        <v>2093</v>
      </c>
      <c r="L1826" t="s">
        <v>26</v>
      </c>
      <c r="M1826">
        <v>340713</v>
      </c>
      <c r="N1826">
        <v>1</v>
      </c>
      <c r="O1826" s="3">
        <v>6950</v>
      </c>
      <c r="P1826" s="3">
        <v>3458</v>
      </c>
      <c r="Q1826" s="5">
        <f t="shared" si="84"/>
        <v>5840.3361344537816</v>
      </c>
      <c r="R1826" s="5">
        <f t="shared" si="85"/>
        <v>3458</v>
      </c>
      <c r="S1826" s="5">
        <f t="shared" si="86"/>
        <v>2382.3361344537816</v>
      </c>
    </row>
    <row r="1827" spans="1:19" hidden="1" x14ac:dyDescent="0.3">
      <c r="A1827">
        <v>130</v>
      </c>
      <c r="B1827" t="s">
        <v>2244</v>
      </c>
      <c r="C1827" t="s">
        <v>423</v>
      </c>
      <c r="D1827" s="2" t="s">
        <v>424</v>
      </c>
      <c r="E1827" t="s">
        <v>425</v>
      </c>
      <c r="F1827" t="s">
        <v>20</v>
      </c>
      <c r="G1827" t="s">
        <v>21</v>
      </c>
      <c r="H1827" t="s">
        <v>22</v>
      </c>
      <c r="I1827" t="s">
        <v>23</v>
      </c>
      <c r="J1827" t="s">
        <v>24</v>
      </c>
      <c r="K1827" s="2" t="s">
        <v>2093</v>
      </c>
      <c r="L1827" t="s">
        <v>26</v>
      </c>
      <c r="M1827">
        <v>340714</v>
      </c>
      <c r="N1827">
        <v>1</v>
      </c>
      <c r="O1827" s="3">
        <v>79950</v>
      </c>
      <c r="P1827" s="3">
        <v>27848</v>
      </c>
      <c r="Q1827" s="5">
        <f t="shared" si="84"/>
        <v>67184.873949579836</v>
      </c>
      <c r="R1827" s="5">
        <f t="shared" si="85"/>
        <v>27848</v>
      </c>
      <c r="S1827" s="5">
        <f t="shared" si="86"/>
        <v>39336.873949579836</v>
      </c>
    </row>
    <row r="1828" spans="1:19" hidden="1" x14ac:dyDescent="0.3">
      <c r="A1828">
        <v>130</v>
      </c>
      <c r="B1828" t="s">
        <v>2244</v>
      </c>
      <c r="C1828" t="s">
        <v>3401</v>
      </c>
      <c r="D1828" s="2" t="s">
        <v>3402</v>
      </c>
      <c r="E1828" t="s">
        <v>3403</v>
      </c>
      <c r="F1828" t="s">
        <v>377</v>
      </c>
      <c r="G1828" t="s">
        <v>21</v>
      </c>
      <c r="H1828" t="s">
        <v>378</v>
      </c>
      <c r="I1828" t="s">
        <v>23</v>
      </c>
      <c r="J1828" t="s">
        <v>3297</v>
      </c>
      <c r="K1828" s="2" t="s">
        <v>2093</v>
      </c>
      <c r="L1828" t="s">
        <v>26</v>
      </c>
      <c r="M1828">
        <v>340714</v>
      </c>
      <c r="N1828">
        <v>1</v>
      </c>
      <c r="O1828">
        <v>500</v>
      </c>
      <c r="P1828">
        <v>418</v>
      </c>
      <c r="Q1828" s="5">
        <f t="shared" si="84"/>
        <v>420.1680672268908</v>
      </c>
      <c r="R1828" s="5">
        <f t="shared" si="85"/>
        <v>418</v>
      </c>
      <c r="S1828" s="5">
        <f t="shared" si="86"/>
        <v>2.1680672268907983</v>
      </c>
    </row>
    <row r="1829" spans="1:19" hidden="1" x14ac:dyDescent="0.3">
      <c r="A1829">
        <v>130</v>
      </c>
      <c r="B1829" t="s">
        <v>2244</v>
      </c>
      <c r="C1829" t="s">
        <v>403</v>
      </c>
      <c r="D1829" s="2" t="s">
        <v>404</v>
      </c>
      <c r="E1829" t="s">
        <v>405</v>
      </c>
      <c r="F1829" t="s">
        <v>20</v>
      </c>
      <c r="G1829" t="s">
        <v>21</v>
      </c>
      <c r="H1829" t="s">
        <v>406</v>
      </c>
      <c r="I1829" t="s">
        <v>23</v>
      </c>
      <c r="J1829" t="s">
        <v>407</v>
      </c>
      <c r="K1829" s="2" t="s">
        <v>2093</v>
      </c>
      <c r="L1829" t="s">
        <v>26</v>
      </c>
      <c r="M1829">
        <v>340715</v>
      </c>
      <c r="N1829">
        <v>1</v>
      </c>
      <c r="O1829" s="3">
        <v>44990</v>
      </c>
      <c r="P1829" s="3">
        <v>19806</v>
      </c>
      <c r="Q1829" s="5">
        <f t="shared" si="84"/>
        <v>37806.722689075636</v>
      </c>
      <c r="R1829" s="5">
        <f t="shared" si="85"/>
        <v>19806</v>
      </c>
      <c r="S1829" s="5">
        <f t="shared" si="86"/>
        <v>18000.722689075636</v>
      </c>
    </row>
    <row r="1830" spans="1:19" hidden="1" x14ac:dyDescent="0.3">
      <c r="A1830">
        <v>130</v>
      </c>
      <c r="B1830" t="s">
        <v>2244</v>
      </c>
      <c r="C1830" t="s">
        <v>1334</v>
      </c>
      <c r="D1830" s="2" t="s">
        <v>1335</v>
      </c>
      <c r="E1830" t="s">
        <v>1336</v>
      </c>
      <c r="F1830" t="s">
        <v>20</v>
      </c>
      <c r="G1830" t="s">
        <v>21</v>
      </c>
      <c r="H1830" t="s">
        <v>1337</v>
      </c>
      <c r="I1830" t="s">
        <v>23</v>
      </c>
      <c r="J1830" t="s">
        <v>49</v>
      </c>
      <c r="K1830" s="2" t="s">
        <v>2093</v>
      </c>
      <c r="L1830" t="s">
        <v>26</v>
      </c>
      <c r="M1830">
        <v>340716</v>
      </c>
      <c r="N1830">
        <v>1</v>
      </c>
      <c r="O1830" s="3">
        <v>59950</v>
      </c>
      <c r="P1830" s="3">
        <v>19049</v>
      </c>
      <c r="Q1830" s="5">
        <f t="shared" si="84"/>
        <v>50378.151260504201</v>
      </c>
      <c r="R1830" s="5">
        <f t="shared" si="85"/>
        <v>19049</v>
      </c>
      <c r="S1830" s="5">
        <f t="shared" si="86"/>
        <v>31329.151260504201</v>
      </c>
    </row>
    <row r="1831" spans="1:19" hidden="1" x14ac:dyDescent="0.3">
      <c r="A1831">
        <v>130</v>
      </c>
      <c r="B1831" t="s">
        <v>2244</v>
      </c>
      <c r="C1831" t="s">
        <v>2258</v>
      </c>
      <c r="D1831" s="2" t="s">
        <v>2259</v>
      </c>
      <c r="E1831" t="s">
        <v>2252</v>
      </c>
      <c r="F1831" t="s">
        <v>20</v>
      </c>
      <c r="G1831" t="s">
        <v>21</v>
      </c>
      <c r="H1831" t="s">
        <v>970</v>
      </c>
      <c r="I1831" t="s">
        <v>23</v>
      </c>
      <c r="J1831" t="s">
        <v>40</v>
      </c>
      <c r="K1831" s="2" t="s">
        <v>2093</v>
      </c>
      <c r="L1831" t="s">
        <v>26</v>
      </c>
      <c r="M1831">
        <v>340717</v>
      </c>
      <c r="N1831">
        <v>1</v>
      </c>
      <c r="O1831" s="3">
        <v>59950</v>
      </c>
      <c r="P1831" s="3">
        <v>15928</v>
      </c>
      <c r="Q1831" s="5">
        <f t="shared" si="84"/>
        <v>50378.151260504201</v>
      </c>
      <c r="R1831" s="5">
        <f t="shared" si="85"/>
        <v>15928</v>
      </c>
      <c r="S1831" s="5">
        <f t="shared" si="86"/>
        <v>34450.151260504201</v>
      </c>
    </row>
    <row r="1832" spans="1:19" hidden="1" x14ac:dyDescent="0.3">
      <c r="A1832">
        <v>130</v>
      </c>
      <c r="B1832" t="s">
        <v>2244</v>
      </c>
      <c r="C1832" t="s">
        <v>2408</v>
      </c>
      <c r="D1832" s="2" t="s">
        <v>2409</v>
      </c>
      <c r="E1832" t="s">
        <v>2370</v>
      </c>
      <c r="F1832" t="s">
        <v>20</v>
      </c>
      <c r="G1832" t="s">
        <v>338</v>
      </c>
      <c r="H1832">
        <v>24200</v>
      </c>
      <c r="I1832" t="s">
        <v>23</v>
      </c>
      <c r="J1832" t="s">
        <v>95</v>
      </c>
      <c r="K1832" s="2" t="s">
        <v>2149</v>
      </c>
      <c r="L1832" t="s">
        <v>2249</v>
      </c>
      <c r="M1832">
        <v>25575</v>
      </c>
      <c r="N1832">
        <v>-1</v>
      </c>
      <c r="O1832" s="3">
        <v>-84950</v>
      </c>
      <c r="P1832" s="3">
        <v>28401</v>
      </c>
      <c r="Q1832" s="5">
        <f t="shared" si="84"/>
        <v>-71386.554621848743</v>
      </c>
      <c r="R1832" s="5">
        <f t="shared" si="85"/>
        <v>-28401</v>
      </c>
      <c r="S1832" s="5">
        <f t="shared" si="86"/>
        <v>-42985.554621848743</v>
      </c>
    </row>
    <row r="1833" spans="1:19" hidden="1" x14ac:dyDescent="0.3">
      <c r="A1833">
        <v>130</v>
      </c>
      <c r="B1833" t="s">
        <v>2244</v>
      </c>
      <c r="C1833" t="s">
        <v>3453</v>
      </c>
      <c r="D1833" s="2" t="s">
        <v>3454</v>
      </c>
      <c r="E1833" t="s">
        <v>428</v>
      </c>
      <c r="F1833" t="s">
        <v>20</v>
      </c>
      <c r="G1833" t="s">
        <v>21</v>
      </c>
      <c r="H1833" t="s">
        <v>429</v>
      </c>
      <c r="I1833" t="s">
        <v>23</v>
      </c>
      <c r="J1833" t="s">
        <v>49</v>
      </c>
      <c r="K1833" s="2" t="s">
        <v>2149</v>
      </c>
      <c r="L1833" t="s">
        <v>26</v>
      </c>
      <c r="M1833">
        <v>340718</v>
      </c>
      <c r="N1833">
        <v>1</v>
      </c>
      <c r="O1833" s="3">
        <v>59990</v>
      </c>
      <c r="P1833" s="3">
        <v>28580</v>
      </c>
      <c r="Q1833" s="5">
        <f t="shared" si="84"/>
        <v>50411.764705882357</v>
      </c>
      <c r="R1833" s="5">
        <f t="shared" si="85"/>
        <v>28580</v>
      </c>
      <c r="S1833" s="5">
        <f t="shared" si="86"/>
        <v>21831.764705882357</v>
      </c>
    </row>
    <row r="1834" spans="1:19" hidden="1" x14ac:dyDescent="0.3">
      <c r="A1834">
        <v>130</v>
      </c>
      <c r="B1834" t="s">
        <v>2244</v>
      </c>
      <c r="C1834" t="s">
        <v>3455</v>
      </c>
      <c r="D1834" s="2" t="s">
        <v>3456</v>
      </c>
      <c r="E1834" t="s">
        <v>3457</v>
      </c>
      <c r="F1834" t="s">
        <v>20</v>
      </c>
      <c r="G1834" t="s">
        <v>21</v>
      </c>
      <c r="H1834" t="s">
        <v>1337</v>
      </c>
      <c r="I1834" t="s">
        <v>23</v>
      </c>
      <c r="J1834" t="s">
        <v>49</v>
      </c>
      <c r="K1834" s="2" t="s">
        <v>2149</v>
      </c>
      <c r="L1834" t="s">
        <v>26</v>
      </c>
      <c r="M1834">
        <v>340719</v>
      </c>
      <c r="N1834">
        <v>1</v>
      </c>
      <c r="O1834" s="3">
        <v>34990</v>
      </c>
      <c r="P1834" s="3">
        <v>22179</v>
      </c>
      <c r="Q1834" s="5">
        <f t="shared" si="84"/>
        <v>29403.361344537818</v>
      </c>
      <c r="R1834" s="5">
        <f t="shared" si="85"/>
        <v>22179</v>
      </c>
      <c r="S1834" s="5">
        <f t="shared" si="86"/>
        <v>7224.3613445378178</v>
      </c>
    </row>
    <row r="1835" spans="1:19" hidden="1" x14ac:dyDescent="0.3">
      <c r="A1835">
        <v>130</v>
      </c>
      <c r="B1835" t="s">
        <v>2244</v>
      </c>
      <c r="C1835" t="s">
        <v>3458</v>
      </c>
      <c r="D1835" s="2" t="s">
        <v>3459</v>
      </c>
      <c r="E1835" t="s">
        <v>2844</v>
      </c>
      <c r="F1835" t="s">
        <v>20</v>
      </c>
      <c r="G1835" t="s">
        <v>338</v>
      </c>
      <c r="H1835">
        <v>24722</v>
      </c>
      <c r="I1835" t="s">
        <v>23</v>
      </c>
      <c r="J1835" t="s">
        <v>95</v>
      </c>
      <c r="K1835" s="2" t="s">
        <v>2149</v>
      </c>
      <c r="L1835" t="s">
        <v>26</v>
      </c>
      <c r="M1835">
        <v>340720</v>
      </c>
      <c r="N1835">
        <v>1</v>
      </c>
      <c r="O1835" s="3">
        <v>89950</v>
      </c>
      <c r="P1835" s="3">
        <v>30987</v>
      </c>
      <c r="Q1835" s="5">
        <f t="shared" si="84"/>
        <v>75588.23529411765</v>
      </c>
      <c r="R1835" s="5">
        <f t="shared" si="85"/>
        <v>30987</v>
      </c>
      <c r="S1835" s="5">
        <f t="shared" si="86"/>
        <v>44601.23529411765</v>
      </c>
    </row>
    <row r="1836" spans="1:19" hidden="1" x14ac:dyDescent="0.3">
      <c r="A1836">
        <v>130</v>
      </c>
      <c r="B1836" t="s">
        <v>2244</v>
      </c>
      <c r="C1836" t="s">
        <v>3294</v>
      </c>
      <c r="D1836" s="2" t="s">
        <v>3295</v>
      </c>
      <c r="E1836" t="s">
        <v>3296</v>
      </c>
      <c r="F1836" t="s">
        <v>377</v>
      </c>
      <c r="G1836" t="s">
        <v>21</v>
      </c>
      <c r="H1836" t="s">
        <v>378</v>
      </c>
      <c r="I1836" t="s">
        <v>23</v>
      </c>
      <c r="J1836" t="s">
        <v>3297</v>
      </c>
      <c r="K1836" s="2" t="s">
        <v>2149</v>
      </c>
      <c r="L1836" t="s">
        <v>26</v>
      </c>
      <c r="M1836">
        <v>340720</v>
      </c>
      <c r="N1836">
        <v>1</v>
      </c>
      <c r="O1836">
        <v>500</v>
      </c>
      <c r="P1836">
        <v>358</v>
      </c>
      <c r="Q1836" s="5">
        <f t="shared" si="84"/>
        <v>420.1680672268908</v>
      </c>
      <c r="R1836" s="5">
        <f t="shared" si="85"/>
        <v>358</v>
      </c>
      <c r="S1836" s="5">
        <f t="shared" si="86"/>
        <v>62.168067226890798</v>
      </c>
    </row>
    <row r="1837" spans="1:19" hidden="1" x14ac:dyDescent="0.3">
      <c r="A1837">
        <v>130</v>
      </c>
      <c r="B1837" t="s">
        <v>2244</v>
      </c>
      <c r="C1837" t="s">
        <v>3460</v>
      </c>
      <c r="D1837" s="2" t="s">
        <v>3461</v>
      </c>
      <c r="E1837" t="s">
        <v>3462</v>
      </c>
      <c r="F1837" t="s">
        <v>20</v>
      </c>
      <c r="G1837" t="s">
        <v>21</v>
      </c>
      <c r="H1837" t="s">
        <v>1282</v>
      </c>
      <c r="I1837" t="s">
        <v>23</v>
      </c>
      <c r="J1837" t="s">
        <v>40</v>
      </c>
      <c r="K1837" s="2" t="s">
        <v>2149</v>
      </c>
      <c r="L1837" t="s">
        <v>26</v>
      </c>
      <c r="M1837">
        <v>340721</v>
      </c>
      <c r="N1837">
        <v>1</v>
      </c>
      <c r="O1837" s="3">
        <v>34990</v>
      </c>
      <c r="P1837" s="3">
        <v>12027</v>
      </c>
      <c r="Q1837" s="5">
        <f t="shared" si="84"/>
        <v>29403.361344537818</v>
      </c>
      <c r="R1837" s="5">
        <f t="shared" si="85"/>
        <v>12027</v>
      </c>
      <c r="S1837" s="5">
        <f t="shared" si="86"/>
        <v>17376.361344537818</v>
      </c>
    </row>
    <row r="1838" spans="1:19" hidden="1" x14ac:dyDescent="0.3">
      <c r="A1838">
        <v>130</v>
      </c>
      <c r="B1838" t="s">
        <v>2244</v>
      </c>
      <c r="C1838" t="s">
        <v>3463</v>
      </c>
      <c r="D1838" s="2" t="s">
        <v>3464</v>
      </c>
      <c r="E1838" t="s">
        <v>3465</v>
      </c>
      <c r="F1838" t="s">
        <v>20</v>
      </c>
      <c r="G1838" t="s">
        <v>21</v>
      </c>
      <c r="H1838" t="s">
        <v>1282</v>
      </c>
      <c r="I1838" t="s">
        <v>23</v>
      </c>
      <c r="J1838" t="s">
        <v>40</v>
      </c>
      <c r="K1838" s="2" t="s">
        <v>2149</v>
      </c>
      <c r="L1838" t="s">
        <v>26</v>
      </c>
      <c r="M1838">
        <v>340721</v>
      </c>
      <c r="N1838">
        <v>1</v>
      </c>
      <c r="O1838" s="3">
        <v>49950</v>
      </c>
      <c r="P1838" s="3">
        <v>13922</v>
      </c>
      <c r="Q1838" s="5">
        <f t="shared" si="84"/>
        <v>41974.789915966387</v>
      </c>
      <c r="R1838" s="5">
        <f t="shared" si="85"/>
        <v>13922</v>
      </c>
      <c r="S1838" s="5">
        <f t="shared" si="86"/>
        <v>28052.789915966387</v>
      </c>
    </row>
    <row r="1839" spans="1:19" hidden="1" x14ac:dyDescent="0.3">
      <c r="A1839">
        <v>130</v>
      </c>
      <c r="B1839" t="s">
        <v>2244</v>
      </c>
      <c r="C1839" t="s">
        <v>3294</v>
      </c>
      <c r="D1839" s="2" t="s">
        <v>3295</v>
      </c>
      <c r="E1839" t="s">
        <v>3296</v>
      </c>
      <c r="F1839" t="s">
        <v>377</v>
      </c>
      <c r="G1839" t="s">
        <v>21</v>
      </c>
      <c r="H1839" t="s">
        <v>378</v>
      </c>
      <c r="I1839" t="s">
        <v>23</v>
      </c>
      <c r="J1839" t="s">
        <v>3297</v>
      </c>
      <c r="K1839" s="2" t="s">
        <v>2149</v>
      </c>
      <c r="L1839" t="s">
        <v>26</v>
      </c>
      <c r="M1839">
        <v>340721</v>
      </c>
      <c r="N1839">
        <v>1</v>
      </c>
      <c r="O1839">
        <v>500</v>
      </c>
      <c r="P1839">
        <v>358</v>
      </c>
      <c r="Q1839" s="5">
        <f t="shared" si="84"/>
        <v>420.1680672268908</v>
      </c>
      <c r="R1839" s="5">
        <f t="shared" si="85"/>
        <v>358</v>
      </c>
      <c r="S1839" s="5">
        <f t="shared" si="86"/>
        <v>62.168067226890798</v>
      </c>
    </row>
    <row r="1840" spans="1:19" hidden="1" x14ac:dyDescent="0.3">
      <c r="A1840">
        <v>130</v>
      </c>
      <c r="B1840" t="s">
        <v>2244</v>
      </c>
      <c r="C1840" t="s">
        <v>3466</v>
      </c>
      <c r="D1840" s="2" t="s">
        <v>3467</v>
      </c>
      <c r="E1840" t="s">
        <v>316</v>
      </c>
      <c r="F1840" t="s">
        <v>20</v>
      </c>
      <c r="G1840" t="s">
        <v>21</v>
      </c>
      <c r="H1840" t="s">
        <v>317</v>
      </c>
      <c r="I1840" t="s">
        <v>23</v>
      </c>
      <c r="J1840" t="s">
        <v>35</v>
      </c>
      <c r="K1840" s="2" t="s">
        <v>2149</v>
      </c>
      <c r="L1840" t="s">
        <v>26</v>
      </c>
      <c r="M1840">
        <v>340722</v>
      </c>
      <c r="N1840">
        <v>1</v>
      </c>
      <c r="O1840" s="3">
        <v>69950</v>
      </c>
      <c r="P1840" s="3">
        <v>24552</v>
      </c>
      <c r="Q1840" s="5">
        <f t="shared" si="84"/>
        <v>58781.512605042022</v>
      </c>
      <c r="R1840" s="5">
        <f t="shared" si="85"/>
        <v>24552</v>
      </c>
      <c r="S1840" s="5">
        <f t="shared" si="86"/>
        <v>34229.512605042022</v>
      </c>
    </row>
    <row r="1841" spans="1:19" hidden="1" x14ac:dyDescent="0.3">
      <c r="A1841">
        <v>130</v>
      </c>
      <c r="B1841" t="s">
        <v>2244</v>
      </c>
      <c r="C1841" t="s">
        <v>2830</v>
      </c>
      <c r="D1841" s="2" t="s">
        <v>2831</v>
      </c>
      <c r="E1841" t="s">
        <v>1330</v>
      </c>
      <c r="F1841" t="s">
        <v>20</v>
      </c>
      <c r="G1841" t="s">
        <v>338</v>
      </c>
      <c r="H1841">
        <v>25133</v>
      </c>
      <c r="I1841" t="s">
        <v>23</v>
      </c>
      <c r="J1841" t="s">
        <v>35</v>
      </c>
      <c r="K1841" s="2" t="s">
        <v>2149</v>
      </c>
      <c r="L1841" t="s">
        <v>26</v>
      </c>
      <c r="M1841">
        <v>340723</v>
      </c>
      <c r="N1841">
        <v>1</v>
      </c>
      <c r="O1841" s="3">
        <v>74950</v>
      </c>
      <c r="P1841" s="3">
        <v>21167</v>
      </c>
      <c r="Q1841" s="5">
        <f t="shared" si="84"/>
        <v>62983.193277310929</v>
      </c>
      <c r="R1841" s="5">
        <f t="shared" si="85"/>
        <v>21167</v>
      </c>
      <c r="S1841" s="5">
        <f t="shared" si="86"/>
        <v>41816.193277310929</v>
      </c>
    </row>
    <row r="1842" spans="1:19" hidden="1" x14ac:dyDescent="0.3">
      <c r="A1842">
        <v>130</v>
      </c>
      <c r="B1842" t="s">
        <v>2244</v>
      </c>
      <c r="C1842" t="s">
        <v>3468</v>
      </c>
      <c r="D1842" s="2" t="s">
        <v>3469</v>
      </c>
      <c r="E1842" t="s">
        <v>1336</v>
      </c>
      <c r="F1842" t="s">
        <v>20</v>
      </c>
      <c r="G1842" t="s">
        <v>21</v>
      </c>
      <c r="H1842" t="s">
        <v>1337</v>
      </c>
      <c r="I1842" t="s">
        <v>23</v>
      </c>
      <c r="J1842" t="s">
        <v>49</v>
      </c>
      <c r="K1842" s="2" t="s">
        <v>2149</v>
      </c>
      <c r="L1842" t="s">
        <v>26</v>
      </c>
      <c r="M1842">
        <v>340724</v>
      </c>
      <c r="N1842">
        <v>1</v>
      </c>
      <c r="O1842" s="3">
        <v>59950</v>
      </c>
      <c r="P1842" s="3">
        <v>19234</v>
      </c>
      <c r="Q1842" s="5">
        <f t="shared" si="84"/>
        <v>50378.151260504201</v>
      </c>
      <c r="R1842" s="5">
        <f t="shared" si="85"/>
        <v>19234</v>
      </c>
      <c r="S1842" s="5">
        <f t="shared" si="86"/>
        <v>31144.151260504201</v>
      </c>
    </row>
    <row r="1843" spans="1:19" hidden="1" x14ac:dyDescent="0.3">
      <c r="A1843">
        <v>130</v>
      </c>
      <c r="B1843" t="s">
        <v>2244</v>
      </c>
      <c r="C1843" t="s">
        <v>3470</v>
      </c>
      <c r="D1843" s="2" t="s">
        <v>3471</v>
      </c>
      <c r="E1843" t="s">
        <v>3472</v>
      </c>
      <c r="F1843" t="s">
        <v>20</v>
      </c>
      <c r="G1843" t="s">
        <v>338</v>
      </c>
      <c r="H1843">
        <v>25336</v>
      </c>
      <c r="I1843" t="s">
        <v>23</v>
      </c>
      <c r="J1843" t="s">
        <v>35</v>
      </c>
      <c r="K1843" s="2" t="s">
        <v>2149</v>
      </c>
      <c r="L1843" t="s">
        <v>26</v>
      </c>
      <c r="M1843">
        <v>340725</v>
      </c>
      <c r="N1843">
        <v>1</v>
      </c>
      <c r="O1843" s="3">
        <v>99950</v>
      </c>
      <c r="P1843" s="3">
        <v>31886</v>
      </c>
      <c r="Q1843" s="5">
        <f t="shared" si="84"/>
        <v>83991.596638655465</v>
      </c>
      <c r="R1843" s="5">
        <f t="shared" si="85"/>
        <v>31886</v>
      </c>
      <c r="S1843" s="5">
        <f t="shared" si="86"/>
        <v>52105.596638655465</v>
      </c>
    </row>
    <row r="1844" spans="1:19" hidden="1" x14ac:dyDescent="0.3">
      <c r="A1844">
        <v>130</v>
      </c>
      <c r="B1844" t="s">
        <v>2244</v>
      </c>
      <c r="C1844" t="s">
        <v>3413</v>
      </c>
      <c r="D1844" s="2" t="s">
        <v>3414</v>
      </c>
      <c r="E1844" t="s">
        <v>3415</v>
      </c>
      <c r="F1844" t="s">
        <v>20</v>
      </c>
      <c r="G1844" t="s">
        <v>21</v>
      </c>
      <c r="H1844" t="s">
        <v>2745</v>
      </c>
      <c r="I1844" t="s">
        <v>23</v>
      </c>
      <c r="J1844" t="s">
        <v>35</v>
      </c>
      <c r="K1844" s="2" t="s">
        <v>2149</v>
      </c>
      <c r="L1844" t="s">
        <v>26</v>
      </c>
      <c r="M1844">
        <v>340726</v>
      </c>
      <c r="N1844">
        <v>-1</v>
      </c>
      <c r="O1844" s="3">
        <v>-99950</v>
      </c>
      <c r="P1844" s="3">
        <v>33200</v>
      </c>
      <c r="Q1844" s="5">
        <f t="shared" si="84"/>
        <v>-83991.596638655465</v>
      </c>
      <c r="R1844" s="5">
        <f t="shared" si="85"/>
        <v>-33200</v>
      </c>
      <c r="S1844" s="5">
        <f t="shared" si="86"/>
        <v>-50791.596638655465</v>
      </c>
    </row>
    <row r="1845" spans="1:19" hidden="1" x14ac:dyDescent="0.3">
      <c r="A1845">
        <v>130</v>
      </c>
      <c r="B1845" t="s">
        <v>2244</v>
      </c>
      <c r="C1845" t="s">
        <v>3473</v>
      </c>
      <c r="D1845" s="2" t="s">
        <v>3474</v>
      </c>
      <c r="E1845" t="s">
        <v>1446</v>
      </c>
      <c r="F1845" t="s">
        <v>20</v>
      </c>
      <c r="G1845" t="s">
        <v>338</v>
      </c>
      <c r="H1845">
        <v>25321</v>
      </c>
      <c r="I1845" t="s">
        <v>23</v>
      </c>
      <c r="J1845" t="s">
        <v>35</v>
      </c>
      <c r="K1845" s="2" t="s">
        <v>2149</v>
      </c>
      <c r="L1845" t="s">
        <v>26</v>
      </c>
      <c r="M1845">
        <v>340726</v>
      </c>
      <c r="N1845">
        <v>1</v>
      </c>
      <c r="O1845" s="3">
        <v>109950</v>
      </c>
      <c r="P1845" s="3">
        <v>33748</v>
      </c>
      <c r="Q1845" s="5">
        <f t="shared" si="84"/>
        <v>92394.957983193279</v>
      </c>
      <c r="R1845" s="5">
        <f t="shared" si="85"/>
        <v>33748</v>
      </c>
      <c r="S1845" s="5">
        <f t="shared" si="86"/>
        <v>58646.957983193279</v>
      </c>
    </row>
    <row r="1846" spans="1:19" hidden="1" x14ac:dyDescent="0.3">
      <c r="A1846">
        <v>130</v>
      </c>
      <c r="B1846" t="s">
        <v>2244</v>
      </c>
      <c r="C1846" t="s">
        <v>3475</v>
      </c>
      <c r="D1846" s="2" t="s">
        <v>3476</v>
      </c>
      <c r="E1846" t="s">
        <v>2952</v>
      </c>
      <c r="F1846" t="s">
        <v>20</v>
      </c>
      <c r="G1846" t="s">
        <v>21</v>
      </c>
      <c r="H1846" t="s">
        <v>2484</v>
      </c>
      <c r="I1846" t="s">
        <v>23</v>
      </c>
      <c r="J1846" t="s">
        <v>40</v>
      </c>
      <c r="K1846" s="2" t="s">
        <v>2149</v>
      </c>
      <c r="L1846" t="s">
        <v>26</v>
      </c>
      <c r="M1846">
        <v>340727</v>
      </c>
      <c r="N1846">
        <v>1</v>
      </c>
      <c r="O1846" s="3">
        <v>59950</v>
      </c>
      <c r="P1846" s="3">
        <v>18378</v>
      </c>
      <c r="Q1846" s="5">
        <f t="shared" si="84"/>
        <v>50378.151260504201</v>
      </c>
      <c r="R1846" s="5">
        <f t="shared" si="85"/>
        <v>18378</v>
      </c>
      <c r="S1846" s="5">
        <f t="shared" si="86"/>
        <v>32000.151260504201</v>
      </c>
    </row>
    <row r="1847" spans="1:19" hidden="1" x14ac:dyDescent="0.3">
      <c r="A1847">
        <v>130</v>
      </c>
      <c r="B1847" t="s">
        <v>2244</v>
      </c>
      <c r="C1847" t="s">
        <v>3477</v>
      </c>
      <c r="D1847" s="2" t="s">
        <v>3478</v>
      </c>
      <c r="E1847" t="s">
        <v>3479</v>
      </c>
      <c r="F1847" t="s">
        <v>377</v>
      </c>
      <c r="G1847" t="s">
        <v>21</v>
      </c>
      <c r="H1847" t="s">
        <v>378</v>
      </c>
      <c r="I1847" t="s">
        <v>23</v>
      </c>
      <c r="J1847" t="s">
        <v>379</v>
      </c>
      <c r="K1847" s="2" t="s">
        <v>2149</v>
      </c>
      <c r="L1847" t="s">
        <v>26</v>
      </c>
      <c r="M1847">
        <v>340727</v>
      </c>
      <c r="N1847">
        <v>1</v>
      </c>
      <c r="O1847" s="3">
        <v>5950</v>
      </c>
      <c r="P1847" s="3">
        <v>3311</v>
      </c>
      <c r="Q1847" s="5">
        <f t="shared" si="84"/>
        <v>5000</v>
      </c>
      <c r="R1847" s="5">
        <f t="shared" si="85"/>
        <v>3311</v>
      </c>
      <c r="S1847" s="5">
        <f t="shared" si="86"/>
        <v>1689</v>
      </c>
    </row>
    <row r="1848" spans="1:19" hidden="1" x14ac:dyDescent="0.3">
      <c r="A1848">
        <v>130</v>
      </c>
      <c r="B1848" t="s">
        <v>2244</v>
      </c>
      <c r="C1848" t="s">
        <v>2485</v>
      </c>
      <c r="D1848" s="2" t="s">
        <v>2486</v>
      </c>
      <c r="E1848" t="s">
        <v>2487</v>
      </c>
      <c r="F1848" t="s">
        <v>377</v>
      </c>
      <c r="G1848" t="s">
        <v>21</v>
      </c>
      <c r="H1848" t="s">
        <v>378</v>
      </c>
      <c r="I1848" t="s">
        <v>23</v>
      </c>
      <c r="J1848" t="s">
        <v>379</v>
      </c>
      <c r="K1848" s="2" t="s">
        <v>2149</v>
      </c>
      <c r="L1848" t="s">
        <v>26</v>
      </c>
      <c r="M1848">
        <v>340727</v>
      </c>
      <c r="N1848">
        <v>1</v>
      </c>
      <c r="O1848" s="3">
        <v>5950</v>
      </c>
      <c r="P1848" s="3">
        <v>2243</v>
      </c>
      <c r="Q1848" s="5">
        <f t="shared" si="84"/>
        <v>5000</v>
      </c>
      <c r="R1848" s="5">
        <f t="shared" si="85"/>
        <v>2243</v>
      </c>
      <c r="S1848" s="5">
        <f t="shared" si="86"/>
        <v>2757</v>
      </c>
    </row>
    <row r="1849" spans="1:19" hidden="1" x14ac:dyDescent="0.3">
      <c r="A1849">
        <v>130</v>
      </c>
      <c r="B1849" t="s">
        <v>2244</v>
      </c>
      <c r="C1849" t="s">
        <v>3480</v>
      </c>
      <c r="D1849" s="2" t="s">
        <v>3481</v>
      </c>
      <c r="E1849" t="s">
        <v>3226</v>
      </c>
      <c r="F1849" t="s">
        <v>20</v>
      </c>
      <c r="G1849" t="s">
        <v>21</v>
      </c>
      <c r="H1849" t="s">
        <v>557</v>
      </c>
      <c r="I1849" t="s">
        <v>23</v>
      </c>
      <c r="J1849" t="s">
        <v>40</v>
      </c>
      <c r="K1849" s="2" t="s">
        <v>2149</v>
      </c>
      <c r="L1849" t="s">
        <v>26</v>
      </c>
      <c r="M1849">
        <v>340728</v>
      </c>
      <c r="N1849">
        <v>1</v>
      </c>
      <c r="O1849" s="3">
        <v>72101</v>
      </c>
      <c r="P1849" s="3">
        <v>26810</v>
      </c>
      <c r="Q1849" s="5">
        <f t="shared" si="84"/>
        <v>60589.075630252104</v>
      </c>
      <c r="R1849" s="5">
        <f t="shared" si="85"/>
        <v>26810</v>
      </c>
      <c r="S1849" s="5">
        <f t="shared" si="86"/>
        <v>33779.075630252104</v>
      </c>
    </row>
    <row r="1850" spans="1:19" hidden="1" x14ac:dyDescent="0.3">
      <c r="A1850">
        <v>130</v>
      </c>
      <c r="B1850" t="s">
        <v>2244</v>
      </c>
      <c r="C1850" t="s">
        <v>3207</v>
      </c>
      <c r="D1850" s="2" t="s">
        <v>3208</v>
      </c>
      <c r="E1850" t="s">
        <v>2844</v>
      </c>
      <c r="F1850" t="s">
        <v>20</v>
      </c>
      <c r="G1850" t="s">
        <v>338</v>
      </c>
      <c r="H1850">
        <v>24722</v>
      </c>
      <c r="I1850" t="s">
        <v>23</v>
      </c>
      <c r="J1850" t="s">
        <v>95</v>
      </c>
      <c r="K1850" s="2" t="s">
        <v>2149</v>
      </c>
      <c r="L1850" t="s">
        <v>26</v>
      </c>
      <c r="M1850">
        <v>340728</v>
      </c>
      <c r="N1850">
        <v>-1</v>
      </c>
      <c r="O1850" s="3">
        <v>-89950</v>
      </c>
      <c r="P1850" s="3">
        <v>30987</v>
      </c>
      <c r="Q1850" s="5">
        <f t="shared" si="84"/>
        <v>-75588.23529411765</v>
      </c>
      <c r="R1850" s="5">
        <f t="shared" si="85"/>
        <v>-30987</v>
      </c>
      <c r="S1850" s="5">
        <f t="shared" si="86"/>
        <v>-44601.23529411765</v>
      </c>
    </row>
    <row r="1851" spans="1:19" hidden="1" x14ac:dyDescent="0.3">
      <c r="A1851">
        <v>130</v>
      </c>
      <c r="B1851" t="s">
        <v>2244</v>
      </c>
      <c r="C1851" t="s">
        <v>2575</v>
      </c>
      <c r="D1851" s="2" t="s">
        <v>2576</v>
      </c>
      <c r="E1851" t="s">
        <v>2577</v>
      </c>
      <c r="F1851" t="s">
        <v>377</v>
      </c>
      <c r="G1851" t="s">
        <v>21</v>
      </c>
      <c r="H1851" t="s">
        <v>378</v>
      </c>
      <c r="I1851" t="s">
        <v>23</v>
      </c>
      <c r="J1851" t="s">
        <v>379</v>
      </c>
      <c r="K1851" s="2" t="s">
        <v>2149</v>
      </c>
      <c r="L1851" t="s">
        <v>26</v>
      </c>
      <c r="M1851">
        <v>340728</v>
      </c>
      <c r="N1851">
        <v>3</v>
      </c>
      <c r="O1851" s="3">
        <v>17850</v>
      </c>
      <c r="P1851" s="3">
        <v>3307</v>
      </c>
      <c r="Q1851" s="5">
        <f t="shared" si="84"/>
        <v>15000</v>
      </c>
      <c r="R1851" s="5">
        <f t="shared" si="85"/>
        <v>9921</v>
      </c>
      <c r="S1851" s="5">
        <f t="shared" si="86"/>
        <v>5079</v>
      </c>
    </row>
    <row r="1852" spans="1:19" hidden="1" x14ac:dyDescent="0.3">
      <c r="A1852">
        <v>130</v>
      </c>
      <c r="B1852" t="s">
        <v>2244</v>
      </c>
      <c r="C1852" t="s">
        <v>2263</v>
      </c>
      <c r="D1852" s="2" t="s">
        <v>2264</v>
      </c>
      <c r="E1852" t="s">
        <v>2265</v>
      </c>
      <c r="F1852" t="s">
        <v>20</v>
      </c>
      <c r="G1852" t="s">
        <v>21</v>
      </c>
      <c r="H1852" t="s">
        <v>2070</v>
      </c>
      <c r="I1852" t="s">
        <v>23</v>
      </c>
      <c r="J1852" t="s">
        <v>35</v>
      </c>
      <c r="K1852" s="2" t="s">
        <v>2149</v>
      </c>
      <c r="L1852" t="s">
        <v>26</v>
      </c>
      <c r="M1852">
        <v>340729</v>
      </c>
      <c r="N1852">
        <v>1</v>
      </c>
      <c r="O1852" s="3">
        <v>89950</v>
      </c>
      <c r="P1852" s="3">
        <v>29635</v>
      </c>
      <c r="Q1852" s="5">
        <f t="shared" si="84"/>
        <v>75588.23529411765</v>
      </c>
      <c r="R1852" s="5">
        <f t="shared" si="85"/>
        <v>29635</v>
      </c>
      <c r="S1852" s="5">
        <f t="shared" si="86"/>
        <v>45953.23529411765</v>
      </c>
    </row>
    <row r="1853" spans="1:19" hidden="1" x14ac:dyDescent="0.3">
      <c r="A1853">
        <v>130</v>
      </c>
      <c r="B1853" t="s">
        <v>2244</v>
      </c>
      <c r="C1853" t="s">
        <v>3482</v>
      </c>
      <c r="D1853" s="2" t="s">
        <v>3483</v>
      </c>
      <c r="E1853" t="s">
        <v>2265</v>
      </c>
      <c r="F1853" t="s">
        <v>20</v>
      </c>
      <c r="G1853" t="s">
        <v>21</v>
      </c>
      <c r="H1853" t="s">
        <v>2070</v>
      </c>
      <c r="I1853" t="s">
        <v>23</v>
      </c>
      <c r="J1853" t="s">
        <v>35</v>
      </c>
      <c r="K1853" s="2" t="s">
        <v>2149</v>
      </c>
      <c r="L1853" t="s">
        <v>26</v>
      </c>
      <c r="M1853">
        <v>340730</v>
      </c>
      <c r="N1853">
        <v>1</v>
      </c>
      <c r="O1853" s="3">
        <v>89950</v>
      </c>
      <c r="P1853" s="3">
        <v>29635</v>
      </c>
      <c r="Q1853" s="5">
        <f t="shared" si="84"/>
        <v>75588.23529411765</v>
      </c>
      <c r="R1853" s="5">
        <f t="shared" si="85"/>
        <v>29635</v>
      </c>
      <c r="S1853" s="5">
        <f t="shared" si="86"/>
        <v>45953.23529411765</v>
      </c>
    </row>
    <row r="1854" spans="1:19" hidden="1" x14ac:dyDescent="0.3">
      <c r="A1854">
        <v>130</v>
      </c>
      <c r="B1854" t="s">
        <v>2244</v>
      </c>
      <c r="C1854" t="s">
        <v>3046</v>
      </c>
      <c r="D1854" s="2" t="s">
        <v>3047</v>
      </c>
      <c r="E1854" t="s">
        <v>3048</v>
      </c>
      <c r="F1854" t="s">
        <v>20</v>
      </c>
      <c r="G1854" t="s">
        <v>21</v>
      </c>
      <c r="H1854" t="s">
        <v>2484</v>
      </c>
      <c r="I1854" t="s">
        <v>23</v>
      </c>
      <c r="J1854" t="s">
        <v>40</v>
      </c>
      <c r="K1854" s="2" t="s">
        <v>2149</v>
      </c>
      <c r="L1854" t="s">
        <v>26</v>
      </c>
      <c r="M1854">
        <v>340731</v>
      </c>
      <c r="N1854">
        <v>1</v>
      </c>
      <c r="O1854" s="3">
        <v>59950</v>
      </c>
      <c r="P1854" s="3">
        <v>17503</v>
      </c>
      <c r="Q1854" s="5">
        <f t="shared" si="84"/>
        <v>50378.151260504201</v>
      </c>
      <c r="R1854" s="5">
        <f t="shared" si="85"/>
        <v>17503</v>
      </c>
      <c r="S1854" s="5">
        <f t="shared" si="86"/>
        <v>32875.151260504201</v>
      </c>
    </row>
    <row r="1855" spans="1:19" hidden="1" x14ac:dyDescent="0.3">
      <c r="A1855">
        <v>130</v>
      </c>
      <c r="B1855" t="s">
        <v>2244</v>
      </c>
      <c r="C1855" t="s">
        <v>3294</v>
      </c>
      <c r="D1855" s="2" t="s">
        <v>3295</v>
      </c>
      <c r="E1855" t="s">
        <v>3296</v>
      </c>
      <c r="F1855" t="s">
        <v>377</v>
      </c>
      <c r="G1855" t="s">
        <v>21</v>
      </c>
      <c r="H1855" t="s">
        <v>378</v>
      </c>
      <c r="I1855" t="s">
        <v>23</v>
      </c>
      <c r="J1855" t="s">
        <v>3297</v>
      </c>
      <c r="K1855" s="2" t="s">
        <v>2149</v>
      </c>
      <c r="L1855" t="s">
        <v>26</v>
      </c>
      <c r="M1855">
        <v>340731</v>
      </c>
      <c r="N1855">
        <v>1</v>
      </c>
      <c r="O1855">
        <v>500</v>
      </c>
      <c r="P1855">
        <v>358</v>
      </c>
      <c r="Q1855" s="5">
        <f t="shared" si="84"/>
        <v>420.1680672268908</v>
      </c>
      <c r="R1855" s="5">
        <f t="shared" si="85"/>
        <v>358</v>
      </c>
      <c r="S1855" s="5">
        <f t="shared" si="86"/>
        <v>62.168067226890798</v>
      </c>
    </row>
    <row r="1856" spans="1:19" hidden="1" x14ac:dyDescent="0.3">
      <c r="A1856">
        <v>130</v>
      </c>
      <c r="B1856" t="s">
        <v>2244</v>
      </c>
      <c r="C1856" t="s">
        <v>3484</v>
      </c>
      <c r="D1856" s="2" t="s">
        <v>3485</v>
      </c>
      <c r="E1856" t="s">
        <v>3486</v>
      </c>
      <c r="F1856" t="s">
        <v>20</v>
      </c>
      <c r="G1856" t="s">
        <v>21</v>
      </c>
      <c r="H1856" t="s">
        <v>247</v>
      </c>
      <c r="I1856" t="s">
        <v>23</v>
      </c>
      <c r="J1856" t="s">
        <v>40</v>
      </c>
      <c r="K1856" s="2" t="s">
        <v>2149</v>
      </c>
      <c r="L1856" t="s">
        <v>26</v>
      </c>
      <c r="M1856">
        <v>340732</v>
      </c>
      <c r="N1856">
        <v>1</v>
      </c>
      <c r="O1856" s="3">
        <v>59950</v>
      </c>
      <c r="P1856" s="3">
        <v>16103</v>
      </c>
      <c r="Q1856" s="5">
        <f t="shared" si="84"/>
        <v>50378.151260504201</v>
      </c>
      <c r="R1856" s="5">
        <f t="shared" si="85"/>
        <v>16103</v>
      </c>
      <c r="S1856" s="5">
        <f t="shared" si="86"/>
        <v>34275.151260504201</v>
      </c>
    </row>
    <row r="1857" spans="1:19" hidden="1" x14ac:dyDescent="0.3">
      <c r="A1857">
        <v>130</v>
      </c>
      <c r="B1857" t="s">
        <v>2244</v>
      </c>
      <c r="C1857" t="s">
        <v>3487</v>
      </c>
      <c r="D1857" s="2" t="s">
        <v>3488</v>
      </c>
      <c r="E1857" t="s">
        <v>2795</v>
      </c>
      <c r="F1857" t="s">
        <v>20</v>
      </c>
      <c r="G1857" t="s">
        <v>21</v>
      </c>
      <c r="H1857" t="s">
        <v>57</v>
      </c>
      <c r="I1857" t="s">
        <v>23</v>
      </c>
      <c r="J1857" t="s">
        <v>35</v>
      </c>
      <c r="K1857" s="2" t="s">
        <v>2149</v>
      </c>
      <c r="L1857" t="s">
        <v>26</v>
      </c>
      <c r="M1857">
        <v>340733</v>
      </c>
      <c r="N1857">
        <v>1</v>
      </c>
      <c r="O1857" s="3">
        <v>89950</v>
      </c>
      <c r="P1857" s="3">
        <v>31783</v>
      </c>
      <c r="Q1857" s="5">
        <f t="shared" si="84"/>
        <v>75588.23529411765</v>
      </c>
      <c r="R1857" s="5">
        <f t="shared" si="85"/>
        <v>31783</v>
      </c>
      <c r="S1857" s="5">
        <f t="shared" si="86"/>
        <v>43805.23529411765</v>
      </c>
    </row>
    <row r="1858" spans="1:19" hidden="1" x14ac:dyDescent="0.3">
      <c r="A1858">
        <v>130</v>
      </c>
      <c r="B1858" t="s">
        <v>2244</v>
      </c>
      <c r="C1858" t="s">
        <v>3489</v>
      </c>
      <c r="D1858" s="2" t="s">
        <v>3490</v>
      </c>
      <c r="E1858" t="s">
        <v>3491</v>
      </c>
      <c r="F1858" t="s">
        <v>20</v>
      </c>
      <c r="G1858" t="s">
        <v>338</v>
      </c>
      <c r="H1858">
        <v>85200</v>
      </c>
      <c r="I1858" t="s">
        <v>23</v>
      </c>
      <c r="J1858" t="s">
        <v>35</v>
      </c>
      <c r="K1858" s="2" t="s">
        <v>2149</v>
      </c>
      <c r="L1858" t="s">
        <v>26</v>
      </c>
      <c r="M1858">
        <v>340734</v>
      </c>
      <c r="N1858">
        <v>1</v>
      </c>
      <c r="O1858" s="3">
        <v>89950</v>
      </c>
      <c r="P1858" s="3">
        <v>27253</v>
      </c>
      <c r="Q1858" s="5">
        <f t="shared" si="84"/>
        <v>75588.23529411765</v>
      </c>
      <c r="R1858" s="5">
        <f t="shared" si="85"/>
        <v>27253</v>
      </c>
      <c r="S1858" s="5">
        <f t="shared" si="86"/>
        <v>48335.23529411765</v>
      </c>
    </row>
    <row r="1859" spans="1:19" hidden="1" x14ac:dyDescent="0.3">
      <c r="A1859">
        <v>130</v>
      </c>
      <c r="B1859" t="s">
        <v>2244</v>
      </c>
      <c r="C1859" t="s">
        <v>3294</v>
      </c>
      <c r="D1859" s="2" t="s">
        <v>3295</v>
      </c>
      <c r="E1859" t="s">
        <v>3296</v>
      </c>
      <c r="F1859" t="s">
        <v>377</v>
      </c>
      <c r="G1859" t="s">
        <v>21</v>
      </c>
      <c r="H1859" t="s">
        <v>378</v>
      </c>
      <c r="I1859" t="s">
        <v>23</v>
      </c>
      <c r="J1859" t="s">
        <v>3297</v>
      </c>
      <c r="K1859" s="2" t="s">
        <v>2149</v>
      </c>
      <c r="L1859" t="s">
        <v>26</v>
      </c>
      <c r="M1859">
        <v>340734</v>
      </c>
      <c r="N1859">
        <v>1</v>
      </c>
      <c r="O1859">
        <v>500</v>
      </c>
      <c r="P1859">
        <v>358</v>
      </c>
      <c r="Q1859" s="5">
        <f t="shared" si="84"/>
        <v>420.1680672268908</v>
      </c>
      <c r="R1859" s="5">
        <f t="shared" si="85"/>
        <v>358</v>
      </c>
      <c r="S1859" s="5">
        <f t="shared" si="86"/>
        <v>62.168067226890798</v>
      </c>
    </row>
    <row r="1860" spans="1:19" hidden="1" x14ac:dyDescent="0.3">
      <c r="A1860">
        <v>130</v>
      </c>
      <c r="B1860" t="s">
        <v>2244</v>
      </c>
      <c r="C1860" t="s">
        <v>1037</v>
      </c>
      <c r="D1860" s="2" t="s">
        <v>1038</v>
      </c>
      <c r="E1860" t="s">
        <v>1039</v>
      </c>
      <c r="F1860" t="s">
        <v>377</v>
      </c>
      <c r="G1860" t="s">
        <v>21</v>
      </c>
      <c r="H1860" t="s">
        <v>378</v>
      </c>
      <c r="I1860" t="s">
        <v>23</v>
      </c>
      <c r="J1860" t="s">
        <v>379</v>
      </c>
      <c r="K1860" s="2" t="s">
        <v>2149</v>
      </c>
      <c r="L1860" t="s">
        <v>26</v>
      </c>
      <c r="M1860">
        <v>340735</v>
      </c>
      <c r="N1860">
        <v>1</v>
      </c>
      <c r="O1860" s="3">
        <v>5950</v>
      </c>
      <c r="P1860" s="3">
        <v>3257</v>
      </c>
      <c r="Q1860" s="5">
        <f t="shared" si="84"/>
        <v>5000</v>
      </c>
      <c r="R1860" s="5">
        <f t="shared" si="85"/>
        <v>3257</v>
      </c>
      <c r="S1860" s="5">
        <f t="shared" si="86"/>
        <v>1743</v>
      </c>
    </row>
    <row r="1861" spans="1:19" hidden="1" x14ac:dyDescent="0.3">
      <c r="A1861">
        <v>130</v>
      </c>
      <c r="B1861" t="s">
        <v>2244</v>
      </c>
      <c r="C1861" t="s">
        <v>3097</v>
      </c>
      <c r="D1861" s="2" t="s">
        <v>3098</v>
      </c>
      <c r="E1861" t="s">
        <v>1791</v>
      </c>
      <c r="F1861" t="s">
        <v>20</v>
      </c>
      <c r="G1861" t="s">
        <v>21</v>
      </c>
      <c r="H1861" t="s">
        <v>742</v>
      </c>
      <c r="I1861" t="s">
        <v>23</v>
      </c>
      <c r="J1861" t="s">
        <v>40</v>
      </c>
      <c r="K1861" s="2" t="s">
        <v>2192</v>
      </c>
      <c r="L1861" t="s">
        <v>26</v>
      </c>
      <c r="M1861">
        <v>340736</v>
      </c>
      <c r="N1861">
        <v>-1</v>
      </c>
      <c r="O1861" s="3">
        <v>-69990</v>
      </c>
      <c r="P1861" s="3">
        <v>26560</v>
      </c>
      <c r="Q1861" s="5">
        <f t="shared" si="84"/>
        <v>-58815.126050420171</v>
      </c>
      <c r="R1861" s="5">
        <f t="shared" si="85"/>
        <v>-26560</v>
      </c>
      <c r="S1861" s="5">
        <f t="shared" si="86"/>
        <v>-32255.126050420171</v>
      </c>
    </row>
    <row r="1862" spans="1:19" hidden="1" x14ac:dyDescent="0.3">
      <c r="A1862">
        <v>130</v>
      </c>
      <c r="B1862" t="s">
        <v>2244</v>
      </c>
      <c r="C1862" t="s">
        <v>3492</v>
      </c>
      <c r="D1862" s="2" t="s">
        <v>3493</v>
      </c>
      <c r="E1862" t="s">
        <v>3494</v>
      </c>
      <c r="F1862" t="s">
        <v>20</v>
      </c>
      <c r="G1862" t="s">
        <v>338</v>
      </c>
      <c r="H1862">
        <v>83726</v>
      </c>
      <c r="I1862" t="s">
        <v>23</v>
      </c>
      <c r="J1862" t="s">
        <v>40</v>
      </c>
      <c r="K1862" s="2" t="s">
        <v>2192</v>
      </c>
      <c r="L1862" t="s">
        <v>26</v>
      </c>
      <c r="M1862">
        <v>340736</v>
      </c>
      <c r="N1862">
        <v>1</v>
      </c>
      <c r="O1862" s="3">
        <v>69991</v>
      </c>
      <c r="P1862" s="3">
        <v>30263</v>
      </c>
      <c r="Q1862" s="5">
        <f t="shared" ref="Q1862:Q1925" si="87">O1862/1.19</f>
        <v>58815.966386554624</v>
      </c>
      <c r="R1862" s="5">
        <f t="shared" ref="R1862:R1925" si="88">N1862*P1862</f>
        <v>30263</v>
      </c>
      <c r="S1862" s="5">
        <f t="shared" ref="S1862:S1925" si="89">Q1862-R1862</f>
        <v>28552.966386554624</v>
      </c>
    </row>
    <row r="1863" spans="1:19" hidden="1" x14ac:dyDescent="0.3">
      <c r="A1863">
        <v>130</v>
      </c>
      <c r="B1863" t="s">
        <v>2244</v>
      </c>
      <c r="C1863" t="s">
        <v>3495</v>
      </c>
      <c r="D1863" s="2" t="s">
        <v>3496</v>
      </c>
      <c r="E1863" t="s">
        <v>1336</v>
      </c>
      <c r="F1863" t="s">
        <v>20</v>
      </c>
      <c r="G1863" t="s">
        <v>21</v>
      </c>
      <c r="H1863" t="s">
        <v>1337</v>
      </c>
      <c r="I1863" t="s">
        <v>23</v>
      </c>
      <c r="J1863" t="s">
        <v>49</v>
      </c>
      <c r="K1863" s="2" t="s">
        <v>2192</v>
      </c>
      <c r="L1863" t="s">
        <v>26</v>
      </c>
      <c r="M1863">
        <v>340737</v>
      </c>
      <c r="N1863">
        <v>1</v>
      </c>
      <c r="O1863" s="3">
        <v>59950</v>
      </c>
      <c r="P1863" s="3">
        <v>19169</v>
      </c>
      <c r="Q1863" s="5">
        <f t="shared" si="87"/>
        <v>50378.151260504201</v>
      </c>
      <c r="R1863" s="5">
        <f t="shared" si="88"/>
        <v>19169</v>
      </c>
      <c r="S1863" s="5">
        <f t="shared" si="89"/>
        <v>31209.151260504201</v>
      </c>
    </row>
    <row r="1864" spans="1:19" hidden="1" x14ac:dyDescent="0.3">
      <c r="A1864">
        <v>130</v>
      </c>
      <c r="B1864" t="s">
        <v>2244</v>
      </c>
      <c r="C1864" t="s">
        <v>1328</v>
      </c>
      <c r="D1864" s="2" t="s">
        <v>1329</v>
      </c>
      <c r="E1864" t="s">
        <v>1330</v>
      </c>
      <c r="F1864" t="s">
        <v>20</v>
      </c>
      <c r="G1864" t="s">
        <v>338</v>
      </c>
      <c r="H1864">
        <v>25133</v>
      </c>
      <c r="I1864" t="s">
        <v>23</v>
      </c>
      <c r="J1864" t="s">
        <v>35</v>
      </c>
      <c r="K1864" s="2" t="s">
        <v>2192</v>
      </c>
      <c r="L1864" t="s">
        <v>26</v>
      </c>
      <c r="M1864">
        <v>340738</v>
      </c>
      <c r="N1864">
        <v>1</v>
      </c>
      <c r="O1864" s="3">
        <v>74950</v>
      </c>
      <c r="P1864" s="3">
        <v>21167</v>
      </c>
      <c r="Q1864" s="5">
        <f t="shared" si="87"/>
        <v>62983.193277310929</v>
      </c>
      <c r="R1864" s="5">
        <f t="shared" si="88"/>
        <v>21167</v>
      </c>
      <c r="S1864" s="5">
        <f t="shared" si="89"/>
        <v>41816.193277310929</v>
      </c>
    </row>
    <row r="1865" spans="1:19" hidden="1" x14ac:dyDescent="0.3">
      <c r="A1865">
        <v>130</v>
      </c>
      <c r="B1865" t="s">
        <v>2244</v>
      </c>
      <c r="C1865" t="s">
        <v>3193</v>
      </c>
      <c r="D1865" s="2" t="s">
        <v>3194</v>
      </c>
      <c r="E1865" t="s">
        <v>3195</v>
      </c>
      <c r="F1865" t="s">
        <v>20</v>
      </c>
      <c r="G1865" t="s">
        <v>338</v>
      </c>
      <c r="H1865">
        <v>25366</v>
      </c>
      <c r="I1865" t="s">
        <v>23</v>
      </c>
      <c r="J1865" t="s">
        <v>35</v>
      </c>
      <c r="K1865" s="2" t="s">
        <v>2192</v>
      </c>
      <c r="L1865" t="s">
        <v>26</v>
      </c>
      <c r="M1865">
        <v>340739</v>
      </c>
      <c r="N1865">
        <v>1</v>
      </c>
      <c r="O1865" s="3">
        <v>99950</v>
      </c>
      <c r="P1865" s="3">
        <v>33157</v>
      </c>
      <c r="Q1865" s="5">
        <f t="shared" si="87"/>
        <v>83991.596638655465</v>
      </c>
      <c r="R1865" s="5">
        <f t="shared" si="88"/>
        <v>33157</v>
      </c>
      <c r="S1865" s="5">
        <f t="shared" si="89"/>
        <v>50834.596638655465</v>
      </c>
    </row>
    <row r="1866" spans="1:19" hidden="1" x14ac:dyDescent="0.3">
      <c r="A1866">
        <v>130</v>
      </c>
      <c r="B1866" t="s">
        <v>2244</v>
      </c>
      <c r="C1866" t="s">
        <v>3497</v>
      </c>
      <c r="D1866" s="2" t="s">
        <v>3498</v>
      </c>
      <c r="E1866" t="s">
        <v>2549</v>
      </c>
      <c r="F1866" t="s">
        <v>20</v>
      </c>
      <c r="G1866" t="s">
        <v>338</v>
      </c>
      <c r="H1866">
        <v>23755</v>
      </c>
      <c r="I1866" t="s">
        <v>23</v>
      </c>
      <c r="J1866" t="s">
        <v>40</v>
      </c>
      <c r="K1866" s="2" t="s">
        <v>2192</v>
      </c>
      <c r="L1866" t="s">
        <v>26</v>
      </c>
      <c r="M1866">
        <v>340740</v>
      </c>
      <c r="N1866">
        <v>1</v>
      </c>
      <c r="O1866" s="3">
        <v>74950</v>
      </c>
      <c r="P1866" s="3">
        <v>24718</v>
      </c>
      <c r="Q1866" s="5">
        <f t="shared" si="87"/>
        <v>62983.193277310929</v>
      </c>
      <c r="R1866" s="5">
        <f t="shared" si="88"/>
        <v>24718</v>
      </c>
      <c r="S1866" s="5">
        <f t="shared" si="89"/>
        <v>38265.193277310929</v>
      </c>
    </row>
    <row r="1867" spans="1:19" hidden="1" x14ac:dyDescent="0.3">
      <c r="A1867">
        <v>130</v>
      </c>
      <c r="B1867" t="s">
        <v>2244</v>
      </c>
      <c r="C1867" t="s">
        <v>2525</v>
      </c>
      <c r="D1867" s="2" t="s">
        <v>2526</v>
      </c>
      <c r="E1867" t="s">
        <v>2527</v>
      </c>
      <c r="F1867" t="s">
        <v>377</v>
      </c>
      <c r="G1867" t="s">
        <v>21</v>
      </c>
      <c r="H1867" t="s">
        <v>378</v>
      </c>
      <c r="I1867" t="s">
        <v>23</v>
      </c>
      <c r="J1867" t="s">
        <v>2459</v>
      </c>
      <c r="K1867" s="2" t="s">
        <v>2192</v>
      </c>
      <c r="L1867" t="s">
        <v>26</v>
      </c>
      <c r="M1867">
        <v>340741</v>
      </c>
      <c r="N1867">
        <v>1</v>
      </c>
      <c r="O1867" s="3">
        <v>6950</v>
      </c>
      <c r="P1867" s="3">
        <v>2964</v>
      </c>
      <c r="Q1867" s="5">
        <f t="shared" si="87"/>
        <v>5840.3361344537816</v>
      </c>
      <c r="R1867" s="5">
        <f t="shared" si="88"/>
        <v>2964</v>
      </c>
      <c r="S1867" s="5">
        <f t="shared" si="89"/>
        <v>2876.3361344537816</v>
      </c>
    </row>
    <row r="1868" spans="1:19" hidden="1" x14ac:dyDescent="0.3">
      <c r="A1868">
        <v>130</v>
      </c>
      <c r="B1868" t="s">
        <v>2244</v>
      </c>
      <c r="C1868" t="s">
        <v>2772</v>
      </c>
      <c r="D1868" s="2" t="s">
        <v>2773</v>
      </c>
      <c r="E1868" t="s">
        <v>2771</v>
      </c>
      <c r="F1868" t="s">
        <v>20</v>
      </c>
      <c r="G1868" t="s">
        <v>21</v>
      </c>
      <c r="H1868" t="s">
        <v>57</v>
      </c>
      <c r="I1868" t="s">
        <v>23</v>
      </c>
      <c r="J1868" t="s">
        <v>35</v>
      </c>
      <c r="K1868" s="2" t="s">
        <v>2192</v>
      </c>
      <c r="L1868" t="s">
        <v>26</v>
      </c>
      <c r="M1868">
        <v>340742</v>
      </c>
      <c r="N1868">
        <v>1</v>
      </c>
      <c r="O1868" s="3">
        <v>79990</v>
      </c>
      <c r="P1868" s="3">
        <v>29189</v>
      </c>
      <c r="Q1868" s="5">
        <f t="shared" si="87"/>
        <v>67218.487394957992</v>
      </c>
      <c r="R1868" s="5">
        <f t="shared" si="88"/>
        <v>29189</v>
      </c>
      <c r="S1868" s="5">
        <f t="shared" si="89"/>
        <v>38029.487394957992</v>
      </c>
    </row>
    <row r="1869" spans="1:19" hidden="1" x14ac:dyDescent="0.3">
      <c r="A1869">
        <v>130</v>
      </c>
      <c r="B1869" t="s">
        <v>2244</v>
      </c>
      <c r="C1869" t="s">
        <v>3499</v>
      </c>
      <c r="D1869" s="2" t="s">
        <v>3500</v>
      </c>
      <c r="E1869" t="s">
        <v>2433</v>
      </c>
      <c r="F1869" t="s">
        <v>20</v>
      </c>
      <c r="G1869" t="s">
        <v>338</v>
      </c>
      <c r="H1869">
        <v>24722</v>
      </c>
      <c r="I1869" t="s">
        <v>23</v>
      </c>
      <c r="J1869" t="s">
        <v>95</v>
      </c>
      <c r="K1869" s="2" t="s">
        <v>2192</v>
      </c>
      <c r="L1869" t="s">
        <v>26</v>
      </c>
      <c r="M1869">
        <v>340743</v>
      </c>
      <c r="N1869">
        <v>1</v>
      </c>
      <c r="O1869" s="3">
        <v>89950</v>
      </c>
      <c r="P1869" s="3">
        <v>30987</v>
      </c>
      <c r="Q1869" s="5">
        <f t="shared" si="87"/>
        <v>75588.23529411765</v>
      </c>
      <c r="R1869" s="5">
        <f t="shared" si="88"/>
        <v>30987</v>
      </c>
      <c r="S1869" s="5">
        <f t="shared" si="89"/>
        <v>44601.23529411765</v>
      </c>
    </row>
    <row r="1870" spans="1:19" hidden="1" x14ac:dyDescent="0.3">
      <c r="A1870">
        <v>130</v>
      </c>
      <c r="B1870" t="s">
        <v>2244</v>
      </c>
      <c r="C1870" t="s">
        <v>3501</v>
      </c>
      <c r="D1870" s="2" t="s">
        <v>3502</v>
      </c>
      <c r="E1870" t="s">
        <v>2910</v>
      </c>
      <c r="F1870" t="s">
        <v>20</v>
      </c>
      <c r="G1870" t="s">
        <v>338</v>
      </c>
      <c r="H1870">
        <v>25212</v>
      </c>
      <c r="I1870" t="s">
        <v>23</v>
      </c>
      <c r="J1870" t="s">
        <v>35</v>
      </c>
      <c r="K1870" s="2" t="s">
        <v>2192</v>
      </c>
      <c r="L1870" t="s">
        <v>26</v>
      </c>
      <c r="M1870">
        <v>340744</v>
      </c>
      <c r="N1870">
        <v>1</v>
      </c>
      <c r="O1870" s="3">
        <v>109950</v>
      </c>
      <c r="P1870" s="3">
        <v>34157</v>
      </c>
      <c r="Q1870" s="5">
        <f t="shared" si="87"/>
        <v>92394.957983193279</v>
      </c>
      <c r="R1870" s="5">
        <f t="shared" si="88"/>
        <v>34157</v>
      </c>
      <c r="S1870" s="5">
        <f t="shared" si="89"/>
        <v>58237.957983193279</v>
      </c>
    </row>
    <row r="1871" spans="1:19" hidden="1" x14ac:dyDescent="0.3">
      <c r="A1871">
        <v>130</v>
      </c>
      <c r="B1871" t="s">
        <v>2244</v>
      </c>
      <c r="C1871" t="s">
        <v>3503</v>
      </c>
      <c r="D1871" s="2" t="s">
        <v>3504</v>
      </c>
      <c r="E1871" t="s">
        <v>2265</v>
      </c>
      <c r="F1871" t="s">
        <v>20</v>
      </c>
      <c r="G1871" t="s">
        <v>21</v>
      </c>
      <c r="H1871" t="s">
        <v>2070</v>
      </c>
      <c r="I1871" t="s">
        <v>23</v>
      </c>
      <c r="J1871" t="s">
        <v>35</v>
      </c>
      <c r="K1871" s="2" t="s">
        <v>2192</v>
      </c>
      <c r="L1871" t="s">
        <v>26</v>
      </c>
      <c r="M1871">
        <v>340745</v>
      </c>
      <c r="N1871">
        <v>1</v>
      </c>
      <c r="O1871" s="3">
        <v>89950</v>
      </c>
      <c r="P1871" s="3">
        <v>29635</v>
      </c>
      <c r="Q1871" s="5">
        <f t="shared" si="87"/>
        <v>75588.23529411765</v>
      </c>
      <c r="R1871" s="5">
        <f t="shared" si="88"/>
        <v>29635</v>
      </c>
      <c r="S1871" s="5">
        <f t="shared" si="89"/>
        <v>45953.23529411765</v>
      </c>
    </row>
    <row r="1872" spans="1:19" hidden="1" x14ac:dyDescent="0.3">
      <c r="A1872">
        <v>130</v>
      </c>
      <c r="B1872" t="s">
        <v>2244</v>
      </c>
      <c r="C1872" t="s">
        <v>2975</v>
      </c>
      <c r="D1872" s="2" t="s">
        <v>2976</v>
      </c>
      <c r="E1872" t="s">
        <v>1453</v>
      </c>
      <c r="F1872" t="s">
        <v>20</v>
      </c>
      <c r="G1872" t="s">
        <v>338</v>
      </c>
      <c r="H1872">
        <v>22410</v>
      </c>
      <c r="I1872" t="s">
        <v>23</v>
      </c>
      <c r="J1872" t="s">
        <v>49</v>
      </c>
      <c r="K1872" s="2" t="s">
        <v>2192</v>
      </c>
      <c r="L1872" t="s">
        <v>26</v>
      </c>
      <c r="M1872">
        <v>340746</v>
      </c>
      <c r="N1872">
        <v>1</v>
      </c>
      <c r="O1872" s="3">
        <v>69950</v>
      </c>
      <c r="P1872" s="3">
        <v>20848</v>
      </c>
      <c r="Q1872" s="5">
        <f t="shared" si="87"/>
        <v>58781.512605042022</v>
      </c>
      <c r="R1872" s="5">
        <f t="shared" si="88"/>
        <v>20848</v>
      </c>
      <c r="S1872" s="5">
        <f t="shared" si="89"/>
        <v>37933.512605042022</v>
      </c>
    </row>
    <row r="1873" spans="1:19" hidden="1" x14ac:dyDescent="0.3">
      <c r="A1873">
        <v>130</v>
      </c>
      <c r="B1873" t="s">
        <v>2244</v>
      </c>
      <c r="C1873" t="s">
        <v>3505</v>
      </c>
      <c r="D1873" s="2" t="s">
        <v>3506</v>
      </c>
      <c r="E1873" t="s">
        <v>2465</v>
      </c>
      <c r="F1873" t="s">
        <v>20</v>
      </c>
      <c r="G1873" t="s">
        <v>21</v>
      </c>
      <c r="H1873" t="s">
        <v>30</v>
      </c>
      <c r="I1873" t="s">
        <v>23</v>
      </c>
      <c r="J1873" t="s">
        <v>35</v>
      </c>
      <c r="K1873" s="2" t="s">
        <v>2192</v>
      </c>
      <c r="L1873" t="s">
        <v>26</v>
      </c>
      <c r="M1873">
        <v>340747</v>
      </c>
      <c r="N1873">
        <v>1</v>
      </c>
      <c r="O1873" s="3">
        <v>79950</v>
      </c>
      <c r="P1873" s="3">
        <v>30749</v>
      </c>
      <c r="Q1873" s="5">
        <f t="shared" si="87"/>
        <v>67184.873949579836</v>
      </c>
      <c r="R1873" s="5">
        <f t="shared" si="88"/>
        <v>30749</v>
      </c>
      <c r="S1873" s="5">
        <f t="shared" si="89"/>
        <v>36435.873949579836</v>
      </c>
    </row>
    <row r="1874" spans="1:19" hidden="1" x14ac:dyDescent="0.3">
      <c r="A1874">
        <v>130</v>
      </c>
      <c r="B1874" t="s">
        <v>2244</v>
      </c>
      <c r="C1874" t="s">
        <v>3507</v>
      </c>
      <c r="D1874" s="2" t="s">
        <v>3508</v>
      </c>
      <c r="E1874" t="s">
        <v>2323</v>
      </c>
      <c r="F1874" t="s">
        <v>20</v>
      </c>
      <c r="G1874" t="s">
        <v>21</v>
      </c>
      <c r="H1874" t="s">
        <v>1887</v>
      </c>
      <c r="I1874" t="s">
        <v>23</v>
      </c>
      <c r="J1874" t="s">
        <v>40</v>
      </c>
      <c r="K1874" s="2" t="s">
        <v>2192</v>
      </c>
      <c r="L1874" t="s">
        <v>26</v>
      </c>
      <c r="M1874">
        <v>340748</v>
      </c>
      <c r="N1874">
        <v>1</v>
      </c>
      <c r="O1874" s="3">
        <v>69950</v>
      </c>
      <c r="P1874" s="3">
        <v>21623</v>
      </c>
      <c r="Q1874" s="5">
        <f t="shared" si="87"/>
        <v>58781.512605042022</v>
      </c>
      <c r="R1874" s="5">
        <f t="shared" si="88"/>
        <v>21623</v>
      </c>
      <c r="S1874" s="5">
        <f t="shared" si="89"/>
        <v>37158.512605042022</v>
      </c>
    </row>
    <row r="1875" spans="1:19" hidden="1" x14ac:dyDescent="0.3">
      <c r="A1875">
        <v>130</v>
      </c>
      <c r="B1875" t="s">
        <v>2244</v>
      </c>
      <c r="C1875" t="s">
        <v>3509</v>
      </c>
      <c r="D1875" s="2" t="s">
        <v>3510</v>
      </c>
      <c r="E1875" t="s">
        <v>2619</v>
      </c>
      <c r="F1875" t="s">
        <v>377</v>
      </c>
      <c r="G1875" t="s">
        <v>21</v>
      </c>
      <c r="H1875" t="s">
        <v>378</v>
      </c>
      <c r="I1875" t="s">
        <v>23</v>
      </c>
      <c r="J1875" t="s">
        <v>2620</v>
      </c>
      <c r="K1875" s="2" t="s">
        <v>2192</v>
      </c>
      <c r="L1875" t="s">
        <v>26</v>
      </c>
      <c r="M1875">
        <v>340749</v>
      </c>
      <c r="N1875">
        <v>1</v>
      </c>
      <c r="O1875" s="3">
        <v>24950</v>
      </c>
      <c r="P1875" s="3">
        <v>13092</v>
      </c>
      <c r="Q1875" s="5">
        <f t="shared" si="87"/>
        <v>20966.386554621851</v>
      </c>
      <c r="R1875" s="5">
        <f t="shared" si="88"/>
        <v>13092</v>
      </c>
      <c r="S1875" s="5">
        <f t="shared" si="89"/>
        <v>7874.3865546218512</v>
      </c>
    </row>
    <row r="1876" spans="1:19" hidden="1" x14ac:dyDescent="0.3">
      <c r="A1876">
        <v>130</v>
      </c>
      <c r="B1876" t="s">
        <v>2244</v>
      </c>
      <c r="C1876" t="s">
        <v>3511</v>
      </c>
      <c r="D1876" s="2" t="s">
        <v>3512</v>
      </c>
      <c r="E1876" t="s">
        <v>1417</v>
      </c>
      <c r="F1876" t="s">
        <v>20</v>
      </c>
      <c r="G1876" t="s">
        <v>21</v>
      </c>
      <c r="H1876" t="s">
        <v>1418</v>
      </c>
      <c r="I1876" t="s">
        <v>23</v>
      </c>
      <c r="J1876" t="s">
        <v>35</v>
      </c>
      <c r="K1876" s="2" t="s">
        <v>2192</v>
      </c>
      <c r="L1876" t="s">
        <v>26</v>
      </c>
      <c r="M1876">
        <v>340750</v>
      </c>
      <c r="N1876">
        <v>1</v>
      </c>
      <c r="O1876" s="3">
        <v>64990</v>
      </c>
      <c r="P1876" s="3">
        <v>29189</v>
      </c>
      <c r="Q1876" s="5">
        <f t="shared" si="87"/>
        <v>54613.445378151264</v>
      </c>
      <c r="R1876" s="5">
        <f t="shared" si="88"/>
        <v>29189</v>
      </c>
      <c r="S1876" s="5">
        <f t="shared" si="89"/>
        <v>25424.445378151264</v>
      </c>
    </row>
    <row r="1877" spans="1:19" hidden="1" x14ac:dyDescent="0.3">
      <c r="A1877">
        <v>130</v>
      </c>
      <c r="B1877" t="s">
        <v>2244</v>
      </c>
      <c r="C1877" t="s">
        <v>335</v>
      </c>
      <c r="D1877" s="2" t="s">
        <v>336</v>
      </c>
      <c r="E1877" t="s">
        <v>337</v>
      </c>
      <c r="F1877" t="s">
        <v>20</v>
      </c>
      <c r="G1877" t="s">
        <v>338</v>
      </c>
      <c r="H1877">
        <v>23746</v>
      </c>
      <c r="I1877" t="s">
        <v>23</v>
      </c>
      <c r="J1877" t="s">
        <v>40</v>
      </c>
      <c r="K1877" s="2" t="s">
        <v>2192</v>
      </c>
      <c r="L1877" t="s">
        <v>26</v>
      </c>
      <c r="M1877">
        <v>340751</v>
      </c>
      <c r="N1877">
        <v>1</v>
      </c>
      <c r="O1877" s="3">
        <v>79950</v>
      </c>
      <c r="P1877" s="3">
        <v>27470</v>
      </c>
      <c r="Q1877" s="5">
        <f t="shared" si="87"/>
        <v>67184.873949579836</v>
      </c>
      <c r="R1877" s="5">
        <f t="shared" si="88"/>
        <v>27470</v>
      </c>
      <c r="S1877" s="5">
        <f t="shared" si="89"/>
        <v>39714.873949579836</v>
      </c>
    </row>
    <row r="1878" spans="1:19" hidden="1" x14ac:dyDescent="0.3">
      <c r="A1878">
        <v>130</v>
      </c>
      <c r="B1878" t="s">
        <v>2244</v>
      </c>
      <c r="C1878" t="s">
        <v>3429</v>
      </c>
      <c r="D1878" s="2" t="s">
        <v>3430</v>
      </c>
      <c r="E1878" t="s">
        <v>2433</v>
      </c>
      <c r="F1878" t="s">
        <v>20</v>
      </c>
      <c r="G1878" t="s">
        <v>338</v>
      </c>
      <c r="H1878">
        <v>24722</v>
      </c>
      <c r="I1878" t="s">
        <v>23</v>
      </c>
      <c r="J1878" t="s">
        <v>95</v>
      </c>
      <c r="K1878" s="2" t="s">
        <v>2192</v>
      </c>
      <c r="L1878" t="s">
        <v>26</v>
      </c>
      <c r="M1878">
        <v>340751</v>
      </c>
      <c r="N1878">
        <v>-1</v>
      </c>
      <c r="O1878" s="3">
        <v>-89950</v>
      </c>
      <c r="P1878" s="3">
        <v>30987</v>
      </c>
      <c r="Q1878" s="5">
        <f t="shared" si="87"/>
        <v>-75588.23529411765</v>
      </c>
      <c r="R1878" s="5">
        <f t="shared" si="88"/>
        <v>-30987</v>
      </c>
      <c r="S1878" s="5">
        <f t="shared" si="89"/>
        <v>-44601.23529411765</v>
      </c>
    </row>
    <row r="1879" spans="1:19" hidden="1" x14ac:dyDescent="0.3">
      <c r="A1879">
        <v>130</v>
      </c>
      <c r="B1879" t="s">
        <v>2244</v>
      </c>
      <c r="C1879" t="s">
        <v>1761</v>
      </c>
      <c r="D1879" s="2" t="s">
        <v>1762</v>
      </c>
      <c r="E1879" t="s">
        <v>1763</v>
      </c>
      <c r="F1879" t="s">
        <v>377</v>
      </c>
      <c r="G1879" t="s">
        <v>21</v>
      </c>
      <c r="H1879" t="s">
        <v>378</v>
      </c>
      <c r="I1879" t="s">
        <v>23</v>
      </c>
      <c r="J1879" t="s">
        <v>379</v>
      </c>
      <c r="K1879" s="2" t="s">
        <v>2192</v>
      </c>
      <c r="L1879" t="s">
        <v>26</v>
      </c>
      <c r="M1879">
        <v>340751</v>
      </c>
      <c r="N1879">
        <v>1</v>
      </c>
      <c r="O1879" s="3">
        <v>5950</v>
      </c>
      <c r="P1879" s="3">
        <v>3279</v>
      </c>
      <c r="Q1879" s="5">
        <f t="shared" si="87"/>
        <v>5000</v>
      </c>
      <c r="R1879" s="5">
        <f t="shared" si="88"/>
        <v>3279</v>
      </c>
      <c r="S1879" s="5">
        <f t="shared" si="89"/>
        <v>1721</v>
      </c>
    </row>
    <row r="1880" spans="1:19" hidden="1" x14ac:dyDescent="0.3">
      <c r="A1880">
        <v>130</v>
      </c>
      <c r="B1880" t="s">
        <v>2244</v>
      </c>
      <c r="C1880" t="s">
        <v>2485</v>
      </c>
      <c r="D1880" s="2" t="s">
        <v>2486</v>
      </c>
      <c r="E1880" t="s">
        <v>2487</v>
      </c>
      <c r="F1880" t="s">
        <v>377</v>
      </c>
      <c r="G1880" t="s">
        <v>21</v>
      </c>
      <c r="H1880" t="s">
        <v>378</v>
      </c>
      <c r="I1880" t="s">
        <v>23</v>
      </c>
      <c r="J1880" t="s">
        <v>379</v>
      </c>
      <c r="K1880" s="2" t="s">
        <v>2192</v>
      </c>
      <c r="L1880" t="s">
        <v>26</v>
      </c>
      <c r="M1880">
        <v>340751</v>
      </c>
      <c r="N1880">
        <v>1</v>
      </c>
      <c r="O1880" s="3">
        <v>5950</v>
      </c>
      <c r="P1880" s="3">
        <v>2243</v>
      </c>
      <c r="Q1880" s="5">
        <f t="shared" si="87"/>
        <v>5000</v>
      </c>
      <c r="R1880" s="5">
        <f t="shared" si="88"/>
        <v>2243</v>
      </c>
      <c r="S1880" s="5">
        <f t="shared" si="89"/>
        <v>2757</v>
      </c>
    </row>
    <row r="1881" spans="1:19" hidden="1" x14ac:dyDescent="0.3">
      <c r="A1881">
        <v>130</v>
      </c>
      <c r="B1881" t="s">
        <v>2244</v>
      </c>
      <c r="C1881" t="s">
        <v>3079</v>
      </c>
      <c r="D1881" s="2" t="s">
        <v>3080</v>
      </c>
      <c r="E1881" t="s">
        <v>3031</v>
      </c>
      <c r="F1881" t="s">
        <v>20</v>
      </c>
      <c r="G1881" t="s">
        <v>21</v>
      </c>
      <c r="H1881" t="s">
        <v>2315</v>
      </c>
      <c r="I1881" t="s">
        <v>23</v>
      </c>
      <c r="J1881" t="s">
        <v>49</v>
      </c>
      <c r="K1881" s="2" t="s">
        <v>2192</v>
      </c>
      <c r="L1881" t="s">
        <v>26</v>
      </c>
      <c r="M1881">
        <v>340752</v>
      </c>
      <c r="N1881">
        <v>1</v>
      </c>
      <c r="O1881" s="3">
        <v>74950</v>
      </c>
      <c r="P1881" s="3">
        <v>24256</v>
      </c>
      <c r="Q1881" s="5">
        <f t="shared" si="87"/>
        <v>62983.193277310929</v>
      </c>
      <c r="R1881" s="5">
        <f t="shared" si="88"/>
        <v>24256</v>
      </c>
      <c r="S1881" s="5">
        <f t="shared" si="89"/>
        <v>38727.193277310929</v>
      </c>
    </row>
    <row r="1882" spans="1:19" hidden="1" x14ac:dyDescent="0.3">
      <c r="A1882">
        <v>130</v>
      </c>
      <c r="B1882" t="s">
        <v>2244</v>
      </c>
      <c r="C1882" t="s">
        <v>3513</v>
      </c>
      <c r="D1882" s="2" t="s">
        <v>3514</v>
      </c>
      <c r="E1882" t="s">
        <v>3515</v>
      </c>
      <c r="F1882" t="s">
        <v>20</v>
      </c>
      <c r="G1882" t="s">
        <v>21</v>
      </c>
      <c r="H1882" t="s">
        <v>406</v>
      </c>
      <c r="I1882" t="s">
        <v>23</v>
      </c>
      <c r="J1882" t="s">
        <v>407</v>
      </c>
      <c r="K1882" s="2" t="s">
        <v>2192</v>
      </c>
      <c r="L1882" t="s">
        <v>26</v>
      </c>
      <c r="M1882">
        <v>340753</v>
      </c>
      <c r="N1882">
        <v>1</v>
      </c>
      <c r="O1882" s="3">
        <v>44990</v>
      </c>
      <c r="P1882" s="3">
        <v>21598</v>
      </c>
      <c r="Q1882" s="5">
        <f t="shared" si="87"/>
        <v>37806.722689075636</v>
      </c>
      <c r="R1882" s="5">
        <f t="shared" si="88"/>
        <v>21598</v>
      </c>
      <c r="S1882" s="5">
        <f t="shared" si="89"/>
        <v>16208.722689075636</v>
      </c>
    </row>
    <row r="1883" spans="1:19" hidden="1" x14ac:dyDescent="0.3">
      <c r="A1883">
        <v>130</v>
      </c>
      <c r="B1883" t="s">
        <v>2244</v>
      </c>
      <c r="C1883" t="s">
        <v>3516</v>
      </c>
      <c r="D1883" s="2" t="s">
        <v>3517</v>
      </c>
      <c r="E1883" t="s">
        <v>3518</v>
      </c>
      <c r="F1883" t="s">
        <v>20</v>
      </c>
      <c r="G1883" t="s">
        <v>21</v>
      </c>
      <c r="H1883" t="s">
        <v>1124</v>
      </c>
      <c r="I1883" t="s">
        <v>23</v>
      </c>
      <c r="J1883" t="s">
        <v>35</v>
      </c>
      <c r="K1883" s="2" t="s">
        <v>2192</v>
      </c>
      <c r="L1883" t="s">
        <v>26</v>
      </c>
      <c r="M1883">
        <v>340754</v>
      </c>
      <c r="N1883">
        <v>1</v>
      </c>
      <c r="O1883" s="3">
        <v>74950</v>
      </c>
      <c r="P1883" s="3">
        <v>28476</v>
      </c>
      <c r="Q1883" s="5">
        <f t="shared" si="87"/>
        <v>62983.193277310929</v>
      </c>
      <c r="R1883" s="5">
        <f t="shared" si="88"/>
        <v>28476</v>
      </c>
      <c r="S1883" s="5">
        <f t="shared" si="89"/>
        <v>34507.193277310929</v>
      </c>
    </row>
    <row r="1884" spans="1:19" hidden="1" x14ac:dyDescent="0.3">
      <c r="A1884">
        <v>130</v>
      </c>
      <c r="B1884" t="s">
        <v>2244</v>
      </c>
      <c r="C1884" t="s">
        <v>3401</v>
      </c>
      <c r="D1884" s="2" t="s">
        <v>3402</v>
      </c>
      <c r="E1884" t="s">
        <v>3403</v>
      </c>
      <c r="F1884" t="s">
        <v>377</v>
      </c>
      <c r="G1884" t="s">
        <v>21</v>
      </c>
      <c r="H1884" t="s">
        <v>378</v>
      </c>
      <c r="I1884" t="s">
        <v>23</v>
      </c>
      <c r="J1884" t="s">
        <v>3297</v>
      </c>
      <c r="K1884" s="2" t="s">
        <v>2192</v>
      </c>
      <c r="L1884" t="s">
        <v>26</v>
      </c>
      <c r="M1884">
        <v>340754</v>
      </c>
      <c r="N1884">
        <v>1</v>
      </c>
      <c r="O1884">
        <v>500</v>
      </c>
      <c r="P1884">
        <v>418</v>
      </c>
      <c r="Q1884" s="5">
        <f t="shared" si="87"/>
        <v>420.1680672268908</v>
      </c>
      <c r="R1884" s="5">
        <f t="shared" si="88"/>
        <v>418</v>
      </c>
      <c r="S1884" s="5">
        <f t="shared" si="89"/>
        <v>2.1680672268907983</v>
      </c>
    </row>
    <row r="1885" spans="1:19" hidden="1" x14ac:dyDescent="0.3">
      <c r="A1885">
        <v>130</v>
      </c>
      <c r="B1885" t="s">
        <v>2244</v>
      </c>
      <c r="C1885" t="s">
        <v>3407</v>
      </c>
      <c r="D1885" s="2" t="s">
        <v>3408</v>
      </c>
      <c r="E1885" t="s">
        <v>2110</v>
      </c>
      <c r="F1885" t="s">
        <v>20</v>
      </c>
      <c r="G1885" t="s">
        <v>21</v>
      </c>
      <c r="H1885" t="s">
        <v>22</v>
      </c>
      <c r="I1885" t="s">
        <v>23</v>
      </c>
      <c r="J1885" t="s">
        <v>24</v>
      </c>
      <c r="K1885" s="2" t="s">
        <v>2192</v>
      </c>
      <c r="L1885" t="s">
        <v>26</v>
      </c>
      <c r="M1885">
        <v>340755</v>
      </c>
      <c r="N1885">
        <v>-1</v>
      </c>
      <c r="O1885" s="3">
        <v>-79950</v>
      </c>
      <c r="P1885" s="3">
        <v>27748</v>
      </c>
      <c r="Q1885" s="5">
        <f t="shared" si="87"/>
        <v>-67184.873949579836</v>
      </c>
      <c r="R1885" s="5">
        <f t="shared" si="88"/>
        <v>-27748</v>
      </c>
      <c r="S1885" s="5">
        <f t="shared" si="89"/>
        <v>-39436.873949579836</v>
      </c>
    </row>
    <row r="1886" spans="1:19" hidden="1" x14ac:dyDescent="0.3">
      <c r="A1886">
        <v>130</v>
      </c>
      <c r="B1886" t="s">
        <v>2244</v>
      </c>
      <c r="C1886" t="s">
        <v>3519</v>
      </c>
      <c r="D1886" s="2" t="s">
        <v>3520</v>
      </c>
      <c r="E1886" t="s">
        <v>2653</v>
      </c>
      <c r="F1886" t="s">
        <v>20</v>
      </c>
      <c r="G1886" t="s">
        <v>21</v>
      </c>
      <c r="H1886" t="s">
        <v>2315</v>
      </c>
      <c r="I1886" t="s">
        <v>23</v>
      </c>
      <c r="J1886" t="s">
        <v>35</v>
      </c>
      <c r="K1886" s="2" t="s">
        <v>2192</v>
      </c>
      <c r="L1886" t="s">
        <v>26</v>
      </c>
      <c r="M1886">
        <v>340755</v>
      </c>
      <c r="N1886">
        <v>1</v>
      </c>
      <c r="O1886" s="3">
        <v>76450</v>
      </c>
      <c r="P1886" s="3">
        <v>30749</v>
      </c>
      <c r="Q1886" s="5">
        <f t="shared" si="87"/>
        <v>64243.697478991598</v>
      </c>
      <c r="R1886" s="5">
        <f t="shared" si="88"/>
        <v>30749</v>
      </c>
      <c r="S1886" s="5">
        <f t="shared" si="89"/>
        <v>33494.697478991598</v>
      </c>
    </row>
    <row r="1887" spans="1:19" hidden="1" x14ac:dyDescent="0.3">
      <c r="A1887">
        <v>130</v>
      </c>
      <c r="B1887" t="s">
        <v>2244</v>
      </c>
      <c r="C1887" t="s">
        <v>3521</v>
      </c>
      <c r="D1887" s="2" t="s">
        <v>3522</v>
      </c>
      <c r="E1887" t="s">
        <v>3523</v>
      </c>
      <c r="F1887" t="s">
        <v>20</v>
      </c>
      <c r="G1887" t="s">
        <v>21</v>
      </c>
      <c r="H1887" t="s">
        <v>2070</v>
      </c>
      <c r="I1887" t="s">
        <v>23</v>
      </c>
      <c r="J1887" t="s">
        <v>24</v>
      </c>
      <c r="K1887" s="2" t="s">
        <v>2192</v>
      </c>
      <c r="L1887" t="s">
        <v>26</v>
      </c>
      <c r="M1887">
        <v>340755</v>
      </c>
      <c r="N1887">
        <v>1</v>
      </c>
      <c r="O1887" s="3">
        <v>84950</v>
      </c>
      <c r="P1887" s="3">
        <v>27518</v>
      </c>
      <c r="Q1887" s="5">
        <f t="shared" si="87"/>
        <v>71386.554621848743</v>
      </c>
      <c r="R1887" s="5">
        <f t="shared" si="88"/>
        <v>27518</v>
      </c>
      <c r="S1887" s="5">
        <f t="shared" si="89"/>
        <v>43868.554621848743</v>
      </c>
    </row>
    <row r="1888" spans="1:19" hidden="1" x14ac:dyDescent="0.3">
      <c r="A1888">
        <v>140</v>
      </c>
      <c r="B1888" t="s">
        <v>3524</v>
      </c>
      <c r="C1888" t="s">
        <v>2722</v>
      </c>
      <c r="D1888" s="2" t="s">
        <v>2723</v>
      </c>
      <c r="E1888" t="s">
        <v>2340</v>
      </c>
      <c r="F1888" t="s">
        <v>20</v>
      </c>
      <c r="G1888" t="s">
        <v>21</v>
      </c>
      <c r="H1888" t="s">
        <v>1914</v>
      </c>
      <c r="I1888" t="s">
        <v>23</v>
      </c>
      <c r="J1888" t="s">
        <v>35</v>
      </c>
      <c r="K1888" s="2" t="s">
        <v>2344</v>
      </c>
      <c r="L1888" t="s">
        <v>26</v>
      </c>
      <c r="M1888">
        <v>222806</v>
      </c>
      <c r="N1888">
        <v>1</v>
      </c>
      <c r="O1888" s="3">
        <v>80950</v>
      </c>
      <c r="P1888" s="3">
        <v>27630</v>
      </c>
      <c r="Q1888" s="5">
        <f t="shared" si="87"/>
        <v>68025.210084033621</v>
      </c>
      <c r="R1888" s="5">
        <f t="shared" si="88"/>
        <v>27630</v>
      </c>
      <c r="S1888" s="5">
        <f t="shared" si="89"/>
        <v>40395.210084033621</v>
      </c>
    </row>
    <row r="1889" spans="1:19" hidden="1" x14ac:dyDescent="0.3">
      <c r="A1889">
        <v>140</v>
      </c>
      <c r="B1889" t="s">
        <v>3524</v>
      </c>
      <c r="C1889" t="s">
        <v>2158</v>
      </c>
      <c r="D1889" s="2" t="s">
        <v>2159</v>
      </c>
      <c r="E1889" t="s">
        <v>2160</v>
      </c>
      <c r="F1889" t="s">
        <v>20</v>
      </c>
      <c r="G1889" t="s">
        <v>21</v>
      </c>
      <c r="H1889" t="s">
        <v>970</v>
      </c>
      <c r="I1889" t="s">
        <v>23</v>
      </c>
      <c r="J1889" t="s">
        <v>40</v>
      </c>
      <c r="K1889" s="2" t="s">
        <v>2344</v>
      </c>
      <c r="L1889" t="s">
        <v>26</v>
      </c>
      <c r="M1889">
        <v>222807</v>
      </c>
      <c r="N1889">
        <v>1</v>
      </c>
      <c r="O1889" s="3">
        <v>49750</v>
      </c>
      <c r="P1889" s="3">
        <v>18264</v>
      </c>
      <c r="Q1889" s="5">
        <f t="shared" si="87"/>
        <v>41806.722689075636</v>
      </c>
      <c r="R1889" s="5">
        <f t="shared" si="88"/>
        <v>18264</v>
      </c>
      <c r="S1889" s="5">
        <f t="shared" si="89"/>
        <v>23542.722689075636</v>
      </c>
    </row>
    <row r="1890" spans="1:19" hidden="1" x14ac:dyDescent="0.3">
      <c r="A1890">
        <v>140</v>
      </c>
      <c r="B1890" t="s">
        <v>3524</v>
      </c>
      <c r="C1890" t="s">
        <v>3525</v>
      </c>
      <c r="D1890" s="2" t="s">
        <v>3526</v>
      </c>
      <c r="E1890" t="s">
        <v>2606</v>
      </c>
      <c r="F1890" t="s">
        <v>20</v>
      </c>
      <c r="G1890" t="s">
        <v>21</v>
      </c>
      <c r="H1890" t="s">
        <v>970</v>
      </c>
      <c r="I1890" t="s">
        <v>23</v>
      </c>
      <c r="J1890" t="s">
        <v>40</v>
      </c>
      <c r="K1890" s="2" t="s">
        <v>2344</v>
      </c>
      <c r="L1890" t="s">
        <v>26</v>
      </c>
      <c r="M1890">
        <v>222807</v>
      </c>
      <c r="N1890">
        <v>1</v>
      </c>
      <c r="O1890" s="3">
        <v>49750</v>
      </c>
      <c r="P1890" s="3">
        <v>18897</v>
      </c>
      <c r="Q1890" s="5">
        <f t="shared" si="87"/>
        <v>41806.722689075636</v>
      </c>
      <c r="R1890" s="5">
        <f t="shared" si="88"/>
        <v>18897</v>
      </c>
      <c r="S1890" s="5">
        <f t="shared" si="89"/>
        <v>22909.722689075636</v>
      </c>
    </row>
    <row r="1891" spans="1:19" hidden="1" x14ac:dyDescent="0.3">
      <c r="A1891">
        <v>140</v>
      </c>
      <c r="B1891" t="s">
        <v>3524</v>
      </c>
      <c r="C1891" t="s">
        <v>3527</v>
      </c>
      <c r="D1891" s="2" t="s">
        <v>3528</v>
      </c>
      <c r="E1891" t="s">
        <v>2566</v>
      </c>
      <c r="F1891" t="s">
        <v>20</v>
      </c>
      <c r="G1891" t="s">
        <v>21</v>
      </c>
      <c r="H1891" t="s">
        <v>1689</v>
      </c>
      <c r="I1891" t="s">
        <v>23</v>
      </c>
      <c r="J1891" t="s">
        <v>49</v>
      </c>
      <c r="K1891" s="2" t="s">
        <v>2344</v>
      </c>
      <c r="L1891" t="s">
        <v>26</v>
      </c>
      <c r="M1891">
        <v>222808</v>
      </c>
      <c r="N1891">
        <v>1</v>
      </c>
      <c r="O1891" s="3">
        <v>80950</v>
      </c>
      <c r="P1891" s="3">
        <v>38892</v>
      </c>
      <c r="Q1891" s="5">
        <f t="shared" si="87"/>
        <v>68025.210084033621</v>
      </c>
      <c r="R1891" s="5">
        <f t="shared" si="88"/>
        <v>38892</v>
      </c>
      <c r="S1891" s="5">
        <f t="shared" si="89"/>
        <v>29133.210084033621</v>
      </c>
    </row>
    <row r="1892" spans="1:19" hidden="1" x14ac:dyDescent="0.3">
      <c r="A1892">
        <v>140</v>
      </c>
      <c r="B1892" t="s">
        <v>3524</v>
      </c>
      <c r="C1892" t="s">
        <v>2290</v>
      </c>
      <c r="D1892" s="2" t="s">
        <v>2291</v>
      </c>
      <c r="E1892" t="s">
        <v>2292</v>
      </c>
      <c r="F1892" t="s">
        <v>20</v>
      </c>
      <c r="G1892" t="s">
        <v>338</v>
      </c>
      <c r="H1892">
        <v>23723</v>
      </c>
      <c r="I1892" t="s">
        <v>23</v>
      </c>
      <c r="J1892" t="s">
        <v>40</v>
      </c>
      <c r="K1892" s="2" t="s">
        <v>2344</v>
      </c>
      <c r="L1892" t="s">
        <v>26</v>
      </c>
      <c r="M1892">
        <v>222809</v>
      </c>
      <c r="N1892">
        <v>1</v>
      </c>
      <c r="O1892" s="3">
        <v>79990</v>
      </c>
      <c r="P1892" s="3">
        <v>35178</v>
      </c>
      <c r="Q1892" s="5">
        <f t="shared" si="87"/>
        <v>67218.487394957992</v>
      </c>
      <c r="R1892" s="5">
        <f t="shared" si="88"/>
        <v>35178</v>
      </c>
      <c r="S1892" s="5">
        <f t="shared" si="89"/>
        <v>32040.487394957992</v>
      </c>
    </row>
    <row r="1893" spans="1:19" hidden="1" x14ac:dyDescent="0.3">
      <c r="A1893">
        <v>140</v>
      </c>
      <c r="B1893" t="s">
        <v>3524</v>
      </c>
      <c r="C1893" t="s">
        <v>3275</v>
      </c>
      <c r="D1893" s="2" t="s">
        <v>3276</v>
      </c>
      <c r="E1893" t="s">
        <v>3277</v>
      </c>
      <c r="F1893" t="s">
        <v>20</v>
      </c>
      <c r="G1893" t="s">
        <v>21</v>
      </c>
      <c r="H1893" t="s">
        <v>57</v>
      </c>
      <c r="I1893" t="s">
        <v>23</v>
      </c>
      <c r="J1893" t="s">
        <v>35</v>
      </c>
      <c r="K1893" s="2" t="s">
        <v>2344</v>
      </c>
      <c r="L1893" t="s">
        <v>26</v>
      </c>
      <c r="M1893">
        <v>222810</v>
      </c>
      <c r="N1893">
        <v>1</v>
      </c>
      <c r="O1893" s="3">
        <v>89950</v>
      </c>
      <c r="P1893" s="3">
        <v>30749</v>
      </c>
      <c r="Q1893" s="5">
        <f t="shared" si="87"/>
        <v>75588.23529411765</v>
      </c>
      <c r="R1893" s="5">
        <f t="shared" si="88"/>
        <v>30749</v>
      </c>
      <c r="S1893" s="5">
        <f t="shared" si="89"/>
        <v>44839.23529411765</v>
      </c>
    </row>
    <row r="1894" spans="1:19" hidden="1" x14ac:dyDescent="0.3">
      <c r="A1894">
        <v>140</v>
      </c>
      <c r="B1894" t="s">
        <v>3524</v>
      </c>
      <c r="C1894" t="s">
        <v>3529</v>
      </c>
      <c r="D1894" s="2" t="s">
        <v>3530</v>
      </c>
      <c r="E1894" t="s">
        <v>3531</v>
      </c>
      <c r="F1894" t="s">
        <v>20</v>
      </c>
      <c r="G1894" t="s">
        <v>338</v>
      </c>
      <c r="H1894">
        <v>84316</v>
      </c>
      <c r="I1894" t="s">
        <v>23</v>
      </c>
      <c r="J1894" t="s">
        <v>49</v>
      </c>
      <c r="K1894" s="2" t="s">
        <v>2344</v>
      </c>
      <c r="L1894" t="s">
        <v>26</v>
      </c>
      <c r="M1894">
        <v>222810</v>
      </c>
      <c r="N1894">
        <v>1</v>
      </c>
      <c r="O1894" s="3">
        <v>80950</v>
      </c>
      <c r="P1894" s="3">
        <v>31128</v>
      </c>
      <c r="Q1894" s="5">
        <f t="shared" si="87"/>
        <v>68025.210084033621</v>
      </c>
      <c r="R1894" s="5">
        <f t="shared" si="88"/>
        <v>31128</v>
      </c>
      <c r="S1894" s="5">
        <f t="shared" si="89"/>
        <v>36897.210084033621</v>
      </c>
    </row>
    <row r="1895" spans="1:19" hidden="1" x14ac:dyDescent="0.3">
      <c r="A1895">
        <v>140</v>
      </c>
      <c r="B1895" t="s">
        <v>3524</v>
      </c>
      <c r="C1895" t="s">
        <v>2840</v>
      </c>
      <c r="D1895" s="2" t="s">
        <v>2841</v>
      </c>
      <c r="E1895" t="s">
        <v>2110</v>
      </c>
      <c r="F1895" t="s">
        <v>20</v>
      </c>
      <c r="G1895" t="s">
        <v>21</v>
      </c>
      <c r="H1895" t="s">
        <v>22</v>
      </c>
      <c r="I1895" t="s">
        <v>23</v>
      </c>
      <c r="J1895" t="s">
        <v>24</v>
      </c>
      <c r="K1895" s="2" t="s">
        <v>2344</v>
      </c>
      <c r="L1895" t="s">
        <v>26</v>
      </c>
      <c r="M1895">
        <v>222811</v>
      </c>
      <c r="N1895">
        <v>1</v>
      </c>
      <c r="O1895" s="3">
        <v>79950</v>
      </c>
      <c r="P1895" s="3">
        <v>27760</v>
      </c>
      <c r="Q1895" s="5">
        <f t="shared" si="87"/>
        <v>67184.873949579836</v>
      </c>
      <c r="R1895" s="5">
        <f t="shared" si="88"/>
        <v>27760</v>
      </c>
      <c r="S1895" s="5">
        <f t="shared" si="89"/>
        <v>39424.873949579836</v>
      </c>
    </row>
    <row r="1896" spans="1:19" hidden="1" x14ac:dyDescent="0.3">
      <c r="A1896">
        <v>140</v>
      </c>
      <c r="B1896" t="s">
        <v>3524</v>
      </c>
      <c r="C1896" t="s">
        <v>3532</v>
      </c>
      <c r="D1896" s="2" t="s">
        <v>3533</v>
      </c>
      <c r="E1896" t="s">
        <v>2844</v>
      </c>
      <c r="F1896" t="s">
        <v>20</v>
      </c>
      <c r="G1896" t="s">
        <v>338</v>
      </c>
      <c r="H1896">
        <v>24722</v>
      </c>
      <c r="I1896" t="s">
        <v>23</v>
      </c>
      <c r="J1896" t="s">
        <v>95</v>
      </c>
      <c r="K1896" s="2" t="s">
        <v>2344</v>
      </c>
      <c r="L1896" t="s">
        <v>26</v>
      </c>
      <c r="M1896">
        <v>222811</v>
      </c>
      <c r="N1896">
        <v>1</v>
      </c>
      <c r="O1896" s="3">
        <v>80950</v>
      </c>
      <c r="P1896" s="3">
        <v>30987</v>
      </c>
      <c r="Q1896" s="5">
        <f t="shared" si="87"/>
        <v>68025.210084033621</v>
      </c>
      <c r="R1896" s="5">
        <f t="shared" si="88"/>
        <v>30987</v>
      </c>
      <c r="S1896" s="5">
        <f t="shared" si="89"/>
        <v>37038.210084033621</v>
      </c>
    </row>
    <row r="1897" spans="1:19" hidden="1" x14ac:dyDescent="0.3">
      <c r="A1897">
        <v>140</v>
      </c>
      <c r="B1897" t="s">
        <v>3524</v>
      </c>
      <c r="C1897" t="s">
        <v>3534</v>
      </c>
      <c r="D1897" s="2" t="s">
        <v>3535</v>
      </c>
      <c r="E1897" t="s">
        <v>2923</v>
      </c>
      <c r="F1897" t="s">
        <v>20</v>
      </c>
      <c r="G1897" t="s">
        <v>21</v>
      </c>
      <c r="H1897" t="s">
        <v>818</v>
      </c>
      <c r="I1897" t="s">
        <v>23</v>
      </c>
      <c r="J1897" t="s">
        <v>35</v>
      </c>
      <c r="K1897" s="2" t="s">
        <v>2344</v>
      </c>
      <c r="L1897" t="s">
        <v>26</v>
      </c>
      <c r="M1897">
        <v>222812</v>
      </c>
      <c r="N1897">
        <v>1</v>
      </c>
      <c r="O1897" s="3">
        <v>89950</v>
      </c>
      <c r="P1897" s="3">
        <v>32840</v>
      </c>
      <c r="Q1897" s="5">
        <f t="shared" si="87"/>
        <v>75588.23529411765</v>
      </c>
      <c r="R1897" s="5">
        <f t="shared" si="88"/>
        <v>32840</v>
      </c>
      <c r="S1897" s="5">
        <f t="shared" si="89"/>
        <v>42748.23529411765</v>
      </c>
    </row>
    <row r="1898" spans="1:19" hidden="1" x14ac:dyDescent="0.3">
      <c r="A1898">
        <v>140</v>
      </c>
      <c r="B1898" t="s">
        <v>3524</v>
      </c>
      <c r="C1898" t="s">
        <v>3536</v>
      </c>
      <c r="D1898" s="2" t="s">
        <v>3537</v>
      </c>
      <c r="E1898" t="s">
        <v>2360</v>
      </c>
      <c r="F1898" t="s">
        <v>20</v>
      </c>
      <c r="G1898" t="s">
        <v>21</v>
      </c>
      <c r="H1898" t="s">
        <v>1286</v>
      </c>
      <c r="I1898" t="s">
        <v>23</v>
      </c>
      <c r="J1898" t="s">
        <v>40</v>
      </c>
      <c r="K1898" s="2" t="s">
        <v>2344</v>
      </c>
      <c r="L1898" t="s">
        <v>26</v>
      </c>
      <c r="M1898">
        <v>222813</v>
      </c>
      <c r="N1898">
        <v>1</v>
      </c>
      <c r="O1898" s="3">
        <v>49990</v>
      </c>
      <c r="P1898" s="3">
        <v>24783</v>
      </c>
      <c r="Q1898" s="5">
        <f t="shared" si="87"/>
        <v>42008.403361344543</v>
      </c>
      <c r="R1898" s="5">
        <f t="shared" si="88"/>
        <v>24783</v>
      </c>
      <c r="S1898" s="5">
        <f t="shared" si="89"/>
        <v>17225.403361344543</v>
      </c>
    </row>
    <row r="1899" spans="1:19" hidden="1" x14ac:dyDescent="0.3">
      <c r="A1899">
        <v>140</v>
      </c>
      <c r="B1899" t="s">
        <v>3524</v>
      </c>
      <c r="C1899" t="s">
        <v>3538</v>
      </c>
      <c r="D1899" s="2" t="s">
        <v>3539</v>
      </c>
      <c r="E1899" t="s">
        <v>2163</v>
      </c>
      <c r="F1899" t="s">
        <v>20</v>
      </c>
      <c r="G1899" t="s">
        <v>21</v>
      </c>
      <c r="H1899" t="s">
        <v>970</v>
      </c>
      <c r="I1899" t="s">
        <v>23</v>
      </c>
      <c r="J1899" t="s">
        <v>40</v>
      </c>
      <c r="K1899" s="2" t="s">
        <v>2344</v>
      </c>
      <c r="L1899" t="s">
        <v>26</v>
      </c>
      <c r="M1899">
        <v>222814</v>
      </c>
      <c r="N1899">
        <v>1</v>
      </c>
      <c r="O1899" s="3">
        <v>59950</v>
      </c>
      <c r="P1899" s="3">
        <v>19352</v>
      </c>
      <c r="Q1899" s="5">
        <f t="shared" si="87"/>
        <v>50378.151260504201</v>
      </c>
      <c r="R1899" s="5">
        <f t="shared" si="88"/>
        <v>19352</v>
      </c>
      <c r="S1899" s="5">
        <f t="shared" si="89"/>
        <v>31026.151260504201</v>
      </c>
    </row>
    <row r="1900" spans="1:19" hidden="1" x14ac:dyDescent="0.3">
      <c r="A1900">
        <v>140</v>
      </c>
      <c r="B1900" t="s">
        <v>3524</v>
      </c>
      <c r="C1900" t="s">
        <v>3540</v>
      </c>
      <c r="D1900" s="2" t="s">
        <v>3541</v>
      </c>
      <c r="E1900" t="s">
        <v>3542</v>
      </c>
      <c r="F1900" t="s">
        <v>20</v>
      </c>
      <c r="G1900" t="s">
        <v>338</v>
      </c>
      <c r="H1900">
        <v>83717</v>
      </c>
      <c r="I1900" t="s">
        <v>23</v>
      </c>
      <c r="J1900" t="s">
        <v>40</v>
      </c>
      <c r="K1900" s="2" t="s">
        <v>2344</v>
      </c>
      <c r="L1900" t="s">
        <v>26</v>
      </c>
      <c r="M1900">
        <v>222814</v>
      </c>
      <c r="N1900">
        <v>1</v>
      </c>
      <c r="O1900" s="3">
        <v>89950</v>
      </c>
      <c r="P1900" s="3">
        <v>30263</v>
      </c>
      <c r="Q1900" s="5">
        <f t="shared" si="87"/>
        <v>75588.23529411765</v>
      </c>
      <c r="R1900" s="5">
        <f t="shared" si="88"/>
        <v>30263</v>
      </c>
      <c r="S1900" s="5">
        <f t="shared" si="89"/>
        <v>45325.23529411765</v>
      </c>
    </row>
    <row r="1901" spans="1:19" hidden="1" x14ac:dyDescent="0.3">
      <c r="A1901">
        <v>140</v>
      </c>
      <c r="B1901" t="s">
        <v>3524</v>
      </c>
      <c r="C1901" t="s">
        <v>3543</v>
      </c>
      <c r="D1901" s="2" t="s">
        <v>3544</v>
      </c>
      <c r="E1901" t="s">
        <v>3183</v>
      </c>
      <c r="F1901" t="s">
        <v>20</v>
      </c>
      <c r="G1901" t="s">
        <v>21</v>
      </c>
      <c r="H1901" t="s">
        <v>614</v>
      </c>
      <c r="I1901" t="s">
        <v>23</v>
      </c>
      <c r="J1901" t="s">
        <v>40</v>
      </c>
      <c r="K1901" s="2" t="s">
        <v>2344</v>
      </c>
      <c r="L1901" t="s">
        <v>26</v>
      </c>
      <c r="M1901">
        <v>222815</v>
      </c>
      <c r="N1901">
        <v>1</v>
      </c>
      <c r="O1901" s="3">
        <v>39990</v>
      </c>
      <c r="P1901" s="3">
        <v>17378</v>
      </c>
      <c r="Q1901" s="5">
        <f t="shared" si="87"/>
        <v>33605.042016806721</v>
      </c>
      <c r="R1901" s="5">
        <f t="shared" si="88"/>
        <v>17378</v>
      </c>
      <c r="S1901" s="5">
        <f t="shared" si="89"/>
        <v>16227.042016806721</v>
      </c>
    </row>
    <row r="1902" spans="1:19" hidden="1" x14ac:dyDescent="0.3">
      <c r="A1902">
        <v>140</v>
      </c>
      <c r="B1902" t="s">
        <v>3524</v>
      </c>
      <c r="C1902" t="s">
        <v>3545</v>
      </c>
      <c r="D1902" s="2" t="s">
        <v>3546</v>
      </c>
      <c r="E1902" t="s">
        <v>938</v>
      </c>
      <c r="F1902" t="s">
        <v>20</v>
      </c>
      <c r="G1902" t="s">
        <v>21</v>
      </c>
      <c r="H1902" t="s">
        <v>317</v>
      </c>
      <c r="I1902" t="s">
        <v>23</v>
      </c>
      <c r="J1902" t="s">
        <v>35</v>
      </c>
      <c r="K1902" s="2" t="s">
        <v>2344</v>
      </c>
      <c r="L1902" t="s">
        <v>26</v>
      </c>
      <c r="M1902">
        <v>222815</v>
      </c>
      <c r="N1902">
        <v>1</v>
      </c>
      <c r="O1902" s="3">
        <v>69950</v>
      </c>
      <c r="P1902" s="3">
        <v>26745</v>
      </c>
      <c r="Q1902" s="5">
        <f t="shared" si="87"/>
        <v>58781.512605042022</v>
      </c>
      <c r="R1902" s="5">
        <f t="shared" si="88"/>
        <v>26745</v>
      </c>
      <c r="S1902" s="5">
        <f t="shared" si="89"/>
        <v>32036.512605042022</v>
      </c>
    </row>
    <row r="1903" spans="1:19" hidden="1" x14ac:dyDescent="0.3">
      <c r="A1903">
        <v>140</v>
      </c>
      <c r="B1903" t="s">
        <v>3524</v>
      </c>
      <c r="C1903" t="s">
        <v>3547</v>
      </c>
      <c r="D1903" s="2" t="s">
        <v>3548</v>
      </c>
      <c r="E1903" t="s">
        <v>3549</v>
      </c>
      <c r="F1903" t="s">
        <v>377</v>
      </c>
      <c r="G1903" t="s">
        <v>21</v>
      </c>
      <c r="H1903" t="s">
        <v>378</v>
      </c>
      <c r="I1903" t="s">
        <v>23</v>
      </c>
      <c r="J1903" t="s">
        <v>379</v>
      </c>
      <c r="K1903" s="2" t="s">
        <v>2344</v>
      </c>
      <c r="L1903" t="s">
        <v>26</v>
      </c>
      <c r="M1903">
        <v>222816</v>
      </c>
      <c r="N1903">
        <v>1</v>
      </c>
      <c r="O1903" s="3">
        <v>5950</v>
      </c>
      <c r="P1903" s="3">
        <v>3184</v>
      </c>
      <c r="Q1903" s="5">
        <f t="shared" si="87"/>
        <v>5000</v>
      </c>
      <c r="R1903" s="5">
        <f t="shared" si="88"/>
        <v>3184</v>
      </c>
      <c r="S1903" s="5">
        <f t="shared" si="89"/>
        <v>1816</v>
      </c>
    </row>
    <row r="1904" spans="1:19" hidden="1" x14ac:dyDescent="0.3">
      <c r="A1904">
        <v>140</v>
      </c>
      <c r="B1904" t="s">
        <v>3524</v>
      </c>
      <c r="C1904" t="s">
        <v>3550</v>
      </c>
      <c r="D1904" s="2" t="s">
        <v>3551</v>
      </c>
      <c r="E1904" t="s">
        <v>1668</v>
      </c>
      <c r="F1904" t="s">
        <v>20</v>
      </c>
      <c r="G1904" t="s">
        <v>338</v>
      </c>
      <c r="H1904">
        <v>23603</v>
      </c>
      <c r="I1904" t="s">
        <v>23</v>
      </c>
      <c r="J1904" t="s">
        <v>40</v>
      </c>
      <c r="K1904" s="2" t="s">
        <v>2344</v>
      </c>
      <c r="L1904" t="s">
        <v>26</v>
      </c>
      <c r="M1904">
        <v>222817</v>
      </c>
      <c r="N1904">
        <v>1</v>
      </c>
      <c r="O1904" s="3">
        <v>69950</v>
      </c>
      <c r="P1904" s="3">
        <v>22607</v>
      </c>
      <c r="Q1904" s="5">
        <f t="shared" si="87"/>
        <v>58781.512605042022</v>
      </c>
      <c r="R1904" s="5">
        <f t="shared" si="88"/>
        <v>22607</v>
      </c>
      <c r="S1904" s="5">
        <f t="shared" si="89"/>
        <v>36174.512605042022</v>
      </c>
    </row>
    <row r="1905" spans="1:19" hidden="1" x14ac:dyDescent="0.3">
      <c r="A1905">
        <v>140</v>
      </c>
      <c r="B1905" t="s">
        <v>3524</v>
      </c>
      <c r="C1905" t="s">
        <v>3552</v>
      </c>
      <c r="D1905" s="2" t="s">
        <v>3553</v>
      </c>
      <c r="E1905" t="s">
        <v>523</v>
      </c>
      <c r="F1905" t="s">
        <v>20</v>
      </c>
      <c r="G1905" t="s">
        <v>338</v>
      </c>
      <c r="H1905">
        <v>23603</v>
      </c>
      <c r="I1905" t="s">
        <v>23</v>
      </c>
      <c r="J1905" t="s">
        <v>40</v>
      </c>
      <c r="K1905" s="2" t="s">
        <v>2344</v>
      </c>
      <c r="L1905" t="s">
        <v>26</v>
      </c>
      <c r="M1905">
        <v>222817</v>
      </c>
      <c r="N1905">
        <v>1</v>
      </c>
      <c r="O1905" s="3">
        <v>59450</v>
      </c>
      <c r="P1905" s="3">
        <v>22607</v>
      </c>
      <c r="Q1905" s="5">
        <f t="shared" si="87"/>
        <v>49957.983193277316</v>
      </c>
      <c r="R1905" s="5">
        <f t="shared" si="88"/>
        <v>22607</v>
      </c>
      <c r="S1905" s="5">
        <f t="shared" si="89"/>
        <v>27350.983193277316</v>
      </c>
    </row>
    <row r="1906" spans="1:19" hidden="1" x14ac:dyDescent="0.3">
      <c r="A1906">
        <v>140</v>
      </c>
      <c r="B1906" t="s">
        <v>3524</v>
      </c>
      <c r="C1906" t="s">
        <v>3153</v>
      </c>
      <c r="D1906" s="2" t="s">
        <v>3154</v>
      </c>
      <c r="E1906" t="s">
        <v>3155</v>
      </c>
      <c r="F1906" t="s">
        <v>20</v>
      </c>
      <c r="G1906" t="s">
        <v>21</v>
      </c>
      <c r="H1906" t="s">
        <v>970</v>
      </c>
      <c r="I1906" t="s">
        <v>23</v>
      </c>
      <c r="J1906" t="s">
        <v>40</v>
      </c>
      <c r="K1906" s="2" t="s">
        <v>2344</v>
      </c>
      <c r="L1906" t="s">
        <v>26</v>
      </c>
      <c r="M1906">
        <v>222818</v>
      </c>
      <c r="N1906">
        <v>1</v>
      </c>
      <c r="O1906" s="3">
        <v>59950</v>
      </c>
      <c r="P1906" s="3">
        <v>19352</v>
      </c>
      <c r="Q1906" s="5">
        <f t="shared" si="87"/>
        <v>50378.151260504201</v>
      </c>
      <c r="R1906" s="5">
        <f t="shared" si="88"/>
        <v>19352</v>
      </c>
      <c r="S1906" s="5">
        <f t="shared" si="89"/>
        <v>31026.151260504201</v>
      </c>
    </row>
    <row r="1907" spans="1:19" hidden="1" x14ac:dyDescent="0.3">
      <c r="A1907">
        <v>140</v>
      </c>
      <c r="B1907" t="s">
        <v>3524</v>
      </c>
      <c r="C1907" t="s">
        <v>3554</v>
      </c>
      <c r="D1907" s="2" t="s">
        <v>3555</v>
      </c>
      <c r="E1907" t="s">
        <v>3183</v>
      </c>
      <c r="F1907" t="s">
        <v>20</v>
      </c>
      <c r="G1907" t="s">
        <v>21</v>
      </c>
      <c r="H1907" t="s">
        <v>614</v>
      </c>
      <c r="I1907" t="s">
        <v>23</v>
      </c>
      <c r="J1907" t="s">
        <v>40</v>
      </c>
      <c r="K1907" s="2" t="s">
        <v>2344</v>
      </c>
      <c r="L1907" t="s">
        <v>26</v>
      </c>
      <c r="M1907">
        <v>222819</v>
      </c>
      <c r="N1907">
        <v>1</v>
      </c>
      <c r="O1907" s="3">
        <v>39990</v>
      </c>
      <c r="P1907" s="3">
        <v>17378</v>
      </c>
      <c r="Q1907" s="5">
        <f t="shared" si="87"/>
        <v>33605.042016806721</v>
      </c>
      <c r="R1907" s="5">
        <f t="shared" si="88"/>
        <v>17378</v>
      </c>
      <c r="S1907" s="5">
        <f t="shared" si="89"/>
        <v>16227.042016806721</v>
      </c>
    </row>
    <row r="1908" spans="1:19" hidden="1" x14ac:dyDescent="0.3">
      <c r="A1908">
        <v>140</v>
      </c>
      <c r="B1908" t="s">
        <v>3524</v>
      </c>
      <c r="C1908" t="s">
        <v>3556</v>
      </c>
      <c r="D1908" s="2" t="s">
        <v>3557</v>
      </c>
      <c r="E1908" t="s">
        <v>2837</v>
      </c>
      <c r="F1908" t="s">
        <v>20</v>
      </c>
      <c r="G1908" t="s">
        <v>21</v>
      </c>
      <c r="H1908" t="s">
        <v>272</v>
      </c>
      <c r="I1908" t="s">
        <v>23</v>
      </c>
      <c r="J1908" t="s">
        <v>40</v>
      </c>
      <c r="K1908" s="2" t="s">
        <v>2344</v>
      </c>
      <c r="L1908" t="s">
        <v>26</v>
      </c>
      <c r="M1908">
        <v>222820</v>
      </c>
      <c r="N1908">
        <v>1</v>
      </c>
      <c r="O1908" s="3">
        <v>74950</v>
      </c>
      <c r="P1908" s="3">
        <v>26159</v>
      </c>
      <c r="Q1908" s="5">
        <f t="shared" si="87"/>
        <v>62983.193277310929</v>
      </c>
      <c r="R1908" s="5">
        <f t="shared" si="88"/>
        <v>26159</v>
      </c>
      <c r="S1908" s="5">
        <f t="shared" si="89"/>
        <v>36824.193277310929</v>
      </c>
    </row>
    <row r="1909" spans="1:19" hidden="1" x14ac:dyDescent="0.3">
      <c r="A1909">
        <v>140</v>
      </c>
      <c r="B1909" t="s">
        <v>3524</v>
      </c>
      <c r="C1909" t="s">
        <v>3346</v>
      </c>
      <c r="D1909" s="2" t="s">
        <v>3347</v>
      </c>
      <c r="E1909" t="s">
        <v>2468</v>
      </c>
      <c r="F1909" t="s">
        <v>20</v>
      </c>
      <c r="G1909" t="s">
        <v>21</v>
      </c>
      <c r="H1909" t="s">
        <v>2469</v>
      </c>
      <c r="I1909" t="s">
        <v>23</v>
      </c>
      <c r="J1909" t="s">
        <v>49</v>
      </c>
      <c r="K1909" s="2" t="s">
        <v>2344</v>
      </c>
      <c r="L1909" t="s">
        <v>26</v>
      </c>
      <c r="M1909">
        <v>222821</v>
      </c>
      <c r="N1909">
        <v>1</v>
      </c>
      <c r="O1909" s="3">
        <v>64950</v>
      </c>
      <c r="P1909" s="3">
        <v>19047</v>
      </c>
      <c r="Q1909" s="5">
        <f t="shared" si="87"/>
        <v>54579.831932773115</v>
      </c>
      <c r="R1909" s="5">
        <f t="shared" si="88"/>
        <v>19047</v>
      </c>
      <c r="S1909" s="5">
        <f t="shared" si="89"/>
        <v>35532.831932773115</v>
      </c>
    </row>
    <row r="1910" spans="1:19" hidden="1" x14ac:dyDescent="0.3">
      <c r="A1910">
        <v>140</v>
      </c>
      <c r="B1910" t="s">
        <v>3524</v>
      </c>
      <c r="C1910" t="s">
        <v>3558</v>
      </c>
      <c r="D1910" s="2" t="s">
        <v>3559</v>
      </c>
      <c r="E1910" t="s">
        <v>1736</v>
      </c>
      <c r="F1910" t="s">
        <v>20</v>
      </c>
      <c r="G1910" t="s">
        <v>21</v>
      </c>
      <c r="H1910" t="s">
        <v>783</v>
      </c>
      <c r="I1910" t="s">
        <v>23</v>
      </c>
      <c r="J1910" t="s">
        <v>40</v>
      </c>
      <c r="K1910" s="2" t="s">
        <v>2344</v>
      </c>
      <c r="L1910" t="s">
        <v>26</v>
      </c>
      <c r="M1910">
        <v>222822</v>
      </c>
      <c r="N1910">
        <v>1</v>
      </c>
      <c r="O1910" s="3">
        <v>34960</v>
      </c>
      <c r="P1910" s="3">
        <v>17194</v>
      </c>
      <c r="Q1910" s="5">
        <f t="shared" si="87"/>
        <v>29378.151260504204</v>
      </c>
      <c r="R1910" s="5">
        <f t="shared" si="88"/>
        <v>17194</v>
      </c>
      <c r="S1910" s="5">
        <f t="shared" si="89"/>
        <v>12184.151260504204</v>
      </c>
    </row>
    <row r="1911" spans="1:19" hidden="1" x14ac:dyDescent="0.3">
      <c r="A1911">
        <v>140</v>
      </c>
      <c r="B1911" t="s">
        <v>3524</v>
      </c>
      <c r="C1911" t="s">
        <v>3534</v>
      </c>
      <c r="D1911" s="2" t="s">
        <v>3535</v>
      </c>
      <c r="E1911" t="s">
        <v>2923</v>
      </c>
      <c r="F1911" t="s">
        <v>20</v>
      </c>
      <c r="G1911" t="s">
        <v>21</v>
      </c>
      <c r="H1911" t="s">
        <v>818</v>
      </c>
      <c r="I1911" t="s">
        <v>23</v>
      </c>
      <c r="J1911" t="s">
        <v>35</v>
      </c>
      <c r="K1911" s="2" t="s">
        <v>2344</v>
      </c>
      <c r="L1911" t="s">
        <v>26</v>
      </c>
      <c r="M1911">
        <v>222823</v>
      </c>
      <c r="N1911">
        <v>1</v>
      </c>
      <c r="O1911" s="3">
        <v>89950</v>
      </c>
      <c r="P1911" s="3">
        <v>32840</v>
      </c>
      <c r="Q1911" s="5">
        <f t="shared" si="87"/>
        <v>75588.23529411765</v>
      </c>
      <c r="R1911" s="5">
        <f t="shared" si="88"/>
        <v>32840</v>
      </c>
      <c r="S1911" s="5">
        <f t="shared" si="89"/>
        <v>42748.23529411765</v>
      </c>
    </row>
    <row r="1912" spans="1:19" hidden="1" x14ac:dyDescent="0.3">
      <c r="A1912">
        <v>140</v>
      </c>
      <c r="B1912" t="s">
        <v>3524</v>
      </c>
      <c r="C1912" t="s">
        <v>3560</v>
      </c>
      <c r="D1912" s="2" t="s">
        <v>3561</v>
      </c>
      <c r="E1912" t="s">
        <v>2711</v>
      </c>
      <c r="F1912" t="s">
        <v>20</v>
      </c>
      <c r="G1912" t="s">
        <v>21</v>
      </c>
      <c r="H1912" t="s">
        <v>614</v>
      </c>
      <c r="I1912" t="s">
        <v>23</v>
      </c>
      <c r="J1912" t="s">
        <v>40</v>
      </c>
      <c r="K1912" s="2" t="s">
        <v>2344</v>
      </c>
      <c r="L1912" t="s">
        <v>26</v>
      </c>
      <c r="M1912">
        <v>222824</v>
      </c>
      <c r="N1912">
        <v>1</v>
      </c>
      <c r="O1912" s="3">
        <v>39990</v>
      </c>
      <c r="P1912" s="3">
        <v>17070</v>
      </c>
      <c r="Q1912" s="5">
        <f t="shared" si="87"/>
        <v>33605.042016806721</v>
      </c>
      <c r="R1912" s="5">
        <f t="shared" si="88"/>
        <v>17070</v>
      </c>
      <c r="S1912" s="5">
        <f t="shared" si="89"/>
        <v>16535.042016806721</v>
      </c>
    </row>
    <row r="1913" spans="1:19" hidden="1" x14ac:dyDescent="0.3">
      <c r="A1913">
        <v>140</v>
      </c>
      <c r="B1913" t="s">
        <v>3524</v>
      </c>
      <c r="C1913" t="s">
        <v>3562</v>
      </c>
      <c r="D1913" s="2" t="s">
        <v>3563</v>
      </c>
      <c r="E1913" t="s">
        <v>3564</v>
      </c>
      <c r="F1913" t="s">
        <v>20</v>
      </c>
      <c r="G1913" t="s">
        <v>215</v>
      </c>
      <c r="H1913" t="s">
        <v>3045</v>
      </c>
      <c r="I1913" t="s">
        <v>23</v>
      </c>
      <c r="J1913" t="s">
        <v>35</v>
      </c>
      <c r="K1913" s="2" t="s">
        <v>2344</v>
      </c>
      <c r="L1913" t="s">
        <v>26</v>
      </c>
      <c r="M1913">
        <v>222825</v>
      </c>
      <c r="N1913">
        <v>1</v>
      </c>
      <c r="O1913" s="3">
        <v>69990</v>
      </c>
      <c r="P1913" s="3">
        <v>40434</v>
      </c>
      <c r="Q1913" s="5">
        <f t="shared" si="87"/>
        <v>58815.126050420171</v>
      </c>
      <c r="R1913" s="5">
        <f t="shared" si="88"/>
        <v>40434</v>
      </c>
      <c r="S1913" s="5">
        <f t="shared" si="89"/>
        <v>18381.126050420171</v>
      </c>
    </row>
    <row r="1914" spans="1:19" hidden="1" x14ac:dyDescent="0.3">
      <c r="A1914">
        <v>140</v>
      </c>
      <c r="B1914" t="s">
        <v>3524</v>
      </c>
      <c r="C1914" t="s">
        <v>3565</v>
      </c>
      <c r="D1914" s="2" t="s">
        <v>3566</v>
      </c>
      <c r="E1914" t="s">
        <v>3022</v>
      </c>
      <c r="F1914" t="s">
        <v>20</v>
      </c>
      <c r="G1914" t="s">
        <v>21</v>
      </c>
      <c r="H1914" t="s">
        <v>614</v>
      </c>
      <c r="I1914" t="s">
        <v>23</v>
      </c>
      <c r="J1914" t="s">
        <v>35</v>
      </c>
      <c r="K1914" s="2" t="s">
        <v>2344</v>
      </c>
      <c r="L1914" t="s">
        <v>26</v>
      </c>
      <c r="M1914">
        <v>222826</v>
      </c>
      <c r="N1914">
        <v>1</v>
      </c>
      <c r="O1914" s="3">
        <v>64950</v>
      </c>
      <c r="P1914" s="3">
        <v>18266</v>
      </c>
      <c r="Q1914" s="5">
        <f t="shared" si="87"/>
        <v>54579.831932773115</v>
      </c>
      <c r="R1914" s="5">
        <f t="shared" si="88"/>
        <v>18266</v>
      </c>
      <c r="S1914" s="5">
        <f t="shared" si="89"/>
        <v>36313.831932773115</v>
      </c>
    </row>
    <row r="1915" spans="1:19" hidden="1" x14ac:dyDescent="0.3">
      <c r="A1915">
        <v>140</v>
      </c>
      <c r="B1915" t="s">
        <v>3524</v>
      </c>
      <c r="C1915" t="s">
        <v>3567</v>
      </c>
      <c r="D1915" s="2" t="s">
        <v>3568</v>
      </c>
      <c r="E1915" t="s">
        <v>2292</v>
      </c>
      <c r="F1915" t="s">
        <v>20</v>
      </c>
      <c r="G1915" t="s">
        <v>338</v>
      </c>
      <c r="H1915">
        <v>23723</v>
      </c>
      <c r="I1915" t="s">
        <v>23</v>
      </c>
      <c r="J1915" t="s">
        <v>40</v>
      </c>
      <c r="K1915" s="2" t="s">
        <v>2344</v>
      </c>
      <c r="L1915" t="s">
        <v>26</v>
      </c>
      <c r="M1915">
        <v>222827</v>
      </c>
      <c r="N1915">
        <v>1</v>
      </c>
      <c r="O1915" s="3">
        <v>79990</v>
      </c>
      <c r="P1915" s="3">
        <v>35178</v>
      </c>
      <c r="Q1915" s="5">
        <f t="shared" si="87"/>
        <v>67218.487394957992</v>
      </c>
      <c r="R1915" s="5">
        <f t="shared" si="88"/>
        <v>35178</v>
      </c>
      <c r="S1915" s="5">
        <f t="shared" si="89"/>
        <v>32040.487394957992</v>
      </c>
    </row>
    <row r="1916" spans="1:19" hidden="1" x14ac:dyDescent="0.3">
      <c r="A1916">
        <v>140</v>
      </c>
      <c r="B1916" t="s">
        <v>3524</v>
      </c>
      <c r="C1916" t="s">
        <v>1977</v>
      </c>
      <c r="D1916" s="2" t="s">
        <v>1978</v>
      </c>
      <c r="E1916" t="s">
        <v>717</v>
      </c>
      <c r="F1916" t="s">
        <v>20</v>
      </c>
      <c r="G1916" t="s">
        <v>21</v>
      </c>
      <c r="H1916" t="s">
        <v>718</v>
      </c>
      <c r="I1916" t="s">
        <v>23</v>
      </c>
      <c r="J1916" t="s">
        <v>49</v>
      </c>
      <c r="K1916" s="2" t="s">
        <v>2344</v>
      </c>
      <c r="L1916" t="s">
        <v>26</v>
      </c>
      <c r="M1916">
        <v>222828</v>
      </c>
      <c r="N1916">
        <v>1</v>
      </c>
      <c r="O1916" s="3">
        <v>39990</v>
      </c>
      <c r="P1916" s="3">
        <v>26646</v>
      </c>
      <c r="Q1916" s="5">
        <f t="shared" si="87"/>
        <v>33605.042016806721</v>
      </c>
      <c r="R1916" s="5">
        <f t="shared" si="88"/>
        <v>26646</v>
      </c>
      <c r="S1916" s="5">
        <f t="shared" si="89"/>
        <v>6959.0420168067212</v>
      </c>
    </row>
    <row r="1917" spans="1:19" hidden="1" x14ac:dyDescent="0.3">
      <c r="A1917">
        <v>140</v>
      </c>
      <c r="B1917" t="s">
        <v>3524</v>
      </c>
      <c r="C1917" t="s">
        <v>3569</v>
      </c>
      <c r="D1917" s="2" t="s">
        <v>3570</v>
      </c>
      <c r="E1917" t="s">
        <v>2616</v>
      </c>
      <c r="F1917" t="s">
        <v>20</v>
      </c>
      <c r="G1917" t="s">
        <v>338</v>
      </c>
      <c r="H1917">
        <v>83717</v>
      </c>
      <c r="I1917" t="s">
        <v>23</v>
      </c>
      <c r="J1917" t="s">
        <v>40</v>
      </c>
      <c r="K1917" s="2" t="s">
        <v>2386</v>
      </c>
      <c r="L1917" t="s">
        <v>26</v>
      </c>
      <c r="M1917">
        <v>222829</v>
      </c>
      <c r="N1917">
        <v>1</v>
      </c>
      <c r="O1917" s="3">
        <v>89950</v>
      </c>
      <c r="P1917" s="3">
        <v>30263</v>
      </c>
      <c r="Q1917" s="5">
        <f t="shared" si="87"/>
        <v>75588.23529411765</v>
      </c>
      <c r="R1917" s="5">
        <f t="shared" si="88"/>
        <v>30263</v>
      </c>
      <c r="S1917" s="5">
        <f t="shared" si="89"/>
        <v>45325.23529411765</v>
      </c>
    </row>
    <row r="1918" spans="1:19" hidden="1" x14ac:dyDescent="0.3">
      <c r="A1918">
        <v>140</v>
      </c>
      <c r="B1918" t="s">
        <v>3524</v>
      </c>
      <c r="C1918" t="s">
        <v>2857</v>
      </c>
      <c r="D1918" s="2" t="s">
        <v>2858</v>
      </c>
      <c r="E1918" t="s">
        <v>2859</v>
      </c>
      <c r="F1918" t="s">
        <v>20</v>
      </c>
      <c r="G1918" t="s">
        <v>338</v>
      </c>
      <c r="H1918">
        <v>83717</v>
      </c>
      <c r="I1918" t="s">
        <v>23</v>
      </c>
      <c r="J1918" t="s">
        <v>40</v>
      </c>
      <c r="K1918" s="2" t="s">
        <v>2386</v>
      </c>
      <c r="L1918" t="s">
        <v>26</v>
      </c>
      <c r="M1918">
        <v>222830</v>
      </c>
      <c r="N1918">
        <v>1</v>
      </c>
      <c r="O1918" s="3">
        <v>76450</v>
      </c>
      <c r="P1918" s="3">
        <v>30263</v>
      </c>
      <c r="Q1918" s="5">
        <f t="shared" si="87"/>
        <v>64243.697478991598</v>
      </c>
      <c r="R1918" s="5">
        <f t="shared" si="88"/>
        <v>30263</v>
      </c>
      <c r="S1918" s="5">
        <f t="shared" si="89"/>
        <v>33980.697478991598</v>
      </c>
    </row>
    <row r="1919" spans="1:19" hidden="1" x14ac:dyDescent="0.3">
      <c r="A1919">
        <v>140</v>
      </c>
      <c r="B1919" t="s">
        <v>3524</v>
      </c>
      <c r="C1919" t="s">
        <v>3571</v>
      </c>
      <c r="D1919" s="2" t="s">
        <v>3572</v>
      </c>
      <c r="E1919" t="s">
        <v>3573</v>
      </c>
      <c r="F1919" t="s">
        <v>20</v>
      </c>
      <c r="G1919" t="s">
        <v>21</v>
      </c>
      <c r="H1919" t="s">
        <v>247</v>
      </c>
      <c r="I1919" t="s">
        <v>23</v>
      </c>
      <c r="J1919" t="s">
        <v>40</v>
      </c>
      <c r="K1919" s="2" t="s">
        <v>2386</v>
      </c>
      <c r="L1919" t="s">
        <v>26</v>
      </c>
      <c r="M1919">
        <v>222831</v>
      </c>
      <c r="N1919">
        <v>1</v>
      </c>
      <c r="O1919" s="3">
        <v>34990</v>
      </c>
      <c r="P1919" s="3">
        <v>16766</v>
      </c>
      <c r="Q1919" s="5">
        <f t="shared" si="87"/>
        <v>29403.361344537818</v>
      </c>
      <c r="R1919" s="5">
        <f t="shared" si="88"/>
        <v>16766</v>
      </c>
      <c r="S1919" s="5">
        <f t="shared" si="89"/>
        <v>12637.361344537818</v>
      </c>
    </row>
    <row r="1920" spans="1:19" hidden="1" x14ac:dyDescent="0.3">
      <c r="A1920">
        <v>140</v>
      </c>
      <c r="B1920" t="s">
        <v>3524</v>
      </c>
      <c r="C1920" t="s">
        <v>2830</v>
      </c>
      <c r="D1920" s="2" t="s">
        <v>2831</v>
      </c>
      <c r="E1920" t="s">
        <v>1330</v>
      </c>
      <c r="F1920" t="s">
        <v>20</v>
      </c>
      <c r="G1920" t="s">
        <v>338</v>
      </c>
      <c r="H1920">
        <v>25133</v>
      </c>
      <c r="I1920" t="s">
        <v>23</v>
      </c>
      <c r="J1920" t="s">
        <v>35</v>
      </c>
      <c r="K1920" s="2" t="s">
        <v>2386</v>
      </c>
      <c r="L1920" t="s">
        <v>26</v>
      </c>
      <c r="M1920">
        <v>222832</v>
      </c>
      <c r="N1920">
        <v>1</v>
      </c>
      <c r="O1920" s="3">
        <v>74950</v>
      </c>
      <c r="P1920" s="3">
        <v>21167</v>
      </c>
      <c r="Q1920" s="5">
        <f t="shared" si="87"/>
        <v>62983.193277310929</v>
      </c>
      <c r="R1920" s="5">
        <f t="shared" si="88"/>
        <v>21167</v>
      </c>
      <c r="S1920" s="5">
        <f t="shared" si="89"/>
        <v>41816.193277310929</v>
      </c>
    </row>
    <row r="1921" spans="1:19" hidden="1" x14ac:dyDescent="0.3">
      <c r="A1921">
        <v>140</v>
      </c>
      <c r="B1921" t="s">
        <v>3524</v>
      </c>
      <c r="C1921" t="s">
        <v>3574</v>
      </c>
      <c r="D1921" s="2" t="s">
        <v>3575</v>
      </c>
      <c r="E1921" t="s">
        <v>523</v>
      </c>
      <c r="F1921" t="s">
        <v>20</v>
      </c>
      <c r="G1921" t="s">
        <v>338</v>
      </c>
      <c r="H1921">
        <v>23603</v>
      </c>
      <c r="I1921" t="s">
        <v>23</v>
      </c>
      <c r="J1921" t="s">
        <v>40</v>
      </c>
      <c r="K1921" s="2" t="s">
        <v>2386</v>
      </c>
      <c r="L1921" t="s">
        <v>26</v>
      </c>
      <c r="M1921">
        <v>222833</v>
      </c>
      <c r="N1921">
        <v>1</v>
      </c>
      <c r="O1921" s="3">
        <v>69950</v>
      </c>
      <c r="P1921" s="3">
        <v>22607</v>
      </c>
      <c r="Q1921" s="5">
        <f t="shared" si="87"/>
        <v>58781.512605042022</v>
      </c>
      <c r="R1921" s="5">
        <f t="shared" si="88"/>
        <v>22607</v>
      </c>
      <c r="S1921" s="5">
        <f t="shared" si="89"/>
        <v>36174.512605042022</v>
      </c>
    </row>
    <row r="1922" spans="1:19" hidden="1" x14ac:dyDescent="0.3">
      <c r="A1922">
        <v>140</v>
      </c>
      <c r="B1922" t="s">
        <v>3524</v>
      </c>
      <c r="C1922" t="s">
        <v>3576</v>
      </c>
      <c r="D1922" s="2" t="s">
        <v>3577</v>
      </c>
      <c r="E1922" t="s">
        <v>3564</v>
      </c>
      <c r="F1922" t="s">
        <v>20</v>
      </c>
      <c r="G1922" t="s">
        <v>215</v>
      </c>
      <c r="H1922" t="s">
        <v>3045</v>
      </c>
      <c r="I1922" t="s">
        <v>23</v>
      </c>
      <c r="J1922" t="s">
        <v>35</v>
      </c>
      <c r="K1922" s="2" t="s">
        <v>2386</v>
      </c>
      <c r="L1922" t="s">
        <v>26</v>
      </c>
      <c r="M1922">
        <v>222834</v>
      </c>
      <c r="N1922">
        <v>1</v>
      </c>
      <c r="O1922" s="3">
        <v>69990</v>
      </c>
      <c r="P1922" s="3">
        <v>40434</v>
      </c>
      <c r="Q1922" s="5">
        <f t="shared" si="87"/>
        <v>58815.126050420171</v>
      </c>
      <c r="R1922" s="5">
        <f t="shared" si="88"/>
        <v>40434</v>
      </c>
      <c r="S1922" s="5">
        <f t="shared" si="89"/>
        <v>18381.126050420171</v>
      </c>
    </row>
    <row r="1923" spans="1:19" hidden="1" x14ac:dyDescent="0.3">
      <c r="A1923">
        <v>140</v>
      </c>
      <c r="B1923" t="s">
        <v>3524</v>
      </c>
      <c r="C1923" t="s">
        <v>1761</v>
      </c>
      <c r="D1923" s="2" t="s">
        <v>1762</v>
      </c>
      <c r="E1923" t="s">
        <v>1763</v>
      </c>
      <c r="F1923" t="s">
        <v>377</v>
      </c>
      <c r="G1923" t="s">
        <v>21</v>
      </c>
      <c r="H1923" t="s">
        <v>378</v>
      </c>
      <c r="I1923" t="s">
        <v>23</v>
      </c>
      <c r="J1923" t="s">
        <v>379</v>
      </c>
      <c r="K1923" s="2" t="s">
        <v>2386</v>
      </c>
      <c r="L1923" t="s">
        <v>26</v>
      </c>
      <c r="M1923">
        <v>222835</v>
      </c>
      <c r="N1923">
        <v>1</v>
      </c>
      <c r="O1923" s="3">
        <v>5950</v>
      </c>
      <c r="P1923" s="3">
        <v>3279</v>
      </c>
      <c r="Q1923" s="5">
        <f t="shared" si="87"/>
        <v>5000</v>
      </c>
      <c r="R1923" s="5">
        <f t="shared" si="88"/>
        <v>3279</v>
      </c>
      <c r="S1923" s="5">
        <f t="shared" si="89"/>
        <v>1721</v>
      </c>
    </row>
    <row r="1924" spans="1:19" hidden="1" x14ac:dyDescent="0.3">
      <c r="A1924">
        <v>140</v>
      </c>
      <c r="B1924" t="s">
        <v>3524</v>
      </c>
      <c r="C1924" t="s">
        <v>3578</v>
      </c>
      <c r="D1924" s="2" t="s">
        <v>3579</v>
      </c>
      <c r="E1924" t="s">
        <v>2558</v>
      </c>
      <c r="F1924" t="s">
        <v>20</v>
      </c>
      <c r="G1924" t="s">
        <v>21</v>
      </c>
      <c r="H1924" t="s">
        <v>870</v>
      </c>
      <c r="I1924" t="s">
        <v>23</v>
      </c>
      <c r="J1924" t="s">
        <v>49</v>
      </c>
      <c r="K1924" s="2" t="s">
        <v>2386</v>
      </c>
      <c r="L1924" t="s">
        <v>26</v>
      </c>
      <c r="M1924">
        <v>222836</v>
      </c>
      <c r="N1924">
        <v>1</v>
      </c>
      <c r="O1924" s="3">
        <v>64950</v>
      </c>
      <c r="P1924" s="3">
        <v>22955</v>
      </c>
      <c r="Q1924" s="5">
        <f t="shared" si="87"/>
        <v>54579.831932773115</v>
      </c>
      <c r="R1924" s="5">
        <f t="shared" si="88"/>
        <v>22955</v>
      </c>
      <c r="S1924" s="5">
        <f t="shared" si="89"/>
        <v>31624.831932773115</v>
      </c>
    </row>
    <row r="1925" spans="1:19" hidden="1" x14ac:dyDescent="0.3">
      <c r="A1925">
        <v>140</v>
      </c>
      <c r="B1925" t="s">
        <v>3524</v>
      </c>
      <c r="C1925" t="s">
        <v>3580</v>
      </c>
      <c r="D1925" s="2" t="s">
        <v>3581</v>
      </c>
      <c r="E1925" t="s">
        <v>2834</v>
      </c>
      <c r="F1925" t="s">
        <v>20</v>
      </c>
      <c r="G1925" t="s">
        <v>21</v>
      </c>
      <c r="H1925" t="s">
        <v>870</v>
      </c>
      <c r="I1925" t="s">
        <v>23</v>
      </c>
      <c r="J1925" t="s">
        <v>49</v>
      </c>
      <c r="K1925" s="2" t="s">
        <v>2386</v>
      </c>
      <c r="L1925" t="s">
        <v>26</v>
      </c>
      <c r="M1925">
        <v>222837</v>
      </c>
      <c r="N1925">
        <v>1</v>
      </c>
      <c r="O1925" s="3">
        <v>64950</v>
      </c>
      <c r="P1925" s="3">
        <v>23542</v>
      </c>
      <c r="Q1925" s="5">
        <f t="shared" si="87"/>
        <v>54579.831932773115</v>
      </c>
      <c r="R1925" s="5">
        <f t="shared" si="88"/>
        <v>23542</v>
      </c>
      <c r="S1925" s="5">
        <f t="shared" si="89"/>
        <v>31037.831932773115</v>
      </c>
    </row>
    <row r="1926" spans="1:19" hidden="1" x14ac:dyDescent="0.3">
      <c r="A1926">
        <v>140</v>
      </c>
      <c r="B1926" t="s">
        <v>3524</v>
      </c>
      <c r="C1926" t="s">
        <v>3582</v>
      </c>
      <c r="D1926" s="2" t="s">
        <v>3583</v>
      </c>
      <c r="E1926" t="s">
        <v>3531</v>
      </c>
      <c r="F1926" t="s">
        <v>20</v>
      </c>
      <c r="G1926" t="s">
        <v>338</v>
      </c>
      <c r="H1926">
        <v>84316</v>
      </c>
      <c r="I1926" t="s">
        <v>23</v>
      </c>
      <c r="J1926" t="s">
        <v>49</v>
      </c>
      <c r="K1926" s="2" t="s">
        <v>2386</v>
      </c>
      <c r="L1926" t="s">
        <v>26</v>
      </c>
      <c r="M1926">
        <v>222838</v>
      </c>
      <c r="N1926">
        <v>1</v>
      </c>
      <c r="O1926" s="3">
        <v>89950</v>
      </c>
      <c r="P1926" s="3">
        <v>31128</v>
      </c>
      <c r="Q1926" s="5">
        <f t="shared" ref="Q1926:Q1989" si="90">O1926/1.19</f>
        <v>75588.23529411765</v>
      </c>
      <c r="R1926" s="5">
        <f t="shared" ref="R1926:R1989" si="91">N1926*P1926</f>
        <v>31128</v>
      </c>
      <c r="S1926" s="5">
        <f t="shared" ref="S1926:S1989" si="92">Q1926-R1926</f>
        <v>44460.23529411765</v>
      </c>
    </row>
    <row r="1927" spans="1:19" hidden="1" x14ac:dyDescent="0.3">
      <c r="A1927">
        <v>140</v>
      </c>
      <c r="B1927" t="s">
        <v>3524</v>
      </c>
      <c r="C1927" t="s">
        <v>3584</v>
      </c>
      <c r="D1927" s="2" t="s">
        <v>3585</v>
      </c>
      <c r="E1927" t="s">
        <v>1828</v>
      </c>
      <c r="F1927" t="s">
        <v>20</v>
      </c>
      <c r="G1927" t="s">
        <v>21</v>
      </c>
      <c r="H1927" t="s">
        <v>1689</v>
      </c>
      <c r="I1927" t="s">
        <v>23</v>
      </c>
      <c r="J1927" t="s">
        <v>49</v>
      </c>
      <c r="K1927" s="2" t="s">
        <v>2386</v>
      </c>
      <c r="L1927" t="s">
        <v>26</v>
      </c>
      <c r="M1927">
        <v>222839</v>
      </c>
      <c r="N1927">
        <v>1</v>
      </c>
      <c r="O1927" s="3">
        <v>54990</v>
      </c>
      <c r="P1927" s="3">
        <v>37162</v>
      </c>
      <c r="Q1927" s="5">
        <f t="shared" si="90"/>
        <v>46210.08403361345</v>
      </c>
      <c r="R1927" s="5">
        <f t="shared" si="91"/>
        <v>37162</v>
      </c>
      <c r="S1927" s="5">
        <f t="shared" si="92"/>
        <v>9048.0840336134497</v>
      </c>
    </row>
    <row r="1928" spans="1:19" hidden="1" x14ac:dyDescent="0.3">
      <c r="A1928">
        <v>140</v>
      </c>
      <c r="B1928" t="s">
        <v>3524</v>
      </c>
      <c r="C1928" t="s">
        <v>1037</v>
      </c>
      <c r="D1928" s="2" t="s">
        <v>1038</v>
      </c>
      <c r="E1928" t="s">
        <v>1039</v>
      </c>
      <c r="F1928" t="s">
        <v>377</v>
      </c>
      <c r="G1928" t="s">
        <v>21</v>
      </c>
      <c r="H1928" t="s">
        <v>378</v>
      </c>
      <c r="I1928" t="s">
        <v>23</v>
      </c>
      <c r="J1928" t="s">
        <v>379</v>
      </c>
      <c r="K1928" s="2" t="s">
        <v>2386</v>
      </c>
      <c r="L1928" t="s">
        <v>26</v>
      </c>
      <c r="M1928">
        <v>222840</v>
      </c>
      <c r="N1928">
        <v>1</v>
      </c>
      <c r="O1928" s="3">
        <v>5950</v>
      </c>
      <c r="P1928" s="3">
        <v>3257</v>
      </c>
      <c r="Q1928" s="5">
        <f t="shared" si="90"/>
        <v>5000</v>
      </c>
      <c r="R1928" s="5">
        <f t="shared" si="91"/>
        <v>3257</v>
      </c>
      <c r="S1928" s="5">
        <f t="shared" si="92"/>
        <v>1743</v>
      </c>
    </row>
    <row r="1929" spans="1:19" hidden="1" x14ac:dyDescent="0.3">
      <c r="A1929">
        <v>140</v>
      </c>
      <c r="B1929" t="s">
        <v>3524</v>
      </c>
      <c r="C1929" t="s">
        <v>3586</v>
      </c>
      <c r="D1929" s="2" t="s">
        <v>3587</v>
      </c>
      <c r="E1929" t="s">
        <v>3449</v>
      </c>
      <c r="F1929" t="s">
        <v>20</v>
      </c>
      <c r="G1929" t="s">
        <v>338</v>
      </c>
      <c r="H1929">
        <v>25366</v>
      </c>
      <c r="I1929" t="s">
        <v>23</v>
      </c>
      <c r="J1929" t="s">
        <v>35</v>
      </c>
      <c r="K1929" s="2" t="s">
        <v>2386</v>
      </c>
      <c r="L1929" t="s">
        <v>26</v>
      </c>
      <c r="M1929">
        <v>222841</v>
      </c>
      <c r="N1929">
        <v>1</v>
      </c>
      <c r="O1929" s="3">
        <v>99950</v>
      </c>
      <c r="P1929" s="3">
        <v>33157</v>
      </c>
      <c r="Q1929" s="5">
        <f t="shared" si="90"/>
        <v>83991.596638655465</v>
      </c>
      <c r="R1929" s="5">
        <f t="shared" si="91"/>
        <v>33157</v>
      </c>
      <c r="S1929" s="5">
        <f t="shared" si="92"/>
        <v>50834.596638655465</v>
      </c>
    </row>
    <row r="1930" spans="1:19" hidden="1" x14ac:dyDescent="0.3">
      <c r="A1930">
        <v>140</v>
      </c>
      <c r="B1930" t="s">
        <v>3524</v>
      </c>
      <c r="C1930" t="s">
        <v>3588</v>
      </c>
      <c r="D1930" s="2" t="s">
        <v>3589</v>
      </c>
      <c r="E1930" t="s">
        <v>3590</v>
      </c>
      <c r="F1930" t="s">
        <v>20</v>
      </c>
      <c r="G1930" t="s">
        <v>21</v>
      </c>
      <c r="H1930" t="s">
        <v>729</v>
      </c>
      <c r="I1930" t="s">
        <v>23</v>
      </c>
      <c r="J1930" t="s">
        <v>207</v>
      </c>
      <c r="K1930" s="2" t="s">
        <v>2386</v>
      </c>
      <c r="L1930" t="s">
        <v>26</v>
      </c>
      <c r="M1930">
        <v>222842</v>
      </c>
      <c r="N1930">
        <v>-1</v>
      </c>
      <c r="O1930" s="3">
        <v>-39990</v>
      </c>
      <c r="P1930" s="3">
        <v>32860</v>
      </c>
      <c r="Q1930" s="5">
        <f t="shared" si="90"/>
        <v>-33605.042016806721</v>
      </c>
      <c r="R1930" s="5">
        <f t="shared" si="91"/>
        <v>-32860</v>
      </c>
      <c r="S1930" s="5">
        <f t="shared" si="92"/>
        <v>-745.04201680672122</v>
      </c>
    </row>
    <row r="1931" spans="1:19" hidden="1" x14ac:dyDescent="0.3">
      <c r="A1931">
        <v>140</v>
      </c>
      <c r="B1931" t="s">
        <v>3524</v>
      </c>
      <c r="C1931" t="s">
        <v>1368</v>
      </c>
      <c r="D1931" s="2" t="s">
        <v>1369</v>
      </c>
      <c r="E1931" t="s">
        <v>1171</v>
      </c>
      <c r="F1931" t="s">
        <v>20</v>
      </c>
      <c r="G1931" t="s">
        <v>21</v>
      </c>
      <c r="H1931" t="s">
        <v>500</v>
      </c>
      <c r="I1931" t="s">
        <v>23</v>
      </c>
      <c r="J1931" t="s">
        <v>40</v>
      </c>
      <c r="K1931" s="2" t="s">
        <v>2386</v>
      </c>
      <c r="L1931" t="s">
        <v>26</v>
      </c>
      <c r="M1931">
        <v>222842</v>
      </c>
      <c r="N1931">
        <v>1</v>
      </c>
      <c r="O1931" s="3">
        <v>59950</v>
      </c>
      <c r="P1931" s="3">
        <v>17416</v>
      </c>
      <c r="Q1931" s="5">
        <f t="shared" si="90"/>
        <v>50378.151260504201</v>
      </c>
      <c r="R1931" s="5">
        <f t="shared" si="91"/>
        <v>17416</v>
      </c>
      <c r="S1931" s="5">
        <f t="shared" si="92"/>
        <v>32962.151260504201</v>
      </c>
    </row>
    <row r="1932" spans="1:19" hidden="1" x14ac:dyDescent="0.3">
      <c r="A1932">
        <v>140</v>
      </c>
      <c r="B1932" t="s">
        <v>3524</v>
      </c>
      <c r="C1932" t="s">
        <v>2453</v>
      </c>
      <c r="D1932" s="2" t="s">
        <v>2454</v>
      </c>
      <c r="E1932" t="s">
        <v>2455</v>
      </c>
      <c r="F1932" t="s">
        <v>20</v>
      </c>
      <c r="G1932" t="s">
        <v>21</v>
      </c>
      <c r="H1932" t="s">
        <v>742</v>
      </c>
      <c r="I1932" t="s">
        <v>23</v>
      </c>
      <c r="J1932" t="s">
        <v>40</v>
      </c>
      <c r="K1932" s="2" t="s">
        <v>2386</v>
      </c>
      <c r="L1932" t="s">
        <v>26</v>
      </c>
      <c r="M1932">
        <v>222843</v>
      </c>
      <c r="N1932">
        <v>1</v>
      </c>
      <c r="O1932" s="3">
        <v>79950</v>
      </c>
      <c r="P1932" s="3">
        <v>28467</v>
      </c>
      <c r="Q1932" s="5">
        <f t="shared" si="90"/>
        <v>67184.873949579836</v>
      </c>
      <c r="R1932" s="5">
        <f t="shared" si="91"/>
        <v>28467</v>
      </c>
      <c r="S1932" s="5">
        <f t="shared" si="92"/>
        <v>38717.873949579836</v>
      </c>
    </row>
    <row r="1933" spans="1:19" hidden="1" x14ac:dyDescent="0.3">
      <c r="A1933">
        <v>140</v>
      </c>
      <c r="B1933" t="s">
        <v>3524</v>
      </c>
      <c r="C1933">
        <v>1687976791</v>
      </c>
      <c r="D1933" s="2" t="s">
        <v>200</v>
      </c>
      <c r="E1933" t="s">
        <v>201</v>
      </c>
      <c r="F1933" t="s">
        <v>201</v>
      </c>
      <c r="G1933" t="s">
        <v>202</v>
      </c>
      <c r="H1933" t="s">
        <v>202</v>
      </c>
      <c r="I1933" t="s">
        <v>23</v>
      </c>
      <c r="J1933" t="s">
        <v>202</v>
      </c>
      <c r="K1933" s="2" t="s">
        <v>2386</v>
      </c>
      <c r="L1933" t="s">
        <v>26</v>
      </c>
      <c r="M1933">
        <v>222844</v>
      </c>
      <c r="N1933">
        <v>1</v>
      </c>
      <c r="O1933" s="3">
        <v>2000</v>
      </c>
      <c r="P1933">
        <v>1</v>
      </c>
      <c r="Q1933" s="5">
        <f t="shared" si="90"/>
        <v>1680.6722689075632</v>
      </c>
      <c r="R1933" s="5">
        <f t="shared" si="91"/>
        <v>1</v>
      </c>
      <c r="S1933" s="5">
        <f t="shared" si="92"/>
        <v>1679.6722689075632</v>
      </c>
    </row>
    <row r="1934" spans="1:19" hidden="1" x14ac:dyDescent="0.3">
      <c r="A1934">
        <v>140</v>
      </c>
      <c r="B1934" t="s">
        <v>3524</v>
      </c>
      <c r="C1934" t="s">
        <v>3591</v>
      </c>
      <c r="D1934" s="2" t="s">
        <v>3592</v>
      </c>
      <c r="E1934" t="s">
        <v>3593</v>
      </c>
      <c r="F1934" t="s">
        <v>20</v>
      </c>
      <c r="G1934" t="s">
        <v>21</v>
      </c>
      <c r="H1934" t="s">
        <v>839</v>
      </c>
      <c r="I1934" t="s">
        <v>23</v>
      </c>
      <c r="J1934" t="s">
        <v>40</v>
      </c>
      <c r="K1934" s="2" t="s">
        <v>2386</v>
      </c>
      <c r="L1934" t="s">
        <v>26</v>
      </c>
      <c r="M1934">
        <v>222844</v>
      </c>
      <c r="N1934">
        <v>1</v>
      </c>
      <c r="O1934" s="3">
        <v>39990</v>
      </c>
      <c r="P1934" s="3">
        <v>16210</v>
      </c>
      <c r="Q1934" s="5">
        <f t="shared" si="90"/>
        <v>33605.042016806721</v>
      </c>
      <c r="R1934" s="5">
        <f t="shared" si="91"/>
        <v>16210</v>
      </c>
      <c r="S1934" s="5">
        <f t="shared" si="92"/>
        <v>17395.042016806721</v>
      </c>
    </row>
    <row r="1935" spans="1:19" hidden="1" x14ac:dyDescent="0.3">
      <c r="A1935">
        <v>140</v>
      </c>
      <c r="B1935" t="s">
        <v>3524</v>
      </c>
      <c r="C1935" t="s">
        <v>3594</v>
      </c>
      <c r="D1935" s="2" t="s">
        <v>3595</v>
      </c>
      <c r="E1935" t="s">
        <v>2473</v>
      </c>
      <c r="F1935" t="s">
        <v>20</v>
      </c>
      <c r="G1935" t="s">
        <v>21</v>
      </c>
      <c r="H1935" t="s">
        <v>114</v>
      </c>
      <c r="I1935" t="s">
        <v>23</v>
      </c>
      <c r="J1935" t="s">
        <v>49</v>
      </c>
      <c r="K1935" s="2" t="s">
        <v>2386</v>
      </c>
      <c r="L1935" t="s">
        <v>26</v>
      </c>
      <c r="M1935">
        <v>222845</v>
      </c>
      <c r="N1935">
        <v>1</v>
      </c>
      <c r="O1935" s="3">
        <v>49990</v>
      </c>
      <c r="P1935" s="3">
        <v>23514</v>
      </c>
      <c r="Q1935" s="5">
        <f t="shared" si="90"/>
        <v>42008.403361344543</v>
      </c>
      <c r="R1935" s="5">
        <f t="shared" si="91"/>
        <v>23514</v>
      </c>
      <c r="S1935" s="5">
        <f t="shared" si="92"/>
        <v>18494.403361344543</v>
      </c>
    </row>
    <row r="1936" spans="1:19" hidden="1" x14ac:dyDescent="0.3">
      <c r="A1936">
        <v>140</v>
      </c>
      <c r="B1936" t="s">
        <v>3524</v>
      </c>
      <c r="C1936" t="s">
        <v>3596</v>
      </c>
      <c r="D1936" s="2" t="s">
        <v>3597</v>
      </c>
      <c r="E1936" t="s">
        <v>1333</v>
      </c>
      <c r="F1936" t="s">
        <v>20</v>
      </c>
      <c r="G1936" t="s">
        <v>21</v>
      </c>
      <c r="H1936" t="s">
        <v>114</v>
      </c>
      <c r="I1936" t="s">
        <v>23</v>
      </c>
      <c r="J1936" t="s">
        <v>49</v>
      </c>
      <c r="K1936" s="2" t="s">
        <v>2386</v>
      </c>
      <c r="L1936" t="s">
        <v>26</v>
      </c>
      <c r="M1936">
        <v>222846</v>
      </c>
      <c r="N1936">
        <v>1</v>
      </c>
      <c r="O1936" s="3">
        <v>49990</v>
      </c>
      <c r="P1936" s="3">
        <v>24678</v>
      </c>
      <c r="Q1936" s="5">
        <f t="shared" si="90"/>
        <v>42008.403361344543</v>
      </c>
      <c r="R1936" s="5">
        <f t="shared" si="91"/>
        <v>24678</v>
      </c>
      <c r="S1936" s="5">
        <f t="shared" si="92"/>
        <v>17330.403361344543</v>
      </c>
    </row>
    <row r="1937" spans="1:19" hidden="1" x14ac:dyDescent="0.3">
      <c r="A1937">
        <v>140</v>
      </c>
      <c r="B1937" t="s">
        <v>3524</v>
      </c>
      <c r="C1937" t="s">
        <v>3598</v>
      </c>
      <c r="D1937" s="2" t="s">
        <v>3599</v>
      </c>
      <c r="E1937" t="s">
        <v>3600</v>
      </c>
      <c r="F1937" t="s">
        <v>20</v>
      </c>
      <c r="G1937" t="s">
        <v>21</v>
      </c>
      <c r="H1937" t="s">
        <v>114</v>
      </c>
      <c r="I1937" t="s">
        <v>23</v>
      </c>
      <c r="J1937" t="s">
        <v>49</v>
      </c>
      <c r="K1937" s="2" t="s">
        <v>2386</v>
      </c>
      <c r="L1937" t="s">
        <v>26</v>
      </c>
      <c r="M1937">
        <v>222847</v>
      </c>
      <c r="N1937">
        <v>1</v>
      </c>
      <c r="O1937" s="3">
        <v>69950</v>
      </c>
      <c r="P1937" s="3">
        <v>24683</v>
      </c>
      <c r="Q1937" s="5">
        <f t="shared" si="90"/>
        <v>58781.512605042022</v>
      </c>
      <c r="R1937" s="5">
        <f t="shared" si="91"/>
        <v>24683</v>
      </c>
      <c r="S1937" s="5">
        <f t="shared" si="92"/>
        <v>34098.512605042022</v>
      </c>
    </row>
    <row r="1938" spans="1:19" hidden="1" x14ac:dyDescent="0.3">
      <c r="A1938">
        <v>140</v>
      </c>
      <c r="B1938" t="s">
        <v>3524</v>
      </c>
      <c r="C1938" t="s">
        <v>3601</v>
      </c>
      <c r="D1938" s="2" t="s">
        <v>3602</v>
      </c>
      <c r="E1938" t="s">
        <v>2330</v>
      </c>
      <c r="F1938" t="s">
        <v>20</v>
      </c>
      <c r="G1938" t="s">
        <v>21</v>
      </c>
      <c r="H1938" t="s">
        <v>839</v>
      </c>
      <c r="I1938" t="s">
        <v>23</v>
      </c>
      <c r="J1938" t="s">
        <v>40</v>
      </c>
      <c r="K1938" s="2" t="s">
        <v>2386</v>
      </c>
      <c r="L1938" t="s">
        <v>26</v>
      </c>
      <c r="M1938">
        <v>222848</v>
      </c>
      <c r="N1938">
        <v>1</v>
      </c>
      <c r="O1938" s="3">
        <v>39990</v>
      </c>
      <c r="P1938" s="3">
        <v>16210</v>
      </c>
      <c r="Q1938" s="5">
        <f t="shared" si="90"/>
        <v>33605.042016806721</v>
      </c>
      <c r="R1938" s="5">
        <f t="shared" si="91"/>
        <v>16210</v>
      </c>
      <c r="S1938" s="5">
        <f t="shared" si="92"/>
        <v>17395.042016806721</v>
      </c>
    </row>
    <row r="1939" spans="1:19" hidden="1" x14ac:dyDescent="0.3">
      <c r="A1939">
        <v>140</v>
      </c>
      <c r="B1939" t="s">
        <v>3524</v>
      </c>
      <c r="C1939" t="s">
        <v>3603</v>
      </c>
      <c r="D1939" s="2" t="s">
        <v>3604</v>
      </c>
      <c r="E1939" t="s">
        <v>428</v>
      </c>
      <c r="F1939" t="s">
        <v>20</v>
      </c>
      <c r="G1939" t="s">
        <v>21</v>
      </c>
      <c r="H1939" t="s">
        <v>429</v>
      </c>
      <c r="I1939" t="s">
        <v>23</v>
      </c>
      <c r="J1939" t="s">
        <v>49</v>
      </c>
      <c r="K1939" s="2" t="s">
        <v>2386</v>
      </c>
      <c r="L1939" t="s">
        <v>26</v>
      </c>
      <c r="M1939">
        <v>222849</v>
      </c>
      <c r="N1939">
        <v>1</v>
      </c>
      <c r="O1939" s="3">
        <v>59990</v>
      </c>
      <c r="P1939" s="3">
        <v>28718</v>
      </c>
      <c r="Q1939" s="5">
        <f t="shared" si="90"/>
        <v>50411.764705882357</v>
      </c>
      <c r="R1939" s="5">
        <f t="shared" si="91"/>
        <v>28718</v>
      </c>
      <c r="S1939" s="5">
        <f t="shared" si="92"/>
        <v>21693.764705882357</v>
      </c>
    </row>
    <row r="1940" spans="1:19" hidden="1" x14ac:dyDescent="0.3">
      <c r="A1940">
        <v>140</v>
      </c>
      <c r="B1940" t="s">
        <v>3524</v>
      </c>
      <c r="C1940" t="s">
        <v>1761</v>
      </c>
      <c r="D1940" s="2" t="s">
        <v>1762</v>
      </c>
      <c r="E1940" t="s">
        <v>1763</v>
      </c>
      <c r="F1940" t="s">
        <v>377</v>
      </c>
      <c r="G1940" t="s">
        <v>21</v>
      </c>
      <c r="H1940" t="s">
        <v>378</v>
      </c>
      <c r="I1940" t="s">
        <v>23</v>
      </c>
      <c r="J1940" t="s">
        <v>379</v>
      </c>
      <c r="K1940" s="2" t="s">
        <v>2386</v>
      </c>
      <c r="L1940" t="s">
        <v>26</v>
      </c>
      <c r="M1940">
        <v>222849</v>
      </c>
      <c r="N1940">
        <v>1</v>
      </c>
      <c r="O1940" s="3">
        <v>5950</v>
      </c>
      <c r="P1940" s="3">
        <v>3279</v>
      </c>
      <c r="Q1940" s="5">
        <f t="shared" si="90"/>
        <v>5000</v>
      </c>
      <c r="R1940" s="5">
        <f t="shared" si="91"/>
        <v>3279</v>
      </c>
      <c r="S1940" s="5">
        <f t="shared" si="92"/>
        <v>1721</v>
      </c>
    </row>
    <row r="1941" spans="1:19" hidden="1" x14ac:dyDescent="0.3">
      <c r="A1941">
        <v>140</v>
      </c>
      <c r="B1941" t="s">
        <v>3524</v>
      </c>
      <c r="C1941" t="s">
        <v>3605</v>
      </c>
      <c r="D1941" s="2" t="s">
        <v>3606</v>
      </c>
      <c r="E1941" t="s">
        <v>2284</v>
      </c>
      <c r="F1941" t="s">
        <v>20</v>
      </c>
      <c r="G1941" t="s">
        <v>21</v>
      </c>
      <c r="H1941" t="s">
        <v>247</v>
      </c>
      <c r="I1941" t="s">
        <v>23</v>
      </c>
      <c r="J1941" t="s">
        <v>40</v>
      </c>
      <c r="K1941" s="2" t="s">
        <v>2386</v>
      </c>
      <c r="L1941" t="s">
        <v>26</v>
      </c>
      <c r="M1941">
        <v>222850</v>
      </c>
      <c r="N1941">
        <v>1</v>
      </c>
      <c r="O1941" s="3">
        <v>59950</v>
      </c>
      <c r="P1941" s="3">
        <v>16541</v>
      </c>
      <c r="Q1941" s="5">
        <f t="shared" si="90"/>
        <v>50378.151260504201</v>
      </c>
      <c r="R1941" s="5">
        <f t="shared" si="91"/>
        <v>16541</v>
      </c>
      <c r="S1941" s="5">
        <f t="shared" si="92"/>
        <v>33837.151260504201</v>
      </c>
    </row>
    <row r="1942" spans="1:19" hidden="1" x14ac:dyDescent="0.3">
      <c r="A1942">
        <v>140</v>
      </c>
      <c r="B1942" t="s">
        <v>3524</v>
      </c>
      <c r="C1942" t="s">
        <v>3607</v>
      </c>
      <c r="D1942" s="2" t="s">
        <v>3608</v>
      </c>
      <c r="E1942" t="s">
        <v>3180</v>
      </c>
      <c r="F1942" t="s">
        <v>20</v>
      </c>
      <c r="G1942" t="s">
        <v>338</v>
      </c>
      <c r="H1942">
        <v>23313</v>
      </c>
      <c r="I1942" t="s">
        <v>23</v>
      </c>
      <c r="J1942" t="s">
        <v>40</v>
      </c>
      <c r="K1942" s="2" t="s">
        <v>2386</v>
      </c>
      <c r="L1942" t="s">
        <v>26</v>
      </c>
      <c r="M1942">
        <v>222850</v>
      </c>
      <c r="N1942">
        <v>1</v>
      </c>
      <c r="O1942" s="3">
        <v>69950</v>
      </c>
      <c r="P1942" s="3">
        <v>23536</v>
      </c>
      <c r="Q1942" s="5">
        <f t="shared" si="90"/>
        <v>58781.512605042022</v>
      </c>
      <c r="R1942" s="5">
        <f t="shared" si="91"/>
        <v>23536</v>
      </c>
      <c r="S1942" s="5">
        <f t="shared" si="92"/>
        <v>35245.512605042022</v>
      </c>
    </row>
    <row r="1943" spans="1:19" hidden="1" x14ac:dyDescent="0.3">
      <c r="A1943">
        <v>140</v>
      </c>
      <c r="B1943" t="s">
        <v>3524</v>
      </c>
      <c r="C1943" t="s">
        <v>2694</v>
      </c>
      <c r="D1943" s="2" t="s">
        <v>2695</v>
      </c>
      <c r="E1943" t="s">
        <v>2616</v>
      </c>
      <c r="F1943" t="s">
        <v>20</v>
      </c>
      <c r="G1943" t="s">
        <v>338</v>
      </c>
      <c r="H1943">
        <v>83717</v>
      </c>
      <c r="I1943" t="s">
        <v>23</v>
      </c>
      <c r="J1943" t="s">
        <v>40</v>
      </c>
      <c r="K1943" s="2" t="s">
        <v>2386</v>
      </c>
      <c r="L1943" t="s">
        <v>26</v>
      </c>
      <c r="M1943">
        <v>222850</v>
      </c>
      <c r="N1943">
        <v>1</v>
      </c>
      <c r="O1943" s="3">
        <v>89950</v>
      </c>
      <c r="P1943" s="3">
        <v>30263</v>
      </c>
      <c r="Q1943" s="5">
        <f t="shared" si="90"/>
        <v>75588.23529411765</v>
      </c>
      <c r="R1943" s="5">
        <f t="shared" si="91"/>
        <v>30263</v>
      </c>
      <c r="S1943" s="5">
        <f t="shared" si="92"/>
        <v>45325.23529411765</v>
      </c>
    </row>
    <row r="1944" spans="1:19" hidden="1" x14ac:dyDescent="0.3">
      <c r="A1944">
        <v>140</v>
      </c>
      <c r="B1944" t="s">
        <v>3524</v>
      </c>
      <c r="C1944" t="s">
        <v>3609</v>
      </c>
      <c r="D1944" s="2" t="s">
        <v>3610</v>
      </c>
      <c r="E1944" t="s">
        <v>2062</v>
      </c>
      <c r="F1944" t="s">
        <v>20</v>
      </c>
      <c r="G1944" t="s">
        <v>21</v>
      </c>
      <c r="H1944" t="s">
        <v>2063</v>
      </c>
      <c r="I1944" t="s">
        <v>23</v>
      </c>
      <c r="J1944" t="s">
        <v>40</v>
      </c>
      <c r="K1944" s="2" t="s">
        <v>2386</v>
      </c>
      <c r="L1944" t="s">
        <v>26</v>
      </c>
      <c r="M1944">
        <v>222851</v>
      </c>
      <c r="N1944">
        <v>1</v>
      </c>
      <c r="O1944" s="3">
        <v>49990</v>
      </c>
      <c r="P1944" s="3">
        <v>22615</v>
      </c>
      <c r="Q1944" s="5">
        <f t="shared" si="90"/>
        <v>42008.403361344543</v>
      </c>
      <c r="R1944" s="5">
        <f t="shared" si="91"/>
        <v>22615</v>
      </c>
      <c r="S1944" s="5">
        <f t="shared" si="92"/>
        <v>19393.403361344543</v>
      </c>
    </row>
    <row r="1945" spans="1:19" hidden="1" x14ac:dyDescent="0.3">
      <c r="A1945">
        <v>140</v>
      </c>
      <c r="B1945" t="s">
        <v>3524</v>
      </c>
      <c r="C1945" t="s">
        <v>3611</v>
      </c>
      <c r="D1945" s="2" t="s">
        <v>3612</v>
      </c>
      <c r="E1945" t="s">
        <v>2483</v>
      </c>
      <c r="F1945" t="s">
        <v>20</v>
      </c>
      <c r="G1945" t="s">
        <v>21</v>
      </c>
      <c r="H1945" t="s">
        <v>2484</v>
      </c>
      <c r="I1945" t="s">
        <v>23</v>
      </c>
      <c r="J1945" t="s">
        <v>40</v>
      </c>
      <c r="K1945" s="2" t="s">
        <v>2386</v>
      </c>
      <c r="L1945" t="s">
        <v>26</v>
      </c>
      <c r="M1945">
        <v>222852</v>
      </c>
      <c r="N1945">
        <v>1</v>
      </c>
      <c r="O1945" s="3">
        <v>59950</v>
      </c>
      <c r="P1945" s="3">
        <v>17503</v>
      </c>
      <c r="Q1945" s="5">
        <f t="shared" si="90"/>
        <v>50378.151260504201</v>
      </c>
      <c r="R1945" s="5">
        <f t="shared" si="91"/>
        <v>17503</v>
      </c>
      <c r="S1945" s="5">
        <f t="shared" si="92"/>
        <v>32875.151260504201</v>
      </c>
    </row>
    <row r="1946" spans="1:19" hidden="1" x14ac:dyDescent="0.3">
      <c r="A1946">
        <v>140</v>
      </c>
      <c r="B1946" t="s">
        <v>3524</v>
      </c>
      <c r="C1946" t="s">
        <v>3613</v>
      </c>
      <c r="D1946" s="2" t="s">
        <v>3614</v>
      </c>
      <c r="E1946" t="s">
        <v>2185</v>
      </c>
      <c r="F1946" t="s">
        <v>20</v>
      </c>
      <c r="G1946" t="s">
        <v>21</v>
      </c>
      <c r="H1946" t="s">
        <v>614</v>
      </c>
      <c r="I1946" t="s">
        <v>23</v>
      </c>
      <c r="J1946" t="s">
        <v>40</v>
      </c>
      <c r="K1946" s="2" t="s">
        <v>2386</v>
      </c>
      <c r="L1946" t="s">
        <v>26</v>
      </c>
      <c r="M1946">
        <v>222853</v>
      </c>
      <c r="N1946">
        <v>1</v>
      </c>
      <c r="O1946" s="3">
        <v>49450</v>
      </c>
      <c r="P1946" s="3">
        <v>17498</v>
      </c>
      <c r="Q1946" s="5">
        <f t="shared" si="90"/>
        <v>41554.621848739494</v>
      </c>
      <c r="R1946" s="5">
        <f t="shared" si="91"/>
        <v>17498</v>
      </c>
      <c r="S1946" s="5">
        <f t="shared" si="92"/>
        <v>24056.621848739494</v>
      </c>
    </row>
    <row r="1947" spans="1:19" hidden="1" x14ac:dyDescent="0.3">
      <c r="A1947">
        <v>140</v>
      </c>
      <c r="B1947" t="s">
        <v>3524</v>
      </c>
      <c r="C1947" t="s">
        <v>3607</v>
      </c>
      <c r="D1947" s="2" t="s">
        <v>3608</v>
      </c>
      <c r="E1947" t="s">
        <v>3180</v>
      </c>
      <c r="F1947" t="s">
        <v>20</v>
      </c>
      <c r="G1947" t="s">
        <v>338</v>
      </c>
      <c r="H1947">
        <v>23313</v>
      </c>
      <c r="I1947" t="s">
        <v>23</v>
      </c>
      <c r="J1947" t="s">
        <v>40</v>
      </c>
      <c r="K1947" s="2" t="s">
        <v>2386</v>
      </c>
      <c r="L1947" t="s">
        <v>26</v>
      </c>
      <c r="M1947">
        <v>222853</v>
      </c>
      <c r="N1947">
        <v>1</v>
      </c>
      <c r="O1947" s="3">
        <v>69950</v>
      </c>
      <c r="P1947" s="3">
        <v>23536</v>
      </c>
      <c r="Q1947" s="5">
        <f t="shared" si="90"/>
        <v>58781.512605042022</v>
      </c>
      <c r="R1947" s="5">
        <f t="shared" si="91"/>
        <v>23536</v>
      </c>
      <c r="S1947" s="5">
        <f t="shared" si="92"/>
        <v>35245.512605042022</v>
      </c>
    </row>
    <row r="1948" spans="1:19" hidden="1" x14ac:dyDescent="0.3">
      <c r="A1948">
        <v>140</v>
      </c>
      <c r="B1948" t="s">
        <v>3524</v>
      </c>
      <c r="C1948" t="s">
        <v>3615</v>
      </c>
      <c r="D1948" s="2" t="s">
        <v>3616</v>
      </c>
      <c r="E1948" t="s">
        <v>938</v>
      </c>
      <c r="F1948" t="s">
        <v>20</v>
      </c>
      <c r="G1948" t="s">
        <v>21</v>
      </c>
      <c r="H1948" t="s">
        <v>317</v>
      </c>
      <c r="I1948" t="s">
        <v>23</v>
      </c>
      <c r="J1948" t="s">
        <v>35</v>
      </c>
      <c r="K1948" s="2" t="s">
        <v>2386</v>
      </c>
      <c r="L1948" t="s">
        <v>26</v>
      </c>
      <c r="M1948">
        <v>222854</v>
      </c>
      <c r="N1948">
        <v>1</v>
      </c>
      <c r="O1948" s="3">
        <v>59450</v>
      </c>
      <c r="P1948" s="3">
        <v>27213</v>
      </c>
      <c r="Q1948" s="5">
        <f t="shared" si="90"/>
        <v>49957.983193277316</v>
      </c>
      <c r="R1948" s="5">
        <f t="shared" si="91"/>
        <v>27213</v>
      </c>
      <c r="S1948" s="5">
        <f t="shared" si="92"/>
        <v>22744.983193277316</v>
      </c>
    </row>
    <row r="1949" spans="1:19" hidden="1" x14ac:dyDescent="0.3">
      <c r="A1949">
        <v>140</v>
      </c>
      <c r="B1949" t="s">
        <v>3524</v>
      </c>
      <c r="C1949" t="s">
        <v>3617</v>
      </c>
      <c r="D1949" s="2" t="s">
        <v>3618</v>
      </c>
      <c r="E1949" t="s">
        <v>3619</v>
      </c>
      <c r="F1949" t="s">
        <v>20</v>
      </c>
      <c r="G1949" t="s">
        <v>21</v>
      </c>
      <c r="H1949" t="s">
        <v>874</v>
      </c>
      <c r="I1949" t="s">
        <v>23</v>
      </c>
      <c r="J1949" t="s">
        <v>95</v>
      </c>
      <c r="K1949" s="2" t="s">
        <v>2386</v>
      </c>
      <c r="L1949" t="s">
        <v>26</v>
      </c>
      <c r="M1949">
        <v>222854</v>
      </c>
      <c r="N1949">
        <v>1</v>
      </c>
      <c r="O1949" s="3">
        <v>39990</v>
      </c>
      <c r="P1949" s="3">
        <v>21627</v>
      </c>
      <c r="Q1949" s="5">
        <f t="shared" si="90"/>
        <v>33605.042016806721</v>
      </c>
      <c r="R1949" s="5">
        <f t="shared" si="91"/>
        <v>21627</v>
      </c>
      <c r="S1949" s="5">
        <f t="shared" si="92"/>
        <v>11978.042016806721</v>
      </c>
    </row>
    <row r="1950" spans="1:19" hidden="1" x14ac:dyDescent="0.3">
      <c r="A1950">
        <v>140</v>
      </c>
      <c r="B1950" t="s">
        <v>3524</v>
      </c>
      <c r="C1950" t="s">
        <v>2273</v>
      </c>
      <c r="D1950" s="2" t="s">
        <v>2274</v>
      </c>
      <c r="E1950" t="s">
        <v>2275</v>
      </c>
      <c r="F1950" t="s">
        <v>20</v>
      </c>
      <c r="G1950" t="s">
        <v>21</v>
      </c>
      <c r="H1950" t="s">
        <v>783</v>
      </c>
      <c r="I1950" t="s">
        <v>23</v>
      </c>
      <c r="J1950" t="s">
        <v>40</v>
      </c>
      <c r="K1950" s="2" t="s">
        <v>2470</v>
      </c>
      <c r="L1950" t="s">
        <v>26</v>
      </c>
      <c r="M1950">
        <v>222855</v>
      </c>
      <c r="N1950">
        <v>1</v>
      </c>
      <c r="O1950" s="3">
        <v>34990</v>
      </c>
      <c r="P1950" s="3">
        <v>17194</v>
      </c>
      <c r="Q1950" s="5">
        <f t="shared" si="90"/>
        <v>29403.361344537818</v>
      </c>
      <c r="R1950" s="5">
        <f t="shared" si="91"/>
        <v>17194</v>
      </c>
      <c r="S1950" s="5">
        <f t="shared" si="92"/>
        <v>12209.361344537818</v>
      </c>
    </row>
    <row r="1951" spans="1:19" hidden="1" x14ac:dyDescent="0.3">
      <c r="A1951">
        <v>140</v>
      </c>
      <c r="B1951" t="s">
        <v>3524</v>
      </c>
      <c r="C1951">
        <v>1687976791</v>
      </c>
      <c r="D1951" s="2" t="s">
        <v>200</v>
      </c>
      <c r="E1951" t="s">
        <v>201</v>
      </c>
      <c r="F1951" t="s">
        <v>201</v>
      </c>
      <c r="G1951" t="s">
        <v>202</v>
      </c>
      <c r="H1951" t="s">
        <v>202</v>
      </c>
      <c r="I1951" t="s">
        <v>23</v>
      </c>
      <c r="J1951" t="s">
        <v>202</v>
      </c>
      <c r="K1951" s="2" t="s">
        <v>2470</v>
      </c>
      <c r="L1951" t="s">
        <v>26</v>
      </c>
      <c r="M1951">
        <v>222856</v>
      </c>
      <c r="N1951">
        <v>1</v>
      </c>
      <c r="O1951">
        <v>1</v>
      </c>
      <c r="P1951">
        <v>1</v>
      </c>
      <c r="Q1951" s="5">
        <f t="shared" si="90"/>
        <v>0.84033613445378152</v>
      </c>
      <c r="R1951" s="5">
        <f t="shared" si="91"/>
        <v>1</v>
      </c>
      <c r="S1951" s="5">
        <f t="shared" si="92"/>
        <v>-0.15966386554621848</v>
      </c>
    </row>
    <row r="1952" spans="1:19" hidden="1" x14ac:dyDescent="0.3">
      <c r="A1952">
        <v>140</v>
      </c>
      <c r="B1952" t="s">
        <v>3524</v>
      </c>
      <c r="C1952" t="s">
        <v>3620</v>
      </c>
      <c r="D1952" s="2" t="s">
        <v>3621</v>
      </c>
      <c r="E1952" t="s">
        <v>786</v>
      </c>
      <c r="F1952" t="s">
        <v>20</v>
      </c>
      <c r="G1952" t="s">
        <v>21</v>
      </c>
      <c r="H1952" t="s">
        <v>534</v>
      </c>
      <c r="I1952" t="s">
        <v>23</v>
      </c>
      <c r="J1952" t="s">
        <v>35</v>
      </c>
      <c r="K1952" s="2" t="s">
        <v>2470</v>
      </c>
      <c r="L1952" t="s">
        <v>26</v>
      </c>
      <c r="M1952">
        <v>222856</v>
      </c>
      <c r="N1952">
        <v>1</v>
      </c>
      <c r="O1952" s="3">
        <v>59990</v>
      </c>
      <c r="P1952" s="3">
        <v>35337</v>
      </c>
      <c r="Q1952" s="5">
        <f t="shared" si="90"/>
        <v>50411.764705882357</v>
      </c>
      <c r="R1952" s="5">
        <f t="shared" si="91"/>
        <v>35337</v>
      </c>
      <c r="S1952" s="5">
        <f t="shared" si="92"/>
        <v>15074.764705882357</v>
      </c>
    </row>
    <row r="1953" spans="1:19" hidden="1" x14ac:dyDescent="0.3">
      <c r="A1953">
        <v>140</v>
      </c>
      <c r="B1953" t="s">
        <v>3524</v>
      </c>
      <c r="C1953" t="s">
        <v>2924</v>
      </c>
      <c r="D1953" s="2" t="s">
        <v>2925</v>
      </c>
      <c r="E1953" t="s">
        <v>2493</v>
      </c>
      <c r="F1953" t="s">
        <v>20</v>
      </c>
      <c r="G1953" t="s">
        <v>21</v>
      </c>
      <c r="H1953" t="s">
        <v>2494</v>
      </c>
      <c r="I1953" t="s">
        <v>23</v>
      </c>
      <c r="J1953" t="s">
        <v>40</v>
      </c>
      <c r="K1953" s="2" t="s">
        <v>2470</v>
      </c>
      <c r="L1953" t="s">
        <v>26</v>
      </c>
      <c r="M1953">
        <v>222857</v>
      </c>
      <c r="N1953">
        <v>1</v>
      </c>
      <c r="O1953" s="3">
        <v>69950</v>
      </c>
      <c r="P1953" s="3">
        <v>22206</v>
      </c>
      <c r="Q1953" s="5">
        <f t="shared" si="90"/>
        <v>58781.512605042022</v>
      </c>
      <c r="R1953" s="5">
        <f t="shared" si="91"/>
        <v>22206</v>
      </c>
      <c r="S1953" s="5">
        <f t="shared" si="92"/>
        <v>36575.512605042022</v>
      </c>
    </row>
    <row r="1954" spans="1:19" hidden="1" x14ac:dyDescent="0.3">
      <c r="A1954">
        <v>140</v>
      </c>
      <c r="B1954" t="s">
        <v>3524</v>
      </c>
      <c r="C1954" t="s">
        <v>3622</v>
      </c>
      <c r="D1954" s="2" t="s">
        <v>3623</v>
      </c>
      <c r="E1954" t="s">
        <v>2255</v>
      </c>
      <c r="F1954" t="s">
        <v>20</v>
      </c>
      <c r="G1954" t="s">
        <v>338</v>
      </c>
      <c r="H1954">
        <v>22318</v>
      </c>
      <c r="I1954" t="s">
        <v>23</v>
      </c>
      <c r="J1954" t="s">
        <v>49</v>
      </c>
      <c r="K1954" s="2" t="s">
        <v>2470</v>
      </c>
      <c r="L1954" t="s">
        <v>26</v>
      </c>
      <c r="M1954">
        <v>222858</v>
      </c>
      <c r="N1954">
        <v>1</v>
      </c>
      <c r="O1954" s="3">
        <v>74950</v>
      </c>
      <c r="P1954" s="3">
        <v>23473</v>
      </c>
      <c r="Q1954" s="5">
        <f t="shared" si="90"/>
        <v>62983.193277310929</v>
      </c>
      <c r="R1954" s="5">
        <f t="shared" si="91"/>
        <v>23473</v>
      </c>
      <c r="S1954" s="5">
        <f t="shared" si="92"/>
        <v>39510.193277310929</v>
      </c>
    </row>
    <row r="1955" spans="1:19" hidden="1" x14ac:dyDescent="0.3">
      <c r="A1955">
        <v>140</v>
      </c>
      <c r="B1955" t="s">
        <v>3524</v>
      </c>
      <c r="C1955" t="s">
        <v>2521</v>
      </c>
      <c r="D1955" s="2" t="s">
        <v>2522</v>
      </c>
      <c r="E1955" t="s">
        <v>1466</v>
      </c>
      <c r="F1955" t="s">
        <v>20</v>
      </c>
      <c r="G1955" t="s">
        <v>21</v>
      </c>
      <c r="H1955" t="s">
        <v>65</v>
      </c>
      <c r="I1955" t="s">
        <v>23</v>
      </c>
      <c r="J1955" t="s">
        <v>49</v>
      </c>
      <c r="K1955" s="2" t="s">
        <v>2470</v>
      </c>
      <c r="L1955" t="s">
        <v>26</v>
      </c>
      <c r="M1955">
        <v>222859</v>
      </c>
      <c r="N1955">
        <v>1</v>
      </c>
      <c r="O1955" s="3">
        <v>64950</v>
      </c>
      <c r="P1955" s="3">
        <v>18780</v>
      </c>
      <c r="Q1955" s="5">
        <f t="shared" si="90"/>
        <v>54579.831932773115</v>
      </c>
      <c r="R1955" s="5">
        <f t="shared" si="91"/>
        <v>18780</v>
      </c>
      <c r="S1955" s="5">
        <f t="shared" si="92"/>
        <v>35799.831932773115</v>
      </c>
    </row>
    <row r="1956" spans="1:19" hidden="1" x14ac:dyDescent="0.3">
      <c r="A1956">
        <v>140</v>
      </c>
      <c r="B1956" t="s">
        <v>3524</v>
      </c>
      <c r="C1956" t="s">
        <v>3624</v>
      </c>
      <c r="D1956" s="2" t="s">
        <v>3625</v>
      </c>
      <c r="E1956" t="s">
        <v>2586</v>
      </c>
      <c r="F1956" t="s">
        <v>20</v>
      </c>
      <c r="G1956" t="s">
        <v>21</v>
      </c>
      <c r="H1956" t="s">
        <v>600</v>
      </c>
      <c r="I1956" t="s">
        <v>23</v>
      </c>
      <c r="J1956" t="s">
        <v>40</v>
      </c>
      <c r="K1956" s="2" t="s">
        <v>2470</v>
      </c>
      <c r="L1956" t="s">
        <v>26</v>
      </c>
      <c r="M1956">
        <v>222860</v>
      </c>
      <c r="N1956">
        <v>1</v>
      </c>
      <c r="O1956" s="3">
        <v>49990</v>
      </c>
      <c r="P1956" s="3">
        <v>21327</v>
      </c>
      <c r="Q1956" s="5">
        <f t="shared" si="90"/>
        <v>42008.403361344543</v>
      </c>
      <c r="R1956" s="5">
        <f t="shared" si="91"/>
        <v>21327</v>
      </c>
      <c r="S1956" s="5">
        <f t="shared" si="92"/>
        <v>20681.403361344543</v>
      </c>
    </row>
    <row r="1957" spans="1:19" hidden="1" x14ac:dyDescent="0.3">
      <c r="A1957">
        <v>140</v>
      </c>
      <c r="B1957" t="s">
        <v>3524</v>
      </c>
      <c r="C1957" t="s">
        <v>3626</v>
      </c>
      <c r="D1957" s="2" t="s">
        <v>3627</v>
      </c>
      <c r="E1957" t="s">
        <v>2803</v>
      </c>
      <c r="F1957" t="s">
        <v>20</v>
      </c>
      <c r="G1957" t="s">
        <v>338</v>
      </c>
      <c r="H1957">
        <v>23726</v>
      </c>
      <c r="I1957" t="s">
        <v>23</v>
      </c>
      <c r="J1957" t="s">
        <v>40</v>
      </c>
      <c r="K1957" s="2" t="s">
        <v>2470</v>
      </c>
      <c r="L1957" t="s">
        <v>26</v>
      </c>
      <c r="M1957">
        <v>222861</v>
      </c>
      <c r="N1957">
        <v>1</v>
      </c>
      <c r="O1957" s="3">
        <v>89950</v>
      </c>
      <c r="P1957" s="3">
        <v>29798</v>
      </c>
      <c r="Q1957" s="5">
        <f t="shared" si="90"/>
        <v>75588.23529411765</v>
      </c>
      <c r="R1957" s="5">
        <f t="shared" si="91"/>
        <v>29798</v>
      </c>
      <c r="S1957" s="5">
        <f t="shared" si="92"/>
        <v>45790.23529411765</v>
      </c>
    </row>
    <row r="1958" spans="1:19" hidden="1" x14ac:dyDescent="0.3">
      <c r="A1958">
        <v>140</v>
      </c>
      <c r="B1958" t="s">
        <v>3524</v>
      </c>
      <c r="C1958" t="s">
        <v>3628</v>
      </c>
      <c r="D1958" s="2" t="s">
        <v>3629</v>
      </c>
      <c r="E1958" t="s">
        <v>3630</v>
      </c>
      <c r="F1958" t="s">
        <v>20</v>
      </c>
      <c r="G1958" t="s">
        <v>21</v>
      </c>
      <c r="H1958" t="s">
        <v>1689</v>
      </c>
      <c r="I1958" t="s">
        <v>23</v>
      </c>
      <c r="J1958" t="s">
        <v>49</v>
      </c>
      <c r="K1958" s="2" t="s">
        <v>2470</v>
      </c>
      <c r="L1958" t="s">
        <v>26</v>
      </c>
      <c r="M1958">
        <v>222862</v>
      </c>
      <c r="N1958">
        <v>1</v>
      </c>
      <c r="O1958" s="3">
        <v>76450</v>
      </c>
      <c r="P1958" s="3">
        <v>39837</v>
      </c>
      <c r="Q1958" s="5">
        <f t="shared" si="90"/>
        <v>64243.697478991598</v>
      </c>
      <c r="R1958" s="5">
        <f t="shared" si="91"/>
        <v>39837</v>
      </c>
      <c r="S1958" s="5">
        <f t="shared" si="92"/>
        <v>24406.697478991598</v>
      </c>
    </row>
    <row r="1959" spans="1:19" hidden="1" x14ac:dyDescent="0.3">
      <c r="A1959">
        <v>140</v>
      </c>
      <c r="B1959" t="s">
        <v>3524</v>
      </c>
      <c r="C1959" t="s">
        <v>3631</v>
      </c>
      <c r="D1959" s="2" t="s">
        <v>3632</v>
      </c>
      <c r="E1959" t="s">
        <v>3633</v>
      </c>
      <c r="F1959" t="s">
        <v>20</v>
      </c>
      <c r="G1959" t="s">
        <v>21</v>
      </c>
      <c r="H1959" t="s">
        <v>1689</v>
      </c>
      <c r="I1959" t="s">
        <v>23</v>
      </c>
      <c r="J1959" t="s">
        <v>49</v>
      </c>
      <c r="K1959" s="2" t="s">
        <v>2470</v>
      </c>
      <c r="L1959" t="s">
        <v>26</v>
      </c>
      <c r="M1959">
        <v>222863</v>
      </c>
      <c r="N1959">
        <v>1</v>
      </c>
      <c r="O1959" s="3">
        <v>89950</v>
      </c>
      <c r="P1959" s="3">
        <v>39837</v>
      </c>
      <c r="Q1959" s="5">
        <f t="shared" si="90"/>
        <v>75588.23529411765</v>
      </c>
      <c r="R1959" s="5">
        <f t="shared" si="91"/>
        <v>39837</v>
      </c>
      <c r="S1959" s="5">
        <f t="shared" si="92"/>
        <v>35751.23529411765</v>
      </c>
    </row>
    <row r="1960" spans="1:19" hidden="1" x14ac:dyDescent="0.3">
      <c r="A1960">
        <v>140</v>
      </c>
      <c r="B1960" t="s">
        <v>3524</v>
      </c>
      <c r="C1960" t="s">
        <v>3605</v>
      </c>
      <c r="D1960" s="2" t="s">
        <v>3606</v>
      </c>
      <c r="E1960" t="s">
        <v>2284</v>
      </c>
      <c r="F1960" t="s">
        <v>20</v>
      </c>
      <c r="G1960" t="s">
        <v>21</v>
      </c>
      <c r="H1960" t="s">
        <v>247</v>
      </c>
      <c r="I1960" t="s">
        <v>23</v>
      </c>
      <c r="J1960" t="s">
        <v>40</v>
      </c>
      <c r="K1960" s="2" t="s">
        <v>2470</v>
      </c>
      <c r="L1960" t="s">
        <v>26</v>
      </c>
      <c r="M1960">
        <v>222864</v>
      </c>
      <c r="N1960">
        <v>1</v>
      </c>
      <c r="O1960" s="3">
        <v>59950</v>
      </c>
      <c r="P1960" s="3">
        <v>16541</v>
      </c>
      <c r="Q1960" s="5">
        <f t="shared" si="90"/>
        <v>50378.151260504201</v>
      </c>
      <c r="R1960" s="5">
        <f t="shared" si="91"/>
        <v>16541</v>
      </c>
      <c r="S1960" s="5">
        <f t="shared" si="92"/>
        <v>33837.151260504201</v>
      </c>
    </row>
    <row r="1961" spans="1:19" hidden="1" x14ac:dyDescent="0.3">
      <c r="A1961">
        <v>140</v>
      </c>
      <c r="B1961" t="s">
        <v>3524</v>
      </c>
      <c r="C1961" t="s">
        <v>3023</v>
      </c>
      <c r="D1961" s="2" t="s">
        <v>3024</v>
      </c>
      <c r="E1961" t="s">
        <v>938</v>
      </c>
      <c r="F1961" t="s">
        <v>20</v>
      </c>
      <c r="G1961" t="s">
        <v>21</v>
      </c>
      <c r="H1961" t="s">
        <v>317</v>
      </c>
      <c r="I1961" t="s">
        <v>23</v>
      </c>
      <c r="J1961" t="s">
        <v>35</v>
      </c>
      <c r="K1961" s="2" t="s">
        <v>2470</v>
      </c>
      <c r="L1961" t="s">
        <v>26</v>
      </c>
      <c r="M1961">
        <v>222865</v>
      </c>
      <c r="N1961">
        <v>1</v>
      </c>
      <c r="O1961" s="3">
        <v>59450</v>
      </c>
      <c r="P1961" s="3">
        <v>26455</v>
      </c>
      <c r="Q1961" s="5">
        <f t="shared" si="90"/>
        <v>49957.983193277316</v>
      </c>
      <c r="R1961" s="5">
        <f t="shared" si="91"/>
        <v>26455</v>
      </c>
      <c r="S1961" s="5">
        <f t="shared" si="92"/>
        <v>23502.983193277316</v>
      </c>
    </row>
    <row r="1962" spans="1:19" hidden="1" x14ac:dyDescent="0.3">
      <c r="A1962">
        <v>140</v>
      </c>
      <c r="B1962" t="s">
        <v>3524</v>
      </c>
      <c r="C1962" t="s">
        <v>3634</v>
      </c>
      <c r="D1962" s="2" t="s">
        <v>3635</v>
      </c>
      <c r="E1962" t="s">
        <v>2661</v>
      </c>
      <c r="F1962" t="s">
        <v>20</v>
      </c>
      <c r="G1962" t="s">
        <v>21</v>
      </c>
      <c r="H1962" t="s">
        <v>317</v>
      </c>
      <c r="I1962" t="s">
        <v>23</v>
      </c>
      <c r="J1962" t="s">
        <v>35</v>
      </c>
      <c r="K1962" s="2" t="s">
        <v>2470</v>
      </c>
      <c r="L1962" t="s">
        <v>26</v>
      </c>
      <c r="M1962">
        <v>222865</v>
      </c>
      <c r="N1962">
        <v>1</v>
      </c>
      <c r="O1962" s="3">
        <v>69950</v>
      </c>
      <c r="P1962" s="3">
        <v>25992</v>
      </c>
      <c r="Q1962" s="5">
        <f t="shared" si="90"/>
        <v>58781.512605042022</v>
      </c>
      <c r="R1962" s="5">
        <f t="shared" si="91"/>
        <v>25992</v>
      </c>
      <c r="S1962" s="5">
        <f t="shared" si="92"/>
        <v>32789.512605042022</v>
      </c>
    </row>
    <row r="1963" spans="1:19" hidden="1" x14ac:dyDescent="0.3">
      <c r="A1963">
        <v>140</v>
      </c>
      <c r="B1963" t="s">
        <v>3524</v>
      </c>
      <c r="C1963">
        <v>1687976791</v>
      </c>
      <c r="D1963" s="2" t="s">
        <v>200</v>
      </c>
      <c r="E1963" t="s">
        <v>201</v>
      </c>
      <c r="F1963" t="s">
        <v>201</v>
      </c>
      <c r="G1963" t="s">
        <v>202</v>
      </c>
      <c r="H1963" t="s">
        <v>202</v>
      </c>
      <c r="I1963" t="s">
        <v>23</v>
      </c>
      <c r="J1963" t="s">
        <v>202</v>
      </c>
      <c r="K1963" s="2" t="s">
        <v>2470</v>
      </c>
      <c r="L1963" t="s">
        <v>26</v>
      </c>
      <c r="M1963">
        <v>222866</v>
      </c>
      <c r="N1963">
        <v>1</v>
      </c>
      <c r="O1963" s="3">
        <v>2000</v>
      </c>
      <c r="P1963">
        <v>1</v>
      </c>
      <c r="Q1963" s="5">
        <f t="shared" si="90"/>
        <v>1680.6722689075632</v>
      </c>
      <c r="R1963" s="5">
        <f t="shared" si="91"/>
        <v>1</v>
      </c>
      <c r="S1963" s="5">
        <f t="shared" si="92"/>
        <v>1679.6722689075632</v>
      </c>
    </row>
    <row r="1964" spans="1:19" hidden="1" x14ac:dyDescent="0.3">
      <c r="A1964">
        <v>140</v>
      </c>
      <c r="B1964" t="s">
        <v>3524</v>
      </c>
      <c r="C1964" t="s">
        <v>3636</v>
      </c>
      <c r="D1964" s="2" t="s">
        <v>3637</v>
      </c>
      <c r="E1964" t="s">
        <v>3638</v>
      </c>
      <c r="F1964" t="s">
        <v>20</v>
      </c>
      <c r="G1964" t="s">
        <v>21</v>
      </c>
      <c r="H1964" t="s">
        <v>206</v>
      </c>
      <c r="I1964" t="s">
        <v>23</v>
      </c>
      <c r="J1964" t="s">
        <v>207</v>
      </c>
      <c r="K1964" s="2" t="s">
        <v>2470</v>
      </c>
      <c r="L1964" t="s">
        <v>26</v>
      </c>
      <c r="M1964">
        <v>222866</v>
      </c>
      <c r="N1964">
        <v>1</v>
      </c>
      <c r="O1964" s="3">
        <v>39990</v>
      </c>
      <c r="P1964" s="3">
        <v>21407</v>
      </c>
      <c r="Q1964" s="5">
        <f t="shared" si="90"/>
        <v>33605.042016806721</v>
      </c>
      <c r="R1964" s="5">
        <f t="shared" si="91"/>
        <v>21407</v>
      </c>
      <c r="S1964" s="5">
        <f t="shared" si="92"/>
        <v>12198.042016806721</v>
      </c>
    </row>
    <row r="1965" spans="1:19" hidden="1" x14ac:dyDescent="0.3">
      <c r="A1965">
        <v>140</v>
      </c>
      <c r="B1965" t="s">
        <v>3524</v>
      </c>
      <c r="C1965" t="s">
        <v>2625</v>
      </c>
      <c r="D1965" s="2" t="s">
        <v>2626</v>
      </c>
      <c r="E1965" t="s">
        <v>2539</v>
      </c>
      <c r="F1965" t="s">
        <v>20</v>
      </c>
      <c r="G1965" t="s">
        <v>21</v>
      </c>
      <c r="H1965" t="s">
        <v>966</v>
      </c>
      <c r="I1965" t="s">
        <v>23</v>
      </c>
      <c r="J1965" t="s">
        <v>35</v>
      </c>
      <c r="K1965" s="2" t="s">
        <v>2470</v>
      </c>
      <c r="L1965" t="s">
        <v>26</v>
      </c>
      <c r="M1965">
        <v>222867</v>
      </c>
      <c r="N1965">
        <v>1</v>
      </c>
      <c r="O1965" s="3">
        <v>74950</v>
      </c>
      <c r="P1965" s="3">
        <v>27026</v>
      </c>
      <c r="Q1965" s="5">
        <f t="shared" si="90"/>
        <v>62983.193277310929</v>
      </c>
      <c r="R1965" s="5">
        <f t="shared" si="91"/>
        <v>27026</v>
      </c>
      <c r="S1965" s="5">
        <f t="shared" si="92"/>
        <v>35957.193277310929</v>
      </c>
    </row>
    <row r="1966" spans="1:19" hidden="1" x14ac:dyDescent="0.3">
      <c r="A1966">
        <v>140</v>
      </c>
      <c r="B1966" t="s">
        <v>3524</v>
      </c>
      <c r="C1966" t="s">
        <v>3346</v>
      </c>
      <c r="D1966" s="2" t="s">
        <v>3347</v>
      </c>
      <c r="E1966" t="s">
        <v>2468</v>
      </c>
      <c r="F1966" t="s">
        <v>20</v>
      </c>
      <c r="G1966" t="s">
        <v>21</v>
      </c>
      <c r="H1966" t="s">
        <v>2469</v>
      </c>
      <c r="I1966" t="s">
        <v>23</v>
      </c>
      <c r="J1966" t="s">
        <v>49</v>
      </c>
      <c r="K1966" s="2" t="s">
        <v>2470</v>
      </c>
      <c r="L1966" t="s">
        <v>26</v>
      </c>
      <c r="M1966">
        <v>222868</v>
      </c>
      <c r="N1966">
        <v>-1</v>
      </c>
      <c r="O1966" s="3">
        <v>-64950</v>
      </c>
      <c r="P1966" s="3">
        <v>19047</v>
      </c>
      <c r="Q1966" s="5">
        <f t="shared" si="90"/>
        <v>-54579.831932773115</v>
      </c>
      <c r="R1966" s="5">
        <f t="shared" si="91"/>
        <v>-19047</v>
      </c>
      <c r="S1966" s="5">
        <f t="shared" si="92"/>
        <v>-35532.831932773115</v>
      </c>
    </row>
    <row r="1967" spans="1:19" hidden="1" x14ac:dyDescent="0.3">
      <c r="A1967">
        <v>140</v>
      </c>
      <c r="B1967" t="s">
        <v>3524</v>
      </c>
      <c r="C1967" t="s">
        <v>3367</v>
      </c>
      <c r="D1967" s="2" t="s">
        <v>3368</v>
      </c>
      <c r="E1967" t="s">
        <v>2902</v>
      </c>
      <c r="F1967" t="s">
        <v>20</v>
      </c>
      <c r="G1967" t="s">
        <v>21</v>
      </c>
      <c r="H1967" t="s">
        <v>267</v>
      </c>
      <c r="I1967" t="s">
        <v>23</v>
      </c>
      <c r="J1967" t="s">
        <v>49</v>
      </c>
      <c r="K1967" s="2" t="s">
        <v>2470</v>
      </c>
      <c r="L1967" t="s">
        <v>26</v>
      </c>
      <c r="M1967">
        <v>222868</v>
      </c>
      <c r="N1967">
        <v>1</v>
      </c>
      <c r="O1967" s="3">
        <v>64951</v>
      </c>
      <c r="P1967" s="3">
        <v>24504</v>
      </c>
      <c r="Q1967" s="5">
        <f t="shared" si="90"/>
        <v>54580.672268907569</v>
      </c>
      <c r="R1967" s="5">
        <f t="shared" si="91"/>
        <v>24504</v>
      </c>
      <c r="S1967" s="5">
        <f t="shared" si="92"/>
        <v>30076.672268907569</v>
      </c>
    </row>
    <row r="1968" spans="1:19" hidden="1" x14ac:dyDescent="0.3">
      <c r="A1968">
        <v>140</v>
      </c>
      <c r="B1968" t="s">
        <v>3524</v>
      </c>
      <c r="C1968" t="s">
        <v>3209</v>
      </c>
      <c r="D1968" s="2" t="s">
        <v>3210</v>
      </c>
      <c r="E1968" t="s">
        <v>2143</v>
      </c>
      <c r="F1968" t="s">
        <v>20</v>
      </c>
      <c r="G1968" t="s">
        <v>338</v>
      </c>
      <c r="H1968">
        <v>23732</v>
      </c>
      <c r="I1968" t="s">
        <v>23</v>
      </c>
      <c r="J1968" t="s">
        <v>40</v>
      </c>
      <c r="K1968" s="2" t="s">
        <v>2470</v>
      </c>
      <c r="L1968" t="s">
        <v>26</v>
      </c>
      <c r="M1968">
        <v>222869</v>
      </c>
      <c r="N1968">
        <v>1</v>
      </c>
      <c r="O1968" s="3">
        <v>59990</v>
      </c>
      <c r="P1968" s="3">
        <v>26539</v>
      </c>
      <c r="Q1968" s="5">
        <f t="shared" si="90"/>
        <v>50411.764705882357</v>
      </c>
      <c r="R1968" s="5">
        <f t="shared" si="91"/>
        <v>26539</v>
      </c>
      <c r="S1968" s="5">
        <f t="shared" si="92"/>
        <v>23872.764705882357</v>
      </c>
    </row>
    <row r="1969" spans="1:19" hidden="1" x14ac:dyDescent="0.3">
      <c r="A1969">
        <v>140</v>
      </c>
      <c r="B1969" t="s">
        <v>3524</v>
      </c>
      <c r="C1969" t="s">
        <v>3639</v>
      </c>
      <c r="D1969" s="2" t="s">
        <v>3640</v>
      </c>
      <c r="E1969" t="s">
        <v>2363</v>
      </c>
      <c r="F1969" t="s">
        <v>20</v>
      </c>
      <c r="G1969" t="s">
        <v>21</v>
      </c>
      <c r="H1969" t="s">
        <v>2364</v>
      </c>
      <c r="I1969" t="s">
        <v>23</v>
      </c>
      <c r="J1969" t="s">
        <v>40</v>
      </c>
      <c r="K1969" s="2" t="s">
        <v>2470</v>
      </c>
      <c r="L1969" t="s">
        <v>26</v>
      </c>
      <c r="M1969">
        <v>222869</v>
      </c>
      <c r="N1969">
        <v>1</v>
      </c>
      <c r="O1969" s="3">
        <v>39990</v>
      </c>
      <c r="P1969" s="3">
        <v>30446</v>
      </c>
      <c r="Q1969" s="5">
        <f t="shared" si="90"/>
        <v>33605.042016806721</v>
      </c>
      <c r="R1969" s="5">
        <f t="shared" si="91"/>
        <v>30446</v>
      </c>
      <c r="S1969" s="5">
        <f t="shared" si="92"/>
        <v>3159.0420168067212</v>
      </c>
    </row>
    <row r="1970" spans="1:19" hidden="1" x14ac:dyDescent="0.3">
      <c r="A1970">
        <v>140</v>
      </c>
      <c r="B1970" t="s">
        <v>3524</v>
      </c>
      <c r="C1970" t="s">
        <v>2835</v>
      </c>
      <c r="D1970" s="2" t="s">
        <v>2836</v>
      </c>
      <c r="E1970" t="s">
        <v>2837</v>
      </c>
      <c r="F1970" t="s">
        <v>20</v>
      </c>
      <c r="G1970" t="s">
        <v>21</v>
      </c>
      <c r="H1970" t="s">
        <v>272</v>
      </c>
      <c r="I1970" t="s">
        <v>23</v>
      </c>
      <c r="J1970" t="s">
        <v>40</v>
      </c>
      <c r="K1970" s="2" t="s">
        <v>2470</v>
      </c>
      <c r="L1970" t="s">
        <v>26</v>
      </c>
      <c r="M1970">
        <v>222870</v>
      </c>
      <c r="N1970">
        <v>1</v>
      </c>
      <c r="O1970" s="3">
        <v>74950</v>
      </c>
      <c r="P1970" s="3">
        <v>26157</v>
      </c>
      <c r="Q1970" s="5">
        <f t="shared" si="90"/>
        <v>62983.193277310929</v>
      </c>
      <c r="R1970" s="5">
        <f t="shared" si="91"/>
        <v>26157</v>
      </c>
      <c r="S1970" s="5">
        <f t="shared" si="92"/>
        <v>36826.193277310929</v>
      </c>
    </row>
    <row r="1971" spans="1:19" hidden="1" x14ac:dyDescent="0.3">
      <c r="A1971">
        <v>140</v>
      </c>
      <c r="B1971" t="s">
        <v>3524</v>
      </c>
      <c r="C1971" t="s">
        <v>2842</v>
      </c>
      <c r="D1971" s="2" t="s">
        <v>2843</v>
      </c>
      <c r="E1971" t="s">
        <v>2844</v>
      </c>
      <c r="F1971" t="s">
        <v>20</v>
      </c>
      <c r="G1971" t="s">
        <v>338</v>
      </c>
      <c r="H1971">
        <v>24722</v>
      </c>
      <c r="I1971" t="s">
        <v>23</v>
      </c>
      <c r="J1971" t="s">
        <v>95</v>
      </c>
      <c r="K1971" s="2" t="s">
        <v>2470</v>
      </c>
      <c r="L1971" t="s">
        <v>26</v>
      </c>
      <c r="M1971">
        <v>222870</v>
      </c>
      <c r="N1971">
        <v>1</v>
      </c>
      <c r="O1971" s="3">
        <v>76450</v>
      </c>
      <c r="P1971" s="3">
        <v>30987</v>
      </c>
      <c r="Q1971" s="5">
        <f t="shared" si="90"/>
        <v>64243.697478991598</v>
      </c>
      <c r="R1971" s="5">
        <f t="shared" si="91"/>
        <v>30987</v>
      </c>
      <c r="S1971" s="5">
        <f t="shared" si="92"/>
        <v>33256.697478991598</v>
      </c>
    </row>
    <row r="1972" spans="1:19" hidden="1" x14ac:dyDescent="0.3">
      <c r="A1972">
        <v>140</v>
      </c>
      <c r="B1972" t="s">
        <v>3524</v>
      </c>
      <c r="C1972" t="s">
        <v>3641</v>
      </c>
      <c r="D1972" s="2" t="s">
        <v>3642</v>
      </c>
      <c r="E1972" t="s">
        <v>2905</v>
      </c>
      <c r="F1972" t="s">
        <v>20</v>
      </c>
      <c r="G1972" t="s">
        <v>21</v>
      </c>
      <c r="H1972" t="s">
        <v>272</v>
      </c>
      <c r="I1972" t="s">
        <v>23</v>
      </c>
      <c r="J1972" t="s">
        <v>35</v>
      </c>
      <c r="K1972" s="2" t="s">
        <v>2470</v>
      </c>
      <c r="L1972" t="s">
        <v>26</v>
      </c>
      <c r="M1972">
        <v>222871</v>
      </c>
      <c r="N1972">
        <v>1</v>
      </c>
      <c r="O1972" s="3">
        <v>71950</v>
      </c>
      <c r="P1972" s="3">
        <v>27834</v>
      </c>
      <c r="Q1972" s="5">
        <f t="shared" si="90"/>
        <v>60462.184873949584</v>
      </c>
      <c r="R1972" s="5">
        <f t="shared" si="91"/>
        <v>27834</v>
      </c>
      <c r="S1972" s="5">
        <f t="shared" si="92"/>
        <v>32628.184873949584</v>
      </c>
    </row>
    <row r="1973" spans="1:19" hidden="1" x14ac:dyDescent="0.3">
      <c r="A1973">
        <v>140</v>
      </c>
      <c r="B1973" t="s">
        <v>3524</v>
      </c>
      <c r="C1973" t="s">
        <v>2997</v>
      </c>
      <c r="D1973" s="2" t="s">
        <v>2998</v>
      </c>
      <c r="E1973" t="s">
        <v>2483</v>
      </c>
      <c r="F1973" t="s">
        <v>20</v>
      </c>
      <c r="G1973" t="s">
        <v>21</v>
      </c>
      <c r="H1973" t="s">
        <v>2484</v>
      </c>
      <c r="I1973" t="s">
        <v>23</v>
      </c>
      <c r="J1973" t="s">
        <v>40</v>
      </c>
      <c r="K1973" s="2" t="s">
        <v>422</v>
      </c>
      <c r="L1973" t="s">
        <v>26</v>
      </c>
      <c r="M1973">
        <v>222872</v>
      </c>
      <c r="N1973">
        <v>1</v>
      </c>
      <c r="O1973" s="3">
        <v>59950</v>
      </c>
      <c r="P1973" s="3">
        <v>17503</v>
      </c>
      <c r="Q1973" s="5">
        <f t="shared" si="90"/>
        <v>50378.151260504201</v>
      </c>
      <c r="R1973" s="5">
        <f t="shared" si="91"/>
        <v>17503</v>
      </c>
      <c r="S1973" s="5">
        <f t="shared" si="92"/>
        <v>32875.151260504201</v>
      </c>
    </row>
    <row r="1974" spans="1:19" hidden="1" x14ac:dyDescent="0.3">
      <c r="A1974">
        <v>140</v>
      </c>
      <c r="B1974" t="s">
        <v>3524</v>
      </c>
      <c r="C1974" t="s">
        <v>3643</v>
      </c>
      <c r="D1974" s="2" t="s">
        <v>3644</v>
      </c>
      <c r="E1974" t="s">
        <v>3277</v>
      </c>
      <c r="F1974" t="s">
        <v>20</v>
      </c>
      <c r="G1974" t="s">
        <v>21</v>
      </c>
      <c r="H1974" t="s">
        <v>57</v>
      </c>
      <c r="I1974" t="s">
        <v>23</v>
      </c>
      <c r="J1974" t="s">
        <v>35</v>
      </c>
      <c r="K1974" s="2" t="s">
        <v>422</v>
      </c>
      <c r="L1974" t="s">
        <v>26</v>
      </c>
      <c r="M1974">
        <v>222873</v>
      </c>
      <c r="N1974">
        <v>1</v>
      </c>
      <c r="O1974" s="3">
        <v>76450</v>
      </c>
      <c r="P1974" s="3">
        <v>30749</v>
      </c>
      <c r="Q1974" s="5">
        <f t="shared" si="90"/>
        <v>64243.697478991598</v>
      </c>
      <c r="R1974" s="5">
        <f t="shared" si="91"/>
        <v>30749</v>
      </c>
      <c r="S1974" s="5">
        <f t="shared" si="92"/>
        <v>33494.697478991598</v>
      </c>
    </row>
    <row r="1975" spans="1:19" hidden="1" x14ac:dyDescent="0.3">
      <c r="A1975">
        <v>140</v>
      </c>
      <c r="B1975" t="s">
        <v>3524</v>
      </c>
      <c r="C1975" t="s">
        <v>3645</v>
      </c>
      <c r="D1975" s="2" t="s">
        <v>3646</v>
      </c>
      <c r="E1975" t="s">
        <v>214</v>
      </c>
      <c r="F1975" t="s">
        <v>20</v>
      </c>
      <c r="G1975" t="s">
        <v>215</v>
      </c>
      <c r="H1975" t="s">
        <v>216</v>
      </c>
      <c r="I1975" t="s">
        <v>23</v>
      </c>
      <c r="J1975" t="s">
        <v>35</v>
      </c>
      <c r="K1975" s="2" t="s">
        <v>422</v>
      </c>
      <c r="L1975" t="s">
        <v>26</v>
      </c>
      <c r="M1975">
        <v>222873</v>
      </c>
      <c r="N1975">
        <v>1</v>
      </c>
      <c r="O1975" s="3">
        <v>79990</v>
      </c>
      <c r="P1975" s="3">
        <v>47276</v>
      </c>
      <c r="Q1975" s="5">
        <f t="shared" si="90"/>
        <v>67218.487394957992</v>
      </c>
      <c r="R1975" s="5">
        <f t="shared" si="91"/>
        <v>47276</v>
      </c>
      <c r="S1975" s="5">
        <f t="shared" si="92"/>
        <v>19942.487394957992</v>
      </c>
    </row>
    <row r="1976" spans="1:19" hidden="1" x14ac:dyDescent="0.3">
      <c r="A1976">
        <v>140</v>
      </c>
      <c r="B1976" t="s">
        <v>3524</v>
      </c>
      <c r="C1976" t="s">
        <v>3647</v>
      </c>
      <c r="D1976" s="2" t="s">
        <v>3648</v>
      </c>
      <c r="E1976" t="s">
        <v>316</v>
      </c>
      <c r="F1976" t="s">
        <v>20</v>
      </c>
      <c r="G1976" t="s">
        <v>21</v>
      </c>
      <c r="H1976" t="s">
        <v>317</v>
      </c>
      <c r="I1976" t="s">
        <v>23</v>
      </c>
      <c r="J1976" t="s">
        <v>35</v>
      </c>
      <c r="K1976" s="2" t="s">
        <v>422</v>
      </c>
      <c r="L1976" t="s">
        <v>26</v>
      </c>
      <c r="M1976">
        <v>222874</v>
      </c>
      <c r="N1976">
        <v>1</v>
      </c>
      <c r="O1976" s="3">
        <v>69950</v>
      </c>
      <c r="P1976" s="3">
        <v>24893</v>
      </c>
      <c r="Q1976" s="5">
        <f t="shared" si="90"/>
        <v>58781.512605042022</v>
      </c>
      <c r="R1976" s="5">
        <f t="shared" si="91"/>
        <v>24893</v>
      </c>
      <c r="S1976" s="5">
        <f t="shared" si="92"/>
        <v>33888.512605042022</v>
      </c>
    </row>
    <row r="1977" spans="1:19" hidden="1" x14ac:dyDescent="0.3">
      <c r="A1977">
        <v>140</v>
      </c>
      <c r="B1977" t="s">
        <v>3524</v>
      </c>
      <c r="C1977" t="s">
        <v>3649</v>
      </c>
      <c r="D1977" s="2" t="s">
        <v>3650</v>
      </c>
      <c r="E1977" t="s">
        <v>3651</v>
      </c>
      <c r="F1977" t="s">
        <v>20</v>
      </c>
      <c r="G1977" t="s">
        <v>21</v>
      </c>
      <c r="H1977" t="s">
        <v>970</v>
      </c>
      <c r="I1977" t="s">
        <v>23</v>
      </c>
      <c r="J1977" t="s">
        <v>40</v>
      </c>
      <c r="K1977" s="2" t="s">
        <v>422</v>
      </c>
      <c r="L1977" t="s">
        <v>26</v>
      </c>
      <c r="M1977">
        <v>222875</v>
      </c>
      <c r="N1977">
        <v>1</v>
      </c>
      <c r="O1977" s="3">
        <v>59950</v>
      </c>
      <c r="P1977" s="3">
        <v>18691</v>
      </c>
      <c r="Q1977" s="5">
        <f t="shared" si="90"/>
        <v>50378.151260504201</v>
      </c>
      <c r="R1977" s="5">
        <f t="shared" si="91"/>
        <v>18691</v>
      </c>
      <c r="S1977" s="5">
        <f t="shared" si="92"/>
        <v>31687.151260504201</v>
      </c>
    </row>
    <row r="1978" spans="1:19" hidden="1" x14ac:dyDescent="0.3">
      <c r="A1978">
        <v>140</v>
      </c>
      <c r="B1978" t="s">
        <v>3524</v>
      </c>
      <c r="C1978" t="s">
        <v>3652</v>
      </c>
      <c r="D1978" s="2" t="s">
        <v>3653</v>
      </c>
      <c r="E1978" t="s">
        <v>2314</v>
      </c>
      <c r="F1978" t="s">
        <v>20</v>
      </c>
      <c r="G1978" t="s">
        <v>21</v>
      </c>
      <c r="H1978" t="s">
        <v>2315</v>
      </c>
      <c r="I1978" t="s">
        <v>23</v>
      </c>
      <c r="J1978" t="s">
        <v>49</v>
      </c>
      <c r="K1978" s="2" t="s">
        <v>422</v>
      </c>
      <c r="L1978" t="s">
        <v>26</v>
      </c>
      <c r="M1978">
        <v>222876</v>
      </c>
      <c r="N1978">
        <v>1</v>
      </c>
      <c r="O1978" s="3">
        <v>74950</v>
      </c>
      <c r="P1978" s="3">
        <v>29091</v>
      </c>
      <c r="Q1978" s="5">
        <f t="shared" si="90"/>
        <v>62983.193277310929</v>
      </c>
      <c r="R1978" s="5">
        <f t="shared" si="91"/>
        <v>29091</v>
      </c>
      <c r="S1978" s="5">
        <f t="shared" si="92"/>
        <v>33892.193277310929</v>
      </c>
    </row>
    <row r="1979" spans="1:19" hidden="1" x14ac:dyDescent="0.3">
      <c r="A1979">
        <v>140</v>
      </c>
      <c r="B1979" t="s">
        <v>3524</v>
      </c>
      <c r="C1979" t="s">
        <v>768</v>
      </c>
      <c r="D1979" s="2" t="s">
        <v>769</v>
      </c>
      <c r="E1979" t="s">
        <v>47</v>
      </c>
      <c r="F1979" t="s">
        <v>20</v>
      </c>
      <c r="G1979" t="s">
        <v>21</v>
      </c>
      <c r="H1979" t="s">
        <v>48</v>
      </c>
      <c r="I1979" t="s">
        <v>23</v>
      </c>
      <c r="J1979" t="s">
        <v>49</v>
      </c>
      <c r="K1979" s="2" t="s">
        <v>422</v>
      </c>
      <c r="L1979" t="s">
        <v>26</v>
      </c>
      <c r="M1979">
        <v>222877</v>
      </c>
      <c r="N1979">
        <v>1</v>
      </c>
      <c r="O1979" s="3">
        <v>39990</v>
      </c>
      <c r="P1979" s="3">
        <v>24245</v>
      </c>
      <c r="Q1979" s="5">
        <f t="shared" si="90"/>
        <v>33605.042016806721</v>
      </c>
      <c r="R1979" s="5">
        <f t="shared" si="91"/>
        <v>24245</v>
      </c>
      <c r="S1979" s="5">
        <f t="shared" si="92"/>
        <v>9360.0420168067212</v>
      </c>
    </row>
    <row r="1980" spans="1:19" hidden="1" x14ac:dyDescent="0.3">
      <c r="A1980">
        <v>140</v>
      </c>
      <c r="B1980" t="s">
        <v>3524</v>
      </c>
      <c r="C1980">
        <v>1687976791</v>
      </c>
      <c r="D1980" s="2" t="s">
        <v>200</v>
      </c>
      <c r="E1980" t="s">
        <v>201</v>
      </c>
      <c r="F1980" t="s">
        <v>201</v>
      </c>
      <c r="G1980" t="s">
        <v>202</v>
      </c>
      <c r="H1980" t="s">
        <v>202</v>
      </c>
      <c r="I1980" t="s">
        <v>23</v>
      </c>
      <c r="J1980" t="s">
        <v>202</v>
      </c>
      <c r="K1980" s="2" t="s">
        <v>422</v>
      </c>
      <c r="L1980" t="s">
        <v>26</v>
      </c>
      <c r="M1980">
        <v>222877</v>
      </c>
      <c r="N1980">
        <v>1</v>
      </c>
      <c r="O1980">
        <v>1</v>
      </c>
      <c r="P1980">
        <v>1</v>
      </c>
      <c r="Q1980" s="5">
        <f t="shared" si="90"/>
        <v>0.84033613445378152</v>
      </c>
      <c r="R1980" s="5">
        <f t="shared" si="91"/>
        <v>1</v>
      </c>
      <c r="S1980" s="5">
        <f t="shared" si="92"/>
        <v>-0.15966386554621848</v>
      </c>
    </row>
    <row r="1981" spans="1:19" hidden="1" x14ac:dyDescent="0.3">
      <c r="A1981">
        <v>140</v>
      </c>
      <c r="B1981" t="s">
        <v>3524</v>
      </c>
      <c r="C1981" t="s">
        <v>2537</v>
      </c>
      <c r="D1981" s="2" t="s">
        <v>2538</v>
      </c>
      <c r="E1981" t="s">
        <v>2539</v>
      </c>
      <c r="F1981" t="s">
        <v>20</v>
      </c>
      <c r="G1981" t="s">
        <v>21</v>
      </c>
      <c r="H1981" t="s">
        <v>966</v>
      </c>
      <c r="I1981" t="s">
        <v>23</v>
      </c>
      <c r="J1981" t="s">
        <v>35</v>
      </c>
      <c r="K1981" s="2" t="s">
        <v>422</v>
      </c>
      <c r="L1981" t="s">
        <v>26</v>
      </c>
      <c r="M1981">
        <v>222878</v>
      </c>
      <c r="N1981">
        <v>1</v>
      </c>
      <c r="O1981" s="3">
        <v>74950</v>
      </c>
      <c r="P1981" s="3">
        <v>27299</v>
      </c>
      <c r="Q1981" s="5">
        <f t="shared" si="90"/>
        <v>62983.193277310929</v>
      </c>
      <c r="R1981" s="5">
        <f t="shared" si="91"/>
        <v>27299</v>
      </c>
      <c r="S1981" s="5">
        <f t="shared" si="92"/>
        <v>35684.193277310929</v>
      </c>
    </row>
    <row r="1982" spans="1:19" hidden="1" x14ac:dyDescent="0.3">
      <c r="A1982">
        <v>140</v>
      </c>
      <c r="B1982" t="s">
        <v>3524</v>
      </c>
      <c r="C1982" t="s">
        <v>3654</v>
      </c>
      <c r="D1982" s="2" t="s">
        <v>3655</v>
      </c>
      <c r="E1982" t="s">
        <v>3656</v>
      </c>
      <c r="F1982" t="s">
        <v>20</v>
      </c>
      <c r="G1982" t="s">
        <v>21</v>
      </c>
      <c r="H1982" t="s">
        <v>614</v>
      </c>
      <c r="I1982" t="s">
        <v>23</v>
      </c>
      <c r="J1982" t="s">
        <v>40</v>
      </c>
      <c r="K1982" s="2" t="s">
        <v>422</v>
      </c>
      <c r="L1982" t="s">
        <v>26</v>
      </c>
      <c r="M1982">
        <v>222879</v>
      </c>
      <c r="N1982">
        <v>1</v>
      </c>
      <c r="O1982" s="3">
        <v>54950</v>
      </c>
      <c r="P1982" s="3">
        <v>14265</v>
      </c>
      <c r="Q1982" s="5">
        <f t="shared" si="90"/>
        <v>46176.470588235294</v>
      </c>
      <c r="R1982" s="5">
        <f t="shared" si="91"/>
        <v>14265</v>
      </c>
      <c r="S1982" s="5">
        <f t="shared" si="92"/>
        <v>31911.470588235294</v>
      </c>
    </row>
    <row r="1983" spans="1:19" hidden="1" x14ac:dyDescent="0.3">
      <c r="A1983">
        <v>140</v>
      </c>
      <c r="B1983" t="s">
        <v>3524</v>
      </c>
      <c r="C1983" t="s">
        <v>3558</v>
      </c>
      <c r="D1983" s="2" t="s">
        <v>3559</v>
      </c>
      <c r="E1983" t="s">
        <v>1736</v>
      </c>
      <c r="F1983" t="s">
        <v>20</v>
      </c>
      <c r="G1983" t="s">
        <v>21</v>
      </c>
      <c r="H1983" t="s">
        <v>783</v>
      </c>
      <c r="I1983" t="s">
        <v>23</v>
      </c>
      <c r="J1983" t="s">
        <v>40</v>
      </c>
      <c r="K1983" s="2" t="s">
        <v>422</v>
      </c>
      <c r="L1983" t="s">
        <v>26</v>
      </c>
      <c r="M1983">
        <v>222879</v>
      </c>
      <c r="N1983">
        <v>-1</v>
      </c>
      <c r="O1983" s="3">
        <v>-34990</v>
      </c>
      <c r="P1983" s="3">
        <v>17194</v>
      </c>
      <c r="Q1983" s="5">
        <f t="shared" si="90"/>
        <v>-29403.361344537818</v>
      </c>
      <c r="R1983" s="5">
        <f t="shared" si="91"/>
        <v>-17194</v>
      </c>
      <c r="S1983" s="5">
        <f t="shared" si="92"/>
        <v>-12209.361344537818</v>
      </c>
    </row>
    <row r="1984" spans="1:19" hidden="1" x14ac:dyDescent="0.3">
      <c r="A1984">
        <v>140</v>
      </c>
      <c r="B1984" t="s">
        <v>3524</v>
      </c>
      <c r="C1984" t="s">
        <v>2785</v>
      </c>
      <c r="D1984" s="2" t="s">
        <v>2786</v>
      </c>
      <c r="E1984" t="s">
        <v>2787</v>
      </c>
      <c r="F1984" t="s">
        <v>20</v>
      </c>
      <c r="G1984" t="s">
        <v>21</v>
      </c>
      <c r="H1984" t="s">
        <v>1286</v>
      </c>
      <c r="I1984" t="s">
        <v>23</v>
      </c>
      <c r="J1984" t="s">
        <v>40</v>
      </c>
      <c r="K1984" s="2" t="s">
        <v>422</v>
      </c>
      <c r="L1984" t="s">
        <v>26</v>
      </c>
      <c r="M1984">
        <v>222880</v>
      </c>
      <c r="N1984">
        <v>1</v>
      </c>
      <c r="O1984" s="3">
        <v>49990</v>
      </c>
      <c r="P1984" s="3">
        <v>24783</v>
      </c>
      <c r="Q1984" s="5">
        <f t="shared" si="90"/>
        <v>42008.403361344543</v>
      </c>
      <c r="R1984" s="5">
        <f t="shared" si="91"/>
        <v>24783</v>
      </c>
      <c r="S1984" s="5">
        <f t="shared" si="92"/>
        <v>17225.403361344543</v>
      </c>
    </row>
    <row r="1985" spans="1:19" hidden="1" x14ac:dyDescent="0.3">
      <c r="A1985">
        <v>140</v>
      </c>
      <c r="B1985" t="s">
        <v>3524</v>
      </c>
      <c r="C1985" t="s">
        <v>3657</v>
      </c>
      <c r="D1985" s="2" t="s">
        <v>3658</v>
      </c>
      <c r="E1985" t="s">
        <v>863</v>
      </c>
      <c r="F1985" t="s">
        <v>20</v>
      </c>
      <c r="G1985" t="s">
        <v>21</v>
      </c>
      <c r="H1985" t="s">
        <v>48</v>
      </c>
      <c r="I1985" t="s">
        <v>23</v>
      </c>
      <c r="J1985" t="s">
        <v>35</v>
      </c>
      <c r="K1985" s="2" t="s">
        <v>422</v>
      </c>
      <c r="L1985" t="s">
        <v>26</v>
      </c>
      <c r="M1985">
        <v>222881</v>
      </c>
      <c r="N1985">
        <v>1</v>
      </c>
      <c r="O1985" s="3">
        <v>49990</v>
      </c>
      <c r="P1985" s="3">
        <v>29025</v>
      </c>
      <c r="Q1985" s="5">
        <f t="shared" si="90"/>
        <v>42008.403361344543</v>
      </c>
      <c r="R1985" s="5">
        <f t="shared" si="91"/>
        <v>29025</v>
      </c>
      <c r="S1985" s="5">
        <f t="shared" si="92"/>
        <v>12983.403361344543</v>
      </c>
    </row>
    <row r="1986" spans="1:19" hidden="1" x14ac:dyDescent="0.3">
      <c r="A1986">
        <v>140</v>
      </c>
      <c r="B1986" t="s">
        <v>3524</v>
      </c>
      <c r="C1986">
        <v>1687976791</v>
      </c>
      <c r="D1986" s="2" t="s">
        <v>200</v>
      </c>
      <c r="E1986" t="s">
        <v>201</v>
      </c>
      <c r="F1986" t="s">
        <v>201</v>
      </c>
      <c r="G1986" t="s">
        <v>202</v>
      </c>
      <c r="H1986" t="s">
        <v>202</v>
      </c>
      <c r="I1986" t="s">
        <v>23</v>
      </c>
      <c r="J1986" t="s">
        <v>202</v>
      </c>
      <c r="K1986" s="2" t="s">
        <v>422</v>
      </c>
      <c r="L1986" t="s">
        <v>26</v>
      </c>
      <c r="M1986">
        <v>222881</v>
      </c>
      <c r="N1986">
        <v>1</v>
      </c>
      <c r="O1986" s="3">
        <v>2000</v>
      </c>
      <c r="P1986">
        <v>1</v>
      </c>
      <c r="Q1986" s="5">
        <f t="shared" si="90"/>
        <v>1680.6722689075632</v>
      </c>
      <c r="R1986" s="5">
        <f t="shared" si="91"/>
        <v>1</v>
      </c>
      <c r="S1986" s="5">
        <f t="shared" si="92"/>
        <v>1679.6722689075632</v>
      </c>
    </row>
    <row r="1987" spans="1:19" hidden="1" x14ac:dyDescent="0.3">
      <c r="A1987">
        <v>140</v>
      </c>
      <c r="B1987" t="s">
        <v>3524</v>
      </c>
      <c r="C1987" t="s">
        <v>3378</v>
      </c>
      <c r="D1987" s="2" t="s">
        <v>3379</v>
      </c>
      <c r="E1987" t="s">
        <v>3380</v>
      </c>
      <c r="F1987" t="s">
        <v>20</v>
      </c>
      <c r="G1987" t="s">
        <v>21</v>
      </c>
      <c r="H1987" t="s">
        <v>1703</v>
      </c>
      <c r="I1987" t="s">
        <v>23</v>
      </c>
      <c r="J1987" t="s">
        <v>49</v>
      </c>
      <c r="K1987" s="2" t="s">
        <v>422</v>
      </c>
      <c r="L1987" t="s">
        <v>26</v>
      </c>
      <c r="M1987">
        <v>222882</v>
      </c>
      <c r="N1987">
        <v>1</v>
      </c>
      <c r="O1987" s="3">
        <v>69950</v>
      </c>
      <c r="P1987" s="3">
        <v>22284</v>
      </c>
      <c r="Q1987" s="5">
        <f t="shared" si="90"/>
        <v>58781.512605042022</v>
      </c>
      <c r="R1987" s="5">
        <f t="shared" si="91"/>
        <v>22284</v>
      </c>
      <c r="S1987" s="5">
        <f t="shared" si="92"/>
        <v>36497.512605042022</v>
      </c>
    </row>
    <row r="1988" spans="1:19" hidden="1" x14ac:dyDescent="0.3">
      <c r="A1988">
        <v>140</v>
      </c>
      <c r="B1988" t="s">
        <v>3524</v>
      </c>
      <c r="C1988" t="s">
        <v>2651</v>
      </c>
      <c r="D1988" s="2" t="s">
        <v>2652</v>
      </c>
      <c r="E1988" t="s">
        <v>2653</v>
      </c>
      <c r="F1988" t="s">
        <v>20</v>
      </c>
      <c r="G1988" t="s">
        <v>21</v>
      </c>
      <c r="H1988" t="s">
        <v>2315</v>
      </c>
      <c r="I1988" t="s">
        <v>23</v>
      </c>
      <c r="J1988" t="s">
        <v>35</v>
      </c>
      <c r="K1988" s="2" t="s">
        <v>422</v>
      </c>
      <c r="L1988" t="s">
        <v>26</v>
      </c>
      <c r="M1988">
        <v>222883</v>
      </c>
      <c r="N1988">
        <v>1</v>
      </c>
      <c r="O1988" s="3">
        <v>89950</v>
      </c>
      <c r="P1988" s="3">
        <v>30749</v>
      </c>
      <c r="Q1988" s="5">
        <f t="shared" si="90"/>
        <v>75588.23529411765</v>
      </c>
      <c r="R1988" s="5">
        <f t="shared" si="91"/>
        <v>30749</v>
      </c>
      <c r="S1988" s="5">
        <f t="shared" si="92"/>
        <v>44839.23529411765</v>
      </c>
    </row>
    <row r="1989" spans="1:19" hidden="1" x14ac:dyDescent="0.3">
      <c r="A1989">
        <v>140</v>
      </c>
      <c r="B1989" t="s">
        <v>3524</v>
      </c>
      <c r="C1989" t="s">
        <v>2525</v>
      </c>
      <c r="D1989" s="2" t="s">
        <v>2526</v>
      </c>
      <c r="E1989" t="s">
        <v>2527</v>
      </c>
      <c r="F1989" t="s">
        <v>377</v>
      </c>
      <c r="G1989" t="s">
        <v>21</v>
      </c>
      <c r="H1989" t="s">
        <v>378</v>
      </c>
      <c r="I1989" t="s">
        <v>23</v>
      </c>
      <c r="J1989" t="s">
        <v>2459</v>
      </c>
      <c r="K1989" s="2" t="s">
        <v>814</v>
      </c>
      <c r="L1989" t="s">
        <v>26</v>
      </c>
      <c r="M1989">
        <v>222884</v>
      </c>
      <c r="N1989">
        <v>1</v>
      </c>
      <c r="O1989" s="3">
        <v>6950</v>
      </c>
      <c r="P1989" s="3">
        <v>2964</v>
      </c>
      <c r="Q1989" s="5">
        <f t="shared" si="90"/>
        <v>5840.3361344537816</v>
      </c>
      <c r="R1989" s="5">
        <f t="shared" si="91"/>
        <v>2964</v>
      </c>
      <c r="S1989" s="5">
        <f t="shared" si="92"/>
        <v>2876.3361344537816</v>
      </c>
    </row>
    <row r="1990" spans="1:19" hidden="1" x14ac:dyDescent="0.3">
      <c r="A1990">
        <v>140</v>
      </c>
      <c r="B1990" t="s">
        <v>3524</v>
      </c>
      <c r="C1990" t="s">
        <v>3659</v>
      </c>
      <c r="D1990" s="2" t="s">
        <v>3660</v>
      </c>
      <c r="E1990" t="s">
        <v>1466</v>
      </c>
      <c r="F1990" t="s">
        <v>20</v>
      </c>
      <c r="G1990" t="s">
        <v>21</v>
      </c>
      <c r="H1990" t="s">
        <v>65</v>
      </c>
      <c r="I1990" t="s">
        <v>23</v>
      </c>
      <c r="J1990" t="s">
        <v>49</v>
      </c>
      <c r="K1990" s="2" t="s">
        <v>814</v>
      </c>
      <c r="L1990" t="s">
        <v>26</v>
      </c>
      <c r="M1990">
        <v>222885</v>
      </c>
      <c r="N1990">
        <v>1</v>
      </c>
      <c r="O1990" s="3">
        <v>64950</v>
      </c>
      <c r="P1990" s="3">
        <v>18660</v>
      </c>
      <c r="Q1990" s="5">
        <f t="shared" ref="Q1990:Q2053" si="93">O1990/1.19</f>
        <v>54579.831932773115</v>
      </c>
      <c r="R1990" s="5">
        <f t="shared" ref="R1990:R2053" si="94">N1990*P1990</f>
        <v>18660</v>
      </c>
      <c r="S1990" s="5">
        <f t="shared" ref="S1990:S2053" si="95">Q1990-R1990</f>
        <v>35919.831932773115</v>
      </c>
    </row>
    <row r="1991" spans="1:19" hidden="1" x14ac:dyDescent="0.3">
      <c r="A1991">
        <v>140</v>
      </c>
      <c r="B1991" t="s">
        <v>3524</v>
      </c>
      <c r="C1991">
        <v>1687976791</v>
      </c>
      <c r="D1991" s="2" t="s">
        <v>200</v>
      </c>
      <c r="E1991" t="s">
        <v>201</v>
      </c>
      <c r="F1991" t="s">
        <v>201</v>
      </c>
      <c r="G1991" t="s">
        <v>202</v>
      </c>
      <c r="H1991" t="s">
        <v>202</v>
      </c>
      <c r="I1991" t="s">
        <v>23</v>
      </c>
      <c r="J1991" t="s">
        <v>202</v>
      </c>
      <c r="K1991" s="2" t="s">
        <v>814</v>
      </c>
      <c r="L1991" t="s">
        <v>26</v>
      </c>
      <c r="M1991">
        <v>222885</v>
      </c>
      <c r="N1991">
        <v>1</v>
      </c>
      <c r="O1991" s="3">
        <v>3200</v>
      </c>
      <c r="P1991">
        <v>1</v>
      </c>
      <c r="Q1991" s="5">
        <f t="shared" si="93"/>
        <v>2689.0756302521008</v>
      </c>
      <c r="R1991" s="5">
        <f t="shared" si="94"/>
        <v>1</v>
      </c>
      <c r="S1991" s="5">
        <f t="shared" si="95"/>
        <v>2688.0756302521008</v>
      </c>
    </row>
    <row r="1992" spans="1:19" hidden="1" x14ac:dyDescent="0.3">
      <c r="A1992">
        <v>140</v>
      </c>
      <c r="B1992" t="s">
        <v>3524</v>
      </c>
      <c r="C1992" t="s">
        <v>3661</v>
      </c>
      <c r="D1992" s="2" t="s">
        <v>3662</v>
      </c>
      <c r="E1992" t="s">
        <v>3663</v>
      </c>
      <c r="F1992" t="s">
        <v>377</v>
      </c>
      <c r="G1992" t="s">
        <v>21</v>
      </c>
      <c r="H1992" t="s">
        <v>378</v>
      </c>
      <c r="I1992" t="s">
        <v>23</v>
      </c>
      <c r="J1992" t="s">
        <v>2459</v>
      </c>
      <c r="K1992" s="2" t="s">
        <v>814</v>
      </c>
      <c r="L1992" t="s">
        <v>26</v>
      </c>
      <c r="M1992">
        <v>222886</v>
      </c>
      <c r="N1992">
        <v>1</v>
      </c>
      <c r="O1992" s="3">
        <v>3950</v>
      </c>
      <c r="P1992" s="3">
        <v>2224</v>
      </c>
      <c r="Q1992" s="5">
        <f t="shared" si="93"/>
        <v>3319.3277310924373</v>
      </c>
      <c r="R1992" s="5">
        <f t="shared" si="94"/>
        <v>2224</v>
      </c>
      <c r="S1992" s="5">
        <f t="shared" si="95"/>
        <v>1095.3277310924373</v>
      </c>
    </row>
    <row r="1993" spans="1:19" hidden="1" x14ac:dyDescent="0.3">
      <c r="A1993">
        <v>140</v>
      </c>
      <c r="B1993" t="s">
        <v>3524</v>
      </c>
      <c r="C1993" t="s">
        <v>3664</v>
      </c>
      <c r="D1993" s="2" t="s">
        <v>3665</v>
      </c>
      <c r="E1993" t="s">
        <v>3666</v>
      </c>
      <c r="F1993" t="s">
        <v>20</v>
      </c>
      <c r="G1993" t="s">
        <v>338</v>
      </c>
      <c r="H1993">
        <v>24316</v>
      </c>
      <c r="I1993" t="s">
        <v>23</v>
      </c>
      <c r="J1993" t="s">
        <v>49</v>
      </c>
      <c r="K1993" s="2" t="s">
        <v>814</v>
      </c>
      <c r="L1993" t="s">
        <v>26</v>
      </c>
      <c r="M1993">
        <v>222887</v>
      </c>
      <c r="N1993">
        <v>1</v>
      </c>
      <c r="O1993" s="3">
        <v>74950</v>
      </c>
      <c r="P1993" s="3">
        <v>23473</v>
      </c>
      <c r="Q1993" s="5">
        <f t="shared" si="93"/>
        <v>62983.193277310929</v>
      </c>
      <c r="R1993" s="5">
        <f t="shared" si="94"/>
        <v>23473</v>
      </c>
      <c r="S1993" s="5">
        <f t="shared" si="95"/>
        <v>39510.193277310929</v>
      </c>
    </row>
    <row r="1994" spans="1:19" hidden="1" x14ac:dyDescent="0.3">
      <c r="A1994">
        <v>140</v>
      </c>
      <c r="B1994" t="s">
        <v>3524</v>
      </c>
      <c r="C1994" t="s">
        <v>3667</v>
      </c>
      <c r="D1994" s="2" t="s">
        <v>3668</v>
      </c>
      <c r="E1994" t="s">
        <v>3669</v>
      </c>
      <c r="F1994" t="s">
        <v>20</v>
      </c>
      <c r="G1994" t="s">
        <v>21</v>
      </c>
      <c r="H1994" t="s">
        <v>2593</v>
      </c>
      <c r="I1994" t="s">
        <v>23</v>
      </c>
      <c r="J1994" t="s">
        <v>35</v>
      </c>
      <c r="K1994" s="2" t="s">
        <v>814</v>
      </c>
      <c r="L1994" t="s">
        <v>26</v>
      </c>
      <c r="M1994">
        <v>222887</v>
      </c>
      <c r="N1994">
        <v>1</v>
      </c>
      <c r="O1994" s="3">
        <v>94950</v>
      </c>
      <c r="P1994" s="3">
        <v>34760</v>
      </c>
      <c r="Q1994" s="5">
        <f t="shared" si="93"/>
        <v>79789.915966386558</v>
      </c>
      <c r="R1994" s="5">
        <f t="shared" si="94"/>
        <v>34760</v>
      </c>
      <c r="S1994" s="5">
        <f t="shared" si="95"/>
        <v>45029.915966386558</v>
      </c>
    </row>
    <row r="1995" spans="1:19" hidden="1" x14ac:dyDescent="0.3">
      <c r="A1995">
        <v>140</v>
      </c>
      <c r="B1995" t="s">
        <v>3524</v>
      </c>
      <c r="C1995" t="s">
        <v>1034</v>
      </c>
      <c r="D1995" s="2" t="s">
        <v>1035</v>
      </c>
      <c r="E1995" t="s">
        <v>1036</v>
      </c>
      <c r="F1995" t="s">
        <v>377</v>
      </c>
      <c r="G1995" t="s">
        <v>21</v>
      </c>
      <c r="H1995" t="s">
        <v>378</v>
      </c>
      <c r="I1995" t="s">
        <v>23</v>
      </c>
      <c r="J1995" t="s">
        <v>379</v>
      </c>
      <c r="K1995" s="2" t="s">
        <v>814</v>
      </c>
      <c r="L1995" t="s">
        <v>26</v>
      </c>
      <c r="M1995">
        <v>222887</v>
      </c>
      <c r="N1995">
        <v>1</v>
      </c>
      <c r="O1995" s="3">
        <v>5950</v>
      </c>
      <c r="P1995" s="3">
        <v>2832</v>
      </c>
      <c r="Q1995" s="5">
        <f t="shared" si="93"/>
        <v>5000</v>
      </c>
      <c r="R1995" s="5">
        <f t="shared" si="94"/>
        <v>2832</v>
      </c>
      <c r="S1995" s="5">
        <f t="shared" si="95"/>
        <v>2168</v>
      </c>
    </row>
    <row r="1996" spans="1:19" hidden="1" x14ac:dyDescent="0.3">
      <c r="A1996">
        <v>140</v>
      </c>
      <c r="B1996" t="s">
        <v>3524</v>
      </c>
      <c r="C1996" t="s">
        <v>3670</v>
      </c>
      <c r="D1996" s="2" t="s">
        <v>3671</v>
      </c>
      <c r="E1996" t="s">
        <v>2888</v>
      </c>
      <c r="F1996" t="s">
        <v>20</v>
      </c>
      <c r="G1996" t="s">
        <v>21</v>
      </c>
      <c r="H1996" t="s">
        <v>2593</v>
      </c>
      <c r="I1996" t="s">
        <v>23</v>
      </c>
      <c r="J1996" t="s">
        <v>35</v>
      </c>
      <c r="K1996" s="2" t="s">
        <v>814</v>
      </c>
      <c r="L1996" t="s">
        <v>26</v>
      </c>
      <c r="M1996">
        <v>222888</v>
      </c>
      <c r="N1996">
        <v>1</v>
      </c>
      <c r="O1996" s="3">
        <v>99950</v>
      </c>
      <c r="P1996" s="3">
        <v>38102</v>
      </c>
      <c r="Q1996" s="5">
        <f t="shared" si="93"/>
        <v>83991.596638655465</v>
      </c>
      <c r="R1996" s="5">
        <f t="shared" si="94"/>
        <v>38102</v>
      </c>
      <c r="S1996" s="5">
        <f t="shared" si="95"/>
        <v>45889.596638655465</v>
      </c>
    </row>
    <row r="1997" spans="1:19" hidden="1" x14ac:dyDescent="0.3">
      <c r="A1997">
        <v>140</v>
      </c>
      <c r="B1997" t="s">
        <v>3524</v>
      </c>
      <c r="C1997" t="s">
        <v>3615</v>
      </c>
      <c r="D1997" s="2" t="s">
        <v>3616</v>
      </c>
      <c r="E1997" t="s">
        <v>938</v>
      </c>
      <c r="F1997" t="s">
        <v>20</v>
      </c>
      <c r="G1997" t="s">
        <v>21</v>
      </c>
      <c r="H1997" t="s">
        <v>317</v>
      </c>
      <c r="I1997" t="s">
        <v>23</v>
      </c>
      <c r="J1997" t="s">
        <v>35</v>
      </c>
      <c r="K1997" s="2" t="s">
        <v>814</v>
      </c>
      <c r="L1997" t="s">
        <v>26</v>
      </c>
      <c r="M1997">
        <v>222889</v>
      </c>
      <c r="N1997">
        <v>1</v>
      </c>
      <c r="O1997" s="3">
        <v>69950</v>
      </c>
      <c r="P1997" s="3">
        <v>27213</v>
      </c>
      <c r="Q1997" s="5">
        <f t="shared" si="93"/>
        <v>58781.512605042022</v>
      </c>
      <c r="R1997" s="5">
        <f t="shared" si="94"/>
        <v>27213</v>
      </c>
      <c r="S1997" s="5">
        <f t="shared" si="95"/>
        <v>31568.512605042022</v>
      </c>
    </row>
    <row r="1998" spans="1:19" hidden="1" x14ac:dyDescent="0.3">
      <c r="A1998">
        <v>140</v>
      </c>
      <c r="B1998" t="s">
        <v>3524</v>
      </c>
      <c r="C1998" t="s">
        <v>3571</v>
      </c>
      <c r="D1998" s="2" t="s">
        <v>3572</v>
      </c>
      <c r="E1998" t="s">
        <v>3573</v>
      </c>
      <c r="F1998" t="s">
        <v>20</v>
      </c>
      <c r="G1998" t="s">
        <v>21</v>
      </c>
      <c r="H1998" t="s">
        <v>247</v>
      </c>
      <c r="I1998" t="s">
        <v>23</v>
      </c>
      <c r="J1998" t="s">
        <v>40</v>
      </c>
      <c r="K1998" s="2" t="s">
        <v>814</v>
      </c>
      <c r="L1998" t="s">
        <v>26</v>
      </c>
      <c r="M1998">
        <v>222890</v>
      </c>
      <c r="N1998">
        <v>1</v>
      </c>
      <c r="O1998" s="3">
        <v>34990</v>
      </c>
      <c r="P1998" s="3">
        <v>16766</v>
      </c>
      <c r="Q1998" s="5">
        <f t="shared" si="93"/>
        <v>29403.361344537818</v>
      </c>
      <c r="R1998" s="5">
        <f t="shared" si="94"/>
        <v>16766</v>
      </c>
      <c r="S1998" s="5">
        <f t="shared" si="95"/>
        <v>12637.361344537818</v>
      </c>
    </row>
    <row r="1999" spans="1:19" hidden="1" x14ac:dyDescent="0.3">
      <c r="A1999">
        <v>140</v>
      </c>
      <c r="B1999" t="s">
        <v>3524</v>
      </c>
      <c r="C1999" t="s">
        <v>3672</v>
      </c>
      <c r="D1999" s="2" t="s">
        <v>3673</v>
      </c>
      <c r="E1999" t="s">
        <v>1250</v>
      </c>
      <c r="F1999" t="s">
        <v>20</v>
      </c>
      <c r="G1999" t="s">
        <v>21</v>
      </c>
      <c r="H1999" t="s">
        <v>1251</v>
      </c>
      <c r="I1999" t="s">
        <v>23</v>
      </c>
      <c r="J1999" t="s">
        <v>207</v>
      </c>
      <c r="K1999" s="2" t="s">
        <v>814</v>
      </c>
      <c r="L1999" t="s">
        <v>26</v>
      </c>
      <c r="M1999">
        <v>222890</v>
      </c>
      <c r="N1999">
        <v>-1</v>
      </c>
      <c r="O1999" s="3">
        <v>-39990</v>
      </c>
      <c r="P1999" s="3">
        <v>26720</v>
      </c>
      <c r="Q1999" s="5">
        <f t="shared" si="93"/>
        <v>-33605.042016806721</v>
      </c>
      <c r="R1999" s="5">
        <f t="shared" si="94"/>
        <v>-26720</v>
      </c>
      <c r="S1999" s="5">
        <f t="shared" si="95"/>
        <v>-6885.0420168067212</v>
      </c>
    </row>
    <row r="2000" spans="1:19" hidden="1" x14ac:dyDescent="0.3">
      <c r="A2000">
        <v>140</v>
      </c>
      <c r="B2000" t="s">
        <v>3524</v>
      </c>
      <c r="C2000" t="s">
        <v>3674</v>
      </c>
      <c r="D2000" s="2" t="s">
        <v>3675</v>
      </c>
      <c r="E2000" t="s">
        <v>3676</v>
      </c>
      <c r="F2000" t="s">
        <v>20</v>
      </c>
      <c r="G2000" t="s">
        <v>21</v>
      </c>
      <c r="H2000" t="s">
        <v>1703</v>
      </c>
      <c r="I2000" t="s">
        <v>23</v>
      </c>
      <c r="J2000" t="s">
        <v>49</v>
      </c>
      <c r="K2000" s="2" t="s">
        <v>814</v>
      </c>
      <c r="L2000" t="s">
        <v>26</v>
      </c>
      <c r="M2000">
        <v>222890</v>
      </c>
      <c r="N2000">
        <v>-1</v>
      </c>
      <c r="O2000" s="3">
        <v>-59990</v>
      </c>
      <c r="P2000" s="3">
        <v>23012</v>
      </c>
      <c r="Q2000" s="5">
        <f t="shared" si="93"/>
        <v>-50411.764705882357</v>
      </c>
      <c r="R2000" s="5">
        <f t="shared" si="94"/>
        <v>-23012</v>
      </c>
      <c r="S2000" s="5">
        <f t="shared" si="95"/>
        <v>-27399.764705882357</v>
      </c>
    </row>
    <row r="2001" spans="1:19" hidden="1" x14ac:dyDescent="0.3">
      <c r="A2001">
        <v>140</v>
      </c>
      <c r="B2001" t="s">
        <v>3524</v>
      </c>
      <c r="C2001" t="s">
        <v>3677</v>
      </c>
      <c r="D2001" s="2" t="s">
        <v>3678</v>
      </c>
      <c r="E2001" t="s">
        <v>3679</v>
      </c>
      <c r="F2001" t="s">
        <v>20</v>
      </c>
      <c r="G2001" t="s">
        <v>338</v>
      </c>
      <c r="H2001">
        <v>24200</v>
      </c>
      <c r="I2001" t="s">
        <v>23</v>
      </c>
      <c r="J2001" t="s">
        <v>95</v>
      </c>
      <c r="K2001" s="2" t="s">
        <v>814</v>
      </c>
      <c r="L2001" t="s">
        <v>26</v>
      </c>
      <c r="M2001">
        <v>222890</v>
      </c>
      <c r="N2001">
        <v>1</v>
      </c>
      <c r="O2001" s="3">
        <v>84950</v>
      </c>
      <c r="P2001" s="3">
        <v>27361</v>
      </c>
      <c r="Q2001" s="5">
        <f t="shared" si="93"/>
        <v>71386.554621848743</v>
      </c>
      <c r="R2001" s="5">
        <f t="shared" si="94"/>
        <v>27361</v>
      </c>
      <c r="S2001" s="5">
        <f t="shared" si="95"/>
        <v>44025.554621848743</v>
      </c>
    </row>
    <row r="2002" spans="1:19" hidden="1" x14ac:dyDescent="0.3">
      <c r="A2002">
        <v>140</v>
      </c>
      <c r="B2002" t="s">
        <v>3524</v>
      </c>
      <c r="C2002" t="s">
        <v>3680</v>
      </c>
      <c r="D2002" s="2" t="s">
        <v>3681</v>
      </c>
      <c r="E2002" t="s">
        <v>1834</v>
      </c>
      <c r="F2002" t="s">
        <v>20</v>
      </c>
      <c r="G2002" t="s">
        <v>21</v>
      </c>
      <c r="H2002" t="s">
        <v>114</v>
      </c>
      <c r="I2002" t="s">
        <v>23</v>
      </c>
      <c r="J2002" t="s">
        <v>49</v>
      </c>
      <c r="K2002" s="2" t="s">
        <v>814</v>
      </c>
      <c r="L2002" t="s">
        <v>26</v>
      </c>
      <c r="M2002">
        <v>222891</v>
      </c>
      <c r="N2002">
        <v>1</v>
      </c>
      <c r="O2002" s="3">
        <v>49990</v>
      </c>
      <c r="P2002" s="3">
        <v>24809</v>
      </c>
      <c r="Q2002" s="5">
        <f t="shared" si="93"/>
        <v>42008.403361344543</v>
      </c>
      <c r="R2002" s="5">
        <f t="shared" si="94"/>
        <v>24809</v>
      </c>
      <c r="S2002" s="5">
        <f t="shared" si="95"/>
        <v>17199.403361344543</v>
      </c>
    </row>
    <row r="2003" spans="1:19" hidden="1" x14ac:dyDescent="0.3">
      <c r="A2003">
        <v>140</v>
      </c>
      <c r="B2003" t="s">
        <v>3524</v>
      </c>
      <c r="C2003" t="s">
        <v>2224</v>
      </c>
      <c r="D2003" s="2" t="s">
        <v>2225</v>
      </c>
      <c r="E2003" t="s">
        <v>2226</v>
      </c>
      <c r="F2003" t="s">
        <v>20</v>
      </c>
      <c r="G2003" t="s">
        <v>21</v>
      </c>
      <c r="H2003" t="s">
        <v>53</v>
      </c>
      <c r="I2003" t="s">
        <v>23</v>
      </c>
      <c r="J2003" t="s">
        <v>49</v>
      </c>
      <c r="K2003" s="2" t="s">
        <v>814</v>
      </c>
      <c r="L2003" t="s">
        <v>26</v>
      </c>
      <c r="M2003">
        <v>222891</v>
      </c>
      <c r="N2003">
        <v>1</v>
      </c>
      <c r="O2003" s="3">
        <v>69950</v>
      </c>
      <c r="P2003" s="3">
        <v>20951</v>
      </c>
      <c r="Q2003" s="5">
        <f t="shared" si="93"/>
        <v>58781.512605042022</v>
      </c>
      <c r="R2003" s="5">
        <f t="shared" si="94"/>
        <v>20951</v>
      </c>
      <c r="S2003" s="5">
        <f t="shared" si="95"/>
        <v>37830.512605042022</v>
      </c>
    </row>
    <row r="2004" spans="1:19" hidden="1" x14ac:dyDescent="0.3">
      <c r="A2004">
        <v>140</v>
      </c>
      <c r="B2004" t="s">
        <v>3524</v>
      </c>
      <c r="C2004" t="s">
        <v>3682</v>
      </c>
      <c r="D2004" s="2" t="s">
        <v>3683</v>
      </c>
      <c r="E2004" t="s">
        <v>3684</v>
      </c>
      <c r="F2004" t="s">
        <v>20</v>
      </c>
      <c r="G2004" t="s">
        <v>21</v>
      </c>
      <c r="H2004" t="s">
        <v>114</v>
      </c>
      <c r="I2004" t="s">
        <v>23</v>
      </c>
      <c r="J2004" t="s">
        <v>49</v>
      </c>
      <c r="K2004" s="2" t="s">
        <v>814</v>
      </c>
      <c r="L2004" t="s">
        <v>26</v>
      </c>
      <c r="M2004">
        <v>222892</v>
      </c>
      <c r="N2004">
        <v>1</v>
      </c>
      <c r="O2004" s="3">
        <v>49990</v>
      </c>
      <c r="P2004" s="3">
        <v>23514</v>
      </c>
      <c r="Q2004" s="5">
        <f t="shared" si="93"/>
        <v>42008.403361344543</v>
      </c>
      <c r="R2004" s="5">
        <f t="shared" si="94"/>
        <v>23514</v>
      </c>
      <c r="S2004" s="5">
        <f t="shared" si="95"/>
        <v>18494.403361344543</v>
      </c>
    </row>
    <row r="2005" spans="1:19" hidden="1" x14ac:dyDescent="0.3">
      <c r="A2005">
        <v>140</v>
      </c>
      <c r="B2005" t="s">
        <v>3524</v>
      </c>
      <c r="C2005" t="s">
        <v>3685</v>
      </c>
      <c r="D2005" s="2" t="s">
        <v>3686</v>
      </c>
      <c r="E2005" t="s">
        <v>485</v>
      </c>
      <c r="F2005" t="s">
        <v>20</v>
      </c>
      <c r="G2005" t="s">
        <v>21</v>
      </c>
      <c r="H2005" t="s">
        <v>247</v>
      </c>
      <c r="I2005" t="s">
        <v>23</v>
      </c>
      <c r="J2005" t="s">
        <v>40</v>
      </c>
      <c r="K2005" s="2" t="s">
        <v>814</v>
      </c>
      <c r="L2005" t="s">
        <v>26</v>
      </c>
      <c r="M2005">
        <v>222893</v>
      </c>
      <c r="N2005">
        <v>1</v>
      </c>
      <c r="O2005" s="3">
        <v>34990</v>
      </c>
      <c r="P2005" s="3">
        <v>18045</v>
      </c>
      <c r="Q2005" s="5">
        <f t="shared" si="93"/>
        <v>29403.361344537818</v>
      </c>
      <c r="R2005" s="5">
        <f t="shared" si="94"/>
        <v>18045</v>
      </c>
      <c r="S2005" s="5">
        <f t="shared" si="95"/>
        <v>11358.361344537818</v>
      </c>
    </row>
    <row r="2006" spans="1:19" hidden="1" x14ac:dyDescent="0.3">
      <c r="A2006">
        <v>140</v>
      </c>
      <c r="B2006" t="s">
        <v>3524</v>
      </c>
      <c r="C2006" t="s">
        <v>3687</v>
      </c>
      <c r="D2006" s="2" t="s">
        <v>3688</v>
      </c>
      <c r="E2006" t="s">
        <v>2902</v>
      </c>
      <c r="F2006" t="s">
        <v>20</v>
      </c>
      <c r="G2006" t="s">
        <v>21</v>
      </c>
      <c r="H2006" t="s">
        <v>267</v>
      </c>
      <c r="I2006" t="s">
        <v>23</v>
      </c>
      <c r="J2006" t="s">
        <v>49</v>
      </c>
      <c r="K2006" s="2" t="s">
        <v>814</v>
      </c>
      <c r="L2006" t="s">
        <v>26</v>
      </c>
      <c r="M2006">
        <v>222894</v>
      </c>
      <c r="N2006">
        <v>1</v>
      </c>
      <c r="O2006" s="3">
        <v>64950</v>
      </c>
      <c r="P2006" s="3">
        <v>24504</v>
      </c>
      <c r="Q2006" s="5">
        <f t="shared" si="93"/>
        <v>54579.831932773115</v>
      </c>
      <c r="R2006" s="5">
        <f t="shared" si="94"/>
        <v>24504</v>
      </c>
      <c r="S2006" s="5">
        <f t="shared" si="95"/>
        <v>30075.831932773115</v>
      </c>
    </row>
    <row r="2007" spans="1:19" hidden="1" x14ac:dyDescent="0.3">
      <c r="A2007">
        <v>140</v>
      </c>
      <c r="B2007" t="s">
        <v>3524</v>
      </c>
      <c r="C2007" t="s">
        <v>3689</v>
      </c>
      <c r="D2007" s="2" t="s">
        <v>3690</v>
      </c>
      <c r="E2007" t="s">
        <v>3691</v>
      </c>
      <c r="F2007" t="s">
        <v>20</v>
      </c>
      <c r="G2007" t="s">
        <v>338</v>
      </c>
      <c r="H2007">
        <v>23727</v>
      </c>
      <c r="I2007" t="s">
        <v>23</v>
      </c>
      <c r="J2007" t="s">
        <v>40</v>
      </c>
      <c r="K2007" s="2" t="s">
        <v>814</v>
      </c>
      <c r="L2007" t="s">
        <v>26</v>
      </c>
      <c r="M2007">
        <v>222895</v>
      </c>
      <c r="N2007">
        <v>1</v>
      </c>
      <c r="O2007" s="3">
        <v>49990</v>
      </c>
      <c r="P2007" s="3">
        <v>26539</v>
      </c>
      <c r="Q2007" s="5">
        <f t="shared" si="93"/>
        <v>42008.403361344543</v>
      </c>
      <c r="R2007" s="5">
        <f t="shared" si="94"/>
        <v>26539</v>
      </c>
      <c r="S2007" s="5">
        <f t="shared" si="95"/>
        <v>15469.403361344543</v>
      </c>
    </row>
    <row r="2008" spans="1:19" hidden="1" x14ac:dyDescent="0.3">
      <c r="A2008">
        <v>140</v>
      </c>
      <c r="B2008" t="s">
        <v>3524</v>
      </c>
      <c r="C2008" t="s">
        <v>3466</v>
      </c>
      <c r="D2008" s="2" t="s">
        <v>3467</v>
      </c>
      <c r="E2008" t="s">
        <v>316</v>
      </c>
      <c r="F2008" t="s">
        <v>20</v>
      </c>
      <c r="G2008" t="s">
        <v>21</v>
      </c>
      <c r="H2008" t="s">
        <v>317</v>
      </c>
      <c r="I2008" t="s">
        <v>23</v>
      </c>
      <c r="J2008" t="s">
        <v>35</v>
      </c>
      <c r="K2008" s="2" t="s">
        <v>902</v>
      </c>
      <c r="L2008" t="s">
        <v>26</v>
      </c>
      <c r="M2008">
        <v>222896</v>
      </c>
      <c r="N2008">
        <v>1</v>
      </c>
      <c r="O2008" s="3">
        <v>69950</v>
      </c>
      <c r="P2008" s="3">
        <v>24552</v>
      </c>
      <c r="Q2008" s="5">
        <f t="shared" si="93"/>
        <v>58781.512605042022</v>
      </c>
      <c r="R2008" s="5">
        <f t="shared" si="94"/>
        <v>24552</v>
      </c>
      <c r="S2008" s="5">
        <f t="shared" si="95"/>
        <v>34229.512605042022</v>
      </c>
    </row>
    <row r="2009" spans="1:19" hidden="1" x14ac:dyDescent="0.3">
      <c r="A2009">
        <v>140</v>
      </c>
      <c r="B2009" t="s">
        <v>3524</v>
      </c>
      <c r="C2009" t="s">
        <v>2625</v>
      </c>
      <c r="D2009" s="2" t="s">
        <v>2626</v>
      </c>
      <c r="E2009" t="s">
        <v>2539</v>
      </c>
      <c r="F2009" t="s">
        <v>20</v>
      </c>
      <c r="G2009" t="s">
        <v>21</v>
      </c>
      <c r="H2009" t="s">
        <v>966</v>
      </c>
      <c r="I2009" t="s">
        <v>23</v>
      </c>
      <c r="J2009" t="s">
        <v>35</v>
      </c>
      <c r="K2009" s="2" t="s">
        <v>902</v>
      </c>
      <c r="L2009" t="s">
        <v>26</v>
      </c>
      <c r="M2009">
        <v>222897</v>
      </c>
      <c r="N2009">
        <v>-1</v>
      </c>
      <c r="O2009" s="3">
        <v>-74950</v>
      </c>
      <c r="P2009" s="3">
        <v>27026</v>
      </c>
      <c r="Q2009" s="5">
        <f t="shared" si="93"/>
        <v>-62983.193277310929</v>
      </c>
      <c r="R2009" s="5">
        <f t="shared" si="94"/>
        <v>-27026</v>
      </c>
      <c r="S2009" s="5">
        <f t="shared" si="95"/>
        <v>-35957.193277310929</v>
      </c>
    </row>
    <row r="2010" spans="1:19" hidden="1" x14ac:dyDescent="0.3">
      <c r="A2010">
        <v>140</v>
      </c>
      <c r="B2010" t="s">
        <v>3524</v>
      </c>
      <c r="C2010" t="s">
        <v>3692</v>
      </c>
      <c r="D2010" s="2" t="s">
        <v>3693</v>
      </c>
      <c r="E2010" t="s">
        <v>1758</v>
      </c>
      <c r="F2010" t="s">
        <v>20</v>
      </c>
      <c r="G2010" t="s">
        <v>338</v>
      </c>
      <c r="H2010">
        <v>25133</v>
      </c>
      <c r="I2010" t="s">
        <v>23</v>
      </c>
      <c r="J2010" t="s">
        <v>35</v>
      </c>
      <c r="K2010" s="2" t="s">
        <v>902</v>
      </c>
      <c r="L2010" t="s">
        <v>26</v>
      </c>
      <c r="M2010">
        <v>222897</v>
      </c>
      <c r="N2010">
        <v>1</v>
      </c>
      <c r="O2010" s="3">
        <v>74951</v>
      </c>
      <c r="P2010" s="3">
        <v>21167</v>
      </c>
      <c r="Q2010" s="5">
        <f t="shared" si="93"/>
        <v>62984.033613445383</v>
      </c>
      <c r="R2010" s="5">
        <f t="shared" si="94"/>
        <v>21167</v>
      </c>
      <c r="S2010" s="5">
        <f t="shared" si="95"/>
        <v>41817.033613445383</v>
      </c>
    </row>
    <row r="2011" spans="1:19" hidden="1" x14ac:dyDescent="0.3">
      <c r="A2011">
        <v>140</v>
      </c>
      <c r="B2011" t="s">
        <v>3524</v>
      </c>
      <c r="C2011" t="s">
        <v>3694</v>
      </c>
      <c r="D2011" s="2" t="s">
        <v>3695</v>
      </c>
      <c r="E2011" t="s">
        <v>621</v>
      </c>
      <c r="F2011" t="s">
        <v>20</v>
      </c>
      <c r="G2011" t="s">
        <v>215</v>
      </c>
      <c r="H2011" t="s">
        <v>216</v>
      </c>
      <c r="I2011" t="s">
        <v>23</v>
      </c>
      <c r="J2011" t="s">
        <v>35</v>
      </c>
      <c r="K2011" s="2" t="s">
        <v>902</v>
      </c>
      <c r="L2011" t="s">
        <v>26</v>
      </c>
      <c r="M2011">
        <v>222898</v>
      </c>
      <c r="N2011">
        <v>1</v>
      </c>
      <c r="O2011" s="3">
        <v>89991</v>
      </c>
      <c r="P2011" s="3">
        <v>46326</v>
      </c>
      <c r="Q2011" s="5">
        <f t="shared" si="93"/>
        <v>75622.68907563026</v>
      </c>
      <c r="R2011" s="5">
        <f t="shared" si="94"/>
        <v>46326</v>
      </c>
      <c r="S2011" s="5">
        <f t="shared" si="95"/>
        <v>29296.68907563026</v>
      </c>
    </row>
    <row r="2012" spans="1:19" hidden="1" x14ac:dyDescent="0.3">
      <c r="A2012">
        <v>140</v>
      </c>
      <c r="B2012" t="s">
        <v>3524</v>
      </c>
      <c r="C2012" t="s">
        <v>619</v>
      </c>
      <c r="D2012" s="2" t="s">
        <v>620</v>
      </c>
      <c r="E2012" t="s">
        <v>621</v>
      </c>
      <c r="F2012" t="s">
        <v>20</v>
      </c>
      <c r="G2012" t="s">
        <v>215</v>
      </c>
      <c r="H2012" t="s">
        <v>216</v>
      </c>
      <c r="I2012" t="s">
        <v>23</v>
      </c>
      <c r="J2012" t="s">
        <v>35</v>
      </c>
      <c r="K2012" s="2" t="s">
        <v>902</v>
      </c>
      <c r="L2012" t="s">
        <v>26</v>
      </c>
      <c r="M2012">
        <v>222898</v>
      </c>
      <c r="N2012">
        <v>-1</v>
      </c>
      <c r="O2012" s="3">
        <v>-89990</v>
      </c>
      <c r="P2012" s="3">
        <v>46326</v>
      </c>
      <c r="Q2012" s="5">
        <f t="shared" si="93"/>
        <v>-75621.848739495807</v>
      </c>
      <c r="R2012" s="5">
        <f t="shared" si="94"/>
        <v>-46326</v>
      </c>
      <c r="S2012" s="5">
        <f t="shared" si="95"/>
        <v>-29295.848739495807</v>
      </c>
    </row>
    <row r="2013" spans="1:19" hidden="1" x14ac:dyDescent="0.3">
      <c r="A2013">
        <v>140</v>
      </c>
      <c r="B2013" t="s">
        <v>3524</v>
      </c>
      <c r="C2013" t="s">
        <v>3696</v>
      </c>
      <c r="D2013" s="2" t="s">
        <v>3697</v>
      </c>
      <c r="E2013" t="s">
        <v>3698</v>
      </c>
      <c r="F2013" t="s">
        <v>20</v>
      </c>
      <c r="G2013" t="s">
        <v>21</v>
      </c>
      <c r="H2013" t="s">
        <v>966</v>
      </c>
      <c r="I2013" t="s">
        <v>23</v>
      </c>
      <c r="J2013" t="s">
        <v>40</v>
      </c>
      <c r="K2013" s="2" t="s">
        <v>902</v>
      </c>
      <c r="L2013" t="s">
        <v>26</v>
      </c>
      <c r="M2013">
        <v>222899</v>
      </c>
      <c r="N2013">
        <v>1</v>
      </c>
      <c r="O2013" s="3">
        <v>74950</v>
      </c>
      <c r="P2013" s="3">
        <v>27649</v>
      </c>
      <c r="Q2013" s="5">
        <f t="shared" si="93"/>
        <v>62983.193277310929</v>
      </c>
      <c r="R2013" s="5">
        <f t="shared" si="94"/>
        <v>27649</v>
      </c>
      <c r="S2013" s="5">
        <f t="shared" si="95"/>
        <v>35334.193277310929</v>
      </c>
    </row>
    <row r="2014" spans="1:19" hidden="1" x14ac:dyDescent="0.3">
      <c r="A2014">
        <v>140</v>
      </c>
      <c r="B2014" t="s">
        <v>3524</v>
      </c>
      <c r="C2014" t="s">
        <v>3699</v>
      </c>
      <c r="D2014" s="2" t="s">
        <v>3700</v>
      </c>
      <c r="E2014" t="s">
        <v>3656</v>
      </c>
      <c r="F2014" t="s">
        <v>20</v>
      </c>
      <c r="G2014" t="s">
        <v>21</v>
      </c>
      <c r="H2014" t="s">
        <v>614</v>
      </c>
      <c r="I2014" t="s">
        <v>23</v>
      </c>
      <c r="J2014" t="s">
        <v>40</v>
      </c>
      <c r="K2014" s="2" t="s">
        <v>902</v>
      </c>
      <c r="L2014" t="s">
        <v>26</v>
      </c>
      <c r="M2014">
        <v>222900</v>
      </c>
      <c r="N2014">
        <v>1</v>
      </c>
      <c r="O2014" s="3">
        <v>41210</v>
      </c>
      <c r="P2014" s="3">
        <v>14265</v>
      </c>
      <c r="Q2014" s="5">
        <f t="shared" si="93"/>
        <v>34630.252100840335</v>
      </c>
      <c r="R2014" s="5">
        <f t="shared" si="94"/>
        <v>14265</v>
      </c>
      <c r="S2014" s="5">
        <f t="shared" si="95"/>
        <v>20365.252100840335</v>
      </c>
    </row>
    <row r="2015" spans="1:19" hidden="1" x14ac:dyDescent="0.3">
      <c r="A2015">
        <v>140</v>
      </c>
      <c r="B2015" t="s">
        <v>3524</v>
      </c>
      <c r="C2015" t="s">
        <v>3701</v>
      </c>
      <c r="D2015" s="2" t="s">
        <v>3702</v>
      </c>
      <c r="E2015" t="s">
        <v>3703</v>
      </c>
      <c r="F2015" t="s">
        <v>20</v>
      </c>
      <c r="G2015" t="s">
        <v>21</v>
      </c>
      <c r="H2015" t="s">
        <v>794</v>
      </c>
      <c r="I2015" t="s">
        <v>23</v>
      </c>
      <c r="J2015" t="s">
        <v>40</v>
      </c>
      <c r="K2015" s="2" t="s">
        <v>902</v>
      </c>
      <c r="L2015" t="s">
        <v>26</v>
      </c>
      <c r="M2015">
        <v>222901</v>
      </c>
      <c r="N2015">
        <v>1</v>
      </c>
      <c r="O2015" s="3">
        <v>69950</v>
      </c>
      <c r="P2015" s="3">
        <v>21722</v>
      </c>
      <c r="Q2015" s="5">
        <f t="shared" si="93"/>
        <v>58781.512605042022</v>
      </c>
      <c r="R2015" s="5">
        <f t="shared" si="94"/>
        <v>21722</v>
      </c>
      <c r="S2015" s="5">
        <f t="shared" si="95"/>
        <v>37059.512605042022</v>
      </c>
    </row>
    <row r="2016" spans="1:19" hidden="1" x14ac:dyDescent="0.3">
      <c r="A2016">
        <v>140</v>
      </c>
      <c r="B2016" t="s">
        <v>3524</v>
      </c>
      <c r="C2016" t="s">
        <v>3704</v>
      </c>
      <c r="D2016" s="2" t="s">
        <v>3705</v>
      </c>
      <c r="E2016" t="s">
        <v>2360</v>
      </c>
      <c r="F2016" t="s">
        <v>20</v>
      </c>
      <c r="G2016" t="s">
        <v>21</v>
      </c>
      <c r="H2016" t="s">
        <v>1286</v>
      </c>
      <c r="I2016" t="s">
        <v>23</v>
      </c>
      <c r="J2016" t="s">
        <v>40</v>
      </c>
      <c r="K2016" s="2" t="s">
        <v>902</v>
      </c>
      <c r="L2016" t="s">
        <v>26</v>
      </c>
      <c r="M2016">
        <v>222901</v>
      </c>
      <c r="N2016">
        <v>1</v>
      </c>
      <c r="O2016" s="3">
        <v>49990</v>
      </c>
      <c r="P2016" s="3">
        <v>24783</v>
      </c>
      <c r="Q2016" s="5">
        <f t="shared" si="93"/>
        <v>42008.403361344543</v>
      </c>
      <c r="R2016" s="5">
        <f t="shared" si="94"/>
        <v>24783</v>
      </c>
      <c r="S2016" s="5">
        <f t="shared" si="95"/>
        <v>17225.403361344543</v>
      </c>
    </row>
    <row r="2017" spans="1:19" hidden="1" x14ac:dyDescent="0.3">
      <c r="A2017">
        <v>140</v>
      </c>
      <c r="B2017" t="s">
        <v>3524</v>
      </c>
      <c r="C2017" t="s">
        <v>3706</v>
      </c>
      <c r="D2017" s="2" t="s">
        <v>3707</v>
      </c>
      <c r="E2017" t="s">
        <v>3708</v>
      </c>
      <c r="F2017" t="s">
        <v>20</v>
      </c>
      <c r="G2017" t="s">
        <v>215</v>
      </c>
      <c r="H2017" t="s">
        <v>3709</v>
      </c>
      <c r="I2017" t="s">
        <v>23</v>
      </c>
      <c r="J2017" t="s">
        <v>35</v>
      </c>
      <c r="K2017" s="2" t="s">
        <v>902</v>
      </c>
      <c r="L2017" t="s">
        <v>26</v>
      </c>
      <c r="M2017">
        <v>222902</v>
      </c>
      <c r="N2017">
        <v>1</v>
      </c>
      <c r="O2017" s="3">
        <v>99950</v>
      </c>
      <c r="P2017" s="3">
        <v>47276</v>
      </c>
      <c r="Q2017" s="5">
        <f t="shared" si="93"/>
        <v>83991.596638655465</v>
      </c>
      <c r="R2017" s="5">
        <f t="shared" si="94"/>
        <v>47276</v>
      </c>
      <c r="S2017" s="5">
        <f t="shared" si="95"/>
        <v>36715.596638655465</v>
      </c>
    </row>
    <row r="2018" spans="1:19" hidden="1" x14ac:dyDescent="0.3">
      <c r="A2018">
        <v>140</v>
      </c>
      <c r="B2018" t="s">
        <v>3524</v>
      </c>
      <c r="C2018" t="s">
        <v>3710</v>
      </c>
      <c r="D2018" s="2" t="s">
        <v>3711</v>
      </c>
      <c r="E2018" t="s">
        <v>294</v>
      </c>
      <c r="F2018" t="s">
        <v>20</v>
      </c>
      <c r="G2018" t="s">
        <v>21</v>
      </c>
      <c r="H2018" t="s">
        <v>295</v>
      </c>
      <c r="I2018" t="s">
        <v>23</v>
      </c>
      <c r="J2018" t="s">
        <v>40</v>
      </c>
      <c r="K2018" s="2" t="s">
        <v>902</v>
      </c>
      <c r="L2018" t="s">
        <v>26</v>
      </c>
      <c r="M2018">
        <v>222903</v>
      </c>
      <c r="N2018">
        <v>1</v>
      </c>
      <c r="O2018" s="3">
        <v>79950</v>
      </c>
      <c r="P2018" s="3">
        <v>26951</v>
      </c>
      <c r="Q2018" s="5">
        <f t="shared" si="93"/>
        <v>67184.873949579836</v>
      </c>
      <c r="R2018" s="5">
        <f t="shared" si="94"/>
        <v>26951</v>
      </c>
      <c r="S2018" s="5">
        <f t="shared" si="95"/>
        <v>40233.873949579836</v>
      </c>
    </row>
    <row r="2019" spans="1:19" hidden="1" x14ac:dyDescent="0.3">
      <c r="A2019">
        <v>140</v>
      </c>
      <c r="B2019" t="s">
        <v>3524</v>
      </c>
      <c r="C2019" t="s">
        <v>3712</v>
      </c>
      <c r="D2019" s="2" t="s">
        <v>3713</v>
      </c>
      <c r="E2019" t="s">
        <v>3424</v>
      </c>
      <c r="F2019" t="s">
        <v>20</v>
      </c>
      <c r="G2019" t="s">
        <v>338</v>
      </c>
      <c r="H2019">
        <v>23709</v>
      </c>
      <c r="I2019" t="s">
        <v>23</v>
      </c>
      <c r="J2019" t="s">
        <v>40</v>
      </c>
      <c r="K2019" s="2" t="s">
        <v>902</v>
      </c>
      <c r="L2019" t="s">
        <v>26</v>
      </c>
      <c r="M2019">
        <v>222904</v>
      </c>
      <c r="N2019">
        <v>1</v>
      </c>
      <c r="O2019" s="3">
        <v>79950</v>
      </c>
      <c r="P2019" s="3">
        <v>27728</v>
      </c>
      <c r="Q2019" s="5">
        <f t="shared" si="93"/>
        <v>67184.873949579836</v>
      </c>
      <c r="R2019" s="5">
        <f t="shared" si="94"/>
        <v>27728</v>
      </c>
      <c r="S2019" s="5">
        <f t="shared" si="95"/>
        <v>39456.873949579836</v>
      </c>
    </row>
    <row r="2020" spans="1:19" hidden="1" x14ac:dyDescent="0.3">
      <c r="A2020">
        <v>140</v>
      </c>
      <c r="B2020" t="s">
        <v>3524</v>
      </c>
      <c r="C2020" t="s">
        <v>3714</v>
      </c>
      <c r="D2020" s="2" t="s">
        <v>3715</v>
      </c>
      <c r="E2020" t="s">
        <v>3716</v>
      </c>
      <c r="F2020" t="s">
        <v>20</v>
      </c>
      <c r="G2020" t="s">
        <v>215</v>
      </c>
      <c r="H2020" t="s">
        <v>3717</v>
      </c>
      <c r="I2020" t="s">
        <v>23</v>
      </c>
      <c r="J2020" t="s">
        <v>35</v>
      </c>
      <c r="K2020" s="2" t="s">
        <v>902</v>
      </c>
      <c r="L2020" t="s">
        <v>26</v>
      </c>
      <c r="M2020">
        <v>222905</v>
      </c>
      <c r="N2020">
        <v>1</v>
      </c>
      <c r="O2020" s="3">
        <v>69990</v>
      </c>
      <c r="P2020" s="3">
        <v>42430</v>
      </c>
      <c r="Q2020" s="5">
        <f t="shared" si="93"/>
        <v>58815.126050420171</v>
      </c>
      <c r="R2020" s="5">
        <f t="shared" si="94"/>
        <v>42430</v>
      </c>
      <c r="S2020" s="5">
        <f t="shared" si="95"/>
        <v>16385.126050420171</v>
      </c>
    </row>
    <row r="2021" spans="1:19" hidden="1" x14ac:dyDescent="0.3">
      <c r="A2021">
        <v>140</v>
      </c>
      <c r="B2021" t="s">
        <v>3524</v>
      </c>
      <c r="C2021" t="s">
        <v>3718</v>
      </c>
      <c r="D2021" s="2" t="s">
        <v>3719</v>
      </c>
      <c r="E2021" t="s">
        <v>1702</v>
      </c>
      <c r="F2021" t="s">
        <v>20</v>
      </c>
      <c r="G2021" t="s">
        <v>21</v>
      </c>
      <c r="H2021" t="s">
        <v>1703</v>
      </c>
      <c r="I2021" t="s">
        <v>23</v>
      </c>
      <c r="J2021" t="s">
        <v>49</v>
      </c>
      <c r="K2021" s="2" t="s">
        <v>999</v>
      </c>
      <c r="L2021" t="s">
        <v>26</v>
      </c>
      <c r="M2021">
        <v>222906</v>
      </c>
      <c r="N2021">
        <v>1</v>
      </c>
      <c r="O2021" s="3">
        <v>59990</v>
      </c>
      <c r="P2021" s="3">
        <v>22989</v>
      </c>
      <c r="Q2021" s="5">
        <f t="shared" si="93"/>
        <v>50411.764705882357</v>
      </c>
      <c r="R2021" s="5">
        <f t="shared" si="94"/>
        <v>22989</v>
      </c>
      <c r="S2021" s="5">
        <f t="shared" si="95"/>
        <v>27422.764705882357</v>
      </c>
    </row>
    <row r="2022" spans="1:19" hidden="1" x14ac:dyDescent="0.3">
      <c r="A2022">
        <v>140</v>
      </c>
      <c r="B2022" t="s">
        <v>3524</v>
      </c>
      <c r="C2022" t="s">
        <v>3120</v>
      </c>
      <c r="D2022" s="2" t="s">
        <v>3121</v>
      </c>
      <c r="E2022" t="s">
        <v>3122</v>
      </c>
      <c r="F2022" t="s">
        <v>20</v>
      </c>
      <c r="G2022" t="s">
        <v>21</v>
      </c>
      <c r="H2022" t="s">
        <v>718</v>
      </c>
      <c r="I2022" t="s">
        <v>23</v>
      </c>
      <c r="J2022" t="s">
        <v>49</v>
      </c>
      <c r="K2022" s="2" t="s">
        <v>999</v>
      </c>
      <c r="L2022" t="s">
        <v>26</v>
      </c>
      <c r="M2022">
        <v>222907</v>
      </c>
      <c r="N2022">
        <v>1</v>
      </c>
      <c r="O2022" s="3">
        <v>39990</v>
      </c>
      <c r="P2022" s="3">
        <v>26647</v>
      </c>
      <c r="Q2022" s="5">
        <f t="shared" si="93"/>
        <v>33605.042016806721</v>
      </c>
      <c r="R2022" s="5">
        <f t="shared" si="94"/>
        <v>26647</v>
      </c>
      <c r="S2022" s="5">
        <f t="shared" si="95"/>
        <v>6958.0420168067212</v>
      </c>
    </row>
    <row r="2023" spans="1:19" hidden="1" x14ac:dyDescent="0.3">
      <c r="A2023">
        <v>140</v>
      </c>
      <c r="B2023" t="s">
        <v>3524</v>
      </c>
      <c r="C2023" t="s">
        <v>3720</v>
      </c>
      <c r="D2023" s="2" t="s">
        <v>3721</v>
      </c>
      <c r="E2023" t="s">
        <v>3722</v>
      </c>
      <c r="F2023" t="s">
        <v>20</v>
      </c>
      <c r="G2023" t="s">
        <v>21</v>
      </c>
      <c r="H2023" t="s">
        <v>1914</v>
      </c>
      <c r="I2023" t="s">
        <v>23</v>
      </c>
      <c r="J2023" t="s">
        <v>49</v>
      </c>
      <c r="K2023" s="2" t="s">
        <v>999</v>
      </c>
      <c r="L2023" t="s">
        <v>26</v>
      </c>
      <c r="M2023">
        <v>222907</v>
      </c>
      <c r="N2023">
        <v>1</v>
      </c>
      <c r="O2023" s="3">
        <v>74950</v>
      </c>
      <c r="P2023" s="3">
        <v>22879</v>
      </c>
      <c r="Q2023" s="5">
        <f t="shared" si="93"/>
        <v>62983.193277310929</v>
      </c>
      <c r="R2023" s="5">
        <f t="shared" si="94"/>
        <v>22879</v>
      </c>
      <c r="S2023" s="5">
        <f t="shared" si="95"/>
        <v>40104.193277310929</v>
      </c>
    </row>
    <row r="2024" spans="1:19" hidden="1" x14ac:dyDescent="0.3">
      <c r="A2024">
        <v>140</v>
      </c>
      <c r="B2024" t="s">
        <v>3524</v>
      </c>
      <c r="C2024" t="s">
        <v>619</v>
      </c>
      <c r="D2024" s="2" t="s">
        <v>620</v>
      </c>
      <c r="E2024" t="s">
        <v>621</v>
      </c>
      <c r="F2024" t="s">
        <v>20</v>
      </c>
      <c r="G2024" t="s">
        <v>215</v>
      </c>
      <c r="H2024" t="s">
        <v>216</v>
      </c>
      <c r="I2024" t="s">
        <v>23</v>
      </c>
      <c r="J2024" t="s">
        <v>35</v>
      </c>
      <c r="K2024" s="2" t="s">
        <v>999</v>
      </c>
      <c r="L2024" t="s">
        <v>26</v>
      </c>
      <c r="M2024">
        <v>222908</v>
      </c>
      <c r="N2024">
        <v>1</v>
      </c>
      <c r="O2024" s="3">
        <v>89990</v>
      </c>
      <c r="P2024" s="3">
        <v>46326</v>
      </c>
      <c r="Q2024" s="5">
        <f t="shared" si="93"/>
        <v>75621.848739495807</v>
      </c>
      <c r="R2024" s="5">
        <f t="shared" si="94"/>
        <v>46326</v>
      </c>
      <c r="S2024" s="5">
        <f t="shared" si="95"/>
        <v>29295.848739495807</v>
      </c>
    </row>
    <row r="2025" spans="1:19" hidden="1" x14ac:dyDescent="0.3">
      <c r="A2025">
        <v>140</v>
      </c>
      <c r="B2025" t="s">
        <v>3524</v>
      </c>
      <c r="C2025" t="s">
        <v>1761</v>
      </c>
      <c r="D2025" s="2" t="s">
        <v>1762</v>
      </c>
      <c r="E2025" t="s">
        <v>1763</v>
      </c>
      <c r="F2025" t="s">
        <v>377</v>
      </c>
      <c r="G2025" t="s">
        <v>21</v>
      </c>
      <c r="H2025" t="s">
        <v>378</v>
      </c>
      <c r="I2025" t="s">
        <v>23</v>
      </c>
      <c r="J2025" t="s">
        <v>379</v>
      </c>
      <c r="K2025" s="2" t="s">
        <v>999</v>
      </c>
      <c r="L2025" t="s">
        <v>26</v>
      </c>
      <c r="M2025">
        <v>222909</v>
      </c>
      <c r="N2025">
        <v>1</v>
      </c>
      <c r="O2025" s="3">
        <v>5950</v>
      </c>
      <c r="P2025" s="3">
        <v>3279</v>
      </c>
      <c r="Q2025" s="5">
        <f t="shared" si="93"/>
        <v>5000</v>
      </c>
      <c r="R2025" s="5">
        <f t="shared" si="94"/>
        <v>3279</v>
      </c>
      <c r="S2025" s="5">
        <f t="shared" si="95"/>
        <v>1721</v>
      </c>
    </row>
    <row r="2026" spans="1:19" hidden="1" x14ac:dyDescent="0.3">
      <c r="A2026">
        <v>140</v>
      </c>
      <c r="B2026" t="s">
        <v>3524</v>
      </c>
      <c r="C2026" t="s">
        <v>3723</v>
      </c>
      <c r="D2026" s="2" t="s">
        <v>3724</v>
      </c>
      <c r="E2026" t="s">
        <v>3573</v>
      </c>
      <c r="F2026" t="s">
        <v>20</v>
      </c>
      <c r="G2026" t="s">
        <v>21</v>
      </c>
      <c r="H2026" t="s">
        <v>247</v>
      </c>
      <c r="I2026" t="s">
        <v>23</v>
      </c>
      <c r="J2026" t="s">
        <v>40</v>
      </c>
      <c r="K2026" s="2" t="s">
        <v>999</v>
      </c>
      <c r="L2026" t="s">
        <v>26</v>
      </c>
      <c r="M2026">
        <v>222910</v>
      </c>
      <c r="N2026">
        <v>1</v>
      </c>
      <c r="O2026" s="3">
        <v>34950</v>
      </c>
      <c r="P2026" s="3">
        <v>16981</v>
      </c>
      <c r="Q2026" s="5">
        <f t="shared" si="93"/>
        <v>29369.747899159665</v>
      </c>
      <c r="R2026" s="5">
        <f t="shared" si="94"/>
        <v>16981</v>
      </c>
      <c r="S2026" s="5">
        <f t="shared" si="95"/>
        <v>12388.747899159665</v>
      </c>
    </row>
    <row r="2027" spans="1:19" hidden="1" x14ac:dyDescent="0.3">
      <c r="A2027">
        <v>140</v>
      </c>
      <c r="B2027" t="s">
        <v>3524</v>
      </c>
      <c r="C2027" t="s">
        <v>3725</v>
      </c>
      <c r="D2027" s="2" t="s">
        <v>3726</v>
      </c>
      <c r="E2027" t="s">
        <v>1214</v>
      </c>
      <c r="F2027" t="s">
        <v>20</v>
      </c>
      <c r="G2027" t="s">
        <v>21</v>
      </c>
      <c r="H2027" t="s">
        <v>224</v>
      </c>
      <c r="I2027" t="s">
        <v>23</v>
      </c>
      <c r="J2027" t="s">
        <v>49</v>
      </c>
      <c r="K2027" s="2" t="s">
        <v>999</v>
      </c>
      <c r="L2027" t="s">
        <v>26</v>
      </c>
      <c r="M2027">
        <v>222910</v>
      </c>
      <c r="N2027">
        <v>1</v>
      </c>
      <c r="O2027" s="3">
        <v>49990</v>
      </c>
      <c r="P2027" s="3">
        <v>25246</v>
      </c>
      <c r="Q2027" s="5">
        <f t="shared" si="93"/>
        <v>42008.403361344543</v>
      </c>
      <c r="R2027" s="5">
        <f t="shared" si="94"/>
        <v>25246</v>
      </c>
      <c r="S2027" s="5">
        <f t="shared" si="95"/>
        <v>16762.403361344543</v>
      </c>
    </row>
    <row r="2028" spans="1:19" hidden="1" x14ac:dyDescent="0.3">
      <c r="A2028">
        <v>140</v>
      </c>
      <c r="B2028" t="s">
        <v>3524</v>
      </c>
      <c r="C2028" t="s">
        <v>2491</v>
      </c>
      <c r="D2028" s="2" t="s">
        <v>2492</v>
      </c>
      <c r="E2028" t="s">
        <v>2493</v>
      </c>
      <c r="F2028" t="s">
        <v>20</v>
      </c>
      <c r="G2028" t="s">
        <v>21</v>
      </c>
      <c r="H2028" t="s">
        <v>2494</v>
      </c>
      <c r="I2028" t="s">
        <v>23</v>
      </c>
      <c r="J2028" t="s">
        <v>40</v>
      </c>
      <c r="K2028" s="2" t="s">
        <v>999</v>
      </c>
      <c r="L2028" t="s">
        <v>26</v>
      </c>
      <c r="M2028">
        <v>222911</v>
      </c>
      <c r="N2028">
        <v>1</v>
      </c>
      <c r="O2028" s="3">
        <v>59450</v>
      </c>
      <c r="P2028" s="3">
        <v>22206</v>
      </c>
      <c r="Q2028" s="5">
        <f t="shared" si="93"/>
        <v>49957.983193277316</v>
      </c>
      <c r="R2028" s="5">
        <f t="shared" si="94"/>
        <v>22206</v>
      </c>
      <c r="S2028" s="5">
        <f t="shared" si="95"/>
        <v>27751.983193277316</v>
      </c>
    </row>
    <row r="2029" spans="1:19" hidden="1" x14ac:dyDescent="0.3">
      <c r="A2029">
        <v>140</v>
      </c>
      <c r="B2029" t="s">
        <v>3524</v>
      </c>
      <c r="C2029" t="s">
        <v>2525</v>
      </c>
      <c r="D2029" s="2" t="s">
        <v>2526</v>
      </c>
      <c r="E2029" t="s">
        <v>2527</v>
      </c>
      <c r="F2029" t="s">
        <v>377</v>
      </c>
      <c r="G2029" t="s">
        <v>21</v>
      </c>
      <c r="H2029" t="s">
        <v>378</v>
      </c>
      <c r="I2029" t="s">
        <v>23</v>
      </c>
      <c r="J2029" t="s">
        <v>2459</v>
      </c>
      <c r="K2029" s="2" t="s">
        <v>999</v>
      </c>
      <c r="L2029" t="s">
        <v>26</v>
      </c>
      <c r="M2029">
        <v>222911</v>
      </c>
      <c r="N2029">
        <v>1</v>
      </c>
      <c r="O2029" s="3">
        <v>6950</v>
      </c>
      <c r="P2029" s="3">
        <v>2964</v>
      </c>
      <c r="Q2029" s="5">
        <f t="shared" si="93"/>
        <v>5840.3361344537816</v>
      </c>
      <c r="R2029" s="5">
        <f t="shared" si="94"/>
        <v>2964</v>
      </c>
      <c r="S2029" s="5">
        <f t="shared" si="95"/>
        <v>2876.3361344537816</v>
      </c>
    </row>
    <row r="2030" spans="1:19" hidden="1" x14ac:dyDescent="0.3">
      <c r="A2030">
        <v>140</v>
      </c>
      <c r="B2030" t="s">
        <v>3524</v>
      </c>
      <c r="C2030" t="s">
        <v>3727</v>
      </c>
      <c r="D2030" s="2" t="s">
        <v>3728</v>
      </c>
      <c r="E2030" t="s">
        <v>3729</v>
      </c>
      <c r="F2030" t="s">
        <v>20</v>
      </c>
      <c r="G2030" t="s">
        <v>21</v>
      </c>
      <c r="H2030" t="s">
        <v>272</v>
      </c>
      <c r="I2030" t="s">
        <v>23</v>
      </c>
      <c r="J2030" t="s">
        <v>35</v>
      </c>
      <c r="K2030" s="2" t="s">
        <v>999</v>
      </c>
      <c r="L2030" t="s">
        <v>26</v>
      </c>
      <c r="M2030">
        <v>222912</v>
      </c>
      <c r="N2030">
        <v>1</v>
      </c>
      <c r="O2030" s="3">
        <v>79950</v>
      </c>
      <c r="P2030" s="3">
        <v>28172</v>
      </c>
      <c r="Q2030" s="5">
        <f t="shared" si="93"/>
        <v>67184.873949579836</v>
      </c>
      <c r="R2030" s="5">
        <f t="shared" si="94"/>
        <v>28172</v>
      </c>
      <c r="S2030" s="5">
        <f t="shared" si="95"/>
        <v>39012.873949579836</v>
      </c>
    </row>
    <row r="2031" spans="1:19" hidden="1" x14ac:dyDescent="0.3">
      <c r="A2031">
        <v>140</v>
      </c>
      <c r="B2031" t="s">
        <v>3524</v>
      </c>
      <c r="C2031" t="s">
        <v>3730</v>
      </c>
      <c r="D2031" s="2" t="s">
        <v>3731</v>
      </c>
      <c r="E2031" t="s">
        <v>3691</v>
      </c>
      <c r="F2031" t="s">
        <v>20</v>
      </c>
      <c r="G2031" t="s">
        <v>338</v>
      </c>
      <c r="H2031">
        <v>23727</v>
      </c>
      <c r="I2031" t="s">
        <v>23</v>
      </c>
      <c r="J2031" t="s">
        <v>40</v>
      </c>
      <c r="K2031" s="2" t="s">
        <v>999</v>
      </c>
      <c r="L2031" t="s">
        <v>26</v>
      </c>
      <c r="M2031">
        <v>222913</v>
      </c>
      <c r="N2031">
        <v>1</v>
      </c>
      <c r="O2031" s="3">
        <v>49990</v>
      </c>
      <c r="P2031" s="3">
        <v>26539</v>
      </c>
      <c r="Q2031" s="5">
        <f t="shared" si="93"/>
        <v>42008.403361344543</v>
      </c>
      <c r="R2031" s="5">
        <f t="shared" si="94"/>
        <v>26539</v>
      </c>
      <c r="S2031" s="5">
        <f t="shared" si="95"/>
        <v>15469.403361344543</v>
      </c>
    </row>
    <row r="2032" spans="1:19" hidden="1" x14ac:dyDescent="0.3">
      <c r="A2032">
        <v>140</v>
      </c>
      <c r="B2032" t="s">
        <v>3524</v>
      </c>
      <c r="C2032" t="s">
        <v>2410</v>
      </c>
      <c r="D2032" s="2" t="s">
        <v>2411</v>
      </c>
      <c r="E2032" t="s">
        <v>1714</v>
      </c>
      <c r="F2032" t="s">
        <v>20</v>
      </c>
      <c r="G2032" t="s">
        <v>338</v>
      </c>
      <c r="H2032">
        <v>23727</v>
      </c>
      <c r="I2032" t="s">
        <v>23</v>
      </c>
      <c r="J2032" t="s">
        <v>40</v>
      </c>
      <c r="K2032" s="2" t="s">
        <v>999</v>
      </c>
      <c r="L2032" t="s">
        <v>26</v>
      </c>
      <c r="M2032">
        <v>222913</v>
      </c>
      <c r="N2032">
        <v>1</v>
      </c>
      <c r="O2032" s="3">
        <v>49990</v>
      </c>
      <c r="P2032" s="3">
        <v>26539</v>
      </c>
      <c r="Q2032" s="5">
        <f t="shared" si="93"/>
        <v>42008.403361344543</v>
      </c>
      <c r="R2032" s="5">
        <f t="shared" si="94"/>
        <v>26539</v>
      </c>
      <c r="S2032" s="5">
        <f t="shared" si="95"/>
        <v>15469.403361344543</v>
      </c>
    </row>
    <row r="2033" spans="1:19" hidden="1" x14ac:dyDescent="0.3">
      <c r="A2033">
        <v>140</v>
      </c>
      <c r="B2033" t="s">
        <v>3524</v>
      </c>
      <c r="C2033" t="s">
        <v>3562</v>
      </c>
      <c r="D2033" s="2" t="s">
        <v>3563</v>
      </c>
      <c r="E2033" t="s">
        <v>3564</v>
      </c>
      <c r="F2033" t="s">
        <v>20</v>
      </c>
      <c r="G2033" t="s">
        <v>215</v>
      </c>
      <c r="H2033" t="s">
        <v>3045</v>
      </c>
      <c r="I2033" t="s">
        <v>23</v>
      </c>
      <c r="J2033" t="s">
        <v>35</v>
      </c>
      <c r="K2033" s="2" t="s">
        <v>999</v>
      </c>
      <c r="L2033" t="s">
        <v>26</v>
      </c>
      <c r="M2033">
        <v>222914</v>
      </c>
      <c r="N2033">
        <v>1</v>
      </c>
      <c r="O2033" s="3">
        <v>69990</v>
      </c>
      <c r="P2033" s="3">
        <v>40434</v>
      </c>
      <c r="Q2033" s="5">
        <f t="shared" si="93"/>
        <v>58815.126050420171</v>
      </c>
      <c r="R2033" s="5">
        <f t="shared" si="94"/>
        <v>40434</v>
      </c>
      <c r="S2033" s="5">
        <f t="shared" si="95"/>
        <v>18381.126050420171</v>
      </c>
    </row>
    <row r="2034" spans="1:19" hidden="1" x14ac:dyDescent="0.3">
      <c r="A2034">
        <v>140</v>
      </c>
      <c r="B2034" t="s">
        <v>3524</v>
      </c>
      <c r="C2034" t="s">
        <v>3732</v>
      </c>
      <c r="D2034" s="2" t="s">
        <v>3733</v>
      </c>
      <c r="E2034" t="s">
        <v>3716</v>
      </c>
      <c r="F2034" t="s">
        <v>20</v>
      </c>
      <c r="G2034" t="s">
        <v>215</v>
      </c>
      <c r="H2034" t="s">
        <v>3717</v>
      </c>
      <c r="I2034" t="s">
        <v>23</v>
      </c>
      <c r="J2034" t="s">
        <v>35</v>
      </c>
      <c r="K2034" s="2" t="s">
        <v>999</v>
      </c>
      <c r="L2034" t="s">
        <v>26</v>
      </c>
      <c r="M2034">
        <v>222915</v>
      </c>
      <c r="N2034">
        <v>1</v>
      </c>
      <c r="O2034" s="3">
        <v>69990</v>
      </c>
      <c r="P2034" s="3">
        <v>42430</v>
      </c>
      <c r="Q2034" s="5">
        <f t="shared" si="93"/>
        <v>58815.126050420171</v>
      </c>
      <c r="R2034" s="5">
        <f t="shared" si="94"/>
        <v>42430</v>
      </c>
      <c r="S2034" s="5">
        <f t="shared" si="95"/>
        <v>16385.126050420171</v>
      </c>
    </row>
    <row r="2035" spans="1:19" hidden="1" x14ac:dyDescent="0.3">
      <c r="A2035">
        <v>140</v>
      </c>
      <c r="B2035" t="s">
        <v>3524</v>
      </c>
      <c r="C2035" t="s">
        <v>3734</v>
      </c>
      <c r="D2035" s="2" t="s">
        <v>3735</v>
      </c>
      <c r="E2035" t="s">
        <v>2314</v>
      </c>
      <c r="F2035" t="s">
        <v>20</v>
      </c>
      <c r="G2035" t="s">
        <v>21</v>
      </c>
      <c r="H2035" t="s">
        <v>2315</v>
      </c>
      <c r="I2035" t="s">
        <v>23</v>
      </c>
      <c r="J2035" t="s">
        <v>49</v>
      </c>
      <c r="K2035" s="2" t="s">
        <v>999</v>
      </c>
      <c r="L2035" t="s">
        <v>26</v>
      </c>
      <c r="M2035">
        <v>222916</v>
      </c>
      <c r="N2035">
        <v>1</v>
      </c>
      <c r="O2035" s="3">
        <v>74950</v>
      </c>
      <c r="P2035" s="3">
        <v>29091</v>
      </c>
      <c r="Q2035" s="5">
        <f t="shared" si="93"/>
        <v>62983.193277310929</v>
      </c>
      <c r="R2035" s="5">
        <f t="shared" si="94"/>
        <v>29091</v>
      </c>
      <c r="S2035" s="5">
        <f t="shared" si="95"/>
        <v>33892.193277310929</v>
      </c>
    </row>
    <row r="2036" spans="1:19" hidden="1" x14ac:dyDescent="0.3">
      <c r="A2036">
        <v>140</v>
      </c>
      <c r="B2036" t="s">
        <v>3524</v>
      </c>
      <c r="C2036" t="s">
        <v>3463</v>
      </c>
      <c r="D2036" s="2" t="s">
        <v>3464</v>
      </c>
      <c r="E2036" t="s">
        <v>3465</v>
      </c>
      <c r="F2036" t="s">
        <v>20</v>
      </c>
      <c r="G2036" t="s">
        <v>21</v>
      </c>
      <c r="H2036" t="s">
        <v>1282</v>
      </c>
      <c r="I2036" t="s">
        <v>23</v>
      </c>
      <c r="J2036" t="s">
        <v>40</v>
      </c>
      <c r="K2036" s="2" t="s">
        <v>999</v>
      </c>
      <c r="L2036" t="s">
        <v>26</v>
      </c>
      <c r="M2036">
        <v>222917</v>
      </c>
      <c r="N2036">
        <v>1</v>
      </c>
      <c r="O2036" s="3">
        <v>49950</v>
      </c>
      <c r="P2036" s="3">
        <v>13922</v>
      </c>
      <c r="Q2036" s="5">
        <f t="shared" si="93"/>
        <v>41974.789915966387</v>
      </c>
      <c r="R2036" s="5">
        <f t="shared" si="94"/>
        <v>13922</v>
      </c>
      <c r="S2036" s="5">
        <f t="shared" si="95"/>
        <v>28052.789915966387</v>
      </c>
    </row>
    <row r="2037" spans="1:19" hidden="1" x14ac:dyDescent="0.3">
      <c r="A2037">
        <v>140</v>
      </c>
      <c r="B2037" t="s">
        <v>3524</v>
      </c>
      <c r="C2037" t="s">
        <v>3736</v>
      </c>
      <c r="D2037" s="2" t="s">
        <v>3737</v>
      </c>
      <c r="E2037" t="s">
        <v>3738</v>
      </c>
      <c r="F2037" t="s">
        <v>20</v>
      </c>
      <c r="G2037" t="s">
        <v>21</v>
      </c>
      <c r="H2037" t="s">
        <v>557</v>
      </c>
      <c r="I2037" t="s">
        <v>23</v>
      </c>
      <c r="J2037" t="s">
        <v>40</v>
      </c>
      <c r="K2037" s="2" t="s">
        <v>999</v>
      </c>
      <c r="L2037" t="s">
        <v>26</v>
      </c>
      <c r="M2037">
        <v>222918</v>
      </c>
      <c r="N2037">
        <v>1</v>
      </c>
      <c r="O2037" s="3">
        <v>49990</v>
      </c>
      <c r="P2037" s="3">
        <v>28049</v>
      </c>
      <c r="Q2037" s="5">
        <f t="shared" si="93"/>
        <v>42008.403361344543</v>
      </c>
      <c r="R2037" s="5">
        <f t="shared" si="94"/>
        <v>28049</v>
      </c>
      <c r="S2037" s="5">
        <f t="shared" si="95"/>
        <v>13959.403361344543</v>
      </c>
    </row>
    <row r="2038" spans="1:19" hidden="1" x14ac:dyDescent="0.3">
      <c r="A2038">
        <v>140</v>
      </c>
      <c r="B2038" t="s">
        <v>3524</v>
      </c>
      <c r="C2038" t="s">
        <v>3739</v>
      </c>
      <c r="D2038" s="2" t="s">
        <v>3740</v>
      </c>
      <c r="E2038" t="s">
        <v>1736</v>
      </c>
      <c r="F2038" t="s">
        <v>20</v>
      </c>
      <c r="G2038" t="s">
        <v>21</v>
      </c>
      <c r="H2038" t="s">
        <v>783</v>
      </c>
      <c r="I2038" t="s">
        <v>23</v>
      </c>
      <c r="J2038" t="s">
        <v>40</v>
      </c>
      <c r="K2038" s="2" t="s">
        <v>999</v>
      </c>
      <c r="L2038" t="s">
        <v>26</v>
      </c>
      <c r="M2038">
        <v>222918</v>
      </c>
      <c r="N2038">
        <v>1</v>
      </c>
      <c r="O2038" s="3">
        <v>34990</v>
      </c>
      <c r="P2038" s="3">
        <v>17194</v>
      </c>
      <c r="Q2038" s="5">
        <f t="shared" si="93"/>
        <v>29403.361344537818</v>
      </c>
      <c r="R2038" s="5">
        <f t="shared" si="94"/>
        <v>17194</v>
      </c>
      <c r="S2038" s="5">
        <f t="shared" si="95"/>
        <v>12209.361344537818</v>
      </c>
    </row>
    <row r="2039" spans="1:19" hidden="1" x14ac:dyDescent="0.3">
      <c r="A2039">
        <v>140</v>
      </c>
      <c r="B2039" t="s">
        <v>3524</v>
      </c>
      <c r="C2039" t="s">
        <v>3741</v>
      </c>
      <c r="D2039" s="2" t="s">
        <v>3742</v>
      </c>
      <c r="E2039" t="s">
        <v>3148</v>
      </c>
      <c r="F2039" t="s">
        <v>20</v>
      </c>
      <c r="G2039" t="s">
        <v>338</v>
      </c>
      <c r="H2039">
        <v>23313</v>
      </c>
      <c r="I2039" t="s">
        <v>23</v>
      </c>
      <c r="J2039" t="s">
        <v>40</v>
      </c>
      <c r="K2039" s="2" t="s">
        <v>999</v>
      </c>
      <c r="L2039" t="s">
        <v>26</v>
      </c>
      <c r="M2039">
        <v>222918</v>
      </c>
      <c r="N2039">
        <v>-1</v>
      </c>
      <c r="O2039" s="3">
        <v>-69950</v>
      </c>
      <c r="P2039" s="3">
        <v>23474</v>
      </c>
      <c r="Q2039" s="5">
        <f t="shared" si="93"/>
        <v>-58781.512605042022</v>
      </c>
      <c r="R2039" s="5">
        <f t="shared" si="94"/>
        <v>-23474</v>
      </c>
      <c r="S2039" s="5">
        <f t="shared" si="95"/>
        <v>-35307.512605042022</v>
      </c>
    </row>
    <row r="2040" spans="1:19" hidden="1" x14ac:dyDescent="0.3">
      <c r="A2040">
        <v>140</v>
      </c>
      <c r="B2040" t="s">
        <v>3524</v>
      </c>
      <c r="C2040" t="s">
        <v>3743</v>
      </c>
      <c r="D2040" s="2" t="s">
        <v>3744</v>
      </c>
      <c r="E2040" t="s">
        <v>1709</v>
      </c>
      <c r="F2040" t="s">
        <v>20</v>
      </c>
      <c r="G2040" t="s">
        <v>21</v>
      </c>
      <c r="H2040" t="s">
        <v>970</v>
      </c>
      <c r="I2040" t="s">
        <v>23</v>
      </c>
      <c r="J2040" t="s">
        <v>40</v>
      </c>
      <c r="K2040" s="2" t="s">
        <v>999</v>
      </c>
      <c r="L2040" t="s">
        <v>26</v>
      </c>
      <c r="M2040">
        <v>222919</v>
      </c>
      <c r="N2040">
        <v>1</v>
      </c>
      <c r="O2040" s="3">
        <v>49990</v>
      </c>
      <c r="P2040" s="3">
        <v>18897</v>
      </c>
      <c r="Q2040" s="5">
        <f t="shared" si="93"/>
        <v>42008.403361344543</v>
      </c>
      <c r="R2040" s="5">
        <f t="shared" si="94"/>
        <v>18897</v>
      </c>
      <c r="S2040" s="5">
        <f t="shared" si="95"/>
        <v>23111.403361344543</v>
      </c>
    </row>
    <row r="2041" spans="1:19" hidden="1" x14ac:dyDescent="0.3">
      <c r="A2041">
        <v>140</v>
      </c>
      <c r="B2041" t="s">
        <v>3524</v>
      </c>
      <c r="C2041" t="s">
        <v>3468</v>
      </c>
      <c r="D2041" s="2" t="s">
        <v>3469</v>
      </c>
      <c r="E2041" t="s">
        <v>1336</v>
      </c>
      <c r="F2041" t="s">
        <v>20</v>
      </c>
      <c r="G2041" t="s">
        <v>21</v>
      </c>
      <c r="H2041" t="s">
        <v>1337</v>
      </c>
      <c r="I2041" t="s">
        <v>23</v>
      </c>
      <c r="J2041" t="s">
        <v>49</v>
      </c>
      <c r="K2041" s="2" t="s">
        <v>999</v>
      </c>
      <c r="L2041" t="s">
        <v>26</v>
      </c>
      <c r="M2041">
        <v>222919</v>
      </c>
      <c r="N2041">
        <v>1</v>
      </c>
      <c r="O2041" s="3">
        <v>59950</v>
      </c>
      <c r="P2041" s="3">
        <v>19234</v>
      </c>
      <c r="Q2041" s="5">
        <f t="shared" si="93"/>
        <v>50378.151260504201</v>
      </c>
      <c r="R2041" s="5">
        <f t="shared" si="94"/>
        <v>19234</v>
      </c>
      <c r="S2041" s="5">
        <f t="shared" si="95"/>
        <v>31144.151260504201</v>
      </c>
    </row>
    <row r="2042" spans="1:19" hidden="1" x14ac:dyDescent="0.3">
      <c r="A2042">
        <v>140</v>
      </c>
      <c r="B2042" t="s">
        <v>3524</v>
      </c>
      <c r="C2042" t="s">
        <v>3745</v>
      </c>
      <c r="D2042" s="2" t="s">
        <v>3746</v>
      </c>
      <c r="E2042" t="s">
        <v>3747</v>
      </c>
      <c r="F2042" t="s">
        <v>20</v>
      </c>
      <c r="G2042" t="s">
        <v>21</v>
      </c>
      <c r="H2042" t="s">
        <v>224</v>
      </c>
      <c r="I2042" t="s">
        <v>23</v>
      </c>
      <c r="J2042" t="s">
        <v>49</v>
      </c>
      <c r="K2042" s="2" t="s">
        <v>999</v>
      </c>
      <c r="L2042" t="s">
        <v>26</v>
      </c>
      <c r="M2042">
        <v>222920</v>
      </c>
      <c r="N2042">
        <v>1</v>
      </c>
      <c r="O2042" s="3">
        <v>44990</v>
      </c>
      <c r="P2042" s="3">
        <v>27301</v>
      </c>
      <c r="Q2042" s="5">
        <f t="shared" si="93"/>
        <v>37806.722689075636</v>
      </c>
      <c r="R2042" s="5">
        <f t="shared" si="94"/>
        <v>27301</v>
      </c>
      <c r="S2042" s="5">
        <f t="shared" si="95"/>
        <v>10505.722689075636</v>
      </c>
    </row>
    <row r="2043" spans="1:19" hidden="1" x14ac:dyDescent="0.3">
      <c r="A2043">
        <v>140</v>
      </c>
      <c r="B2043" t="s">
        <v>3524</v>
      </c>
      <c r="C2043" t="s">
        <v>483</v>
      </c>
      <c r="D2043" s="2" t="s">
        <v>484</v>
      </c>
      <c r="E2043" t="s">
        <v>485</v>
      </c>
      <c r="F2043" t="s">
        <v>20</v>
      </c>
      <c r="G2043" t="s">
        <v>21</v>
      </c>
      <c r="H2043" t="s">
        <v>247</v>
      </c>
      <c r="I2043" t="s">
        <v>23</v>
      </c>
      <c r="J2043" t="s">
        <v>40</v>
      </c>
      <c r="K2043" s="2" t="s">
        <v>999</v>
      </c>
      <c r="L2043" t="s">
        <v>26</v>
      </c>
      <c r="M2043">
        <v>222921</v>
      </c>
      <c r="N2043">
        <v>1</v>
      </c>
      <c r="O2043" s="3">
        <v>34990</v>
      </c>
      <c r="P2043" s="3">
        <v>17221</v>
      </c>
      <c r="Q2043" s="5">
        <f t="shared" si="93"/>
        <v>29403.361344537818</v>
      </c>
      <c r="R2043" s="5">
        <f t="shared" si="94"/>
        <v>17221</v>
      </c>
      <c r="S2043" s="5">
        <f t="shared" si="95"/>
        <v>12182.361344537818</v>
      </c>
    </row>
    <row r="2044" spans="1:19" hidden="1" x14ac:dyDescent="0.3">
      <c r="A2044">
        <v>140</v>
      </c>
      <c r="B2044" t="s">
        <v>3524</v>
      </c>
      <c r="C2044" t="s">
        <v>3748</v>
      </c>
      <c r="D2044" s="2" t="s">
        <v>3749</v>
      </c>
      <c r="E2044" t="s">
        <v>2363</v>
      </c>
      <c r="F2044" t="s">
        <v>20</v>
      </c>
      <c r="G2044" t="s">
        <v>21</v>
      </c>
      <c r="H2044" t="s">
        <v>2364</v>
      </c>
      <c r="I2044" t="s">
        <v>23</v>
      </c>
      <c r="J2044" t="s">
        <v>40</v>
      </c>
      <c r="K2044" s="2" t="s">
        <v>999</v>
      </c>
      <c r="L2044" t="s">
        <v>26</v>
      </c>
      <c r="M2044">
        <v>222922</v>
      </c>
      <c r="N2044">
        <v>1</v>
      </c>
      <c r="O2044" s="3">
        <v>39990</v>
      </c>
      <c r="P2044" s="3">
        <v>30446</v>
      </c>
      <c r="Q2044" s="5">
        <f t="shared" si="93"/>
        <v>33605.042016806721</v>
      </c>
      <c r="R2044" s="5">
        <f t="shared" si="94"/>
        <v>30446</v>
      </c>
      <c r="S2044" s="5">
        <f t="shared" si="95"/>
        <v>3159.0420168067212</v>
      </c>
    </row>
    <row r="2045" spans="1:19" hidden="1" x14ac:dyDescent="0.3">
      <c r="A2045">
        <v>140</v>
      </c>
      <c r="B2045" t="s">
        <v>3524</v>
      </c>
      <c r="C2045" t="s">
        <v>2434</v>
      </c>
      <c r="D2045" s="2" t="s">
        <v>2435</v>
      </c>
      <c r="E2045" t="s">
        <v>2436</v>
      </c>
      <c r="F2045" t="s">
        <v>20</v>
      </c>
      <c r="G2045" t="s">
        <v>338</v>
      </c>
      <c r="H2045">
        <v>22318</v>
      </c>
      <c r="I2045" t="s">
        <v>23</v>
      </c>
      <c r="J2045" t="s">
        <v>49</v>
      </c>
      <c r="K2045" s="2" t="s">
        <v>999</v>
      </c>
      <c r="L2045" t="s">
        <v>26</v>
      </c>
      <c r="M2045">
        <v>222923</v>
      </c>
      <c r="N2045">
        <v>1</v>
      </c>
      <c r="O2045" s="3">
        <v>74950</v>
      </c>
      <c r="P2045" s="3">
        <v>23473</v>
      </c>
      <c r="Q2045" s="5">
        <f t="shared" si="93"/>
        <v>62983.193277310929</v>
      </c>
      <c r="R2045" s="5">
        <f t="shared" si="94"/>
        <v>23473</v>
      </c>
      <c r="S2045" s="5">
        <f t="shared" si="95"/>
        <v>39510.193277310929</v>
      </c>
    </row>
    <row r="2046" spans="1:19" hidden="1" x14ac:dyDescent="0.3">
      <c r="A2046">
        <v>140</v>
      </c>
      <c r="B2046" t="s">
        <v>3524</v>
      </c>
      <c r="C2046" t="s">
        <v>1138</v>
      </c>
      <c r="D2046" s="2" t="s">
        <v>1139</v>
      </c>
      <c r="E2046" t="s">
        <v>905</v>
      </c>
      <c r="F2046" t="s">
        <v>20</v>
      </c>
      <c r="G2046" t="s">
        <v>21</v>
      </c>
      <c r="H2046" t="s">
        <v>224</v>
      </c>
      <c r="I2046" t="s">
        <v>23</v>
      </c>
      <c r="J2046" t="s">
        <v>49</v>
      </c>
      <c r="K2046" s="2" t="s">
        <v>999</v>
      </c>
      <c r="L2046" t="s">
        <v>26</v>
      </c>
      <c r="M2046">
        <v>222924</v>
      </c>
      <c r="N2046">
        <v>1</v>
      </c>
      <c r="O2046" s="3">
        <v>44990</v>
      </c>
      <c r="P2046" s="3">
        <v>27358</v>
      </c>
      <c r="Q2046" s="5">
        <f t="shared" si="93"/>
        <v>37806.722689075636</v>
      </c>
      <c r="R2046" s="5">
        <f t="shared" si="94"/>
        <v>27358</v>
      </c>
      <c r="S2046" s="5">
        <f t="shared" si="95"/>
        <v>10448.722689075636</v>
      </c>
    </row>
    <row r="2047" spans="1:19" hidden="1" x14ac:dyDescent="0.3">
      <c r="A2047">
        <v>140</v>
      </c>
      <c r="B2047" t="s">
        <v>3524</v>
      </c>
      <c r="C2047" t="s">
        <v>1752</v>
      </c>
      <c r="D2047" s="2" t="s">
        <v>1753</v>
      </c>
      <c r="E2047" t="s">
        <v>1754</v>
      </c>
      <c r="F2047" t="s">
        <v>20</v>
      </c>
      <c r="G2047" t="s">
        <v>21</v>
      </c>
      <c r="H2047" t="s">
        <v>1755</v>
      </c>
      <c r="I2047" t="s">
        <v>23</v>
      </c>
      <c r="J2047" t="s">
        <v>40</v>
      </c>
      <c r="K2047" s="2" t="s">
        <v>999</v>
      </c>
      <c r="L2047" t="s">
        <v>26</v>
      </c>
      <c r="M2047">
        <v>222924</v>
      </c>
      <c r="N2047">
        <v>1</v>
      </c>
      <c r="O2047" s="3">
        <v>39990</v>
      </c>
      <c r="P2047" s="3">
        <v>28528</v>
      </c>
      <c r="Q2047" s="5">
        <f t="shared" si="93"/>
        <v>33605.042016806721</v>
      </c>
      <c r="R2047" s="5">
        <f t="shared" si="94"/>
        <v>28528</v>
      </c>
      <c r="S2047" s="5">
        <f t="shared" si="95"/>
        <v>5077.0420168067212</v>
      </c>
    </row>
    <row r="2048" spans="1:19" hidden="1" x14ac:dyDescent="0.3">
      <c r="A2048">
        <v>140</v>
      </c>
      <c r="B2048" t="s">
        <v>3524</v>
      </c>
      <c r="C2048" t="s">
        <v>3750</v>
      </c>
      <c r="D2048" s="2" t="s">
        <v>3751</v>
      </c>
      <c r="E2048" t="s">
        <v>3619</v>
      </c>
      <c r="F2048" t="s">
        <v>20</v>
      </c>
      <c r="G2048" t="s">
        <v>21</v>
      </c>
      <c r="H2048" t="s">
        <v>874</v>
      </c>
      <c r="I2048" t="s">
        <v>23</v>
      </c>
      <c r="J2048" t="s">
        <v>95</v>
      </c>
      <c r="K2048" s="2" t="s">
        <v>999</v>
      </c>
      <c r="L2048" t="s">
        <v>26</v>
      </c>
      <c r="M2048">
        <v>222924</v>
      </c>
      <c r="N2048">
        <v>1</v>
      </c>
      <c r="O2048" s="3">
        <v>39990</v>
      </c>
      <c r="P2048" s="3">
        <v>21627</v>
      </c>
      <c r="Q2048" s="5">
        <f t="shared" si="93"/>
        <v>33605.042016806721</v>
      </c>
      <c r="R2048" s="5">
        <f t="shared" si="94"/>
        <v>21627</v>
      </c>
      <c r="S2048" s="5">
        <f t="shared" si="95"/>
        <v>11978.042016806721</v>
      </c>
    </row>
    <row r="2049" spans="1:19" hidden="1" x14ac:dyDescent="0.3">
      <c r="A2049">
        <v>140</v>
      </c>
      <c r="B2049" t="s">
        <v>3524</v>
      </c>
      <c r="C2049" t="s">
        <v>3752</v>
      </c>
      <c r="D2049" s="2" t="s">
        <v>3753</v>
      </c>
      <c r="E2049" t="s">
        <v>3754</v>
      </c>
      <c r="F2049" t="s">
        <v>20</v>
      </c>
      <c r="G2049" t="s">
        <v>21</v>
      </c>
      <c r="H2049" t="s">
        <v>610</v>
      </c>
      <c r="I2049" t="s">
        <v>23</v>
      </c>
      <c r="J2049" t="s">
        <v>40</v>
      </c>
      <c r="K2049" s="2" t="s">
        <v>1072</v>
      </c>
      <c r="L2049" t="s">
        <v>26</v>
      </c>
      <c r="M2049">
        <v>222925</v>
      </c>
      <c r="N2049">
        <v>-1</v>
      </c>
      <c r="O2049" s="3">
        <v>-38460</v>
      </c>
      <c r="P2049" s="3">
        <v>14810</v>
      </c>
      <c r="Q2049" s="5">
        <f t="shared" si="93"/>
        <v>-32319.327731092439</v>
      </c>
      <c r="R2049" s="5">
        <f t="shared" si="94"/>
        <v>-14810</v>
      </c>
      <c r="S2049" s="5">
        <f t="shared" si="95"/>
        <v>-17509.327731092439</v>
      </c>
    </row>
    <row r="2050" spans="1:19" hidden="1" x14ac:dyDescent="0.3">
      <c r="A2050">
        <v>140</v>
      </c>
      <c r="B2050" t="s">
        <v>3524</v>
      </c>
      <c r="C2050" t="s">
        <v>3755</v>
      </c>
      <c r="D2050" s="2" t="s">
        <v>3756</v>
      </c>
      <c r="E2050" t="s">
        <v>3757</v>
      </c>
      <c r="F2050" t="s">
        <v>20</v>
      </c>
      <c r="G2050" t="s">
        <v>338</v>
      </c>
      <c r="H2050">
        <v>23732</v>
      </c>
      <c r="I2050" t="s">
        <v>23</v>
      </c>
      <c r="J2050" t="s">
        <v>40</v>
      </c>
      <c r="K2050" s="2" t="s">
        <v>1072</v>
      </c>
      <c r="L2050" t="s">
        <v>26</v>
      </c>
      <c r="M2050">
        <v>222925</v>
      </c>
      <c r="N2050">
        <v>1</v>
      </c>
      <c r="O2050" s="3">
        <v>79950</v>
      </c>
      <c r="P2050" s="3">
        <v>26539</v>
      </c>
      <c r="Q2050" s="5">
        <f t="shared" si="93"/>
        <v>67184.873949579836</v>
      </c>
      <c r="R2050" s="5">
        <f t="shared" si="94"/>
        <v>26539</v>
      </c>
      <c r="S2050" s="5">
        <f t="shared" si="95"/>
        <v>40645.873949579836</v>
      </c>
    </row>
    <row r="2051" spans="1:19" hidden="1" x14ac:dyDescent="0.3">
      <c r="A2051">
        <v>140</v>
      </c>
      <c r="B2051" t="s">
        <v>3524</v>
      </c>
      <c r="C2051" t="s">
        <v>3758</v>
      </c>
      <c r="D2051" s="2" t="s">
        <v>3759</v>
      </c>
      <c r="E2051" t="s">
        <v>2711</v>
      </c>
      <c r="F2051" t="s">
        <v>20</v>
      </c>
      <c r="G2051" t="s">
        <v>21</v>
      </c>
      <c r="H2051" t="s">
        <v>614</v>
      </c>
      <c r="I2051" t="s">
        <v>23</v>
      </c>
      <c r="J2051" t="s">
        <v>40</v>
      </c>
      <c r="K2051" s="2" t="s">
        <v>1072</v>
      </c>
      <c r="L2051" t="s">
        <v>26</v>
      </c>
      <c r="M2051">
        <v>222926</v>
      </c>
      <c r="N2051">
        <v>-1</v>
      </c>
      <c r="O2051" s="3">
        <v>-39990</v>
      </c>
      <c r="P2051" s="3">
        <v>17070</v>
      </c>
      <c r="Q2051" s="5">
        <f t="shared" si="93"/>
        <v>-33605.042016806721</v>
      </c>
      <c r="R2051" s="5">
        <f t="shared" si="94"/>
        <v>-17070</v>
      </c>
      <c r="S2051" s="5">
        <f t="shared" si="95"/>
        <v>-16535.042016806721</v>
      </c>
    </row>
    <row r="2052" spans="1:19" hidden="1" x14ac:dyDescent="0.3">
      <c r="A2052">
        <v>140</v>
      </c>
      <c r="B2052" t="s">
        <v>3524</v>
      </c>
      <c r="C2052" t="s">
        <v>3760</v>
      </c>
      <c r="D2052" s="2" t="s">
        <v>3761</v>
      </c>
      <c r="E2052" t="s">
        <v>3738</v>
      </c>
      <c r="F2052" t="s">
        <v>20</v>
      </c>
      <c r="G2052" t="s">
        <v>21</v>
      </c>
      <c r="H2052" t="s">
        <v>557</v>
      </c>
      <c r="I2052" t="s">
        <v>23</v>
      </c>
      <c r="J2052" t="s">
        <v>40</v>
      </c>
      <c r="K2052" s="2" t="s">
        <v>1072</v>
      </c>
      <c r="L2052" t="s">
        <v>26</v>
      </c>
      <c r="M2052">
        <v>222926</v>
      </c>
      <c r="N2052">
        <v>1</v>
      </c>
      <c r="O2052" s="3">
        <v>49990</v>
      </c>
      <c r="P2052" s="3">
        <v>28049</v>
      </c>
      <c r="Q2052" s="5">
        <f t="shared" si="93"/>
        <v>42008.403361344543</v>
      </c>
      <c r="R2052" s="5">
        <f t="shared" si="94"/>
        <v>28049</v>
      </c>
      <c r="S2052" s="5">
        <f t="shared" si="95"/>
        <v>13959.403361344543</v>
      </c>
    </row>
    <row r="2053" spans="1:19" hidden="1" x14ac:dyDescent="0.3">
      <c r="A2053">
        <v>140</v>
      </c>
      <c r="B2053" t="s">
        <v>3524</v>
      </c>
      <c r="C2053" t="s">
        <v>3762</v>
      </c>
      <c r="D2053" s="2" t="s">
        <v>3763</v>
      </c>
      <c r="E2053" t="s">
        <v>3764</v>
      </c>
      <c r="F2053" t="s">
        <v>20</v>
      </c>
      <c r="G2053" t="s">
        <v>21</v>
      </c>
      <c r="H2053" t="s">
        <v>1282</v>
      </c>
      <c r="I2053" t="s">
        <v>23</v>
      </c>
      <c r="J2053" t="s">
        <v>40</v>
      </c>
      <c r="K2053" s="2" t="s">
        <v>1072</v>
      </c>
      <c r="L2053" t="s">
        <v>26</v>
      </c>
      <c r="M2053">
        <v>222927</v>
      </c>
      <c r="N2053">
        <v>1</v>
      </c>
      <c r="O2053" s="3">
        <v>49950</v>
      </c>
      <c r="P2053" s="3">
        <v>13922</v>
      </c>
      <c r="Q2053" s="5">
        <f t="shared" si="93"/>
        <v>41974.789915966387</v>
      </c>
      <c r="R2053" s="5">
        <f t="shared" si="94"/>
        <v>13922</v>
      </c>
      <c r="S2053" s="5">
        <f t="shared" si="95"/>
        <v>28052.789915966387</v>
      </c>
    </row>
    <row r="2054" spans="1:19" hidden="1" x14ac:dyDescent="0.3">
      <c r="A2054">
        <v>140</v>
      </c>
      <c r="B2054" t="s">
        <v>3524</v>
      </c>
      <c r="C2054" t="s">
        <v>3765</v>
      </c>
      <c r="D2054" s="2" t="s">
        <v>3766</v>
      </c>
      <c r="E2054" t="s">
        <v>717</v>
      </c>
      <c r="F2054" t="s">
        <v>20</v>
      </c>
      <c r="G2054" t="s">
        <v>21</v>
      </c>
      <c r="H2054" t="s">
        <v>718</v>
      </c>
      <c r="I2054" t="s">
        <v>23</v>
      </c>
      <c r="J2054" t="s">
        <v>49</v>
      </c>
      <c r="K2054" s="2" t="s">
        <v>1072</v>
      </c>
      <c r="L2054" t="s">
        <v>26</v>
      </c>
      <c r="M2054">
        <v>222928</v>
      </c>
      <c r="N2054">
        <v>1</v>
      </c>
      <c r="O2054" s="3">
        <v>39990</v>
      </c>
      <c r="P2054" s="3">
        <v>26655</v>
      </c>
      <c r="Q2054" s="5">
        <f t="shared" ref="Q2054:Q2117" si="96">O2054/1.19</f>
        <v>33605.042016806721</v>
      </c>
      <c r="R2054" s="5">
        <f t="shared" ref="R2054:R2117" si="97">N2054*P2054</f>
        <v>26655</v>
      </c>
      <c r="S2054" s="5">
        <f t="shared" ref="S2054:S2117" si="98">Q2054-R2054</f>
        <v>6950.0420168067212</v>
      </c>
    </row>
    <row r="2055" spans="1:19" hidden="1" x14ac:dyDescent="0.3">
      <c r="A2055">
        <v>140</v>
      </c>
      <c r="B2055" t="s">
        <v>3524</v>
      </c>
      <c r="C2055" t="s">
        <v>3767</v>
      </c>
      <c r="D2055" s="2" t="s">
        <v>3768</v>
      </c>
      <c r="E2055" t="s">
        <v>3380</v>
      </c>
      <c r="F2055" t="s">
        <v>20</v>
      </c>
      <c r="G2055" t="s">
        <v>21</v>
      </c>
      <c r="H2055" t="s">
        <v>1703</v>
      </c>
      <c r="I2055" t="s">
        <v>23</v>
      </c>
      <c r="J2055" t="s">
        <v>49</v>
      </c>
      <c r="K2055" s="2" t="s">
        <v>1072</v>
      </c>
      <c r="L2055" t="s">
        <v>26</v>
      </c>
      <c r="M2055">
        <v>222929</v>
      </c>
      <c r="N2055">
        <v>1</v>
      </c>
      <c r="O2055" s="3">
        <v>69950</v>
      </c>
      <c r="P2055" s="3">
        <v>22287</v>
      </c>
      <c r="Q2055" s="5">
        <f t="shared" si="96"/>
        <v>58781.512605042022</v>
      </c>
      <c r="R2055" s="5">
        <f t="shared" si="97"/>
        <v>22287</v>
      </c>
      <c r="S2055" s="5">
        <f t="shared" si="98"/>
        <v>36494.512605042022</v>
      </c>
    </row>
    <row r="2056" spans="1:19" hidden="1" x14ac:dyDescent="0.3">
      <c r="A2056">
        <v>140</v>
      </c>
      <c r="B2056" t="s">
        <v>3524</v>
      </c>
      <c r="C2056" t="s">
        <v>3769</v>
      </c>
      <c r="D2056" s="2" t="s">
        <v>3770</v>
      </c>
      <c r="E2056" t="s">
        <v>2993</v>
      </c>
      <c r="F2056" t="s">
        <v>20</v>
      </c>
      <c r="G2056" t="s">
        <v>21</v>
      </c>
      <c r="H2056" t="s">
        <v>1887</v>
      </c>
      <c r="I2056" t="s">
        <v>23</v>
      </c>
      <c r="J2056" t="s">
        <v>40</v>
      </c>
      <c r="K2056" s="2" t="s">
        <v>1072</v>
      </c>
      <c r="L2056" t="s">
        <v>26</v>
      </c>
      <c r="M2056">
        <v>222930</v>
      </c>
      <c r="N2056">
        <v>1</v>
      </c>
      <c r="O2056" s="3">
        <v>69950</v>
      </c>
      <c r="P2056" s="3">
        <v>22018</v>
      </c>
      <c r="Q2056" s="5">
        <f t="shared" si="96"/>
        <v>58781.512605042022</v>
      </c>
      <c r="R2056" s="5">
        <f t="shared" si="97"/>
        <v>22018</v>
      </c>
      <c r="S2056" s="5">
        <f t="shared" si="98"/>
        <v>36763.512605042022</v>
      </c>
    </row>
    <row r="2057" spans="1:19" hidden="1" x14ac:dyDescent="0.3">
      <c r="A2057">
        <v>140</v>
      </c>
      <c r="B2057" t="s">
        <v>3524</v>
      </c>
      <c r="C2057" t="s">
        <v>3771</v>
      </c>
      <c r="D2057" s="2" t="s">
        <v>3772</v>
      </c>
      <c r="E2057" t="s">
        <v>2330</v>
      </c>
      <c r="F2057" t="s">
        <v>20</v>
      </c>
      <c r="G2057" t="s">
        <v>21</v>
      </c>
      <c r="H2057" t="s">
        <v>839</v>
      </c>
      <c r="I2057" t="s">
        <v>23</v>
      </c>
      <c r="J2057" t="s">
        <v>40</v>
      </c>
      <c r="K2057" s="2" t="s">
        <v>1072</v>
      </c>
      <c r="L2057" t="s">
        <v>26</v>
      </c>
      <c r="M2057">
        <v>222931</v>
      </c>
      <c r="N2057">
        <v>1</v>
      </c>
      <c r="O2057" s="3">
        <v>39990</v>
      </c>
      <c r="P2057" s="3">
        <v>16210</v>
      </c>
      <c r="Q2057" s="5">
        <f t="shared" si="96"/>
        <v>33605.042016806721</v>
      </c>
      <c r="R2057" s="5">
        <f t="shared" si="97"/>
        <v>16210</v>
      </c>
      <c r="S2057" s="5">
        <f t="shared" si="98"/>
        <v>17395.042016806721</v>
      </c>
    </row>
    <row r="2058" spans="1:19" hidden="1" x14ac:dyDescent="0.3">
      <c r="A2058">
        <v>140</v>
      </c>
      <c r="B2058" t="s">
        <v>3524</v>
      </c>
      <c r="C2058" t="s">
        <v>3773</v>
      </c>
      <c r="D2058" s="2" t="s">
        <v>3774</v>
      </c>
      <c r="E2058" t="s">
        <v>2586</v>
      </c>
      <c r="F2058" t="s">
        <v>20</v>
      </c>
      <c r="G2058" t="s">
        <v>21</v>
      </c>
      <c r="H2058" t="s">
        <v>600</v>
      </c>
      <c r="I2058" t="s">
        <v>23</v>
      </c>
      <c r="J2058" t="s">
        <v>40</v>
      </c>
      <c r="K2058" s="2" t="s">
        <v>1072</v>
      </c>
      <c r="L2058" t="s">
        <v>26</v>
      </c>
      <c r="M2058">
        <v>222931</v>
      </c>
      <c r="N2058">
        <v>1</v>
      </c>
      <c r="O2058" s="3">
        <v>49990</v>
      </c>
      <c r="P2058" s="3">
        <v>21327</v>
      </c>
      <c r="Q2058" s="5">
        <f t="shared" si="96"/>
        <v>42008.403361344543</v>
      </c>
      <c r="R2058" s="5">
        <f t="shared" si="97"/>
        <v>21327</v>
      </c>
      <c r="S2058" s="5">
        <f t="shared" si="98"/>
        <v>20681.403361344543</v>
      </c>
    </row>
    <row r="2059" spans="1:19" hidden="1" x14ac:dyDescent="0.3">
      <c r="A2059">
        <v>140</v>
      </c>
      <c r="B2059" t="s">
        <v>3524</v>
      </c>
      <c r="C2059" t="s">
        <v>3538</v>
      </c>
      <c r="D2059" s="2" t="s">
        <v>3539</v>
      </c>
      <c r="E2059" t="s">
        <v>2163</v>
      </c>
      <c r="F2059" t="s">
        <v>20</v>
      </c>
      <c r="G2059" t="s">
        <v>21</v>
      </c>
      <c r="H2059" t="s">
        <v>970</v>
      </c>
      <c r="I2059" t="s">
        <v>23</v>
      </c>
      <c r="J2059" t="s">
        <v>40</v>
      </c>
      <c r="K2059" s="2" t="s">
        <v>1072</v>
      </c>
      <c r="L2059" t="s">
        <v>26</v>
      </c>
      <c r="M2059">
        <v>222932</v>
      </c>
      <c r="N2059">
        <v>1</v>
      </c>
      <c r="O2059" s="3">
        <v>59950</v>
      </c>
      <c r="P2059" s="3">
        <v>19352</v>
      </c>
      <c r="Q2059" s="5">
        <f t="shared" si="96"/>
        <v>50378.151260504201</v>
      </c>
      <c r="R2059" s="5">
        <f t="shared" si="97"/>
        <v>19352</v>
      </c>
      <c r="S2059" s="5">
        <f t="shared" si="98"/>
        <v>31026.151260504201</v>
      </c>
    </row>
    <row r="2060" spans="1:19" hidden="1" x14ac:dyDescent="0.3">
      <c r="A2060">
        <v>140</v>
      </c>
      <c r="B2060" t="s">
        <v>3524</v>
      </c>
      <c r="C2060" t="s">
        <v>3466</v>
      </c>
      <c r="D2060" s="2" t="s">
        <v>3467</v>
      </c>
      <c r="E2060" t="s">
        <v>316</v>
      </c>
      <c r="F2060" t="s">
        <v>20</v>
      </c>
      <c r="G2060" t="s">
        <v>21</v>
      </c>
      <c r="H2060" t="s">
        <v>317</v>
      </c>
      <c r="I2060" t="s">
        <v>23</v>
      </c>
      <c r="J2060" t="s">
        <v>35</v>
      </c>
      <c r="K2060" s="2" t="s">
        <v>1072</v>
      </c>
      <c r="L2060" t="s">
        <v>26</v>
      </c>
      <c r="M2060">
        <v>222933</v>
      </c>
      <c r="N2060">
        <v>1</v>
      </c>
      <c r="O2060" s="3">
        <v>69950</v>
      </c>
      <c r="P2060" s="3">
        <v>24552</v>
      </c>
      <c r="Q2060" s="5">
        <f t="shared" si="96"/>
        <v>58781.512605042022</v>
      </c>
      <c r="R2060" s="5">
        <f t="shared" si="97"/>
        <v>24552</v>
      </c>
      <c r="S2060" s="5">
        <f t="shared" si="98"/>
        <v>34229.512605042022</v>
      </c>
    </row>
    <row r="2061" spans="1:19" hidden="1" x14ac:dyDescent="0.3">
      <c r="A2061">
        <v>140</v>
      </c>
      <c r="B2061" t="s">
        <v>3524</v>
      </c>
      <c r="C2061" t="s">
        <v>2948</v>
      </c>
      <c r="D2061" s="2" t="s">
        <v>2949</v>
      </c>
      <c r="E2061" t="s">
        <v>2226</v>
      </c>
      <c r="F2061" t="s">
        <v>20</v>
      </c>
      <c r="G2061" t="s">
        <v>21</v>
      </c>
      <c r="H2061" t="s">
        <v>53</v>
      </c>
      <c r="I2061" t="s">
        <v>23</v>
      </c>
      <c r="J2061" t="s">
        <v>49</v>
      </c>
      <c r="K2061" s="2" t="s">
        <v>1072</v>
      </c>
      <c r="L2061" t="s">
        <v>26</v>
      </c>
      <c r="M2061">
        <v>222934</v>
      </c>
      <c r="N2061">
        <v>1</v>
      </c>
      <c r="O2061" s="3">
        <v>69950</v>
      </c>
      <c r="P2061" s="3">
        <v>21044</v>
      </c>
      <c r="Q2061" s="5">
        <f t="shared" si="96"/>
        <v>58781.512605042022</v>
      </c>
      <c r="R2061" s="5">
        <f t="shared" si="97"/>
        <v>21044</v>
      </c>
      <c r="S2061" s="5">
        <f t="shared" si="98"/>
        <v>37737.512605042022</v>
      </c>
    </row>
    <row r="2062" spans="1:19" hidden="1" x14ac:dyDescent="0.3">
      <c r="A2062">
        <v>140</v>
      </c>
      <c r="B2062" t="s">
        <v>3524</v>
      </c>
      <c r="C2062" t="s">
        <v>3775</v>
      </c>
      <c r="D2062" s="2" t="s">
        <v>3776</v>
      </c>
      <c r="E2062" t="s">
        <v>3777</v>
      </c>
      <c r="F2062" t="s">
        <v>20</v>
      </c>
      <c r="G2062" t="s">
        <v>21</v>
      </c>
      <c r="H2062" t="s">
        <v>794</v>
      </c>
      <c r="I2062" t="s">
        <v>23</v>
      </c>
      <c r="J2062" t="s">
        <v>40</v>
      </c>
      <c r="K2062" s="2" t="s">
        <v>1072</v>
      </c>
      <c r="L2062" t="s">
        <v>26</v>
      </c>
      <c r="M2062">
        <v>222935</v>
      </c>
      <c r="N2062">
        <v>1</v>
      </c>
      <c r="O2062" s="3">
        <v>49990</v>
      </c>
      <c r="P2062" s="3">
        <v>21475</v>
      </c>
      <c r="Q2062" s="5">
        <f t="shared" si="96"/>
        <v>42008.403361344543</v>
      </c>
      <c r="R2062" s="5">
        <f t="shared" si="97"/>
        <v>21475</v>
      </c>
      <c r="S2062" s="5">
        <f t="shared" si="98"/>
        <v>20533.403361344543</v>
      </c>
    </row>
    <row r="2063" spans="1:19" hidden="1" x14ac:dyDescent="0.3">
      <c r="A2063">
        <v>140</v>
      </c>
      <c r="B2063" t="s">
        <v>3524</v>
      </c>
      <c r="C2063" t="s">
        <v>2689</v>
      </c>
      <c r="D2063" s="2" t="s">
        <v>2690</v>
      </c>
      <c r="E2063" t="s">
        <v>2195</v>
      </c>
      <c r="F2063" t="s">
        <v>20</v>
      </c>
      <c r="G2063" t="s">
        <v>338</v>
      </c>
      <c r="H2063">
        <v>24722</v>
      </c>
      <c r="I2063" t="s">
        <v>23</v>
      </c>
      <c r="J2063" t="s">
        <v>95</v>
      </c>
      <c r="K2063" s="2" t="s">
        <v>1072</v>
      </c>
      <c r="L2063" t="s">
        <v>26</v>
      </c>
      <c r="M2063">
        <v>222936</v>
      </c>
      <c r="N2063">
        <v>1</v>
      </c>
      <c r="O2063" s="3">
        <v>89950</v>
      </c>
      <c r="P2063" s="3">
        <v>30987</v>
      </c>
      <c r="Q2063" s="5">
        <f t="shared" si="96"/>
        <v>75588.23529411765</v>
      </c>
      <c r="R2063" s="5">
        <f t="shared" si="97"/>
        <v>30987</v>
      </c>
      <c r="S2063" s="5">
        <f t="shared" si="98"/>
        <v>44601.23529411765</v>
      </c>
    </row>
    <row r="2064" spans="1:19" hidden="1" x14ac:dyDescent="0.3">
      <c r="A2064">
        <v>140</v>
      </c>
      <c r="B2064" t="s">
        <v>3524</v>
      </c>
      <c r="C2064" t="s">
        <v>2694</v>
      </c>
      <c r="D2064" s="2" t="s">
        <v>2695</v>
      </c>
      <c r="E2064" t="s">
        <v>2616</v>
      </c>
      <c r="F2064" t="s">
        <v>20</v>
      </c>
      <c r="G2064" t="s">
        <v>338</v>
      </c>
      <c r="H2064">
        <v>83717</v>
      </c>
      <c r="I2064" t="s">
        <v>23</v>
      </c>
      <c r="J2064" t="s">
        <v>40</v>
      </c>
      <c r="K2064" s="2" t="s">
        <v>2693</v>
      </c>
      <c r="L2064" t="s">
        <v>26</v>
      </c>
      <c r="M2064">
        <v>222937</v>
      </c>
      <c r="N2064">
        <v>1</v>
      </c>
      <c r="O2064" s="3">
        <v>89950</v>
      </c>
      <c r="P2064" s="3">
        <v>30263</v>
      </c>
      <c r="Q2064" s="5">
        <f t="shared" si="96"/>
        <v>75588.23529411765</v>
      </c>
      <c r="R2064" s="5">
        <f t="shared" si="97"/>
        <v>30263</v>
      </c>
      <c r="S2064" s="5">
        <f t="shared" si="98"/>
        <v>45325.23529411765</v>
      </c>
    </row>
    <row r="2065" spans="1:19" hidden="1" x14ac:dyDescent="0.3">
      <c r="A2065">
        <v>140</v>
      </c>
      <c r="B2065" t="s">
        <v>3524</v>
      </c>
      <c r="C2065" t="s">
        <v>3346</v>
      </c>
      <c r="D2065" s="2" t="s">
        <v>3347</v>
      </c>
      <c r="E2065" t="s">
        <v>2468</v>
      </c>
      <c r="F2065" t="s">
        <v>20</v>
      </c>
      <c r="G2065" t="s">
        <v>21</v>
      </c>
      <c r="H2065" t="s">
        <v>2469</v>
      </c>
      <c r="I2065" t="s">
        <v>23</v>
      </c>
      <c r="J2065" t="s">
        <v>49</v>
      </c>
      <c r="K2065" s="2" t="s">
        <v>2693</v>
      </c>
      <c r="L2065" t="s">
        <v>26</v>
      </c>
      <c r="M2065">
        <v>222938</v>
      </c>
      <c r="N2065">
        <v>1</v>
      </c>
      <c r="O2065" s="3">
        <v>55200</v>
      </c>
      <c r="P2065" s="3">
        <v>19047</v>
      </c>
      <c r="Q2065" s="5">
        <f t="shared" si="96"/>
        <v>46386.554621848743</v>
      </c>
      <c r="R2065" s="5">
        <f t="shared" si="97"/>
        <v>19047</v>
      </c>
      <c r="S2065" s="5">
        <f t="shared" si="98"/>
        <v>27339.554621848743</v>
      </c>
    </row>
    <row r="2066" spans="1:19" hidden="1" x14ac:dyDescent="0.3">
      <c r="A2066">
        <v>140</v>
      </c>
      <c r="B2066" t="s">
        <v>3524</v>
      </c>
      <c r="C2066" t="s">
        <v>3778</v>
      </c>
      <c r="D2066" s="2" t="s">
        <v>3779</v>
      </c>
      <c r="E2066" t="s">
        <v>3780</v>
      </c>
      <c r="F2066" t="s">
        <v>20</v>
      </c>
      <c r="G2066" t="s">
        <v>21</v>
      </c>
      <c r="H2066" t="s">
        <v>970</v>
      </c>
      <c r="I2066" t="s">
        <v>23</v>
      </c>
      <c r="J2066" t="s">
        <v>40</v>
      </c>
      <c r="K2066" s="2" t="s">
        <v>2693</v>
      </c>
      <c r="L2066" t="s">
        <v>26</v>
      </c>
      <c r="M2066">
        <v>222939</v>
      </c>
      <c r="N2066">
        <v>1</v>
      </c>
      <c r="O2066" s="3">
        <v>59950</v>
      </c>
      <c r="P2066" s="3">
        <v>15928</v>
      </c>
      <c r="Q2066" s="5">
        <f t="shared" si="96"/>
        <v>50378.151260504201</v>
      </c>
      <c r="R2066" s="5">
        <f t="shared" si="97"/>
        <v>15928</v>
      </c>
      <c r="S2066" s="5">
        <f t="shared" si="98"/>
        <v>34450.151260504201</v>
      </c>
    </row>
    <row r="2067" spans="1:19" hidden="1" x14ac:dyDescent="0.3">
      <c r="A2067">
        <v>140</v>
      </c>
      <c r="B2067" t="s">
        <v>3524</v>
      </c>
      <c r="C2067" t="s">
        <v>2806</v>
      </c>
      <c r="D2067" s="2" t="s">
        <v>2807</v>
      </c>
      <c r="E2067" t="s">
        <v>1754</v>
      </c>
      <c r="F2067" t="s">
        <v>20</v>
      </c>
      <c r="G2067" t="s">
        <v>21</v>
      </c>
      <c r="H2067" t="s">
        <v>1755</v>
      </c>
      <c r="I2067" t="s">
        <v>23</v>
      </c>
      <c r="J2067" t="s">
        <v>40</v>
      </c>
      <c r="K2067" s="2" t="s">
        <v>2693</v>
      </c>
      <c r="L2067" t="s">
        <v>26</v>
      </c>
      <c r="M2067">
        <v>222940</v>
      </c>
      <c r="N2067">
        <v>1</v>
      </c>
      <c r="O2067" s="3">
        <v>39990</v>
      </c>
      <c r="P2067" s="3">
        <v>28528</v>
      </c>
      <c r="Q2067" s="5">
        <f t="shared" si="96"/>
        <v>33605.042016806721</v>
      </c>
      <c r="R2067" s="5">
        <f t="shared" si="97"/>
        <v>28528</v>
      </c>
      <c r="S2067" s="5">
        <f t="shared" si="98"/>
        <v>5077.0420168067212</v>
      </c>
    </row>
    <row r="2068" spans="1:19" hidden="1" x14ac:dyDescent="0.3">
      <c r="A2068">
        <v>140</v>
      </c>
      <c r="B2068" t="s">
        <v>3524</v>
      </c>
      <c r="C2068" t="s">
        <v>3781</v>
      </c>
      <c r="D2068" s="2" t="s">
        <v>3782</v>
      </c>
      <c r="E2068" t="s">
        <v>3783</v>
      </c>
      <c r="F2068" t="s">
        <v>20</v>
      </c>
      <c r="G2068" t="s">
        <v>21</v>
      </c>
      <c r="H2068" t="s">
        <v>295</v>
      </c>
      <c r="I2068" t="s">
        <v>23</v>
      </c>
      <c r="J2068" t="s">
        <v>40</v>
      </c>
      <c r="K2068" s="2" t="s">
        <v>2693</v>
      </c>
      <c r="L2068" t="s">
        <v>26</v>
      </c>
      <c r="M2068">
        <v>222940</v>
      </c>
      <c r="N2068">
        <v>-1</v>
      </c>
      <c r="O2068" s="3">
        <v>-79950</v>
      </c>
      <c r="P2068" s="3">
        <v>25028</v>
      </c>
      <c r="Q2068" s="5">
        <f t="shared" si="96"/>
        <v>-67184.873949579836</v>
      </c>
      <c r="R2068" s="5">
        <f t="shared" si="97"/>
        <v>-25028</v>
      </c>
      <c r="S2068" s="5">
        <f t="shared" si="98"/>
        <v>-42156.873949579836</v>
      </c>
    </row>
    <row r="2069" spans="1:19" hidden="1" x14ac:dyDescent="0.3">
      <c r="A2069">
        <v>140</v>
      </c>
      <c r="B2069" t="s">
        <v>3524</v>
      </c>
      <c r="C2069" t="s">
        <v>3784</v>
      </c>
      <c r="D2069" s="2" t="s">
        <v>3785</v>
      </c>
      <c r="E2069" t="s">
        <v>3786</v>
      </c>
      <c r="F2069" t="s">
        <v>20</v>
      </c>
      <c r="G2069" t="s">
        <v>21</v>
      </c>
      <c r="H2069" t="s">
        <v>1405</v>
      </c>
      <c r="I2069" t="s">
        <v>23</v>
      </c>
      <c r="J2069" t="s">
        <v>40</v>
      </c>
      <c r="K2069" s="2" t="s">
        <v>2693</v>
      </c>
      <c r="L2069" t="s">
        <v>26</v>
      </c>
      <c r="M2069">
        <v>222940</v>
      </c>
      <c r="N2069">
        <v>1</v>
      </c>
      <c r="O2069" s="3">
        <v>49950</v>
      </c>
      <c r="P2069" s="3">
        <v>13302</v>
      </c>
      <c r="Q2069" s="5">
        <f t="shared" si="96"/>
        <v>41974.789915966387</v>
      </c>
      <c r="R2069" s="5">
        <f t="shared" si="97"/>
        <v>13302</v>
      </c>
      <c r="S2069" s="5">
        <f t="shared" si="98"/>
        <v>28672.789915966387</v>
      </c>
    </row>
    <row r="2070" spans="1:19" hidden="1" x14ac:dyDescent="0.3">
      <c r="A2070">
        <v>140</v>
      </c>
      <c r="B2070" t="s">
        <v>3524</v>
      </c>
      <c r="C2070" t="s">
        <v>3787</v>
      </c>
      <c r="D2070" s="2" t="s">
        <v>3788</v>
      </c>
      <c r="E2070" t="s">
        <v>2748</v>
      </c>
      <c r="F2070" t="s">
        <v>20</v>
      </c>
      <c r="G2070" t="s">
        <v>338</v>
      </c>
      <c r="H2070">
        <v>26266</v>
      </c>
      <c r="I2070" t="s">
        <v>23</v>
      </c>
      <c r="J2070" t="s">
        <v>35</v>
      </c>
      <c r="K2070" s="2" t="s">
        <v>2693</v>
      </c>
      <c r="L2070" t="s">
        <v>26</v>
      </c>
      <c r="M2070">
        <v>222941</v>
      </c>
      <c r="N2070">
        <v>1</v>
      </c>
      <c r="O2070" s="3">
        <v>79950</v>
      </c>
      <c r="P2070" s="3">
        <v>25300</v>
      </c>
      <c r="Q2070" s="5">
        <f t="shared" si="96"/>
        <v>67184.873949579836</v>
      </c>
      <c r="R2070" s="5">
        <f t="shared" si="97"/>
        <v>25300</v>
      </c>
      <c r="S2070" s="5">
        <f t="shared" si="98"/>
        <v>41884.873949579836</v>
      </c>
    </row>
    <row r="2071" spans="1:19" hidden="1" x14ac:dyDescent="0.3">
      <c r="A2071">
        <v>140</v>
      </c>
      <c r="B2071" t="s">
        <v>3524</v>
      </c>
      <c r="C2071" t="s">
        <v>3120</v>
      </c>
      <c r="D2071" s="2" t="s">
        <v>3121</v>
      </c>
      <c r="E2071" t="s">
        <v>3122</v>
      </c>
      <c r="F2071" t="s">
        <v>20</v>
      </c>
      <c r="G2071" t="s">
        <v>21</v>
      </c>
      <c r="H2071" t="s">
        <v>718</v>
      </c>
      <c r="I2071" t="s">
        <v>23</v>
      </c>
      <c r="J2071" t="s">
        <v>49</v>
      </c>
      <c r="K2071" s="2" t="s">
        <v>2693</v>
      </c>
      <c r="L2071" t="s">
        <v>26</v>
      </c>
      <c r="M2071">
        <v>222942</v>
      </c>
      <c r="N2071">
        <v>1</v>
      </c>
      <c r="O2071" s="3">
        <v>39990</v>
      </c>
      <c r="P2071" s="3">
        <v>26647</v>
      </c>
      <c r="Q2071" s="5">
        <f t="shared" si="96"/>
        <v>33605.042016806721</v>
      </c>
      <c r="R2071" s="5">
        <f t="shared" si="97"/>
        <v>26647</v>
      </c>
      <c r="S2071" s="5">
        <f t="shared" si="98"/>
        <v>6958.0420168067212</v>
      </c>
    </row>
    <row r="2072" spans="1:19" hidden="1" x14ac:dyDescent="0.3">
      <c r="A2072">
        <v>140</v>
      </c>
      <c r="B2072" t="s">
        <v>3524</v>
      </c>
      <c r="C2072" t="s">
        <v>3191</v>
      </c>
      <c r="D2072" s="2" t="s">
        <v>3192</v>
      </c>
      <c r="E2072" t="s">
        <v>3140</v>
      </c>
      <c r="F2072" t="s">
        <v>20</v>
      </c>
      <c r="G2072" t="s">
        <v>21</v>
      </c>
      <c r="H2072" t="s">
        <v>991</v>
      </c>
      <c r="I2072" t="s">
        <v>23</v>
      </c>
      <c r="J2072" t="s">
        <v>49</v>
      </c>
      <c r="K2072" s="2" t="s">
        <v>2693</v>
      </c>
      <c r="L2072" t="s">
        <v>26</v>
      </c>
      <c r="M2072">
        <v>222942</v>
      </c>
      <c r="N2072">
        <v>1</v>
      </c>
      <c r="O2072" s="3">
        <v>59450</v>
      </c>
      <c r="P2072" s="3">
        <v>24470</v>
      </c>
      <c r="Q2072" s="5">
        <f t="shared" si="96"/>
        <v>49957.983193277316</v>
      </c>
      <c r="R2072" s="5">
        <f t="shared" si="97"/>
        <v>24470</v>
      </c>
      <c r="S2072" s="5">
        <f t="shared" si="98"/>
        <v>25487.983193277316</v>
      </c>
    </row>
    <row r="2073" spans="1:19" hidden="1" x14ac:dyDescent="0.3">
      <c r="A2073">
        <v>140</v>
      </c>
      <c r="B2073" t="s">
        <v>3524</v>
      </c>
      <c r="C2073" t="s">
        <v>2371</v>
      </c>
      <c r="D2073" s="2" t="s">
        <v>2372</v>
      </c>
      <c r="E2073" t="s">
        <v>2373</v>
      </c>
      <c r="F2073" t="s">
        <v>20</v>
      </c>
      <c r="G2073" t="s">
        <v>338</v>
      </c>
      <c r="H2073">
        <v>24239</v>
      </c>
      <c r="I2073" t="s">
        <v>23</v>
      </c>
      <c r="J2073" t="s">
        <v>95</v>
      </c>
      <c r="K2073" s="2" t="s">
        <v>2693</v>
      </c>
      <c r="L2073" t="s">
        <v>26</v>
      </c>
      <c r="M2073">
        <v>222943</v>
      </c>
      <c r="N2073">
        <v>1</v>
      </c>
      <c r="O2073" s="3">
        <v>59950</v>
      </c>
      <c r="P2073" s="3">
        <v>18677</v>
      </c>
      <c r="Q2073" s="5">
        <f t="shared" si="96"/>
        <v>50378.151260504201</v>
      </c>
      <c r="R2073" s="5">
        <f t="shared" si="97"/>
        <v>18677</v>
      </c>
      <c r="S2073" s="5">
        <f t="shared" si="98"/>
        <v>31701.151260504201</v>
      </c>
    </row>
    <row r="2074" spans="1:19" hidden="1" x14ac:dyDescent="0.3">
      <c r="A2074">
        <v>140</v>
      </c>
      <c r="B2074" t="s">
        <v>3524</v>
      </c>
      <c r="C2074" t="s">
        <v>2309</v>
      </c>
      <c r="D2074" s="2" t="s">
        <v>2310</v>
      </c>
      <c r="E2074" t="s">
        <v>2311</v>
      </c>
      <c r="F2074" t="s">
        <v>20</v>
      </c>
      <c r="G2074" t="s">
        <v>338</v>
      </c>
      <c r="H2074">
        <v>83716</v>
      </c>
      <c r="I2074" t="s">
        <v>23</v>
      </c>
      <c r="J2074" t="s">
        <v>40</v>
      </c>
      <c r="K2074" s="2" t="s">
        <v>2693</v>
      </c>
      <c r="L2074" t="s">
        <v>26</v>
      </c>
      <c r="M2074">
        <v>222943</v>
      </c>
      <c r="N2074">
        <v>1</v>
      </c>
      <c r="O2074" s="3">
        <v>89950</v>
      </c>
      <c r="P2074" s="3">
        <v>30263</v>
      </c>
      <c r="Q2074" s="5">
        <f t="shared" si="96"/>
        <v>75588.23529411765</v>
      </c>
      <c r="R2074" s="5">
        <f t="shared" si="97"/>
        <v>30263</v>
      </c>
      <c r="S2074" s="5">
        <f t="shared" si="98"/>
        <v>45325.23529411765</v>
      </c>
    </row>
    <row r="2075" spans="1:19" hidden="1" x14ac:dyDescent="0.3">
      <c r="A2075">
        <v>140</v>
      </c>
      <c r="B2075" t="s">
        <v>3524</v>
      </c>
      <c r="C2075" t="s">
        <v>3789</v>
      </c>
      <c r="D2075" s="2" t="s">
        <v>3790</v>
      </c>
      <c r="E2075" t="s">
        <v>2787</v>
      </c>
      <c r="F2075" t="s">
        <v>20</v>
      </c>
      <c r="G2075" t="s">
        <v>21</v>
      </c>
      <c r="H2075" t="s">
        <v>1286</v>
      </c>
      <c r="I2075" t="s">
        <v>23</v>
      </c>
      <c r="J2075" t="s">
        <v>40</v>
      </c>
      <c r="K2075" s="2" t="s">
        <v>2693</v>
      </c>
      <c r="L2075" t="s">
        <v>26</v>
      </c>
      <c r="M2075">
        <v>222944</v>
      </c>
      <c r="N2075">
        <v>1</v>
      </c>
      <c r="O2075" s="3">
        <v>49990</v>
      </c>
      <c r="P2075" s="3">
        <v>24783</v>
      </c>
      <c r="Q2075" s="5">
        <f t="shared" si="96"/>
        <v>42008.403361344543</v>
      </c>
      <c r="R2075" s="5">
        <f t="shared" si="97"/>
        <v>24783</v>
      </c>
      <c r="S2075" s="5">
        <f t="shared" si="98"/>
        <v>17225.403361344543</v>
      </c>
    </row>
    <row r="2076" spans="1:19" hidden="1" x14ac:dyDescent="0.3">
      <c r="A2076">
        <v>140</v>
      </c>
      <c r="B2076" t="s">
        <v>3524</v>
      </c>
      <c r="C2076" t="s">
        <v>1368</v>
      </c>
      <c r="D2076" s="2" t="s">
        <v>1369</v>
      </c>
      <c r="E2076" t="s">
        <v>1171</v>
      </c>
      <c r="F2076" t="s">
        <v>20</v>
      </c>
      <c r="G2076" t="s">
        <v>21</v>
      </c>
      <c r="H2076" t="s">
        <v>500</v>
      </c>
      <c r="I2076" t="s">
        <v>23</v>
      </c>
      <c r="J2076" t="s">
        <v>40</v>
      </c>
      <c r="K2076" s="2" t="s">
        <v>2693</v>
      </c>
      <c r="L2076" t="s">
        <v>26</v>
      </c>
      <c r="M2076">
        <v>222945</v>
      </c>
      <c r="N2076">
        <v>1</v>
      </c>
      <c r="O2076" s="3">
        <v>59950</v>
      </c>
      <c r="P2076" s="3">
        <v>17416</v>
      </c>
      <c r="Q2076" s="5">
        <f t="shared" si="96"/>
        <v>50378.151260504201</v>
      </c>
      <c r="R2076" s="5">
        <f t="shared" si="97"/>
        <v>17416</v>
      </c>
      <c r="S2076" s="5">
        <f t="shared" si="98"/>
        <v>32962.151260504201</v>
      </c>
    </row>
    <row r="2077" spans="1:19" hidden="1" x14ac:dyDescent="0.3">
      <c r="A2077">
        <v>140</v>
      </c>
      <c r="B2077" t="s">
        <v>3524</v>
      </c>
      <c r="C2077" t="s">
        <v>2674</v>
      </c>
      <c r="D2077" s="2" t="s">
        <v>2675</v>
      </c>
      <c r="E2077" t="s">
        <v>2143</v>
      </c>
      <c r="F2077" t="s">
        <v>20</v>
      </c>
      <c r="G2077" t="s">
        <v>338</v>
      </c>
      <c r="H2077">
        <v>23732</v>
      </c>
      <c r="I2077" t="s">
        <v>23</v>
      </c>
      <c r="J2077" t="s">
        <v>40</v>
      </c>
      <c r="K2077" s="2" t="s">
        <v>2693</v>
      </c>
      <c r="L2077" t="s">
        <v>26</v>
      </c>
      <c r="M2077">
        <v>222946</v>
      </c>
      <c r="N2077">
        <v>1</v>
      </c>
      <c r="O2077" s="3">
        <v>79950</v>
      </c>
      <c r="P2077" s="3">
        <v>26539</v>
      </c>
      <c r="Q2077" s="5">
        <f t="shared" si="96"/>
        <v>67184.873949579836</v>
      </c>
      <c r="R2077" s="5">
        <f t="shared" si="97"/>
        <v>26539</v>
      </c>
      <c r="S2077" s="5">
        <f t="shared" si="98"/>
        <v>40645.873949579836</v>
      </c>
    </row>
    <row r="2078" spans="1:19" hidden="1" x14ac:dyDescent="0.3">
      <c r="A2078">
        <v>140</v>
      </c>
      <c r="B2078" t="s">
        <v>3524</v>
      </c>
      <c r="C2078" t="s">
        <v>2674</v>
      </c>
      <c r="D2078" s="2" t="s">
        <v>2675</v>
      </c>
      <c r="E2078" t="s">
        <v>2143</v>
      </c>
      <c r="F2078" t="s">
        <v>20</v>
      </c>
      <c r="G2078" t="s">
        <v>338</v>
      </c>
      <c r="H2078">
        <v>23732</v>
      </c>
      <c r="I2078" t="s">
        <v>23</v>
      </c>
      <c r="J2078" t="s">
        <v>40</v>
      </c>
      <c r="K2078" s="2" t="s">
        <v>2693</v>
      </c>
      <c r="L2078" t="s">
        <v>26</v>
      </c>
      <c r="M2078">
        <v>222947</v>
      </c>
      <c r="N2078">
        <v>1</v>
      </c>
      <c r="O2078" s="3">
        <v>59990</v>
      </c>
      <c r="P2078" s="3">
        <v>26539</v>
      </c>
      <c r="Q2078" s="5">
        <f t="shared" si="96"/>
        <v>50411.764705882357</v>
      </c>
      <c r="R2078" s="5">
        <f t="shared" si="97"/>
        <v>26539</v>
      </c>
      <c r="S2078" s="5">
        <f t="shared" si="98"/>
        <v>23872.764705882357</v>
      </c>
    </row>
    <row r="2079" spans="1:19" hidden="1" x14ac:dyDescent="0.3">
      <c r="A2079">
        <v>140</v>
      </c>
      <c r="B2079" t="s">
        <v>3524</v>
      </c>
      <c r="C2079" t="s">
        <v>3475</v>
      </c>
      <c r="D2079" s="2" t="s">
        <v>3476</v>
      </c>
      <c r="E2079" t="s">
        <v>2952</v>
      </c>
      <c r="F2079" t="s">
        <v>20</v>
      </c>
      <c r="G2079" t="s">
        <v>21</v>
      </c>
      <c r="H2079" t="s">
        <v>2484</v>
      </c>
      <c r="I2079" t="s">
        <v>23</v>
      </c>
      <c r="J2079" t="s">
        <v>40</v>
      </c>
      <c r="K2079" s="2" t="s">
        <v>2693</v>
      </c>
      <c r="L2079" t="s">
        <v>26</v>
      </c>
      <c r="M2079">
        <v>222948</v>
      </c>
      <c r="N2079">
        <v>1</v>
      </c>
      <c r="O2079" s="3">
        <v>59950</v>
      </c>
      <c r="P2079" s="3">
        <v>18378</v>
      </c>
      <c r="Q2079" s="5">
        <f t="shared" si="96"/>
        <v>50378.151260504201</v>
      </c>
      <c r="R2079" s="5">
        <f t="shared" si="97"/>
        <v>18378</v>
      </c>
      <c r="S2079" s="5">
        <f t="shared" si="98"/>
        <v>32000.151260504201</v>
      </c>
    </row>
    <row r="2080" spans="1:19" hidden="1" x14ac:dyDescent="0.3">
      <c r="A2080">
        <v>140</v>
      </c>
      <c r="B2080" t="s">
        <v>3524</v>
      </c>
      <c r="C2080" t="s">
        <v>3791</v>
      </c>
      <c r="D2080" s="2" t="s">
        <v>3792</v>
      </c>
      <c r="E2080" t="s">
        <v>1453</v>
      </c>
      <c r="F2080" t="s">
        <v>20</v>
      </c>
      <c r="G2080" t="s">
        <v>338</v>
      </c>
      <c r="H2080">
        <v>22410</v>
      </c>
      <c r="I2080" t="s">
        <v>23</v>
      </c>
      <c r="J2080" t="s">
        <v>49</v>
      </c>
      <c r="K2080" s="2" t="s">
        <v>2693</v>
      </c>
      <c r="L2080" t="s">
        <v>26</v>
      </c>
      <c r="M2080">
        <v>222948</v>
      </c>
      <c r="N2080">
        <v>1</v>
      </c>
      <c r="O2080" s="3">
        <v>59450</v>
      </c>
      <c r="P2080" s="3">
        <v>20848</v>
      </c>
      <c r="Q2080" s="5">
        <f t="shared" si="96"/>
        <v>49957.983193277316</v>
      </c>
      <c r="R2080" s="5">
        <f t="shared" si="97"/>
        <v>20848</v>
      </c>
      <c r="S2080" s="5">
        <f t="shared" si="98"/>
        <v>29109.983193277316</v>
      </c>
    </row>
    <row r="2081" spans="1:19" hidden="1" x14ac:dyDescent="0.3">
      <c r="A2081">
        <v>140</v>
      </c>
      <c r="B2081" t="s">
        <v>3524</v>
      </c>
      <c r="C2081" t="s">
        <v>3793</v>
      </c>
      <c r="D2081" s="2" t="s">
        <v>3794</v>
      </c>
      <c r="E2081" t="s">
        <v>3795</v>
      </c>
      <c r="F2081" t="s">
        <v>20</v>
      </c>
      <c r="G2081" t="s">
        <v>338</v>
      </c>
      <c r="H2081">
        <v>25529</v>
      </c>
      <c r="I2081" t="s">
        <v>23</v>
      </c>
      <c r="J2081" t="s">
        <v>31</v>
      </c>
      <c r="K2081" s="2" t="s">
        <v>2693</v>
      </c>
      <c r="L2081" t="s">
        <v>26</v>
      </c>
      <c r="M2081">
        <v>222949</v>
      </c>
      <c r="N2081">
        <v>1</v>
      </c>
      <c r="O2081" s="3">
        <v>149950</v>
      </c>
      <c r="P2081" s="3">
        <v>50690</v>
      </c>
      <c r="Q2081" s="5">
        <f t="shared" si="96"/>
        <v>126008.40336134455</v>
      </c>
      <c r="R2081" s="5">
        <f t="shared" si="97"/>
        <v>50690</v>
      </c>
      <c r="S2081" s="5">
        <f t="shared" si="98"/>
        <v>75318.40336134455</v>
      </c>
    </row>
    <row r="2082" spans="1:19" hidden="1" x14ac:dyDescent="0.3">
      <c r="A2082">
        <v>140</v>
      </c>
      <c r="B2082" t="s">
        <v>3524</v>
      </c>
      <c r="C2082" t="s">
        <v>3796</v>
      </c>
      <c r="D2082" s="2" t="s">
        <v>3797</v>
      </c>
      <c r="E2082" t="s">
        <v>3195</v>
      </c>
      <c r="F2082" t="s">
        <v>20</v>
      </c>
      <c r="G2082" t="s">
        <v>338</v>
      </c>
      <c r="H2082">
        <v>25366</v>
      </c>
      <c r="I2082" t="s">
        <v>23</v>
      </c>
      <c r="J2082" t="s">
        <v>35</v>
      </c>
      <c r="K2082" s="2" t="s">
        <v>2693</v>
      </c>
      <c r="L2082" t="s">
        <v>26</v>
      </c>
      <c r="M2082">
        <v>222950</v>
      </c>
      <c r="N2082">
        <v>1</v>
      </c>
      <c r="O2082" s="3">
        <v>99950</v>
      </c>
      <c r="P2082" s="3">
        <v>33157</v>
      </c>
      <c r="Q2082" s="5">
        <f t="shared" si="96"/>
        <v>83991.596638655465</v>
      </c>
      <c r="R2082" s="5">
        <f t="shared" si="97"/>
        <v>33157</v>
      </c>
      <c r="S2082" s="5">
        <f t="shared" si="98"/>
        <v>50834.596638655465</v>
      </c>
    </row>
    <row r="2083" spans="1:19" hidden="1" x14ac:dyDescent="0.3">
      <c r="A2083">
        <v>140</v>
      </c>
      <c r="B2083" t="s">
        <v>3524</v>
      </c>
      <c r="C2083" t="s">
        <v>3798</v>
      </c>
      <c r="D2083" s="2" t="s">
        <v>3799</v>
      </c>
      <c r="E2083" t="s">
        <v>990</v>
      </c>
      <c r="F2083" t="s">
        <v>20</v>
      </c>
      <c r="G2083" t="s">
        <v>21</v>
      </c>
      <c r="H2083" t="s">
        <v>991</v>
      </c>
      <c r="I2083" t="s">
        <v>23</v>
      </c>
      <c r="J2083" t="s">
        <v>49</v>
      </c>
      <c r="K2083" s="2" t="s">
        <v>2693</v>
      </c>
      <c r="L2083" t="s">
        <v>26</v>
      </c>
      <c r="M2083">
        <v>222951</v>
      </c>
      <c r="N2083">
        <v>1</v>
      </c>
      <c r="O2083" s="3">
        <v>69950</v>
      </c>
      <c r="P2083" s="3">
        <v>22189</v>
      </c>
      <c r="Q2083" s="5">
        <f t="shared" si="96"/>
        <v>58781.512605042022</v>
      </c>
      <c r="R2083" s="5">
        <f t="shared" si="97"/>
        <v>22189</v>
      </c>
      <c r="S2083" s="5">
        <f t="shared" si="98"/>
        <v>36592.512605042022</v>
      </c>
    </row>
    <row r="2084" spans="1:19" hidden="1" x14ac:dyDescent="0.3">
      <c r="A2084">
        <v>140</v>
      </c>
      <c r="B2084" t="s">
        <v>3524</v>
      </c>
      <c r="C2084" t="s">
        <v>3800</v>
      </c>
      <c r="D2084" s="2" t="s">
        <v>3801</v>
      </c>
      <c r="E2084" t="s">
        <v>2292</v>
      </c>
      <c r="F2084" t="s">
        <v>20</v>
      </c>
      <c r="G2084" t="s">
        <v>338</v>
      </c>
      <c r="H2084">
        <v>23723</v>
      </c>
      <c r="I2084" t="s">
        <v>23</v>
      </c>
      <c r="J2084" t="s">
        <v>40</v>
      </c>
      <c r="K2084" s="2" t="s">
        <v>2693</v>
      </c>
      <c r="L2084" t="s">
        <v>26</v>
      </c>
      <c r="M2084">
        <v>222952</v>
      </c>
      <c r="N2084">
        <v>1</v>
      </c>
      <c r="O2084" s="3">
        <v>79990</v>
      </c>
      <c r="P2084" s="3">
        <v>35178</v>
      </c>
      <c r="Q2084" s="5">
        <f t="shared" si="96"/>
        <v>67218.487394957992</v>
      </c>
      <c r="R2084" s="5">
        <f t="shared" si="97"/>
        <v>35178</v>
      </c>
      <c r="S2084" s="5">
        <f t="shared" si="98"/>
        <v>32040.487394957992</v>
      </c>
    </row>
    <row r="2085" spans="1:19" hidden="1" x14ac:dyDescent="0.3">
      <c r="A2085">
        <v>140</v>
      </c>
      <c r="B2085" t="s">
        <v>3524</v>
      </c>
      <c r="C2085" t="s">
        <v>3802</v>
      </c>
      <c r="D2085" s="2" t="s">
        <v>3803</v>
      </c>
      <c r="E2085" t="s">
        <v>3804</v>
      </c>
      <c r="F2085" t="s">
        <v>20</v>
      </c>
      <c r="G2085" t="s">
        <v>338</v>
      </c>
      <c r="H2085">
        <v>24200</v>
      </c>
      <c r="I2085" t="s">
        <v>23</v>
      </c>
      <c r="J2085" t="s">
        <v>95</v>
      </c>
      <c r="K2085" s="2" t="s">
        <v>2693</v>
      </c>
      <c r="L2085" t="s">
        <v>26</v>
      </c>
      <c r="M2085">
        <v>222952</v>
      </c>
      <c r="N2085">
        <v>-1</v>
      </c>
      <c r="O2085" s="3">
        <v>-72200</v>
      </c>
      <c r="P2085" s="3">
        <v>26145</v>
      </c>
      <c r="Q2085" s="5">
        <f t="shared" si="96"/>
        <v>-60672.268907563026</v>
      </c>
      <c r="R2085" s="5">
        <f t="shared" si="97"/>
        <v>-26145</v>
      </c>
      <c r="S2085" s="5">
        <f t="shared" si="98"/>
        <v>-34527.268907563026</v>
      </c>
    </row>
    <row r="2086" spans="1:19" hidden="1" x14ac:dyDescent="0.3">
      <c r="A2086">
        <v>140</v>
      </c>
      <c r="B2086" t="s">
        <v>3524</v>
      </c>
      <c r="C2086" t="s">
        <v>2525</v>
      </c>
      <c r="D2086" s="2" t="s">
        <v>2526</v>
      </c>
      <c r="E2086" t="s">
        <v>2527</v>
      </c>
      <c r="F2086" t="s">
        <v>377</v>
      </c>
      <c r="G2086" t="s">
        <v>21</v>
      </c>
      <c r="H2086" t="s">
        <v>378</v>
      </c>
      <c r="I2086" t="s">
        <v>23</v>
      </c>
      <c r="J2086" t="s">
        <v>2459</v>
      </c>
      <c r="K2086" s="2" t="s">
        <v>2693</v>
      </c>
      <c r="L2086" t="s">
        <v>26</v>
      </c>
      <c r="M2086">
        <v>222953</v>
      </c>
      <c r="N2086">
        <v>2</v>
      </c>
      <c r="O2086" s="3">
        <v>13900</v>
      </c>
      <c r="P2086" s="3">
        <v>2964</v>
      </c>
      <c r="Q2086" s="5">
        <f t="shared" si="96"/>
        <v>11680.672268907563</v>
      </c>
      <c r="R2086" s="5">
        <f t="shared" si="97"/>
        <v>5928</v>
      </c>
      <c r="S2086" s="5">
        <f t="shared" si="98"/>
        <v>5752.6722689075632</v>
      </c>
    </row>
    <row r="2087" spans="1:19" hidden="1" x14ac:dyDescent="0.3">
      <c r="A2087">
        <v>140</v>
      </c>
      <c r="B2087" t="s">
        <v>3524</v>
      </c>
      <c r="C2087" t="s">
        <v>1734</v>
      </c>
      <c r="D2087" s="2" t="s">
        <v>1735</v>
      </c>
      <c r="E2087" t="s">
        <v>1736</v>
      </c>
      <c r="F2087" t="s">
        <v>20</v>
      </c>
      <c r="G2087" t="s">
        <v>21</v>
      </c>
      <c r="H2087" t="s">
        <v>783</v>
      </c>
      <c r="I2087" t="s">
        <v>23</v>
      </c>
      <c r="J2087" t="s">
        <v>40</v>
      </c>
      <c r="K2087" s="2" t="s">
        <v>2693</v>
      </c>
      <c r="L2087" t="s">
        <v>26</v>
      </c>
      <c r="M2087">
        <v>222954</v>
      </c>
      <c r="N2087">
        <v>1</v>
      </c>
      <c r="O2087" s="3">
        <v>34990</v>
      </c>
      <c r="P2087" s="3">
        <v>17194</v>
      </c>
      <c r="Q2087" s="5">
        <f t="shared" si="96"/>
        <v>29403.361344537818</v>
      </c>
      <c r="R2087" s="5">
        <f t="shared" si="97"/>
        <v>17194</v>
      </c>
      <c r="S2087" s="5">
        <f t="shared" si="98"/>
        <v>12209.361344537818</v>
      </c>
    </row>
    <row r="2088" spans="1:19" hidden="1" x14ac:dyDescent="0.3">
      <c r="A2088">
        <v>140</v>
      </c>
      <c r="B2088" t="s">
        <v>3524</v>
      </c>
      <c r="C2088" t="s">
        <v>2698</v>
      </c>
      <c r="D2088" s="2" t="s">
        <v>2699</v>
      </c>
      <c r="E2088" t="s">
        <v>1758</v>
      </c>
      <c r="F2088" t="s">
        <v>20</v>
      </c>
      <c r="G2088" t="s">
        <v>338</v>
      </c>
      <c r="H2088">
        <v>25133</v>
      </c>
      <c r="I2088" t="s">
        <v>23</v>
      </c>
      <c r="J2088" t="s">
        <v>35</v>
      </c>
      <c r="K2088" s="2" t="s">
        <v>2693</v>
      </c>
      <c r="L2088" t="s">
        <v>26</v>
      </c>
      <c r="M2088">
        <v>222955</v>
      </c>
      <c r="N2088">
        <v>1</v>
      </c>
      <c r="O2088" s="3">
        <v>74950</v>
      </c>
      <c r="P2088" s="3">
        <v>21167</v>
      </c>
      <c r="Q2088" s="5">
        <f t="shared" si="96"/>
        <v>62983.193277310929</v>
      </c>
      <c r="R2088" s="5">
        <f t="shared" si="97"/>
        <v>21167</v>
      </c>
      <c r="S2088" s="5">
        <f t="shared" si="98"/>
        <v>41816.193277310929</v>
      </c>
    </row>
    <row r="2089" spans="1:19" hidden="1" x14ac:dyDescent="0.3">
      <c r="A2089">
        <v>140</v>
      </c>
      <c r="B2089" t="s">
        <v>3524</v>
      </c>
      <c r="C2089" t="s">
        <v>3046</v>
      </c>
      <c r="D2089" s="2" t="s">
        <v>3047</v>
      </c>
      <c r="E2089" t="s">
        <v>3048</v>
      </c>
      <c r="F2089" t="s">
        <v>20</v>
      </c>
      <c r="G2089" t="s">
        <v>21</v>
      </c>
      <c r="H2089" t="s">
        <v>2484</v>
      </c>
      <c r="I2089" t="s">
        <v>23</v>
      </c>
      <c r="J2089" t="s">
        <v>40</v>
      </c>
      <c r="K2089" s="2" t="s">
        <v>2693</v>
      </c>
      <c r="L2089" t="s">
        <v>26</v>
      </c>
      <c r="M2089">
        <v>222956</v>
      </c>
      <c r="N2089">
        <v>1</v>
      </c>
      <c r="O2089" s="3">
        <v>59950</v>
      </c>
      <c r="P2089" s="3">
        <v>17503</v>
      </c>
      <c r="Q2089" s="5">
        <f t="shared" si="96"/>
        <v>50378.151260504201</v>
      </c>
      <c r="R2089" s="5">
        <f t="shared" si="97"/>
        <v>17503</v>
      </c>
      <c r="S2089" s="5">
        <f t="shared" si="98"/>
        <v>32875.151260504201</v>
      </c>
    </row>
    <row r="2090" spans="1:19" hidden="1" x14ac:dyDescent="0.3">
      <c r="A2090">
        <v>140</v>
      </c>
      <c r="B2090" t="s">
        <v>3524</v>
      </c>
      <c r="C2090" t="s">
        <v>3805</v>
      </c>
      <c r="D2090" s="2" t="s">
        <v>3806</v>
      </c>
      <c r="E2090" t="s">
        <v>3807</v>
      </c>
      <c r="F2090" t="s">
        <v>20</v>
      </c>
      <c r="G2090" t="s">
        <v>21</v>
      </c>
      <c r="H2090" t="s">
        <v>2782</v>
      </c>
      <c r="I2090" t="s">
        <v>23</v>
      </c>
      <c r="J2090" t="s">
        <v>40</v>
      </c>
      <c r="K2090" s="2" t="s">
        <v>2693</v>
      </c>
      <c r="L2090" t="s">
        <v>26</v>
      </c>
      <c r="M2090">
        <v>222956</v>
      </c>
      <c r="N2090">
        <v>1</v>
      </c>
      <c r="O2090" s="3">
        <v>59450</v>
      </c>
      <c r="P2090" s="3">
        <v>23697</v>
      </c>
      <c r="Q2090" s="5">
        <f t="shared" si="96"/>
        <v>49957.983193277316</v>
      </c>
      <c r="R2090" s="5">
        <f t="shared" si="97"/>
        <v>23697</v>
      </c>
      <c r="S2090" s="5">
        <f t="shared" si="98"/>
        <v>26260.983193277316</v>
      </c>
    </row>
    <row r="2091" spans="1:19" hidden="1" x14ac:dyDescent="0.3">
      <c r="A2091">
        <v>140</v>
      </c>
      <c r="B2091" t="s">
        <v>3524</v>
      </c>
      <c r="C2091" t="s">
        <v>2991</v>
      </c>
      <c r="D2091" s="2" t="s">
        <v>2992</v>
      </c>
      <c r="E2091" t="s">
        <v>2993</v>
      </c>
      <c r="F2091" t="s">
        <v>20</v>
      </c>
      <c r="G2091" t="s">
        <v>21</v>
      </c>
      <c r="H2091" t="s">
        <v>1887</v>
      </c>
      <c r="I2091" t="s">
        <v>23</v>
      </c>
      <c r="J2091" t="s">
        <v>40</v>
      </c>
      <c r="K2091" s="2" t="s">
        <v>2693</v>
      </c>
      <c r="L2091" t="s">
        <v>26</v>
      </c>
      <c r="M2091">
        <v>222957</v>
      </c>
      <c r="N2091">
        <v>1</v>
      </c>
      <c r="O2091" s="3">
        <v>59450</v>
      </c>
      <c r="P2091" s="3">
        <v>22018</v>
      </c>
      <c r="Q2091" s="5">
        <f t="shared" si="96"/>
        <v>49957.983193277316</v>
      </c>
      <c r="R2091" s="5">
        <f t="shared" si="97"/>
        <v>22018</v>
      </c>
      <c r="S2091" s="5">
        <f t="shared" si="98"/>
        <v>27939.983193277316</v>
      </c>
    </row>
    <row r="2092" spans="1:19" hidden="1" x14ac:dyDescent="0.3">
      <c r="A2092">
        <v>140</v>
      </c>
      <c r="B2092" t="s">
        <v>3524</v>
      </c>
      <c r="C2092" t="s">
        <v>3808</v>
      </c>
      <c r="D2092" s="2" t="s">
        <v>3809</v>
      </c>
      <c r="E2092" t="s">
        <v>3810</v>
      </c>
      <c r="F2092" t="s">
        <v>20</v>
      </c>
      <c r="G2092" t="s">
        <v>21</v>
      </c>
      <c r="H2092" t="s">
        <v>3811</v>
      </c>
      <c r="I2092" t="s">
        <v>23</v>
      </c>
      <c r="J2092" t="s">
        <v>40</v>
      </c>
      <c r="K2092" s="2" t="s">
        <v>2693</v>
      </c>
      <c r="L2092" t="s">
        <v>26</v>
      </c>
      <c r="M2092">
        <v>222957</v>
      </c>
      <c r="N2092">
        <v>1</v>
      </c>
      <c r="O2092" s="3">
        <v>49990</v>
      </c>
      <c r="P2092" s="3">
        <v>21722</v>
      </c>
      <c r="Q2092" s="5">
        <f t="shared" si="96"/>
        <v>42008.403361344543</v>
      </c>
      <c r="R2092" s="5">
        <f t="shared" si="97"/>
        <v>21722</v>
      </c>
      <c r="S2092" s="5">
        <f t="shared" si="98"/>
        <v>20286.403361344543</v>
      </c>
    </row>
    <row r="2093" spans="1:19" hidden="1" x14ac:dyDescent="0.3">
      <c r="A2093">
        <v>140</v>
      </c>
      <c r="B2093" t="s">
        <v>3524</v>
      </c>
      <c r="C2093" t="s">
        <v>3812</v>
      </c>
      <c r="D2093" s="2" t="s">
        <v>3813</v>
      </c>
      <c r="E2093" t="s">
        <v>3814</v>
      </c>
      <c r="F2093" t="s">
        <v>20</v>
      </c>
      <c r="G2093" t="s">
        <v>21</v>
      </c>
      <c r="H2093" t="s">
        <v>500</v>
      </c>
      <c r="I2093" t="s">
        <v>23</v>
      </c>
      <c r="J2093" t="s">
        <v>40</v>
      </c>
      <c r="K2093" s="2" t="s">
        <v>2693</v>
      </c>
      <c r="L2093" t="s">
        <v>26</v>
      </c>
      <c r="M2093">
        <v>222958</v>
      </c>
      <c r="N2093">
        <v>1</v>
      </c>
      <c r="O2093" s="3">
        <v>49990</v>
      </c>
      <c r="P2093" s="3">
        <v>20043</v>
      </c>
      <c r="Q2093" s="5">
        <f t="shared" si="96"/>
        <v>42008.403361344543</v>
      </c>
      <c r="R2093" s="5">
        <f t="shared" si="97"/>
        <v>20043</v>
      </c>
      <c r="S2093" s="5">
        <f t="shared" si="98"/>
        <v>21965.403361344543</v>
      </c>
    </row>
    <row r="2094" spans="1:19" hidden="1" x14ac:dyDescent="0.3">
      <c r="A2094">
        <v>140</v>
      </c>
      <c r="B2094" t="s">
        <v>3524</v>
      </c>
      <c r="C2094">
        <v>1687976791</v>
      </c>
      <c r="D2094" s="2" t="s">
        <v>200</v>
      </c>
      <c r="E2094" t="s">
        <v>201</v>
      </c>
      <c r="F2094" t="s">
        <v>201</v>
      </c>
      <c r="G2094" t="s">
        <v>202</v>
      </c>
      <c r="H2094" t="s">
        <v>202</v>
      </c>
      <c r="I2094" t="s">
        <v>23</v>
      </c>
      <c r="J2094" t="s">
        <v>202</v>
      </c>
      <c r="K2094" s="2" t="s">
        <v>2693</v>
      </c>
      <c r="L2094" t="s">
        <v>26</v>
      </c>
      <c r="M2094">
        <v>222958</v>
      </c>
      <c r="N2094">
        <v>1</v>
      </c>
      <c r="O2094" s="3">
        <v>2000</v>
      </c>
      <c r="P2094">
        <v>1</v>
      </c>
      <c r="Q2094" s="5">
        <f t="shared" si="96"/>
        <v>1680.6722689075632</v>
      </c>
      <c r="R2094" s="5">
        <f t="shared" si="97"/>
        <v>1</v>
      </c>
      <c r="S2094" s="5">
        <f t="shared" si="98"/>
        <v>1679.6722689075632</v>
      </c>
    </row>
    <row r="2095" spans="1:19" hidden="1" x14ac:dyDescent="0.3">
      <c r="A2095">
        <v>140</v>
      </c>
      <c r="B2095" t="s">
        <v>3524</v>
      </c>
      <c r="C2095" t="s">
        <v>3815</v>
      </c>
      <c r="D2095" s="2" t="s">
        <v>3816</v>
      </c>
      <c r="E2095" t="s">
        <v>2340</v>
      </c>
      <c r="F2095" t="s">
        <v>20</v>
      </c>
      <c r="G2095" t="s">
        <v>21</v>
      </c>
      <c r="H2095" t="s">
        <v>1914</v>
      </c>
      <c r="I2095" t="s">
        <v>23</v>
      </c>
      <c r="J2095" t="s">
        <v>35</v>
      </c>
      <c r="K2095" s="2" t="s">
        <v>2693</v>
      </c>
      <c r="L2095" t="s">
        <v>26</v>
      </c>
      <c r="M2095">
        <v>222959</v>
      </c>
      <c r="N2095">
        <v>1</v>
      </c>
      <c r="O2095" s="3">
        <v>89950</v>
      </c>
      <c r="P2095" s="3">
        <v>27630</v>
      </c>
      <c r="Q2095" s="5">
        <f t="shared" si="96"/>
        <v>75588.23529411765</v>
      </c>
      <c r="R2095" s="5">
        <f t="shared" si="97"/>
        <v>27630</v>
      </c>
      <c r="S2095" s="5">
        <f t="shared" si="98"/>
        <v>47958.23529411765</v>
      </c>
    </row>
    <row r="2096" spans="1:19" hidden="1" x14ac:dyDescent="0.3">
      <c r="A2096">
        <v>140</v>
      </c>
      <c r="B2096" t="s">
        <v>3524</v>
      </c>
      <c r="C2096" t="s">
        <v>3817</v>
      </c>
      <c r="D2096" s="2" t="s">
        <v>3818</v>
      </c>
      <c r="E2096" t="s">
        <v>2648</v>
      </c>
      <c r="F2096" t="s">
        <v>20</v>
      </c>
      <c r="G2096" t="s">
        <v>21</v>
      </c>
      <c r="H2096" t="s">
        <v>970</v>
      </c>
      <c r="I2096" t="s">
        <v>23</v>
      </c>
      <c r="J2096" t="s">
        <v>40</v>
      </c>
      <c r="K2096" s="2" t="s">
        <v>2693</v>
      </c>
      <c r="L2096" t="s">
        <v>26</v>
      </c>
      <c r="M2096">
        <v>222960</v>
      </c>
      <c r="N2096">
        <v>1</v>
      </c>
      <c r="O2096" s="3">
        <v>59950</v>
      </c>
      <c r="P2096" s="3">
        <v>18679</v>
      </c>
      <c r="Q2096" s="5">
        <f t="shared" si="96"/>
        <v>50378.151260504201</v>
      </c>
      <c r="R2096" s="5">
        <f t="shared" si="97"/>
        <v>18679</v>
      </c>
      <c r="S2096" s="5">
        <f t="shared" si="98"/>
        <v>31699.151260504201</v>
      </c>
    </row>
    <row r="2097" spans="1:19" hidden="1" x14ac:dyDescent="0.3">
      <c r="A2097">
        <v>140</v>
      </c>
      <c r="B2097" t="s">
        <v>3524</v>
      </c>
      <c r="C2097">
        <v>1687976791</v>
      </c>
      <c r="D2097" s="2" t="s">
        <v>200</v>
      </c>
      <c r="E2097" t="s">
        <v>201</v>
      </c>
      <c r="F2097" t="s">
        <v>201</v>
      </c>
      <c r="G2097" t="s">
        <v>202</v>
      </c>
      <c r="H2097" t="s">
        <v>202</v>
      </c>
      <c r="I2097" t="s">
        <v>23</v>
      </c>
      <c r="J2097" t="s">
        <v>202</v>
      </c>
      <c r="K2097" s="2" t="s">
        <v>2693</v>
      </c>
      <c r="L2097" t="s">
        <v>26</v>
      </c>
      <c r="M2097">
        <v>222960</v>
      </c>
      <c r="N2097">
        <v>1</v>
      </c>
      <c r="O2097" s="3">
        <v>2000</v>
      </c>
      <c r="P2097">
        <v>1</v>
      </c>
      <c r="Q2097" s="5">
        <f t="shared" si="96"/>
        <v>1680.6722689075632</v>
      </c>
      <c r="R2097" s="5">
        <f t="shared" si="97"/>
        <v>1</v>
      </c>
      <c r="S2097" s="5">
        <f t="shared" si="98"/>
        <v>1679.6722689075632</v>
      </c>
    </row>
    <row r="2098" spans="1:19" hidden="1" x14ac:dyDescent="0.3">
      <c r="A2098">
        <v>140</v>
      </c>
      <c r="B2098" t="s">
        <v>3524</v>
      </c>
      <c r="C2098">
        <v>1687976791</v>
      </c>
      <c r="D2098" s="2" t="s">
        <v>200</v>
      </c>
      <c r="E2098" t="s">
        <v>201</v>
      </c>
      <c r="F2098" t="s">
        <v>201</v>
      </c>
      <c r="G2098" t="s">
        <v>202</v>
      </c>
      <c r="H2098" t="s">
        <v>202</v>
      </c>
      <c r="I2098" t="s">
        <v>23</v>
      </c>
      <c r="J2098" t="s">
        <v>202</v>
      </c>
      <c r="K2098" s="2" t="s">
        <v>2693</v>
      </c>
      <c r="L2098" t="s">
        <v>26</v>
      </c>
      <c r="M2098">
        <v>222961</v>
      </c>
      <c r="N2098">
        <v>1</v>
      </c>
      <c r="O2098" s="3">
        <v>3200</v>
      </c>
      <c r="P2098">
        <v>1</v>
      </c>
      <c r="Q2098" s="5">
        <f t="shared" si="96"/>
        <v>2689.0756302521008</v>
      </c>
      <c r="R2098" s="5">
        <f t="shared" si="97"/>
        <v>1</v>
      </c>
      <c r="S2098" s="5">
        <f t="shared" si="98"/>
        <v>2688.0756302521008</v>
      </c>
    </row>
    <row r="2099" spans="1:19" hidden="1" x14ac:dyDescent="0.3">
      <c r="A2099">
        <v>140</v>
      </c>
      <c r="B2099" t="s">
        <v>3524</v>
      </c>
      <c r="C2099" t="s">
        <v>3819</v>
      </c>
      <c r="D2099" s="2" t="s">
        <v>3820</v>
      </c>
      <c r="E2099" t="s">
        <v>414</v>
      </c>
      <c r="F2099" t="s">
        <v>20</v>
      </c>
      <c r="G2099" t="s">
        <v>338</v>
      </c>
      <c r="H2099">
        <v>23731</v>
      </c>
      <c r="I2099" t="s">
        <v>23</v>
      </c>
      <c r="J2099" t="s">
        <v>40</v>
      </c>
      <c r="K2099" s="2" t="s">
        <v>2693</v>
      </c>
      <c r="L2099" t="s">
        <v>26</v>
      </c>
      <c r="M2099">
        <v>222961</v>
      </c>
      <c r="N2099">
        <v>1</v>
      </c>
      <c r="O2099" s="3">
        <v>69950</v>
      </c>
      <c r="P2099" s="3">
        <v>23473</v>
      </c>
      <c r="Q2099" s="5">
        <f t="shared" si="96"/>
        <v>58781.512605042022</v>
      </c>
      <c r="R2099" s="5">
        <f t="shared" si="97"/>
        <v>23473</v>
      </c>
      <c r="S2099" s="5">
        <f t="shared" si="98"/>
        <v>35308.512605042022</v>
      </c>
    </row>
    <row r="2100" spans="1:19" hidden="1" x14ac:dyDescent="0.3">
      <c r="A2100">
        <v>140</v>
      </c>
      <c r="B2100" t="s">
        <v>3524</v>
      </c>
      <c r="C2100" t="s">
        <v>2627</v>
      </c>
      <c r="D2100" s="2" t="s">
        <v>2628</v>
      </c>
      <c r="E2100" t="s">
        <v>2629</v>
      </c>
      <c r="F2100" t="s">
        <v>20</v>
      </c>
      <c r="G2100" t="s">
        <v>21</v>
      </c>
      <c r="H2100" t="s">
        <v>1987</v>
      </c>
      <c r="I2100" t="s">
        <v>23</v>
      </c>
      <c r="J2100" t="s">
        <v>49</v>
      </c>
      <c r="K2100" s="2" t="s">
        <v>2693</v>
      </c>
      <c r="L2100" t="s">
        <v>26</v>
      </c>
      <c r="M2100">
        <v>222962</v>
      </c>
      <c r="N2100">
        <v>1</v>
      </c>
      <c r="O2100" s="3">
        <v>74950</v>
      </c>
      <c r="P2100" s="3">
        <v>23391</v>
      </c>
      <c r="Q2100" s="5">
        <f t="shared" si="96"/>
        <v>62983.193277310929</v>
      </c>
      <c r="R2100" s="5">
        <f t="shared" si="97"/>
        <v>23391</v>
      </c>
      <c r="S2100" s="5">
        <f t="shared" si="98"/>
        <v>39592.193277310929</v>
      </c>
    </row>
    <row r="2101" spans="1:19" hidden="1" x14ac:dyDescent="0.3">
      <c r="A2101">
        <v>140</v>
      </c>
      <c r="B2101" t="s">
        <v>3524</v>
      </c>
      <c r="C2101" t="s">
        <v>3613</v>
      </c>
      <c r="D2101" s="2" t="s">
        <v>3614</v>
      </c>
      <c r="E2101" t="s">
        <v>2185</v>
      </c>
      <c r="F2101" t="s">
        <v>20</v>
      </c>
      <c r="G2101" t="s">
        <v>21</v>
      </c>
      <c r="H2101" t="s">
        <v>614</v>
      </c>
      <c r="I2101" t="s">
        <v>23</v>
      </c>
      <c r="J2101" t="s">
        <v>40</v>
      </c>
      <c r="K2101" s="2" t="s">
        <v>2693</v>
      </c>
      <c r="L2101" t="s">
        <v>26</v>
      </c>
      <c r="M2101">
        <v>222963</v>
      </c>
      <c r="N2101">
        <v>1</v>
      </c>
      <c r="O2101" s="3">
        <v>54950</v>
      </c>
      <c r="P2101" s="3">
        <v>17498</v>
      </c>
      <c r="Q2101" s="5">
        <f t="shared" si="96"/>
        <v>46176.470588235294</v>
      </c>
      <c r="R2101" s="5">
        <f t="shared" si="97"/>
        <v>17498</v>
      </c>
      <c r="S2101" s="5">
        <f t="shared" si="98"/>
        <v>28678.470588235294</v>
      </c>
    </row>
    <row r="2102" spans="1:19" hidden="1" x14ac:dyDescent="0.3">
      <c r="A2102">
        <v>140</v>
      </c>
      <c r="B2102" t="s">
        <v>3524</v>
      </c>
      <c r="C2102" t="s">
        <v>3821</v>
      </c>
      <c r="D2102" s="2" t="s">
        <v>3822</v>
      </c>
      <c r="E2102" t="s">
        <v>2323</v>
      </c>
      <c r="F2102" t="s">
        <v>20</v>
      </c>
      <c r="G2102" t="s">
        <v>21</v>
      </c>
      <c r="H2102" t="s">
        <v>1887</v>
      </c>
      <c r="I2102" t="s">
        <v>23</v>
      </c>
      <c r="J2102" t="s">
        <v>40</v>
      </c>
      <c r="K2102" s="2" t="s">
        <v>2693</v>
      </c>
      <c r="L2102" t="s">
        <v>26</v>
      </c>
      <c r="M2102">
        <v>222963</v>
      </c>
      <c r="N2102">
        <v>1</v>
      </c>
      <c r="O2102" s="3">
        <v>69950</v>
      </c>
      <c r="P2102" s="3">
        <v>21623</v>
      </c>
      <c r="Q2102" s="5">
        <f t="shared" si="96"/>
        <v>58781.512605042022</v>
      </c>
      <c r="R2102" s="5">
        <f t="shared" si="97"/>
        <v>21623</v>
      </c>
      <c r="S2102" s="5">
        <f t="shared" si="98"/>
        <v>37158.512605042022</v>
      </c>
    </row>
    <row r="2103" spans="1:19" hidden="1" x14ac:dyDescent="0.3">
      <c r="A2103">
        <v>140</v>
      </c>
      <c r="B2103" t="s">
        <v>3524</v>
      </c>
      <c r="C2103" t="s">
        <v>2336</v>
      </c>
      <c r="D2103" s="2" t="s">
        <v>2337</v>
      </c>
      <c r="E2103" t="s">
        <v>2002</v>
      </c>
      <c r="F2103" t="s">
        <v>20</v>
      </c>
      <c r="G2103" t="s">
        <v>338</v>
      </c>
      <c r="H2103">
        <v>25026</v>
      </c>
      <c r="I2103" t="s">
        <v>23</v>
      </c>
      <c r="J2103" t="s">
        <v>35</v>
      </c>
      <c r="K2103" s="2" t="s">
        <v>2693</v>
      </c>
      <c r="L2103" t="s">
        <v>26</v>
      </c>
      <c r="M2103">
        <v>222964</v>
      </c>
      <c r="N2103">
        <v>1</v>
      </c>
      <c r="O2103" s="3">
        <v>89950</v>
      </c>
      <c r="P2103" s="3">
        <v>28454</v>
      </c>
      <c r="Q2103" s="5">
        <f t="shared" si="96"/>
        <v>75588.23529411765</v>
      </c>
      <c r="R2103" s="5">
        <f t="shared" si="97"/>
        <v>28454</v>
      </c>
      <c r="S2103" s="5">
        <f t="shared" si="98"/>
        <v>47134.23529411765</v>
      </c>
    </row>
    <row r="2104" spans="1:19" hidden="1" x14ac:dyDescent="0.3">
      <c r="A2104">
        <v>140</v>
      </c>
      <c r="B2104" t="s">
        <v>3524</v>
      </c>
      <c r="C2104" t="s">
        <v>3789</v>
      </c>
      <c r="D2104" s="2" t="s">
        <v>3790</v>
      </c>
      <c r="E2104" t="s">
        <v>2787</v>
      </c>
      <c r="F2104" t="s">
        <v>20</v>
      </c>
      <c r="G2104" t="s">
        <v>21</v>
      </c>
      <c r="H2104" t="s">
        <v>1286</v>
      </c>
      <c r="I2104" t="s">
        <v>23</v>
      </c>
      <c r="J2104" t="s">
        <v>40</v>
      </c>
      <c r="K2104" s="2" t="s">
        <v>2693</v>
      </c>
      <c r="L2104" t="s">
        <v>26</v>
      </c>
      <c r="M2104">
        <v>222965</v>
      </c>
      <c r="N2104">
        <v>1</v>
      </c>
      <c r="O2104" s="3">
        <v>49990</v>
      </c>
      <c r="P2104" s="3">
        <v>24783</v>
      </c>
      <c r="Q2104" s="5">
        <f t="shared" si="96"/>
        <v>42008.403361344543</v>
      </c>
      <c r="R2104" s="5">
        <f t="shared" si="97"/>
        <v>24783</v>
      </c>
      <c r="S2104" s="5">
        <f t="shared" si="98"/>
        <v>17225.403361344543</v>
      </c>
    </row>
    <row r="2105" spans="1:19" hidden="1" x14ac:dyDescent="0.3">
      <c r="A2105">
        <v>140</v>
      </c>
      <c r="B2105" t="s">
        <v>3524</v>
      </c>
      <c r="C2105" t="s">
        <v>3823</v>
      </c>
      <c r="D2105" s="2" t="s">
        <v>3824</v>
      </c>
      <c r="E2105" t="s">
        <v>2473</v>
      </c>
      <c r="F2105" t="s">
        <v>20</v>
      </c>
      <c r="G2105" t="s">
        <v>21</v>
      </c>
      <c r="H2105" t="s">
        <v>114</v>
      </c>
      <c r="I2105" t="s">
        <v>23</v>
      </c>
      <c r="J2105" t="s">
        <v>49</v>
      </c>
      <c r="K2105" s="2" t="s">
        <v>2693</v>
      </c>
      <c r="L2105" t="s">
        <v>26</v>
      </c>
      <c r="M2105">
        <v>222966</v>
      </c>
      <c r="N2105">
        <v>1</v>
      </c>
      <c r="O2105" s="3">
        <v>49990</v>
      </c>
      <c r="P2105" s="3">
        <v>23514</v>
      </c>
      <c r="Q2105" s="5">
        <f t="shared" si="96"/>
        <v>42008.403361344543</v>
      </c>
      <c r="R2105" s="5">
        <f t="shared" si="97"/>
        <v>23514</v>
      </c>
      <c r="S2105" s="5">
        <f t="shared" si="98"/>
        <v>18494.403361344543</v>
      </c>
    </row>
    <row r="2106" spans="1:19" hidden="1" x14ac:dyDescent="0.3">
      <c r="A2106">
        <v>140</v>
      </c>
      <c r="B2106" t="s">
        <v>3524</v>
      </c>
      <c r="C2106" t="s">
        <v>3825</v>
      </c>
      <c r="D2106" s="2" t="s">
        <v>3826</v>
      </c>
      <c r="E2106" t="s">
        <v>3418</v>
      </c>
      <c r="F2106" t="s">
        <v>20</v>
      </c>
      <c r="G2106" t="s">
        <v>21</v>
      </c>
      <c r="H2106" t="s">
        <v>1418</v>
      </c>
      <c r="I2106" t="s">
        <v>23</v>
      </c>
      <c r="J2106" t="s">
        <v>35</v>
      </c>
      <c r="K2106" s="2" t="s">
        <v>2693</v>
      </c>
      <c r="L2106" t="s">
        <v>26</v>
      </c>
      <c r="M2106">
        <v>222967</v>
      </c>
      <c r="N2106">
        <v>1</v>
      </c>
      <c r="O2106" s="3">
        <v>80700</v>
      </c>
      <c r="P2106" s="3">
        <v>30749</v>
      </c>
      <c r="Q2106" s="5">
        <f t="shared" si="96"/>
        <v>67815.126050420178</v>
      </c>
      <c r="R2106" s="5">
        <f t="shared" si="97"/>
        <v>30749</v>
      </c>
      <c r="S2106" s="5">
        <f t="shared" si="98"/>
        <v>37066.126050420178</v>
      </c>
    </row>
    <row r="2107" spans="1:19" hidden="1" x14ac:dyDescent="0.3">
      <c r="A2107">
        <v>140</v>
      </c>
      <c r="B2107" t="s">
        <v>3524</v>
      </c>
      <c r="C2107" t="s">
        <v>3617</v>
      </c>
      <c r="D2107" s="2" t="s">
        <v>3618</v>
      </c>
      <c r="E2107" t="s">
        <v>3619</v>
      </c>
      <c r="F2107" t="s">
        <v>20</v>
      </c>
      <c r="G2107" t="s">
        <v>21</v>
      </c>
      <c r="H2107" t="s">
        <v>874</v>
      </c>
      <c r="I2107" t="s">
        <v>23</v>
      </c>
      <c r="J2107" t="s">
        <v>95</v>
      </c>
      <c r="K2107" s="2" t="s">
        <v>2693</v>
      </c>
      <c r="L2107" t="s">
        <v>26</v>
      </c>
      <c r="M2107">
        <v>222967</v>
      </c>
      <c r="N2107">
        <v>1</v>
      </c>
      <c r="O2107" s="3">
        <v>39990</v>
      </c>
      <c r="P2107" s="3">
        <v>21627</v>
      </c>
      <c r="Q2107" s="5">
        <f t="shared" si="96"/>
        <v>33605.042016806721</v>
      </c>
      <c r="R2107" s="5">
        <f t="shared" si="97"/>
        <v>21627</v>
      </c>
      <c r="S2107" s="5">
        <f t="shared" si="98"/>
        <v>11978.042016806721</v>
      </c>
    </row>
    <row r="2108" spans="1:19" hidden="1" x14ac:dyDescent="0.3">
      <c r="A2108">
        <v>140</v>
      </c>
      <c r="B2108" t="s">
        <v>3524</v>
      </c>
      <c r="C2108" t="s">
        <v>715</v>
      </c>
      <c r="D2108" s="2" t="s">
        <v>716</v>
      </c>
      <c r="E2108" t="s">
        <v>717</v>
      </c>
      <c r="F2108" t="s">
        <v>20</v>
      </c>
      <c r="G2108" t="s">
        <v>21</v>
      </c>
      <c r="H2108" t="s">
        <v>718</v>
      </c>
      <c r="I2108" t="s">
        <v>23</v>
      </c>
      <c r="J2108" t="s">
        <v>49</v>
      </c>
      <c r="K2108" s="2" t="s">
        <v>2693</v>
      </c>
      <c r="L2108" t="s">
        <v>26</v>
      </c>
      <c r="M2108">
        <v>222968</v>
      </c>
      <c r="N2108">
        <v>1</v>
      </c>
      <c r="O2108" s="3">
        <v>39990</v>
      </c>
      <c r="P2108" s="3">
        <v>26649</v>
      </c>
      <c r="Q2108" s="5">
        <f t="shared" si="96"/>
        <v>33605.042016806721</v>
      </c>
      <c r="R2108" s="5">
        <f t="shared" si="97"/>
        <v>26649</v>
      </c>
      <c r="S2108" s="5">
        <f t="shared" si="98"/>
        <v>6956.0420168067212</v>
      </c>
    </row>
    <row r="2109" spans="1:19" hidden="1" x14ac:dyDescent="0.3">
      <c r="A2109">
        <v>140</v>
      </c>
      <c r="B2109" t="s">
        <v>3524</v>
      </c>
      <c r="C2109" t="s">
        <v>2955</v>
      </c>
      <c r="D2109" s="2" t="s">
        <v>2956</v>
      </c>
      <c r="E2109" t="s">
        <v>1758</v>
      </c>
      <c r="F2109" t="s">
        <v>20</v>
      </c>
      <c r="G2109" t="s">
        <v>338</v>
      </c>
      <c r="H2109">
        <v>25133</v>
      </c>
      <c r="I2109" t="s">
        <v>23</v>
      </c>
      <c r="J2109" t="s">
        <v>35</v>
      </c>
      <c r="K2109" s="2" t="s">
        <v>2693</v>
      </c>
      <c r="L2109" t="s">
        <v>26</v>
      </c>
      <c r="M2109">
        <v>222969</v>
      </c>
      <c r="N2109">
        <v>1</v>
      </c>
      <c r="O2109" s="3">
        <v>74950</v>
      </c>
      <c r="P2109" s="3">
        <v>21167</v>
      </c>
      <c r="Q2109" s="5">
        <f t="shared" si="96"/>
        <v>62983.193277310929</v>
      </c>
      <c r="R2109" s="5">
        <f t="shared" si="97"/>
        <v>21167</v>
      </c>
      <c r="S2109" s="5">
        <f t="shared" si="98"/>
        <v>41816.193277310929</v>
      </c>
    </row>
    <row r="2110" spans="1:19" hidden="1" x14ac:dyDescent="0.3">
      <c r="A2110">
        <v>140</v>
      </c>
      <c r="B2110" t="s">
        <v>3524</v>
      </c>
      <c r="C2110" t="s">
        <v>3023</v>
      </c>
      <c r="D2110" s="2" t="s">
        <v>3024</v>
      </c>
      <c r="E2110" t="s">
        <v>938</v>
      </c>
      <c r="F2110" t="s">
        <v>20</v>
      </c>
      <c r="G2110" t="s">
        <v>21</v>
      </c>
      <c r="H2110" t="s">
        <v>317</v>
      </c>
      <c r="I2110" t="s">
        <v>23</v>
      </c>
      <c r="J2110" t="s">
        <v>35</v>
      </c>
      <c r="K2110" s="2" t="s">
        <v>2693</v>
      </c>
      <c r="L2110" t="s">
        <v>26</v>
      </c>
      <c r="M2110">
        <v>222970</v>
      </c>
      <c r="N2110">
        <v>1</v>
      </c>
      <c r="O2110" s="3">
        <v>69950</v>
      </c>
      <c r="P2110" s="3">
        <v>26455</v>
      </c>
      <c r="Q2110" s="5">
        <f t="shared" si="96"/>
        <v>58781.512605042022</v>
      </c>
      <c r="R2110" s="5">
        <f t="shared" si="97"/>
        <v>26455</v>
      </c>
      <c r="S2110" s="5">
        <f t="shared" si="98"/>
        <v>32326.512605042022</v>
      </c>
    </row>
    <row r="2111" spans="1:19" hidden="1" x14ac:dyDescent="0.3">
      <c r="A2111">
        <v>140</v>
      </c>
      <c r="B2111" t="s">
        <v>3524</v>
      </c>
      <c r="C2111" t="s">
        <v>3827</v>
      </c>
      <c r="D2111" s="2" t="s">
        <v>3828</v>
      </c>
      <c r="E2111" t="s">
        <v>3051</v>
      </c>
      <c r="F2111" t="s">
        <v>20</v>
      </c>
      <c r="G2111" t="s">
        <v>21</v>
      </c>
      <c r="H2111" t="s">
        <v>1440</v>
      </c>
      <c r="I2111" t="s">
        <v>23</v>
      </c>
      <c r="J2111" t="s">
        <v>40</v>
      </c>
      <c r="K2111" s="2" t="s">
        <v>2693</v>
      </c>
      <c r="L2111" t="s">
        <v>26</v>
      </c>
      <c r="M2111">
        <v>222971</v>
      </c>
      <c r="N2111">
        <v>1</v>
      </c>
      <c r="O2111" s="3">
        <v>64950</v>
      </c>
      <c r="P2111" s="3">
        <v>17328</v>
      </c>
      <c r="Q2111" s="5">
        <f t="shared" si="96"/>
        <v>54579.831932773115</v>
      </c>
      <c r="R2111" s="5">
        <f t="shared" si="97"/>
        <v>17328</v>
      </c>
      <c r="S2111" s="5">
        <f t="shared" si="98"/>
        <v>37251.831932773115</v>
      </c>
    </row>
    <row r="2112" spans="1:19" hidden="1" x14ac:dyDescent="0.3">
      <c r="A2112">
        <v>140</v>
      </c>
      <c r="B2112" t="s">
        <v>3524</v>
      </c>
      <c r="C2112" t="s">
        <v>3829</v>
      </c>
      <c r="D2112" s="2" t="s">
        <v>3830</v>
      </c>
      <c r="E2112" t="s">
        <v>2163</v>
      </c>
      <c r="F2112" t="s">
        <v>20</v>
      </c>
      <c r="G2112" t="s">
        <v>21</v>
      </c>
      <c r="H2112" t="s">
        <v>970</v>
      </c>
      <c r="I2112" t="s">
        <v>23</v>
      </c>
      <c r="J2112" t="s">
        <v>40</v>
      </c>
      <c r="K2112" s="2" t="s">
        <v>2693</v>
      </c>
      <c r="L2112" t="s">
        <v>26</v>
      </c>
      <c r="M2112">
        <v>222972</v>
      </c>
      <c r="N2112">
        <v>1</v>
      </c>
      <c r="O2112" s="3">
        <v>59950</v>
      </c>
      <c r="P2112" s="3">
        <v>19352</v>
      </c>
      <c r="Q2112" s="5">
        <f t="shared" si="96"/>
        <v>50378.151260504201</v>
      </c>
      <c r="R2112" s="5">
        <f t="shared" si="97"/>
        <v>19352</v>
      </c>
      <c r="S2112" s="5">
        <f t="shared" si="98"/>
        <v>31026.151260504201</v>
      </c>
    </row>
    <row r="2113" spans="1:19" hidden="1" x14ac:dyDescent="0.3">
      <c r="A2113">
        <v>140</v>
      </c>
      <c r="B2113" t="s">
        <v>3524</v>
      </c>
      <c r="C2113" t="s">
        <v>3507</v>
      </c>
      <c r="D2113" s="2" t="s">
        <v>3508</v>
      </c>
      <c r="E2113" t="s">
        <v>2323</v>
      </c>
      <c r="F2113" t="s">
        <v>20</v>
      </c>
      <c r="G2113" t="s">
        <v>21</v>
      </c>
      <c r="H2113" t="s">
        <v>1887</v>
      </c>
      <c r="I2113" t="s">
        <v>23</v>
      </c>
      <c r="J2113" t="s">
        <v>40</v>
      </c>
      <c r="K2113" s="2" t="s">
        <v>2693</v>
      </c>
      <c r="L2113" t="s">
        <v>26</v>
      </c>
      <c r="M2113">
        <v>222973</v>
      </c>
      <c r="N2113">
        <v>1</v>
      </c>
      <c r="O2113" s="3">
        <v>69950</v>
      </c>
      <c r="P2113" s="3">
        <v>21623</v>
      </c>
      <c r="Q2113" s="5">
        <f t="shared" si="96"/>
        <v>58781.512605042022</v>
      </c>
      <c r="R2113" s="5">
        <f t="shared" si="97"/>
        <v>21623</v>
      </c>
      <c r="S2113" s="5">
        <f t="shared" si="98"/>
        <v>37158.512605042022</v>
      </c>
    </row>
    <row r="2114" spans="1:19" hidden="1" x14ac:dyDescent="0.3">
      <c r="A2114">
        <v>140</v>
      </c>
      <c r="B2114" t="s">
        <v>3524</v>
      </c>
      <c r="C2114" t="s">
        <v>3831</v>
      </c>
      <c r="D2114" s="2" t="s">
        <v>3832</v>
      </c>
      <c r="E2114" t="s">
        <v>842</v>
      </c>
      <c r="F2114" t="s">
        <v>20</v>
      </c>
      <c r="G2114" t="s">
        <v>21</v>
      </c>
      <c r="H2114" t="s">
        <v>99</v>
      </c>
      <c r="I2114" t="s">
        <v>23</v>
      </c>
      <c r="J2114" t="s">
        <v>40</v>
      </c>
      <c r="K2114" s="2" t="s">
        <v>2693</v>
      </c>
      <c r="L2114" t="s">
        <v>26</v>
      </c>
      <c r="M2114">
        <v>222974</v>
      </c>
      <c r="N2114">
        <v>1</v>
      </c>
      <c r="O2114" s="3">
        <v>39990</v>
      </c>
      <c r="P2114" s="3">
        <v>24465</v>
      </c>
      <c r="Q2114" s="5">
        <f t="shared" si="96"/>
        <v>33605.042016806721</v>
      </c>
      <c r="R2114" s="5">
        <f t="shared" si="97"/>
        <v>24465</v>
      </c>
      <c r="S2114" s="5">
        <f t="shared" si="98"/>
        <v>9140.0420168067212</v>
      </c>
    </row>
    <row r="2115" spans="1:19" hidden="1" x14ac:dyDescent="0.3">
      <c r="A2115">
        <v>140</v>
      </c>
      <c r="B2115" t="s">
        <v>3524</v>
      </c>
      <c r="C2115" t="s">
        <v>3833</v>
      </c>
      <c r="D2115" s="2" t="s">
        <v>3834</v>
      </c>
      <c r="E2115" t="s">
        <v>1632</v>
      </c>
      <c r="F2115" t="s">
        <v>20</v>
      </c>
      <c r="G2115" t="s">
        <v>21</v>
      </c>
      <c r="H2115" t="s">
        <v>1124</v>
      </c>
      <c r="I2115" t="s">
        <v>23</v>
      </c>
      <c r="J2115" t="s">
        <v>35</v>
      </c>
      <c r="K2115" s="2" t="s">
        <v>2751</v>
      </c>
      <c r="L2115" t="s">
        <v>26</v>
      </c>
      <c r="M2115">
        <v>222975</v>
      </c>
      <c r="N2115">
        <v>1</v>
      </c>
      <c r="O2115" s="3">
        <v>63700</v>
      </c>
      <c r="P2115" s="3">
        <v>28520</v>
      </c>
      <c r="Q2115" s="5">
        <f t="shared" si="96"/>
        <v>53529.411764705888</v>
      </c>
      <c r="R2115" s="5">
        <f t="shared" si="97"/>
        <v>28520</v>
      </c>
      <c r="S2115" s="5">
        <f t="shared" si="98"/>
        <v>25009.411764705888</v>
      </c>
    </row>
    <row r="2116" spans="1:19" hidden="1" x14ac:dyDescent="0.3">
      <c r="A2116">
        <v>140</v>
      </c>
      <c r="B2116" t="s">
        <v>3524</v>
      </c>
      <c r="C2116" t="s">
        <v>3835</v>
      </c>
      <c r="D2116" s="2" t="s">
        <v>3836</v>
      </c>
      <c r="E2116" t="s">
        <v>3837</v>
      </c>
      <c r="F2116" t="s">
        <v>20</v>
      </c>
      <c r="G2116" t="s">
        <v>21</v>
      </c>
      <c r="H2116" t="s">
        <v>1457</v>
      </c>
      <c r="I2116" t="s">
        <v>23</v>
      </c>
      <c r="J2116" t="s">
        <v>40</v>
      </c>
      <c r="K2116" s="2" t="s">
        <v>2751</v>
      </c>
      <c r="L2116" t="s">
        <v>26</v>
      </c>
      <c r="M2116">
        <v>222975</v>
      </c>
      <c r="N2116">
        <v>1</v>
      </c>
      <c r="O2116" s="3">
        <v>64950</v>
      </c>
      <c r="P2116" s="3">
        <v>18239</v>
      </c>
      <c r="Q2116" s="5">
        <f t="shared" si="96"/>
        <v>54579.831932773115</v>
      </c>
      <c r="R2116" s="5">
        <f t="shared" si="97"/>
        <v>18239</v>
      </c>
      <c r="S2116" s="5">
        <f t="shared" si="98"/>
        <v>36340.831932773115</v>
      </c>
    </row>
    <row r="2117" spans="1:19" hidden="1" x14ac:dyDescent="0.3">
      <c r="A2117">
        <v>140</v>
      </c>
      <c r="B2117" t="s">
        <v>3524</v>
      </c>
      <c r="C2117" t="s">
        <v>3838</v>
      </c>
      <c r="D2117" s="2" t="s">
        <v>3839</v>
      </c>
      <c r="E2117" t="s">
        <v>3229</v>
      </c>
      <c r="F2117" t="s">
        <v>20</v>
      </c>
      <c r="G2117" t="s">
        <v>338</v>
      </c>
      <c r="H2117">
        <v>22419</v>
      </c>
      <c r="I2117" t="s">
        <v>23</v>
      </c>
      <c r="J2117" t="s">
        <v>49</v>
      </c>
      <c r="K2117" s="2" t="s">
        <v>2751</v>
      </c>
      <c r="L2117" t="s">
        <v>26</v>
      </c>
      <c r="M2117">
        <v>222976</v>
      </c>
      <c r="N2117">
        <v>1</v>
      </c>
      <c r="O2117" s="3">
        <v>64950</v>
      </c>
      <c r="P2117" s="3">
        <v>16987</v>
      </c>
      <c r="Q2117" s="5">
        <f t="shared" si="96"/>
        <v>54579.831932773115</v>
      </c>
      <c r="R2117" s="5">
        <f t="shared" si="97"/>
        <v>16987</v>
      </c>
      <c r="S2117" s="5">
        <f t="shared" si="98"/>
        <v>37592.831932773115</v>
      </c>
    </row>
    <row r="2118" spans="1:19" hidden="1" x14ac:dyDescent="0.3">
      <c r="A2118">
        <v>140</v>
      </c>
      <c r="B2118" t="s">
        <v>3524</v>
      </c>
      <c r="C2118" t="s">
        <v>3840</v>
      </c>
      <c r="D2118" s="2" t="s">
        <v>3841</v>
      </c>
      <c r="E2118" t="s">
        <v>2810</v>
      </c>
      <c r="F2118" t="s">
        <v>20</v>
      </c>
      <c r="G2118" t="s">
        <v>21</v>
      </c>
      <c r="H2118" t="s">
        <v>1987</v>
      </c>
      <c r="I2118" t="s">
        <v>23</v>
      </c>
      <c r="J2118" t="s">
        <v>35</v>
      </c>
      <c r="K2118" s="2" t="s">
        <v>2751</v>
      </c>
      <c r="L2118" t="s">
        <v>26</v>
      </c>
      <c r="M2118">
        <v>222977</v>
      </c>
      <c r="N2118">
        <v>1</v>
      </c>
      <c r="O2118" s="3">
        <v>89950</v>
      </c>
      <c r="P2118" s="3">
        <v>29858</v>
      </c>
      <c r="Q2118" s="5">
        <f t="shared" ref="Q2118:Q2181" si="99">O2118/1.19</f>
        <v>75588.23529411765</v>
      </c>
      <c r="R2118" s="5">
        <f t="shared" ref="R2118:R2181" si="100">N2118*P2118</f>
        <v>29858</v>
      </c>
      <c r="S2118" s="5">
        <f t="shared" ref="S2118:S2181" si="101">Q2118-R2118</f>
        <v>45730.23529411765</v>
      </c>
    </row>
    <row r="2119" spans="1:19" hidden="1" x14ac:dyDescent="0.3">
      <c r="A2119">
        <v>140</v>
      </c>
      <c r="B2119" t="s">
        <v>3524</v>
      </c>
      <c r="C2119" t="s">
        <v>3842</v>
      </c>
      <c r="D2119" s="2" t="s">
        <v>3843</v>
      </c>
      <c r="E2119" t="s">
        <v>2606</v>
      </c>
      <c r="F2119" t="s">
        <v>20</v>
      </c>
      <c r="G2119" t="s">
        <v>21</v>
      </c>
      <c r="H2119" t="s">
        <v>970</v>
      </c>
      <c r="I2119" t="s">
        <v>23</v>
      </c>
      <c r="J2119" t="s">
        <v>40</v>
      </c>
      <c r="K2119" s="2" t="s">
        <v>2751</v>
      </c>
      <c r="L2119" t="s">
        <v>26</v>
      </c>
      <c r="M2119">
        <v>222978</v>
      </c>
      <c r="N2119">
        <v>1</v>
      </c>
      <c r="O2119" s="3">
        <v>49990</v>
      </c>
      <c r="P2119" s="3">
        <v>18897</v>
      </c>
      <c r="Q2119" s="5">
        <f t="shared" si="99"/>
        <v>42008.403361344543</v>
      </c>
      <c r="R2119" s="5">
        <f t="shared" si="100"/>
        <v>18897</v>
      </c>
      <c r="S2119" s="5">
        <f t="shared" si="101"/>
        <v>23111.403361344543</v>
      </c>
    </row>
    <row r="2120" spans="1:19" hidden="1" x14ac:dyDescent="0.3">
      <c r="A2120">
        <v>140</v>
      </c>
      <c r="B2120" t="s">
        <v>3524</v>
      </c>
      <c r="C2120">
        <v>1687976791</v>
      </c>
      <c r="D2120" s="2" t="s">
        <v>200</v>
      </c>
      <c r="E2120" t="s">
        <v>201</v>
      </c>
      <c r="F2120" t="s">
        <v>201</v>
      </c>
      <c r="G2120" t="s">
        <v>202</v>
      </c>
      <c r="H2120" t="s">
        <v>202</v>
      </c>
      <c r="I2120" t="s">
        <v>23</v>
      </c>
      <c r="J2120" t="s">
        <v>202</v>
      </c>
      <c r="K2120" s="2" t="s">
        <v>2751</v>
      </c>
      <c r="L2120" t="s">
        <v>26</v>
      </c>
      <c r="M2120">
        <v>222978</v>
      </c>
      <c r="N2120">
        <v>1</v>
      </c>
      <c r="O2120">
        <v>1</v>
      </c>
      <c r="P2120">
        <v>1</v>
      </c>
      <c r="Q2120" s="5">
        <f t="shared" si="99"/>
        <v>0.84033613445378152</v>
      </c>
      <c r="R2120" s="5">
        <f t="shared" si="100"/>
        <v>1</v>
      </c>
      <c r="S2120" s="5">
        <f t="shared" si="101"/>
        <v>-0.15966386554621848</v>
      </c>
    </row>
    <row r="2121" spans="1:19" hidden="1" x14ac:dyDescent="0.3">
      <c r="A2121">
        <v>140</v>
      </c>
      <c r="B2121" t="s">
        <v>3524</v>
      </c>
      <c r="C2121" t="s">
        <v>903</v>
      </c>
      <c r="D2121" s="2" t="s">
        <v>904</v>
      </c>
      <c r="E2121" t="s">
        <v>905</v>
      </c>
      <c r="F2121" t="s">
        <v>20</v>
      </c>
      <c r="G2121" t="s">
        <v>21</v>
      </c>
      <c r="H2121" t="s">
        <v>224</v>
      </c>
      <c r="I2121" t="s">
        <v>23</v>
      </c>
      <c r="J2121" t="s">
        <v>49</v>
      </c>
      <c r="K2121" s="2" t="s">
        <v>2751</v>
      </c>
      <c r="L2121" t="s">
        <v>26</v>
      </c>
      <c r="M2121">
        <v>222979</v>
      </c>
      <c r="N2121">
        <v>1</v>
      </c>
      <c r="O2121" s="3">
        <v>44990</v>
      </c>
      <c r="P2121" s="3">
        <v>27356</v>
      </c>
      <c r="Q2121" s="5">
        <f t="shared" si="99"/>
        <v>37806.722689075636</v>
      </c>
      <c r="R2121" s="5">
        <f t="shared" si="100"/>
        <v>27356</v>
      </c>
      <c r="S2121" s="5">
        <f t="shared" si="101"/>
        <v>10450.722689075636</v>
      </c>
    </row>
    <row r="2122" spans="1:19" hidden="1" x14ac:dyDescent="0.3">
      <c r="A2122">
        <v>140</v>
      </c>
      <c r="B2122" t="s">
        <v>3524</v>
      </c>
      <c r="C2122" t="s">
        <v>3844</v>
      </c>
      <c r="D2122" s="2" t="s">
        <v>3845</v>
      </c>
      <c r="E2122" t="s">
        <v>3846</v>
      </c>
      <c r="F2122" t="s">
        <v>20</v>
      </c>
      <c r="G2122" t="s">
        <v>21</v>
      </c>
      <c r="H2122" t="s">
        <v>722</v>
      </c>
      <c r="I2122" t="s">
        <v>23</v>
      </c>
      <c r="J2122" t="s">
        <v>207</v>
      </c>
      <c r="K2122" s="2" t="s">
        <v>2751</v>
      </c>
      <c r="L2122" t="s">
        <v>26</v>
      </c>
      <c r="M2122">
        <v>222980</v>
      </c>
      <c r="N2122">
        <v>1</v>
      </c>
      <c r="O2122" s="3">
        <v>34990</v>
      </c>
      <c r="P2122" s="3">
        <v>15690</v>
      </c>
      <c r="Q2122" s="5">
        <f t="shared" si="99"/>
        <v>29403.361344537818</v>
      </c>
      <c r="R2122" s="5">
        <f t="shared" si="100"/>
        <v>15690</v>
      </c>
      <c r="S2122" s="5">
        <f t="shared" si="101"/>
        <v>13713.361344537818</v>
      </c>
    </row>
    <row r="2123" spans="1:19" hidden="1" x14ac:dyDescent="0.3">
      <c r="A2123">
        <v>140</v>
      </c>
      <c r="B2123" t="s">
        <v>3524</v>
      </c>
      <c r="C2123">
        <v>1687976791</v>
      </c>
      <c r="D2123" s="2" t="s">
        <v>200</v>
      </c>
      <c r="E2123" t="s">
        <v>201</v>
      </c>
      <c r="F2123" t="s">
        <v>201</v>
      </c>
      <c r="G2123" t="s">
        <v>202</v>
      </c>
      <c r="H2123" t="s">
        <v>202</v>
      </c>
      <c r="I2123" t="s">
        <v>23</v>
      </c>
      <c r="J2123" t="s">
        <v>202</v>
      </c>
      <c r="K2123" s="2" t="s">
        <v>2751</v>
      </c>
      <c r="L2123" t="s">
        <v>26</v>
      </c>
      <c r="M2123">
        <v>222980</v>
      </c>
      <c r="N2123">
        <v>1</v>
      </c>
      <c r="O2123">
        <v>1</v>
      </c>
      <c r="P2123">
        <v>1</v>
      </c>
      <c r="Q2123" s="5">
        <f t="shared" si="99"/>
        <v>0.84033613445378152</v>
      </c>
      <c r="R2123" s="5">
        <f t="shared" si="100"/>
        <v>1</v>
      </c>
      <c r="S2123" s="5">
        <f t="shared" si="101"/>
        <v>-0.15966386554621848</v>
      </c>
    </row>
    <row r="2124" spans="1:19" hidden="1" x14ac:dyDescent="0.3">
      <c r="A2124">
        <v>140</v>
      </c>
      <c r="B2124" t="s">
        <v>3524</v>
      </c>
      <c r="C2124" t="s">
        <v>3847</v>
      </c>
      <c r="D2124" s="2" t="s">
        <v>3848</v>
      </c>
      <c r="E2124" t="s">
        <v>3849</v>
      </c>
      <c r="F2124" t="s">
        <v>20</v>
      </c>
      <c r="G2124" t="s">
        <v>21</v>
      </c>
      <c r="H2124" t="s">
        <v>2364</v>
      </c>
      <c r="I2124" t="s">
        <v>23</v>
      </c>
      <c r="J2124" t="s">
        <v>40</v>
      </c>
      <c r="K2124" s="2" t="s">
        <v>2751</v>
      </c>
      <c r="L2124" t="s">
        <v>26</v>
      </c>
      <c r="M2124">
        <v>222981</v>
      </c>
      <c r="N2124">
        <v>1</v>
      </c>
      <c r="O2124" s="3">
        <v>39990</v>
      </c>
      <c r="P2124" s="3">
        <v>30471</v>
      </c>
      <c r="Q2124" s="5">
        <f t="shared" si="99"/>
        <v>33605.042016806721</v>
      </c>
      <c r="R2124" s="5">
        <f t="shared" si="100"/>
        <v>30471</v>
      </c>
      <c r="S2124" s="5">
        <f t="shared" si="101"/>
        <v>3134.0420168067212</v>
      </c>
    </row>
    <row r="2125" spans="1:19" hidden="1" x14ac:dyDescent="0.3">
      <c r="A2125">
        <v>140</v>
      </c>
      <c r="B2125" t="s">
        <v>3524</v>
      </c>
      <c r="C2125" t="s">
        <v>3850</v>
      </c>
      <c r="D2125" s="2" t="s">
        <v>3851</v>
      </c>
      <c r="E2125" t="s">
        <v>3600</v>
      </c>
      <c r="F2125" t="s">
        <v>20</v>
      </c>
      <c r="G2125" t="s">
        <v>21</v>
      </c>
      <c r="H2125" t="s">
        <v>114</v>
      </c>
      <c r="I2125" t="s">
        <v>23</v>
      </c>
      <c r="J2125" t="s">
        <v>49</v>
      </c>
      <c r="K2125" s="2" t="s">
        <v>2751</v>
      </c>
      <c r="L2125" t="s">
        <v>26</v>
      </c>
      <c r="M2125">
        <v>222982</v>
      </c>
      <c r="N2125">
        <v>1</v>
      </c>
      <c r="O2125" s="3">
        <v>69950</v>
      </c>
      <c r="P2125" s="3">
        <v>24683</v>
      </c>
      <c r="Q2125" s="5">
        <f t="shared" si="99"/>
        <v>58781.512605042022</v>
      </c>
      <c r="R2125" s="5">
        <f t="shared" si="100"/>
        <v>24683</v>
      </c>
      <c r="S2125" s="5">
        <f t="shared" si="101"/>
        <v>34098.512605042022</v>
      </c>
    </row>
    <row r="2126" spans="1:19" hidden="1" x14ac:dyDescent="0.3">
      <c r="A2126">
        <v>140</v>
      </c>
      <c r="B2126" t="s">
        <v>3524</v>
      </c>
      <c r="C2126" t="s">
        <v>3852</v>
      </c>
      <c r="D2126" s="2" t="s">
        <v>3853</v>
      </c>
      <c r="E2126" t="s">
        <v>990</v>
      </c>
      <c r="F2126" t="s">
        <v>20</v>
      </c>
      <c r="G2126" t="s">
        <v>21</v>
      </c>
      <c r="H2126" t="s">
        <v>991</v>
      </c>
      <c r="I2126" t="s">
        <v>23</v>
      </c>
      <c r="J2126" t="s">
        <v>49</v>
      </c>
      <c r="K2126" s="2" t="s">
        <v>2751</v>
      </c>
      <c r="L2126" t="s">
        <v>26</v>
      </c>
      <c r="M2126">
        <v>222983</v>
      </c>
      <c r="N2126">
        <v>1</v>
      </c>
      <c r="O2126" s="3">
        <v>69950</v>
      </c>
      <c r="P2126" s="3">
        <v>22162</v>
      </c>
      <c r="Q2126" s="5">
        <f t="shared" si="99"/>
        <v>58781.512605042022</v>
      </c>
      <c r="R2126" s="5">
        <f t="shared" si="100"/>
        <v>22162</v>
      </c>
      <c r="S2126" s="5">
        <f t="shared" si="101"/>
        <v>36619.512605042022</v>
      </c>
    </row>
    <row r="2127" spans="1:19" hidden="1" x14ac:dyDescent="0.3">
      <c r="A2127">
        <v>140</v>
      </c>
      <c r="B2127" t="s">
        <v>3524</v>
      </c>
      <c r="C2127" t="s">
        <v>2218</v>
      </c>
      <c r="D2127" s="2" t="s">
        <v>2219</v>
      </c>
      <c r="E2127" t="s">
        <v>1185</v>
      </c>
      <c r="F2127" t="s">
        <v>20</v>
      </c>
      <c r="G2127" t="s">
        <v>21</v>
      </c>
      <c r="H2127" t="s">
        <v>285</v>
      </c>
      <c r="I2127" t="s">
        <v>23</v>
      </c>
      <c r="J2127" t="s">
        <v>49</v>
      </c>
      <c r="K2127" s="2" t="s">
        <v>2751</v>
      </c>
      <c r="L2127" t="s">
        <v>26</v>
      </c>
      <c r="M2127">
        <v>222984</v>
      </c>
      <c r="N2127">
        <v>1</v>
      </c>
      <c r="O2127" s="3">
        <v>49990</v>
      </c>
      <c r="P2127" s="3">
        <v>28690</v>
      </c>
      <c r="Q2127" s="5">
        <f t="shared" si="99"/>
        <v>42008.403361344543</v>
      </c>
      <c r="R2127" s="5">
        <f t="shared" si="100"/>
        <v>28690</v>
      </c>
      <c r="S2127" s="5">
        <f t="shared" si="101"/>
        <v>13318.403361344543</v>
      </c>
    </row>
    <row r="2128" spans="1:19" hidden="1" x14ac:dyDescent="0.3">
      <c r="A2128">
        <v>140</v>
      </c>
      <c r="B2128" t="s">
        <v>3524</v>
      </c>
      <c r="C2128" t="s">
        <v>3854</v>
      </c>
      <c r="D2128" s="2" t="s">
        <v>3855</v>
      </c>
      <c r="E2128" t="s">
        <v>3091</v>
      </c>
      <c r="F2128" t="s">
        <v>20</v>
      </c>
      <c r="G2128" t="s">
        <v>338</v>
      </c>
      <c r="H2128">
        <v>26266</v>
      </c>
      <c r="I2128" t="s">
        <v>23</v>
      </c>
      <c r="J2128" t="s">
        <v>35</v>
      </c>
      <c r="K2128" s="2" t="s">
        <v>2751</v>
      </c>
      <c r="L2128" t="s">
        <v>26</v>
      </c>
      <c r="M2128">
        <v>222985</v>
      </c>
      <c r="N2128">
        <v>1</v>
      </c>
      <c r="O2128" s="3">
        <v>79950</v>
      </c>
      <c r="P2128" s="3">
        <v>25300</v>
      </c>
      <c r="Q2128" s="5">
        <f t="shared" si="99"/>
        <v>67184.873949579836</v>
      </c>
      <c r="R2128" s="5">
        <f t="shared" si="100"/>
        <v>25300</v>
      </c>
      <c r="S2128" s="5">
        <f t="shared" si="101"/>
        <v>41884.873949579836</v>
      </c>
    </row>
    <row r="2129" spans="1:19" hidden="1" x14ac:dyDescent="0.3">
      <c r="A2129">
        <v>140</v>
      </c>
      <c r="B2129" t="s">
        <v>3524</v>
      </c>
      <c r="C2129" t="s">
        <v>3712</v>
      </c>
      <c r="D2129" s="2" t="s">
        <v>3713</v>
      </c>
      <c r="E2129" t="s">
        <v>3424</v>
      </c>
      <c r="F2129" t="s">
        <v>20</v>
      </c>
      <c r="G2129" t="s">
        <v>338</v>
      </c>
      <c r="H2129">
        <v>23709</v>
      </c>
      <c r="I2129" t="s">
        <v>23</v>
      </c>
      <c r="J2129" t="s">
        <v>40</v>
      </c>
      <c r="K2129" s="2" t="s">
        <v>2751</v>
      </c>
      <c r="L2129" t="s">
        <v>26</v>
      </c>
      <c r="M2129">
        <v>222986</v>
      </c>
      <c r="N2129">
        <v>1</v>
      </c>
      <c r="O2129" s="3">
        <v>79950</v>
      </c>
      <c r="P2129" s="3">
        <v>27728</v>
      </c>
      <c r="Q2129" s="5">
        <f t="shared" si="99"/>
        <v>67184.873949579836</v>
      </c>
      <c r="R2129" s="5">
        <f t="shared" si="100"/>
        <v>27728</v>
      </c>
      <c r="S2129" s="5">
        <f t="shared" si="101"/>
        <v>39456.873949579836</v>
      </c>
    </row>
    <row r="2130" spans="1:19" hidden="1" x14ac:dyDescent="0.3">
      <c r="A2130">
        <v>140</v>
      </c>
      <c r="B2130" t="s">
        <v>3524</v>
      </c>
      <c r="C2130" t="s">
        <v>3227</v>
      </c>
      <c r="D2130" s="2" t="s">
        <v>3228</v>
      </c>
      <c r="E2130" t="s">
        <v>3229</v>
      </c>
      <c r="F2130" t="s">
        <v>20</v>
      </c>
      <c r="G2130" t="s">
        <v>338</v>
      </c>
      <c r="H2130">
        <v>22419</v>
      </c>
      <c r="I2130" t="s">
        <v>23</v>
      </c>
      <c r="J2130" t="s">
        <v>49</v>
      </c>
      <c r="K2130" s="2" t="s">
        <v>2751</v>
      </c>
      <c r="L2130" t="s">
        <v>26</v>
      </c>
      <c r="M2130">
        <v>222987</v>
      </c>
      <c r="N2130">
        <v>1</v>
      </c>
      <c r="O2130" s="3">
        <v>64950</v>
      </c>
      <c r="P2130" s="3">
        <v>16987</v>
      </c>
      <c r="Q2130" s="5">
        <f t="shared" si="99"/>
        <v>54579.831932773115</v>
      </c>
      <c r="R2130" s="5">
        <f t="shared" si="100"/>
        <v>16987</v>
      </c>
      <c r="S2130" s="5">
        <f t="shared" si="101"/>
        <v>37592.831932773115</v>
      </c>
    </row>
    <row r="2131" spans="1:19" hidden="1" x14ac:dyDescent="0.3">
      <c r="A2131">
        <v>140</v>
      </c>
      <c r="B2131" t="s">
        <v>3524</v>
      </c>
      <c r="C2131" t="s">
        <v>3856</v>
      </c>
      <c r="D2131" s="2" t="s">
        <v>3857</v>
      </c>
      <c r="E2131" t="s">
        <v>2301</v>
      </c>
      <c r="F2131" t="s">
        <v>20</v>
      </c>
      <c r="G2131" t="s">
        <v>21</v>
      </c>
      <c r="H2131" t="s">
        <v>1124</v>
      </c>
      <c r="I2131" t="s">
        <v>23</v>
      </c>
      <c r="J2131" t="s">
        <v>24</v>
      </c>
      <c r="K2131" s="2" t="s">
        <v>2751</v>
      </c>
      <c r="L2131" t="s">
        <v>26</v>
      </c>
      <c r="M2131">
        <v>222988</v>
      </c>
      <c r="N2131">
        <v>1</v>
      </c>
      <c r="O2131" s="3">
        <v>74950</v>
      </c>
      <c r="P2131" s="3">
        <v>25857</v>
      </c>
      <c r="Q2131" s="5">
        <f t="shared" si="99"/>
        <v>62983.193277310929</v>
      </c>
      <c r="R2131" s="5">
        <f t="shared" si="100"/>
        <v>25857</v>
      </c>
      <c r="S2131" s="5">
        <f t="shared" si="101"/>
        <v>37126.193277310929</v>
      </c>
    </row>
    <row r="2132" spans="1:19" hidden="1" x14ac:dyDescent="0.3">
      <c r="A2132">
        <v>140</v>
      </c>
      <c r="B2132" t="s">
        <v>3524</v>
      </c>
      <c r="C2132" t="s">
        <v>2948</v>
      </c>
      <c r="D2132" s="2" t="s">
        <v>2949</v>
      </c>
      <c r="E2132" t="s">
        <v>2226</v>
      </c>
      <c r="F2132" t="s">
        <v>20</v>
      </c>
      <c r="G2132" t="s">
        <v>21</v>
      </c>
      <c r="H2132" t="s">
        <v>53</v>
      </c>
      <c r="I2132" t="s">
        <v>23</v>
      </c>
      <c r="J2132" t="s">
        <v>49</v>
      </c>
      <c r="K2132" s="2" t="s">
        <v>2751</v>
      </c>
      <c r="L2132" t="s">
        <v>26</v>
      </c>
      <c r="M2132">
        <v>222988</v>
      </c>
      <c r="N2132">
        <v>-1</v>
      </c>
      <c r="O2132" s="3">
        <v>-69950</v>
      </c>
      <c r="P2132" s="3">
        <v>21044</v>
      </c>
      <c r="Q2132" s="5">
        <f t="shared" si="99"/>
        <v>-58781.512605042022</v>
      </c>
      <c r="R2132" s="5">
        <f t="shared" si="100"/>
        <v>-21044</v>
      </c>
      <c r="S2132" s="5">
        <f t="shared" si="101"/>
        <v>-37737.512605042022</v>
      </c>
    </row>
    <row r="2133" spans="1:19" hidden="1" x14ac:dyDescent="0.3">
      <c r="A2133">
        <v>140</v>
      </c>
      <c r="B2133" t="s">
        <v>3524</v>
      </c>
      <c r="C2133" t="s">
        <v>2736</v>
      </c>
      <c r="D2133" s="2" t="s">
        <v>2737</v>
      </c>
      <c r="E2133" t="s">
        <v>2738</v>
      </c>
      <c r="F2133" t="s">
        <v>20</v>
      </c>
      <c r="G2133" t="s">
        <v>21</v>
      </c>
      <c r="H2133" t="s">
        <v>22</v>
      </c>
      <c r="I2133" t="s">
        <v>23</v>
      </c>
      <c r="J2133" t="s">
        <v>49</v>
      </c>
      <c r="K2133" s="2" t="s">
        <v>2751</v>
      </c>
      <c r="L2133" t="s">
        <v>26</v>
      </c>
      <c r="M2133">
        <v>222989</v>
      </c>
      <c r="N2133">
        <v>1</v>
      </c>
      <c r="O2133" s="3">
        <v>74950</v>
      </c>
      <c r="P2133" s="3">
        <v>26246</v>
      </c>
      <c r="Q2133" s="5">
        <f t="shared" si="99"/>
        <v>62983.193277310929</v>
      </c>
      <c r="R2133" s="5">
        <f t="shared" si="100"/>
        <v>26246</v>
      </c>
      <c r="S2133" s="5">
        <f t="shared" si="101"/>
        <v>36737.193277310929</v>
      </c>
    </row>
    <row r="2134" spans="1:19" hidden="1" x14ac:dyDescent="0.3">
      <c r="A2134">
        <v>140</v>
      </c>
      <c r="B2134" t="s">
        <v>3524</v>
      </c>
      <c r="C2134" t="s">
        <v>3858</v>
      </c>
      <c r="D2134" s="2" t="s">
        <v>3859</v>
      </c>
      <c r="E2134" t="s">
        <v>3523</v>
      </c>
      <c r="F2134" t="s">
        <v>20</v>
      </c>
      <c r="G2134" t="s">
        <v>21</v>
      </c>
      <c r="H2134" t="s">
        <v>2070</v>
      </c>
      <c r="I2134" t="s">
        <v>23</v>
      </c>
      <c r="J2134" t="s">
        <v>24</v>
      </c>
      <c r="K2134" s="2" t="s">
        <v>2751</v>
      </c>
      <c r="L2134" t="s">
        <v>26</v>
      </c>
      <c r="M2134">
        <v>222989</v>
      </c>
      <c r="N2134">
        <v>1</v>
      </c>
      <c r="O2134" s="3">
        <v>72200</v>
      </c>
      <c r="P2134" s="3">
        <v>27535</v>
      </c>
      <c r="Q2134" s="5">
        <f t="shared" si="99"/>
        <v>60672.268907563026</v>
      </c>
      <c r="R2134" s="5">
        <f t="shared" si="100"/>
        <v>27535</v>
      </c>
      <c r="S2134" s="5">
        <f t="shared" si="101"/>
        <v>33137.268907563026</v>
      </c>
    </row>
    <row r="2135" spans="1:19" hidden="1" x14ac:dyDescent="0.3">
      <c r="A2135">
        <v>140</v>
      </c>
      <c r="B2135" t="s">
        <v>3524</v>
      </c>
      <c r="C2135" t="s">
        <v>3860</v>
      </c>
      <c r="D2135" s="2" t="s">
        <v>3861</v>
      </c>
      <c r="E2135" t="s">
        <v>3096</v>
      </c>
      <c r="F2135" t="s">
        <v>20</v>
      </c>
      <c r="G2135" t="s">
        <v>21</v>
      </c>
      <c r="H2135" t="s">
        <v>991</v>
      </c>
      <c r="I2135" t="s">
        <v>23</v>
      </c>
      <c r="J2135" t="s">
        <v>49</v>
      </c>
      <c r="K2135" s="2" t="s">
        <v>2751</v>
      </c>
      <c r="L2135" t="s">
        <v>26</v>
      </c>
      <c r="M2135">
        <v>222990</v>
      </c>
      <c r="N2135">
        <v>1</v>
      </c>
      <c r="O2135" s="3">
        <v>69950</v>
      </c>
      <c r="P2135" s="3">
        <v>21216</v>
      </c>
      <c r="Q2135" s="5">
        <f t="shared" si="99"/>
        <v>58781.512605042022</v>
      </c>
      <c r="R2135" s="5">
        <f t="shared" si="100"/>
        <v>21216</v>
      </c>
      <c r="S2135" s="5">
        <f t="shared" si="101"/>
        <v>37565.512605042022</v>
      </c>
    </row>
    <row r="2136" spans="1:19" hidden="1" x14ac:dyDescent="0.3">
      <c r="A2136">
        <v>140</v>
      </c>
      <c r="B2136" t="s">
        <v>3524</v>
      </c>
      <c r="C2136" t="s">
        <v>2689</v>
      </c>
      <c r="D2136" s="2" t="s">
        <v>2690</v>
      </c>
      <c r="E2136" t="s">
        <v>2195</v>
      </c>
      <c r="F2136" t="s">
        <v>20</v>
      </c>
      <c r="G2136" t="s">
        <v>338</v>
      </c>
      <c r="H2136">
        <v>24722</v>
      </c>
      <c r="I2136" t="s">
        <v>23</v>
      </c>
      <c r="J2136" t="s">
        <v>95</v>
      </c>
      <c r="K2136" s="2" t="s">
        <v>2751</v>
      </c>
      <c r="L2136" t="s">
        <v>26</v>
      </c>
      <c r="M2136">
        <v>222990</v>
      </c>
      <c r="N2136">
        <v>1</v>
      </c>
      <c r="O2136" s="3">
        <v>76450</v>
      </c>
      <c r="P2136" s="3">
        <v>30987</v>
      </c>
      <c r="Q2136" s="5">
        <f t="shared" si="99"/>
        <v>64243.697478991598</v>
      </c>
      <c r="R2136" s="5">
        <f t="shared" si="100"/>
        <v>30987</v>
      </c>
      <c r="S2136" s="5">
        <f t="shared" si="101"/>
        <v>33256.697478991598</v>
      </c>
    </row>
    <row r="2137" spans="1:19" hidden="1" x14ac:dyDescent="0.3">
      <c r="A2137">
        <v>140</v>
      </c>
      <c r="B2137" t="s">
        <v>3524</v>
      </c>
      <c r="C2137" t="s">
        <v>2365</v>
      </c>
      <c r="D2137" s="2" t="s">
        <v>2366</v>
      </c>
      <c r="E2137" t="s">
        <v>2367</v>
      </c>
      <c r="F2137" t="s">
        <v>377</v>
      </c>
      <c r="G2137" t="s">
        <v>21</v>
      </c>
      <c r="H2137" t="s">
        <v>378</v>
      </c>
      <c r="I2137" t="s">
        <v>23</v>
      </c>
      <c r="J2137" t="s">
        <v>379</v>
      </c>
      <c r="K2137" s="2" t="s">
        <v>2751</v>
      </c>
      <c r="L2137" t="s">
        <v>26</v>
      </c>
      <c r="M2137">
        <v>222991</v>
      </c>
      <c r="N2137">
        <v>1</v>
      </c>
      <c r="O2137" s="3">
        <v>6950</v>
      </c>
      <c r="P2137" s="3">
        <v>3759</v>
      </c>
      <c r="Q2137" s="5">
        <f t="shared" si="99"/>
        <v>5840.3361344537816</v>
      </c>
      <c r="R2137" s="5">
        <f t="shared" si="100"/>
        <v>3759</v>
      </c>
      <c r="S2137" s="5">
        <f t="shared" si="101"/>
        <v>2081.3361344537816</v>
      </c>
    </row>
    <row r="2138" spans="1:19" hidden="1" x14ac:dyDescent="0.3">
      <c r="A2138">
        <v>140</v>
      </c>
      <c r="B2138" t="s">
        <v>3524</v>
      </c>
      <c r="C2138" t="s">
        <v>3862</v>
      </c>
      <c r="D2138" s="2" t="s">
        <v>3863</v>
      </c>
      <c r="E2138" t="s">
        <v>3283</v>
      </c>
      <c r="F2138" t="s">
        <v>20</v>
      </c>
      <c r="G2138" t="s">
        <v>21</v>
      </c>
      <c r="H2138" t="s">
        <v>2494</v>
      </c>
      <c r="I2138" t="s">
        <v>23</v>
      </c>
      <c r="J2138" t="s">
        <v>40</v>
      </c>
      <c r="K2138" s="2" t="s">
        <v>2751</v>
      </c>
      <c r="L2138" t="s">
        <v>26</v>
      </c>
      <c r="M2138">
        <v>222992</v>
      </c>
      <c r="N2138">
        <v>1</v>
      </c>
      <c r="O2138" s="3">
        <v>69950</v>
      </c>
      <c r="P2138" s="3">
        <v>23470</v>
      </c>
      <c r="Q2138" s="5">
        <f t="shared" si="99"/>
        <v>58781.512605042022</v>
      </c>
      <c r="R2138" s="5">
        <f t="shared" si="100"/>
        <v>23470</v>
      </c>
      <c r="S2138" s="5">
        <f t="shared" si="101"/>
        <v>35311.512605042022</v>
      </c>
    </row>
    <row r="2139" spans="1:19" hidden="1" x14ac:dyDescent="0.3">
      <c r="A2139">
        <v>140</v>
      </c>
      <c r="B2139" t="s">
        <v>3524</v>
      </c>
      <c r="C2139" t="s">
        <v>3425</v>
      </c>
      <c r="D2139" s="2" t="s">
        <v>3426</v>
      </c>
      <c r="E2139" t="s">
        <v>1404</v>
      </c>
      <c r="F2139" t="s">
        <v>20</v>
      </c>
      <c r="G2139" t="s">
        <v>21</v>
      </c>
      <c r="H2139" t="s">
        <v>1405</v>
      </c>
      <c r="I2139" t="s">
        <v>23</v>
      </c>
      <c r="J2139" t="s">
        <v>40</v>
      </c>
      <c r="K2139" s="2" t="s">
        <v>2751</v>
      </c>
      <c r="L2139" t="s">
        <v>26</v>
      </c>
      <c r="M2139">
        <v>222992</v>
      </c>
      <c r="N2139">
        <v>-1</v>
      </c>
      <c r="O2139" s="3">
        <v>-49950</v>
      </c>
      <c r="P2139" s="3">
        <v>13302</v>
      </c>
      <c r="Q2139" s="5">
        <f t="shared" si="99"/>
        <v>-41974.789915966387</v>
      </c>
      <c r="R2139" s="5">
        <f t="shared" si="100"/>
        <v>-13302</v>
      </c>
      <c r="S2139" s="5">
        <f t="shared" si="101"/>
        <v>-28672.789915966387</v>
      </c>
    </row>
    <row r="2140" spans="1:19" hidden="1" x14ac:dyDescent="0.3">
      <c r="A2140">
        <v>140</v>
      </c>
      <c r="B2140" t="s">
        <v>3524</v>
      </c>
      <c r="C2140" t="s">
        <v>3798</v>
      </c>
      <c r="D2140" s="2" t="s">
        <v>3799</v>
      </c>
      <c r="E2140" t="s">
        <v>990</v>
      </c>
      <c r="F2140" t="s">
        <v>20</v>
      </c>
      <c r="G2140" t="s">
        <v>21</v>
      </c>
      <c r="H2140" t="s">
        <v>991</v>
      </c>
      <c r="I2140" t="s">
        <v>23</v>
      </c>
      <c r="J2140" t="s">
        <v>49</v>
      </c>
      <c r="K2140" s="2" t="s">
        <v>2751</v>
      </c>
      <c r="L2140" t="s">
        <v>26</v>
      </c>
      <c r="M2140">
        <v>222993</v>
      </c>
      <c r="N2140">
        <v>1</v>
      </c>
      <c r="O2140" s="3">
        <v>69950</v>
      </c>
      <c r="P2140" s="3">
        <v>22189</v>
      </c>
      <c r="Q2140" s="5">
        <f t="shared" si="99"/>
        <v>58781.512605042022</v>
      </c>
      <c r="R2140" s="5">
        <f t="shared" si="100"/>
        <v>22189</v>
      </c>
      <c r="S2140" s="5">
        <f t="shared" si="101"/>
        <v>36592.512605042022</v>
      </c>
    </row>
    <row r="2141" spans="1:19" hidden="1" x14ac:dyDescent="0.3">
      <c r="A2141">
        <v>140</v>
      </c>
      <c r="B2141" t="s">
        <v>3524</v>
      </c>
      <c r="C2141" t="s">
        <v>2984</v>
      </c>
      <c r="D2141" s="2" t="s">
        <v>2985</v>
      </c>
      <c r="E2141" t="s">
        <v>2986</v>
      </c>
      <c r="F2141" t="s">
        <v>20</v>
      </c>
      <c r="G2141" t="s">
        <v>21</v>
      </c>
      <c r="H2141" t="s">
        <v>267</v>
      </c>
      <c r="I2141" t="s">
        <v>23</v>
      </c>
      <c r="J2141" t="s">
        <v>35</v>
      </c>
      <c r="K2141" s="2" t="s">
        <v>2751</v>
      </c>
      <c r="L2141" t="s">
        <v>26</v>
      </c>
      <c r="M2141">
        <v>222994</v>
      </c>
      <c r="N2141">
        <v>1</v>
      </c>
      <c r="O2141" s="3">
        <v>74950</v>
      </c>
      <c r="P2141" s="3">
        <v>24733</v>
      </c>
      <c r="Q2141" s="5">
        <f t="shared" si="99"/>
        <v>62983.193277310929</v>
      </c>
      <c r="R2141" s="5">
        <f t="shared" si="100"/>
        <v>24733</v>
      </c>
      <c r="S2141" s="5">
        <f t="shared" si="101"/>
        <v>38250.193277310929</v>
      </c>
    </row>
    <row r="2142" spans="1:19" hidden="1" x14ac:dyDescent="0.3">
      <c r="A2142">
        <v>140</v>
      </c>
      <c r="B2142" t="s">
        <v>3524</v>
      </c>
      <c r="C2142" t="s">
        <v>3864</v>
      </c>
      <c r="D2142" s="2" t="s">
        <v>3865</v>
      </c>
      <c r="E2142" t="s">
        <v>2069</v>
      </c>
      <c r="F2142" t="s">
        <v>20</v>
      </c>
      <c r="G2142" t="s">
        <v>21</v>
      </c>
      <c r="H2142" t="s">
        <v>2070</v>
      </c>
      <c r="I2142" t="s">
        <v>23</v>
      </c>
      <c r="J2142" t="s">
        <v>35</v>
      </c>
      <c r="K2142" s="2" t="s">
        <v>2751</v>
      </c>
      <c r="L2142" t="s">
        <v>26</v>
      </c>
      <c r="M2142">
        <v>222995</v>
      </c>
      <c r="N2142">
        <v>1</v>
      </c>
      <c r="O2142" s="3">
        <v>89950</v>
      </c>
      <c r="P2142" s="3">
        <v>29635</v>
      </c>
      <c r="Q2142" s="5">
        <f t="shared" si="99"/>
        <v>75588.23529411765</v>
      </c>
      <c r="R2142" s="5">
        <f t="shared" si="100"/>
        <v>29635</v>
      </c>
      <c r="S2142" s="5">
        <f t="shared" si="101"/>
        <v>45953.23529411765</v>
      </c>
    </row>
    <row r="2143" spans="1:19" hidden="1" x14ac:dyDescent="0.3">
      <c r="A2143">
        <v>140</v>
      </c>
      <c r="B2143" t="s">
        <v>3524</v>
      </c>
      <c r="C2143" t="s">
        <v>2525</v>
      </c>
      <c r="D2143" s="2" t="s">
        <v>2526</v>
      </c>
      <c r="E2143" t="s">
        <v>2527</v>
      </c>
      <c r="F2143" t="s">
        <v>377</v>
      </c>
      <c r="G2143" t="s">
        <v>21</v>
      </c>
      <c r="H2143" t="s">
        <v>378</v>
      </c>
      <c r="I2143" t="s">
        <v>23</v>
      </c>
      <c r="J2143" t="s">
        <v>2459</v>
      </c>
      <c r="K2143" s="2" t="s">
        <v>2751</v>
      </c>
      <c r="L2143" t="s">
        <v>26</v>
      </c>
      <c r="M2143">
        <v>222996</v>
      </c>
      <c r="N2143">
        <v>1</v>
      </c>
      <c r="O2143" s="3">
        <v>6950</v>
      </c>
      <c r="P2143" s="3">
        <v>2964</v>
      </c>
      <c r="Q2143" s="5">
        <f t="shared" si="99"/>
        <v>5840.3361344537816</v>
      </c>
      <c r="R2143" s="5">
        <f t="shared" si="100"/>
        <v>2964</v>
      </c>
      <c r="S2143" s="5">
        <f t="shared" si="101"/>
        <v>2876.3361344537816</v>
      </c>
    </row>
    <row r="2144" spans="1:19" hidden="1" x14ac:dyDescent="0.3">
      <c r="A2144">
        <v>140</v>
      </c>
      <c r="B2144" t="s">
        <v>3524</v>
      </c>
      <c r="C2144" t="s">
        <v>3866</v>
      </c>
      <c r="D2144" s="2" t="s">
        <v>3867</v>
      </c>
      <c r="E2144" t="s">
        <v>3698</v>
      </c>
      <c r="F2144" t="s">
        <v>20</v>
      </c>
      <c r="G2144" t="s">
        <v>21</v>
      </c>
      <c r="H2144" t="s">
        <v>966</v>
      </c>
      <c r="I2144" t="s">
        <v>23</v>
      </c>
      <c r="J2144" t="s">
        <v>40</v>
      </c>
      <c r="K2144" s="2" t="s">
        <v>2751</v>
      </c>
      <c r="L2144" t="s">
        <v>26</v>
      </c>
      <c r="M2144">
        <v>222997</v>
      </c>
      <c r="N2144">
        <v>1</v>
      </c>
      <c r="O2144" s="3">
        <v>63700</v>
      </c>
      <c r="P2144" s="3">
        <v>27462</v>
      </c>
      <c r="Q2144" s="5">
        <f t="shared" si="99"/>
        <v>53529.411764705888</v>
      </c>
      <c r="R2144" s="5">
        <f t="shared" si="100"/>
        <v>27462</v>
      </c>
      <c r="S2144" s="5">
        <f t="shared" si="101"/>
        <v>26067.411764705888</v>
      </c>
    </row>
    <row r="2145" spans="1:19" hidden="1" x14ac:dyDescent="0.3">
      <c r="A2145">
        <v>140</v>
      </c>
      <c r="B2145" t="s">
        <v>3524</v>
      </c>
      <c r="C2145" t="s">
        <v>3868</v>
      </c>
      <c r="D2145" s="2" t="s">
        <v>3869</v>
      </c>
      <c r="E2145" t="s">
        <v>2062</v>
      </c>
      <c r="F2145" t="s">
        <v>20</v>
      </c>
      <c r="G2145" t="s">
        <v>21</v>
      </c>
      <c r="H2145" t="s">
        <v>2063</v>
      </c>
      <c r="I2145" t="s">
        <v>23</v>
      </c>
      <c r="J2145" t="s">
        <v>40</v>
      </c>
      <c r="K2145" s="2" t="s">
        <v>2751</v>
      </c>
      <c r="L2145" t="s">
        <v>26</v>
      </c>
      <c r="M2145">
        <v>222997</v>
      </c>
      <c r="N2145">
        <v>1</v>
      </c>
      <c r="O2145" s="3">
        <v>49990</v>
      </c>
      <c r="P2145" s="3">
        <v>23130</v>
      </c>
      <c r="Q2145" s="5">
        <f t="shared" si="99"/>
        <v>42008.403361344543</v>
      </c>
      <c r="R2145" s="5">
        <f t="shared" si="100"/>
        <v>23130</v>
      </c>
      <c r="S2145" s="5">
        <f t="shared" si="101"/>
        <v>18878.403361344543</v>
      </c>
    </row>
    <row r="2146" spans="1:19" hidden="1" x14ac:dyDescent="0.3">
      <c r="A2146">
        <v>140</v>
      </c>
      <c r="B2146" t="s">
        <v>3524</v>
      </c>
      <c r="C2146" t="s">
        <v>3870</v>
      </c>
      <c r="D2146" s="2" t="s">
        <v>3871</v>
      </c>
      <c r="E2146" t="s">
        <v>3424</v>
      </c>
      <c r="F2146" t="s">
        <v>20</v>
      </c>
      <c r="G2146" t="s">
        <v>338</v>
      </c>
      <c r="H2146">
        <v>23709</v>
      </c>
      <c r="I2146" t="s">
        <v>23</v>
      </c>
      <c r="J2146" t="s">
        <v>40</v>
      </c>
      <c r="K2146" s="2" t="s">
        <v>2751</v>
      </c>
      <c r="L2146" t="s">
        <v>26</v>
      </c>
      <c r="M2146">
        <v>222998</v>
      </c>
      <c r="N2146">
        <v>1</v>
      </c>
      <c r="O2146" s="3">
        <v>79950</v>
      </c>
      <c r="P2146" s="3">
        <v>27728</v>
      </c>
      <c r="Q2146" s="5">
        <f t="shared" si="99"/>
        <v>67184.873949579836</v>
      </c>
      <c r="R2146" s="5">
        <f t="shared" si="100"/>
        <v>27728</v>
      </c>
      <c r="S2146" s="5">
        <f t="shared" si="101"/>
        <v>39456.873949579836</v>
      </c>
    </row>
    <row r="2147" spans="1:19" hidden="1" x14ac:dyDescent="0.3">
      <c r="A2147">
        <v>140</v>
      </c>
      <c r="B2147" t="s">
        <v>3524</v>
      </c>
      <c r="C2147" t="s">
        <v>955</v>
      </c>
      <c r="D2147" s="2" t="s">
        <v>956</v>
      </c>
      <c r="E2147" t="s">
        <v>957</v>
      </c>
      <c r="F2147" t="s">
        <v>20</v>
      </c>
      <c r="G2147" t="s">
        <v>21</v>
      </c>
      <c r="H2147" t="s">
        <v>958</v>
      </c>
      <c r="I2147" t="s">
        <v>23</v>
      </c>
      <c r="J2147" t="s">
        <v>40</v>
      </c>
      <c r="K2147" s="2" t="s">
        <v>2751</v>
      </c>
      <c r="L2147" t="s">
        <v>26</v>
      </c>
      <c r="M2147">
        <v>222999</v>
      </c>
      <c r="N2147">
        <v>1</v>
      </c>
      <c r="O2147" s="3">
        <v>34770</v>
      </c>
      <c r="P2147" s="3">
        <v>15744</v>
      </c>
      <c r="Q2147" s="5">
        <f t="shared" si="99"/>
        <v>29218.487394957985</v>
      </c>
      <c r="R2147" s="5">
        <f t="shared" si="100"/>
        <v>15744</v>
      </c>
      <c r="S2147" s="5">
        <f t="shared" si="101"/>
        <v>13474.487394957985</v>
      </c>
    </row>
    <row r="2148" spans="1:19" hidden="1" x14ac:dyDescent="0.3">
      <c r="A2148">
        <v>140</v>
      </c>
      <c r="B2148" t="s">
        <v>3524</v>
      </c>
      <c r="C2148" t="s">
        <v>3872</v>
      </c>
      <c r="D2148" s="2" t="s">
        <v>3873</v>
      </c>
      <c r="E2148" t="s">
        <v>3874</v>
      </c>
      <c r="F2148" t="s">
        <v>20</v>
      </c>
      <c r="G2148" t="s">
        <v>21</v>
      </c>
      <c r="H2148" t="s">
        <v>618</v>
      </c>
      <c r="I2148" t="s">
        <v>23</v>
      </c>
      <c r="J2148" t="s">
        <v>40</v>
      </c>
      <c r="K2148" s="2" t="s">
        <v>2751</v>
      </c>
      <c r="L2148" t="s">
        <v>26</v>
      </c>
      <c r="M2148">
        <v>223000</v>
      </c>
      <c r="N2148">
        <v>1</v>
      </c>
      <c r="O2148" s="3">
        <v>34990</v>
      </c>
      <c r="P2148" s="3">
        <v>16817</v>
      </c>
      <c r="Q2148" s="5">
        <f t="shared" si="99"/>
        <v>29403.361344537818</v>
      </c>
      <c r="R2148" s="5">
        <f t="shared" si="100"/>
        <v>16817</v>
      </c>
      <c r="S2148" s="5">
        <f t="shared" si="101"/>
        <v>12586.361344537818</v>
      </c>
    </row>
    <row r="2149" spans="1:19" hidden="1" x14ac:dyDescent="0.3">
      <c r="A2149">
        <v>140</v>
      </c>
      <c r="B2149" t="s">
        <v>3524</v>
      </c>
      <c r="C2149" t="s">
        <v>2948</v>
      </c>
      <c r="D2149" s="2" t="s">
        <v>2949</v>
      </c>
      <c r="E2149" t="s">
        <v>2226</v>
      </c>
      <c r="F2149" t="s">
        <v>20</v>
      </c>
      <c r="G2149" t="s">
        <v>21</v>
      </c>
      <c r="H2149" t="s">
        <v>53</v>
      </c>
      <c r="I2149" t="s">
        <v>23</v>
      </c>
      <c r="J2149" t="s">
        <v>49</v>
      </c>
      <c r="K2149" s="2" t="s">
        <v>1152</v>
      </c>
      <c r="L2149" t="s">
        <v>26</v>
      </c>
      <c r="M2149">
        <v>362998</v>
      </c>
      <c r="N2149">
        <v>1</v>
      </c>
      <c r="O2149" s="3">
        <v>69950</v>
      </c>
      <c r="P2149" s="3">
        <v>21044</v>
      </c>
      <c r="Q2149" s="5">
        <f t="shared" si="99"/>
        <v>58781.512605042022</v>
      </c>
      <c r="R2149" s="5">
        <f t="shared" si="100"/>
        <v>21044</v>
      </c>
      <c r="S2149" s="5">
        <f t="shared" si="101"/>
        <v>37737.512605042022</v>
      </c>
    </row>
    <row r="2150" spans="1:19" hidden="1" x14ac:dyDescent="0.3">
      <c r="A2150">
        <v>140</v>
      </c>
      <c r="B2150" t="s">
        <v>3524</v>
      </c>
      <c r="C2150" t="s">
        <v>3875</v>
      </c>
      <c r="D2150" s="2" t="s">
        <v>3876</v>
      </c>
      <c r="E2150" t="s">
        <v>3877</v>
      </c>
      <c r="F2150" t="s">
        <v>20</v>
      </c>
      <c r="G2150" t="s">
        <v>21</v>
      </c>
      <c r="H2150" t="s">
        <v>99</v>
      </c>
      <c r="I2150" t="s">
        <v>23</v>
      </c>
      <c r="J2150" t="s">
        <v>40</v>
      </c>
      <c r="K2150" s="2" t="s">
        <v>1152</v>
      </c>
      <c r="L2150" t="s">
        <v>26</v>
      </c>
      <c r="M2150">
        <v>362999</v>
      </c>
      <c r="N2150">
        <v>1</v>
      </c>
      <c r="O2150" s="3">
        <v>39990</v>
      </c>
      <c r="P2150" s="3">
        <v>31740</v>
      </c>
      <c r="Q2150" s="5">
        <f t="shared" si="99"/>
        <v>33605.042016806721</v>
      </c>
      <c r="R2150" s="5">
        <f t="shared" si="100"/>
        <v>31740</v>
      </c>
      <c r="S2150" s="5">
        <f t="shared" si="101"/>
        <v>1865.0420168067212</v>
      </c>
    </row>
    <row r="2151" spans="1:19" hidden="1" x14ac:dyDescent="0.3">
      <c r="A2151">
        <v>140</v>
      </c>
      <c r="B2151" t="s">
        <v>3524</v>
      </c>
      <c r="C2151" t="s">
        <v>3878</v>
      </c>
      <c r="D2151" s="2" t="s">
        <v>3879</v>
      </c>
      <c r="E2151" t="s">
        <v>3880</v>
      </c>
      <c r="F2151" t="s">
        <v>20</v>
      </c>
      <c r="G2151" t="s">
        <v>21</v>
      </c>
      <c r="H2151" t="s">
        <v>22</v>
      </c>
      <c r="I2151" t="s">
        <v>23</v>
      </c>
      <c r="J2151" t="s">
        <v>49</v>
      </c>
      <c r="K2151" s="2" t="s">
        <v>1152</v>
      </c>
      <c r="L2151" t="s">
        <v>26</v>
      </c>
      <c r="M2151">
        <v>363000</v>
      </c>
      <c r="N2151">
        <v>1</v>
      </c>
      <c r="O2151" s="3">
        <v>63700</v>
      </c>
      <c r="P2151" s="3">
        <v>26293</v>
      </c>
      <c r="Q2151" s="5">
        <f t="shared" si="99"/>
        <v>53529.411764705888</v>
      </c>
      <c r="R2151" s="5">
        <f t="shared" si="100"/>
        <v>26293</v>
      </c>
      <c r="S2151" s="5">
        <f t="shared" si="101"/>
        <v>27236.411764705888</v>
      </c>
    </row>
    <row r="2152" spans="1:19" hidden="1" x14ac:dyDescent="0.3">
      <c r="A2152">
        <v>140</v>
      </c>
      <c r="B2152" t="s">
        <v>3524</v>
      </c>
      <c r="C2152" t="s">
        <v>3881</v>
      </c>
      <c r="D2152" s="2" t="s">
        <v>3882</v>
      </c>
      <c r="E2152" t="s">
        <v>2930</v>
      </c>
      <c r="F2152" t="s">
        <v>20</v>
      </c>
      <c r="G2152" t="s">
        <v>21</v>
      </c>
      <c r="H2152" t="s">
        <v>1703</v>
      </c>
      <c r="I2152" t="s">
        <v>23</v>
      </c>
      <c r="J2152" t="s">
        <v>49</v>
      </c>
      <c r="K2152" s="2" t="s">
        <v>1152</v>
      </c>
      <c r="L2152" t="s">
        <v>26</v>
      </c>
      <c r="M2152">
        <v>363000</v>
      </c>
      <c r="N2152">
        <v>1</v>
      </c>
      <c r="O2152" s="3">
        <v>74950</v>
      </c>
      <c r="P2152" s="3">
        <v>26457</v>
      </c>
      <c r="Q2152" s="5">
        <f t="shared" si="99"/>
        <v>62983.193277310929</v>
      </c>
      <c r="R2152" s="5">
        <f t="shared" si="100"/>
        <v>26457</v>
      </c>
      <c r="S2152" s="5">
        <f t="shared" si="101"/>
        <v>36526.193277310929</v>
      </c>
    </row>
    <row r="2153" spans="1:19" hidden="1" x14ac:dyDescent="0.3">
      <c r="A2153">
        <v>140</v>
      </c>
      <c r="B2153" t="s">
        <v>3524</v>
      </c>
      <c r="C2153" t="s">
        <v>3883</v>
      </c>
      <c r="D2153" s="2" t="s">
        <v>3884</v>
      </c>
      <c r="E2153" t="s">
        <v>3277</v>
      </c>
      <c r="F2153" t="s">
        <v>20</v>
      </c>
      <c r="G2153" t="s">
        <v>21</v>
      </c>
      <c r="H2153" t="s">
        <v>57</v>
      </c>
      <c r="I2153" t="s">
        <v>23</v>
      </c>
      <c r="J2153" t="s">
        <v>35</v>
      </c>
      <c r="K2153" s="2" t="s">
        <v>1152</v>
      </c>
      <c r="L2153" t="s">
        <v>26</v>
      </c>
      <c r="M2153">
        <v>363001</v>
      </c>
      <c r="N2153">
        <v>1</v>
      </c>
      <c r="O2153" s="3">
        <v>89950</v>
      </c>
      <c r="P2153" s="3">
        <v>30749</v>
      </c>
      <c r="Q2153" s="5">
        <f t="shared" si="99"/>
        <v>75588.23529411765</v>
      </c>
      <c r="R2153" s="5">
        <f t="shared" si="100"/>
        <v>30749</v>
      </c>
      <c r="S2153" s="5">
        <f t="shared" si="101"/>
        <v>44839.23529411765</v>
      </c>
    </row>
    <row r="2154" spans="1:19" hidden="1" x14ac:dyDescent="0.3">
      <c r="A2154">
        <v>140</v>
      </c>
      <c r="B2154" t="s">
        <v>3524</v>
      </c>
      <c r="C2154" t="s">
        <v>2830</v>
      </c>
      <c r="D2154" s="2" t="s">
        <v>2831</v>
      </c>
      <c r="E2154" t="s">
        <v>1330</v>
      </c>
      <c r="F2154" t="s">
        <v>20</v>
      </c>
      <c r="G2154" t="s">
        <v>338</v>
      </c>
      <c r="H2154">
        <v>25133</v>
      </c>
      <c r="I2154" t="s">
        <v>23</v>
      </c>
      <c r="J2154" t="s">
        <v>35</v>
      </c>
      <c r="K2154" s="2" t="s">
        <v>1152</v>
      </c>
      <c r="L2154" t="s">
        <v>26</v>
      </c>
      <c r="M2154">
        <v>363002</v>
      </c>
      <c r="N2154">
        <v>1</v>
      </c>
      <c r="O2154" s="3">
        <v>74950</v>
      </c>
      <c r="P2154" s="3">
        <v>21167</v>
      </c>
      <c r="Q2154" s="5">
        <f t="shared" si="99"/>
        <v>62983.193277310929</v>
      </c>
      <c r="R2154" s="5">
        <f t="shared" si="100"/>
        <v>21167</v>
      </c>
      <c r="S2154" s="5">
        <f t="shared" si="101"/>
        <v>41816.193277310929</v>
      </c>
    </row>
    <row r="2155" spans="1:19" hidden="1" x14ac:dyDescent="0.3">
      <c r="A2155">
        <v>140</v>
      </c>
      <c r="B2155" t="s">
        <v>3524</v>
      </c>
      <c r="C2155" t="s">
        <v>3196</v>
      </c>
      <c r="D2155" s="2" t="s">
        <v>3197</v>
      </c>
      <c r="E2155" t="s">
        <v>717</v>
      </c>
      <c r="F2155" t="s">
        <v>20</v>
      </c>
      <c r="G2155" t="s">
        <v>21</v>
      </c>
      <c r="H2155" t="s">
        <v>718</v>
      </c>
      <c r="I2155" t="s">
        <v>23</v>
      </c>
      <c r="J2155" t="s">
        <v>49</v>
      </c>
      <c r="K2155" s="2" t="s">
        <v>1152</v>
      </c>
      <c r="L2155" t="s">
        <v>26</v>
      </c>
      <c r="M2155">
        <v>363003</v>
      </c>
      <c r="N2155">
        <v>1</v>
      </c>
      <c r="O2155" s="3">
        <v>39990</v>
      </c>
      <c r="P2155" s="3">
        <v>26658</v>
      </c>
      <c r="Q2155" s="5">
        <f t="shared" si="99"/>
        <v>33605.042016806721</v>
      </c>
      <c r="R2155" s="5">
        <f t="shared" si="100"/>
        <v>26658</v>
      </c>
      <c r="S2155" s="5">
        <f t="shared" si="101"/>
        <v>6947.0420168067212</v>
      </c>
    </row>
    <row r="2156" spans="1:19" hidden="1" x14ac:dyDescent="0.3">
      <c r="A2156">
        <v>140</v>
      </c>
      <c r="B2156" t="s">
        <v>3524</v>
      </c>
      <c r="C2156" t="s">
        <v>2900</v>
      </c>
      <c r="D2156" s="2" t="s">
        <v>2901</v>
      </c>
      <c r="E2156" t="s">
        <v>2902</v>
      </c>
      <c r="F2156" t="s">
        <v>20</v>
      </c>
      <c r="G2156" t="s">
        <v>21</v>
      </c>
      <c r="H2156" t="s">
        <v>267</v>
      </c>
      <c r="I2156" t="s">
        <v>23</v>
      </c>
      <c r="J2156" t="s">
        <v>49</v>
      </c>
      <c r="K2156" s="2" t="s">
        <v>1152</v>
      </c>
      <c r="L2156" t="s">
        <v>26</v>
      </c>
      <c r="M2156">
        <v>363004</v>
      </c>
      <c r="N2156">
        <v>1</v>
      </c>
      <c r="O2156" s="3">
        <v>64950</v>
      </c>
      <c r="P2156" s="3">
        <v>24504</v>
      </c>
      <c r="Q2156" s="5">
        <f t="shared" si="99"/>
        <v>54579.831932773115</v>
      </c>
      <c r="R2156" s="5">
        <f t="shared" si="100"/>
        <v>24504</v>
      </c>
      <c r="S2156" s="5">
        <f t="shared" si="101"/>
        <v>30075.831932773115</v>
      </c>
    </row>
    <row r="2157" spans="1:19" hidden="1" x14ac:dyDescent="0.3">
      <c r="A2157">
        <v>140</v>
      </c>
      <c r="B2157" t="s">
        <v>3524</v>
      </c>
      <c r="C2157" t="s">
        <v>3885</v>
      </c>
      <c r="D2157" s="2" t="s">
        <v>3886</v>
      </c>
      <c r="E2157" t="s">
        <v>2986</v>
      </c>
      <c r="F2157" t="s">
        <v>20</v>
      </c>
      <c r="G2157" t="s">
        <v>21</v>
      </c>
      <c r="H2157" t="s">
        <v>267</v>
      </c>
      <c r="I2157" t="s">
        <v>23</v>
      </c>
      <c r="J2157" t="s">
        <v>35</v>
      </c>
      <c r="K2157" s="2" t="s">
        <v>1152</v>
      </c>
      <c r="L2157" t="s">
        <v>26</v>
      </c>
      <c r="M2157">
        <v>363005</v>
      </c>
      <c r="N2157">
        <v>1</v>
      </c>
      <c r="O2157" s="3">
        <v>74950</v>
      </c>
      <c r="P2157" s="3">
        <v>24733</v>
      </c>
      <c r="Q2157" s="5">
        <f t="shared" si="99"/>
        <v>62983.193277310929</v>
      </c>
      <c r="R2157" s="5">
        <f t="shared" si="100"/>
        <v>24733</v>
      </c>
      <c r="S2157" s="5">
        <f t="shared" si="101"/>
        <v>38250.193277310929</v>
      </c>
    </row>
    <row r="2158" spans="1:19" hidden="1" x14ac:dyDescent="0.3">
      <c r="A2158">
        <v>140</v>
      </c>
      <c r="B2158" t="s">
        <v>3524</v>
      </c>
      <c r="C2158" t="s">
        <v>3887</v>
      </c>
      <c r="D2158" s="2" t="s">
        <v>3888</v>
      </c>
      <c r="E2158" t="s">
        <v>2436</v>
      </c>
      <c r="F2158" t="s">
        <v>20</v>
      </c>
      <c r="G2158" t="s">
        <v>338</v>
      </c>
      <c r="H2158">
        <v>22318</v>
      </c>
      <c r="I2158" t="s">
        <v>23</v>
      </c>
      <c r="J2158" t="s">
        <v>49</v>
      </c>
      <c r="K2158" s="2" t="s">
        <v>1152</v>
      </c>
      <c r="L2158" t="s">
        <v>26</v>
      </c>
      <c r="M2158">
        <v>363006</v>
      </c>
      <c r="N2158">
        <v>1</v>
      </c>
      <c r="O2158" s="3">
        <v>74950</v>
      </c>
      <c r="P2158" s="3">
        <v>23473</v>
      </c>
      <c r="Q2158" s="5">
        <f t="shared" si="99"/>
        <v>62983.193277310929</v>
      </c>
      <c r="R2158" s="5">
        <f t="shared" si="100"/>
        <v>23473</v>
      </c>
      <c r="S2158" s="5">
        <f t="shared" si="101"/>
        <v>39510.193277310929</v>
      </c>
    </row>
    <row r="2159" spans="1:19" hidden="1" x14ac:dyDescent="0.3">
      <c r="A2159">
        <v>140</v>
      </c>
      <c r="B2159" t="s">
        <v>3524</v>
      </c>
      <c r="C2159" t="s">
        <v>3889</v>
      </c>
      <c r="D2159" s="2" t="s">
        <v>3890</v>
      </c>
      <c r="E2159" t="s">
        <v>3518</v>
      </c>
      <c r="F2159" t="s">
        <v>20</v>
      </c>
      <c r="G2159" t="s">
        <v>21</v>
      </c>
      <c r="H2159" t="s">
        <v>1124</v>
      </c>
      <c r="I2159" t="s">
        <v>23</v>
      </c>
      <c r="J2159" t="s">
        <v>35</v>
      </c>
      <c r="K2159" s="2" t="s">
        <v>1152</v>
      </c>
      <c r="L2159" t="s">
        <v>26</v>
      </c>
      <c r="M2159">
        <v>363007</v>
      </c>
      <c r="N2159">
        <v>1</v>
      </c>
      <c r="O2159" s="3">
        <v>63700</v>
      </c>
      <c r="P2159" s="3">
        <v>28470</v>
      </c>
      <c r="Q2159" s="5">
        <f t="shared" si="99"/>
        <v>53529.411764705888</v>
      </c>
      <c r="R2159" s="5">
        <f t="shared" si="100"/>
        <v>28470</v>
      </c>
      <c r="S2159" s="5">
        <f t="shared" si="101"/>
        <v>25059.411764705888</v>
      </c>
    </row>
    <row r="2160" spans="1:19" hidden="1" x14ac:dyDescent="0.3">
      <c r="A2160">
        <v>140</v>
      </c>
      <c r="B2160" t="s">
        <v>3524</v>
      </c>
      <c r="C2160" t="s">
        <v>3891</v>
      </c>
      <c r="D2160" s="2" t="s">
        <v>3892</v>
      </c>
      <c r="E2160" t="s">
        <v>3893</v>
      </c>
      <c r="F2160" t="s">
        <v>20</v>
      </c>
      <c r="G2160" t="s">
        <v>21</v>
      </c>
      <c r="H2160" t="s">
        <v>2364</v>
      </c>
      <c r="I2160" t="s">
        <v>23</v>
      </c>
      <c r="J2160" t="s">
        <v>40</v>
      </c>
      <c r="K2160" s="2" t="s">
        <v>1152</v>
      </c>
      <c r="L2160" t="s">
        <v>26</v>
      </c>
      <c r="M2160">
        <v>363007</v>
      </c>
      <c r="N2160">
        <v>1</v>
      </c>
      <c r="O2160" s="3">
        <v>39990</v>
      </c>
      <c r="P2160" s="3">
        <v>30469</v>
      </c>
      <c r="Q2160" s="5">
        <f t="shared" si="99"/>
        <v>33605.042016806721</v>
      </c>
      <c r="R2160" s="5">
        <f t="shared" si="100"/>
        <v>30469</v>
      </c>
      <c r="S2160" s="5">
        <f t="shared" si="101"/>
        <v>3136.0420168067212</v>
      </c>
    </row>
    <row r="2161" spans="1:19" hidden="1" x14ac:dyDescent="0.3">
      <c r="A2161">
        <v>140</v>
      </c>
      <c r="B2161" t="s">
        <v>3524</v>
      </c>
      <c r="C2161" t="s">
        <v>3894</v>
      </c>
      <c r="D2161" s="2" t="s">
        <v>3895</v>
      </c>
      <c r="E2161" t="s">
        <v>2476</v>
      </c>
      <c r="F2161" t="s">
        <v>20</v>
      </c>
      <c r="G2161" t="s">
        <v>21</v>
      </c>
      <c r="H2161" t="s">
        <v>114</v>
      </c>
      <c r="I2161" t="s">
        <v>23</v>
      </c>
      <c r="J2161" t="s">
        <v>49</v>
      </c>
      <c r="K2161" s="2" t="s">
        <v>1152</v>
      </c>
      <c r="L2161" t="s">
        <v>26</v>
      </c>
      <c r="M2161">
        <v>363008</v>
      </c>
      <c r="N2161">
        <v>1</v>
      </c>
      <c r="O2161" s="3">
        <v>69950</v>
      </c>
      <c r="P2161" s="3">
        <v>22187</v>
      </c>
      <c r="Q2161" s="5">
        <f t="shared" si="99"/>
        <v>58781.512605042022</v>
      </c>
      <c r="R2161" s="5">
        <f t="shared" si="100"/>
        <v>22187</v>
      </c>
      <c r="S2161" s="5">
        <f t="shared" si="101"/>
        <v>36594.512605042022</v>
      </c>
    </row>
    <row r="2162" spans="1:19" hidden="1" x14ac:dyDescent="0.3">
      <c r="A2162">
        <v>140</v>
      </c>
      <c r="B2162" t="s">
        <v>3524</v>
      </c>
      <c r="C2162" t="s">
        <v>3896</v>
      </c>
      <c r="D2162" s="2" t="s">
        <v>3897</v>
      </c>
      <c r="E2162" t="s">
        <v>2363</v>
      </c>
      <c r="F2162" t="s">
        <v>20</v>
      </c>
      <c r="G2162" t="s">
        <v>21</v>
      </c>
      <c r="H2162" t="s">
        <v>2364</v>
      </c>
      <c r="I2162" t="s">
        <v>23</v>
      </c>
      <c r="J2162" t="s">
        <v>40</v>
      </c>
      <c r="K2162" s="2" t="s">
        <v>1152</v>
      </c>
      <c r="L2162" t="s">
        <v>26</v>
      </c>
      <c r="M2162">
        <v>363009</v>
      </c>
      <c r="N2162">
        <v>1</v>
      </c>
      <c r="O2162" s="3">
        <v>39990</v>
      </c>
      <c r="P2162" s="3">
        <v>30446</v>
      </c>
      <c r="Q2162" s="5">
        <f t="shared" si="99"/>
        <v>33605.042016806721</v>
      </c>
      <c r="R2162" s="5">
        <f t="shared" si="100"/>
        <v>30446</v>
      </c>
      <c r="S2162" s="5">
        <f t="shared" si="101"/>
        <v>3159.0420168067212</v>
      </c>
    </row>
    <row r="2163" spans="1:19" hidden="1" x14ac:dyDescent="0.3">
      <c r="A2163">
        <v>140</v>
      </c>
      <c r="B2163" t="s">
        <v>3524</v>
      </c>
      <c r="C2163" t="s">
        <v>2878</v>
      </c>
      <c r="D2163" s="2" t="s">
        <v>2879</v>
      </c>
      <c r="E2163" t="s">
        <v>599</v>
      </c>
      <c r="F2163" t="s">
        <v>20</v>
      </c>
      <c r="G2163" t="s">
        <v>21</v>
      </c>
      <c r="H2163" t="s">
        <v>600</v>
      </c>
      <c r="I2163" t="s">
        <v>23</v>
      </c>
      <c r="J2163" t="s">
        <v>40</v>
      </c>
      <c r="K2163" s="2" t="s">
        <v>1152</v>
      </c>
      <c r="L2163" t="s">
        <v>26</v>
      </c>
      <c r="M2163">
        <v>363010</v>
      </c>
      <c r="N2163">
        <v>1</v>
      </c>
      <c r="O2163" s="3">
        <v>49990</v>
      </c>
      <c r="P2163" s="3">
        <v>21327</v>
      </c>
      <c r="Q2163" s="5">
        <f t="shared" si="99"/>
        <v>42008.403361344543</v>
      </c>
      <c r="R2163" s="5">
        <f t="shared" si="100"/>
        <v>21327</v>
      </c>
      <c r="S2163" s="5">
        <f t="shared" si="101"/>
        <v>20681.403361344543</v>
      </c>
    </row>
    <row r="2164" spans="1:19" hidden="1" x14ac:dyDescent="0.3">
      <c r="A2164">
        <v>140</v>
      </c>
      <c r="B2164" t="s">
        <v>3524</v>
      </c>
      <c r="C2164" t="s">
        <v>3898</v>
      </c>
      <c r="D2164" s="2" t="s">
        <v>3899</v>
      </c>
      <c r="E2164" t="s">
        <v>2741</v>
      </c>
      <c r="F2164" t="s">
        <v>20</v>
      </c>
      <c r="G2164" t="s">
        <v>21</v>
      </c>
      <c r="H2164" t="s">
        <v>2494</v>
      </c>
      <c r="I2164" t="s">
        <v>23</v>
      </c>
      <c r="J2164" t="s">
        <v>40</v>
      </c>
      <c r="K2164" s="2" t="s">
        <v>1152</v>
      </c>
      <c r="L2164" t="s">
        <v>26</v>
      </c>
      <c r="M2164">
        <v>363011</v>
      </c>
      <c r="N2164">
        <v>1</v>
      </c>
      <c r="O2164" s="3">
        <v>69950</v>
      </c>
      <c r="P2164" s="3">
        <v>23470</v>
      </c>
      <c r="Q2164" s="5">
        <f t="shared" si="99"/>
        <v>58781.512605042022</v>
      </c>
      <c r="R2164" s="5">
        <f t="shared" si="100"/>
        <v>23470</v>
      </c>
      <c r="S2164" s="5">
        <f t="shared" si="101"/>
        <v>35311.512605042022</v>
      </c>
    </row>
    <row r="2165" spans="1:19" hidden="1" x14ac:dyDescent="0.3">
      <c r="A2165">
        <v>140</v>
      </c>
      <c r="B2165" t="s">
        <v>3524</v>
      </c>
      <c r="C2165" t="s">
        <v>3900</v>
      </c>
      <c r="D2165" s="2" t="s">
        <v>3901</v>
      </c>
      <c r="E2165" t="s">
        <v>2275</v>
      </c>
      <c r="F2165" t="s">
        <v>20</v>
      </c>
      <c r="G2165" t="s">
        <v>21</v>
      </c>
      <c r="H2165" t="s">
        <v>783</v>
      </c>
      <c r="I2165" t="s">
        <v>23</v>
      </c>
      <c r="J2165" t="s">
        <v>40</v>
      </c>
      <c r="K2165" s="2" t="s">
        <v>1152</v>
      </c>
      <c r="L2165" t="s">
        <v>26</v>
      </c>
      <c r="M2165">
        <v>363012</v>
      </c>
      <c r="N2165">
        <v>1</v>
      </c>
      <c r="O2165" s="3">
        <v>34990</v>
      </c>
      <c r="P2165" s="3">
        <v>17194</v>
      </c>
      <c r="Q2165" s="5">
        <f t="shared" si="99"/>
        <v>29403.361344537818</v>
      </c>
      <c r="R2165" s="5">
        <f t="shared" si="100"/>
        <v>17194</v>
      </c>
      <c r="S2165" s="5">
        <f t="shared" si="101"/>
        <v>12209.361344537818</v>
      </c>
    </row>
    <row r="2166" spans="1:19" hidden="1" x14ac:dyDescent="0.3">
      <c r="A2166">
        <v>140</v>
      </c>
      <c r="B2166" t="s">
        <v>3524</v>
      </c>
      <c r="C2166" t="s">
        <v>1712</v>
      </c>
      <c r="D2166" s="2" t="s">
        <v>1713</v>
      </c>
      <c r="E2166" t="s">
        <v>1714</v>
      </c>
      <c r="F2166" t="s">
        <v>20</v>
      </c>
      <c r="G2166" t="s">
        <v>338</v>
      </c>
      <c r="H2166">
        <v>23727</v>
      </c>
      <c r="I2166" t="s">
        <v>23</v>
      </c>
      <c r="J2166" t="s">
        <v>40</v>
      </c>
      <c r="K2166" s="2" t="s">
        <v>1152</v>
      </c>
      <c r="L2166" t="s">
        <v>26</v>
      </c>
      <c r="M2166">
        <v>363012</v>
      </c>
      <c r="N2166">
        <v>1</v>
      </c>
      <c r="O2166" s="3">
        <v>49990</v>
      </c>
      <c r="P2166" s="3">
        <v>26539</v>
      </c>
      <c r="Q2166" s="5">
        <f t="shared" si="99"/>
        <v>42008.403361344543</v>
      </c>
      <c r="R2166" s="5">
        <f t="shared" si="100"/>
        <v>26539</v>
      </c>
      <c r="S2166" s="5">
        <f t="shared" si="101"/>
        <v>15469.403361344543</v>
      </c>
    </row>
    <row r="2167" spans="1:19" hidden="1" x14ac:dyDescent="0.3">
      <c r="A2167">
        <v>140</v>
      </c>
      <c r="B2167" t="s">
        <v>3524</v>
      </c>
      <c r="C2167" t="s">
        <v>3634</v>
      </c>
      <c r="D2167" s="2" t="s">
        <v>3635</v>
      </c>
      <c r="E2167" t="s">
        <v>2661</v>
      </c>
      <c r="F2167" t="s">
        <v>20</v>
      </c>
      <c r="G2167" t="s">
        <v>21</v>
      </c>
      <c r="H2167" t="s">
        <v>317</v>
      </c>
      <c r="I2167" t="s">
        <v>23</v>
      </c>
      <c r="J2167" t="s">
        <v>35</v>
      </c>
      <c r="K2167" s="2" t="s">
        <v>1152</v>
      </c>
      <c r="L2167" t="s">
        <v>26</v>
      </c>
      <c r="M2167">
        <v>363013</v>
      </c>
      <c r="N2167">
        <v>1</v>
      </c>
      <c r="O2167" s="3">
        <v>69950</v>
      </c>
      <c r="P2167" s="3">
        <v>25992</v>
      </c>
      <c r="Q2167" s="5">
        <f t="shared" si="99"/>
        <v>58781.512605042022</v>
      </c>
      <c r="R2167" s="5">
        <f t="shared" si="100"/>
        <v>25992</v>
      </c>
      <c r="S2167" s="5">
        <f t="shared" si="101"/>
        <v>32789.512605042022</v>
      </c>
    </row>
    <row r="2168" spans="1:19" hidden="1" x14ac:dyDescent="0.3">
      <c r="A2168">
        <v>140</v>
      </c>
      <c r="B2168" t="s">
        <v>3524</v>
      </c>
      <c r="C2168" t="s">
        <v>2141</v>
      </c>
      <c r="D2168" s="2" t="s">
        <v>2142</v>
      </c>
      <c r="E2168" t="s">
        <v>2143</v>
      </c>
      <c r="F2168" t="s">
        <v>20</v>
      </c>
      <c r="G2168" t="s">
        <v>338</v>
      </c>
      <c r="H2168">
        <v>23732</v>
      </c>
      <c r="I2168" t="s">
        <v>23</v>
      </c>
      <c r="J2168" t="s">
        <v>40</v>
      </c>
      <c r="K2168" s="2" t="s">
        <v>1152</v>
      </c>
      <c r="L2168" t="s">
        <v>26</v>
      </c>
      <c r="M2168">
        <v>363014</v>
      </c>
      <c r="N2168">
        <v>1</v>
      </c>
      <c r="O2168" s="3">
        <v>59990</v>
      </c>
      <c r="P2168" s="3">
        <v>26539</v>
      </c>
      <c r="Q2168" s="5">
        <f t="shared" si="99"/>
        <v>50411.764705882357</v>
      </c>
      <c r="R2168" s="5">
        <f t="shared" si="100"/>
        <v>26539</v>
      </c>
      <c r="S2168" s="5">
        <f t="shared" si="101"/>
        <v>23872.764705882357</v>
      </c>
    </row>
    <row r="2169" spans="1:19" hidden="1" x14ac:dyDescent="0.3">
      <c r="A2169">
        <v>140</v>
      </c>
      <c r="B2169" t="s">
        <v>3524</v>
      </c>
      <c r="C2169" t="s">
        <v>3902</v>
      </c>
      <c r="D2169" s="2" t="s">
        <v>3903</v>
      </c>
      <c r="E2169" t="s">
        <v>1185</v>
      </c>
      <c r="F2169" t="s">
        <v>20</v>
      </c>
      <c r="G2169" t="s">
        <v>21</v>
      </c>
      <c r="H2169" t="s">
        <v>285</v>
      </c>
      <c r="I2169" t="s">
        <v>23</v>
      </c>
      <c r="J2169" t="s">
        <v>49</v>
      </c>
      <c r="K2169" s="2" t="s">
        <v>1152</v>
      </c>
      <c r="L2169" t="s">
        <v>26</v>
      </c>
      <c r="M2169">
        <v>363015</v>
      </c>
      <c r="N2169">
        <v>1</v>
      </c>
      <c r="O2169" s="3">
        <v>49990</v>
      </c>
      <c r="P2169" s="3">
        <v>27549</v>
      </c>
      <c r="Q2169" s="5">
        <f t="shared" si="99"/>
        <v>42008.403361344543</v>
      </c>
      <c r="R2169" s="5">
        <f t="shared" si="100"/>
        <v>27549</v>
      </c>
      <c r="S2169" s="5">
        <f t="shared" si="101"/>
        <v>14459.403361344543</v>
      </c>
    </row>
    <row r="2170" spans="1:19" hidden="1" x14ac:dyDescent="0.3">
      <c r="A2170">
        <v>140</v>
      </c>
      <c r="B2170" t="s">
        <v>3524</v>
      </c>
      <c r="C2170" t="s">
        <v>3904</v>
      </c>
      <c r="D2170" s="2" t="s">
        <v>3905</v>
      </c>
      <c r="E2170" t="s">
        <v>990</v>
      </c>
      <c r="F2170" t="s">
        <v>20</v>
      </c>
      <c r="G2170" t="s">
        <v>21</v>
      </c>
      <c r="H2170" t="s">
        <v>991</v>
      </c>
      <c r="I2170" t="s">
        <v>23</v>
      </c>
      <c r="J2170" t="s">
        <v>49</v>
      </c>
      <c r="K2170" s="2" t="s">
        <v>1309</v>
      </c>
      <c r="L2170" t="s">
        <v>26</v>
      </c>
      <c r="M2170">
        <v>363016</v>
      </c>
      <c r="N2170">
        <v>1</v>
      </c>
      <c r="O2170" s="3">
        <v>69950</v>
      </c>
      <c r="P2170" s="3">
        <v>22180</v>
      </c>
      <c r="Q2170" s="5">
        <f t="shared" si="99"/>
        <v>58781.512605042022</v>
      </c>
      <c r="R2170" s="5">
        <f t="shared" si="100"/>
        <v>22180</v>
      </c>
      <c r="S2170" s="5">
        <f t="shared" si="101"/>
        <v>36601.512605042022</v>
      </c>
    </row>
    <row r="2171" spans="1:19" hidden="1" x14ac:dyDescent="0.3">
      <c r="A2171">
        <v>140</v>
      </c>
      <c r="B2171" t="s">
        <v>3524</v>
      </c>
      <c r="C2171" t="s">
        <v>3906</v>
      </c>
      <c r="D2171" s="2" t="s">
        <v>3907</v>
      </c>
      <c r="E2171" t="s">
        <v>2542</v>
      </c>
      <c r="F2171" t="s">
        <v>20</v>
      </c>
      <c r="G2171" t="s">
        <v>21</v>
      </c>
      <c r="H2171" t="s">
        <v>2469</v>
      </c>
      <c r="I2171" t="s">
        <v>23</v>
      </c>
      <c r="J2171" t="s">
        <v>49</v>
      </c>
      <c r="K2171" s="2" t="s">
        <v>1309</v>
      </c>
      <c r="L2171" t="s">
        <v>26</v>
      </c>
      <c r="M2171">
        <v>363017</v>
      </c>
      <c r="N2171">
        <v>1</v>
      </c>
      <c r="O2171" s="3">
        <v>64950</v>
      </c>
      <c r="P2171" s="3">
        <v>21343</v>
      </c>
      <c r="Q2171" s="5">
        <f t="shared" si="99"/>
        <v>54579.831932773115</v>
      </c>
      <c r="R2171" s="5">
        <f t="shared" si="100"/>
        <v>21343</v>
      </c>
      <c r="S2171" s="5">
        <f t="shared" si="101"/>
        <v>33236.831932773115</v>
      </c>
    </row>
    <row r="2172" spans="1:19" hidden="1" x14ac:dyDescent="0.3">
      <c r="A2172">
        <v>140</v>
      </c>
      <c r="B2172" t="s">
        <v>3524</v>
      </c>
      <c r="C2172" t="s">
        <v>2774</v>
      </c>
      <c r="D2172" s="2" t="s">
        <v>2775</v>
      </c>
      <c r="E2172" t="s">
        <v>266</v>
      </c>
      <c r="F2172" t="s">
        <v>20</v>
      </c>
      <c r="G2172" t="s">
        <v>21</v>
      </c>
      <c r="H2172" t="s">
        <v>267</v>
      </c>
      <c r="I2172" t="s">
        <v>23</v>
      </c>
      <c r="J2172" t="s">
        <v>49</v>
      </c>
      <c r="K2172" s="2" t="s">
        <v>1309</v>
      </c>
      <c r="L2172" t="s">
        <v>26</v>
      </c>
      <c r="M2172">
        <v>363018</v>
      </c>
      <c r="N2172">
        <v>1</v>
      </c>
      <c r="O2172" s="3">
        <v>64950</v>
      </c>
      <c r="P2172" s="3">
        <v>24504</v>
      </c>
      <c r="Q2172" s="5">
        <f t="shared" si="99"/>
        <v>54579.831932773115</v>
      </c>
      <c r="R2172" s="5">
        <f t="shared" si="100"/>
        <v>24504</v>
      </c>
      <c r="S2172" s="5">
        <f t="shared" si="101"/>
        <v>30075.831932773115</v>
      </c>
    </row>
    <row r="2173" spans="1:19" hidden="1" x14ac:dyDescent="0.3">
      <c r="A2173">
        <v>140</v>
      </c>
      <c r="B2173" t="s">
        <v>3524</v>
      </c>
      <c r="C2173" t="s">
        <v>1977</v>
      </c>
      <c r="D2173" s="2" t="s">
        <v>1978</v>
      </c>
      <c r="E2173" t="s">
        <v>717</v>
      </c>
      <c r="F2173" t="s">
        <v>20</v>
      </c>
      <c r="G2173" t="s">
        <v>21</v>
      </c>
      <c r="H2173" t="s">
        <v>718</v>
      </c>
      <c r="I2173" t="s">
        <v>23</v>
      </c>
      <c r="J2173" t="s">
        <v>49</v>
      </c>
      <c r="K2173" s="2" t="s">
        <v>1309</v>
      </c>
      <c r="L2173" t="s">
        <v>26</v>
      </c>
      <c r="M2173">
        <v>363019</v>
      </c>
      <c r="N2173">
        <v>1</v>
      </c>
      <c r="O2173" s="3">
        <v>39990</v>
      </c>
      <c r="P2173" s="3">
        <v>26646</v>
      </c>
      <c r="Q2173" s="5">
        <f t="shared" si="99"/>
        <v>33605.042016806721</v>
      </c>
      <c r="R2173" s="5">
        <f t="shared" si="100"/>
        <v>26646</v>
      </c>
      <c r="S2173" s="5">
        <f t="shared" si="101"/>
        <v>6959.0420168067212</v>
      </c>
    </row>
    <row r="2174" spans="1:19" hidden="1" x14ac:dyDescent="0.3">
      <c r="A2174">
        <v>140</v>
      </c>
      <c r="B2174" t="s">
        <v>3524</v>
      </c>
      <c r="C2174" t="s">
        <v>3908</v>
      </c>
      <c r="D2174" s="2" t="s">
        <v>3909</v>
      </c>
      <c r="E2174" t="s">
        <v>3600</v>
      </c>
      <c r="F2174" t="s">
        <v>20</v>
      </c>
      <c r="G2174" t="s">
        <v>21</v>
      </c>
      <c r="H2174" t="s">
        <v>114</v>
      </c>
      <c r="I2174" t="s">
        <v>23</v>
      </c>
      <c r="J2174" t="s">
        <v>49</v>
      </c>
      <c r="K2174" s="2" t="s">
        <v>1309</v>
      </c>
      <c r="L2174" t="s">
        <v>26</v>
      </c>
      <c r="M2174">
        <v>363020</v>
      </c>
      <c r="N2174">
        <v>1</v>
      </c>
      <c r="O2174" s="3">
        <v>69950</v>
      </c>
      <c r="P2174" s="3">
        <v>24676</v>
      </c>
      <c r="Q2174" s="5">
        <f t="shared" si="99"/>
        <v>58781.512605042022</v>
      </c>
      <c r="R2174" s="5">
        <f t="shared" si="100"/>
        <v>24676</v>
      </c>
      <c r="S2174" s="5">
        <f t="shared" si="101"/>
        <v>34105.512605042022</v>
      </c>
    </row>
    <row r="2175" spans="1:19" hidden="1" x14ac:dyDescent="0.3">
      <c r="A2175">
        <v>140</v>
      </c>
      <c r="B2175" t="s">
        <v>3524</v>
      </c>
      <c r="C2175" t="s">
        <v>3554</v>
      </c>
      <c r="D2175" s="2" t="s">
        <v>3555</v>
      </c>
      <c r="E2175" t="s">
        <v>3183</v>
      </c>
      <c r="F2175" t="s">
        <v>20</v>
      </c>
      <c r="G2175" t="s">
        <v>21</v>
      </c>
      <c r="H2175" t="s">
        <v>614</v>
      </c>
      <c r="I2175" t="s">
        <v>23</v>
      </c>
      <c r="J2175" t="s">
        <v>40</v>
      </c>
      <c r="K2175" s="2" t="s">
        <v>1309</v>
      </c>
      <c r="L2175" t="s">
        <v>26</v>
      </c>
      <c r="M2175">
        <v>363021</v>
      </c>
      <c r="N2175">
        <v>1</v>
      </c>
      <c r="O2175" s="3">
        <v>39990</v>
      </c>
      <c r="P2175" s="3">
        <v>17378</v>
      </c>
      <c r="Q2175" s="5">
        <f t="shared" si="99"/>
        <v>33605.042016806721</v>
      </c>
      <c r="R2175" s="5">
        <f t="shared" si="100"/>
        <v>17378</v>
      </c>
      <c r="S2175" s="5">
        <f t="shared" si="101"/>
        <v>16227.042016806721</v>
      </c>
    </row>
    <row r="2176" spans="1:19" hidden="1" x14ac:dyDescent="0.3">
      <c r="A2176">
        <v>140</v>
      </c>
      <c r="B2176" t="s">
        <v>3524</v>
      </c>
      <c r="C2176" t="s">
        <v>647</v>
      </c>
      <c r="D2176" s="2" t="s">
        <v>648</v>
      </c>
      <c r="E2176" t="s">
        <v>71</v>
      </c>
      <c r="F2176" t="s">
        <v>20</v>
      </c>
      <c r="G2176" t="s">
        <v>21</v>
      </c>
      <c r="H2176" t="s">
        <v>53</v>
      </c>
      <c r="I2176" t="s">
        <v>23</v>
      </c>
      <c r="J2176" t="s">
        <v>35</v>
      </c>
      <c r="K2176" s="2" t="s">
        <v>1365</v>
      </c>
      <c r="L2176" t="s">
        <v>2249</v>
      </c>
      <c r="M2176">
        <v>25386</v>
      </c>
      <c r="N2176">
        <v>-1</v>
      </c>
      <c r="O2176" s="3">
        <v>-49990</v>
      </c>
      <c r="P2176" s="3">
        <v>25147</v>
      </c>
      <c r="Q2176" s="5">
        <f t="shared" si="99"/>
        <v>-42008.403361344543</v>
      </c>
      <c r="R2176" s="5">
        <f t="shared" si="100"/>
        <v>-25147</v>
      </c>
      <c r="S2176" s="5">
        <f t="shared" si="101"/>
        <v>-16861.403361344543</v>
      </c>
    </row>
    <row r="2177" spans="1:19" hidden="1" x14ac:dyDescent="0.3">
      <c r="A2177">
        <v>140</v>
      </c>
      <c r="B2177" t="s">
        <v>3524</v>
      </c>
      <c r="C2177" t="s">
        <v>3910</v>
      </c>
      <c r="D2177" s="2" t="s">
        <v>3911</v>
      </c>
      <c r="E2177" t="s">
        <v>3880</v>
      </c>
      <c r="F2177" t="s">
        <v>20</v>
      </c>
      <c r="G2177" t="s">
        <v>21</v>
      </c>
      <c r="H2177" t="s">
        <v>22</v>
      </c>
      <c r="I2177" t="s">
        <v>23</v>
      </c>
      <c r="J2177" t="s">
        <v>49</v>
      </c>
      <c r="K2177" s="2" t="s">
        <v>1365</v>
      </c>
      <c r="L2177" t="s">
        <v>26</v>
      </c>
      <c r="M2177">
        <v>363022</v>
      </c>
      <c r="N2177">
        <v>1</v>
      </c>
      <c r="O2177" s="3">
        <v>74950</v>
      </c>
      <c r="P2177" s="3">
        <v>26350</v>
      </c>
      <c r="Q2177" s="5">
        <f t="shared" si="99"/>
        <v>62983.193277310929</v>
      </c>
      <c r="R2177" s="5">
        <f t="shared" si="100"/>
        <v>26350</v>
      </c>
      <c r="S2177" s="5">
        <f t="shared" si="101"/>
        <v>36633.193277310929</v>
      </c>
    </row>
    <row r="2178" spans="1:19" hidden="1" x14ac:dyDescent="0.3">
      <c r="A2178">
        <v>140</v>
      </c>
      <c r="B2178" t="s">
        <v>3524</v>
      </c>
      <c r="C2178">
        <v>1687976791</v>
      </c>
      <c r="D2178" s="2" t="s">
        <v>200</v>
      </c>
      <c r="E2178" t="s">
        <v>201</v>
      </c>
      <c r="F2178" t="s">
        <v>201</v>
      </c>
      <c r="G2178" t="s">
        <v>202</v>
      </c>
      <c r="H2178" t="s">
        <v>202</v>
      </c>
      <c r="I2178" t="s">
        <v>23</v>
      </c>
      <c r="J2178" t="s">
        <v>202</v>
      </c>
      <c r="K2178" s="2" t="s">
        <v>1365</v>
      </c>
      <c r="L2178" t="s">
        <v>26</v>
      </c>
      <c r="M2178">
        <v>363023</v>
      </c>
      <c r="N2178">
        <v>1</v>
      </c>
      <c r="O2178" s="3">
        <v>13464</v>
      </c>
      <c r="P2178">
        <v>1</v>
      </c>
      <c r="Q2178" s="5">
        <f t="shared" si="99"/>
        <v>11314.285714285716</v>
      </c>
      <c r="R2178" s="5">
        <f t="shared" si="100"/>
        <v>1</v>
      </c>
      <c r="S2178" s="5">
        <f t="shared" si="101"/>
        <v>11313.285714285716</v>
      </c>
    </row>
    <row r="2179" spans="1:19" hidden="1" x14ac:dyDescent="0.3">
      <c r="A2179">
        <v>140</v>
      </c>
      <c r="B2179" t="s">
        <v>3524</v>
      </c>
      <c r="C2179" t="s">
        <v>3912</v>
      </c>
      <c r="D2179" s="2" t="s">
        <v>3913</v>
      </c>
      <c r="E2179" t="s">
        <v>3914</v>
      </c>
      <c r="F2179" t="s">
        <v>20</v>
      </c>
      <c r="G2179" t="s">
        <v>338</v>
      </c>
      <c r="H2179">
        <v>24316</v>
      </c>
      <c r="I2179" t="s">
        <v>23</v>
      </c>
      <c r="J2179" t="s">
        <v>49</v>
      </c>
      <c r="K2179" s="2" t="s">
        <v>1365</v>
      </c>
      <c r="L2179" t="s">
        <v>26</v>
      </c>
      <c r="M2179">
        <v>363023</v>
      </c>
      <c r="N2179">
        <v>1</v>
      </c>
      <c r="O2179" s="3">
        <v>74950</v>
      </c>
      <c r="P2179" s="3">
        <v>23473</v>
      </c>
      <c r="Q2179" s="5">
        <f t="shared" si="99"/>
        <v>62983.193277310929</v>
      </c>
      <c r="R2179" s="5">
        <f t="shared" si="100"/>
        <v>23473</v>
      </c>
      <c r="S2179" s="5">
        <f t="shared" si="101"/>
        <v>39510.193277310929</v>
      </c>
    </row>
    <row r="2180" spans="1:19" hidden="1" x14ac:dyDescent="0.3">
      <c r="A2180">
        <v>140</v>
      </c>
      <c r="B2180" t="s">
        <v>3524</v>
      </c>
      <c r="C2180" t="s">
        <v>492</v>
      </c>
      <c r="D2180" s="2" t="s">
        <v>493</v>
      </c>
      <c r="E2180" t="s">
        <v>494</v>
      </c>
      <c r="F2180" t="s">
        <v>20</v>
      </c>
      <c r="G2180" t="s">
        <v>21</v>
      </c>
      <c r="H2180" t="s">
        <v>317</v>
      </c>
      <c r="I2180" t="s">
        <v>23</v>
      </c>
      <c r="J2180" t="s">
        <v>35</v>
      </c>
      <c r="K2180" s="2" t="s">
        <v>1365</v>
      </c>
      <c r="L2180" t="s">
        <v>26</v>
      </c>
      <c r="M2180">
        <v>363024</v>
      </c>
      <c r="N2180">
        <v>1</v>
      </c>
      <c r="O2180" s="3">
        <v>69950</v>
      </c>
      <c r="P2180" s="3">
        <v>23619</v>
      </c>
      <c r="Q2180" s="5">
        <f t="shared" si="99"/>
        <v>58781.512605042022</v>
      </c>
      <c r="R2180" s="5">
        <f t="shared" si="100"/>
        <v>23619</v>
      </c>
      <c r="S2180" s="5">
        <f t="shared" si="101"/>
        <v>35162.512605042022</v>
      </c>
    </row>
    <row r="2181" spans="1:19" hidden="1" x14ac:dyDescent="0.3">
      <c r="A2181">
        <v>140</v>
      </c>
      <c r="B2181" t="s">
        <v>3524</v>
      </c>
      <c r="C2181" t="s">
        <v>3823</v>
      </c>
      <c r="D2181" s="2" t="s">
        <v>3824</v>
      </c>
      <c r="E2181" t="s">
        <v>2473</v>
      </c>
      <c r="F2181" t="s">
        <v>20</v>
      </c>
      <c r="G2181" t="s">
        <v>21</v>
      </c>
      <c r="H2181" t="s">
        <v>114</v>
      </c>
      <c r="I2181" t="s">
        <v>23</v>
      </c>
      <c r="J2181" t="s">
        <v>49</v>
      </c>
      <c r="K2181" s="2" t="s">
        <v>1365</v>
      </c>
      <c r="L2181" t="s">
        <v>26</v>
      </c>
      <c r="M2181">
        <v>363025</v>
      </c>
      <c r="N2181">
        <v>-1</v>
      </c>
      <c r="O2181" s="3">
        <v>-49990</v>
      </c>
      <c r="P2181" s="3">
        <v>23514</v>
      </c>
      <c r="Q2181" s="5">
        <f t="shared" si="99"/>
        <v>-42008.403361344543</v>
      </c>
      <c r="R2181" s="5">
        <f t="shared" si="100"/>
        <v>-23514</v>
      </c>
      <c r="S2181" s="5">
        <f t="shared" si="101"/>
        <v>-18494.403361344543</v>
      </c>
    </row>
    <row r="2182" spans="1:19" hidden="1" x14ac:dyDescent="0.3">
      <c r="A2182">
        <v>140</v>
      </c>
      <c r="B2182" t="s">
        <v>3524</v>
      </c>
      <c r="C2182" t="s">
        <v>3915</v>
      </c>
      <c r="D2182" s="2" t="s">
        <v>3916</v>
      </c>
      <c r="E2182" t="s">
        <v>2473</v>
      </c>
      <c r="F2182" t="s">
        <v>20</v>
      </c>
      <c r="G2182" t="s">
        <v>21</v>
      </c>
      <c r="H2182" t="s">
        <v>114</v>
      </c>
      <c r="I2182" t="s">
        <v>23</v>
      </c>
      <c r="J2182" t="s">
        <v>49</v>
      </c>
      <c r="K2182" s="2" t="s">
        <v>1365</v>
      </c>
      <c r="L2182" t="s">
        <v>26</v>
      </c>
      <c r="M2182">
        <v>363025</v>
      </c>
      <c r="N2182">
        <v>1</v>
      </c>
      <c r="O2182" s="3">
        <v>49991</v>
      </c>
      <c r="P2182" s="3">
        <v>23514</v>
      </c>
      <c r="Q2182" s="5">
        <f t="shared" ref="Q2182:Q2245" si="102">O2182/1.19</f>
        <v>42009.243697478996</v>
      </c>
      <c r="R2182" s="5">
        <f t="shared" ref="R2182:R2245" si="103">N2182*P2182</f>
        <v>23514</v>
      </c>
      <c r="S2182" s="5">
        <f t="shared" ref="S2182:S2245" si="104">Q2182-R2182</f>
        <v>18495.243697478996</v>
      </c>
    </row>
    <row r="2183" spans="1:19" hidden="1" x14ac:dyDescent="0.3">
      <c r="A2183">
        <v>140</v>
      </c>
      <c r="B2183" t="s">
        <v>3524</v>
      </c>
      <c r="C2183" t="s">
        <v>3917</v>
      </c>
      <c r="D2183" s="2" t="s">
        <v>3918</v>
      </c>
      <c r="E2183" t="s">
        <v>3418</v>
      </c>
      <c r="F2183" t="s">
        <v>20</v>
      </c>
      <c r="G2183" t="s">
        <v>21</v>
      </c>
      <c r="H2183" t="s">
        <v>1418</v>
      </c>
      <c r="I2183" t="s">
        <v>23</v>
      </c>
      <c r="J2183" t="s">
        <v>35</v>
      </c>
      <c r="K2183" s="2" t="s">
        <v>1365</v>
      </c>
      <c r="L2183" t="s">
        <v>26</v>
      </c>
      <c r="M2183">
        <v>363026</v>
      </c>
      <c r="N2183">
        <v>1</v>
      </c>
      <c r="O2183" s="3">
        <v>94950</v>
      </c>
      <c r="P2183" s="3">
        <v>30749</v>
      </c>
      <c r="Q2183" s="5">
        <f t="shared" si="102"/>
        <v>79789.915966386558</v>
      </c>
      <c r="R2183" s="5">
        <f t="shared" si="103"/>
        <v>30749</v>
      </c>
      <c r="S2183" s="5">
        <f t="shared" si="104"/>
        <v>49040.915966386558</v>
      </c>
    </row>
    <row r="2184" spans="1:19" hidden="1" x14ac:dyDescent="0.3">
      <c r="A2184">
        <v>140</v>
      </c>
      <c r="B2184" t="s">
        <v>3524</v>
      </c>
      <c r="C2184" t="s">
        <v>3743</v>
      </c>
      <c r="D2184" s="2" t="s">
        <v>3744</v>
      </c>
      <c r="E2184" t="s">
        <v>1709</v>
      </c>
      <c r="F2184" t="s">
        <v>20</v>
      </c>
      <c r="G2184" t="s">
        <v>21</v>
      </c>
      <c r="H2184" t="s">
        <v>970</v>
      </c>
      <c r="I2184" t="s">
        <v>23</v>
      </c>
      <c r="J2184" t="s">
        <v>40</v>
      </c>
      <c r="K2184" s="2" t="s">
        <v>1365</v>
      </c>
      <c r="L2184" t="s">
        <v>26</v>
      </c>
      <c r="M2184">
        <v>363027</v>
      </c>
      <c r="N2184">
        <v>1</v>
      </c>
      <c r="O2184" s="3">
        <v>49990</v>
      </c>
      <c r="P2184" s="3">
        <v>18897</v>
      </c>
      <c r="Q2184" s="5">
        <f t="shared" si="102"/>
        <v>42008.403361344543</v>
      </c>
      <c r="R2184" s="5">
        <f t="shared" si="103"/>
        <v>18897</v>
      </c>
      <c r="S2184" s="5">
        <f t="shared" si="104"/>
        <v>23111.403361344543</v>
      </c>
    </row>
    <row r="2185" spans="1:19" hidden="1" x14ac:dyDescent="0.3">
      <c r="A2185">
        <v>140</v>
      </c>
      <c r="B2185" t="s">
        <v>3524</v>
      </c>
      <c r="C2185" t="s">
        <v>3603</v>
      </c>
      <c r="D2185" s="2" t="s">
        <v>3604</v>
      </c>
      <c r="E2185" t="s">
        <v>428</v>
      </c>
      <c r="F2185" t="s">
        <v>20</v>
      </c>
      <c r="G2185" t="s">
        <v>21</v>
      </c>
      <c r="H2185" t="s">
        <v>429</v>
      </c>
      <c r="I2185" t="s">
        <v>23</v>
      </c>
      <c r="J2185" t="s">
        <v>49</v>
      </c>
      <c r="K2185" s="2" t="s">
        <v>1365</v>
      </c>
      <c r="L2185" t="s">
        <v>26</v>
      </c>
      <c r="M2185">
        <v>363028</v>
      </c>
      <c r="N2185">
        <v>1</v>
      </c>
      <c r="O2185" s="3">
        <v>59960</v>
      </c>
      <c r="P2185" s="3">
        <v>28718</v>
      </c>
      <c r="Q2185" s="5">
        <f t="shared" si="102"/>
        <v>50386.554621848743</v>
      </c>
      <c r="R2185" s="5">
        <f t="shared" si="103"/>
        <v>28718</v>
      </c>
      <c r="S2185" s="5">
        <f t="shared" si="104"/>
        <v>21668.554621848743</v>
      </c>
    </row>
    <row r="2186" spans="1:19" hidden="1" x14ac:dyDescent="0.3">
      <c r="A2186">
        <v>140</v>
      </c>
      <c r="B2186" t="s">
        <v>3524</v>
      </c>
      <c r="C2186" t="s">
        <v>2806</v>
      </c>
      <c r="D2186" s="2" t="s">
        <v>2807</v>
      </c>
      <c r="E2186" t="s">
        <v>1754</v>
      </c>
      <c r="F2186" t="s">
        <v>20</v>
      </c>
      <c r="G2186" t="s">
        <v>21</v>
      </c>
      <c r="H2186" t="s">
        <v>1755</v>
      </c>
      <c r="I2186" t="s">
        <v>23</v>
      </c>
      <c r="J2186" t="s">
        <v>40</v>
      </c>
      <c r="K2186" s="2" t="s">
        <v>1365</v>
      </c>
      <c r="L2186" t="s">
        <v>26</v>
      </c>
      <c r="M2186">
        <v>363029</v>
      </c>
      <c r="N2186">
        <v>1</v>
      </c>
      <c r="O2186" s="3">
        <v>39970</v>
      </c>
      <c r="P2186" s="3">
        <v>28528</v>
      </c>
      <c r="Q2186" s="5">
        <f t="shared" si="102"/>
        <v>33588.23529411765</v>
      </c>
      <c r="R2186" s="5">
        <f t="shared" si="103"/>
        <v>28528</v>
      </c>
      <c r="S2186" s="5">
        <f t="shared" si="104"/>
        <v>5060.2352941176505</v>
      </c>
    </row>
    <row r="2187" spans="1:19" hidden="1" x14ac:dyDescent="0.3">
      <c r="A2187">
        <v>140</v>
      </c>
      <c r="B2187" t="s">
        <v>3524</v>
      </c>
      <c r="C2187" t="s">
        <v>2762</v>
      </c>
      <c r="D2187" s="2" t="s">
        <v>2763</v>
      </c>
      <c r="E2187" t="s">
        <v>2764</v>
      </c>
      <c r="F2187" t="s">
        <v>20</v>
      </c>
      <c r="G2187" t="s">
        <v>21</v>
      </c>
      <c r="H2187" t="s">
        <v>742</v>
      </c>
      <c r="I2187" t="s">
        <v>23</v>
      </c>
      <c r="J2187" t="s">
        <v>40</v>
      </c>
      <c r="K2187" s="2" t="s">
        <v>1365</v>
      </c>
      <c r="L2187" t="s">
        <v>26</v>
      </c>
      <c r="M2187">
        <v>363030</v>
      </c>
      <c r="N2187">
        <v>1</v>
      </c>
      <c r="O2187" s="3">
        <v>63700</v>
      </c>
      <c r="P2187" s="3">
        <v>22440</v>
      </c>
      <c r="Q2187" s="5">
        <f t="shared" si="102"/>
        <v>53529.411764705888</v>
      </c>
      <c r="R2187" s="5">
        <f t="shared" si="103"/>
        <v>22440</v>
      </c>
      <c r="S2187" s="5">
        <f t="shared" si="104"/>
        <v>31089.411764705888</v>
      </c>
    </row>
    <row r="2188" spans="1:19" hidden="1" x14ac:dyDescent="0.3">
      <c r="A2188">
        <v>140</v>
      </c>
      <c r="B2188" t="s">
        <v>3524</v>
      </c>
      <c r="C2188" t="s">
        <v>3919</v>
      </c>
      <c r="D2188" s="2" t="s">
        <v>3920</v>
      </c>
      <c r="E2188" t="s">
        <v>3684</v>
      </c>
      <c r="F2188" t="s">
        <v>20</v>
      </c>
      <c r="G2188" t="s">
        <v>21</v>
      </c>
      <c r="H2188" t="s">
        <v>114</v>
      </c>
      <c r="I2188" t="s">
        <v>23</v>
      </c>
      <c r="J2188" t="s">
        <v>49</v>
      </c>
      <c r="K2188" s="2" t="s">
        <v>1365</v>
      </c>
      <c r="L2188" t="s">
        <v>26</v>
      </c>
      <c r="M2188">
        <v>363031</v>
      </c>
      <c r="N2188">
        <v>1</v>
      </c>
      <c r="O2188" s="3">
        <v>49990</v>
      </c>
      <c r="P2188" s="3">
        <v>23514</v>
      </c>
      <c r="Q2188" s="5">
        <f t="shared" si="102"/>
        <v>42008.403361344543</v>
      </c>
      <c r="R2188" s="5">
        <f t="shared" si="103"/>
        <v>23514</v>
      </c>
      <c r="S2188" s="5">
        <f t="shared" si="104"/>
        <v>18494.403361344543</v>
      </c>
    </row>
    <row r="2189" spans="1:19" hidden="1" x14ac:dyDescent="0.3">
      <c r="A2189">
        <v>140</v>
      </c>
      <c r="B2189" t="s">
        <v>3524</v>
      </c>
      <c r="C2189" t="s">
        <v>3598</v>
      </c>
      <c r="D2189" s="2" t="s">
        <v>3599</v>
      </c>
      <c r="E2189" t="s">
        <v>3600</v>
      </c>
      <c r="F2189" t="s">
        <v>20</v>
      </c>
      <c r="G2189" t="s">
        <v>21</v>
      </c>
      <c r="H2189" t="s">
        <v>114</v>
      </c>
      <c r="I2189" t="s">
        <v>23</v>
      </c>
      <c r="J2189" t="s">
        <v>49</v>
      </c>
      <c r="K2189" s="2" t="s">
        <v>1450</v>
      </c>
      <c r="L2189" t="s">
        <v>26</v>
      </c>
      <c r="M2189">
        <v>363032</v>
      </c>
      <c r="N2189">
        <v>1</v>
      </c>
      <c r="O2189" s="3">
        <v>69950</v>
      </c>
      <c r="P2189" s="3">
        <v>24683</v>
      </c>
      <c r="Q2189" s="5">
        <f t="shared" si="102"/>
        <v>58781.512605042022</v>
      </c>
      <c r="R2189" s="5">
        <f t="shared" si="103"/>
        <v>24683</v>
      </c>
      <c r="S2189" s="5">
        <f t="shared" si="104"/>
        <v>34098.512605042022</v>
      </c>
    </row>
    <row r="2190" spans="1:19" hidden="1" x14ac:dyDescent="0.3">
      <c r="A2190">
        <v>140</v>
      </c>
      <c r="B2190" t="s">
        <v>3524</v>
      </c>
      <c r="C2190" t="s">
        <v>3921</v>
      </c>
      <c r="D2190" s="2" t="s">
        <v>3922</v>
      </c>
      <c r="E2190" t="s">
        <v>3849</v>
      </c>
      <c r="F2190" t="s">
        <v>20</v>
      </c>
      <c r="G2190" t="s">
        <v>21</v>
      </c>
      <c r="H2190" t="s">
        <v>2364</v>
      </c>
      <c r="I2190" t="s">
        <v>23</v>
      </c>
      <c r="J2190" t="s">
        <v>40</v>
      </c>
      <c r="K2190" s="2" t="s">
        <v>1450</v>
      </c>
      <c r="L2190" t="s">
        <v>26</v>
      </c>
      <c r="M2190">
        <v>363033</v>
      </c>
      <c r="N2190">
        <v>1</v>
      </c>
      <c r="O2190" s="3">
        <v>39990</v>
      </c>
      <c r="P2190" s="3">
        <v>30472</v>
      </c>
      <c r="Q2190" s="5">
        <f t="shared" si="102"/>
        <v>33605.042016806721</v>
      </c>
      <c r="R2190" s="5">
        <f t="shared" si="103"/>
        <v>30472</v>
      </c>
      <c r="S2190" s="5">
        <f t="shared" si="104"/>
        <v>3133.0420168067212</v>
      </c>
    </row>
    <row r="2191" spans="1:19" hidden="1" x14ac:dyDescent="0.3">
      <c r="A2191">
        <v>140</v>
      </c>
      <c r="B2191" t="s">
        <v>3524</v>
      </c>
      <c r="C2191" t="s">
        <v>2739</v>
      </c>
      <c r="D2191" s="2" t="s">
        <v>2740</v>
      </c>
      <c r="E2191" t="s">
        <v>2741</v>
      </c>
      <c r="F2191" t="s">
        <v>20</v>
      </c>
      <c r="G2191" t="s">
        <v>21</v>
      </c>
      <c r="H2191" t="s">
        <v>2494</v>
      </c>
      <c r="I2191" t="s">
        <v>23</v>
      </c>
      <c r="J2191" t="s">
        <v>40</v>
      </c>
      <c r="K2191" s="2" t="s">
        <v>1450</v>
      </c>
      <c r="L2191" t="s">
        <v>26</v>
      </c>
      <c r="M2191">
        <v>363034</v>
      </c>
      <c r="N2191">
        <v>1</v>
      </c>
      <c r="O2191" s="3">
        <v>69950</v>
      </c>
      <c r="P2191" s="3">
        <v>23470</v>
      </c>
      <c r="Q2191" s="5">
        <f t="shared" si="102"/>
        <v>58781.512605042022</v>
      </c>
      <c r="R2191" s="5">
        <f t="shared" si="103"/>
        <v>23470</v>
      </c>
      <c r="S2191" s="5">
        <f t="shared" si="104"/>
        <v>35311.512605042022</v>
      </c>
    </row>
    <row r="2192" spans="1:19" hidden="1" x14ac:dyDescent="0.3">
      <c r="A2192">
        <v>140</v>
      </c>
      <c r="B2192" t="s">
        <v>3524</v>
      </c>
      <c r="C2192" t="s">
        <v>3251</v>
      </c>
      <c r="D2192" s="2" t="s">
        <v>3252</v>
      </c>
      <c r="E2192" t="s">
        <v>2226</v>
      </c>
      <c r="F2192" t="s">
        <v>20</v>
      </c>
      <c r="G2192" t="s">
        <v>21</v>
      </c>
      <c r="H2192" t="s">
        <v>53</v>
      </c>
      <c r="I2192" t="s">
        <v>23</v>
      </c>
      <c r="J2192" t="s">
        <v>49</v>
      </c>
      <c r="K2192" s="2" t="s">
        <v>1450</v>
      </c>
      <c r="L2192" t="s">
        <v>26</v>
      </c>
      <c r="M2192">
        <v>363035</v>
      </c>
      <c r="N2192">
        <v>1</v>
      </c>
      <c r="O2192" s="3">
        <v>69951</v>
      </c>
      <c r="P2192" s="3">
        <v>20749</v>
      </c>
      <c r="Q2192" s="5">
        <f t="shared" si="102"/>
        <v>58782.352941176476</v>
      </c>
      <c r="R2192" s="5">
        <f t="shared" si="103"/>
        <v>20749</v>
      </c>
      <c r="S2192" s="5">
        <f t="shared" si="104"/>
        <v>38033.352941176476</v>
      </c>
    </row>
    <row r="2193" spans="1:19" hidden="1" x14ac:dyDescent="0.3">
      <c r="A2193">
        <v>140</v>
      </c>
      <c r="B2193" t="s">
        <v>3524</v>
      </c>
      <c r="C2193" t="s">
        <v>2948</v>
      </c>
      <c r="D2193" s="2" t="s">
        <v>2949</v>
      </c>
      <c r="E2193" t="s">
        <v>2226</v>
      </c>
      <c r="F2193" t="s">
        <v>20</v>
      </c>
      <c r="G2193" t="s">
        <v>21</v>
      </c>
      <c r="H2193" t="s">
        <v>53</v>
      </c>
      <c r="I2193" t="s">
        <v>23</v>
      </c>
      <c r="J2193" t="s">
        <v>49</v>
      </c>
      <c r="K2193" s="2" t="s">
        <v>1450</v>
      </c>
      <c r="L2193" t="s">
        <v>26</v>
      </c>
      <c r="M2193">
        <v>363035</v>
      </c>
      <c r="N2193">
        <v>-1</v>
      </c>
      <c r="O2193" s="3">
        <v>-69950</v>
      </c>
      <c r="P2193" s="3">
        <v>21044</v>
      </c>
      <c r="Q2193" s="5">
        <f t="shared" si="102"/>
        <v>-58781.512605042022</v>
      </c>
      <c r="R2193" s="5">
        <f t="shared" si="103"/>
        <v>-21044</v>
      </c>
      <c r="S2193" s="5">
        <f t="shared" si="104"/>
        <v>-37737.512605042022</v>
      </c>
    </row>
    <row r="2194" spans="1:19" hidden="1" x14ac:dyDescent="0.3">
      <c r="A2194">
        <v>140</v>
      </c>
      <c r="B2194" t="s">
        <v>3524</v>
      </c>
      <c r="C2194" t="s">
        <v>3923</v>
      </c>
      <c r="D2194" s="2" t="s">
        <v>3924</v>
      </c>
      <c r="E2194" t="s">
        <v>3051</v>
      </c>
      <c r="F2194" t="s">
        <v>20</v>
      </c>
      <c r="G2194" t="s">
        <v>21</v>
      </c>
      <c r="H2194" t="s">
        <v>1440</v>
      </c>
      <c r="I2194" t="s">
        <v>23</v>
      </c>
      <c r="J2194" t="s">
        <v>40</v>
      </c>
      <c r="K2194" s="2" t="s">
        <v>1450</v>
      </c>
      <c r="L2194" t="s">
        <v>26</v>
      </c>
      <c r="M2194">
        <v>363036</v>
      </c>
      <c r="N2194">
        <v>1</v>
      </c>
      <c r="O2194" s="3">
        <v>64950</v>
      </c>
      <c r="P2194" s="3">
        <v>17328</v>
      </c>
      <c r="Q2194" s="5">
        <f t="shared" si="102"/>
        <v>54579.831932773115</v>
      </c>
      <c r="R2194" s="5">
        <f t="shared" si="103"/>
        <v>17328</v>
      </c>
      <c r="S2194" s="5">
        <f t="shared" si="104"/>
        <v>37251.831932773115</v>
      </c>
    </row>
    <row r="2195" spans="1:19" hidden="1" x14ac:dyDescent="0.3">
      <c r="A2195">
        <v>140</v>
      </c>
      <c r="B2195" t="s">
        <v>3524</v>
      </c>
      <c r="C2195" t="s">
        <v>3925</v>
      </c>
      <c r="D2195" s="2" t="s">
        <v>3926</v>
      </c>
      <c r="E2195" t="s">
        <v>3127</v>
      </c>
      <c r="F2195" t="s">
        <v>20</v>
      </c>
      <c r="G2195" t="s">
        <v>21</v>
      </c>
      <c r="H2195" t="s">
        <v>3128</v>
      </c>
      <c r="I2195" t="s">
        <v>23</v>
      </c>
      <c r="J2195" t="s">
        <v>35</v>
      </c>
      <c r="K2195" s="2" t="s">
        <v>1450</v>
      </c>
      <c r="L2195" t="s">
        <v>26</v>
      </c>
      <c r="M2195">
        <v>363037</v>
      </c>
      <c r="N2195">
        <v>1</v>
      </c>
      <c r="O2195" s="3">
        <v>72200</v>
      </c>
      <c r="P2195" s="3">
        <v>29189</v>
      </c>
      <c r="Q2195" s="5">
        <f t="shared" si="102"/>
        <v>60672.268907563026</v>
      </c>
      <c r="R2195" s="5">
        <f t="shared" si="103"/>
        <v>29189</v>
      </c>
      <c r="S2195" s="5">
        <f t="shared" si="104"/>
        <v>31483.268907563026</v>
      </c>
    </row>
    <row r="2196" spans="1:19" hidden="1" x14ac:dyDescent="0.3">
      <c r="A2196">
        <v>140</v>
      </c>
      <c r="B2196" t="s">
        <v>3524</v>
      </c>
      <c r="C2196" t="s">
        <v>3039</v>
      </c>
      <c r="D2196" s="2" t="s">
        <v>3040</v>
      </c>
      <c r="E2196" t="s">
        <v>3041</v>
      </c>
      <c r="F2196" t="s">
        <v>20</v>
      </c>
      <c r="G2196" t="s">
        <v>338</v>
      </c>
      <c r="H2196">
        <v>25327</v>
      </c>
      <c r="I2196" t="s">
        <v>23</v>
      </c>
      <c r="J2196" t="s">
        <v>35</v>
      </c>
      <c r="K2196" s="2" t="s">
        <v>1450</v>
      </c>
      <c r="L2196" t="s">
        <v>26</v>
      </c>
      <c r="M2196">
        <v>363038</v>
      </c>
      <c r="N2196">
        <v>1</v>
      </c>
      <c r="O2196" s="3">
        <v>74950</v>
      </c>
      <c r="P2196" s="3">
        <v>23119</v>
      </c>
      <c r="Q2196" s="5">
        <f t="shared" si="102"/>
        <v>62983.193277310929</v>
      </c>
      <c r="R2196" s="5">
        <f t="shared" si="103"/>
        <v>23119</v>
      </c>
      <c r="S2196" s="5">
        <f t="shared" si="104"/>
        <v>39864.193277310929</v>
      </c>
    </row>
    <row r="2197" spans="1:19" hidden="1" x14ac:dyDescent="0.3">
      <c r="A2197">
        <v>140</v>
      </c>
      <c r="B2197" t="s">
        <v>3524</v>
      </c>
      <c r="C2197" t="s">
        <v>492</v>
      </c>
      <c r="D2197" s="2" t="s">
        <v>493</v>
      </c>
      <c r="E2197" t="s">
        <v>494</v>
      </c>
      <c r="F2197" t="s">
        <v>20</v>
      </c>
      <c r="G2197" t="s">
        <v>21</v>
      </c>
      <c r="H2197" t="s">
        <v>317</v>
      </c>
      <c r="I2197" t="s">
        <v>23</v>
      </c>
      <c r="J2197" t="s">
        <v>35</v>
      </c>
      <c r="K2197" s="2" t="s">
        <v>1450</v>
      </c>
      <c r="L2197" t="s">
        <v>26</v>
      </c>
      <c r="M2197">
        <v>363039</v>
      </c>
      <c r="N2197">
        <v>1</v>
      </c>
      <c r="O2197" s="3">
        <v>69950</v>
      </c>
      <c r="P2197" s="3">
        <v>23619</v>
      </c>
      <c r="Q2197" s="5">
        <f t="shared" si="102"/>
        <v>58781.512605042022</v>
      </c>
      <c r="R2197" s="5">
        <f t="shared" si="103"/>
        <v>23619</v>
      </c>
      <c r="S2197" s="5">
        <f t="shared" si="104"/>
        <v>35162.512605042022</v>
      </c>
    </row>
    <row r="2198" spans="1:19" hidden="1" x14ac:dyDescent="0.3">
      <c r="A2198">
        <v>140</v>
      </c>
      <c r="B2198" t="s">
        <v>3524</v>
      </c>
      <c r="C2198" t="s">
        <v>3685</v>
      </c>
      <c r="D2198" s="2" t="s">
        <v>3686</v>
      </c>
      <c r="E2198" t="s">
        <v>485</v>
      </c>
      <c r="F2198" t="s">
        <v>20</v>
      </c>
      <c r="G2198" t="s">
        <v>21</v>
      </c>
      <c r="H2198" t="s">
        <v>247</v>
      </c>
      <c r="I2198" t="s">
        <v>23</v>
      </c>
      <c r="J2198" t="s">
        <v>40</v>
      </c>
      <c r="K2198" s="2" t="s">
        <v>1450</v>
      </c>
      <c r="L2198" t="s">
        <v>26</v>
      </c>
      <c r="M2198">
        <v>363040</v>
      </c>
      <c r="N2198">
        <v>1</v>
      </c>
      <c r="O2198" s="3">
        <v>34990</v>
      </c>
      <c r="P2198" s="3">
        <v>18045</v>
      </c>
      <c r="Q2198" s="5">
        <f t="shared" si="102"/>
        <v>29403.361344537818</v>
      </c>
      <c r="R2198" s="5">
        <f t="shared" si="103"/>
        <v>18045</v>
      </c>
      <c r="S2198" s="5">
        <f t="shared" si="104"/>
        <v>11358.361344537818</v>
      </c>
    </row>
    <row r="2199" spans="1:19" hidden="1" x14ac:dyDescent="0.3">
      <c r="A2199">
        <v>140</v>
      </c>
      <c r="B2199" t="s">
        <v>3524</v>
      </c>
      <c r="C2199">
        <v>1687976791</v>
      </c>
      <c r="D2199" s="2" t="s">
        <v>200</v>
      </c>
      <c r="E2199" t="s">
        <v>201</v>
      </c>
      <c r="F2199" t="s">
        <v>201</v>
      </c>
      <c r="G2199" t="s">
        <v>202</v>
      </c>
      <c r="H2199" t="s">
        <v>202</v>
      </c>
      <c r="I2199" t="s">
        <v>23</v>
      </c>
      <c r="J2199" t="s">
        <v>202</v>
      </c>
      <c r="K2199" s="2" t="s">
        <v>1450</v>
      </c>
      <c r="L2199" t="s">
        <v>26</v>
      </c>
      <c r="M2199">
        <v>363040</v>
      </c>
      <c r="N2199">
        <v>1</v>
      </c>
      <c r="O2199" s="3">
        <v>2000</v>
      </c>
      <c r="P2199">
        <v>1</v>
      </c>
      <c r="Q2199" s="5">
        <f t="shared" si="102"/>
        <v>1680.6722689075632</v>
      </c>
      <c r="R2199" s="5">
        <f t="shared" si="103"/>
        <v>1</v>
      </c>
      <c r="S2199" s="5">
        <f t="shared" si="104"/>
        <v>1679.6722689075632</v>
      </c>
    </row>
    <row r="2200" spans="1:19" hidden="1" x14ac:dyDescent="0.3">
      <c r="A2200">
        <v>140</v>
      </c>
      <c r="B2200" t="s">
        <v>3524</v>
      </c>
      <c r="C2200" t="s">
        <v>3927</v>
      </c>
      <c r="D2200" s="2" t="s">
        <v>3928</v>
      </c>
      <c r="E2200" t="s">
        <v>3619</v>
      </c>
      <c r="F2200" t="s">
        <v>20</v>
      </c>
      <c r="G2200" t="s">
        <v>21</v>
      </c>
      <c r="H2200" t="s">
        <v>874</v>
      </c>
      <c r="I2200" t="s">
        <v>23</v>
      </c>
      <c r="J2200" t="s">
        <v>95</v>
      </c>
      <c r="K2200" s="2" t="s">
        <v>1450</v>
      </c>
      <c r="L2200" t="s">
        <v>26</v>
      </c>
      <c r="M2200">
        <v>363041</v>
      </c>
      <c r="N2200">
        <v>1</v>
      </c>
      <c r="O2200" s="3">
        <v>39990</v>
      </c>
      <c r="P2200" s="3">
        <v>21627</v>
      </c>
      <c r="Q2200" s="5">
        <f t="shared" si="102"/>
        <v>33605.042016806721</v>
      </c>
      <c r="R2200" s="5">
        <f t="shared" si="103"/>
        <v>21627</v>
      </c>
      <c r="S2200" s="5">
        <f t="shared" si="104"/>
        <v>11978.042016806721</v>
      </c>
    </row>
    <row r="2201" spans="1:19" hidden="1" x14ac:dyDescent="0.3">
      <c r="A2201">
        <v>140</v>
      </c>
      <c r="B2201" t="s">
        <v>3524</v>
      </c>
      <c r="C2201" t="s">
        <v>2739</v>
      </c>
      <c r="D2201" s="2" t="s">
        <v>2740</v>
      </c>
      <c r="E2201" t="s">
        <v>2741</v>
      </c>
      <c r="F2201" t="s">
        <v>20</v>
      </c>
      <c r="G2201" t="s">
        <v>21</v>
      </c>
      <c r="H2201" t="s">
        <v>2494</v>
      </c>
      <c r="I2201" t="s">
        <v>23</v>
      </c>
      <c r="J2201" t="s">
        <v>40</v>
      </c>
      <c r="K2201" s="2" t="s">
        <v>1450</v>
      </c>
      <c r="L2201" t="s">
        <v>26</v>
      </c>
      <c r="M2201">
        <v>363042</v>
      </c>
      <c r="N2201">
        <v>1</v>
      </c>
      <c r="O2201" s="3">
        <v>69950</v>
      </c>
      <c r="P2201" s="3">
        <v>23470</v>
      </c>
      <c r="Q2201" s="5">
        <f t="shared" si="102"/>
        <v>58781.512605042022</v>
      </c>
      <c r="R2201" s="5">
        <f t="shared" si="103"/>
        <v>23470</v>
      </c>
      <c r="S2201" s="5">
        <f t="shared" si="104"/>
        <v>35311.512605042022</v>
      </c>
    </row>
    <row r="2202" spans="1:19" hidden="1" x14ac:dyDescent="0.3">
      <c r="A2202">
        <v>140</v>
      </c>
      <c r="B2202" t="s">
        <v>3524</v>
      </c>
      <c r="C2202" t="s">
        <v>3929</v>
      </c>
      <c r="D2202" s="2" t="s">
        <v>3930</v>
      </c>
      <c r="E2202" t="s">
        <v>3747</v>
      </c>
      <c r="F2202" t="s">
        <v>20</v>
      </c>
      <c r="G2202" t="s">
        <v>21</v>
      </c>
      <c r="H2202" t="s">
        <v>224</v>
      </c>
      <c r="I2202" t="s">
        <v>23</v>
      </c>
      <c r="J2202" t="s">
        <v>49</v>
      </c>
      <c r="K2202" s="2" t="s">
        <v>1450</v>
      </c>
      <c r="L2202" t="s">
        <v>26</v>
      </c>
      <c r="M2202">
        <v>363043</v>
      </c>
      <c r="N2202">
        <v>1</v>
      </c>
      <c r="O2202" s="3">
        <v>45041</v>
      </c>
      <c r="P2202" s="3">
        <v>27462</v>
      </c>
      <c r="Q2202" s="5">
        <f t="shared" si="102"/>
        <v>37849.579831932773</v>
      </c>
      <c r="R2202" s="5">
        <f t="shared" si="103"/>
        <v>27462</v>
      </c>
      <c r="S2202" s="5">
        <f t="shared" si="104"/>
        <v>10387.579831932773</v>
      </c>
    </row>
    <row r="2203" spans="1:19" hidden="1" x14ac:dyDescent="0.3">
      <c r="A2203">
        <v>140</v>
      </c>
      <c r="B2203" t="s">
        <v>3524</v>
      </c>
      <c r="C2203" t="s">
        <v>3730</v>
      </c>
      <c r="D2203" s="2" t="s">
        <v>3731</v>
      </c>
      <c r="E2203" t="s">
        <v>3691</v>
      </c>
      <c r="F2203" t="s">
        <v>20</v>
      </c>
      <c r="G2203" t="s">
        <v>338</v>
      </c>
      <c r="H2203">
        <v>23727</v>
      </c>
      <c r="I2203" t="s">
        <v>23</v>
      </c>
      <c r="J2203" t="s">
        <v>40</v>
      </c>
      <c r="K2203" s="2" t="s">
        <v>1450</v>
      </c>
      <c r="L2203" t="s">
        <v>26</v>
      </c>
      <c r="M2203">
        <v>363043</v>
      </c>
      <c r="N2203">
        <v>-1</v>
      </c>
      <c r="O2203" s="3">
        <v>-49990</v>
      </c>
      <c r="P2203" s="3">
        <v>26539</v>
      </c>
      <c r="Q2203" s="5">
        <f t="shared" si="102"/>
        <v>-42008.403361344543</v>
      </c>
      <c r="R2203" s="5">
        <f t="shared" si="103"/>
        <v>-26539</v>
      </c>
      <c r="S2203" s="5">
        <f t="shared" si="104"/>
        <v>-15469.403361344543</v>
      </c>
    </row>
    <row r="2204" spans="1:19" hidden="1" x14ac:dyDescent="0.3">
      <c r="A2204">
        <v>140</v>
      </c>
      <c r="B2204" t="s">
        <v>3524</v>
      </c>
      <c r="C2204" t="s">
        <v>3263</v>
      </c>
      <c r="D2204" s="2" t="s">
        <v>3264</v>
      </c>
      <c r="E2204" t="s">
        <v>3265</v>
      </c>
      <c r="F2204" t="s">
        <v>377</v>
      </c>
      <c r="G2204" t="s">
        <v>21</v>
      </c>
      <c r="H2204" t="s">
        <v>378</v>
      </c>
      <c r="I2204" t="s">
        <v>23</v>
      </c>
      <c r="J2204" t="s">
        <v>379</v>
      </c>
      <c r="K2204" s="2" t="s">
        <v>1450</v>
      </c>
      <c r="L2204" t="s">
        <v>26</v>
      </c>
      <c r="M2204">
        <v>363043</v>
      </c>
      <c r="N2204">
        <v>1</v>
      </c>
      <c r="O2204" s="3">
        <v>4950</v>
      </c>
      <c r="P2204" s="3">
        <v>2701</v>
      </c>
      <c r="Q2204" s="5">
        <f t="shared" si="102"/>
        <v>4159.6638655462184</v>
      </c>
      <c r="R2204" s="5">
        <f t="shared" si="103"/>
        <v>2701</v>
      </c>
      <c r="S2204" s="5">
        <f t="shared" si="104"/>
        <v>1458.6638655462184</v>
      </c>
    </row>
    <row r="2205" spans="1:19" hidden="1" x14ac:dyDescent="0.3">
      <c r="A2205">
        <v>140</v>
      </c>
      <c r="B2205" t="s">
        <v>3524</v>
      </c>
      <c r="C2205" t="s">
        <v>3931</v>
      </c>
      <c r="D2205" s="2" t="s">
        <v>3932</v>
      </c>
      <c r="E2205" t="s">
        <v>2877</v>
      </c>
      <c r="F2205" t="s">
        <v>20</v>
      </c>
      <c r="G2205" t="s">
        <v>21</v>
      </c>
      <c r="H2205" t="s">
        <v>30</v>
      </c>
      <c r="I2205" t="s">
        <v>23</v>
      </c>
      <c r="J2205" t="s">
        <v>49</v>
      </c>
      <c r="K2205" s="2" t="s">
        <v>1450</v>
      </c>
      <c r="L2205" t="s">
        <v>26</v>
      </c>
      <c r="M2205">
        <v>363044</v>
      </c>
      <c r="N2205">
        <v>1</v>
      </c>
      <c r="O2205" s="3">
        <v>59450</v>
      </c>
      <c r="P2205" s="3">
        <v>26131</v>
      </c>
      <c r="Q2205" s="5">
        <f t="shared" si="102"/>
        <v>49957.983193277316</v>
      </c>
      <c r="R2205" s="5">
        <f t="shared" si="103"/>
        <v>26131</v>
      </c>
      <c r="S2205" s="5">
        <f t="shared" si="104"/>
        <v>23826.983193277316</v>
      </c>
    </row>
    <row r="2206" spans="1:19" hidden="1" x14ac:dyDescent="0.3">
      <c r="A2206">
        <v>140</v>
      </c>
      <c r="B2206" t="s">
        <v>3524</v>
      </c>
      <c r="C2206" t="s">
        <v>3933</v>
      </c>
      <c r="D2206" s="2" t="s">
        <v>3934</v>
      </c>
      <c r="E2206" t="s">
        <v>3747</v>
      </c>
      <c r="F2206" t="s">
        <v>20</v>
      </c>
      <c r="G2206" t="s">
        <v>21</v>
      </c>
      <c r="H2206" t="s">
        <v>224</v>
      </c>
      <c r="I2206" t="s">
        <v>23</v>
      </c>
      <c r="J2206" t="s">
        <v>49</v>
      </c>
      <c r="K2206" s="2" t="s">
        <v>1450</v>
      </c>
      <c r="L2206" t="s">
        <v>26</v>
      </c>
      <c r="M2206">
        <v>363044</v>
      </c>
      <c r="N2206">
        <v>1</v>
      </c>
      <c r="O2206" s="3">
        <v>44990</v>
      </c>
      <c r="P2206" s="3">
        <v>27483</v>
      </c>
      <c r="Q2206" s="5">
        <f t="shared" si="102"/>
        <v>37806.722689075636</v>
      </c>
      <c r="R2206" s="5">
        <f t="shared" si="103"/>
        <v>27483</v>
      </c>
      <c r="S2206" s="5">
        <f t="shared" si="104"/>
        <v>10323.722689075636</v>
      </c>
    </row>
    <row r="2207" spans="1:19" hidden="1" x14ac:dyDescent="0.3">
      <c r="A2207">
        <v>140</v>
      </c>
      <c r="B2207" t="s">
        <v>3524</v>
      </c>
      <c r="C2207" t="s">
        <v>3443</v>
      </c>
      <c r="D2207" s="2" t="s">
        <v>3444</v>
      </c>
      <c r="E2207" t="s">
        <v>1791</v>
      </c>
      <c r="F2207" t="s">
        <v>20</v>
      </c>
      <c r="G2207" t="s">
        <v>21</v>
      </c>
      <c r="H2207" t="s">
        <v>742</v>
      </c>
      <c r="I2207" t="s">
        <v>23</v>
      </c>
      <c r="J2207" t="s">
        <v>40</v>
      </c>
      <c r="K2207" s="2" t="s">
        <v>1450</v>
      </c>
      <c r="L2207" t="s">
        <v>26</v>
      </c>
      <c r="M2207">
        <v>363045</v>
      </c>
      <c r="N2207">
        <v>1</v>
      </c>
      <c r="O2207" s="3">
        <v>67950</v>
      </c>
      <c r="P2207" s="3">
        <v>26517</v>
      </c>
      <c r="Q2207" s="5">
        <f t="shared" si="102"/>
        <v>57100.840336134454</v>
      </c>
      <c r="R2207" s="5">
        <f t="shared" si="103"/>
        <v>26517</v>
      </c>
      <c r="S2207" s="5">
        <f t="shared" si="104"/>
        <v>30583.840336134454</v>
      </c>
    </row>
    <row r="2208" spans="1:19" hidden="1" x14ac:dyDescent="0.3">
      <c r="A2208">
        <v>140</v>
      </c>
      <c r="B2208" t="s">
        <v>3524</v>
      </c>
      <c r="C2208" t="s">
        <v>3935</v>
      </c>
      <c r="D2208" s="2" t="s">
        <v>3936</v>
      </c>
      <c r="E2208" t="s">
        <v>1330</v>
      </c>
      <c r="F2208" t="s">
        <v>20</v>
      </c>
      <c r="G2208" t="s">
        <v>338</v>
      </c>
      <c r="H2208">
        <v>25133</v>
      </c>
      <c r="I2208" t="s">
        <v>23</v>
      </c>
      <c r="J2208" t="s">
        <v>35</v>
      </c>
      <c r="K2208" s="2" t="s">
        <v>1450</v>
      </c>
      <c r="L2208" t="s">
        <v>26</v>
      </c>
      <c r="M2208">
        <v>363045</v>
      </c>
      <c r="N2208">
        <v>1</v>
      </c>
      <c r="O2208" s="3">
        <v>74950</v>
      </c>
      <c r="P2208" s="3">
        <v>21167</v>
      </c>
      <c r="Q2208" s="5">
        <f t="shared" si="102"/>
        <v>62983.193277310929</v>
      </c>
      <c r="R2208" s="5">
        <f t="shared" si="103"/>
        <v>21167</v>
      </c>
      <c r="S2208" s="5">
        <f t="shared" si="104"/>
        <v>41816.193277310929</v>
      </c>
    </row>
    <row r="2209" spans="1:19" hidden="1" x14ac:dyDescent="0.3">
      <c r="A2209">
        <v>140</v>
      </c>
      <c r="B2209" t="s">
        <v>3524</v>
      </c>
      <c r="C2209" t="s">
        <v>2642</v>
      </c>
      <c r="D2209" s="2" t="s">
        <v>2643</v>
      </c>
      <c r="E2209" t="s">
        <v>425</v>
      </c>
      <c r="F2209" t="s">
        <v>20</v>
      </c>
      <c r="G2209" t="s">
        <v>21</v>
      </c>
      <c r="H2209" t="s">
        <v>22</v>
      </c>
      <c r="I2209" t="s">
        <v>23</v>
      </c>
      <c r="J2209" t="s">
        <v>24</v>
      </c>
      <c r="K2209" s="2" t="s">
        <v>1450</v>
      </c>
      <c r="L2209" t="s">
        <v>26</v>
      </c>
      <c r="M2209">
        <v>363046</v>
      </c>
      <c r="N2209">
        <v>1</v>
      </c>
      <c r="O2209" s="3">
        <v>79950</v>
      </c>
      <c r="P2209" s="3">
        <v>27799</v>
      </c>
      <c r="Q2209" s="5">
        <f t="shared" si="102"/>
        <v>67184.873949579836</v>
      </c>
      <c r="R2209" s="5">
        <f t="shared" si="103"/>
        <v>27799</v>
      </c>
      <c r="S2209" s="5">
        <f t="shared" si="104"/>
        <v>39385.873949579836</v>
      </c>
    </row>
    <row r="2210" spans="1:19" hidden="1" x14ac:dyDescent="0.3">
      <c r="A2210">
        <v>140</v>
      </c>
      <c r="B2210" t="s">
        <v>3524</v>
      </c>
      <c r="C2210" t="s">
        <v>2937</v>
      </c>
      <c r="D2210" s="2" t="s">
        <v>2938</v>
      </c>
      <c r="E2210" t="s">
        <v>2939</v>
      </c>
      <c r="F2210" t="s">
        <v>20</v>
      </c>
      <c r="G2210" t="s">
        <v>338</v>
      </c>
      <c r="H2210">
        <v>25321</v>
      </c>
      <c r="I2210" t="s">
        <v>23</v>
      </c>
      <c r="J2210" t="s">
        <v>35</v>
      </c>
      <c r="K2210" s="2" t="s">
        <v>1525</v>
      </c>
      <c r="L2210" t="s">
        <v>26</v>
      </c>
      <c r="M2210">
        <v>363047</v>
      </c>
      <c r="N2210">
        <v>1</v>
      </c>
      <c r="O2210" s="3">
        <v>109950</v>
      </c>
      <c r="P2210" s="3">
        <v>33748</v>
      </c>
      <c r="Q2210" s="5">
        <f t="shared" si="102"/>
        <v>92394.957983193279</v>
      </c>
      <c r="R2210" s="5">
        <f t="shared" si="103"/>
        <v>33748</v>
      </c>
      <c r="S2210" s="5">
        <f t="shared" si="104"/>
        <v>58646.957983193279</v>
      </c>
    </row>
    <row r="2211" spans="1:19" hidden="1" x14ac:dyDescent="0.3">
      <c r="A2211">
        <v>140</v>
      </c>
      <c r="B2211" t="s">
        <v>3524</v>
      </c>
      <c r="C2211" t="s">
        <v>3937</v>
      </c>
      <c r="D2211" s="2" t="s">
        <v>3938</v>
      </c>
      <c r="E2211" t="s">
        <v>3619</v>
      </c>
      <c r="F2211" t="s">
        <v>20</v>
      </c>
      <c r="G2211" t="s">
        <v>21</v>
      </c>
      <c r="H2211" t="s">
        <v>874</v>
      </c>
      <c r="I2211" t="s">
        <v>23</v>
      </c>
      <c r="J2211" t="s">
        <v>95</v>
      </c>
      <c r="K2211" s="2" t="s">
        <v>1525</v>
      </c>
      <c r="L2211" t="s">
        <v>26</v>
      </c>
      <c r="M2211">
        <v>363048</v>
      </c>
      <c r="N2211">
        <v>1</v>
      </c>
      <c r="O2211" s="3">
        <v>39870</v>
      </c>
      <c r="P2211" s="3">
        <v>21627</v>
      </c>
      <c r="Q2211" s="5">
        <f t="shared" si="102"/>
        <v>33504.201680672268</v>
      </c>
      <c r="R2211" s="5">
        <f t="shared" si="103"/>
        <v>21627</v>
      </c>
      <c r="S2211" s="5">
        <f t="shared" si="104"/>
        <v>11877.201680672268</v>
      </c>
    </row>
    <row r="2212" spans="1:19" hidden="1" x14ac:dyDescent="0.3">
      <c r="A2212">
        <v>140</v>
      </c>
      <c r="B2212" t="s">
        <v>3524</v>
      </c>
      <c r="C2212" t="s">
        <v>3234</v>
      </c>
      <c r="D2212" s="2" t="s">
        <v>3235</v>
      </c>
      <c r="E2212" t="s">
        <v>1330</v>
      </c>
      <c r="F2212" t="s">
        <v>20</v>
      </c>
      <c r="G2212" t="s">
        <v>338</v>
      </c>
      <c r="H2212">
        <v>25133</v>
      </c>
      <c r="I2212" t="s">
        <v>23</v>
      </c>
      <c r="J2212" t="s">
        <v>35</v>
      </c>
      <c r="K2212" s="2" t="s">
        <v>1525</v>
      </c>
      <c r="L2212" t="s">
        <v>26</v>
      </c>
      <c r="M2212">
        <v>363049</v>
      </c>
      <c r="N2212">
        <v>1</v>
      </c>
      <c r="O2212" s="3">
        <v>74950</v>
      </c>
      <c r="P2212" s="3">
        <v>21167</v>
      </c>
      <c r="Q2212" s="5">
        <f t="shared" si="102"/>
        <v>62983.193277310929</v>
      </c>
      <c r="R2212" s="5">
        <f t="shared" si="103"/>
        <v>21167</v>
      </c>
      <c r="S2212" s="5">
        <f t="shared" si="104"/>
        <v>41816.193277310929</v>
      </c>
    </row>
    <row r="2213" spans="1:19" hidden="1" x14ac:dyDescent="0.3">
      <c r="A2213">
        <v>140</v>
      </c>
      <c r="B2213" t="s">
        <v>3524</v>
      </c>
      <c r="C2213" t="s">
        <v>3939</v>
      </c>
      <c r="D2213" s="2" t="s">
        <v>3940</v>
      </c>
      <c r="E2213" t="s">
        <v>405</v>
      </c>
      <c r="F2213" t="s">
        <v>20</v>
      </c>
      <c r="G2213" t="s">
        <v>21</v>
      </c>
      <c r="H2213" t="s">
        <v>406</v>
      </c>
      <c r="I2213" t="s">
        <v>23</v>
      </c>
      <c r="J2213" t="s">
        <v>407</v>
      </c>
      <c r="K2213" s="2" t="s">
        <v>1525</v>
      </c>
      <c r="L2213" t="s">
        <v>26</v>
      </c>
      <c r="M2213">
        <v>363050</v>
      </c>
      <c r="N2213">
        <v>1</v>
      </c>
      <c r="O2213" s="3">
        <v>64950</v>
      </c>
      <c r="P2213" s="3">
        <v>19737</v>
      </c>
      <c r="Q2213" s="5">
        <f t="shared" si="102"/>
        <v>54579.831932773115</v>
      </c>
      <c r="R2213" s="5">
        <f t="shared" si="103"/>
        <v>19737</v>
      </c>
      <c r="S2213" s="5">
        <f t="shared" si="104"/>
        <v>34842.831932773115</v>
      </c>
    </row>
    <row r="2214" spans="1:19" hidden="1" x14ac:dyDescent="0.3">
      <c r="A2214">
        <v>140</v>
      </c>
      <c r="B2214" t="s">
        <v>3524</v>
      </c>
      <c r="C2214">
        <v>1687976791</v>
      </c>
      <c r="D2214" s="2" t="s">
        <v>200</v>
      </c>
      <c r="E2214" t="s">
        <v>201</v>
      </c>
      <c r="F2214" t="s">
        <v>201</v>
      </c>
      <c r="G2214" t="s">
        <v>202</v>
      </c>
      <c r="H2214" t="s">
        <v>202</v>
      </c>
      <c r="I2214" t="s">
        <v>23</v>
      </c>
      <c r="J2214" t="s">
        <v>202</v>
      </c>
      <c r="K2214" s="2" t="s">
        <v>1525</v>
      </c>
      <c r="L2214" t="s">
        <v>26</v>
      </c>
      <c r="M2214">
        <v>363050</v>
      </c>
      <c r="N2214">
        <v>1</v>
      </c>
      <c r="O2214" s="3">
        <v>3400</v>
      </c>
      <c r="P2214">
        <v>1</v>
      </c>
      <c r="Q2214" s="5">
        <f t="shared" si="102"/>
        <v>2857.1428571428573</v>
      </c>
      <c r="R2214" s="5">
        <f t="shared" si="103"/>
        <v>1</v>
      </c>
      <c r="S2214" s="5">
        <f t="shared" si="104"/>
        <v>2856.1428571428573</v>
      </c>
    </row>
    <row r="2215" spans="1:19" hidden="1" x14ac:dyDescent="0.3">
      <c r="A2215">
        <v>140</v>
      </c>
      <c r="B2215" t="s">
        <v>3524</v>
      </c>
      <c r="C2215" t="s">
        <v>3941</v>
      </c>
      <c r="D2215" s="2" t="s">
        <v>3942</v>
      </c>
      <c r="E2215" t="s">
        <v>3849</v>
      </c>
      <c r="F2215" t="s">
        <v>20</v>
      </c>
      <c r="G2215" t="s">
        <v>21</v>
      </c>
      <c r="H2215" t="s">
        <v>2364</v>
      </c>
      <c r="I2215" t="s">
        <v>23</v>
      </c>
      <c r="J2215" t="s">
        <v>40</v>
      </c>
      <c r="K2215" s="2" t="s">
        <v>1525</v>
      </c>
      <c r="L2215" t="s">
        <v>26</v>
      </c>
      <c r="M2215">
        <v>363051</v>
      </c>
      <c r="N2215">
        <v>1</v>
      </c>
      <c r="O2215" s="3">
        <v>39970</v>
      </c>
      <c r="P2215" s="3">
        <v>30471</v>
      </c>
      <c r="Q2215" s="5">
        <f t="shared" si="102"/>
        <v>33588.23529411765</v>
      </c>
      <c r="R2215" s="5">
        <f t="shared" si="103"/>
        <v>30471</v>
      </c>
      <c r="S2215" s="5">
        <f t="shared" si="104"/>
        <v>3117.2352941176505</v>
      </c>
    </row>
    <row r="2216" spans="1:19" hidden="1" x14ac:dyDescent="0.3">
      <c r="A2216">
        <v>140</v>
      </c>
      <c r="B2216" t="s">
        <v>3524</v>
      </c>
      <c r="C2216" t="s">
        <v>3943</v>
      </c>
      <c r="D2216" s="2" t="s">
        <v>3944</v>
      </c>
      <c r="E2216" t="s">
        <v>2515</v>
      </c>
      <c r="F2216" t="s">
        <v>20</v>
      </c>
      <c r="G2216" t="s">
        <v>338</v>
      </c>
      <c r="H2216">
        <v>23603</v>
      </c>
      <c r="I2216" t="s">
        <v>23</v>
      </c>
      <c r="J2216" t="s">
        <v>40</v>
      </c>
      <c r="K2216" s="2" t="s">
        <v>1525</v>
      </c>
      <c r="L2216" t="s">
        <v>26</v>
      </c>
      <c r="M2216">
        <v>363052</v>
      </c>
      <c r="N2216">
        <v>1</v>
      </c>
      <c r="O2216" s="3">
        <v>49660</v>
      </c>
      <c r="P2216" s="3">
        <v>22607</v>
      </c>
      <c r="Q2216" s="5">
        <f t="shared" si="102"/>
        <v>41731.092436974795</v>
      </c>
      <c r="R2216" s="5">
        <f t="shared" si="103"/>
        <v>22607</v>
      </c>
      <c r="S2216" s="5">
        <f t="shared" si="104"/>
        <v>19124.092436974795</v>
      </c>
    </row>
    <row r="2217" spans="1:19" hidden="1" x14ac:dyDescent="0.3">
      <c r="A2217">
        <v>140</v>
      </c>
      <c r="B2217" t="s">
        <v>3524</v>
      </c>
      <c r="C2217" t="s">
        <v>3945</v>
      </c>
      <c r="D2217" s="2" t="s">
        <v>3946</v>
      </c>
      <c r="E2217" t="s">
        <v>2671</v>
      </c>
      <c r="F2217" t="s">
        <v>20</v>
      </c>
      <c r="G2217" t="s">
        <v>21</v>
      </c>
      <c r="H2217" t="s">
        <v>874</v>
      </c>
      <c r="I2217" t="s">
        <v>23</v>
      </c>
      <c r="J2217" t="s">
        <v>95</v>
      </c>
      <c r="K2217" s="2" t="s">
        <v>1525</v>
      </c>
      <c r="L2217" t="s">
        <v>26</v>
      </c>
      <c r="M2217">
        <v>363053</v>
      </c>
      <c r="N2217">
        <v>1</v>
      </c>
      <c r="O2217" s="3">
        <v>39870</v>
      </c>
      <c r="P2217" s="3">
        <v>20699</v>
      </c>
      <c r="Q2217" s="5">
        <f t="shared" si="102"/>
        <v>33504.201680672268</v>
      </c>
      <c r="R2217" s="5">
        <f t="shared" si="103"/>
        <v>20699</v>
      </c>
      <c r="S2217" s="5">
        <f t="shared" si="104"/>
        <v>12805.201680672268</v>
      </c>
    </row>
    <row r="2218" spans="1:19" hidden="1" x14ac:dyDescent="0.3">
      <c r="A2218">
        <v>140</v>
      </c>
      <c r="B2218" t="s">
        <v>3524</v>
      </c>
      <c r="C2218" t="s">
        <v>3947</v>
      </c>
      <c r="D2218" s="2" t="s">
        <v>3948</v>
      </c>
      <c r="E2218" t="s">
        <v>2428</v>
      </c>
      <c r="F2218" t="s">
        <v>20</v>
      </c>
      <c r="G2218" t="s">
        <v>21</v>
      </c>
      <c r="H2218" t="s">
        <v>2315</v>
      </c>
      <c r="I2218" t="s">
        <v>23</v>
      </c>
      <c r="J2218" t="s">
        <v>35</v>
      </c>
      <c r="K2218" s="2" t="s">
        <v>1525</v>
      </c>
      <c r="L2218" t="s">
        <v>26</v>
      </c>
      <c r="M2218">
        <v>363054</v>
      </c>
      <c r="N2218">
        <v>1</v>
      </c>
      <c r="O2218" s="3">
        <v>89950</v>
      </c>
      <c r="P2218" s="3">
        <v>30749</v>
      </c>
      <c r="Q2218" s="5">
        <f t="shared" si="102"/>
        <v>75588.23529411765</v>
      </c>
      <c r="R2218" s="5">
        <f t="shared" si="103"/>
        <v>30749</v>
      </c>
      <c r="S2218" s="5">
        <f t="shared" si="104"/>
        <v>44839.23529411765</v>
      </c>
    </row>
    <row r="2219" spans="1:19" hidden="1" x14ac:dyDescent="0.3">
      <c r="A2219">
        <v>140</v>
      </c>
      <c r="B2219" t="s">
        <v>3524</v>
      </c>
      <c r="C2219" t="s">
        <v>3949</v>
      </c>
      <c r="D2219" s="2" t="s">
        <v>3950</v>
      </c>
      <c r="E2219" t="s">
        <v>2163</v>
      </c>
      <c r="F2219" t="s">
        <v>20</v>
      </c>
      <c r="G2219" t="s">
        <v>21</v>
      </c>
      <c r="H2219" t="s">
        <v>970</v>
      </c>
      <c r="I2219" t="s">
        <v>23</v>
      </c>
      <c r="J2219" t="s">
        <v>40</v>
      </c>
      <c r="K2219" s="2" t="s">
        <v>1525</v>
      </c>
      <c r="L2219" t="s">
        <v>26</v>
      </c>
      <c r="M2219">
        <v>363055</v>
      </c>
      <c r="N2219">
        <v>1</v>
      </c>
      <c r="O2219" s="3">
        <v>59950</v>
      </c>
      <c r="P2219" s="3">
        <v>19352</v>
      </c>
      <c r="Q2219" s="5">
        <f t="shared" si="102"/>
        <v>50378.151260504201</v>
      </c>
      <c r="R2219" s="5">
        <f t="shared" si="103"/>
        <v>19352</v>
      </c>
      <c r="S2219" s="5">
        <f t="shared" si="104"/>
        <v>31026.151260504201</v>
      </c>
    </row>
    <row r="2220" spans="1:19" hidden="1" x14ac:dyDescent="0.3">
      <c r="A2220">
        <v>140</v>
      </c>
      <c r="B2220" t="s">
        <v>3524</v>
      </c>
      <c r="C2220" t="s">
        <v>3951</v>
      </c>
      <c r="D2220" s="2" t="s">
        <v>3952</v>
      </c>
      <c r="E2220" t="s">
        <v>2741</v>
      </c>
      <c r="F2220" t="s">
        <v>20</v>
      </c>
      <c r="G2220" t="s">
        <v>21</v>
      </c>
      <c r="H2220" t="s">
        <v>2494</v>
      </c>
      <c r="I2220" t="s">
        <v>23</v>
      </c>
      <c r="J2220" t="s">
        <v>40</v>
      </c>
      <c r="K2220" s="2" t="s">
        <v>1525</v>
      </c>
      <c r="L2220" t="s">
        <v>26</v>
      </c>
      <c r="M2220">
        <v>363055</v>
      </c>
      <c r="N2220">
        <v>1</v>
      </c>
      <c r="O2220" s="3">
        <v>59450</v>
      </c>
      <c r="P2220" s="3">
        <v>23470</v>
      </c>
      <c r="Q2220" s="5">
        <f t="shared" si="102"/>
        <v>49957.983193277316</v>
      </c>
      <c r="R2220" s="5">
        <f t="shared" si="103"/>
        <v>23470</v>
      </c>
      <c r="S2220" s="5">
        <f t="shared" si="104"/>
        <v>26487.983193277316</v>
      </c>
    </row>
    <row r="2221" spans="1:19" hidden="1" x14ac:dyDescent="0.3">
      <c r="A2221">
        <v>140</v>
      </c>
      <c r="B2221" t="s">
        <v>3524</v>
      </c>
      <c r="C2221" t="s">
        <v>492</v>
      </c>
      <c r="D2221" s="2" t="s">
        <v>493</v>
      </c>
      <c r="E2221" t="s">
        <v>494</v>
      </c>
      <c r="F2221" t="s">
        <v>20</v>
      </c>
      <c r="G2221" t="s">
        <v>21</v>
      </c>
      <c r="H2221" t="s">
        <v>317</v>
      </c>
      <c r="I2221" t="s">
        <v>23</v>
      </c>
      <c r="J2221" t="s">
        <v>35</v>
      </c>
      <c r="K2221" s="2" t="s">
        <v>1525</v>
      </c>
      <c r="L2221" t="s">
        <v>26</v>
      </c>
      <c r="M2221">
        <v>363056</v>
      </c>
      <c r="N2221">
        <v>1</v>
      </c>
      <c r="O2221" s="3">
        <v>69950</v>
      </c>
      <c r="P2221" s="3">
        <v>23619</v>
      </c>
      <c r="Q2221" s="5">
        <f t="shared" si="102"/>
        <v>58781.512605042022</v>
      </c>
      <c r="R2221" s="5">
        <f t="shared" si="103"/>
        <v>23619</v>
      </c>
      <c r="S2221" s="5">
        <f t="shared" si="104"/>
        <v>35162.512605042022</v>
      </c>
    </row>
    <row r="2222" spans="1:19" hidden="1" x14ac:dyDescent="0.3">
      <c r="A2222">
        <v>140</v>
      </c>
      <c r="B2222" t="s">
        <v>3524</v>
      </c>
      <c r="C2222" t="s">
        <v>3866</v>
      </c>
      <c r="D2222" s="2" t="s">
        <v>3867</v>
      </c>
      <c r="E2222" t="s">
        <v>3698</v>
      </c>
      <c r="F2222" t="s">
        <v>20</v>
      </c>
      <c r="G2222" t="s">
        <v>21</v>
      </c>
      <c r="H2222" t="s">
        <v>966</v>
      </c>
      <c r="I2222" t="s">
        <v>23</v>
      </c>
      <c r="J2222" t="s">
        <v>40</v>
      </c>
      <c r="K2222" s="2" t="s">
        <v>1525</v>
      </c>
      <c r="L2222" t="s">
        <v>26</v>
      </c>
      <c r="M2222">
        <v>363057</v>
      </c>
      <c r="N2222">
        <v>-1</v>
      </c>
      <c r="O2222" s="3">
        <v>-63700</v>
      </c>
      <c r="P2222" s="3">
        <v>27462</v>
      </c>
      <c r="Q2222" s="5">
        <f t="shared" si="102"/>
        <v>-53529.411764705888</v>
      </c>
      <c r="R2222" s="5">
        <f t="shared" si="103"/>
        <v>-27462</v>
      </c>
      <c r="S2222" s="5">
        <f t="shared" si="104"/>
        <v>-26067.411764705888</v>
      </c>
    </row>
    <row r="2223" spans="1:19" hidden="1" x14ac:dyDescent="0.3">
      <c r="A2223">
        <v>140</v>
      </c>
      <c r="B2223" t="s">
        <v>3524</v>
      </c>
      <c r="C2223" t="s">
        <v>3953</v>
      </c>
      <c r="D2223" s="2" t="s">
        <v>3954</v>
      </c>
      <c r="E2223" t="s">
        <v>2455</v>
      </c>
      <c r="F2223" t="s">
        <v>20</v>
      </c>
      <c r="G2223" t="s">
        <v>21</v>
      </c>
      <c r="H2223" t="s">
        <v>742</v>
      </c>
      <c r="I2223" t="s">
        <v>23</v>
      </c>
      <c r="J2223" t="s">
        <v>40</v>
      </c>
      <c r="K2223" s="2" t="s">
        <v>1525</v>
      </c>
      <c r="L2223" t="s">
        <v>26</v>
      </c>
      <c r="M2223">
        <v>363057</v>
      </c>
      <c r="N2223">
        <v>1</v>
      </c>
      <c r="O2223" s="3">
        <v>79950</v>
      </c>
      <c r="P2223" s="3">
        <v>28572</v>
      </c>
      <c r="Q2223" s="5">
        <f t="shared" si="102"/>
        <v>67184.873949579836</v>
      </c>
      <c r="R2223" s="5">
        <f t="shared" si="103"/>
        <v>28572</v>
      </c>
      <c r="S2223" s="5">
        <f t="shared" si="104"/>
        <v>38612.873949579836</v>
      </c>
    </row>
    <row r="2224" spans="1:19" hidden="1" x14ac:dyDescent="0.3">
      <c r="A2224">
        <v>140</v>
      </c>
      <c r="B2224" t="s">
        <v>3524</v>
      </c>
      <c r="C2224" t="s">
        <v>2774</v>
      </c>
      <c r="D2224" s="2" t="s">
        <v>2775</v>
      </c>
      <c r="E2224" t="s">
        <v>266</v>
      </c>
      <c r="F2224" t="s">
        <v>20</v>
      </c>
      <c r="G2224" t="s">
        <v>21</v>
      </c>
      <c r="H2224" t="s">
        <v>267</v>
      </c>
      <c r="I2224" t="s">
        <v>23</v>
      </c>
      <c r="J2224" t="s">
        <v>49</v>
      </c>
      <c r="K2224" s="2" t="s">
        <v>1525</v>
      </c>
      <c r="L2224" t="s">
        <v>26</v>
      </c>
      <c r="M2224">
        <v>363058</v>
      </c>
      <c r="N2224">
        <v>1</v>
      </c>
      <c r="O2224" s="3">
        <v>64950</v>
      </c>
      <c r="P2224" s="3">
        <v>24504</v>
      </c>
      <c r="Q2224" s="5">
        <f t="shared" si="102"/>
        <v>54579.831932773115</v>
      </c>
      <c r="R2224" s="5">
        <f t="shared" si="103"/>
        <v>24504</v>
      </c>
      <c r="S2224" s="5">
        <f t="shared" si="104"/>
        <v>30075.831932773115</v>
      </c>
    </row>
    <row r="2225" spans="1:19" hidden="1" x14ac:dyDescent="0.3">
      <c r="A2225">
        <v>140</v>
      </c>
      <c r="B2225" t="s">
        <v>3524</v>
      </c>
      <c r="C2225" t="s">
        <v>492</v>
      </c>
      <c r="D2225" s="2" t="s">
        <v>493</v>
      </c>
      <c r="E2225" t="s">
        <v>494</v>
      </c>
      <c r="F2225" t="s">
        <v>20</v>
      </c>
      <c r="G2225" t="s">
        <v>21</v>
      </c>
      <c r="H2225" t="s">
        <v>317</v>
      </c>
      <c r="I2225" t="s">
        <v>23</v>
      </c>
      <c r="J2225" t="s">
        <v>35</v>
      </c>
      <c r="K2225" s="2" t="s">
        <v>1525</v>
      </c>
      <c r="L2225" t="s">
        <v>26</v>
      </c>
      <c r="M2225">
        <v>363058</v>
      </c>
      <c r="N2225">
        <v>-1</v>
      </c>
      <c r="O2225" s="3">
        <v>-69950</v>
      </c>
      <c r="P2225" s="3">
        <v>23619</v>
      </c>
      <c r="Q2225" s="5">
        <f t="shared" si="102"/>
        <v>-58781.512605042022</v>
      </c>
      <c r="R2225" s="5">
        <f t="shared" si="103"/>
        <v>-23619</v>
      </c>
      <c r="S2225" s="5">
        <f t="shared" si="104"/>
        <v>-35162.512605042022</v>
      </c>
    </row>
    <row r="2226" spans="1:19" hidden="1" x14ac:dyDescent="0.3">
      <c r="A2226">
        <v>140</v>
      </c>
      <c r="B2226" t="s">
        <v>3524</v>
      </c>
      <c r="C2226" t="s">
        <v>1037</v>
      </c>
      <c r="D2226" s="2" t="s">
        <v>1038</v>
      </c>
      <c r="E2226" t="s">
        <v>1039</v>
      </c>
      <c r="F2226" t="s">
        <v>377</v>
      </c>
      <c r="G2226" t="s">
        <v>21</v>
      </c>
      <c r="H2226" t="s">
        <v>378</v>
      </c>
      <c r="I2226" t="s">
        <v>23</v>
      </c>
      <c r="J2226" t="s">
        <v>379</v>
      </c>
      <c r="K2226" s="2" t="s">
        <v>1525</v>
      </c>
      <c r="L2226" t="s">
        <v>26</v>
      </c>
      <c r="M2226">
        <v>363058</v>
      </c>
      <c r="N2226">
        <v>1</v>
      </c>
      <c r="O2226" s="3">
        <v>5950</v>
      </c>
      <c r="P2226" s="3">
        <v>3257</v>
      </c>
      <c r="Q2226" s="5">
        <f t="shared" si="102"/>
        <v>5000</v>
      </c>
      <c r="R2226" s="5">
        <f t="shared" si="103"/>
        <v>3257</v>
      </c>
      <c r="S2226" s="5">
        <f t="shared" si="104"/>
        <v>1743</v>
      </c>
    </row>
    <row r="2227" spans="1:19" hidden="1" x14ac:dyDescent="0.3">
      <c r="A2227">
        <v>140</v>
      </c>
      <c r="B2227" t="s">
        <v>3524</v>
      </c>
      <c r="C2227" t="s">
        <v>2940</v>
      </c>
      <c r="D2227" s="2" t="s">
        <v>2941</v>
      </c>
      <c r="E2227" t="s">
        <v>1986</v>
      </c>
      <c r="F2227" t="s">
        <v>20</v>
      </c>
      <c r="G2227" t="s">
        <v>21</v>
      </c>
      <c r="H2227" t="s">
        <v>1987</v>
      </c>
      <c r="I2227" t="s">
        <v>23</v>
      </c>
      <c r="J2227" t="s">
        <v>49</v>
      </c>
      <c r="K2227" s="2" t="s">
        <v>1525</v>
      </c>
      <c r="L2227" t="s">
        <v>26</v>
      </c>
      <c r="M2227">
        <v>363059</v>
      </c>
      <c r="N2227">
        <v>1</v>
      </c>
      <c r="O2227" s="3">
        <v>74950</v>
      </c>
      <c r="P2227" s="3">
        <v>25014</v>
      </c>
      <c r="Q2227" s="5">
        <f t="shared" si="102"/>
        <v>62983.193277310929</v>
      </c>
      <c r="R2227" s="5">
        <f t="shared" si="103"/>
        <v>25014</v>
      </c>
      <c r="S2227" s="5">
        <f t="shared" si="104"/>
        <v>37969.193277310929</v>
      </c>
    </row>
    <row r="2228" spans="1:19" hidden="1" x14ac:dyDescent="0.3">
      <c r="A2228">
        <v>140</v>
      </c>
      <c r="B2228" t="s">
        <v>3524</v>
      </c>
      <c r="C2228" t="s">
        <v>2924</v>
      </c>
      <c r="D2228" s="2" t="s">
        <v>2925</v>
      </c>
      <c r="E2228" t="s">
        <v>2493</v>
      </c>
      <c r="F2228" t="s">
        <v>20</v>
      </c>
      <c r="G2228" t="s">
        <v>21</v>
      </c>
      <c r="H2228" t="s">
        <v>2494</v>
      </c>
      <c r="I2228" t="s">
        <v>23</v>
      </c>
      <c r="J2228" t="s">
        <v>40</v>
      </c>
      <c r="K2228" s="2" t="s">
        <v>1525</v>
      </c>
      <c r="L2228" t="s">
        <v>26</v>
      </c>
      <c r="M2228">
        <v>363060</v>
      </c>
      <c r="N2228">
        <v>1</v>
      </c>
      <c r="O2228" s="3">
        <v>69950</v>
      </c>
      <c r="P2228" s="3">
        <v>22206</v>
      </c>
      <c r="Q2228" s="5">
        <f t="shared" si="102"/>
        <v>58781.512605042022</v>
      </c>
      <c r="R2228" s="5">
        <f t="shared" si="103"/>
        <v>22206</v>
      </c>
      <c r="S2228" s="5">
        <f t="shared" si="104"/>
        <v>36575.512605042022</v>
      </c>
    </row>
    <row r="2229" spans="1:19" hidden="1" x14ac:dyDescent="0.3">
      <c r="A2229">
        <v>140</v>
      </c>
      <c r="B2229" t="s">
        <v>3524</v>
      </c>
      <c r="C2229" t="s">
        <v>3007</v>
      </c>
      <c r="D2229" s="2" t="s">
        <v>3008</v>
      </c>
      <c r="E2229" t="s">
        <v>2986</v>
      </c>
      <c r="F2229" t="s">
        <v>20</v>
      </c>
      <c r="G2229" t="s">
        <v>21</v>
      </c>
      <c r="H2229" t="s">
        <v>267</v>
      </c>
      <c r="I2229" t="s">
        <v>23</v>
      </c>
      <c r="J2229" t="s">
        <v>35</v>
      </c>
      <c r="K2229" s="2" t="s">
        <v>1525</v>
      </c>
      <c r="L2229" t="s">
        <v>26</v>
      </c>
      <c r="M2229">
        <v>363061</v>
      </c>
      <c r="N2229">
        <v>1</v>
      </c>
      <c r="O2229" s="3">
        <v>74950</v>
      </c>
      <c r="P2229" s="3">
        <v>24733</v>
      </c>
      <c r="Q2229" s="5">
        <f t="shared" si="102"/>
        <v>62983.193277310929</v>
      </c>
      <c r="R2229" s="5">
        <f t="shared" si="103"/>
        <v>24733</v>
      </c>
      <c r="S2229" s="5">
        <f t="shared" si="104"/>
        <v>38250.193277310929</v>
      </c>
    </row>
    <row r="2230" spans="1:19" hidden="1" x14ac:dyDescent="0.3">
      <c r="A2230">
        <v>140</v>
      </c>
      <c r="B2230" t="s">
        <v>3524</v>
      </c>
      <c r="C2230" t="s">
        <v>3232</v>
      </c>
      <c r="D2230" s="2" t="s">
        <v>3233</v>
      </c>
      <c r="E2230" t="s">
        <v>2933</v>
      </c>
      <c r="F2230" t="s">
        <v>20</v>
      </c>
      <c r="G2230" t="s">
        <v>338</v>
      </c>
      <c r="H2230">
        <v>25539</v>
      </c>
      <c r="I2230" t="s">
        <v>23</v>
      </c>
      <c r="J2230" t="s">
        <v>31</v>
      </c>
      <c r="K2230" s="2" t="s">
        <v>1525</v>
      </c>
      <c r="L2230" t="s">
        <v>26</v>
      </c>
      <c r="M2230">
        <v>363062</v>
      </c>
      <c r="N2230">
        <v>1</v>
      </c>
      <c r="O2230" s="3">
        <v>139950</v>
      </c>
      <c r="P2230" s="3">
        <v>46011</v>
      </c>
      <c r="Q2230" s="5">
        <f t="shared" si="102"/>
        <v>117605.04201680672</v>
      </c>
      <c r="R2230" s="5">
        <f t="shared" si="103"/>
        <v>46011</v>
      </c>
      <c r="S2230" s="5">
        <f t="shared" si="104"/>
        <v>71594.042016806721</v>
      </c>
    </row>
    <row r="2231" spans="1:19" hidden="1" x14ac:dyDescent="0.3">
      <c r="A2231">
        <v>140</v>
      </c>
      <c r="B2231" t="s">
        <v>3524</v>
      </c>
      <c r="C2231" t="s">
        <v>2218</v>
      </c>
      <c r="D2231" s="2" t="s">
        <v>2219</v>
      </c>
      <c r="E2231" t="s">
        <v>1185</v>
      </c>
      <c r="F2231" t="s">
        <v>20</v>
      </c>
      <c r="G2231" t="s">
        <v>21</v>
      </c>
      <c r="H2231" t="s">
        <v>285</v>
      </c>
      <c r="I2231" t="s">
        <v>23</v>
      </c>
      <c r="J2231" t="s">
        <v>49</v>
      </c>
      <c r="K2231" s="2" t="s">
        <v>1525</v>
      </c>
      <c r="L2231" t="s">
        <v>26</v>
      </c>
      <c r="M2231">
        <v>363063</v>
      </c>
      <c r="N2231">
        <v>1</v>
      </c>
      <c r="O2231" s="3">
        <v>52460</v>
      </c>
      <c r="P2231" s="3">
        <v>28690</v>
      </c>
      <c r="Q2231" s="5">
        <f t="shared" si="102"/>
        <v>44084.033613445383</v>
      </c>
      <c r="R2231" s="5">
        <f t="shared" si="103"/>
        <v>28690</v>
      </c>
      <c r="S2231" s="5">
        <f t="shared" si="104"/>
        <v>15394.033613445383</v>
      </c>
    </row>
    <row r="2232" spans="1:19" hidden="1" x14ac:dyDescent="0.3">
      <c r="A2232">
        <v>140</v>
      </c>
      <c r="B2232" t="s">
        <v>3524</v>
      </c>
      <c r="C2232" t="s">
        <v>3955</v>
      </c>
      <c r="D2232" s="2" t="s">
        <v>3956</v>
      </c>
      <c r="E2232" t="s">
        <v>3957</v>
      </c>
      <c r="F2232" t="s">
        <v>20</v>
      </c>
      <c r="G2232" t="s">
        <v>21</v>
      </c>
      <c r="H2232" t="s">
        <v>2782</v>
      </c>
      <c r="I2232" t="s">
        <v>23</v>
      </c>
      <c r="J2232" t="s">
        <v>40</v>
      </c>
      <c r="K2232" s="2" t="s">
        <v>1525</v>
      </c>
      <c r="L2232" t="s">
        <v>26</v>
      </c>
      <c r="M2232">
        <v>363064</v>
      </c>
      <c r="N2232">
        <v>1</v>
      </c>
      <c r="O2232" s="3">
        <v>69950</v>
      </c>
      <c r="P2232" s="3">
        <v>23697</v>
      </c>
      <c r="Q2232" s="5">
        <f t="shared" si="102"/>
        <v>58781.512605042022</v>
      </c>
      <c r="R2232" s="5">
        <f t="shared" si="103"/>
        <v>23697</v>
      </c>
      <c r="S2232" s="5">
        <f t="shared" si="104"/>
        <v>35084.512605042022</v>
      </c>
    </row>
    <row r="2233" spans="1:19" hidden="1" x14ac:dyDescent="0.3">
      <c r="A2233">
        <v>140</v>
      </c>
      <c r="B2233" t="s">
        <v>3524</v>
      </c>
      <c r="C2233" t="s">
        <v>3958</v>
      </c>
      <c r="D2233" s="2" t="s">
        <v>3959</v>
      </c>
      <c r="E2233" t="s">
        <v>2473</v>
      </c>
      <c r="F2233" t="s">
        <v>20</v>
      </c>
      <c r="G2233" t="s">
        <v>21</v>
      </c>
      <c r="H2233" t="s">
        <v>114</v>
      </c>
      <c r="I2233" t="s">
        <v>23</v>
      </c>
      <c r="J2233" t="s">
        <v>49</v>
      </c>
      <c r="K2233" s="2" t="s">
        <v>1525</v>
      </c>
      <c r="L2233" t="s">
        <v>26</v>
      </c>
      <c r="M2233">
        <v>363065</v>
      </c>
      <c r="N2233">
        <v>-1</v>
      </c>
      <c r="O2233" s="3">
        <v>-49990</v>
      </c>
      <c r="P2233" s="3">
        <v>23514</v>
      </c>
      <c r="Q2233" s="5">
        <f t="shared" si="102"/>
        <v>-42008.403361344543</v>
      </c>
      <c r="R2233" s="5">
        <f t="shared" si="103"/>
        <v>-23514</v>
      </c>
      <c r="S2233" s="5">
        <f t="shared" si="104"/>
        <v>-18494.403361344543</v>
      </c>
    </row>
    <row r="2234" spans="1:19" hidden="1" x14ac:dyDescent="0.3">
      <c r="A2234">
        <v>140</v>
      </c>
      <c r="B2234" t="s">
        <v>3524</v>
      </c>
      <c r="C2234" t="s">
        <v>3960</v>
      </c>
      <c r="D2234" s="2" t="s">
        <v>3961</v>
      </c>
      <c r="E2234" t="s">
        <v>3962</v>
      </c>
      <c r="F2234" t="s">
        <v>20</v>
      </c>
      <c r="G2234" t="s">
        <v>21</v>
      </c>
      <c r="H2234" t="s">
        <v>114</v>
      </c>
      <c r="I2234" t="s">
        <v>23</v>
      </c>
      <c r="J2234" t="s">
        <v>49</v>
      </c>
      <c r="K2234" s="2" t="s">
        <v>1525</v>
      </c>
      <c r="L2234" t="s">
        <v>26</v>
      </c>
      <c r="M2234">
        <v>363065</v>
      </c>
      <c r="N2234">
        <v>1</v>
      </c>
      <c r="O2234" s="3">
        <v>49991</v>
      </c>
      <c r="P2234" s="3">
        <v>20974</v>
      </c>
      <c r="Q2234" s="5">
        <f t="shared" si="102"/>
        <v>42009.243697478996</v>
      </c>
      <c r="R2234" s="5">
        <f t="shared" si="103"/>
        <v>20974</v>
      </c>
      <c r="S2234" s="5">
        <f t="shared" si="104"/>
        <v>21035.243697478996</v>
      </c>
    </row>
    <row r="2235" spans="1:19" hidden="1" x14ac:dyDescent="0.3">
      <c r="A2235">
        <v>140</v>
      </c>
      <c r="B2235" t="s">
        <v>3524</v>
      </c>
      <c r="C2235" t="s">
        <v>3949</v>
      </c>
      <c r="D2235" s="2" t="s">
        <v>3950</v>
      </c>
      <c r="E2235" t="s">
        <v>2163</v>
      </c>
      <c r="F2235" t="s">
        <v>20</v>
      </c>
      <c r="G2235" t="s">
        <v>21</v>
      </c>
      <c r="H2235" t="s">
        <v>970</v>
      </c>
      <c r="I2235" t="s">
        <v>23</v>
      </c>
      <c r="J2235" t="s">
        <v>40</v>
      </c>
      <c r="K2235" s="2" t="s">
        <v>1525</v>
      </c>
      <c r="L2235" t="s">
        <v>26</v>
      </c>
      <c r="M2235">
        <v>363066</v>
      </c>
      <c r="N2235">
        <v>1</v>
      </c>
      <c r="O2235" s="3">
        <v>59950</v>
      </c>
      <c r="P2235" s="3">
        <v>19352</v>
      </c>
      <c r="Q2235" s="5">
        <f t="shared" si="102"/>
        <v>50378.151260504201</v>
      </c>
      <c r="R2235" s="5">
        <f t="shared" si="103"/>
        <v>19352</v>
      </c>
      <c r="S2235" s="5">
        <f t="shared" si="104"/>
        <v>31026.151260504201</v>
      </c>
    </row>
    <row r="2236" spans="1:19" hidden="1" x14ac:dyDescent="0.3">
      <c r="A2236">
        <v>140</v>
      </c>
      <c r="B2236" t="s">
        <v>3524</v>
      </c>
      <c r="C2236" t="s">
        <v>3963</v>
      </c>
      <c r="D2236" s="2" t="s">
        <v>3964</v>
      </c>
      <c r="E2236" t="s">
        <v>2986</v>
      </c>
      <c r="F2236" t="s">
        <v>20</v>
      </c>
      <c r="G2236" t="s">
        <v>21</v>
      </c>
      <c r="H2236" t="s">
        <v>267</v>
      </c>
      <c r="I2236" t="s">
        <v>23</v>
      </c>
      <c r="J2236" t="s">
        <v>35</v>
      </c>
      <c r="K2236" s="2" t="s">
        <v>1525</v>
      </c>
      <c r="L2236" t="s">
        <v>26</v>
      </c>
      <c r="M2236">
        <v>363067</v>
      </c>
      <c r="N2236">
        <v>1</v>
      </c>
      <c r="O2236" s="3">
        <v>74950</v>
      </c>
      <c r="P2236" s="3">
        <v>24733</v>
      </c>
      <c r="Q2236" s="5">
        <f t="shared" si="102"/>
        <v>62983.193277310929</v>
      </c>
      <c r="R2236" s="5">
        <f t="shared" si="103"/>
        <v>24733</v>
      </c>
      <c r="S2236" s="5">
        <f t="shared" si="104"/>
        <v>38250.193277310929</v>
      </c>
    </row>
    <row r="2237" spans="1:19" hidden="1" x14ac:dyDescent="0.3">
      <c r="A2237">
        <v>140</v>
      </c>
      <c r="B2237" t="s">
        <v>3524</v>
      </c>
      <c r="C2237" t="s">
        <v>2625</v>
      </c>
      <c r="D2237" s="2" t="s">
        <v>2626</v>
      </c>
      <c r="E2237" t="s">
        <v>2539</v>
      </c>
      <c r="F2237" t="s">
        <v>20</v>
      </c>
      <c r="G2237" t="s">
        <v>21</v>
      </c>
      <c r="H2237" t="s">
        <v>966</v>
      </c>
      <c r="I2237" t="s">
        <v>23</v>
      </c>
      <c r="J2237" t="s">
        <v>35</v>
      </c>
      <c r="K2237" s="2" t="s">
        <v>1525</v>
      </c>
      <c r="L2237" t="s">
        <v>26</v>
      </c>
      <c r="M2237">
        <v>363068</v>
      </c>
      <c r="N2237">
        <v>1</v>
      </c>
      <c r="O2237" s="3">
        <v>74950</v>
      </c>
      <c r="P2237" s="3">
        <v>27026</v>
      </c>
      <c r="Q2237" s="5">
        <f t="shared" si="102"/>
        <v>62983.193277310929</v>
      </c>
      <c r="R2237" s="5">
        <f t="shared" si="103"/>
        <v>27026</v>
      </c>
      <c r="S2237" s="5">
        <f t="shared" si="104"/>
        <v>35957.193277310929</v>
      </c>
    </row>
    <row r="2238" spans="1:19" hidden="1" x14ac:dyDescent="0.3">
      <c r="A2238">
        <v>140</v>
      </c>
      <c r="B2238" t="s">
        <v>3524</v>
      </c>
      <c r="C2238" t="s">
        <v>949</v>
      </c>
      <c r="D2238" s="2" t="s">
        <v>950</v>
      </c>
      <c r="E2238" t="s">
        <v>951</v>
      </c>
      <c r="F2238" t="s">
        <v>20</v>
      </c>
      <c r="G2238" t="s">
        <v>21</v>
      </c>
      <c r="H2238" t="s">
        <v>79</v>
      </c>
      <c r="I2238" t="s">
        <v>23</v>
      </c>
      <c r="J2238" t="s">
        <v>31</v>
      </c>
      <c r="K2238" s="2" t="s">
        <v>1525</v>
      </c>
      <c r="L2238" t="s">
        <v>26</v>
      </c>
      <c r="M2238">
        <v>363069</v>
      </c>
      <c r="N2238">
        <v>-1</v>
      </c>
      <c r="O2238" s="3">
        <v>-84990</v>
      </c>
      <c r="P2238" s="3">
        <v>40725</v>
      </c>
      <c r="Q2238" s="5">
        <f t="shared" si="102"/>
        <v>-71420.168067226899</v>
      </c>
      <c r="R2238" s="5">
        <f t="shared" si="103"/>
        <v>-40725</v>
      </c>
      <c r="S2238" s="5">
        <f t="shared" si="104"/>
        <v>-30695.168067226899</v>
      </c>
    </row>
    <row r="2239" spans="1:19" hidden="1" x14ac:dyDescent="0.3">
      <c r="A2239">
        <v>140</v>
      </c>
      <c r="B2239" t="s">
        <v>3524</v>
      </c>
      <c r="C2239" t="s">
        <v>3543</v>
      </c>
      <c r="D2239" s="2" t="s">
        <v>3544</v>
      </c>
      <c r="E2239" t="s">
        <v>3183</v>
      </c>
      <c r="F2239" t="s">
        <v>20</v>
      </c>
      <c r="G2239" t="s">
        <v>21</v>
      </c>
      <c r="H2239" t="s">
        <v>614</v>
      </c>
      <c r="I2239" t="s">
        <v>23</v>
      </c>
      <c r="J2239" t="s">
        <v>40</v>
      </c>
      <c r="K2239" s="2" t="s">
        <v>1525</v>
      </c>
      <c r="L2239" t="s">
        <v>26</v>
      </c>
      <c r="M2239">
        <v>363069</v>
      </c>
      <c r="N2239">
        <v>1</v>
      </c>
      <c r="O2239" s="3">
        <v>39990</v>
      </c>
      <c r="P2239" s="3">
        <v>17378</v>
      </c>
      <c r="Q2239" s="5">
        <f t="shared" si="102"/>
        <v>33605.042016806721</v>
      </c>
      <c r="R2239" s="5">
        <f t="shared" si="103"/>
        <v>17378</v>
      </c>
      <c r="S2239" s="5">
        <f t="shared" si="104"/>
        <v>16227.042016806721</v>
      </c>
    </row>
    <row r="2240" spans="1:19" hidden="1" x14ac:dyDescent="0.3">
      <c r="A2240">
        <v>140</v>
      </c>
      <c r="B2240" t="s">
        <v>3524</v>
      </c>
      <c r="C2240" t="s">
        <v>1328</v>
      </c>
      <c r="D2240" s="2" t="s">
        <v>1329</v>
      </c>
      <c r="E2240" t="s">
        <v>1330</v>
      </c>
      <c r="F2240" t="s">
        <v>20</v>
      </c>
      <c r="G2240" t="s">
        <v>338</v>
      </c>
      <c r="H2240">
        <v>25133</v>
      </c>
      <c r="I2240" t="s">
        <v>23</v>
      </c>
      <c r="J2240" t="s">
        <v>35</v>
      </c>
      <c r="K2240" s="2" t="s">
        <v>1525</v>
      </c>
      <c r="L2240" t="s">
        <v>26</v>
      </c>
      <c r="M2240">
        <v>363069</v>
      </c>
      <c r="N2240">
        <v>1</v>
      </c>
      <c r="O2240" s="3">
        <v>74950</v>
      </c>
      <c r="P2240" s="3">
        <v>21167</v>
      </c>
      <c r="Q2240" s="5">
        <f t="shared" si="102"/>
        <v>62983.193277310929</v>
      </c>
      <c r="R2240" s="5">
        <f t="shared" si="103"/>
        <v>21167</v>
      </c>
      <c r="S2240" s="5">
        <f t="shared" si="104"/>
        <v>41816.193277310929</v>
      </c>
    </row>
    <row r="2241" spans="1:19" hidden="1" x14ac:dyDescent="0.3">
      <c r="A2241">
        <v>140</v>
      </c>
      <c r="B2241" t="s">
        <v>3524</v>
      </c>
      <c r="C2241" t="s">
        <v>3965</v>
      </c>
      <c r="D2241" s="2" t="s">
        <v>3966</v>
      </c>
      <c r="E2241" t="s">
        <v>93</v>
      </c>
      <c r="F2241" t="s">
        <v>20</v>
      </c>
      <c r="G2241" t="s">
        <v>21</v>
      </c>
      <c r="H2241" t="s">
        <v>94</v>
      </c>
      <c r="I2241" t="s">
        <v>23</v>
      </c>
      <c r="J2241" t="s">
        <v>95</v>
      </c>
      <c r="K2241" s="2" t="s">
        <v>1525</v>
      </c>
      <c r="L2241" t="s">
        <v>26</v>
      </c>
      <c r="M2241">
        <v>363070</v>
      </c>
      <c r="N2241">
        <v>1</v>
      </c>
      <c r="O2241" s="3">
        <v>49990</v>
      </c>
      <c r="P2241" s="3">
        <v>33414</v>
      </c>
      <c r="Q2241" s="5">
        <f t="shared" si="102"/>
        <v>42008.403361344543</v>
      </c>
      <c r="R2241" s="5">
        <f t="shared" si="103"/>
        <v>33414</v>
      </c>
      <c r="S2241" s="5">
        <f t="shared" si="104"/>
        <v>8594.4033613445426</v>
      </c>
    </row>
    <row r="2242" spans="1:19" hidden="1" x14ac:dyDescent="0.3">
      <c r="A2242">
        <v>140</v>
      </c>
      <c r="B2242" t="s">
        <v>3524</v>
      </c>
      <c r="C2242" t="s">
        <v>3253</v>
      </c>
      <c r="D2242" s="2" t="s">
        <v>3254</v>
      </c>
      <c r="E2242" t="s">
        <v>2653</v>
      </c>
      <c r="F2242" t="s">
        <v>20</v>
      </c>
      <c r="G2242" t="s">
        <v>21</v>
      </c>
      <c r="H2242" t="s">
        <v>2315</v>
      </c>
      <c r="I2242" t="s">
        <v>23</v>
      </c>
      <c r="J2242" t="s">
        <v>35</v>
      </c>
      <c r="K2242" s="2" t="s">
        <v>1525</v>
      </c>
      <c r="L2242" t="s">
        <v>26</v>
      </c>
      <c r="M2242">
        <v>363071</v>
      </c>
      <c r="N2242">
        <v>1</v>
      </c>
      <c r="O2242" s="3">
        <v>89950</v>
      </c>
      <c r="P2242" s="3">
        <v>30749</v>
      </c>
      <c r="Q2242" s="5">
        <f t="shared" si="102"/>
        <v>75588.23529411765</v>
      </c>
      <c r="R2242" s="5">
        <f t="shared" si="103"/>
        <v>30749</v>
      </c>
      <c r="S2242" s="5">
        <f t="shared" si="104"/>
        <v>44839.23529411765</v>
      </c>
    </row>
    <row r="2243" spans="1:19" hidden="1" x14ac:dyDescent="0.3">
      <c r="A2243">
        <v>140</v>
      </c>
      <c r="B2243" t="s">
        <v>3524</v>
      </c>
      <c r="C2243" t="s">
        <v>1712</v>
      </c>
      <c r="D2243" s="2" t="s">
        <v>1713</v>
      </c>
      <c r="E2243" t="s">
        <v>1714</v>
      </c>
      <c r="F2243" t="s">
        <v>20</v>
      </c>
      <c r="G2243" t="s">
        <v>338</v>
      </c>
      <c r="H2243">
        <v>23727</v>
      </c>
      <c r="I2243" t="s">
        <v>23</v>
      </c>
      <c r="J2243" t="s">
        <v>40</v>
      </c>
      <c r="K2243" s="2" t="s">
        <v>1525</v>
      </c>
      <c r="L2243" t="s">
        <v>26</v>
      </c>
      <c r="M2243">
        <v>363072</v>
      </c>
      <c r="N2243">
        <v>1</v>
      </c>
      <c r="O2243" s="3">
        <v>49990</v>
      </c>
      <c r="P2243" s="3">
        <v>26539</v>
      </c>
      <c r="Q2243" s="5">
        <f t="shared" si="102"/>
        <v>42008.403361344543</v>
      </c>
      <c r="R2243" s="5">
        <f t="shared" si="103"/>
        <v>26539</v>
      </c>
      <c r="S2243" s="5">
        <f t="shared" si="104"/>
        <v>15469.403361344543</v>
      </c>
    </row>
    <row r="2244" spans="1:19" hidden="1" x14ac:dyDescent="0.3">
      <c r="A2244">
        <v>140</v>
      </c>
      <c r="B2244" t="s">
        <v>3524</v>
      </c>
      <c r="C2244" t="s">
        <v>2840</v>
      </c>
      <c r="D2244" s="2" t="s">
        <v>2841</v>
      </c>
      <c r="E2244" t="s">
        <v>2110</v>
      </c>
      <c r="F2244" t="s">
        <v>20</v>
      </c>
      <c r="G2244" t="s">
        <v>21</v>
      </c>
      <c r="H2244" t="s">
        <v>22</v>
      </c>
      <c r="I2244" t="s">
        <v>23</v>
      </c>
      <c r="J2244" t="s">
        <v>24</v>
      </c>
      <c r="K2244" s="2" t="s">
        <v>1525</v>
      </c>
      <c r="L2244" t="s">
        <v>26</v>
      </c>
      <c r="M2244">
        <v>363073</v>
      </c>
      <c r="N2244">
        <v>1</v>
      </c>
      <c r="O2244" s="3">
        <v>79950</v>
      </c>
      <c r="P2244" s="3">
        <v>27760</v>
      </c>
      <c r="Q2244" s="5">
        <f t="shared" si="102"/>
        <v>67184.873949579836</v>
      </c>
      <c r="R2244" s="5">
        <f t="shared" si="103"/>
        <v>27760</v>
      </c>
      <c r="S2244" s="5">
        <f t="shared" si="104"/>
        <v>39424.873949579836</v>
      </c>
    </row>
    <row r="2245" spans="1:19" hidden="1" x14ac:dyDescent="0.3">
      <c r="A2245">
        <v>140</v>
      </c>
      <c r="B2245" t="s">
        <v>3524</v>
      </c>
      <c r="C2245" t="s">
        <v>1464</v>
      </c>
      <c r="D2245" s="2" t="s">
        <v>1465</v>
      </c>
      <c r="E2245" t="s">
        <v>1466</v>
      </c>
      <c r="F2245" t="s">
        <v>20</v>
      </c>
      <c r="G2245" t="s">
        <v>21</v>
      </c>
      <c r="H2245" t="s">
        <v>65</v>
      </c>
      <c r="I2245" t="s">
        <v>23</v>
      </c>
      <c r="J2245" t="s">
        <v>49</v>
      </c>
      <c r="K2245" s="2" t="s">
        <v>1525</v>
      </c>
      <c r="L2245" t="s">
        <v>26</v>
      </c>
      <c r="M2245">
        <v>363074</v>
      </c>
      <c r="N2245">
        <v>1</v>
      </c>
      <c r="O2245" s="3">
        <v>64950</v>
      </c>
      <c r="P2245" s="3">
        <v>18663</v>
      </c>
      <c r="Q2245" s="5">
        <f t="shared" si="102"/>
        <v>54579.831932773115</v>
      </c>
      <c r="R2245" s="5">
        <f t="shared" si="103"/>
        <v>18663</v>
      </c>
      <c r="S2245" s="5">
        <f t="shared" si="104"/>
        <v>35916.831932773115</v>
      </c>
    </row>
    <row r="2246" spans="1:19" hidden="1" x14ac:dyDescent="0.3">
      <c r="A2246">
        <v>140</v>
      </c>
      <c r="B2246" t="s">
        <v>3524</v>
      </c>
      <c r="C2246" t="s">
        <v>3967</v>
      </c>
      <c r="D2246" s="2" t="s">
        <v>3968</v>
      </c>
      <c r="E2246" t="s">
        <v>1428</v>
      </c>
      <c r="F2246" t="s">
        <v>20</v>
      </c>
      <c r="G2246" t="s">
        <v>21</v>
      </c>
      <c r="H2246" t="s">
        <v>57</v>
      </c>
      <c r="I2246" t="s">
        <v>23</v>
      </c>
      <c r="J2246" t="s">
        <v>35</v>
      </c>
      <c r="K2246" s="2" t="s">
        <v>1525</v>
      </c>
      <c r="L2246" t="s">
        <v>26</v>
      </c>
      <c r="M2246">
        <v>363075</v>
      </c>
      <c r="N2246">
        <v>1</v>
      </c>
      <c r="O2246" s="3">
        <v>89950</v>
      </c>
      <c r="P2246" s="3">
        <v>31879</v>
      </c>
      <c r="Q2246" s="5">
        <f t="shared" ref="Q2246:Q2309" si="105">O2246/1.19</f>
        <v>75588.23529411765</v>
      </c>
      <c r="R2246" s="5">
        <f t="shared" ref="R2246:R2309" si="106">N2246*P2246</f>
        <v>31879</v>
      </c>
      <c r="S2246" s="5">
        <f t="shared" ref="S2246:S2309" si="107">Q2246-R2246</f>
        <v>43709.23529411765</v>
      </c>
    </row>
    <row r="2247" spans="1:19" hidden="1" x14ac:dyDescent="0.3">
      <c r="A2247">
        <v>140</v>
      </c>
      <c r="B2247" t="s">
        <v>3524</v>
      </c>
      <c r="C2247" t="s">
        <v>2365</v>
      </c>
      <c r="D2247" s="2" t="s">
        <v>2366</v>
      </c>
      <c r="E2247" t="s">
        <v>2367</v>
      </c>
      <c r="F2247" t="s">
        <v>377</v>
      </c>
      <c r="G2247" t="s">
        <v>21</v>
      </c>
      <c r="H2247" t="s">
        <v>378</v>
      </c>
      <c r="I2247" t="s">
        <v>23</v>
      </c>
      <c r="J2247" t="s">
        <v>379</v>
      </c>
      <c r="K2247" s="2" t="s">
        <v>1525</v>
      </c>
      <c r="L2247" t="s">
        <v>26</v>
      </c>
      <c r="M2247">
        <v>363076</v>
      </c>
      <c r="N2247">
        <v>1</v>
      </c>
      <c r="O2247" s="3">
        <v>6950</v>
      </c>
      <c r="P2247" s="3">
        <v>3759</v>
      </c>
      <c r="Q2247" s="5">
        <f t="shared" si="105"/>
        <v>5840.3361344537816</v>
      </c>
      <c r="R2247" s="5">
        <f t="shared" si="106"/>
        <v>3759</v>
      </c>
      <c r="S2247" s="5">
        <f t="shared" si="107"/>
        <v>2081.3361344537816</v>
      </c>
    </row>
    <row r="2248" spans="1:19" hidden="1" x14ac:dyDescent="0.3">
      <c r="A2248">
        <v>140</v>
      </c>
      <c r="B2248" t="s">
        <v>3524</v>
      </c>
      <c r="C2248" t="s">
        <v>3787</v>
      </c>
      <c r="D2248" s="2" t="s">
        <v>3788</v>
      </c>
      <c r="E2248" t="s">
        <v>2748</v>
      </c>
      <c r="F2248" t="s">
        <v>20</v>
      </c>
      <c r="G2248" t="s">
        <v>338</v>
      </c>
      <c r="H2248">
        <v>26266</v>
      </c>
      <c r="I2248" t="s">
        <v>23</v>
      </c>
      <c r="J2248" t="s">
        <v>35</v>
      </c>
      <c r="K2248" s="2" t="s">
        <v>1525</v>
      </c>
      <c r="L2248" t="s">
        <v>26</v>
      </c>
      <c r="M2248">
        <v>363077</v>
      </c>
      <c r="N2248">
        <v>1</v>
      </c>
      <c r="O2248" s="3">
        <v>59960</v>
      </c>
      <c r="P2248" s="3">
        <v>25300</v>
      </c>
      <c r="Q2248" s="5">
        <f t="shared" si="105"/>
        <v>50386.554621848743</v>
      </c>
      <c r="R2248" s="5">
        <f t="shared" si="106"/>
        <v>25300</v>
      </c>
      <c r="S2248" s="5">
        <f t="shared" si="107"/>
        <v>25086.554621848743</v>
      </c>
    </row>
    <row r="2249" spans="1:19" hidden="1" x14ac:dyDescent="0.3">
      <c r="A2249">
        <v>140</v>
      </c>
      <c r="B2249" t="s">
        <v>3524</v>
      </c>
      <c r="C2249" t="s">
        <v>3647</v>
      </c>
      <c r="D2249" s="2" t="s">
        <v>3648</v>
      </c>
      <c r="E2249" t="s">
        <v>316</v>
      </c>
      <c r="F2249" t="s">
        <v>20</v>
      </c>
      <c r="G2249" t="s">
        <v>21</v>
      </c>
      <c r="H2249" t="s">
        <v>317</v>
      </c>
      <c r="I2249" t="s">
        <v>23</v>
      </c>
      <c r="J2249" t="s">
        <v>35</v>
      </c>
      <c r="K2249" s="2" t="s">
        <v>1525</v>
      </c>
      <c r="L2249" t="s">
        <v>26</v>
      </c>
      <c r="M2249">
        <v>363078</v>
      </c>
      <c r="N2249">
        <v>1</v>
      </c>
      <c r="O2249" s="3">
        <v>69950</v>
      </c>
      <c r="P2249" s="3">
        <v>24893</v>
      </c>
      <c r="Q2249" s="5">
        <f t="shared" si="105"/>
        <v>58781.512605042022</v>
      </c>
      <c r="R2249" s="5">
        <f t="shared" si="106"/>
        <v>24893</v>
      </c>
      <c r="S2249" s="5">
        <f t="shared" si="107"/>
        <v>33888.512605042022</v>
      </c>
    </row>
    <row r="2250" spans="1:19" hidden="1" x14ac:dyDescent="0.3">
      <c r="A2250">
        <v>140</v>
      </c>
      <c r="B2250" t="s">
        <v>3524</v>
      </c>
      <c r="C2250" t="s">
        <v>3844</v>
      </c>
      <c r="D2250" s="2" t="s">
        <v>3845</v>
      </c>
      <c r="E2250" t="s">
        <v>3846</v>
      </c>
      <c r="F2250" t="s">
        <v>20</v>
      </c>
      <c r="G2250" t="s">
        <v>21</v>
      </c>
      <c r="H2250" t="s">
        <v>722</v>
      </c>
      <c r="I2250" t="s">
        <v>23</v>
      </c>
      <c r="J2250" t="s">
        <v>207</v>
      </c>
      <c r="K2250" s="2" t="s">
        <v>2983</v>
      </c>
      <c r="L2250" t="s">
        <v>2249</v>
      </c>
      <c r="M2250">
        <v>25387</v>
      </c>
      <c r="N2250">
        <v>-1</v>
      </c>
      <c r="O2250" s="3">
        <v>-34990</v>
      </c>
      <c r="P2250" s="3">
        <v>15690</v>
      </c>
      <c r="Q2250" s="5">
        <f t="shared" si="105"/>
        <v>-29403.361344537818</v>
      </c>
      <c r="R2250" s="5">
        <f t="shared" si="106"/>
        <v>-15690</v>
      </c>
      <c r="S2250" s="5">
        <f t="shared" si="107"/>
        <v>-13713.361344537818</v>
      </c>
    </row>
    <row r="2251" spans="1:19" hidden="1" x14ac:dyDescent="0.3">
      <c r="A2251">
        <v>140</v>
      </c>
      <c r="B2251" t="s">
        <v>3524</v>
      </c>
      <c r="C2251" t="s">
        <v>3969</v>
      </c>
      <c r="D2251" s="2" t="s">
        <v>3970</v>
      </c>
      <c r="E2251" t="s">
        <v>3971</v>
      </c>
      <c r="F2251" t="s">
        <v>20</v>
      </c>
      <c r="G2251" t="s">
        <v>215</v>
      </c>
      <c r="H2251" t="s">
        <v>3972</v>
      </c>
      <c r="I2251" t="s">
        <v>23</v>
      </c>
      <c r="J2251" t="s">
        <v>40</v>
      </c>
      <c r="K2251" s="2" t="s">
        <v>2983</v>
      </c>
      <c r="L2251" t="s">
        <v>26</v>
      </c>
      <c r="M2251">
        <v>363079</v>
      </c>
      <c r="N2251">
        <v>1</v>
      </c>
      <c r="O2251" s="3">
        <v>69950</v>
      </c>
      <c r="P2251" s="3">
        <v>38907</v>
      </c>
      <c r="Q2251" s="5">
        <f t="shared" si="105"/>
        <v>58781.512605042022</v>
      </c>
      <c r="R2251" s="5">
        <f t="shared" si="106"/>
        <v>38907</v>
      </c>
      <c r="S2251" s="5">
        <f t="shared" si="107"/>
        <v>19874.512605042022</v>
      </c>
    </row>
    <row r="2252" spans="1:19" hidden="1" x14ac:dyDescent="0.3">
      <c r="A2252">
        <v>140</v>
      </c>
      <c r="B2252" t="s">
        <v>3524</v>
      </c>
      <c r="C2252" t="s">
        <v>3973</v>
      </c>
      <c r="D2252" s="2" t="s">
        <v>3974</v>
      </c>
      <c r="E2252" t="s">
        <v>3068</v>
      </c>
      <c r="F2252" t="s">
        <v>20</v>
      </c>
      <c r="G2252" t="s">
        <v>21</v>
      </c>
      <c r="H2252" t="s">
        <v>1286</v>
      </c>
      <c r="I2252" t="s">
        <v>23</v>
      </c>
      <c r="J2252" t="s">
        <v>40</v>
      </c>
      <c r="K2252" s="2" t="s">
        <v>2983</v>
      </c>
      <c r="L2252" t="s">
        <v>26</v>
      </c>
      <c r="M2252">
        <v>363080</v>
      </c>
      <c r="N2252">
        <v>1</v>
      </c>
      <c r="O2252" s="3">
        <v>69950</v>
      </c>
      <c r="P2252" s="3">
        <v>19604</v>
      </c>
      <c r="Q2252" s="5">
        <f t="shared" si="105"/>
        <v>58781.512605042022</v>
      </c>
      <c r="R2252" s="5">
        <f t="shared" si="106"/>
        <v>19604</v>
      </c>
      <c r="S2252" s="5">
        <f t="shared" si="107"/>
        <v>39177.512605042022</v>
      </c>
    </row>
    <row r="2253" spans="1:19" hidden="1" x14ac:dyDescent="0.3">
      <c r="A2253">
        <v>140</v>
      </c>
      <c r="B2253" t="s">
        <v>3524</v>
      </c>
      <c r="C2253" t="s">
        <v>1037</v>
      </c>
      <c r="D2253" s="2" t="s">
        <v>1038</v>
      </c>
      <c r="E2253" t="s">
        <v>1039</v>
      </c>
      <c r="F2253" t="s">
        <v>377</v>
      </c>
      <c r="G2253" t="s">
        <v>21</v>
      </c>
      <c r="H2253" t="s">
        <v>378</v>
      </c>
      <c r="I2253" t="s">
        <v>23</v>
      </c>
      <c r="J2253" t="s">
        <v>379</v>
      </c>
      <c r="K2253" s="2" t="s">
        <v>2983</v>
      </c>
      <c r="L2253" t="s">
        <v>26</v>
      </c>
      <c r="M2253">
        <v>363081</v>
      </c>
      <c r="N2253">
        <v>1</v>
      </c>
      <c r="O2253" s="3">
        <v>5950</v>
      </c>
      <c r="P2253" s="3">
        <v>3257</v>
      </c>
      <c r="Q2253" s="5">
        <f t="shared" si="105"/>
        <v>5000</v>
      </c>
      <c r="R2253" s="5">
        <f t="shared" si="106"/>
        <v>3257</v>
      </c>
      <c r="S2253" s="5">
        <f t="shared" si="107"/>
        <v>1743</v>
      </c>
    </row>
    <row r="2254" spans="1:19" hidden="1" x14ac:dyDescent="0.3">
      <c r="A2254">
        <v>140</v>
      </c>
      <c r="B2254" t="s">
        <v>3524</v>
      </c>
      <c r="C2254" t="s">
        <v>3975</v>
      </c>
      <c r="D2254" s="2" t="s">
        <v>3976</v>
      </c>
      <c r="E2254" t="s">
        <v>3462</v>
      </c>
      <c r="F2254" t="s">
        <v>20</v>
      </c>
      <c r="G2254" t="s">
        <v>21</v>
      </c>
      <c r="H2254" t="s">
        <v>1282</v>
      </c>
      <c r="I2254" t="s">
        <v>23</v>
      </c>
      <c r="J2254" t="s">
        <v>40</v>
      </c>
      <c r="K2254" s="2" t="s">
        <v>2983</v>
      </c>
      <c r="L2254" t="s">
        <v>26</v>
      </c>
      <c r="M2254">
        <v>363082</v>
      </c>
      <c r="N2254">
        <v>1</v>
      </c>
      <c r="O2254" s="3">
        <v>49950</v>
      </c>
      <c r="P2254" s="3">
        <v>12353</v>
      </c>
      <c r="Q2254" s="5">
        <f t="shared" si="105"/>
        <v>41974.789915966387</v>
      </c>
      <c r="R2254" s="5">
        <f t="shared" si="106"/>
        <v>12353</v>
      </c>
      <c r="S2254" s="5">
        <f t="shared" si="107"/>
        <v>29621.789915966387</v>
      </c>
    </row>
    <row r="2255" spans="1:19" hidden="1" x14ac:dyDescent="0.3">
      <c r="A2255">
        <v>140</v>
      </c>
      <c r="B2255" t="s">
        <v>3524</v>
      </c>
      <c r="C2255" t="s">
        <v>3977</v>
      </c>
      <c r="D2255" s="2" t="s">
        <v>3978</v>
      </c>
      <c r="E2255" t="s">
        <v>453</v>
      </c>
      <c r="F2255" t="s">
        <v>20</v>
      </c>
      <c r="G2255" t="s">
        <v>21</v>
      </c>
      <c r="H2255" t="s">
        <v>454</v>
      </c>
      <c r="I2255" t="s">
        <v>23</v>
      </c>
      <c r="J2255" t="s">
        <v>407</v>
      </c>
      <c r="K2255" s="2" t="s">
        <v>2983</v>
      </c>
      <c r="L2255" t="s">
        <v>26</v>
      </c>
      <c r="M2255">
        <v>363082</v>
      </c>
      <c r="N2255">
        <v>1</v>
      </c>
      <c r="O2255" s="3">
        <v>39990</v>
      </c>
      <c r="P2255" s="3">
        <v>21038</v>
      </c>
      <c r="Q2255" s="5">
        <f t="shared" si="105"/>
        <v>33605.042016806721</v>
      </c>
      <c r="R2255" s="5">
        <f t="shared" si="106"/>
        <v>21038</v>
      </c>
      <c r="S2255" s="5">
        <f t="shared" si="107"/>
        <v>12567.042016806721</v>
      </c>
    </row>
    <row r="2256" spans="1:19" hidden="1" x14ac:dyDescent="0.3">
      <c r="A2256">
        <v>140</v>
      </c>
      <c r="B2256" t="s">
        <v>3524</v>
      </c>
      <c r="C2256" t="s">
        <v>2644</v>
      </c>
      <c r="D2256" s="2" t="s">
        <v>2645</v>
      </c>
      <c r="E2256" t="s">
        <v>428</v>
      </c>
      <c r="F2256" t="s">
        <v>20</v>
      </c>
      <c r="G2256" t="s">
        <v>21</v>
      </c>
      <c r="H2256" t="s">
        <v>429</v>
      </c>
      <c r="I2256" t="s">
        <v>23</v>
      </c>
      <c r="J2256" t="s">
        <v>49</v>
      </c>
      <c r="K2256" s="2" t="s">
        <v>2983</v>
      </c>
      <c r="L2256" t="s">
        <v>26</v>
      </c>
      <c r="M2256">
        <v>363083</v>
      </c>
      <c r="N2256">
        <v>1</v>
      </c>
      <c r="O2256" s="3">
        <v>59990</v>
      </c>
      <c r="P2256" s="3">
        <v>28864</v>
      </c>
      <c r="Q2256" s="5">
        <f t="shared" si="105"/>
        <v>50411.764705882357</v>
      </c>
      <c r="R2256" s="5">
        <f t="shared" si="106"/>
        <v>28864</v>
      </c>
      <c r="S2256" s="5">
        <f t="shared" si="107"/>
        <v>21547.764705882357</v>
      </c>
    </row>
    <row r="2257" spans="1:19" hidden="1" x14ac:dyDescent="0.3">
      <c r="A2257">
        <v>140</v>
      </c>
      <c r="B2257" t="s">
        <v>3524</v>
      </c>
      <c r="C2257" t="s">
        <v>3396</v>
      </c>
      <c r="D2257" s="2" t="s">
        <v>3397</v>
      </c>
      <c r="E2257" t="s">
        <v>494</v>
      </c>
      <c r="F2257" t="s">
        <v>20</v>
      </c>
      <c r="G2257" t="s">
        <v>21</v>
      </c>
      <c r="H2257" t="s">
        <v>317</v>
      </c>
      <c r="I2257" t="s">
        <v>23</v>
      </c>
      <c r="J2257" t="s">
        <v>35</v>
      </c>
      <c r="K2257" s="2" t="s">
        <v>2983</v>
      </c>
      <c r="L2257" t="s">
        <v>26</v>
      </c>
      <c r="M2257">
        <v>363084</v>
      </c>
      <c r="N2257">
        <v>1</v>
      </c>
      <c r="O2257" s="3">
        <v>69950</v>
      </c>
      <c r="P2257" s="3">
        <v>23619</v>
      </c>
      <c r="Q2257" s="5">
        <f t="shared" si="105"/>
        <v>58781.512605042022</v>
      </c>
      <c r="R2257" s="5">
        <f t="shared" si="106"/>
        <v>23619</v>
      </c>
      <c r="S2257" s="5">
        <f t="shared" si="107"/>
        <v>35162.512605042022</v>
      </c>
    </row>
    <row r="2258" spans="1:19" hidden="1" x14ac:dyDescent="0.3">
      <c r="A2258">
        <v>140</v>
      </c>
      <c r="B2258" t="s">
        <v>3524</v>
      </c>
      <c r="C2258" t="s">
        <v>3176</v>
      </c>
      <c r="D2258" s="2" t="s">
        <v>3177</v>
      </c>
      <c r="E2258" t="s">
        <v>2539</v>
      </c>
      <c r="F2258" t="s">
        <v>20</v>
      </c>
      <c r="G2258" t="s">
        <v>21</v>
      </c>
      <c r="H2258" t="s">
        <v>966</v>
      </c>
      <c r="I2258" t="s">
        <v>23</v>
      </c>
      <c r="J2258" t="s">
        <v>35</v>
      </c>
      <c r="K2258" s="2" t="s">
        <v>2983</v>
      </c>
      <c r="L2258" t="s">
        <v>26</v>
      </c>
      <c r="M2258">
        <v>363085</v>
      </c>
      <c r="N2258">
        <v>1</v>
      </c>
      <c r="O2258" s="3">
        <v>74950</v>
      </c>
      <c r="P2258" s="3">
        <v>27328</v>
      </c>
      <c r="Q2258" s="5">
        <f t="shared" si="105"/>
        <v>62983.193277310929</v>
      </c>
      <c r="R2258" s="5">
        <f t="shared" si="106"/>
        <v>27328</v>
      </c>
      <c r="S2258" s="5">
        <f t="shared" si="107"/>
        <v>35655.193277310929</v>
      </c>
    </row>
    <row r="2259" spans="1:19" hidden="1" x14ac:dyDescent="0.3">
      <c r="A2259">
        <v>140</v>
      </c>
      <c r="B2259" t="s">
        <v>3524</v>
      </c>
      <c r="C2259" t="s">
        <v>3979</v>
      </c>
      <c r="D2259" s="2" t="s">
        <v>3980</v>
      </c>
      <c r="E2259" t="s">
        <v>3600</v>
      </c>
      <c r="F2259" t="s">
        <v>20</v>
      </c>
      <c r="G2259" t="s">
        <v>21</v>
      </c>
      <c r="H2259" t="s">
        <v>114</v>
      </c>
      <c r="I2259" t="s">
        <v>23</v>
      </c>
      <c r="J2259" t="s">
        <v>49</v>
      </c>
      <c r="K2259" s="2" t="s">
        <v>2983</v>
      </c>
      <c r="L2259" t="s">
        <v>26</v>
      </c>
      <c r="M2259">
        <v>363086</v>
      </c>
      <c r="N2259">
        <v>1</v>
      </c>
      <c r="O2259" s="3">
        <v>69950</v>
      </c>
      <c r="P2259" s="3">
        <v>24732</v>
      </c>
      <c r="Q2259" s="5">
        <f t="shared" si="105"/>
        <v>58781.512605042022</v>
      </c>
      <c r="R2259" s="5">
        <f t="shared" si="106"/>
        <v>24732</v>
      </c>
      <c r="S2259" s="5">
        <f t="shared" si="107"/>
        <v>34049.512605042022</v>
      </c>
    </row>
    <row r="2260" spans="1:19" hidden="1" x14ac:dyDescent="0.3">
      <c r="A2260">
        <v>140</v>
      </c>
      <c r="B2260" t="s">
        <v>3524</v>
      </c>
      <c r="C2260" t="s">
        <v>2312</v>
      </c>
      <c r="D2260" s="2" t="s">
        <v>2313</v>
      </c>
      <c r="E2260" t="s">
        <v>2314</v>
      </c>
      <c r="F2260" t="s">
        <v>20</v>
      </c>
      <c r="G2260" t="s">
        <v>21</v>
      </c>
      <c r="H2260" t="s">
        <v>2315</v>
      </c>
      <c r="I2260" t="s">
        <v>23</v>
      </c>
      <c r="J2260" t="s">
        <v>49</v>
      </c>
      <c r="K2260" s="2" t="s">
        <v>2983</v>
      </c>
      <c r="L2260" t="s">
        <v>26</v>
      </c>
      <c r="M2260">
        <v>363087</v>
      </c>
      <c r="N2260">
        <v>1</v>
      </c>
      <c r="O2260" s="3">
        <v>74950</v>
      </c>
      <c r="P2260" s="3">
        <v>29090</v>
      </c>
      <c r="Q2260" s="5">
        <f t="shared" si="105"/>
        <v>62983.193277310929</v>
      </c>
      <c r="R2260" s="5">
        <f t="shared" si="106"/>
        <v>29090</v>
      </c>
      <c r="S2260" s="5">
        <f t="shared" si="107"/>
        <v>33893.193277310929</v>
      </c>
    </row>
    <row r="2261" spans="1:19" hidden="1" x14ac:dyDescent="0.3">
      <c r="A2261">
        <v>140</v>
      </c>
      <c r="B2261" t="s">
        <v>3524</v>
      </c>
      <c r="C2261" t="s">
        <v>2537</v>
      </c>
      <c r="D2261" s="2" t="s">
        <v>2538</v>
      </c>
      <c r="E2261" t="s">
        <v>2539</v>
      </c>
      <c r="F2261" t="s">
        <v>20</v>
      </c>
      <c r="G2261" t="s">
        <v>21</v>
      </c>
      <c r="H2261" t="s">
        <v>966</v>
      </c>
      <c r="I2261" t="s">
        <v>23</v>
      </c>
      <c r="J2261" t="s">
        <v>35</v>
      </c>
      <c r="K2261" s="2" t="s">
        <v>2983</v>
      </c>
      <c r="L2261" t="s">
        <v>26</v>
      </c>
      <c r="M2261">
        <v>363088</v>
      </c>
      <c r="N2261">
        <v>1</v>
      </c>
      <c r="O2261" s="3">
        <v>74950</v>
      </c>
      <c r="P2261" s="3">
        <v>27299</v>
      </c>
      <c r="Q2261" s="5">
        <f t="shared" si="105"/>
        <v>62983.193277310929</v>
      </c>
      <c r="R2261" s="5">
        <f t="shared" si="106"/>
        <v>27299</v>
      </c>
      <c r="S2261" s="5">
        <f t="shared" si="107"/>
        <v>35684.193277310929</v>
      </c>
    </row>
    <row r="2262" spans="1:19" hidden="1" x14ac:dyDescent="0.3">
      <c r="A2262">
        <v>140</v>
      </c>
      <c r="B2262" t="s">
        <v>3524</v>
      </c>
      <c r="C2262" t="s">
        <v>3981</v>
      </c>
      <c r="D2262" s="2" t="s">
        <v>3982</v>
      </c>
      <c r="E2262" t="s">
        <v>1709</v>
      </c>
      <c r="F2262" t="s">
        <v>20</v>
      </c>
      <c r="G2262" t="s">
        <v>21</v>
      </c>
      <c r="H2262" t="s">
        <v>970</v>
      </c>
      <c r="I2262" t="s">
        <v>23</v>
      </c>
      <c r="J2262" t="s">
        <v>40</v>
      </c>
      <c r="K2262" s="2" t="s">
        <v>2983</v>
      </c>
      <c r="L2262" t="s">
        <v>26</v>
      </c>
      <c r="M2262">
        <v>363089</v>
      </c>
      <c r="N2262">
        <v>1</v>
      </c>
      <c r="O2262" s="3">
        <v>49960</v>
      </c>
      <c r="P2262" s="3">
        <v>18897</v>
      </c>
      <c r="Q2262" s="5">
        <f t="shared" si="105"/>
        <v>41983.193277310929</v>
      </c>
      <c r="R2262" s="5">
        <f t="shared" si="106"/>
        <v>18897</v>
      </c>
      <c r="S2262" s="5">
        <f t="shared" si="107"/>
        <v>23086.193277310929</v>
      </c>
    </row>
    <row r="2263" spans="1:19" hidden="1" x14ac:dyDescent="0.3">
      <c r="A2263">
        <v>140</v>
      </c>
      <c r="B2263" t="s">
        <v>3524</v>
      </c>
      <c r="C2263" t="s">
        <v>3983</v>
      </c>
      <c r="D2263" s="2" t="s">
        <v>3984</v>
      </c>
      <c r="E2263" t="s">
        <v>3328</v>
      </c>
      <c r="F2263" t="s">
        <v>20</v>
      </c>
      <c r="G2263" t="s">
        <v>338</v>
      </c>
      <c r="H2263">
        <v>23720</v>
      </c>
      <c r="I2263" t="s">
        <v>23</v>
      </c>
      <c r="J2263" t="s">
        <v>40</v>
      </c>
      <c r="K2263" s="2" t="s">
        <v>2983</v>
      </c>
      <c r="L2263" t="s">
        <v>26</v>
      </c>
      <c r="M2263">
        <v>363090</v>
      </c>
      <c r="N2263">
        <v>1</v>
      </c>
      <c r="O2263" s="3">
        <v>59950</v>
      </c>
      <c r="P2263" s="3">
        <v>19646</v>
      </c>
      <c r="Q2263" s="5">
        <f t="shared" si="105"/>
        <v>50378.151260504201</v>
      </c>
      <c r="R2263" s="5">
        <f t="shared" si="106"/>
        <v>19646</v>
      </c>
      <c r="S2263" s="5">
        <f t="shared" si="107"/>
        <v>30732.151260504201</v>
      </c>
    </row>
    <row r="2264" spans="1:19" hidden="1" x14ac:dyDescent="0.3">
      <c r="A2264">
        <v>140</v>
      </c>
      <c r="B2264" t="s">
        <v>3524</v>
      </c>
      <c r="C2264" t="s">
        <v>3985</v>
      </c>
      <c r="D2264" s="2" t="s">
        <v>3986</v>
      </c>
      <c r="E2264" t="s">
        <v>2800</v>
      </c>
      <c r="F2264" t="s">
        <v>20</v>
      </c>
      <c r="G2264" t="s">
        <v>21</v>
      </c>
      <c r="H2264" t="s">
        <v>600</v>
      </c>
      <c r="I2264" t="s">
        <v>23</v>
      </c>
      <c r="J2264" t="s">
        <v>40</v>
      </c>
      <c r="K2264" s="2" t="s">
        <v>2983</v>
      </c>
      <c r="L2264" t="s">
        <v>26</v>
      </c>
      <c r="M2264">
        <v>363091</v>
      </c>
      <c r="N2264">
        <v>1</v>
      </c>
      <c r="O2264" s="3">
        <v>49990</v>
      </c>
      <c r="P2264" s="3">
        <v>21327</v>
      </c>
      <c r="Q2264" s="5">
        <f t="shared" si="105"/>
        <v>42008.403361344543</v>
      </c>
      <c r="R2264" s="5">
        <f t="shared" si="106"/>
        <v>21327</v>
      </c>
      <c r="S2264" s="5">
        <f t="shared" si="107"/>
        <v>20681.403361344543</v>
      </c>
    </row>
    <row r="2265" spans="1:19" hidden="1" x14ac:dyDescent="0.3">
      <c r="A2265">
        <v>140</v>
      </c>
      <c r="B2265" t="s">
        <v>3524</v>
      </c>
      <c r="C2265" t="s">
        <v>3253</v>
      </c>
      <c r="D2265" s="2" t="s">
        <v>3254</v>
      </c>
      <c r="E2265" t="s">
        <v>2653</v>
      </c>
      <c r="F2265" t="s">
        <v>20</v>
      </c>
      <c r="G2265" t="s">
        <v>21</v>
      </c>
      <c r="H2265" t="s">
        <v>2315</v>
      </c>
      <c r="I2265" t="s">
        <v>23</v>
      </c>
      <c r="J2265" t="s">
        <v>35</v>
      </c>
      <c r="K2265" s="2" t="s">
        <v>2983</v>
      </c>
      <c r="L2265" t="s">
        <v>26</v>
      </c>
      <c r="M2265">
        <v>363092</v>
      </c>
      <c r="N2265">
        <v>1</v>
      </c>
      <c r="O2265" s="3">
        <v>76450</v>
      </c>
      <c r="P2265" s="3">
        <v>30749</v>
      </c>
      <c r="Q2265" s="5">
        <f t="shared" si="105"/>
        <v>64243.697478991598</v>
      </c>
      <c r="R2265" s="5">
        <f t="shared" si="106"/>
        <v>30749</v>
      </c>
      <c r="S2265" s="5">
        <f t="shared" si="107"/>
        <v>33494.697478991598</v>
      </c>
    </row>
    <row r="2266" spans="1:19" hidden="1" x14ac:dyDescent="0.3">
      <c r="A2266">
        <v>140</v>
      </c>
      <c r="B2266" t="s">
        <v>3524</v>
      </c>
      <c r="C2266" t="s">
        <v>2940</v>
      </c>
      <c r="D2266" s="2" t="s">
        <v>2941</v>
      </c>
      <c r="E2266" t="s">
        <v>1986</v>
      </c>
      <c r="F2266" t="s">
        <v>20</v>
      </c>
      <c r="G2266" t="s">
        <v>21</v>
      </c>
      <c r="H2266" t="s">
        <v>1987</v>
      </c>
      <c r="I2266" t="s">
        <v>23</v>
      </c>
      <c r="J2266" t="s">
        <v>49</v>
      </c>
      <c r="K2266" s="2" t="s">
        <v>2983</v>
      </c>
      <c r="L2266" t="s">
        <v>26</v>
      </c>
      <c r="M2266">
        <v>363092</v>
      </c>
      <c r="N2266">
        <v>1</v>
      </c>
      <c r="O2266" s="3">
        <v>74950</v>
      </c>
      <c r="P2266" s="3">
        <v>25014</v>
      </c>
      <c r="Q2266" s="5">
        <f t="shared" si="105"/>
        <v>62983.193277310929</v>
      </c>
      <c r="R2266" s="5">
        <f t="shared" si="106"/>
        <v>25014</v>
      </c>
      <c r="S2266" s="5">
        <f t="shared" si="107"/>
        <v>37969.193277310929</v>
      </c>
    </row>
    <row r="2267" spans="1:19" hidden="1" x14ac:dyDescent="0.3">
      <c r="A2267">
        <v>140</v>
      </c>
      <c r="B2267" t="s">
        <v>3524</v>
      </c>
      <c r="C2267" t="s">
        <v>3987</v>
      </c>
      <c r="D2267" s="2" t="s">
        <v>3988</v>
      </c>
      <c r="E2267" t="s">
        <v>3716</v>
      </c>
      <c r="F2267" t="s">
        <v>20</v>
      </c>
      <c r="G2267" t="s">
        <v>215</v>
      </c>
      <c r="H2267" t="s">
        <v>3717</v>
      </c>
      <c r="I2267" t="s">
        <v>23</v>
      </c>
      <c r="J2267" t="s">
        <v>35</v>
      </c>
      <c r="K2267" s="2" t="s">
        <v>2983</v>
      </c>
      <c r="L2267" t="s">
        <v>26</v>
      </c>
      <c r="M2267">
        <v>363093</v>
      </c>
      <c r="N2267">
        <v>1</v>
      </c>
      <c r="O2267" s="3">
        <v>65970</v>
      </c>
      <c r="P2267" s="3">
        <v>42430</v>
      </c>
      <c r="Q2267" s="5">
        <f t="shared" si="105"/>
        <v>55436.97478991597</v>
      </c>
      <c r="R2267" s="5">
        <f t="shared" si="106"/>
        <v>42430</v>
      </c>
      <c r="S2267" s="5">
        <f t="shared" si="107"/>
        <v>13006.97478991597</v>
      </c>
    </row>
    <row r="2268" spans="1:19" hidden="1" x14ac:dyDescent="0.3">
      <c r="A2268">
        <v>140</v>
      </c>
      <c r="B2268" t="s">
        <v>3524</v>
      </c>
      <c r="C2268" t="s">
        <v>3989</v>
      </c>
      <c r="D2268" s="2" t="s">
        <v>3990</v>
      </c>
      <c r="E2268" t="s">
        <v>2298</v>
      </c>
      <c r="F2268" t="s">
        <v>20</v>
      </c>
      <c r="G2268" t="s">
        <v>21</v>
      </c>
      <c r="H2268" t="s">
        <v>2189</v>
      </c>
      <c r="I2268" t="s">
        <v>23</v>
      </c>
      <c r="J2268" t="s">
        <v>40</v>
      </c>
      <c r="K2268" s="2" t="s">
        <v>2983</v>
      </c>
      <c r="L2268" t="s">
        <v>26</v>
      </c>
      <c r="M2268">
        <v>363094</v>
      </c>
      <c r="N2268">
        <v>1</v>
      </c>
      <c r="O2268" s="3">
        <v>64951</v>
      </c>
      <c r="P2268" s="3">
        <v>20787</v>
      </c>
      <c r="Q2268" s="5">
        <f t="shared" si="105"/>
        <v>54580.672268907569</v>
      </c>
      <c r="R2268" s="5">
        <f t="shared" si="106"/>
        <v>20787</v>
      </c>
      <c r="S2268" s="5">
        <f t="shared" si="107"/>
        <v>33793.672268907569</v>
      </c>
    </row>
    <row r="2269" spans="1:19" hidden="1" x14ac:dyDescent="0.3">
      <c r="A2269">
        <v>140</v>
      </c>
      <c r="B2269" t="s">
        <v>3524</v>
      </c>
      <c r="C2269" t="s">
        <v>2774</v>
      </c>
      <c r="D2269" s="2" t="s">
        <v>2775</v>
      </c>
      <c r="E2269" t="s">
        <v>266</v>
      </c>
      <c r="F2269" t="s">
        <v>20</v>
      </c>
      <c r="G2269" t="s">
        <v>21</v>
      </c>
      <c r="H2269" t="s">
        <v>267</v>
      </c>
      <c r="I2269" t="s">
        <v>23</v>
      </c>
      <c r="J2269" t="s">
        <v>49</v>
      </c>
      <c r="K2269" s="2" t="s">
        <v>2983</v>
      </c>
      <c r="L2269" t="s">
        <v>26</v>
      </c>
      <c r="M2269">
        <v>363094</v>
      </c>
      <c r="N2269">
        <v>-1</v>
      </c>
      <c r="O2269" s="3">
        <v>-64950</v>
      </c>
      <c r="P2269" s="3">
        <v>24504</v>
      </c>
      <c r="Q2269" s="5">
        <f t="shared" si="105"/>
        <v>-54579.831932773115</v>
      </c>
      <c r="R2269" s="5">
        <f t="shared" si="106"/>
        <v>-24504</v>
      </c>
      <c r="S2269" s="5">
        <f t="shared" si="107"/>
        <v>-30075.831932773115</v>
      </c>
    </row>
    <row r="2270" spans="1:19" hidden="1" x14ac:dyDescent="0.3">
      <c r="A2270">
        <v>140</v>
      </c>
      <c r="B2270" t="s">
        <v>3524</v>
      </c>
      <c r="C2270" t="s">
        <v>3991</v>
      </c>
      <c r="D2270" s="2" t="s">
        <v>3992</v>
      </c>
      <c r="E2270" t="s">
        <v>2160</v>
      </c>
      <c r="F2270" t="s">
        <v>20</v>
      </c>
      <c r="G2270" t="s">
        <v>21</v>
      </c>
      <c r="H2270" t="s">
        <v>970</v>
      </c>
      <c r="I2270" t="s">
        <v>23</v>
      </c>
      <c r="J2270" t="s">
        <v>40</v>
      </c>
      <c r="K2270" s="2" t="s">
        <v>2983</v>
      </c>
      <c r="L2270" t="s">
        <v>26</v>
      </c>
      <c r="M2270">
        <v>363095</v>
      </c>
      <c r="N2270">
        <v>1</v>
      </c>
      <c r="O2270" s="3">
        <v>59950</v>
      </c>
      <c r="P2270" s="3">
        <v>18043</v>
      </c>
      <c r="Q2270" s="5">
        <f t="shared" si="105"/>
        <v>50378.151260504201</v>
      </c>
      <c r="R2270" s="5">
        <f t="shared" si="106"/>
        <v>18043</v>
      </c>
      <c r="S2270" s="5">
        <f t="shared" si="107"/>
        <v>32335.151260504201</v>
      </c>
    </row>
    <row r="2271" spans="1:19" hidden="1" x14ac:dyDescent="0.3">
      <c r="A2271">
        <v>140</v>
      </c>
      <c r="B2271" t="s">
        <v>3524</v>
      </c>
      <c r="C2271" t="s">
        <v>3993</v>
      </c>
      <c r="D2271" s="2" t="s">
        <v>3994</v>
      </c>
      <c r="E2271" t="s">
        <v>3995</v>
      </c>
      <c r="F2271" t="s">
        <v>20</v>
      </c>
      <c r="G2271" t="s">
        <v>21</v>
      </c>
      <c r="H2271" t="s">
        <v>3996</v>
      </c>
      <c r="I2271" t="s">
        <v>23</v>
      </c>
      <c r="J2271" t="s">
        <v>40</v>
      </c>
      <c r="K2271" s="2" t="s">
        <v>2983</v>
      </c>
      <c r="L2271" t="s">
        <v>26</v>
      </c>
      <c r="M2271">
        <v>363095</v>
      </c>
      <c r="N2271">
        <v>1</v>
      </c>
      <c r="O2271" s="3">
        <v>39990</v>
      </c>
      <c r="P2271" s="3">
        <v>17195</v>
      </c>
      <c r="Q2271" s="5">
        <f t="shared" si="105"/>
        <v>33605.042016806721</v>
      </c>
      <c r="R2271" s="5">
        <f t="shared" si="106"/>
        <v>17195</v>
      </c>
      <c r="S2271" s="5">
        <f t="shared" si="107"/>
        <v>16410.042016806721</v>
      </c>
    </row>
    <row r="2272" spans="1:19" hidden="1" x14ac:dyDescent="0.3">
      <c r="A2272">
        <v>140</v>
      </c>
      <c r="B2272" t="s">
        <v>3524</v>
      </c>
      <c r="C2272" t="s">
        <v>2971</v>
      </c>
      <c r="D2272" s="2" t="s">
        <v>2972</v>
      </c>
      <c r="E2272" t="s">
        <v>2301</v>
      </c>
      <c r="F2272" t="s">
        <v>20</v>
      </c>
      <c r="G2272" t="s">
        <v>21</v>
      </c>
      <c r="H2272" t="s">
        <v>1124</v>
      </c>
      <c r="I2272" t="s">
        <v>23</v>
      </c>
      <c r="J2272" t="s">
        <v>24</v>
      </c>
      <c r="K2272" s="2" t="s">
        <v>2983</v>
      </c>
      <c r="L2272" t="s">
        <v>26</v>
      </c>
      <c r="M2272">
        <v>363096</v>
      </c>
      <c r="N2272">
        <v>1</v>
      </c>
      <c r="O2272" s="3">
        <v>63700</v>
      </c>
      <c r="P2272" s="3">
        <v>25834</v>
      </c>
      <c r="Q2272" s="5">
        <f t="shared" si="105"/>
        <v>53529.411764705888</v>
      </c>
      <c r="R2272" s="5">
        <f t="shared" si="106"/>
        <v>25834</v>
      </c>
      <c r="S2272" s="5">
        <f t="shared" si="107"/>
        <v>27695.411764705888</v>
      </c>
    </row>
    <row r="2273" spans="1:19" hidden="1" x14ac:dyDescent="0.3">
      <c r="A2273">
        <v>140</v>
      </c>
      <c r="B2273" t="s">
        <v>3524</v>
      </c>
      <c r="C2273" t="s">
        <v>2491</v>
      </c>
      <c r="D2273" s="2" t="s">
        <v>2492</v>
      </c>
      <c r="E2273" t="s">
        <v>2493</v>
      </c>
      <c r="F2273" t="s">
        <v>20</v>
      </c>
      <c r="G2273" t="s">
        <v>21</v>
      </c>
      <c r="H2273" t="s">
        <v>2494</v>
      </c>
      <c r="I2273" t="s">
        <v>23</v>
      </c>
      <c r="J2273" t="s">
        <v>40</v>
      </c>
      <c r="K2273" s="2" t="s">
        <v>2983</v>
      </c>
      <c r="L2273" t="s">
        <v>26</v>
      </c>
      <c r="M2273">
        <v>363096</v>
      </c>
      <c r="N2273">
        <v>1</v>
      </c>
      <c r="O2273" s="3">
        <v>69950</v>
      </c>
      <c r="P2273" s="3">
        <v>22206</v>
      </c>
      <c r="Q2273" s="5">
        <f t="shared" si="105"/>
        <v>58781.512605042022</v>
      </c>
      <c r="R2273" s="5">
        <f t="shared" si="106"/>
        <v>22206</v>
      </c>
      <c r="S2273" s="5">
        <f t="shared" si="107"/>
        <v>36575.512605042022</v>
      </c>
    </row>
    <row r="2274" spans="1:19" hidden="1" x14ac:dyDescent="0.3">
      <c r="A2274">
        <v>140</v>
      </c>
      <c r="B2274" t="s">
        <v>3524</v>
      </c>
      <c r="C2274" t="s">
        <v>3997</v>
      </c>
      <c r="D2274" s="2" t="s">
        <v>3998</v>
      </c>
      <c r="E2274" t="s">
        <v>2748</v>
      </c>
      <c r="F2274" t="s">
        <v>20</v>
      </c>
      <c r="G2274" t="s">
        <v>338</v>
      </c>
      <c r="H2274">
        <v>26266</v>
      </c>
      <c r="I2274" t="s">
        <v>23</v>
      </c>
      <c r="J2274" t="s">
        <v>35</v>
      </c>
      <c r="K2274" s="2" t="s">
        <v>2983</v>
      </c>
      <c r="L2274" t="s">
        <v>26</v>
      </c>
      <c r="M2274">
        <v>363097</v>
      </c>
      <c r="N2274">
        <v>1</v>
      </c>
      <c r="O2274" s="3">
        <v>67950</v>
      </c>
      <c r="P2274" s="3">
        <v>25300</v>
      </c>
      <c r="Q2274" s="5">
        <f t="shared" si="105"/>
        <v>57100.840336134454</v>
      </c>
      <c r="R2274" s="5">
        <f t="shared" si="106"/>
        <v>25300</v>
      </c>
      <c r="S2274" s="5">
        <f t="shared" si="107"/>
        <v>31800.840336134454</v>
      </c>
    </row>
    <row r="2275" spans="1:19" hidden="1" x14ac:dyDescent="0.3">
      <c r="A2275">
        <v>140</v>
      </c>
      <c r="B2275" t="s">
        <v>3524</v>
      </c>
      <c r="C2275" t="s">
        <v>3999</v>
      </c>
      <c r="D2275" s="2" t="s">
        <v>4000</v>
      </c>
      <c r="E2275" t="s">
        <v>4001</v>
      </c>
      <c r="F2275" t="s">
        <v>20</v>
      </c>
      <c r="G2275" t="s">
        <v>21</v>
      </c>
      <c r="H2275" t="s">
        <v>1457</v>
      </c>
      <c r="I2275" t="s">
        <v>23</v>
      </c>
      <c r="J2275" t="s">
        <v>40</v>
      </c>
      <c r="K2275" s="2" t="s">
        <v>2983</v>
      </c>
      <c r="L2275" t="s">
        <v>26</v>
      </c>
      <c r="M2275">
        <v>363098</v>
      </c>
      <c r="N2275">
        <v>1</v>
      </c>
      <c r="O2275" s="3">
        <v>64950</v>
      </c>
      <c r="P2275" s="3">
        <v>19019</v>
      </c>
      <c r="Q2275" s="5">
        <f t="shared" si="105"/>
        <v>54579.831932773115</v>
      </c>
      <c r="R2275" s="5">
        <f t="shared" si="106"/>
        <v>19019</v>
      </c>
      <c r="S2275" s="5">
        <f t="shared" si="107"/>
        <v>35560.831932773115</v>
      </c>
    </row>
    <row r="2276" spans="1:19" hidden="1" x14ac:dyDescent="0.3">
      <c r="A2276">
        <v>140</v>
      </c>
      <c r="B2276" t="s">
        <v>3524</v>
      </c>
      <c r="C2276" t="s">
        <v>2914</v>
      </c>
      <c r="D2276" s="2" t="s">
        <v>2915</v>
      </c>
      <c r="E2276" t="s">
        <v>1668</v>
      </c>
      <c r="F2276" t="s">
        <v>20</v>
      </c>
      <c r="G2276" t="s">
        <v>338</v>
      </c>
      <c r="H2276">
        <v>23603</v>
      </c>
      <c r="I2276" t="s">
        <v>23</v>
      </c>
      <c r="J2276" t="s">
        <v>40</v>
      </c>
      <c r="K2276" s="2" t="s">
        <v>2983</v>
      </c>
      <c r="L2276" t="s">
        <v>26</v>
      </c>
      <c r="M2276">
        <v>363099</v>
      </c>
      <c r="N2276">
        <v>1</v>
      </c>
      <c r="O2276" s="3">
        <v>59450</v>
      </c>
      <c r="P2276" s="3">
        <v>22607</v>
      </c>
      <c r="Q2276" s="5">
        <f t="shared" si="105"/>
        <v>49957.983193277316</v>
      </c>
      <c r="R2276" s="5">
        <f t="shared" si="106"/>
        <v>22607</v>
      </c>
      <c r="S2276" s="5">
        <f t="shared" si="107"/>
        <v>27350.983193277316</v>
      </c>
    </row>
    <row r="2277" spans="1:19" hidden="1" x14ac:dyDescent="0.3">
      <c r="A2277">
        <v>140</v>
      </c>
      <c r="B2277" t="s">
        <v>3524</v>
      </c>
      <c r="C2277" t="s">
        <v>4002</v>
      </c>
      <c r="D2277" s="2" t="s">
        <v>4003</v>
      </c>
      <c r="E2277" t="s">
        <v>2373</v>
      </c>
      <c r="F2277" t="s">
        <v>20</v>
      </c>
      <c r="G2277" t="s">
        <v>338</v>
      </c>
      <c r="H2277">
        <v>24239</v>
      </c>
      <c r="I2277" t="s">
        <v>23</v>
      </c>
      <c r="J2277" t="s">
        <v>95</v>
      </c>
      <c r="K2277" s="2" t="s">
        <v>2983</v>
      </c>
      <c r="L2277" t="s">
        <v>26</v>
      </c>
      <c r="M2277">
        <v>363099</v>
      </c>
      <c r="N2277">
        <v>1</v>
      </c>
      <c r="O2277" s="3">
        <v>59950</v>
      </c>
      <c r="P2277" s="3">
        <v>18677</v>
      </c>
      <c r="Q2277" s="5">
        <f t="shared" si="105"/>
        <v>50378.151260504201</v>
      </c>
      <c r="R2277" s="5">
        <f t="shared" si="106"/>
        <v>18677</v>
      </c>
      <c r="S2277" s="5">
        <f t="shared" si="107"/>
        <v>31701.151260504201</v>
      </c>
    </row>
    <row r="2278" spans="1:19" hidden="1" x14ac:dyDescent="0.3">
      <c r="A2278">
        <v>140</v>
      </c>
      <c r="B2278" t="s">
        <v>3524</v>
      </c>
      <c r="C2278" t="s">
        <v>4004</v>
      </c>
      <c r="D2278" s="2" t="s">
        <v>4005</v>
      </c>
      <c r="E2278" t="s">
        <v>3302</v>
      </c>
      <c r="F2278" t="s">
        <v>20</v>
      </c>
      <c r="G2278" t="s">
        <v>21</v>
      </c>
      <c r="H2278" t="s">
        <v>958</v>
      </c>
      <c r="I2278" t="s">
        <v>23</v>
      </c>
      <c r="J2278" t="s">
        <v>40</v>
      </c>
      <c r="K2278" s="2" t="s">
        <v>2983</v>
      </c>
      <c r="L2278" t="s">
        <v>26</v>
      </c>
      <c r="M2278">
        <v>363100</v>
      </c>
      <c r="N2278">
        <v>1</v>
      </c>
      <c r="O2278" s="3">
        <v>59950</v>
      </c>
      <c r="P2278" s="3">
        <v>16439</v>
      </c>
      <c r="Q2278" s="5">
        <f t="shared" si="105"/>
        <v>50378.151260504201</v>
      </c>
      <c r="R2278" s="5">
        <f t="shared" si="106"/>
        <v>16439</v>
      </c>
      <c r="S2278" s="5">
        <f t="shared" si="107"/>
        <v>33939.151260504201</v>
      </c>
    </row>
    <row r="2279" spans="1:19" hidden="1" x14ac:dyDescent="0.3">
      <c r="A2279">
        <v>140</v>
      </c>
      <c r="B2279" t="s">
        <v>3524</v>
      </c>
      <c r="C2279" t="s">
        <v>4006</v>
      </c>
      <c r="D2279" s="2" t="s">
        <v>4007</v>
      </c>
      <c r="E2279" t="s">
        <v>1828</v>
      </c>
      <c r="F2279" t="s">
        <v>20</v>
      </c>
      <c r="G2279" t="s">
        <v>21</v>
      </c>
      <c r="H2279" t="s">
        <v>1689</v>
      </c>
      <c r="I2279" t="s">
        <v>23</v>
      </c>
      <c r="J2279" t="s">
        <v>49</v>
      </c>
      <c r="K2279" s="2" t="s">
        <v>2983</v>
      </c>
      <c r="L2279" t="s">
        <v>26</v>
      </c>
      <c r="M2279">
        <v>363101</v>
      </c>
      <c r="N2279">
        <v>1</v>
      </c>
      <c r="O2279" s="3">
        <v>89950</v>
      </c>
      <c r="P2279" s="3">
        <v>35593</v>
      </c>
      <c r="Q2279" s="5">
        <f t="shared" si="105"/>
        <v>75588.23529411765</v>
      </c>
      <c r="R2279" s="5">
        <f t="shared" si="106"/>
        <v>35593</v>
      </c>
      <c r="S2279" s="5">
        <f t="shared" si="107"/>
        <v>39995.23529411765</v>
      </c>
    </row>
    <row r="2280" spans="1:19" hidden="1" x14ac:dyDescent="0.3">
      <c r="A2280">
        <v>140</v>
      </c>
      <c r="B2280" t="s">
        <v>3524</v>
      </c>
      <c r="C2280" t="s">
        <v>3527</v>
      </c>
      <c r="D2280" s="2" t="s">
        <v>3528</v>
      </c>
      <c r="E2280" t="s">
        <v>2566</v>
      </c>
      <c r="F2280" t="s">
        <v>20</v>
      </c>
      <c r="G2280" t="s">
        <v>21</v>
      </c>
      <c r="H2280" t="s">
        <v>1689</v>
      </c>
      <c r="I2280" t="s">
        <v>23</v>
      </c>
      <c r="J2280" t="s">
        <v>49</v>
      </c>
      <c r="K2280" s="2" t="s">
        <v>2983</v>
      </c>
      <c r="L2280" t="s">
        <v>26</v>
      </c>
      <c r="M2280">
        <v>363101</v>
      </c>
      <c r="N2280">
        <v>1</v>
      </c>
      <c r="O2280" s="3">
        <v>76450</v>
      </c>
      <c r="P2280" s="3">
        <v>38892</v>
      </c>
      <c r="Q2280" s="5">
        <f t="shared" si="105"/>
        <v>64243.697478991598</v>
      </c>
      <c r="R2280" s="5">
        <f t="shared" si="106"/>
        <v>38892</v>
      </c>
      <c r="S2280" s="5">
        <f t="shared" si="107"/>
        <v>25351.697478991598</v>
      </c>
    </row>
    <row r="2281" spans="1:19" hidden="1" x14ac:dyDescent="0.3">
      <c r="A2281">
        <v>140</v>
      </c>
      <c r="B2281" t="s">
        <v>3524</v>
      </c>
      <c r="C2281" t="s">
        <v>4008</v>
      </c>
      <c r="D2281" s="2" t="s">
        <v>4009</v>
      </c>
      <c r="E2281" t="s">
        <v>3016</v>
      </c>
      <c r="F2281" t="s">
        <v>20</v>
      </c>
      <c r="G2281" t="s">
        <v>338</v>
      </c>
      <c r="H2281">
        <v>25301</v>
      </c>
      <c r="I2281" t="s">
        <v>23</v>
      </c>
      <c r="J2281" t="s">
        <v>35</v>
      </c>
      <c r="K2281" s="2" t="s">
        <v>2983</v>
      </c>
      <c r="L2281" t="s">
        <v>26</v>
      </c>
      <c r="M2281">
        <v>363102</v>
      </c>
      <c r="N2281">
        <v>1</v>
      </c>
      <c r="O2281" s="3">
        <v>84950</v>
      </c>
      <c r="P2281" s="3">
        <v>34679</v>
      </c>
      <c r="Q2281" s="5">
        <f t="shared" si="105"/>
        <v>71386.554621848743</v>
      </c>
      <c r="R2281" s="5">
        <f t="shared" si="106"/>
        <v>34679</v>
      </c>
      <c r="S2281" s="5">
        <f t="shared" si="107"/>
        <v>36707.554621848743</v>
      </c>
    </row>
    <row r="2282" spans="1:19" hidden="1" x14ac:dyDescent="0.3">
      <c r="A2282">
        <v>140</v>
      </c>
      <c r="B2282" t="s">
        <v>3524</v>
      </c>
      <c r="C2282" t="s">
        <v>4010</v>
      </c>
      <c r="D2282" s="2" t="s">
        <v>4011</v>
      </c>
      <c r="E2282" t="s">
        <v>1428</v>
      </c>
      <c r="F2282" t="s">
        <v>20</v>
      </c>
      <c r="G2282" t="s">
        <v>21</v>
      </c>
      <c r="H2282" t="s">
        <v>57</v>
      </c>
      <c r="I2282" t="s">
        <v>23</v>
      </c>
      <c r="J2282" t="s">
        <v>35</v>
      </c>
      <c r="K2282" s="2" t="s">
        <v>2983</v>
      </c>
      <c r="L2282" t="s">
        <v>26</v>
      </c>
      <c r="M2282">
        <v>363102</v>
      </c>
      <c r="N2282">
        <v>1</v>
      </c>
      <c r="O2282" s="3">
        <v>89950</v>
      </c>
      <c r="P2282" s="3">
        <v>31700</v>
      </c>
      <c r="Q2282" s="5">
        <f t="shared" si="105"/>
        <v>75588.23529411765</v>
      </c>
      <c r="R2282" s="5">
        <f t="shared" si="106"/>
        <v>31700</v>
      </c>
      <c r="S2282" s="5">
        <f t="shared" si="107"/>
        <v>43888.23529411765</v>
      </c>
    </row>
    <row r="2283" spans="1:19" hidden="1" x14ac:dyDescent="0.3">
      <c r="A2283">
        <v>140</v>
      </c>
      <c r="B2283" t="s">
        <v>3524</v>
      </c>
      <c r="C2283" t="s">
        <v>1756</v>
      </c>
      <c r="D2283" s="2" t="s">
        <v>1757</v>
      </c>
      <c r="E2283" t="s">
        <v>1758</v>
      </c>
      <c r="F2283" t="s">
        <v>20</v>
      </c>
      <c r="G2283" t="s">
        <v>338</v>
      </c>
      <c r="H2283">
        <v>25133</v>
      </c>
      <c r="I2283" t="s">
        <v>23</v>
      </c>
      <c r="J2283" t="s">
        <v>35</v>
      </c>
      <c r="K2283" s="2" t="s">
        <v>2983</v>
      </c>
      <c r="L2283" t="s">
        <v>26</v>
      </c>
      <c r="M2283">
        <v>363103</v>
      </c>
      <c r="N2283">
        <v>1</v>
      </c>
      <c r="O2283" s="3">
        <v>74950</v>
      </c>
      <c r="P2283" s="3">
        <v>21167</v>
      </c>
      <c r="Q2283" s="5">
        <f t="shared" si="105"/>
        <v>62983.193277310929</v>
      </c>
      <c r="R2283" s="5">
        <f t="shared" si="106"/>
        <v>21167</v>
      </c>
      <c r="S2283" s="5">
        <f t="shared" si="107"/>
        <v>41816.193277310929</v>
      </c>
    </row>
    <row r="2284" spans="1:19" hidden="1" x14ac:dyDescent="0.3">
      <c r="A2284">
        <v>140</v>
      </c>
      <c r="B2284" t="s">
        <v>3524</v>
      </c>
      <c r="C2284" t="s">
        <v>4012</v>
      </c>
      <c r="D2284" s="2" t="s">
        <v>4013</v>
      </c>
      <c r="E2284" t="s">
        <v>4014</v>
      </c>
      <c r="F2284" t="s">
        <v>20</v>
      </c>
      <c r="G2284" t="s">
        <v>215</v>
      </c>
      <c r="H2284" t="s">
        <v>2127</v>
      </c>
      <c r="I2284" t="s">
        <v>23</v>
      </c>
      <c r="J2284" t="s">
        <v>35</v>
      </c>
      <c r="K2284" s="2" t="s">
        <v>2983</v>
      </c>
      <c r="L2284" t="s">
        <v>26</v>
      </c>
      <c r="M2284">
        <v>363104</v>
      </c>
      <c r="N2284">
        <v>1</v>
      </c>
      <c r="O2284" s="3">
        <v>69950</v>
      </c>
      <c r="P2284" s="3">
        <v>47276</v>
      </c>
      <c r="Q2284" s="5">
        <f t="shared" si="105"/>
        <v>58781.512605042022</v>
      </c>
      <c r="R2284" s="5">
        <f t="shared" si="106"/>
        <v>47276</v>
      </c>
      <c r="S2284" s="5">
        <f t="shared" si="107"/>
        <v>11505.512605042022</v>
      </c>
    </row>
    <row r="2285" spans="1:19" hidden="1" x14ac:dyDescent="0.3">
      <c r="A2285">
        <v>140</v>
      </c>
      <c r="B2285" t="s">
        <v>3524</v>
      </c>
      <c r="C2285" t="s">
        <v>4015</v>
      </c>
      <c r="D2285" s="2" t="s">
        <v>4016</v>
      </c>
      <c r="E2285" t="s">
        <v>2996</v>
      </c>
      <c r="F2285" t="s">
        <v>20</v>
      </c>
      <c r="G2285" t="s">
        <v>338</v>
      </c>
      <c r="H2285">
        <v>25823</v>
      </c>
      <c r="I2285" t="s">
        <v>23</v>
      </c>
      <c r="J2285" t="s">
        <v>35</v>
      </c>
      <c r="K2285" s="2" t="s">
        <v>2983</v>
      </c>
      <c r="L2285" t="s">
        <v>26</v>
      </c>
      <c r="M2285">
        <v>363105</v>
      </c>
      <c r="N2285">
        <v>1</v>
      </c>
      <c r="O2285" s="3">
        <v>99950</v>
      </c>
      <c r="P2285" s="3">
        <v>33748</v>
      </c>
      <c r="Q2285" s="5">
        <f t="shared" si="105"/>
        <v>83991.596638655465</v>
      </c>
      <c r="R2285" s="5">
        <f t="shared" si="106"/>
        <v>33748</v>
      </c>
      <c r="S2285" s="5">
        <f t="shared" si="107"/>
        <v>50243.596638655465</v>
      </c>
    </row>
    <row r="2286" spans="1:19" hidden="1" x14ac:dyDescent="0.3">
      <c r="A2286">
        <v>140</v>
      </c>
      <c r="B2286" t="s">
        <v>3524</v>
      </c>
      <c r="C2286" t="s">
        <v>4017</v>
      </c>
      <c r="D2286" s="2" t="s">
        <v>4018</v>
      </c>
      <c r="E2286" t="s">
        <v>3893</v>
      </c>
      <c r="F2286" t="s">
        <v>20</v>
      </c>
      <c r="G2286" t="s">
        <v>21</v>
      </c>
      <c r="H2286" t="s">
        <v>2364</v>
      </c>
      <c r="I2286" t="s">
        <v>23</v>
      </c>
      <c r="J2286" t="s">
        <v>40</v>
      </c>
      <c r="K2286" s="2" t="s">
        <v>2983</v>
      </c>
      <c r="L2286" t="s">
        <v>26</v>
      </c>
      <c r="M2286">
        <v>363106</v>
      </c>
      <c r="N2286">
        <v>1</v>
      </c>
      <c r="O2286" s="3">
        <v>39990</v>
      </c>
      <c r="P2286" s="3">
        <v>30467</v>
      </c>
      <c r="Q2286" s="5">
        <f t="shared" si="105"/>
        <v>33605.042016806721</v>
      </c>
      <c r="R2286" s="5">
        <f t="shared" si="106"/>
        <v>30467</v>
      </c>
      <c r="S2286" s="5">
        <f t="shared" si="107"/>
        <v>3138.0420168067212</v>
      </c>
    </row>
    <row r="2287" spans="1:19" hidden="1" x14ac:dyDescent="0.3">
      <c r="A2287">
        <v>140</v>
      </c>
      <c r="B2287" t="s">
        <v>3524</v>
      </c>
      <c r="C2287" t="s">
        <v>4019</v>
      </c>
      <c r="D2287" s="2" t="s">
        <v>4020</v>
      </c>
      <c r="E2287" t="s">
        <v>4021</v>
      </c>
      <c r="F2287" t="s">
        <v>20</v>
      </c>
      <c r="G2287" t="s">
        <v>21</v>
      </c>
      <c r="H2287" t="s">
        <v>2364</v>
      </c>
      <c r="I2287" t="s">
        <v>23</v>
      </c>
      <c r="J2287" t="s">
        <v>40</v>
      </c>
      <c r="K2287" s="2" t="s">
        <v>2983</v>
      </c>
      <c r="L2287" t="s">
        <v>26</v>
      </c>
      <c r="M2287">
        <v>363107</v>
      </c>
      <c r="N2287">
        <v>1</v>
      </c>
      <c r="O2287" s="3">
        <v>39990</v>
      </c>
      <c r="P2287" s="3">
        <v>30446</v>
      </c>
      <c r="Q2287" s="5">
        <f t="shared" si="105"/>
        <v>33605.042016806721</v>
      </c>
      <c r="R2287" s="5">
        <f t="shared" si="106"/>
        <v>30446</v>
      </c>
      <c r="S2287" s="5">
        <f t="shared" si="107"/>
        <v>3159.0420168067212</v>
      </c>
    </row>
    <row r="2288" spans="1:19" hidden="1" x14ac:dyDescent="0.3">
      <c r="A2288">
        <v>140</v>
      </c>
      <c r="B2288" t="s">
        <v>3524</v>
      </c>
      <c r="C2288" t="s">
        <v>2491</v>
      </c>
      <c r="D2288" s="2" t="s">
        <v>2492</v>
      </c>
      <c r="E2288" t="s">
        <v>2493</v>
      </c>
      <c r="F2288" t="s">
        <v>20</v>
      </c>
      <c r="G2288" t="s">
        <v>21</v>
      </c>
      <c r="H2288" t="s">
        <v>2494</v>
      </c>
      <c r="I2288" t="s">
        <v>23</v>
      </c>
      <c r="J2288" t="s">
        <v>40</v>
      </c>
      <c r="K2288" s="2" t="s">
        <v>2983</v>
      </c>
      <c r="L2288" t="s">
        <v>26</v>
      </c>
      <c r="M2288">
        <v>363108</v>
      </c>
      <c r="N2288">
        <v>-1</v>
      </c>
      <c r="O2288" s="3">
        <v>-69950</v>
      </c>
      <c r="P2288" s="3">
        <v>22206</v>
      </c>
      <c r="Q2288" s="5">
        <f t="shared" si="105"/>
        <v>-58781.512605042022</v>
      </c>
      <c r="R2288" s="5">
        <f t="shared" si="106"/>
        <v>-22206</v>
      </c>
      <c r="S2288" s="5">
        <f t="shared" si="107"/>
        <v>-36575.512605042022</v>
      </c>
    </row>
    <row r="2289" spans="1:19" hidden="1" x14ac:dyDescent="0.3">
      <c r="A2289">
        <v>140</v>
      </c>
      <c r="B2289" t="s">
        <v>3524</v>
      </c>
      <c r="C2289" t="s">
        <v>3854</v>
      </c>
      <c r="D2289" s="2" t="s">
        <v>3855</v>
      </c>
      <c r="E2289" t="s">
        <v>3091</v>
      </c>
      <c r="F2289" t="s">
        <v>20</v>
      </c>
      <c r="G2289" t="s">
        <v>338</v>
      </c>
      <c r="H2289">
        <v>26266</v>
      </c>
      <c r="I2289" t="s">
        <v>23</v>
      </c>
      <c r="J2289" t="s">
        <v>35</v>
      </c>
      <c r="K2289" s="2" t="s">
        <v>2983</v>
      </c>
      <c r="L2289" t="s">
        <v>26</v>
      </c>
      <c r="M2289">
        <v>363108</v>
      </c>
      <c r="N2289">
        <v>1</v>
      </c>
      <c r="O2289" s="3">
        <v>79950</v>
      </c>
      <c r="P2289" s="3">
        <v>25300</v>
      </c>
      <c r="Q2289" s="5">
        <f t="shared" si="105"/>
        <v>67184.873949579836</v>
      </c>
      <c r="R2289" s="5">
        <f t="shared" si="106"/>
        <v>25300</v>
      </c>
      <c r="S2289" s="5">
        <f t="shared" si="107"/>
        <v>41884.873949579836</v>
      </c>
    </row>
    <row r="2290" spans="1:19" hidden="1" x14ac:dyDescent="0.3">
      <c r="A2290">
        <v>140</v>
      </c>
      <c r="B2290" t="s">
        <v>3524</v>
      </c>
      <c r="C2290" t="s">
        <v>2361</v>
      </c>
      <c r="D2290" s="2" t="s">
        <v>2362</v>
      </c>
      <c r="E2290" t="s">
        <v>2363</v>
      </c>
      <c r="F2290" t="s">
        <v>20</v>
      </c>
      <c r="G2290" t="s">
        <v>21</v>
      </c>
      <c r="H2290" t="s">
        <v>2364</v>
      </c>
      <c r="I2290" t="s">
        <v>23</v>
      </c>
      <c r="J2290" t="s">
        <v>40</v>
      </c>
      <c r="K2290" s="2" t="s">
        <v>2983</v>
      </c>
      <c r="L2290" t="s">
        <v>26</v>
      </c>
      <c r="M2290">
        <v>363109</v>
      </c>
      <c r="N2290">
        <v>1</v>
      </c>
      <c r="O2290" s="3">
        <v>39970</v>
      </c>
      <c r="P2290" s="3">
        <v>30446</v>
      </c>
      <c r="Q2290" s="5">
        <f t="shared" si="105"/>
        <v>33588.23529411765</v>
      </c>
      <c r="R2290" s="5">
        <f t="shared" si="106"/>
        <v>30446</v>
      </c>
      <c r="S2290" s="5">
        <f t="shared" si="107"/>
        <v>3142.2352941176505</v>
      </c>
    </row>
    <row r="2291" spans="1:19" hidden="1" x14ac:dyDescent="0.3">
      <c r="A2291">
        <v>140</v>
      </c>
      <c r="B2291" t="s">
        <v>3524</v>
      </c>
      <c r="C2291" t="s">
        <v>4019</v>
      </c>
      <c r="D2291" s="2" t="s">
        <v>4020</v>
      </c>
      <c r="E2291" t="s">
        <v>4021</v>
      </c>
      <c r="F2291" t="s">
        <v>20</v>
      </c>
      <c r="G2291" t="s">
        <v>21</v>
      </c>
      <c r="H2291" t="s">
        <v>2364</v>
      </c>
      <c r="I2291" t="s">
        <v>23</v>
      </c>
      <c r="J2291" t="s">
        <v>40</v>
      </c>
      <c r="K2291" s="2" t="s">
        <v>2983</v>
      </c>
      <c r="L2291" t="s">
        <v>26</v>
      </c>
      <c r="M2291">
        <v>363109</v>
      </c>
      <c r="N2291">
        <v>1</v>
      </c>
      <c r="O2291" s="3">
        <v>39970</v>
      </c>
      <c r="P2291" s="3">
        <v>30446</v>
      </c>
      <c r="Q2291" s="5">
        <f t="shared" si="105"/>
        <v>33588.23529411765</v>
      </c>
      <c r="R2291" s="5">
        <f t="shared" si="106"/>
        <v>30446</v>
      </c>
      <c r="S2291" s="5">
        <f t="shared" si="107"/>
        <v>3142.2352941176505</v>
      </c>
    </row>
    <row r="2292" spans="1:19" hidden="1" x14ac:dyDescent="0.3">
      <c r="A2292">
        <v>140</v>
      </c>
      <c r="B2292" t="s">
        <v>3524</v>
      </c>
      <c r="C2292" t="s">
        <v>3571</v>
      </c>
      <c r="D2292" s="2" t="s">
        <v>3572</v>
      </c>
      <c r="E2292" t="s">
        <v>3573</v>
      </c>
      <c r="F2292" t="s">
        <v>20</v>
      </c>
      <c r="G2292" t="s">
        <v>21</v>
      </c>
      <c r="H2292" t="s">
        <v>247</v>
      </c>
      <c r="I2292" t="s">
        <v>23</v>
      </c>
      <c r="J2292" t="s">
        <v>40</v>
      </c>
      <c r="K2292" s="2" t="s">
        <v>2983</v>
      </c>
      <c r="L2292" t="s">
        <v>26</v>
      </c>
      <c r="M2292">
        <v>363110</v>
      </c>
      <c r="N2292">
        <v>1</v>
      </c>
      <c r="O2292" s="3">
        <v>34990</v>
      </c>
      <c r="P2292" s="3">
        <v>16766</v>
      </c>
      <c r="Q2292" s="5">
        <f t="shared" si="105"/>
        <v>29403.361344537818</v>
      </c>
      <c r="R2292" s="5">
        <f t="shared" si="106"/>
        <v>16766</v>
      </c>
      <c r="S2292" s="5">
        <f t="shared" si="107"/>
        <v>12637.361344537818</v>
      </c>
    </row>
    <row r="2293" spans="1:19" hidden="1" x14ac:dyDescent="0.3">
      <c r="A2293">
        <v>140</v>
      </c>
      <c r="B2293" t="s">
        <v>3524</v>
      </c>
      <c r="C2293" t="s">
        <v>3273</v>
      </c>
      <c r="D2293" s="2" t="s">
        <v>3274</v>
      </c>
      <c r="E2293" t="s">
        <v>499</v>
      </c>
      <c r="F2293" t="s">
        <v>20</v>
      </c>
      <c r="G2293" t="s">
        <v>21</v>
      </c>
      <c r="H2293" t="s">
        <v>500</v>
      </c>
      <c r="I2293" t="s">
        <v>23</v>
      </c>
      <c r="J2293" t="s">
        <v>40</v>
      </c>
      <c r="K2293" s="2" t="s">
        <v>2983</v>
      </c>
      <c r="L2293" t="s">
        <v>26</v>
      </c>
      <c r="M2293">
        <v>363111</v>
      </c>
      <c r="N2293">
        <v>1</v>
      </c>
      <c r="O2293" s="3">
        <v>59950</v>
      </c>
      <c r="P2293" s="3">
        <v>17416</v>
      </c>
      <c r="Q2293" s="5">
        <f t="shared" si="105"/>
        <v>50378.151260504201</v>
      </c>
      <c r="R2293" s="5">
        <f t="shared" si="106"/>
        <v>17416</v>
      </c>
      <c r="S2293" s="5">
        <f t="shared" si="107"/>
        <v>32962.151260504201</v>
      </c>
    </row>
    <row r="2294" spans="1:19" hidden="1" x14ac:dyDescent="0.3">
      <c r="A2294">
        <v>140</v>
      </c>
      <c r="B2294" t="s">
        <v>3524</v>
      </c>
      <c r="C2294" t="s">
        <v>4022</v>
      </c>
      <c r="D2294" s="2" t="s">
        <v>4023</v>
      </c>
      <c r="E2294" t="s">
        <v>1075</v>
      </c>
      <c r="F2294" t="s">
        <v>20</v>
      </c>
      <c r="G2294" t="s">
        <v>338</v>
      </c>
      <c r="H2294">
        <v>25097</v>
      </c>
      <c r="I2294" t="s">
        <v>23</v>
      </c>
      <c r="J2294" t="s">
        <v>24</v>
      </c>
      <c r="K2294" s="2" t="s">
        <v>2983</v>
      </c>
      <c r="L2294" t="s">
        <v>26</v>
      </c>
      <c r="M2294">
        <v>363112</v>
      </c>
      <c r="N2294">
        <v>1</v>
      </c>
      <c r="O2294" s="3">
        <v>74950</v>
      </c>
      <c r="P2294" s="3">
        <v>23242</v>
      </c>
      <c r="Q2294" s="5">
        <f t="shared" si="105"/>
        <v>62983.193277310929</v>
      </c>
      <c r="R2294" s="5">
        <f t="shared" si="106"/>
        <v>23242</v>
      </c>
      <c r="S2294" s="5">
        <f t="shared" si="107"/>
        <v>39741.193277310929</v>
      </c>
    </row>
    <row r="2295" spans="1:19" hidden="1" x14ac:dyDescent="0.3">
      <c r="A2295">
        <v>140</v>
      </c>
      <c r="B2295" t="s">
        <v>3524</v>
      </c>
      <c r="C2295" t="s">
        <v>4024</v>
      </c>
      <c r="D2295" s="2" t="s">
        <v>4025</v>
      </c>
      <c r="E2295" t="s">
        <v>2918</v>
      </c>
      <c r="F2295" t="s">
        <v>20</v>
      </c>
      <c r="G2295" t="s">
        <v>21</v>
      </c>
      <c r="H2295" t="s">
        <v>2715</v>
      </c>
      <c r="I2295" t="s">
        <v>23</v>
      </c>
      <c r="J2295" t="s">
        <v>49</v>
      </c>
      <c r="K2295" s="2" t="s">
        <v>2983</v>
      </c>
      <c r="L2295" t="s">
        <v>26</v>
      </c>
      <c r="M2295">
        <v>363112</v>
      </c>
      <c r="N2295">
        <v>1</v>
      </c>
      <c r="O2295" s="3">
        <v>74950</v>
      </c>
      <c r="P2295" s="3">
        <v>28266</v>
      </c>
      <c r="Q2295" s="5">
        <f t="shared" si="105"/>
        <v>62983.193277310929</v>
      </c>
      <c r="R2295" s="5">
        <f t="shared" si="106"/>
        <v>28266</v>
      </c>
      <c r="S2295" s="5">
        <f t="shared" si="107"/>
        <v>34717.193277310929</v>
      </c>
    </row>
    <row r="2296" spans="1:19" hidden="1" x14ac:dyDescent="0.3">
      <c r="A2296">
        <v>140</v>
      </c>
      <c r="B2296" t="s">
        <v>3524</v>
      </c>
      <c r="C2296" t="s">
        <v>3941</v>
      </c>
      <c r="D2296" s="2" t="s">
        <v>3942</v>
      </c>
      <c r="E2296" t="s">
        <v>3849</v>
      </c>
      <c r="F2296" t="s">
        <v>20</v>
      </c>
      <c r="G2296" t="s">
        <v>21</v>
      </c>
      <c r="H2296" t="s">
        <v>2364</v>
      </c>
      <c r="I2296" t="s">
        <v>23</v>
      </c>
      <c r="J2296" t="s">
        <v>40</v>
      </c>
      <c r="K2296" s="2" t="s">
        <v>3074</v>
      </c>
      <c r="L2296" t="s">
        <v>2249</v>
      </c>
      <c r="M2296">
        <v>25388</v>
      </c>
      <c r="N2296">
        <v>-1</v>
      </c>
      <c r="O2296" s="3">
        <v>-39970</v>
      </c>
      <c r="P2296" s="3">
        <v>30471</v>
      </c>
      <c r="Q2296" s="5">
        <f t="shared" si="105"/>
        <v>-33588.23529411765</v>
      </c>
      <c r="R2296" s="5">
        <f t="shared" si="106"/>
        <v>-30471</v>
      </c>
      <c r="S2296" s="5">
        <f t="shared" si="107"/>
        <v>-3117.2352941176505</v>
      </c>
    </row>
    <row r="2297" spans="1:19" hidden="1" x14ac:dyDescent="0.3">
      <c r="A2297">
        <v>140</v>
      </c>
      <c r="B2297" t="s">
        <v>3524</v>
      </c>
      <c r="C2297" t="s">
        <v>4026</v>
      </c>
      <c r="D2297" s="2" t="s">
        <v>4027</v>
      </c>
      <c r="E2297" t="s">
        <v>3837</v>
      </c>
      <c r="F2297" t="s">
        <v>20</v>
      </c>
      <c r="G2297" t="s">
        <v>21</v>
      </c>
      <c r="H2297" t="s">
        <v>1457</v>
      </c>
      <c r="I2297" t="s">
        <v>23</v>
      </c>
      <c r="J2297" t="s">
        <v>40</v>
      </c>
      <c r="K2297" s="2" t="s">
        <v>3074</v>
      </c>
      <c r="L2297" t="s">
        <v>26</v>
      </c>
      <c r="M2297">
        <v>363113</v>
      </c>
      <c r="N2297">
        <v>1</v>
      </c>
      <c r="O2297" s="3">
        <v>64950</v>
      </c>
      <c r="P2297" s="3">
        <v>18239</v>
      </c>
      <c r="Q2297" s="5">
        <f t="shared" si="105"/>
        <v>54579.831932773115</v>
      </c>
      <c r="R2297" s="5">
        <f t="shared" si="106"/>
        <v>18239</v>
      </c>
      <c r="S2297" s="5">
        <f t="shared" si="107"/>
        <v>36340.831932773115</v>
      </c>
    </row>
    <row r="2298" spans="1:19" hidden="1" x14ac:dyDescent="0.3">
      <c r="A2298">
        <v>140</v>
      </c>
      <c r="B2298" t="s">
        <v>3524</v>
      </c>
      <c r="C2298" t="s">
        <v>739</v>
      </c>
      <c r="D2298" s="2" t="s">
        <v>740</v>
      </c>
      <c r="E2298" t="s">
        <v>741</v>
      </c>
      <c r="F2298" t="s">
        <v>20</v>
      </c>
      <c r="G2298" t="s">
        <v>21</v>
      </c>
      <c r="H2298" t="s">
        <v>742</v>
      </c>
      <c r="I2298" t="s">
        <v>23</v>
      </c>
      <c r="J2298" t="s">
        <v>40</v>
      </c>
      <c r="K2298" s="2" t="s">
        <v>3074</v>
      </c>
      <c r="L2298" t="s">
        <v>26</v>
      </c>
      <c r="M2298">
        <v>363114</v>
      </c>
      <c r="N2298">
        <v>1</v>
      </c>
      <c r="O2298" s="3">
        <v>74950</v>
      </c>
      <c r="P2298" s="3">
        <v>24225</v>
      </c>
      <c r="Q2298" s="5">
        <f t="shared" si="105"/>
        <v>62983.193277310929</v>
      </c>
      <c r="R2298" s="5">
        <f t="shared" si="106"/>
        <v>24225</v>
      </c>
      <c r="S2298" s="5">
        <f t="shared" si="107"/>
        <v>38758.193277310929</v>
      </c>
    </row>
    <row r="2299" spans="1:19" hidden="1" x14ac:dyDescent="0.3">
      <c r="A2299">
        <v>140</v>
      </c>
      <c r="B2299" t="s">
        <v>3524</v>
      </c>
      <c r="C2299" t="s">
        <v>4028</v>
      </c>
      <c r="D2299" s="2" t="s">
        <v>4029</v>
      </c>
      <c r="E2299" t="s">
        <v>2160</v>
      </c>
      <c r="F2299" t="s">
        <v>20</v>
      </c>
      <c r="G2299" t="s">
        <v>21</v>
      </c>
      <c r="H2299" t="s">
        <v>970</v>
      </c>
      <c r="I2299" t="s">
        <v>23</v>
      </c>
      <c r="J2299" t="s">
        <v>40</v>
      </c>
      <c r="K2299" s="2" t="s">
        <v>3074</v>
      </c>
      <c r="L2299" t="s">
        <v>26</v>
      </c>
      <c r="M2299">
        <v>363115</v>
      </c>
      <c r="N2299">
        <v>1</v>
      </c>
      <c r="O2299" s="3">
        <v>49990</v>
      </c>
      <c r="P2299" s="3">
        <v>18249</v>
      </c>
      <c r="Q2299" s="5">
        <f t="shared" si="105"/>
        <v>42008.403361344543</v>
      </c>
      <c r="R2299" s="5">
        <f t="shared" si="106"/>
        <v>18249</v>
      </c>
      <c r="S2299" s="5">
        <f t="shared" si="107"/>
        <v>23759.403361344543</v>
      </c>
    </row>
    <row r="2300" spans="1:19" hidden="1" x14ac:dyDescent="0.3">
      <c r="A2300">
        <v>140</v>
      </c>
      <c r="B2300" t="s">
        <v>3524</v>
      </c>
      <c r="C2300" t="s">
        <v>3441</v>
      </c>
      <c r="D2300" s="2" t="s">
        <v>3442</v>
      </c>
      <c r="E2300" t="s">
        <v>3283</v>
      </c>
      <c r="F2300" t="s">
        <v>20</v>
      </c>
      <c r="G2300" t="s">
        <v>21</v>
      </c>
      <c r="H2300" t="s">
        <v>2494</v>
      </c>
      <c r="I2300" t="s">
        <v>23</v>
      </c>
      <c r="J2300" t="s">
        <v>40</v>
      </c>
      <c r="K2300" s="2" t="s">
        <v>3074</v>
      </c>
      <c r="L2300" t="s">
        <v>26</v>
      </c>
      <c r="M2300">
        <v>363115</v>
      </c>
      <c r="N2300">
        <v>1</v>
      </c>
      <c r="O2300" s="3">
        <v>59450</v>
      </c>
      <c r="P2300" s="3">
        <v>23470</v>
      </c>
      <c r="Q2300" s="5">
        <f t="shared" si="105"/>
        <v>49957.983193277316</v>
      </c>
      <c r="R2300" s="5">
        <f t="shared" si="106"/>
        <v>23470</v>
      </c>
      <c r="S2300" s="5">
        <f t="shared" si="107"/>
        <v>26487.983193277316</v>
      </c>
    </row>
    <row r="2301" spans="1:19" hidden="1" x14ac:dyDescent="0.3">
      <c r="A2301">
        <v>140</v>
      </c>
      <c r="B2301" t="s">
        <v>3524</v>
      </c>
      <c r="C2301">
        <v>1687976791</v>
      </c>
      <c r="D2301" s="2" t="s">
        <v>200</v>
      </c>
      <c r="E2301" t="s">
        <v>201</v>
      </c>
      <c r="F2301" t="s">
        <v>201</v>
      </c>
      <c r="G2301" t="s">
        <v>202</v>
      </c>
      <c r="H2301" t="s">
        <v>202</v>
      </c>
      <c r="I2301" t="s">
        <v>23</v>
      </c>
      <c r="J2301" t="s">
        <v>202</v>
      </c>
      <c r="K2301" s="2" t="s">
        <v>3074</v>
      </c>
      <c r="L2301" t="s">
        <v>26</v>
      </c>
      <c r="M2301">
        <v>363116</v>
      </c>
      <c r="N2301">
        <v>1</v>
      </c>
      <c r="O2301" s="3">
        <v>3400</v>
      </c>
      <c r="P2301">
        <v>1</v>
      </c>
      <c r="Q2301" s="5">
        <f t="shared" si="105"/>
        <v>2857.1428571428573</v>
      </c>
      <c r="R2301" s="5">
        <f t="shared" si="106"/>
        <v>1</v>
      </c>
      <c r="S2301" s="5">
        <f t="shared" si="107"/>
        <v>2856.1428571428573</v>
      </c>
    </row>
    <row r="2302" spans="1:19" hidden="1" x14ac:dyDescent="0.3">
      <c r="A2302">
        <v>140</v>
      </c>
      <c r="B2302" t="s">
        <v>3524</v>
      </c>
      <c r="C2302" t="s">
        <v>3987</v>
      </c>
      <c r="D2302" s="2" t="s">
        <v>3988</v>
      </c>
      <c r="E2302" t="s">
        <v>3716</v>
      </c>
      <c r="F2302" t="s">
        <v>20</v>
      </c>
      <c r="G2302" t="s">
        <v>215</v>
      </c>
      <c r="H2302" t="s">
        <v>3717</v>
      </c>
      <c r="I2302" t="s">
        <v>23</v>
      </c>
      <c r="J2302" t="s">
        <v>35</v>
      </c>
      <c r="K2302" s="2" t="s">
        <v>3074</v>
      </c>
      <c r="L2302" t="s">
        <v>26</v>
      </c>
      <c r="M2302">
        <v>363116</v>
      </c>
      <c r="N2302">
        <v>1</v>
      </c>
      <c r="O2302" s="3">
        <v>69990</v>
      </c>
      <c r="P2302" s="3">
        <v>42430</v>
      </c>
      <c r="Q2302" s="5">
        <f t="shared" si="105"/>
        <v>58815.126050420171</v>
      </c>
      <c r="R2302" s="5">
        <f t="shared" si="106"/>
        <v>42430</v>
      </c>
      <c r="S2302" s="5">
        <f t="shared" si="107"/>
        <v>16385.126050420171</v>
      </c>
    </row>
    <row r="2303" spans="1:19" hidden="1" x14ac:dyDescent="0.3">
      <c r="A2303">
        <v>140</v>
      </c>
      <c r="B2303" t="s">
        <v>3524</v>
      </c>
      <c r="C2303" t="s">
        <v>4030</v>
      </c>
      <c r="D2303" s="2" t="s">
        <v>4031</v>
      </c>
      <c r="E2303" t="s">
        <v>3564</v>
      </c>
      <c r="F2303" t="s">
        <v>20</v>
      </c>
      <c r="G2303" t="s">
        <v>215</v>
      </c>
      <c r="H2303" t="s">
        <v>3045</v>
      </c>
      <c r="I2303" t="s">
        <v>23</v>
      </c>
      <c r="J2303" t="s">
        <v>35</v>
      </c>
      <c r="K2303" s="2" t="s">
        <v>3074</v>
      </c>
      <c r="L2303" t="s">
        <v>26</v>
      </c>
      <c r="M2303">
        <v>363117</v>
      </c>
      <c r="N2303">
        <v>1</v>
      </c>
      <c r="O2303" s="3">
        <v>69990</v>
      </c>
      <c r="P2303" s="3">
        <v>40434</v>
      </c>
      <c r="Q2303" s="5">
        <f t="shared" si="105"/>
        <v>58815.126050420171</v>
      </c>
      <c r="R2303" s="5">
        <f t="shared" si="106"/>
        <v>40434</v>
      </c>
      <c r="S2303" s="5">
        <f t="shared" si="107"/>
        <v>18381.126050420171</v>
      </c>
    </row>
    <row r="2304" spans="1:19" hidden="1" x14ac:dyDescent="0.3">
      <c r="A2304">
        <v>140</v>
      </c>
      <c r="B2304" t="s">
        <v>3524</v>
      </c>
      <c r="C2304" t="s">
        <v>4032</v>
      </c>
      <c r="D2304" s="2" t="s">
        <v>4033</v>
      </c>
      <c r="E2304" t="s">
        <v>3573</v>
      </c>
      <c r="F2304" t="s">
        <v>20</v>
      </c>
      <c r="G2304" t="s">
        <v>21</v>
      </c>
      <c r="H2304" t="s">
        <v>247</v>
      </c>
      <c r="I2304" t="s">
        <v>23</v>
      </c>
      <c r="J2304" t="s">
        <v>40</v>
      </c>
      <c r="K2304" s="2" t="s">
        <v>3074</v>
      </c>
      <c r="L2304" t="s">
        <v>26</v>
      </c>
      <c r="M2304">
        <v>363118</v>
      </c>
      <c r="N2304">
        <v>1</v>
      </c>
      <c r="O2304" s="3">
        <v>34990</v>
      </c>
      <c r="P2304" s="3">
        <v>17250</v>
      </c>
      <c r="Q2304" s="5">
        <f t="shared" si="105"/>
        <v>29403.361344537818</v>
      </c>
      <c r="R2304" s="5">
        <f t="shared" si="106"/>
        <v>17250</v>
      </c>
      <c r="S2304" s="5">
        <f t="shared" si="107"/>
        <v>12153.361344537818</v>
      </c>
    </row>
    <row r="2305" spans="1:19" hidden="1" x14ac:dyDescent="0.3">
      <c r="A2305">
        <v>140</v>
      </c>
      <c r="B2305" t="s">
        <v>3524</v>
      </c>
      <c r="C2305" t="s">
        <v>4034</v>
      </c>
      <c r="D2305" s="2" t="s">
        <v>4035</v>
      </c>
      <c r="E2305" t="s">
        <v>1151</v>
      </c>
      <c r="F2305" t="s">
        <v>20</v>
      </c>
      <c r="G2305" t="s">
        <v>338</v>
      </c>
      <c r="H2305">
        <v>25362</v>
      </c>
      <c r="I2305" t="s">
        <v>23</v>
      </c>
      <c r="J2305" t="s">
        <v>35</v>
      </c>
      <c r="K2305" s="2" t="s">
        <v>3074</v>
      </c>
      <c r="L2305" t="s">
        <v>26</v>
      </c>
      <c r="M2305">
        <v>363119</v>
      </c>
      <c r="N2305">
        <v>1</v>
      </c>
      <c r="O2305" s="3">
        <v>59990</v>
      </c>
      <c r="P2305" s="3">
        <v>23473</v>
      </c>
      <c r="Q2305" s="5">
        <f t="shared" si="105"/>
        <v>50411.764705882357</v>
      </c>
      <c r="R2305" s="5">
        <f t="shared" si="106"/>
        <v>23473</v>
      </c>
      <c r="S2305" s="5">
        <f t="shared" si="107"/>
        <v>26938.764705882357</v>
      </c>
    </row>
    <row r="2306" spans="1:19" hidden="1" x14ac:dyDescent="0.3">
      <c r="A2306">
        <v>140</v>
      </c>
      <c r="B2306" t="s">
        <v>3524</v>
      </c>
      <c r="C2306" t="s">
        <v>2760</v>
      </c>
      <c r="D2306" s="2" t="s">
        <v>2761</v>
      </c>
      <c r="E2306" t="s">
        <v>1443</v>
      </c>
      <c r="F2306" t="s">
        <v>20</v>
      </c>
      <c r="G2306" t="s">
        <v>338</v>
      </c>
      <c r="H2306">
        <v>25301</v>
      </c>
      <c r="I2306" t="s">
        <v>23</v>
      </c>
      <c r="J2306" t="s">
        <v>35</v>
      </c>
      <c r="K2306" s="2" t="s">
        <v>3074</v>
      </c>
      <c r="L2306" t="s">
        <v>26</v>
      </c>
      <c r="M2306">
        <v>363120</v>
      </c>
      <c r="N2306">
        <v>1</v>
      </c>
      <c r="O2306" s="3">
        <v>99950</v>
      </c>
      <c r="P2306" s="3">
        <v>34157</v>
      </c>
      <c r="Q2306" s="5">
        <f t="shared" si="105"/>
        <v>83991.596638655465</v>
      </c>
      <c r="R2306" s="5">
        <f t="shared" si="106"/>
        <v>34157</v>
      </c>
      <c r="S2306" s="5">
        <f t="shared" si="107"/>
        <v>49834.596638655465</v>
      </c>
    </row>
    <row r="2307" spans="1:19" hidden="1" x14ac:dyDescent="0.3">
      <c r="A2307">
        <v>140</v>
      </c>
      <c r="B2307" t="s">
        <v>3524</v>
      </c>
      <c r="C2307" t="s">
        <v>4036</v>
      </c>
      <c r="D2307" s="2" t="s">
        <v>4037</v>
      </c>
      <c r="E2307" t="s">
        <v>4038</v>
      </c>
      <c r="F2307" t="s">
        <v>20</v>
      </c>
      <c r="G2307" t="s">
        <v>21</v>
      </c>
      <c r="H2307" t="s">
        <v>2469</v>
      </c>
      <c r="I2307" t="s">
        <v>23</v>
      </c>
      <c r="J2307" t="s">
        <v>35</v>
      </c>
      <c r="K2307" s="2" t="s">
        <v>3074</v>
      </c>
      <c r="L2307" t="s">
        <v>26</v>
      </c>
      <c r="M2307">
        <v>363121</v>
      </c>
      <c r="N2307">
        <v>1</v>
      </c>
      <c r="O2307" s="3">
        <v>69990</v>
      </c>
      <c r="P2307" s="3">
        <v>29635</v>
      </c>
      <c r="Q2307" s="5">
        <f t="shared" si="105"/>
        <v>58815.126050420171</v>
      </c>
      <c r="R2307" s="5">
        <f t="shared" si="106"/>
        <v>29635</v>
      </c>
      <c r="S2307" s="5">
        <f t="shared" si="107"/>
        <v>29180.126050420171</v>
      </c>
    </row>
    <row r="2308" spans="1:19" hidden="1" x14ac:dyDescent="0.3">
      <c r="A2308">
        <v>140</v>
      </c>
      <c r="B2308" t="s">
        <v>3524</v>
      </c>
      <c r="C2308" t="s">
        <v>4039</v>
      </c>
      <c r="D2308" s="2" t="s">
        <v>4040</v>
      </c>
      <c r="E2308" t="s">
        <v>266</v>
      </c>
      <c r="F2308" t="s">
        <v>20</v>
      </c>
      <c r="G2308" t="s">
        <v>21</v>
      </c>
      <c r="H2308" t="s">
        <v>267</v>
      </c>
      <c r="I2308" t="s">
        <v>23</v>
      </c>
      <c r="J2308" t="s">
        <v>49</v>
      </c>
      <c r="K2308" s="2" t="s">
        <v>3074</v>
      </c>
      <c r="L2308" t="s">
        <v>26</v>
      </c>
      <c r="M2308">
        <v>363122</v>
      </c>
      <c r="N2308">
        <v>1</v>
      </c>
      <c r="O2308" s="3">
        <v>64950</v>
      </c>
      <c r="P2308" s="3">
        <v>24504</v>
      </c>
      <c r="Q2308" s="5">
        <f t="shared" si="105"/>
        <v>54579.831932773115</v>
      </c>
      <c r="R2308" s="5">
        <f t="shared" si="106"/>
        <v>24504</v>
      </c>
      <c r="S2308" s="5">
        <f t="shared" si="107"/>
        <v>30075.831932773115</v>
      </c>
    </row>
    <row r="2309" spans="1:19" hidden="1" x14ac:dyDescent="0.3">
      <c r="A2309">
        <v>140</v>
      </c>
      <c r="B2309" t="s">
        <v>3524</v>
      </c>
      <c r="C2309" t="s">
        <v>3275</v>
      </c>
      <c r="D2309" s="2" t="s">
        <v>3276</v>
      </c>
      <c r="E2309" t="s">
        <v>3277</v>
      </c>
      <c r="F2309" t="s">
        <v>20</v>
      </c>
      <c r="G2309" t="s">
        <v>21</v>
      </c>
      <c r="H2309" t="s">
        <v>57</v>
      </c>
      <c r="I2309" t="s">
        <v>23</v>
      </c>
      <c r="J2309" t="s">
        <v>35</v>
      </c>
      <c r="K2309" s="2" t="s">
        <v>3074</v>
      </c>
      <c r="L2309" t="s">
        <v>26</v>
      </c>
      <c r="M2309">
        <v>363123</v>
      </c>
      <c r="N2309">
        <v>1</v>
      </c>
      <c r="O2309" s="3">
        <v>89950</v>
      </c>
      <c r="P2309" s="3">
        <v>30749</v>
      </c>
      <c r="Q2309" s="5">
        <f t="shared" si="105"/>
        <v>75588.23529411765</v>
      </c>
      <c r="R2309" s="5">
        <f t="shared" si="106"/>
        <v>30749</v>
      </c>
      <c r="S2309" s="5">
        <f t="shared" si="107"/>
        <v>44839.23529411765</v>
      </c>
    </row>
    <row r="2310" spans="1:19" hidden="1" x14ac:dyDescent="0.3">
      <c r="A2310">
        <v>140</v>
      </c>
      <c r="B2310" t="s">
        <v>3524</v>
      </c>
      <c r="C2310" t="s">
        <v>4041</v>
      </c>
      <c r="D2310" s="2" t="s">
        <v>4042</v>
      </c>
      <c r="E2310" t="s">
        <v>516</v>
      </c>
      <c r="F2310" t="s">
        <v>20</v>
      </c>
      <c r="G2310" t="s">
        <v>338</v>
      </c>
      <c r="H2310">
        <v>23763</v>
      </c>
      <c r="I2310" t="s">
        <v>23</v>
      </c>
      <c r="J2310" t="s">
        <v>40</v>
      </c>
      <c r="K2310" s="2" t="s">
        <v>3074</v>
      </c>
      <c r="L2310" t="s">
        <v>26</v>
      </c>
      <c r="M2310">
        <v>363124</v>
      </c>
      <c r="N2310">
        <v>1</v>
      </c>
      <c r="O2310" s="3">
        <v>50950</v>
      </c>
      <c r="P2310" s="3">
        <v>19813</v>
      </c>
      <c r="Q2310" s="5">
        <f t="shared" ref="Q2310:Q2373" si="108">O2310/1.19</f>
        <v>42815.126050420171</v>
      </c>
      <c r="R2310" s="5">
        <f t="shared" ref="R2310:R2373" si="109">N2310*P2310</f>
        <v>19813</v>
      </c>
      <c r="S2310" s="5">
        <f t="shared" ref="S2310:S2373" si="110">Q2310-R2310</f>
        <v>23002.126050420171</v>
      </c>
    </row>
    <row r="2311" spans="1:19" hidden="1" x14ac:dyDescent="0.3">
      <c r="A2311">
        <v>140</v>
      </c>
      <c r="B2311" t="s">
        <v>3524</v>
      </c>
      <c r="C2311" t="s">
        <v>212</v>
      </c>
      <c r="D2311" s="2" t="s">
        <v>213</v>
      </c>
      <c r="E2311" t="s">
        <v>214</v>
      </c>
      <c r="F2311" t="s">
        <v>20</v>
      </c>
      <c r="G2311" t="s">
        <v>215</v>
      </c>
      <c r="H2311" t="s">
        <v>216</v>
      </c>
      <c r="I2311" t="s">
        <v>23</v>
      </c>
      <c r="J2311" t="s">
        <v>35</v>
      </c>
      <c r="K2311" s="2" t="s">
        <v>3074</v>
      </c>
      <c r="L2311" t="s">
        <v>26</v>
      </c>
      <c r="M2311">
        <v>363124</v>
      </c>
      <c r="N2311">
        <v>1</v>
      </c>
      <c r="O2311" s="3">
        <v>79990</v>
      </c>
      <c r="P2311" s="3">
        <v>47276</v>
      </c>
      <c r="Q2311" s="5">
        <f t="shared" si="108"/>
        <v>67218.487394957992</v>
      </c>
      <c r="R2311" s="5">
        <f t="shared" si="109"/>
        <v>47276</v>
      </c>
      <c r="S2311" s="5">
        <f t="shared" si="110"/>
        <v>19942.487394957992</v>
      </c>
    </row>
    <row r="2312" spans="1:19" hidden="1" x14ac:dyDescent="0.3">
      <c r="A2312">
        <v>140</v>
      </c>
      <c r="B2312" t="s">
        <v>3524</v>
      </c>
      <c r="C2312" t="s">
        <v>4043</v>
      </c>
      <c r="D2312" s="2" t="s">
        <v>4044</v>
      </c>
      <c r="E2312" t="s">
        <v>3277</v>
      </c>
      <c r="F2312" t="s">
        <v>20</v>
      </c>
      <c r="G2312" t="s">
        <v>21</v>
      </c>
      <c r="H2312" t="s">
        <v>57</v>
      </c>
      <c r="I2312" t="s">
        <v>23</v>
      </c>
      <c r="J2312" t="s">
        <v>35</v>
      </c>
      <c r="K2312" s="2" t="s">
        <v>3074</v>
      </c>
      <c r="L2312" t="s">
        <v>26</v>
      </c>
      <c r="M2312">
        <v>363125</v>
      </c>
      <c r="N2312">
        <v>1</v>
      </c>
      <c r="O2312" s="3">
        <v>89950</v>
      </c>
      <c r="P2312" s="3">
        <v>30749</v>
      </c>
      <c r="Q2312" s="5">
        <f t="shared" si="108"/>
        <v>75588.23529411765</v>
      </c>
      <c r="R2312" s="5">
        <f t="shared" si="109"/>
        <v>30749</v>
      </c>
      <c r="S2312" s="5">
        <f t="shared" si="110"/>
        <v>44839.23529411765</v>
      </c>
    </row>
    <row r="2313" spans="1:19" hidden="1" x14ac:dyDescent="0.3">
      <c r="A2313">
        <v>140</v>
      </c>
      <c r="B2313" t="s">
        <v>3524</v>
      </c>
      <c r="C2313" t="s">
        <v>3232</v>
      </c>
      <c r="D2313" s="2" t="s">
        <v>3233</v>
      </c>
      <c r="E2313" t="s">
        <v>2933</v>
      </c>
      <c r="F2313" t="s">
        <v>20</v>
      </c>
      <c r="G2313" t="s">
        <v>338</v>
      </c>
      <c r="H2313">
        <v>25539</v>
      </c>
      <c r="I2313" t="s">
        <v>23</v>
      </c>
      <c r="J2313" t="s">
        <v>31</v>
      </c>
      <c r="K2313" s="2" t="s">
        <v>3074</v>
      </c>
      <c r="L2313" t="s">
        <v>26</v>
      </c>
      <c r="M2313">
        <v>363126</v>
      </c>
      <c r="N2313">
        <v>1</v>
      </c>
      <c r="O2313" s="3">
        <v>139950</v>
      </c>
      <c r="P2313" s="3">
        <v>46011</v>
      </c>
      <c r="Q2313" s="5">
        <f t="shared" si="108"/>
        <v>117605.04201680672</v>
      </c>
      <c r="R2313" s="5">
        <f t="shared" si="109"/>
        <v>46011</v>
      </c>
      <c r="S2313" s="5">
        <f t="shared" si="110"/>
        <v>71594.042016806721</v>
      </c>
    </row>
    <row r="2314" spans="1:19" hidden="1" x14ac:dyDescent="0.3">
      <c r="A2314">
        <v>140</v>
      </c>
      <c r="B2314" t="s">
        <v>3524</v>
      </c>
      <c r="C2314" t="s">
        <v>3255</v>
      </c>
      <c r="D2314" s="2" t="s">
        <v>3256</v>
      </c>
      <c r="E2314" t="s">
        <v>2653</v>
      </c>
      <c r="F2314" t="s">
        <v>20</v>
      </c>
      <c r="G2314" t="s">
        <v>21</v>
      </c>
      <c r="H2314" t="s">
        <v>2315</v>
      </c>
      <c r="I2314" t="s">
        <v>23</v>
      </c>
      <c r="J2314" t="s">
        <v>35</v>
      </c>
      <c r="K2314" s="2" t="s">
        <v>3074</v>
      </c>
      <c r="L2314" t="s">
        <v>26</v>
      </c>
      <c r="M2314">
        <v>363127</v>
      </c>
      <c r="N2314">
        <v>1</v>
      </c>
      <c r="O2314" s="3">
        <v>89950</v>
      </c>
      <c r="P2314" s="3">
        <v>30749</v>
      </c>
      <c r="Q2314" s="5">
        <f t="shared" si="108"/>
        <v>75588.23529411765</v>
      </c>
      <c r="R2314" s="5">
        <f t="shared" si="109"/>
        <v>30749</v>
      </c>
      <c r="S2314" s="5">
        <f t="shared" si="110"/>
        <v>44839.23529411765</v>
      </c>
    </row>
    <row r="2315" spans="1:19" hidden="1" x14ac:dyDescent="0.3">
      <c r="A2315">
        <v>140</v>
      </c>
      <c r="B2315" t="s">
        <v>3524</v>
      </c>
      <c r="C2315" t="s">
        <v>3858</v>
      </c>
      <c r="D2315" s="2" t="s">
        <v>3859</v>
      </c>
      <c r="E2315" t="s">
        <v>3523</v>
      </c>
      <c r="F2315" t="s">
        <v>20</v>
      </c>
      <c r="G2315" t="s">
        <v>21</v>
      </c>
      <c r="H2315" t="s">
        <v>2070</v>
      </c>
      <c r="I2315" t="s">
        <v>23</v>
      </c>
      <c r="J2315" t="s">
        <v>24</v>
      </c>
      <c r="K2315" s="2" t="s">
        <v>3074</v>
      </c>
      <c r="L2315" t="s">
        <v>26</v>
      </c>
      <c r="M2315">
        <v>363128</v>
      </c>
      <c r="N2315">
        <v>-1</v>
      </c>
      <c r="O2315" s="3">
        <v>-72200</v>
      </c>
      <c r="P2315" s="3">
        <v>27535</v>
      </c>
      <c r="Q2315" s="5">
        <f t="shared" si="108"/>
        <v>-60672.268907563026</v>
      </c>
      <c r="R2315" s="5">
        <f t="shared" si="109"/>
        <v>-27535</v>
      </c>
      <c r="S2315" s="5">
        <f t="shared" si="110"/>
        <v>-33137.268907563026</v>
      </c>
    </row>
    <row r="2316" spans="1:19" hidden="1" x14ac:dyDescent="0.3">
      <c r="A2316">
        <v>140</v>
      </c>
      <c r="B2316" t="s">
        <v>3524</v>
      </c>
      <c r="C2316" t="s">
        <v>4045</v>
      </c>
      <c r="D2316" s="2" t="s">
        <v>4046</v>
      </c>
      <c r="E2316" t="s">
        <v>3523</v>
      </c>
      <c r="F2316" t="s">
        <v>20</v>
      </c>
      <c r="G2316" t="s">
        <v>21</v>
      </c>
      <c r="H2316" t="s">
        <v>2070</v>
      </c>
      <c r="I2316" t="s">
        <v>23</v>
      </c>
      <c r="J2316" t="s">
        <v>24</v>
      </c>
      <c r="K2316" s="2" t="s">
        <v>3074</v>
      </c>
      <c r="L2316" t="s">
        <v>26</v>
      </c>
      <c r="M2316">
        <v>363128</v>
      </c>
      <c r="N2316">
        <v>1</v>
      </c>
      <c r="O2316" s="3">
        <v>72201</v>
      </c>
      <c r="P2316" s="3">
        <v>27535</v>
      </c>
      <c r="Q2316" s="5">
        <f t="shared" si="108"/>
        <v>60673.10924369748</v>
      </c>
      <c r="R2316" s="5">
        <f t="shared" si="109"/>
        <v>27535</v>
      </c>
      <c r="S2316" s="5">
        <f t="shared" si="110"/>
        <v>33138.10924369748</v>
      </c>
    </row>
    <row r="2317" spans="1:19" hidden="1" x14ac:dyDescent="0.3">
      <c r="A2317">
        <v>140</v>
      </c>
      <c r="B2317" t="s">
        <v>3524</v>
      </c>
      <c r="C2317" t="s">
        <v>3791</v>
      </c>
      <c r="D2317" s="2" t="s">
        <v>3792</v>
      </c>
      <c r="E2317" t="s">
        <v>1453</v>
      </c>
      <c r="F2317" t="s">
        <v>20</v>
      </c>
      <c r="G2317" t="s">
        <v>338</v>
      </c>
      <c r="H2317">
        <v>22410</v>
      </c>
      <c r="I2317" t="s">
        <v>23</v>
      </c>
      <c r="J2317" t="s">
        <v>49</v>
      </c>
      <c r="K2317" s="2" t="s">
        <v>3074</v>
      </c>
      <c r="L2317" t="s">
        <v>26</v>
      </c>
      <c r="M2317">
        <v>363129</v>
      </c>
      <c r="N2317">
        <v>1</v>
      </c>
      <c r="O2317" s="3">
        <v>69950</v>
      </c>
      <c r="P2317" s="3">
        <v>20848</v>
      </c>
      <c r="Q2317" s="5">
        <f t="shared" si="108"/>
        <v>58781.512605042022</v>
      </c>
      <c r="R2317" s="5">
        <f t="shared" si="109"/>
        <v>20848</v>
      </c>
      <c r="S2317" s="5">
        <f t="shared" si="110"/>
        <v>37933.512605042022</v>
      </c>
    </row>
    <row r="2318" spans="1:19" hidden="1" x14ac:dyDescent="0.3">
      <c r="A2318">
        <v>140</v>
      </c>
      <c r="B2318" t="s">
        <v>3524</v>
      </c>
      <c r="C2318" t="s">
        <v>3556</v>
      </c>
      <c r="D2318" s="2" t="s">
        <v>3557</v>
      </c>
      <c r="E2318" t="s">
        <v>2837</v>
      </c>
      <c r="F2318" t="s">
        <v>20</v>
      </c>
      <c r="G2318" t="s">
        <v>21</v>
      </c>
      <c r="H2318" t="s">
        <v>272</v>
      </c>
      <c r="I2318" t="s">
        <v>23</v>
      </c>
      <c r="J2318" t="s">
        <v>40</v>
      </c>
      <c r="K2318" s="2" t="s">
        <v>3074</v>
      </c>
      <c r="L2318" t="s">
        <v>26</v>
      </c>
      <c r="M2318">
        <v>363130</v>
      </c>
      <c r="N2318">
        <v>1</v>
      </c>
      <c r="O2318" s="3">
        <v>59990</v>
      </c>
      <c r="P2318" s="3">
        <v>26159</v>
      </c>
      <c r="Q2318" s="5">
        <f t="shared" si="108"/>
        <v>50411.764705882357</v>
      </c>
      <c r="R2318" s="5">
        <f t="shared" si="109"/>
        <v>26159</v>
      </c>
      <c r="S2318" s="5">
        <f t="shared" si="110"/>
        <v>24252.764705882357</v>
      </c>
    </row>
    <row r="2319" spans="1:19" hidden="1" x14ac:dyDescent="0.3">
      <c r="A2319">
        <v>140</v>
      </c>
      <c r="B2319" t="s">
        <v>3524</v>
      </c>
      <c r="C2319" t="s">
        <v>3281</v>
      </c>
      <c r="D2319" s="2" t="s">
        <v>3282</v>
      </c>
      <c r="E2319" t="s">
        <v>3283</v>
      </c>
      <c r="F2319" t="s">
        <v>20</v>
      </c>
      <c r="G2319" t="s">
        <v>21</v>
      </c>
      <c r="H2319" t="s">
        <v>2494</v>
      </c>
      <c r="I2319" t="s">
        <v>23</v>
      </c>
      <c r="J2319" t="s">
        <v>40</v>
      </c>
      <c r="K2319" s="2" t="s">
        <v>3074</v>
      </c>
      <c r="L2319" t="s">
        <v>26</v>
      </c>
      <c r="M2319">
        <v>363130</v>
      </c>
      <c r="N2319">
        <v>1</v>
      </c>
      <c r="O2319" s="3">
        <v>59450</v>
      </c>
      <c r="P2319" s="3">
        <v>23470</v>
      </c>
      <c r="Q2319" s="5">
        <f t="shared" si="108"/>
        <v>49957.983193277316</v>
      </c>
      <c r="R2319" s="5">
        <f t="shared" si="109"/>
        <v>23470</v>
      </c>
      <c r="S2319" s="5">
        <f t="shared" si="110"/>
        <v>26487.983193277316</v>
      </c>
    </row>
    <row r="2320" spans="1:19" hidden="1" x14ac:dyDescent="0.3">
      <c r="A2320">
        <v>140</v>
      </c>
      <c r="B2320" t="s">
        <v>3524</v>
      </c>
      <c r="C2320" t="s">
        <v>4047</v>
      </c>
      <c r="D2320" s="2" t="s">
        <v>4048</v>
      </c>
      <c r="E2320" t="s">
        <v>4049</v>
      </c>
      <c r="F2320" t="s">
        <v>20</v>
      </c>
      <c r="G2320" t="s">
        <v>21</v>
      </c>
      <c r="H2320" t="s">
        <v>3351</v>
      </c>
      <c r="I2320" t="s">
        <v>23</v>
      </c>
      <c r="J2320" t="s">
        <v>40</v>
      </c>
      <c r="K2320" s="2" t="s">
        <v>3074</v>
      </c>
      <c r="L2320" t="s">
        <v>26</v>
      </c>
      <c r="M2320">
        <v>363131</v>
      </c>
      <c r="N2320">
        <v>1</v>
      </c>
      <c r="O2320" s="3">
        <v>79950</v>
      </c>
      <c r="P2320" s="3">
        <v>30166</v>
      </c>
      <c r="Q2320" s="5">
        <f t="shared" si="108"/>
        <v>67184.873949579836</v>
      </c>
      <c r="R2320" s="5">
        <f t="shared" si="109"/>
        <v>30166</v>
      </c>
      <c r="S2320" s="5">
        <f t="shared" si="110"/>
        <v>37018.873949579836</v>
      </c>
    </row>
    <row r="2321" spans="1:19" hidden="1" x14ac:dyDescent="0.3">
      <c r="A2321">
        <v>140</v>
      </c>
      <c r="B2321" t="s">
        <v>3524</v>
      </c>
      <c r="C2321" t="s">
        <v>4050</v>
      </c>
      <c r="D2321" s="2" t="s">
        <v>4051</v>
      </c>
      <c r="E2321" t="s">
        <v>3175</v>
      </c>
      <c r="F2321" t="s">
        <v>20</v>
      </c>
      <c r="G2321" t="s">
        <v>21</v>
      </c>
      <c r="H2321" t="s">
        <v>625</v>
      </c>
      <c r="I2321" t="s">
        <v>23</v>
      </c>
      <c r="J2321" t="s">
        <v>35</v>
      </c>
      <c r="K2321" s="2" t="s">
        <v>3074</v>
      </c>
      <c r="L2321" t="s">
        <v>26</v>
      </c>
      <c r="M2321">
        <v>363132</v>
      </c>
      <c r="N2321">
        <v>1</v>
      </c>
      <c r="O2321" s="3">
        <v>69950</v>
      </c>
      <c r="P2321" s="3">
        <v>24956</v>
      </c>
      <c r="Q2321" s="5">
        <f t="shared" si="108"/>
        <v>58781.512605042022</v>
      </c>
      <c r="R2321" s="5">
        <f t="shared" si="109"/>
        <v>24956</v>
      </c>
      <c r="S2321" s="5">
        <f t="shared" si="110"/>
        <v>33825.512605042022</v>
      </c>
    </row>
    <row r="2322" spans="1:19" hidden="1" x14ac:dyDescent="0.3">
      <c r="A2322">
        <v>140</v>
      </c>
      <c r="B2322" t="s">
        <v>3524</v>
      </c>
      <c r="C2322" t="s">
        <v>4052</v>
      </c>
      <c r="D2322" s="2" t="s">
        <v>4053</v>
      </c>
      <c r="E2322" t="s">
        <v>1834</v>
      </c>
      <c r="F2322" t="s">
        <v>20</v>
      </c>
      <c r="G2322" t="s">
        <v>21</v>
      </c>
      <c r="H2322" t="s">
        <v>114</v>
      </c>
      <c r="I2322" t="s">
        <v>23</v>
      </c>
      <c r="J2322" t="s">
        <v>49</v>
      </c>
      <c r="K2322" s="2" t="s">
        <v>3074</v>
      </c>
      <c r="L2322" t="s">
        <v>26</v>
      </c>
      <c r="M2322">
        <v>363133</v>
      </c>
      <c r="N2322">
        <v>1</v>
      </c>
      <c r="O2322" s="3">
        <v>49990</v>
      </c>
      <c r="P2322" s="3">
        <v>24999</v>
      </c>
      <c r="Q2322" s="5">
        <f t="shared" si="108"/>
        <v>42008.403361344543</v>
      </c>
      <c r="R2322" s="5">
        <f t="shared" si="109"/>
        <v>24999</v>
      </c>
      <c r="S2322" s="5">
        <f t="shared" si="110"/>
        <v>17009.403361344543</v>
      </c>
    </row>
    <row r="2323" spans="1:19" hidden="1" x14ac:dyDescent="0.3">
      <c r="A2323">
        <v>140</v>
      </c>
      <c r="B2323" t="s">
        <v>3524</v>
      </c>
      <c r="C2323" t="s">
        <v>4054</v>
      </c>
      <c r="D2323" s="2" t="s">
        <v>4055</v>
      </c>
      <c r="E2323" t="s">
        <v>2586</v>
      </c>
      <c r="F2323" t="s">
        <v>20</v>
      </c>
      <c r="G2323" t="s">
        <v>21</v>
      </c>
      <c r="H2323" t="s">
        <v>600</v>
      </c>
      <c r="I2323" t="s">
        <v>23</v>
      </c>
      <c r="J2323" t="s">
        <v>40</v>
      </c>
      <c r="K2323" s="2" t="s">
        <v>3074</v>
      </c>
      <c r="L2323" t="s">
        <v>26</v>
      </c>
      <c r="M2323">
        <v>363134</v>
      </c>
      <c r="N2323">
        <v>1</v>
      </c>
      <c r="O2323" s="3">
        <v>49990</v>
      </c>
      <c r="P2323" s="3">
        <v>21327</v>
      </c>
      <c r="Q2323" s="5">
        <f t="shared" si="108"/>
        <v>42008.403361344543</v>
      </c>
      <c r="R2323" s="5">
        <f t="shared" si="109"/>
        <v>21327</v>
      </c>
      <c r="S2323" s="5">
        <f t="shared" si="110"/>
        <v>20681.403361344543</v>
      </c>
    </row>
    <row r="2324" spans="1:19" hidden="1" x14ac:dyDescent="0.3">
      <c r="A2324">
        <v>140</v>
      </c>
      <c r="B2324" t="s">
        <v>3524</v>
      </c>
      <c r="C2324" t="s">
        <v>1826</v>
      </c>
      <c r="D2324" s="2" t="s">
        <v>1827</v>
      </c>
      <c r="E2324" t="s">
        <v>1828</v>
      </c>
      <c r="F2324" t="s">
        <v>20</v>
      </c>
      <c r="G2324" t="s">
        <v>21</v>
      </c>
      <c r="H2324" t="s">
        <v>1689</v>
      </c>
      <c r="I2324" t="s">
        <v>23</v>
      </c>
      <c r="J2324" t="s">
        <v>49</v>
      </c>
      <c r="K2324" s="2" t="s">
        <v>3074</v>
      </c>
      <c r="L2324" t="s">
        <v>26</v>
      </c>
      <c r="M2324">
        <v>363135</v>
      </c>
      <c r="N2324">
        <v>1</v>
      </c>
      <c r="O2324" s="3">
        <v>54990</v>
      </c>
      <c r="P2324" s="3">
        <v>36341</v>
      </c>
      <c r="Q2324" s="5">
        <f t="shared" si="108"/>
        <v>46210.08403361345</v>
      </c>
      <c r="R2324" s="5">
        <f t="shared" si="109"/>
        <v>36341</v>
      </c>
      <c r="S2324" s="5">
        <f t="shared" si="110"/>
        <v>9869.0840336134497</v>
      </c>
    </row>
    <row r="2325" spans="1:19" hidden="1" x14ac:dyDescent="0.3">
      <c r="A2325">
        <v>140</v>
      </c>
      <c r="B2325" t="s">
        <v>3524</v>
      </c>
      <c r="C2325" t="s">
        <v>4056</v>
      </c>
      <c r="D2325" s="2" t="s">
        <v>4057</v>
      </c>
      <c r="E2325" t="s">
        <v>2265</v>
      </c>
      <c r="F2325" t="s">
        <v>20</v>
      </c>
      <c r="G2325" t="s">
        <v>21</v>
      </c>
      <c r="H2325" t="s">
        <v>2070</v>
      </c>
      <c r="I2325" t="s">
        <v>23</v>
      </c>
      <c r="J2325" t="s">
        <v>35</v>
      </c>
      <c r="K2325" s="2" t="s">
        <v>3074</v>
      </c>
      <c r="L2325" t="s">
        <v>26</v>
      </c>
      <c r="M2325">
        <v>363136</v>
      </c>
      <c r="N2325">
        <v>1</v>
      </c>
      <c r="O2325" s="3">
        <v>76450</v>
      </c>
      <c r="P2325" s="3">
        <v>29635</v>
      </c>
      <c r="Q2325" s="5">
        <f t="shared" si="108"/>
        <v>64243.697478991598</v>
      </c>
      <c r="R2325" s="5">
        <f t="shared" si="109"/>
        <v>29635</v>
      </c>
      <c r="S2325" s="5">
        <f t="shared" si="110"/>
        <v>34608.697478991598</v>
      </c>
    </row>
    <row r="2326" spans="1:19" hidden="1" x14ac:dyDescent="0.3">
      <c r="A2326">
        <v>140</v>
      </c>
      <c r="B2326" t="s">
        <v>3524</v>
      </c>
      <c r="C2326" t="s">
        <v>212</v>
      </c>
      <c r="D2326" s="2" t="s">
        <v>213</v>
      </c>
      <c r="E2326" t="s">
        <v>214</v>
      </c>
      <c r="F2326" t="s">
        <v>20</v>
      </c>
      <c r="G2326" t="s">
        <v>215</v>
      </c>
      <c r="H2326" t="s">
        <v>216</v>
      </c>
      <c r="I2326" t="s">
        <v>23</v>
      </c>
      <c r="J2326" t="s">
        <v>35</v>
      </c>
      <c r="K2326" s="2" t="s">
        <v>3074</v>
      </c>
      <c r="L2326" t="s">
        <v>26</v>
      </c>
      <c r="M2326">
        <v>363137</v>
      </c>
      <c r="N2326">
        <v>1</v>
      </c>
      <c r="O2326" s="3">
        <v>79990</v>
      </c>
      <c r="P2326" s="3">
        <v>47276</v>
      </c>
      <c r="Q2326" s="5">
        <f t="shared" si="108"/>
        <v>67218.487394957992</v>
      </c>
      <c r="R2326" s="5">
        <f t="shared" si="109"/>
        <v>47276</v>
      </c>
      <c r="S2326" s="5">
        <f t="shared" si="110"/>
        <v>19942.487394957992</v>
      </c>
    </row>
    <row r="2327" spans="1:19" hidden="1" x14ac:dyDescent="0.3">
      <c r="A2327">
        <v>140</v>
      </c>
      <c r="B2327" t="s">
        <v>3524</v>
      </c>
      <c r="C2327" t="s">
        <v>2698</v>
      </c>
      <c r="D2327" s="2" t="s">
        <v>2699</v>
      </c>
      <c r="E2327" t="s">
        <v>1758</v>
      </c>
      <c r="F2327" t="s">
        <v>20</v>
      </c>
      <c r="G2327" t="s">
        <v>338</v>
      </c>
      <c r="H2327">
        <v>25133</v>
      </c>
      <c r="I2327" t="s">
        <v>23</v>
      </c>
      <c r="J2327" t="s">
        <v>35</v>
      </c>
      <c r="K2327" s="2" t="s">
        <v>3074</v>
      </c>
      <c r="L2327" t="s">
        <v>26</v>
      </c>
      <c r="M2327">
        <v>363138</v>
      </c>
      <c r="N2327">
        <v>1</v>
      </c>
      <c r="O2327" s="3">
        <v>63700</v>
      </c>
      <c r="P2327" s="3">
        <v>21167</v>
      </c>
      <c r="Q2327" s="5">
        <f t="shared" si="108"/>
        <v>53529.411764705888</v>
      </c>
      <c r="R2327" s="5">
        <f t="shared" si="109"/>
        <v>21167</v>
      </c>
      <c r="S2327" s="5">
        <f t="shared" si="110"/>
        <v>32362.411764705888</v>
      </c>
    </row>
    <row r="2328" spans="1:19" hidden="1" x14ac:dyDescent="0.3">
      <c r="A2328">
        <v>140</v>
      </c>
      <c r="B2328" t="s">
        <v>3524</v>
      </c>
      <c r="C2328" t="s">
        <v>3571</v>
      </c>
      <c r="D2328" s="2" t="s">
        <v>3572</v>
      </c>
      <c r="E2328" t="s">
        <v>3573</v>
      </c>
      <c r="F2328" t="s">
        <v>20</v>
      </c>
      <c r="G2328" t="s">
        <v>21</v>
      </c>
      <c r="H2328" t="s">
        <v>247</v>
      </c>
      <c r="I2328" t="s">
        <v>23</v>
      </c>
      <c r="J2328" t="s">
        <v>40</v>
      </c>
      <c r="K2328" s="2" t="s">
        <v>1569</v>
      </c>
      <c r="L2328" t="s">
        <v>26</v>
      </c>
      <c r="M2328">
        <v>363139</v>
      </c>
      <c r="N2328">
        <v>-1</v>
      </c>
      <c r="O2328" s="3">
        <v>-34990</v>
      </c>
      <c r="P2328" s="3">
        <v>16766</v>
      </c>
      <c r="Q2328" s="5">
        <f t="shared" si="108"/>
        <v>-29403.361344537818</v>
      </c>
      <c r="R2328" s="5">
        <f t="shared" si="109"/>
        <v>-16766</v>
      </c>
      <c r="S2328" s="5">
        <f t="shared" si="110"/>
        <v>-12637.361344537818</v>
      </c>
    </row>
    <row r="2329" spans="1:19" hidden="1" x14ac:dyDescent="0.3">
      <c r="A2329">
        <v>140</v>
      </c>
      <c r="B2329" t="s">
        <v>3524</v>
      </c>
      <c r="C2329" t="s">
        <v>3723</v>
      </c>
      <c r="D2329" s="2" t="s">
        <v>3724</v>
      </c>
      <c r="E2329" t="s">
        <v>3573</v>
      </c>
      <c r="F2329" t="s">
        <v>20</v>
      </c>
      <c r="G2329" t="s">
        <v>21</v>
      </c>
      <c r="H2329" t="s">
        <v>247</v>
      </c>
      <c r="I2329" t="s">
        <v>23</v>
      </c>
      <c r="J2329" t="s">
        <v>40</v>
      </c>
      <c r="K2329" s="2" t="s">
        <v>1569</v>
      </c>
      <c r="L2329" t="s">
        <v>26</v>
      </c>
      <c r="M2329">
        <v>363139</v>
      </c>
      <c r="N2329">
        <v>1</v>
      </c>
      <c r="O2329" s="3">
        <v>34991</v>
      </c>
      <c r="P2329" s="3">
        <v>16981</v>
      </c>
      <c r="Q2329" s="5">
        <f t="shared" si="108"/>
        <v>29404.201680672271</v>
      </c>
      <c r="R2329" s="5">
        <f t="shared" si="109"/>
        <v>16981</v>
      </c>
      <c r="S2329" s="5">
        <f t="shared" si="110"/>
        <v>12423.201680672271</v>
      </c>
    </row>
    <row r="2330" spans="1:19" hidden="1" x14ac:dyDescent="0.3">
      <c r="A2330">
        <v>140</v>
      </c>
      <c r="B2330" t="s">
        <v>3524</v>
      </c>
      <c r="C2330" t="s">
        <v>3281</v>
      </c>
      <c r="D2330" s="2" t="s">
        <v>3282</v>
      </c>
      <c r="E2330" t="s">
        <v>3283</v>
      </c>
      <c r="F2330" t="s">
        <v>20</v>
      </c>
      <c r="G2330" t="s">
        <v>21</v>
      </c>
      <c r="H2330" t="s">
        <v>2494</v>
      </c>
      <c r="I2330" t="s">
        <v>23</v>
      </c>
      <c r="J2330" t="s">
        <v>40</v>
      </c>
      <c r="K2330" s="2" t="s">
        <v>1569</v>
      </c>
      <c r="L2330" t="s">
        <v>26</v>
      </c>
      <c r="M2330">
        <v>363140</v>
      </c>
      <c r="N2330">
        <v>1</v>
      </c>
      <c r="O2330" s="3">
        <v>59450</v>
      </c>
      <c r="P2330" s="3">
        <v>23470</v>
      </c>
      <c r="Q2330" s="5">
        <f t="shared" si="108"/>
        <v>49957.983193277316</v>
      </c>
      <c r="R2330" s="5">
        <f t="shared" si="109"/>
        <v>23470</v>
      </c>
      <c r="S2330" s="5">
        <f t="shared" si="110"/>
        <v>26487.983193277316</v>
      </c>
    </row>
    <row r="2331" spans="1:19" hidden="1" x14ac:dyDescent="0.3">
      <c r="A2331">
        <v>140</v>
      </c>
      <c r="B2331" t="s">
        <v>3524</v>
      </c>
      <c r="C2331" t="s">
        <v>3951</v>
      </c>
      <c r="D2331" s="2" t="s">
        <v>3952</v>
      </c>
      <c r="E2331" t="s">
        <v>2741</v>
      </c>
      <c r="F2331" t="s">
        <v>20</v>
      </c>
      <c r="G2331" t="s">
        <v>21</v>
      </c>
      <c r="H2331" t="s">
        <v>2494</v>
      </c>
      <c r="I2331" t="s">
        <v>23</v>
      </c>
      <c r="J2331" t="s">
        <v>40</v>
      </c>
      <c r="K2331" s="2" t="s">
        <v>1569</v>
      </c>
      <c r="L2331" t="s">
        <v>26</v>
      </c>
      <c r="M2331">
        <v>363141</v>
      </c>
      <c r="N2331">
        <v>1</v>
      </c>
      <c r="O2331" s="3">
        <v>59450</v>
      </c>
      <c r="P2331" s="3">
        <v>23470</v>
      </c>
      <c r="Q2331" s="5">
        <f t="shared" si="108"/>
        <v>49957.983193277316</v>
      </c>
      <c r="R2331" s="5">
        <f t="shared" si="109"/>
        <v>23470</v>
      </c>
      <c r="S2331" s="5">
        <f t="shared" si="110"/>
        <v>26487.983193277316</v>
      </c>
    </row>
    <row r="2332" spans="1:19" hidden="1" x14ac:dyDescent="0.3">
      <c r="A2332">
        <v>140</v>
      </c>
      <c r="B2332" t="s">
        <v>3524</v>
      </c>
      <c r="C2332" t="s">
        <v>2477</v>
      </c>
      <c r="D2332" s="2" t="s">
        <v>2478</v>
      </c>
      <c r="E2332" t="s">
        <v>2148</v>
      </c>
      <c r="F2332" t="s">
        <v>20</v>
      </c>
      <c r="G2332" t="s">
        <v>21</v>
      </c>
      <c r="H2332" t="s">
        <v>614</v>
      </c>
      <c r="I2332" t="s">
        <v>23</v>
      </c>
      <c r="J2332" t="s">
        <v>35</v>
      </c>
      <c r="K2332" s="2" t="s">
        <v>1569</v>
      </c>
      <c r="L2332" t="s">
        <v>26</v>
      </c>
      <c r="M2332">
        <v>363142</v>
      </c>
      <c r="N2332">
        <v>1</v>
      </c>
      <c r="O2332" s="3">
        <v>44990</v>
      </c>
      <c r="P2332" s="3">
        <v>18266</v>
      </c>
      <c r="Q2332" s="5">
        <f t="shared" si="108"/>
        <v>37806.722689075636</v>
      </c>
      <c r="R2332" s="5">
        <f t="shared" si="109"/>
        <v>18266</v>
      </c>
      <c r="S2332" s="5">
        <f t="shared" si="110"/>
        <v>19540.722689075636</v>
      </c>
    </row>
    <row r="2333" spans="1:19" hidden="1" x14ac:dyDescent="0.3">
      <c r="A2333">
        <v>140</v>
      </c>
      <c r="B2333" t="s">
        <v>3524</v>
      </c>
      <c r="C2333" t="s">
        <v>1549</v>
      </c>
      <c r="D2333" s="2" t="s">
        <v>1550</v>
      </c>
      <c r="E2333" t="s">
        <v>1551</v>
      </c>
      <c r="F2333" t="s">
        <v>377</v>
      </c>
      <c r="G2333" t="s">
        <v>21</v>
      </c>
      <c r="H2333" t="s">
        <v>378</v>
      </c>
      <c r="I2333" t="s">
        <v>23</v>
      </c>
      <c r="J2333" t="s">
        <v>379</v>
      </c>
      <c r="K2333" s="2" t="s">
        <v>1569</v>
      </c>
      <c r="L2333" t="s">
        <v>26</v>
      </c>
      <c r="M2333">
        <v>363143</v>
      </c>
      <c r="N2333">
        <v>1</v>
      </c>
      <c r="O2333" s="3">
        <v>5950</v>
      </c>
      <c r="P2333" s="3">
        <v>1908</v>
      </c>
      <c r="Q2333" s="5">
        <f t="shared" si="108"/>
        <v>5000</v>
      </c>
      <c r="R2333" s="5">
        <f t="shared" si="109"/>
        <v>1908</v>
      </c>
      <c r="S2333" s="5">
        <f t="shared" si="110"/>
        <v>3092</v>
      </c>
    </row>
    <row r="2334" spans="1:19" hidden="1" x14ac:dyDescent="0.3">
      <c r="A2334">
        <v>140</v>
      </c>
      <c r="B2334" t="s">
        <v>3524</v>
      </c>
      <c r="C2334" t="s">
        <v>3823</v>
      </c>
      <c r="D2334" s="2" t="s">
        <v>3824</v>
      </c>
      <c r="E2334" t="s">
        <v>2473</v>
      </c>
      <c r="F2334" t="s">
        <v>20</v>
      </c>
      <c r="G2334" t="s">
        <v>21</v>
      </c>
      <c r="H2334" t="s">
        <v>114</v>
      </c>
      <c r="I2334" t="s">
        <v>23</v>
      </c>
      <c r="J2334" t="s">
        <v>49</v>
      </c>
      <c r="K2334" s="2" t="s">
        <v>1569</v>
      </c>
      <c r="L2334" t="s">
        <v>26</v>
      </c>
      <c r="M2334">
        <v>363144</v>
      </c>
      <c r="N2334">
        <v>1</v>
      </c>
      <c r="O2334" s="3">
        <v>49990</v>
      </c>
      <c r="P2334" s="3">
        <v>23514</v>
      </c>
      <c r="Q2334" s="5">
        <f t="shared" si="108"/>
        <v>42008.403361344543</v>
      </c>
      <c r="R2334" s="5">
        <f t="shared" si="109"/>
        <v>23514</v>
      </c>
      <c r="S2334" s="5">
        <f t="shared" si="110"/>
        <v>18494.403361344543</v>
      </c>
    </row>
    <row r="2335" spans="1:19" hidden="1" x14ac:dyDescent="0.3">
      <c r="A2335">
        <v>140</v>
      </c>
      <c r="B2335" t="s">
        <v>3524</v>
      </c>
      <c r="C2335" t="s">
        <v>4058</v>
      </c>
      <c r="D2335" s="2" t="s">
        <v>4059</v>
      </c>
      <c r="E2335" t="s">
        <v>4060</v>
      </c>
      <c r="F2335" t="s">
        <v>20</v>
      </c>
      <c r="G2335" t="s">
        <v>338</v>
      </c>
      <c r="H2335">
        <v>23726</v>
      </c>
      <c r="I2335" t="s">
        <v>23</v>
      </c>
      <c r="J2335" t="s">
        <v>40</v>
      </c>
      <c r="K2335" s="2" t="s">
        <v>1569</v>
      </c>
      <c r="L2335" t="s">
        <v>26</v>
      </c>
      <c r="M2335">
        <v>363145</v>
      </c>
      <c r="N2335">
        <v>-1</v>
      </c>
      <c r="O2335" s="3">
        <v>-74960</v>
      </c>
      <c r="P2335" s="3">
        <v>29798</v>
      </c>
      <c r="Q2335" s="5">
        <f t="shared" si="108"/>
        <v>-62991.596638655465</v>
      </c>
      <c r="R2335" s="5">
        <f t="shared" si="109"/>
        <v>-29798</v>
      </c>
      <c r="S2335" s="5">
        <f t="shared" si="110"/>
        <v>-33193.596638655465</v>
      </c>
    </row>
    <row r="2336" spans="1:19" hidden="1" x14ac:dyDescent="0.3">
      <c r="A2336">
        <v>140</v>
      </c>
      <c r="B2336" t="s">
        <v>3524</v>
      </c>
      <c r="C2336" t="s">
        <v>4061</v>
      </c>
      <c r="D2336" s="2" t="s">
        <v>4062</v>
      </c>
      <c r="E2336" t="s">
        <v>2208</v>
      </c>
      <c r="F2336" t="s">
        <v>20</v>
      </c>
      <c r="G2336" t="s">
        <v>338</v>
      </c>
      <c r="H2336">
        <v>25823</v>
      </c>
      <c r="I2336" t="s">
        <v>23</v>
      </c>
      <c r="J2336" t="s">
        <v>35</v>
      </c>
      <c r="K2336" s="2" t="s">
        <v>1569</v>
      </c>
      <c r="L2336" t="s">
        <v>26</v>
      </c>
      <c r="M2336">
        <v>363145</v>
      </c>
      <c r="N2336">
        <v>1</v>
      </c>
      <c r="O2336" s="3">
        <v>99950</v>
      </c>
      <c r="P2336" s="3">
        <v>33748</v>
      </c>
      <c r="Q2336" s="5">
        <f t="shared" si="108"/>
        <v>83991.596638655465</v>
      </c>
      <c r="R2336" s="5">
        <f t="shared" si="109"/>
        <v>33748</v>
      </c>
      <c r="S2336" s="5">
        <f t="shared" si="110"/>
        <v>50243.596638655465</v>
      </c>
    </row>
    <row r="2337" spans="1:19" hidden="1" x14ac:dyDescent="0.3">
      <c r="A2337">
        <v>140</v>
      </c>
      <c r="B2337" t="s">
        <v>3524</v>
      </c>
      <c r="C2337" t="s">
        <v>4063</v>
      </c>
      <c r="D2337" s="2" t="s">
        <v>4064</v>
      </c>
      <c r="E2337" t="s">
        <v>2558</v>
      </c>
      <c r="F2337" t="s">
        <v>20</v>
      </c>
      <c r="G2337" t="s">
        <v>21</v>
      </c>
      <c r="H2337" t="s">
        <v>870</v>
      </c>
      <c r="I2337" t="s">
        <v>23</v>
      </c>
      <c r="J2337" t="s">
        <v>49</v>
      </c>
      <c r="K2337" s="2" t="s">
        <v>1569</v>
      </c>
      <c r="L2337" t="s">
        <v>26</v>
      </c>
      <c r="M2337">
        <v>363146</v>
      </c>
      <c r="N2337">
        <v>1</v>
      </c>
      <c r="O2337" s="3">
        <v>58450</v>
      </c>
      <c r="P2337" s="3">
        <v>22955</v>
      </c>
      <c r="Q2337" s="5">
        <f t="shared" si="108"/>
        <v>49117.647058823532</v>
      </c>
      <c r="R2337" s="5">
        <f t="shared" si="109"/>
        <v>22955</v>
      </c>
      <c r="S2337" s="5">
        <f t="shared" si="110"/>
        <v>26162.647058823532</v>
      </c>
    </row>
    <row r="2338" spans="1:19" hidden="1" x14ac:dyDescent="0.3">
      <c r="A2338">
        <v>140</v>
      </c>
      <c r="B2338" t="s">
        <v>3524</v>
      </c>
      <c r="C2338" t="s">
        <v>4065</v>
      </c>
      <c r="D2338" s="2" t="s">
        <v>4066</v>
      </c>
      <c r="E2338" t="s">
        <v>2787</v>
      </c>
      <c r="F2338" t="s">
        <v>20</v>
      </c>
      <c r="G2338" t="s">
        <v>21</v>
      </c>
      <c r="H2338" t="s">
        <v>1286</v>
      </c>
      <c r="I2338" t="s">
        <v>23</v>
      </c>
      <c r="J2338" t="s">
        <v>40</v>
      </c>
      <c r="K2338" s="2" t="s">
        <v>1569</v>
      </c>
      <c r="L2338" t="s">
        <v>26</v>
      </c>
      <c r="M2338">
        <v>363147</v>
      </c>
      <c r="N2338">
        <v>1</v>
      </c>
      <c r="O2338" s="3">
        <v>49990</v>
      </c>
      <c r="P2338" s="3">
        <v>24783</v>
      </c>
      <c r="Q2338" s="5">
        <f t="shared" si="108"/>
        <v>42008.403361344543</v>
      </c>
      <c r="R2338" s="5">
        <f t="shared" si="109"/>
        <v>24783</v>
      </c>
      <c r="S2338" s="5">
        <f t="shared" si="110"/>
        <v>17225.403361344543</v>
      </c>
    </row>
    <row r="2339" spans="1:19" hidden="1" x14ac:dyDescent="0.3">
      <c r="A2339">
        <v>140</v>
      </c>
      <c r="B2339" t="s">
        <v>3524</v>
      </c>
      <c r="C2339" t="s">
        <v>4067</v>
      </c>
      <c r="D2339" s="2" t="s">
        <v>4068</v>
      </c>
      <c r="E2339" t="s">
        <v>3323</v>
      </c>
      <c r="F2339" t="s">
        <v>20</v>
      </c>
      <c r="G2339" t="s">
        <v>21</v>
      </c>
      <c r="H2339" t="s">
        <v>625</v>
      </c>
      <c r="I2339" t="s">
        <v>23</v>
      </c>
      <c r="J2339" t="s">
        <v>35</v>
      </c>
      <c r="K2339" s="2" t="s">
        <v>1569</v>
      </c>
      <c r="L2339" t="s">
        <v>26</v>
      </c>
      <c r="M2339">
        <v>363148</v>
      </c>
      <c r="N2339">
        <v>1</v>
      </c>
      <c r="O2339" s="3">
        <v>64950</v>
      </c>
      <c r="P2339" s="3">
        <v>24956</v>
      </c>
      <c r="Q2339" s="5">
        <f t="shared" si="108"/>
        <v>54579.831932773115</v>
      </c>
      <c r="R2339" s="5">
        <f t="shared" si="109"/>
        <v>24956</v>
      </c>
      <c r="S2339" s="5">
        <f t="shared" si="110"/>
        <v>29623.831932773115</v>
      </c>
    </row>
    <row r="2340" spans="1:19" hidden="1" x14ac:dyDescent="0.3">
      <c r="A2340">
        <v>140</v>
      </c>
      <c r="B2340" t="s">
        <v>3524</v>
      </c>
      <c r="C2340" t="s">
        <v>4069</v>
      </c>
      <c r="D2340" s="2" t="s">
        <v>4070</v>
      </c>
      <c r="E2340" t="s">
        <v>3716</v>
      </c>
      <c r="F2340" t="s">
        <v>20</v>
      </c>
      <c r="G2340" t="s">
        <v>215</v>
      </c>
      <c r="H2340" t="s">
        <v>3717</v>
      </c>
      <c r="I2340" t="s">
        <v>23</v>
      </c>
      <c r="J2340" t="s">
        <v>35</v>
      </c>
      <c r="K2340" s="2" t="s">
        <v>1569</v>
      </c>
      <c r="L2340" t="s">
        <v>26</v>
      </c>
      <c r="M2340">
        <v>363149</v>
      </c>
      <c r="N2340">
        <v>1</v>
      </c>
      <c r="O2340" s="3">
        <v>69990</v>
      </c>
      <c r="P2340" s="3">
        <v>42430</v>
      </c>
      <c r="Q2340" s="5">
        <f t="shared" si="108"/>
        <v>58815.126050420171</v>
      </c>
      <c r="R2340" s="5">
        <f t="shared" si="109"/>
        <v>42430</v>
      </c>
      <c r="S2340" s="5">
        <f t="shared" si="110"/>
        <v>16385.126050420171</v>
      </c>
    </row>
    <row r="2341" spans="1:19" hidden="1" x14ac:dyDescent="0.3">
      <c r="A2341">
        <v>140</v>
      </c>
      <c r="B2341" t="s">
        <v>3524</v>
      </c>
      <c r="C2341" t="s">
        <v>4071</v>
      </c>
      <c r="D2341" s="2" t="s">
        <v>4072</v>
      </c>
      <c r="E2341" t="s">
        <v>3395</v>
      </c>
      <c r="F2341" t="s">
        <v>20</v>
      </c>
      <c r="G2341" t="s">
        <v>338</v>
      </c>
      <c r="H2341">
        <v>25459</v>
      </c>
      <c r="I2341" t="s">
        <v>23</v>
      </c>
      <c r="J2341" t="s">
        <v>35</v>
      </c>
      <c r="K2341" s="2" t="s">
        <v>1569</v>
      </c>
      <c r="L2341" t="s">
        <v>26</v>
      </c>
      <c r="M2341">
        <v>363150</v>
      </c>
      <c r="N2341">
        <v>1</v>
      </c>
      <c r="O2341" s="3">
        <v>84950</v>
      </c>
      <c r="P2341" s="3">
        <v>32113</v>
      </c>
      <c r="Q2341" s="5">
        <f t="shared" si="108"/>
        <v>71386.554621848743</v>
      </c>
      <c r="R2341" s="5">
        <f t="shared" si="109"/>
        <v>32113</v>
      </c>
      <c r="S2341" s="5">
        <f t="shared" si="110"/>
        <v>39273.554621848743</v>
      </c>
    </row>
    <row r="2342" spans="1:19" hidden="1" x14ac:dyDescent="0.3">
      <c r="A2342">
        <v>140</v>
      </c>
      <c r="B2342" t="s">
        <v>3524</v>
      </c>
      <c r="C2342" t="s">
        <v>4073</v>
      </c>
      <c r="D2342" s="2" t="s">
        <v>4074</v>
      </c>
      <c r="E2342" t="s">
        <v>2428</v>
      </c>
      <c r="F2342" t="s">
        <v>20</v>
      </c>
      <c r="G2342" t="s">
        <v>21</v>
      </c>
      <c r="H2342" t="s">
        <v>2315</v>
      </c>
      <c r="I2342" t="s">
        <v>23</v>
      </c>
      <c r="J2342" t="s">
        <v>35</v>
      </c>
      <c r="K2342" s="2" t="s">
        <v>1569</v>
      </c>
      <c r="L2342" t="s">
        <v>26</v>
      </c>
      <c r="M2342">
        <v>363151</v>
      </c>
      <c r="N2342">
        <v>1</v>
      </c>
      <c r="O2342" s="3">
        <v>89950</v>
      </c>
      <c r="P2342" s="3">
        <v>30749</v>
      </c>
      <c r="Q2342" s="5">
        <f t="shared" si="108"/>
        <v>75588.23529411765</v>
      </c>
      <c r="R2342" s="5">
        <f t="shared" si="109"/>
        <v>30749</v>
      </c>
      <c r="S2342" s="5">
        <f t="shared" si="110"/>
        <v>44839.23529411765</v>
      </c>
    </row>
    <row r="2343" spans="1:19" hidden="1" x14ac:dyDescent="0.3">
      <c r="A2343">
        <v>140</v>
      </c>
      <c r="B2343" t="s">
        <v>3524</v>
      </c>
      <c r="C2343" t="s">
        <v>4075</v>
      </c>
      <c r="D2343" s="2" t="s">
        <v>4076</v>
      </c>
      <c r="E2343" t="s">
        <v>4077</v>
      </c>
      <c r="F2343" t="s">
        <v>20</v>
      </c>
      <c r="G2343" t="s">
        <v>338</v>
      </c>
      <c r="H2343">
        <v>84316</v>
      </c>
      <c r="I2343" t="s">
        <v>23</v>
      </c>
      <c r="J2343" t="s">
        <v>49</v>
      </c>
      <c r="K2343" s="2" t="s">
        <v>1569</v>
      </c>
      <c r="L2343" t="s">
        <v>26</v>
      </c>
      <c r="M2343">
        <v>363152</v>
      </c>
      <c r="N2343">
        <v>1</v>
      </c>
      <c r="O2343" s="3">
        <v>89950</v>
      </c>
      <c r="P2343" s="3">
        <v>31128</v>
      </c>
      <c r="Q2343" s="5">
        <f t="shared" si="108"/>
        <v>75588.23529411765</v>
      </c>
      <c r="R2343" s="5">
        <f t="shared" si="109"/>
        <v>31128</v>
      </c>
      <c r="S2343" s="5">
        <f t="shared" si="110"/>
        <v>44460.23529411765</v>
      </c>
    </row>
    <row r="2344" spans="1:19" hidden="1" x14ac:dyDescent="0.3">
      <c r="A2344">
        <v>140</v>
      </c>
      <c r="B2344" t="s">
        <v>3524</v>
      </c>
      <c r="C2344" t="s">
        <v>2365</v>
      </c>
      <c r="D2344" s="2" t="s">
        <v>2366</v>
      </c>
      <c r="E2344" t="s">
        <v>2367</v>
      </c>
      <c r="F2344" t="s">
        <v>377</v>
      </c>
      <c r="G2344" t="s">
        <v>21</v>
      </c>
      <c r="H2344" t="s">
        <v>378</v>
      </c>
      <c r="I2344" t="s">
        <v>23</v>
      </c>
      <c r="J2344" t="s">
        <v>379</v>
      </c>
      <c r="K2344" s="2" t="s">
        <v>1569</v>
      </c>
      <c r="L2344" t="s">
        <v>26</v>
      </c>
      <c r="M2344">
        <v>363153</v>
      </c>
      <c r="N2344">
        <v>1</v>
      </c>
      <c r="O2344" s="3">
        <v>6950</v>
      </c>
      <c r="P2344" s="3">
        <v>3759</v>
      </c>
      <c r="Q2344" s="5">
        <f t="shared" si="108"/>
        <v>5840.3361344537816</v>
      </c>
      <c r="R2344" s="5">
        <f t="shared" si="109"/>
        <v>3759</v>
      </c>
      <c r="S2344" s="5">
        <f t="shared" si="110"/>
        <v>2081.3361344537816</v>
      </c>
    </row>
    <row r="2345" spans="1:19" hidden="1" x14ac:dyDescent="0.3">
      <c r="A2345">
        <v>140</v>
      </c>
      <c r="B2345" t="s">
        <v>3524</v>
      </c>
      <c r="C2345" t="s">
        <v>3609</v>
      </c>
      <c r="D2345" s="2" t="s">
        <v>3610</v>
      </c>
      <c r="E2345" t="s">
        <v>2062</v>
      </c>
      <c r="F2345" t="s">
        <v>20</v>
      </c>
      <c r="G2345" t="s">
        <v>21</v>
      </c>
      <c r="H2345" t="s">
        <v>2063</v>
      </c>
      <c r="I2345" t="s">
        <v>23</v>
      </c>
      <c r="J2345" t="s">
        <v>40</v>
      </c>
      <c r="K2345" s="2" t="s">
        <v>1569</v>
      </c>
      <c r="L2345" t="s">
        <v>26</v>
      </c>
      <c r="M2345">
        <v>363154</v>
      </c>
      <c r="N2345">
        <v>1</v>
      </c>
      <c r="O2345" s="3">
        <v>49990</v>
      </c>
      <c r="P2345" s="3">
        <v>22615</v>
      </c>
      <c r="Q2345" s="5">
        <f t="shared" si="108"/>
        <v>42008.403361344543</v>
      </c>
      <c r="R2345" s="5">
        <f t="shared" si="109"/>
        <v>22615</v>
      </c>
      <c r="S2345" s="5">
        <f t="shared" si="110"/>
        <v>19393.403361344543</v>
      </c>
    </row>
    <row r="2346" spans="1:19" hidden="1" x14ac:dyDescent="0.3">
      <c r="A2346">
        <v>140</v>
      </c>
      <c r="B2346" t="s">
        <v>3524</v>
      </c>
      <c r="C2346" t="s">
        <v>4078</v>
      </c>
      <c r="D2346" s="2" t="s">
        <v>4079</v>
      </c>
      <c r="E2346" t="s">
        <v>1333</v>
      </c>
      <c r="F2346" t="s">
        <v>20</v>
      </c>
      <c r="G2346" t="s">
        <v>21</v>
      </c>
      <c r="H2346" t="s">
        <v>114</v>
      </c>
      <c r="I2346" t="s">
        <v>23</v>
      </c>
      <c r="J2346" t="s">
        <v>49</v>
      </c>
      <c r="K2346" s="2" t="s">
        <v>1569</v>
      </c>
      <c r="L2346" t="s">
        <v>26</v>
      </c>
      <c r="M2346">
        <v>363155</v>
      </c>
      <c r="N2346">
        <v>1</v>
      </c>
      <c r="O2346" s="3">
        <v>49990</v>
      </c>
      <c r="P2346" s="3">
        <v>24654</v>
      </c>
      <c r="Q2346" s="5">
        <f t="shared" si="108"/>
        <v>42008.403361344543</v>
      </c>
      <c r="R2346" s="5">
        <f t="shared" si="109"/>
        <v>24654</v>
      </c>
      <c r="S2346" s="5">
        <f t="shared" si="110"/>
        <v>17354.403361344543</v>
      </c>
    </row>
    <row r="2347" spans="1:19" hidden="1" x14ac:dyDescent="0.3">
      <c r="A2347">
        <v>140</v>
      </c>
      <c r="B2347" t="s">
        <v>3524</v>
      </c>
      <c r="C2347" t="s">
        <v>4080</v>
      </c>
      <c r="D2347" s="2" t="s">
        <v>4081</v>
      </c>
      <c r="E2347" t="s">
        <v>3462</v>
      </c>
      <c r="F2347" t="s">
        <v>20</v>
      </c>
      <c r="G2347" t="s">
        <v>21</v>
      </c>
      <c r="H2347" t="s">
        <v>1282</v>
      </c>
      <c r="I2347" t="s">
        <v>23</v>
      </c>
      <c r="J2347" t="s">
        <v>40</v>
      </c>
      <c r="K2347" s="2" t="s">
        <v>1569</v>
      </c>
      <c r="L2347" t="s">
        <v>26</v>
      </c>
      <c r="M2347">
        <v>363156</v>
      </c>
      <c r="N2347">
        <v>1</v>
      </c>
      <c r="O2347" s="3">
        <v>34990</v>
      </c>
      <c r="P2347" s="3">
        <v>13512</v>
      </c>
      <c r="Q2347" s="5">
        <f t="shared" si="108"/>
        <v>29403.361344537818</v>
      </c>
      <c r="R2347" s="5">
        <f t="shared" si="109"/>
        <v>13512</v>
      </c>
      <c r="S2347" s="5">
        <f t="shared" si="110"/>
        <v>15891.361344537818</v>
      </c>
    </row>
    <row r="2348" spans="1:19" hidden="1" x14ac:dyDescent="0.3">
      <c r="A2348">
        <v>140</v>
      </c>
      <c r="B2348" t="s">
        <v>3524</v>
      </c>
      <c r="C2348" t="s">
        <v>4082</v>
      </c>
      <c r="D2348" s="2" t="s">
        <v>4083</v>
      </c>
      <c r="E2348" t="s">
        <v>4084</v>
      </c>
      <c r="F2348" t="s">
        <v>20</v>
      </c>
      <c r="G2348" t="s">
        <v>21</v>
      </c>
      <c r="H2348" t="s">
        <v>3272</v>
      </c>
      <c r="I2348" t="s">
        <v>23</v>
      </c>
      <c r="J2348" t="s">
        <v>40</v>
      </c>
      <c r="K2348" s="2" t="s">
        <v>1744</v>
      </c>
      <c r="L2348" t="s">
        <v>4085</v>
      </c>
      <c r="M2348">
        <v>781</v>
      </c>
      <c r="N2348">
        <v>1</v>
      </c>
      <c r="O2348" s="3">
        <v>50950</v>
      </c>
      <c r="P2348" s="3">
        <v>23104</v>
      </c>
      <c r="Q2348" s="5">
        <f t="shared" si="108"/>
        <v>42815.126050420171</v>
      </c>
      <c r="R2348" s="5">
        <f t="shared" si="109"/>
        <v>23104</v>
      </c>
      <c r="S2348" s="5">
        <f t="shared" si="110"/>
        <v>19711.126050420171</v>
      </c>
    </row>
    <row r="2349" spans="1:19" hidden="1" x14ac:dyDescent="0.3">
      <c r="A2349">
        <v>140</v>
      </c>
      <c r="B2349" t="s">
        <v>3524</v>
      </c>
      <c r="C2349" t="s">
        <v>4086</v>
      </c>
      <c r="D2349" s="2" t="s">
        <v>4087</v>
      </c>
      <c r="E2349" t="s">
        <v>4088</v>
      </c>
      <c r="F2349" t="s">
        <v>20</v>
      </c>
      <c r="G2349" t="s">
        <v>21</v>
      </c>
      <c r="H2349" t="s">
        <v>3272</v>
      </c>
      <c r="I2349" t="s">
        <v>23</v>
      </c>
      <c r="J2349" t="s">
        <v>40</v>
      </c>
      <c r="K2349" s="2" t="s">
        <v>1744</v>
      </c>
      <c r="L2349" t="s">
        <v>4085</v>
      </c>
      <c r="M2349">
        <v>781</v>
      </c>
      <c r="N2349">
        <v>1</v>
      </c>
      <c r="O2349" s="3">
        <v>59950</v>
      </c>
      <c r="P2349" s="3">
        <v>23104</v>
      </c>
      <c r="Q2349" s="5">
        <f t="shared" si="108"/>
        <v>50378.151260504201</v>
      </c>
      <c r="R2349" s="5">
        <f t="shared" si="109"/>
        <v>23104</v>
      </c>
      <c r="S2349" s="5">
        <f t="shared" si="110"/>
        <v>27274.151260504201</v>
      </c>
    </row>
    <row r="2350" spans="1:19" hidden="1" x14ac:dyDescent="0.3">
      <c r="A2350">
        <v>140</v>
      </c>
      <c r="B2350" t="s">
        <v>3524</v>
      </c>
      <c r="C2350" t="s">
        <v>3441</v>
      </c>
      <c r="D2350" s="2" t="s">
        <v>3442</v>
      </c>
      <c r="E2350" t="s">
        <v>3283</v>
      </c>
      <c r="F2350" t="s">
        <v>20</v>
      </c>
      <c r="G2350" t="s">
        <v>21</v>
      </c>
      <c r="H2350" t="s">
        <v>2494</v>
      </c>
      <c r="I2350" t="s">
        <v>23</v>
      </c>
      <c r="J2350" t="s">
        <v>40</v>
      </c>
      <c r="K2350" s="2" t="s">
        <v>1744</v>
      </c>
      <c r="L2350" t="s">
        <v>26</v>
      </c>
      <c r="M2350">
        <v>363157</v>
      </c>
      <c r="N2350">
        <v>1</v>
      </c>
      <c r="O2350" s="3">
        <v>59450</v>
      </c>
      <c r="P2350" s="3">
        <v>23470</v>
      </c>
      <c r="Q2350" s="5">
        <f t="shared" si="108"/>
        <v>49957.983193277316</v>
      </c>
      <c r="R2350" s="5">
        <f t="shared" si="109"/>
        <v>23470</v>
      </c>
      <c r="S2350" s="5">
        <f t="shared" si="110"/>
        <v>26487.983193277316</v>
      </c>
    </row>
    <row r="2351" spans="1:19" hidden="1" x14ac:dyDescent="0.3">
      <c r="A2351">
        <v>140</v>
      </c>
      <c r="B2351" t="s">
        <v>3524</v>
      </c>
      <c r="C2351" t="s">
        <v>4089</v>
      </c>
      <c r="D2351" s="2" t="s">
        <v>4090</v>
      </c>
      <c r="E2351" t="s">
        <v>2741</v>
      </c>
      <c r="F2351" t="s">
        <v>20</v>
      </c>
      <c r="G2351" t="s">
        <v>21</v>
      </c>
      <c r="H2351" t="s">
        <v>2494</v>
      </c>
      <c r="I2351" t="s">
        <v>23</v>
      </c>
      <c r="J2351" t="s">
        <v>40</v>
      </c>
      <c r="K2351" s="2" t="s">
        <v>1744</v>
      </c>
      <c r="L2351" t="s">
        <v>26</v>
      </c>
      <c r="M2351">
        <v>363157</v>
      </c>
      <c r="N2351">
        <v>1</v>
      </c>
      <c r="O2351" s="3">
        <v>69950</v>
      </c>
      <c r="P2351" s="3">
        <v>23470</v>
      </c>
      <c r="Q2351" s="5">
        <f t="shared" si="108"/>
        <v>58781.512605042022</v>
      </c>
      <c r="R2351" s="5">
        <f t="shared" si="109"/>
        <v>23470</v>
      </c>
      <c r="S2351" s="5">
        <f t="shared" si="110"/>
        <v>35311.512605042022</v>
      </c>
    </row>
    <row r="2352" spans="1:19" hidden="1" x14ac:dyDescent="0.3">
      <c r="A2352">
        <v>140</v>
      </c>
      <c r="B2352" t="s">
        <v>3524</v>
      </c>
      <c r="C2352" t="s">
        <v>4091</v>
      </c>
      <c r="D2352" s="2" t="s">
        <v>4092</v>
      </c>
      <c r="E2352" t="s">
        <v>3518</v>
      </c>
      <c r="F2352" t="s">
        <v>20</v>
      </c>
      <c r="G2352" t="s">
        <v>21</v>
      </c>
      <c r="H2352" t="s">
        <v>1124</v>
      </c>
      <c r="I2352" t="s">
        <v>23</v>
      </c>
      <c r="J2352" t="s">
        <v>35</v>
      </c>
      <c r="K2352" s="2" t="s">
        <v>1744</v>
      </c>
      <c r="L2352" t="s">
        <v>26</v>
      </c>
      <c r="M2352">
        <v>363158</v>
      </c>
      <c r="N2352">
        <v>1</v>
      </c>
      <c r="O2352" s="3">
        <v>74950</v>
      </c>
      <c r="P2352" s="3">
        <v>28537</v>
      </c>
      <c r="Q2352" s="5">
        <f t="shared" si="108"/>
        <v>62983.193277310929</v>
      </c>
      <c r="R2352" s="5">
        <f t="shared" si="109"/>
        <v>28537</v>
      </c>
      <c r="S2352" s="5">
        <f t="shared" si="110"/>
        <v>34446.193277310929</v>
      </c>
    </row>
    <row r="2353" spans="1:19" hidden="1" x14ac:dyDescent="0.3">
      <c r="A2353">
        <v>140</v>
      </c>
      <c r="B2353" t="s">
        <v>3524</v>
      </c>
      <c r="C2353" t="s">
        <v>4093</v>
      </c>
      <c r="D2353" s="2" t="s">
        <v>4094</v>
      </c>
      <c r="E2353" t="s">
        <v>2910</v>
      </c>
      <c r="F2353" t="s">
        <v>20</v>
      </c>
      <c r="G2353" t="s">
        <v>338</v>
      </c>
      <c r="H2353">
        <v>25212</v>
      </c>
      <c r="I2353" t="s">
        <v>23</v>
      </c>
      <c r="J2353" t="s">
        <v>35</v>
      </c>
      <c r="K2353" s="2" t="s">
        <v>1744</v>
      </c>
      <c r="L2353" t="s">
        <v>26</v>
      </c>
      <c r="M2353">
        <v>363159</v>
      </c>
      <c r="N2353">
        <v>1</v>
      </c>
      <c r="O2353" s="3">
        <v>109950</v>
      </c>
      <c r="P2353" s="3">
        <v>34157</v>
      </c>
      <c r="Q2353" s="5">
        <f t="shared" si="108"/>
        <v>92394.957983193279</v>
      </c>
      <c r="R2353" s="5">
        <f t="shared" si="109"/>
        <v>34157</v>
      </c>
      <c r="S2353" s="5">
        <f t="shared" si="110"/>
        <v>58237.957983193279</v>
      </c>
    </row>
    <row r="2354" spans="1:19" hidden="1" x14ac:dyDescent="0.3">
      <c r="A2354">
        <v>140</v>
      </c>
      <c r="B2354" t="s">
        <v>3524</v>
      </c>
      <c r="C2354" t="s">
        <v>4095</v>
      </c>
      <c r="D2354" s="2" t="s">
        <v>4096</v>
      </c>
      <c r="E2354" t="s">
        <v>1632</v>
      </c>
      <c r="F2354" t="s">
        <v>20</v>
      </c>
      <c r="G2354" t="s">
        <v>21</v>
      </c>
      <c r="H2354" t="s">
        <v>1124</v>
      </c>
      <c r="I2354" t="s">
        <v>23</v>
      </c>
      <c r="J2354" t="s">
        <v>35</v>
      </c>
      <c r="K2354" s="2" t="s">
        <v>1744</v>
      </c>
      <c r="L2354" t="s">
        <v>26</v>
      </c>
      <c r="M2354">
        <v>363160</v>
      </c>
      <c r="N2354">
        <v>1</v>
      </c>
      <c r="O2354" s="3">
        <v>74950</v>
      </c>
      <c r="P2354" s="3">
        <v>28430</v>
      </c>
      <c r="Q2354" s="5">
        <f t="shared" si="108"/>
        <v>62983.193277310929</v>
      </c>
      <c r="R2354" s="5">
        <f t="shared" si="109"/>
        <v>28430</v>
      </c>
      <c r="S2354" s="5">
        <f t="shared" si="110"/>
        <v>34553.193277310929</v>
      </c>
    </row>
    <row r="2355" spans="1:19" hidden="1" x14ac:dyDescent="0.3">
      <c r="A2355">
        <v>140</v>
      </c>
      <c r="B2355" t="s">
        <v>3524</v>
      </c>
      <c r="C2355" t="s">
        <v>3904</v>
      </c>
      <c r="D2355" s="2" t="s">
        <v>3905</v>
      </c>
      <c r="E2355" t="s">
        <v>990</v>
      </c>
      <c r="F2355" t="s">
        <v>20</v>
      </c>
      <c r="G2355" t="s">
        <v>21</v>
      </c>
      <c r="H2355" t="s">
        <v>991</v>
      </c>
      <c r="I2355" t="s">
        <v>23</v>
      </c>
      <c r="J2355" t="s">
        <v>49</v>
      </c>
      <c r="K2355" s="2" t="s">
        <v>1744</v>
      </c>
      <c r="L2355" t="s">
        <v>26</v>
      </c>
      <c r="M2355">
        <v>363161</v>
      </c>
      <c r="N2355">
        <v>1</v>
      </c>
      <c r="O2355" s="3">
        <v>69951</v>
      </c>
      <c r="P2355" s="3">
        <v>22180</v>
      </c>
      <c r="Q2355" s="5">
        <f t="shared" si="108"/>
        <v>58782.352941176476</v>
      </c>
      <c r="R2355" s="5">
        <f t="shared" si="109"/>
        <v>22180</v>
      </c>
      <c r="S2355" s="5">
        <f t="shared" si="110"/>
        <v>36602.352941176476</v>
      </c>
    </row>
    <row r="2356" spans="1:19" hidden="1" x14ac:dyDescent="0.3">
      <c r="A2356">
        <v>140</v>
      </c>
      <c r="B2356" t="s">
        <v>3524</v>
      </c>
      <c r="C2356" t="s">
        <v>3798</v>
      </c>
      <c r="D2356" s="2" t="s">
        <v>3799</v>
      </c>
      <c r="E2356" t="s">
        <v>990</v>
      </c>
      <c r="F2356" t="s">
        <v>20</v>
      </c>
      <c r="G2356" t="s">
        <v>21</v>
      </c>
      <c r="H2356" t="s">
        <v>991</v>
      </c>
      <c r="I2356" t="s">
        <v>23</v>
      </c>
      <c r="J2356" t="s">
        <v>49</v>
      </c>
      <c r="K2356" s="2" t="s">
        <v>1744</v>
      </c>
      <c r="L2356" t="s">
        <v>26</v>
      </c>
      <c r="M2356">
        <v>363161</v>
      </c>
      <c r="N2356">
        <v>-1</v>
      </c>
      <c r="O2356" s="3">
        <v>-69950</v>
      </c>
      <c r="P2356" s="3">
        <v>22189</v>
      </c>
      <c r="Q2356" s="5">
        <f t="shared" si="108"/>
        <v>-58781.512605042022</v>
      </c>
      <c r="R2356" s="5">
        <f t="shared" si="109"/>
        <v>-22189</v>
      </c>
      <c r="S2356" s="5">
        <f t="shared" si="110"/>
        <v>-36592.512605042022</v>
      </c>
    </row>
    <row r="2357" spans="1:19" hidden="1" x14ac:dyDescent="0.3">
      <c r="A2357">
        <v>140</v>
      </c>
      <c r="B2357" t="s">
        <v>3524</v>
      </c>
      <c r="C2357" t="s">
        <v>4097</v>
      </c>
      <c r="D2357" s="2" t="s">
        <v>4098</v>
      </c>
      <c r="E2357" t="s">
        <v>2414</v>
      </c>
      <c r="F2357" t="s">
        <v>20</v>
      </c>
      <c r="G2357" t="s">
        <v>21</v>
      </c>
      <c r="H2357" t="s">
        <v>818</v>
      </c>
      <c r="I2357" t="s">
        <v>23</v>
      </c>
      <c r="J2357" t="s">
        <v>35</v>
      </c>
      <c r="K2357" s="2" t="s">
        <v>1744</v>
      </c>
      <c r="L2357" t="s">
        <v>26</v>
      </c>
      <c r="M2357">
        <v>363162</v>
      </c>
      <c r="N2357">
        <v>1</v>
      </c>
      <c r="O2357" s="3">
        <v>89950</v>
      </c>
      <c r="P2357" s="3">
        <v>32309</v>
      </c>
      <c r="Q2357" s="5">
        <f t="shared" si="108"/>
        <v>75588.23529411765</v>
      </c>
      <c r="R2357" s="5">
        <f t="shared" si="109"/>
        <v>32309</v>
      </c>
      <c r="S2357" s="5">
        <f t="shared" si="110"/>
        <v>43279.23529411765</v>
      </c>
    </row>
    <row r="2358" spans="1:19" hidden="1" x14ac:dyDescent="0.3">
      <c r="A2358">
        <v>140</v>
      </c>
      <c r="B2358" t="s">
        <v>3524</v>
      </c>
      <c r="C2358" t="s">
        <v>4099</v>
      </c>
      <c r="D2358" s="2" t="s">
        <v>4100</v>
      </c>
      <c r="E2358" t="s">
        <v>3424</v>
      </c>
      <c r="F2358" t="s">
        <v>20</v>
      </c>
      <c r="G2358" t="s">
        <v>338</v>
      </c>
      <c r="H2358">
        <v>23709</v>
      </c>
      <c r="I2358" t="s">
        <v>23</v>
      </c>
      <c r="J2358" t="s">
        <v>40</v>
      </c>
      <c r="K2358" s="2" t="s">
        <v>1744</v>
      </c>
      <c r="L2358" t="s">
        <v>26</v>
      </c>
      <c r="M2358">
        <v>363163</v>
      </c>
      <c r="N2358">
        <v>1</v>
      </c>
      <c r="O2358" s="3">
        <v>79950</v>
      </c>
      <c r="P2358" s="3">
        <v>27728</v>
      </c>
      <c r="Q2358" s="5">
        <f t="shared" si="108"/>
        <v>67184.873949579836</v>
      </c>
      <c r="R2358" s="5">
        <f t="shared" si="109"/>
        <v>27728</v>
      </c>
      <c r="S2358" s="5">
        <f t="shared" si="110"/>
        <v>39456.873949579836</v>
      </c>
    </row>
    <row r="2359" spans="1:19" hidden="1" x14ac:dyDescent="0.3">
      <c r="A2359">
        <v>140</v>
      </c>
      <c r="B2359" t="s">
        <v>3524</v>
      </c>
      <c r="C2359" t="s">
        <v>4101</v>
      </c>
      <c r="D2359" s="2" t="s">
        <v>4102</v>
      </c>
      <c r="E2359" t="s">
        <v>1404</v>
      </c>
      <c r="F2359" t="s">
        <v>20</v>
      </c>
      <c r="G2359" t="s">
        <v>21</v>
      </c>
      <c r="H2359" t="s">
        <v>1405</v>
      </c>
      <c r="I2359" t="s">
        <v>23</v>
      </c>
      <c r="J2359" t="s">
        <v>40</v>
      </c>
      <c r="K2359" s="2" t="s">
        <v>1744</v>
      </c>
      <c r="L2359" t="s">
        <v>26</v>
      </c>
      <c r="M2359">
        <v>363164</v>
      </c>
      <c r="N2359">
        <v>1</v>
      </c>
      <c r="O2359" s="3">
        <v>49950</v>
      </c>
      <c r="P2359" s="3">
        <v>13302</v>
      </c>
      <c r="Q2359" s="5">
        <f t="shared" si="108"/>
        <v>41974.789915966387</v>
      </c>
      <c r="R2359" s="5">
        <f t="shared" si="109"/>
        <v>13302</v>
      </c>
      <c r="S2359" s="5">
        <f t="shared" si="110"/>
        <v>28672.789915966387</v>
      </c>
    </row>
    <row r="2360" spans="1:19" hidden="1" x14ac:dyDescent="0.3">
      <c r="A2360">
        <v>140</v>
      </c>
      <c r="B2360" t="s">
        <v>3524</v>
      </c>
      <c r="C2360" t="s">
        <v>3927</v>
      </c>
      <c r="D2360" s="2" t="s">
        <v>3928</v>
      </c>
      <c r="E2360" t="s">
        <v>3619</v>
      </c>
      <c r="F2360" t="s">
        <v>20</v>
      </c>
      <c r="G2360" t="s">
        <v>21</v>
      </c>
      <c r="H2360" t="s">
        <v>874</v>
      </c>
      <c r="I2360" t="s">
        <v>23</v>
      </c>
      <c r="J2360" t="s">
        <v>95</v>
      </c>
      <c r="K2360" s="2" t="s">
        <v>1744</v>
      </c>
      <c r="L2360" t="s">
        <v>26</v>
      </c>
      <c r="M2360">
        <v>363165</v>
      </c>
      <c r="N2360">
        <v>2</v>
      </c>
      <c r="O2360" s="3">
        <v>79980</v>
      </c>
      <c r="P2360" s="3">
        <v>21627</v>
      </c>
      <c r="Q2360" s="5">
        <f t="shared" si="108"/>
        <v>67210.084033613442</v>
      </c>
      <c r="R2360" s="5">
        <f t="shared" si="109"/>
        <v>43254</v>
      </c>
      <c r="S2360" s="5">
        <f t="shared" si="110"/>
        <v>23956.084033613442</v>
      </c>
    </row>
    <row r="2361" spans="1:19" hidden="1" x14ac:dyDescent="0.3">
      <c r="A2361">
        <v>140</v>
      </c>
      <c r="B2361" t="s">
        <v>3524</v>
      </c>
      <c r="C2361" t="s">
        <v>3220</v>
      </c>
      <c r="D2361" s="2" t="s">
        <v>3221</v>
      </c>
      <c r="E2361" t="s">
        <v>2661</v>
      </c>
      <c r="F2361" t="s">
        <v>20</v>
      </c>
      <c r="G2361" t="s">
        <v>21</v>
      </c>
      <c r="H2361" t="s">
        <v>317</v>
      </c>
      <c r="I2361" t="s">
        <v>23</v>
      </c>
      <c r="J2361" t="s">
        <v>35</v>
      </c>
      <c r="K2361" s="2" t="s">
        <v>1744</v>
      </c>
      <c r="L2361" t="s">
        <v>26</v>
      </c>
      <c r="M2361">
        <v>363166</v>
      </c>
      <c r="N2361">
        <v>1</v>
      </c>
      <c r="O2361" s="3">
        <v>69950</v>
      </c>
      <c r="P2361" s="3">
        <v>26119</v>
      </c>
      <c r="Q2361" s="5">
        <f t="shared" si="108"/>
        <v>58781.512605042022</v>
      </c>
      <c r="R2361" s="5">
        <f t="shared" si="109"/>
        <v>26119</v>
      </c>
      <c r="S2361" s="5">
        <f t="shared" si="110"/>
        <v>32662.512605042022</v>
      </c>
    </row>
    <row r="2362" spans="1:19" hidden="1" x14ac:dyDescent="0.3">
      <c r="A2362">
        <v>140</v>
      </c>
      <c r="B2362" t="s">
        <v>3524</v>
      </c>
      <c r="C2362" t="s">
        <v>3558</v>
      </c>
      <c r="D2362" s="2" t="s">
        <v>3559</v>
      </c>
      <c r="E2362" t="s">
        <v>1736</v>
      </c>
      <c r="F2362" t="s">
        <v>20</v>
      </c>
      <c r="G2362" t="s">
        <v>21</v>
      </c>
      <c r="H2362" t="s">
        <v>783</v>
      </c>
      <c r="I2362" t="s">
        <v>23</v>
      </c>
      <c r="J2362" t="s">
        <v>40</v>
      </c>
      <c r="K2362" s="2" t="s">
        <v>1744</v>
      </c>
      <c r="L2362" t="s">
        <v>26</v>
      </c>
      <c r="M2362">
        <v>363167</v>
      </c>
      <c r="N2362">
        <v>1</v>
      </c>
      <c r="O2362" s="3">
        <v>34990</v>
      </c>
      <c r="P2362" s="3">
        <v>17194</v>
      </c>
      <c r="Q2362" s="5">
        <f t="shared" si="108"/>
        <v>29403.361344537818</v>
      </c>
      <c r="R2362" s="5">
        <f t="shared" si="109"/>
        <v>17194</v>
      </c>
      <c r="S2362" s="5">
        <f t="shared" si="110"/>
        <v>12209.361344537818</v>
      </c>
    </row>
    <row r="2363" spans="1:19" hidden="1" x14ac:dyDescent="0.3">
      <c r="A2363">
        <v>140</v>
      </c>
      <c r="B2363" t="s">
        <v>3524</v>
      </c>
      <c r="C2363" t="s">
        <v>4050</v>
      </c>
      <c r="D2363" s="2" t="s">
        <v>4051</v>
      </c>
      <c r="E2363" t="s">
        <v>3175</v>
      </c>
      <c r="F2363" t="s">
        <v>20</v>
      </c>
      <c r="G2363" t="s">
        <v>21</v>
      </c>
      <c r="H2363" t="s">
        <v>625</v>
      </c>
      <c r="I2363" t="s">
        <v>23</v>
      </c>
      <c r="J2363" t="s">
        <v>35</v>
      </c>
      <c r="K2363" s="2" t="s">
        <v>1744</v>
      </c>
      <c r="L2363" t="s">
        <v>26</v>
      </c>
      <c r="M2363">
        <v>363168</v>
      </c>
      <c r="N2363">
        <v>1</v>
      </c>
      <c r="O2363" s="3">
        <v>49990</v>
      </c>
      <c r="P2363" s="3">
        <v>24956</v>
      </c>
      <c r="Q2363" s="5">
        <f t="shared" si="108"/>
        <v>42008.403361344543</v>
      </c>
      <c r="R2363" s="5">
        <f t="shared" si="109"/>
        <v>24956</v>
      </c>
      <c r="S2363" s="5">
        <f t="shared" si="110"/>
        <v>17052.403361344543</v>
      </c>
    </row>
    <row r="2364" spans="1:19" hidden="1" x14ac:dyDescent="0.3">
      <c r="A2364">
        <v>140</v>
      </c>
      <c r="B2364" t="s">
        <v>3524</v>
      </c>
      <c r="C2364" t="s">
        <v>4103</v>
      </c>
      <c r="D2364" s="2" t="s">
        <v>4104</v>
      </c>
      <c r="E2364" t="s">
        <v>3335</v>
      </c>
      <c r="F2364" t="s">
        <v>20</v>
      </c>
      <c r="G2364" t="s">
        <v>338</v>
      </c>
      <c r="H2364">
        <v>25273</v>
      </c>
      <c r="I2364" t="s">
        <v>23</v>
      </c>
      <c r="J2364" t="s">
        <v>35</v>
      </c>
      <c r="K2364" s="2" t="s">
        <v>1744</v>
      </c>
      <c r="L2364" t="s">
        <v>26</v>
      </c>
      <c r="M2364">
        <v>363169</v>
      </c>
      <c r="N2364">
        <v>1</v>
      </c>
      <c r="O2364" s="3">
        <v>99950</v>
      </c>
      <c r="P2364" s="3">
        <v>32658</v>
      </c>
      <c r="Q2364" s="5">
        <f t="shared" si="108"/>
        <v>83991.596638655465</v>
      </c>
      <c r="R2364" s="5">
        <f t="shared" si="109"/>
        <v>32658</v>
      </c>
      <c r="S2364" s="5">
        <f t="shared" si="110"/>
        <v>51333.596638655465</v>
      </c>
    </row>
    <row r="2365" spans="1:19" hidden="1" x14ac:dyDescent="0.3">
      <c r="A2365">
        <v>140</v>
      </c>
      <c r="B2365" t="s">
        <v>3524</v>
      </c>
      <c r="C2365" t="s">
        <v>4105</v>
      </c>
      <c r="D2365" s="2" t="s">
        <v>4106</v>
      </c>
      <c r="E2365" t="s">
        <v>2959</v>
      </c>
      <c r="F2365" t="s">
        <v>20</v>
      </c>
      <c r="G2365" t="s">
        <v>338</v>
      </c>
      <c r="H2365">
        <v>25529</v>
      </c>
      <c r="I2365" t="s">
        <v>23</v>
      </c>
      <c r="J2365" t="s">
        <v>31</v>
      </c>
      <c r="K2365" s="2" t="s">
        <v>1744</v>
      </c>
      <c r="L2365" t="s">
        <v>26</v>
      </c>
      <c r="M2365">
        <v>363169</v>
      </c>
      <c r="N2365">
        <v>1</v>
      </c>
      <c r="O2365" s="3">
        <v>127450</v>
      </c>
      <c r="P2365" s="3">
        <v>50690</v>
      </c>
      <c r="Q2365" s="5">
        <f t="shared" si="108"/>
        <v>107100.84033613445</v>
      </c>
      <c r="R2365" s="5">
        <f t="shared" si="109"/>
        <v>50690</v>
      </c>
      <c r="S2365" s="5">
        <f t="shared" si="110"/>
        <v>56410.840336134454</v>
      </c>
    </row>
    <row r="2366" spans="1:19" hidden="1" x14ac:dyDescent="0.3">
      <c r="A2366">
        <v>140</v>
      </c>
      <c r="B2366" t="s">
        <v>3524</v>
      </c>
      <c r="C2366" t="s">
        <v>4107</v>
      </c>
      <c r="D2366" s="2" t="s">
        <v>4108</v>
      </c>
      <c r="E2366" t="s">
        <v>4109</v>
      </c>
      <c r="F2366" t="s">
        <v>20</v>
      </c>
      <c r="G2366" t="s">
        <v>21</v>
      </c>
      <c r="H2366" t="s">
        <v>818</v>
      </c>
      <c r="I2366" t="s">
        <v>23</v>
      </c>
      <c r="J2366" t="s">
        <v>35</v>
      </c>
      <c r="K2366" s="2" t="s">
        <v>1744</v>
      </c>
      <c r="L2366" t="s">
        <v>26</v>
      </c>
      <c r="M2366">
        <v>363170</v>
      </c>
      <c r="N2366">
        <v>1</v>
      </c>
      <c r="O2366" s="3">
        <v>89950</v>
      </c>
      <c r="P2366" s="3">
        <v>32839</v>
      </c>
      <c r="Q2366" s="5">
        <f t="shared" si="108"/>
        <v>75588.23529411765</v>
      </c>
      <c r="R2366" s="5">
        <f t="shared" si="109"/>
        <v>32839</v>
      </c>
      <c r="S2366" s="5">
        <f t="shared" si="110"/>
        <v>42749.23529411765</v>
      </c>
    </row>
    <row r="2367" spans="1:19" hidden="1" x14ac:dyDescent="0.3">
      <c r="A2367">
        <v>140</v>
      </c>
      <c r="B2367" t="s">
        <v>3524</v>
      </c>
      <c r="C2367" t="s">
        <v>4110</v>
      </c>
      <c r="D2367" s="2" t="s">
        <v>4111</v>
      </c>
      <c r="E2367" t="s">
        <v>3491</v>
      </c>
      <c r="F2367" t="s">
        <v>20</v>
      </c>
      <c r="G2367" t="s">
        <v>338</v>
      </c>
      <c r="H2367">
        <v>85200</v>
      </c>
      <c r="I2367" t="s">
        <v>23</v>
      </c>
      <c r="J2367" t="s">
        <v>35</v>
      </c>
      <c r="K2367" s="2" t="s">
        <v>1744</v>
      </c>
      <c r="L2367" t="s">
        <v>26</v>
      </c>
      <c r="M2367">
        <v>363170</v>
      </c>
      <c r="N2367">
        <v>1</v>
      </c>
      <c r="O2367" s="3">
        <v>76450</v>
      </c>
      <c r="P2367" s="3">
        <v>27253</v>
      </c>
      <c r="Q2367" s="5">
        <f t="shared" si="108"/>
        <v>64243.697478991598</v>
      </c>
      <c r="R2367" s="5">
        <f t="shared" si="109"/>
        <v>27253</v>
      </c>
      <c r="S2367" s="5">
        <f t="shared" si="110"/>
        <v>36990.697478991598</v>
      </c>
    </row>
    <row r="2368" spans="1:19" hidden="1" x14ac:dyDescent="0.3">
      <c r="A2368">
        <v>140</v>
      </c>
      <c r="B2368" t="s">
        <v>3524</v>
      </c>
      <c r="C2368" t="s">
        <v>4112</v>
      </c>
      <c r="D2368" s="2" t="s">
        <v>4113</v>
      </c>
      <c r="E2368" t="s">
        <v>2542</v>
      </c>
      <c r="F2368" t="s">
        <v>20</v>
      </c>
      <c r="G2368" t="s">
        <v>21</v>
      </c>
      <c r="H2368" t="s">
        <v>2469</v>
      </c>
      <c r="I2368" t="s">
        <v>23</v>
      </c>
      <c r="J2368" t="s">
        <v>49</v>
      </c>
      <c r="K2368" s="2" t="s">
        <v>1744</v>
      </c>
      <c r="L2368" t="s">
        <v>26</v>
      </c>
      <c r="M2368">
        <v>363171</v>
      </c>
      <c r="N2368">
        <v>1</v>
      </c>
      <c r="O2368" s="3">
        <v>64950</v>
      </c>
      <c r="P2368" s="3">
        <v>21341</v>
      </c>
      <c r="Q2368" s="5">
        <f t="shared" si="108"/>
        <v>54579.831932773115</v>
      </c>
      <c r="R2368" s="5">
        <f t="shared" si="109"/>
        <v>21341</v>
      </c>
      <c r="S2368" s="5">
        <f t="shared" si="110"/>
        <v>33238.831932773115</v>
      </c>
    </row>
    <row r="2369" spans="1:19" hidden="1" x14ac:dyDescent="0.3">
      <c r="A2369">
        <v>140</v>
      </c>
      <c r="B2369" t="s">
        <v>3524</v>
      </c>
      <c r="C2369" t="s">
        <v>4114</v>
      </c>
      <c r="D2369" s="2" t="s">
        <v>4115</v>
      </c>
      <c r="E2369" t="s">
        <v>3914</v>
      </c>
      <c r="F2369" t="s">
        <v>20</v>
      </c>
      <c r="G2369" t="s">
        <v>338</v>
      </c>
      <c r="H2369">
        <v>24316</v>
      </c>
      <c r="I2369" t="s">
        <v>23</v>
      </c>
      <c r="J2369" t="s">
        <v>49</v>
      </c>
      <c r="K2369" s="2" t="s">
        <v>1744</v>
      </c>
      <c r="L2369" t="s">
        <v>26</v>
      </c>
      <c r="M2369">
        <v>363171</v>
      </c>
      <c r="N2369">
        <v>1</v>
      </c>
      <c r="O2369" s="3">
        <v>63700</v>
      </c>
      <c r="P2369" s="3">
        <v>23473</v>
      </c>
      <c r="Q2369" s="5">
        <f t="shared" si="108"/>
        <v>53529.411764705888</v>
      </c>
      <c r="R2369" s="5">
        <f t="shared" si="109"/>
        <v>23473</v>
      </c>
      <c r="S2369" s="5">
        <f t="shared" si="110"/>
        <v>30056.411764705888</v>
      </c>
    </row>
    <row r="2370" spans="1:19" hidden="1" x14ac:dyDescent="0.3">
      <c r="A2370">
        <v>140</v>
      </c>
      <c r="B2370" t="s">
        <v>3524</v>
      </c>
      <c r="C2370" t="s">
        <v>17</v>
      </c>
      <c r="D2370" s="2" t="s">
        <v>18</v>
      </c>
      <c r="E2370" t="s">
        <v>19</v>
      </c>
      <c r="F2370" t="s">
        <v>20</v>
      </c>
      <c r="G2370" t="s">
        <v>21</v>
      </c>
      <c r="H2370" t="s">
        <v>22</v>
      </c>
      <c r="I2370" t="s">
        <v>23</v>
      </c>
      <c r="J2370" t="s">
        <v>24</v>
      </c>
      <c r="K2370" s="2" t="s">
        <v>1744</v>
      </c>
      <c r="L2370" t="s">
        <v>26</v>
      </c>
      <c r="M2370">
        <v>363172</v>
      </c>
      <c r="N2370">
        <v>-1</v>
      </c>
      <c r="O2370" s="3">
        <v>-49990</v>
      </c>
      <c r="P2370" s="3">
        <v>29007</v>
      </c>
      <c r="Q2370" s="5">
        <f t="shared" si="108"/>
        <v>-42008.403361344543</v>
      </c>
      <c r="R2370" s="5">
        <f t="shared" si="109"/>
        <v>-29007</v>
      </c>
      <c r="S2370" s="5">
        <f t="shared" si="110"/>
        <v>-13001.403361344543</v>
      </c>
    </row>
    <row r="2371" spans="1:19" hidden="1" x14ac:dyDescent="0.3">
      <c r="A2371">
        <v>140</v>
      </c>
      <c r="B2371" t="s">
        <v>3524</v>
      </c>
      <c r="C2371" t="s">
        <v>4116</v>
      </c>
      <c r="D2371" s="2" t="s">
        <v>4117</v>
      </c>
      <c r="E2371" t="s">
        <v>19</v>
      </c>
      <c r="F2371" t="s">
        <v>20</v>
      </c>
      <c r="G2371" t="s">
        <v>21</v>
      </c>
      <c r="H2371" t="s">
        <v>22</v>
      </c>
      <c r="I2371" t="s">
        <v>23</v>
      </c>
      <c r="J2371" t="s">
        <v>24</v>
      </c>
      <c r="K2371" s="2" t="s">
        <v>1744</v>
      </c>
      <c r="L2371" t="s">
        <v>26</v>
      </c>
      <c r="M2371">
        <v>363172</v>
      </c>
      <c r="N2371">
        <v>1</v>
      </c>
      <c r="O2371" s="3">
        <v>49991</v>
      </c>
      <c r="P2371" s="3">
        <v>29046</v>
      </c>
      <c r="Q2371" s="5">
        <f t="shared" si="108"/>
        <v>42009.243697478996</v>
      </c>
      <c r="R2371" s="5">
        <f t="shared" si="109"/>
        <v>29046</v>
      </c>
      <c r="S2371" s="5">
        <f t="shared" si="110"/>
        <v>12963.243697478996</v>
      </c>
    </row>
    <row r="2372" spans="1:19" hidden="1" x14ac:dyDescent="0.3">
      <c r="A2372">
        <v>140</v>
      </c>
      <c r="B2372" t="s">
        <v>3524</v>
      </c>
      <c r="C2372" t="s">
        <v>4118</v>
      </c>
      <c r="D2372" s="2" t="s">
        <v>4119</v>
      </c>
      <c r="E2372" t="s">
        <v>3158</v>
      </c>
      <c r="F2372" t="s">
        <v>20</v>
      </c>
      <c r="G2372" t="s">
        <v>21</v>
      </c>
      <c r="H2372" t="s">
        <v>406</v>
      </c>
      <c r="I2372" t="s">
        <v>23</v>
      </c>
      <c r="J2372" t="s">
        <v>407</v>
      </c>
      <c r="K2372" s="2" t="s">
        <v>1744</v>
      </c>
      <c r="L2372" t="s">
        <v>26</v>
      </c>
      <c r="M2372">
        <v>363173</v>
      </c>
      <c r="N2372">
        <v>1</v>
      </c>
      <c r="O2372" s="3">
        <v>44990</v>
      </c>
      <c r="P2372" s="3">
        <v>21620</v>
      </c>
      <c r="Q2372" s="5">
        <f t="shared" si="108"/>
        <v>37806.722689075636</v>
      </c>
      <c r="R2372" s="5">
        <f t="shared" si="109"/>
        <v>21620</v>
      </c>
      <c r="S2372" s="5">
        <f t="shared" si="110"/>
        <v>16186.722689075636</v>
      </c>
    </row>
    <row r="2373" spans="1:19" hidden="1" x14ac:dyDescent="0.3">
      <c r="A2373">
        <v>140</v>
      </c>
      <c r="B2373" t="s">
        <v>3524</v>
      </c>
      <c r="C2373" t="s">
        <v>3367</v>
      </c>
      <c r="D2373" s="2" t="s">
        <v>3368</v>
      </c>
      <c r="E2373" t="s">
        <v>2902</v>
      </c>
      <c r="F2373" t="s">
        <v>20</v>
      </c>
      <c r="G2373" t="s">
        <v>21</v>
      </c>
      <c r="H2373" t="s">
        <v>267</v>
      </c>
      <c r="I2373" t="s">
        <v>23</v>
      </c>
      <c r="J2373" t="s">
        <v>49</v>
      </c>
      <c r="K2373" s="2" t="s">
        <v>1744</v>
      </c>
      <c r="L2373" t="s">
        <v>26</v>
      </c>
      <c r="M2373">
        <v>363174</v>
      </c>
      <c r="N2373">
        <v>1</v>
      </c>
      <c r="O2373" s="3">
        <v>64950</v>
      </c>
      <c r="P2373" s="3">
        <v>24504</v>
      </c>
      <c r="Q2373" s="5">
        <f t="shared" si="108"/>
        <v>54579.831932773115</v>
      </c>
      <c r="R2373" s="5">
        <f t="shared" si="109"/>
        <v>24504</v>
      </c>
      <c r="S2373" s="5">
        <f t="shared" si="110"/>
        <v>30075.831932773115</v>
      </c>
    </row>
    <row r="2374" spans="1:19" hidden="1" x14ac:dyDescent="0.3">
      <c r="A2374">
        <v>140</v>
      </c>
      <c r="B2374" t="s">
        <v>3524</v>
      </c>
      <c r="C2374" t="s">
        <v>3341</v>
      </c>
      <c r="D2374" s="2" t="s">
        <v>3342</v>
      </c>
      <c r="E2374" t="s">
        <v>2661</v>
      </c>
      <c r="F2374" t="s">
        <v>20</v>
      </c>
      <c r="G2374" t="s">
        <v>21</v>
      </c>
      <c r="H2374" t="s">
        <v>317</v>
      </c>
      <c r="I2374" t="s">
        <v>23</v>
      </c>
      <c r="J2374" t="s">
        <v>35</v>
      </c>
      <c r="K2374" s="2" t="s">
        <v>1744</v>
      </c>
      <c r="L2374" t="s">
        <v>26</v>
      </c>
      <c r="M2374">
        <v>363174</v>
      </c>
      <c r="N2374">
        <v>1</v>
      </c>
      <c r="O2374" s="3">
        <v>59450</v>
      </c>
      <c r="P2374" s="3">
        <v>25924</v>
      </c>
      <c r="Q2374" s="5">
        <f t="shared" ref="Q2374:Q2437" si="111">O2374/1.19</f>
        <v>49957.983193277316</v>
      </c>
      <c r="R2374" s="5">
        <f t="shared" ref="R2374:R2437" si="112">N2374*P2374</f>
        <v>25924</v>
      </c>
      <c r="S2374" s="5">
        <f t="shared" ref="S2374:S2437" si="113">Q2374-R2374</f>
        <v>24033.983193277316</v>
      </c>
    </row>
    <row r="2375" spans="1:19" hidden="1" x14ac:dyDescent="0.3">
      <c r="A2375">
        <v>140</v>
      </c>
      <c r="B2375" t="s">
        <v>3524</v>
      </c>
      <c r="C2375" t="s">
        <v>4120</v>
      </c>
      <c r="D2375" s="2" t="s">
        <v>4121</v>
      </c>
      <c r="E2375" t="s">
        <v>1439</v>
      </c>
      <c r="F2375" t="s">
        <v>20</v>
      </c>
      <c r="G2375" t="s">
        <v>21</v>
      </c>
      <c r="H2375" t="s">
        <v>1440</v>
      </c>
      <c r="I2375" t="s">
        <v>23</v>
      </c>
      <c r="J2375" t="s">
        <v>40</v>
      </c>
      <c r="K2375" s="2" t="s">
        <v>1744</v>
      </c>
      <c r="L2375" t="s">
        <v>26</v>
      </c>
      <c r="M2375">
        <v>363175</v>
      </c>
      <c r="N2375">
        <v>1</v>
      </c>
      <c r="O2375" s="3">
        <v>64950</v>
      </c>
      <c r="P2375" s="3">
        <v>17328</v>
      </c>
      <c r="Q2375" s="5">
        <f t="shared" si="111"/>
        <v>54579.831932773115</v>
      </c>
      <c r="R2375" s="5">
        <f t="shared" si="112"/>
        <v>17328</v>
      </c>
      <c r="S2375" s="5">
        <f t="shared" si="113"/>
        <v>37251.831932773115</v>
      </c>
    </row>
    <row r="2376" spans="1:19" hidden="1" x14ac:dyDescent="0.3">
      <c r="A2376">
        <v>140</v>
      </c>
      <c r="B2376" t="s">
        <v>3524</v>
      </c>
      <c r="C2376" t="s">
        <v>4122</v>
      </c>
      <c r="D2376" s="2" t="s">
        <v>4123</v>
      </c>
      <c r="E2376" t="s">
        <v>4124</v>
      </c>
      <c r="F2376" t="s">
        <v>20</v>
      </c>
      <c r="G2376" t="s">
        <v>338</v>
      </c>
      <c r="H2376">
        <v>25026</v>
      </c>
      <c r="I2376" t="s">
        <v>23</v>
      </c>
      <c r="J2376" t="s">
        <v>35</v>
      </c>
      <c r="K2376" s="2" t="s">
        <v>1744</v>
      </c>
      <c r="L2376" t="s">
        <v>26</v>
      </c>
      <c r="M2376">
        <v>363175</v>
      </c>
      <c r="N2376">
        <v>1</v>
      </c>
      <c r="O2376" s="3">
        <v>76450</v>
      </c>
      <c r="P2376" s="3">
        <v>28025</v>
      </c>
      <c r="Q2376" s="5">
        <f t="shared" si="111"/>
        <v>64243.697478991598</v>
      </c>
      <c r="R2376" s="5">
        <f t="shared" si="112"/>
        <v>28025</v>
      </c>
      <c r="S2376" s="5">
        <f t="shared" si="113"/>
        <v>36218.697478991598</v>
      </c>
    </row>
    <row r="2377" spans="1:19" hidden="1" x14ac:dyDescent="0.3">
      <c r="A2377">
        <v>140</v>
      </c>
      <c r="B2377" t="s">
        <v>3524</v>
      </c>
      <c r="C2377" t="s">
        <v>4125</v>
      </c>
      <c r="D2377" s="2" t="s">
        <v>4126</v>
      </c>
      <c r="E2377" t="s">
        <v>4127</v>
      </c>
      <c r="F2377" t="s">
        <v>20</v>
      </c>
      <c r="G2377" t="s">
        <v>338</v>
      </c>
      <c r="H2377">
        <v>25483</v>
      </c>
      <c r="I2377" t="s">
        <v>23</v>
      </c>
      <c r="J2377" t="s">
        <v>35</v>
      </c>
      <c r="K2377" s="2" t="s">
        <v>1744</v>
      </c>
      <c r="L2377" t="s">
        <v>26</v>
      </c>
      <c r="M2377">
        <v>363176</v>
      </c>
      <c r="N2377">
        <v>1</v>
      </c>
      <c r="O2377" s="3">
        <v>74950</v>
      </c>
      <c r="P2377" s="3">
        <v>23119</v>
      </c>
      <c r="Q2377" s="5">
        <f t="shared" si="111"/>
        <v>62983.193277310929</v>
      </c>
      <c r="R2377" s="5">
        <f t="shared" si="112"/>
        <v>23119</v>
      </c>
      <c r="S2377" s="5">
        <f t="shared" si="113"/>
        <v>39864.193277310929</v>
      </c>
    </row>
    <row r="2378" spans="1:19" hidden="1" x14ac:dyDescent="0.3">
      <c r="A2378">
        <v>140</v>
      </c>
      <c r="B2378" t="s">
        <v>3524</v>
      </c>
      <c r="C2378" t="s">
        <v>1761</v>
      </c>
      <c r="D2378" s="2" t="s">
        <v>1762</v>
      </c>
      <c r="E2378" t="s">
        <v>1763</v>
      </c>
      <c r="F2378" t="s">
        <v>377</v>
      </c>
      <c r="G2378" t="s">
        <v>21</v>
      </c>
      <c r="H2378" t="s">
        <v>378</v>
      </c>
      <c r="I2378" t="s">
        <v>23</v>
      </c>
      <c r="J2378" t="s">
        <v>379</v>
      </c>
      <c r="K2378" s="2" t="s">
        <v>1744</v>
      </c>
      <c r="L2378" t="s">
        <v>26</v>
      </c>
      <c r="M2378">
        <v>363177</v>
      </c>
      <c r="N2378">
        <v>1</v>
      </c>
      <c r="O2378" s="3">
        <v>5950</v>
      </c>
      <c r="P2378" s="3">
        <v>3279</v>
      </c>
      <c r="Q2378" s="5">
        <f t="shared" si="111"/>
        <v>5000</v>
      </c>
      <c r="R2378" s="5">
        <f t="shared" si="112"/>
        <v>3279</v>
      </c>
      <c r="S2378" s="5">
        <f t="shared" si="113"/>
        <v>1721</v>
      </c>
    </row>
    <row r="2379" spans="1:19" hidden="1" x14ac:dyDescent="0.3">
      <c r="A2379">
        <v>140</v>
      </c>
      <c r="B2379" t="s">
        <v>3524</v>
      </c>
      <c r="C2379" t="s">
        <v>2193</v>
      </c>
      <c r="D2379" s="2" t="s">
        <v>2194</v>
      </c>
      <c r="E2379" t="s">
        <v>2195</v>
      </c>
      <c r="F2379" t="s">
        <v>20</v>
      </c>
      <c r="G2379" t="s">
        <v>338</v>
      </c>
      <c r="H2379">
        <v>24722</v>
      </c>
      <c r="I2379" t="s">
        <v>23</v>
      </c>
      <c r="J2379" t="s">
        <v>95</v>
      </c>
      <c r="K2379" s="2" t="s">
        <v>1797</v>
      </c>
      <c r="L2379" t="s">
        <v>26</v>
      </c>
      <c r="M2379">
        <v>363178</v>
      </c>
      <c r="N2379">
        <v>1</v>
      </c>
      <c r="O2379" s="3">
        <v>89950</v>
      </c>
      <c r="P2379" s="3">
        <v>30987</v>
      </c>
      <c r="Q2379" s="5">
        <f t="shared" si="111"/>
        <v>75588.23529411765</v>
      </c>
      <c r="R2379" s="5">
        <f t="shared" si="112"/>
        <v>30987</v>
      </c>
      <c r="S2379" s="5">
        <f t="shared" si="113"/>
        <v>44601.23529411765</v>
      </c>
    </row>
    <row r="2380" spans="1:19" hidden="1" x14ac:dyDescent="0.3">
      <c r="A2380">
        <v>140</v>
      </c>
      <c r="B2380" t="s">
        <v>3524</v>
      </c>
      <c r="C2380" t="s">
        <v>4128</v>
      </c>
      <c r="D2380" s="2" t="s">
        <v>4129</v>
      </c>
      <c r="E2380" t="s">
        <v>3229</v>
      </c>
      <c r="F2380" t="s">
        <v>20</v>
      </c>
      <c r="G2380" t="s">
        <v>338</v>
      </c>
      <c r="H2380">
        <v>22419</v>
      </c>
      <c r="I2380" t="s">
        <v>23</v>
      </c>
      <c r="J2380" t="s">
        <v>49</v>
      </c>
      <c r="K2380" s="2" t="s">
        <v>1797</v>
      </c>
      <c r="L2380" t="s">
        <v>26</v>
      </c>
      <c r="M2380">
        <v>363179</v>
      </c>
      <c r="N2380">
        <v>1</v>
      </c>
      <c r="O2380" s="3">
        <v>55200</v>
      </c>
      <c r="P2380" s="3">
        <v>16987</v>
      </c>
      <c r="Q2380" s="5">
        <f t="shared" si="111"/>
        <v>46386.554621848743</v>
      </c>
      <c r="R2380" s="5">
        <f t="shared" si="112"/>
        <v>16987</v>
      </c>
      <c r="S2380" s="5">
        <f t="shared" si="113"/>
        <v>29399.554621848743</v>
      </c>
    </row>
    <row r="2381" spans="1:19" hidden="1" x14ac:dyDescent="0.3">
      <c r="A2381">
        <v>140</v>
      </c>
      <c r="B2381" t="s">
        <v>3524</v>
      </c>
      <c r="C2381" t="s">
        <v>3077</v>
      </c>
      <c r="D2381" s="2" t="s">
        <v>3078</v>
      </c>
      <c r="E2381" t="s">
        <v>1123</v>
      </c>
      <c r="F2381" t="s">
        <v>20</v>
      </c>
      <c r="G2381" t="s">
        <v>21</v>
      </c>
      <c r="H2381" t="s">
        <v>1124</v>
      </c>
      <c r="I2381" t="s">
        <v>23</v>
      </c>
      <c r="J2381" t="s">
        <v>24</v>
      </c>
      <c r="K2381" s="2" t="s">
        <v>1797</v>
      </c>
      <c r="L2381" t="s">
        <v>26</v>
      </c>
      <c r="M2381">
        <v>363180</v>
      </c>
      <c r="N2381">
        <v>1</v>
      </c>
      <c r="O2381" s="3">
        <v>63700</v>
      </c>
      <c r="P2381" s="3">
        <v>25857</v>
      </c>
      <c r="Q2381" s="5">
        <f t="shared" si="111"/>
        <v>53529.411764705888</v>
      </c>
      <c r="R2381" s="5">
        <f t="shared" si="112"/>
        <v>25857</v>
      </c>
      <c r="S2381" s="5">
        <f t="shared" si="113"/>
        <v>27672.411764705888</v>
      </c>
    </row>
    <row r="2382" spans="1:19" hidden="1" x14ac:dyDescent="0.3">
      <c r="A2382">
        <v>140</v>
      </c>
      <c r="B2382" t="s">
        <v>3524</v>
      </c>
      <c r="C2382" t="s">
        <v>2662</v>
      </c>
      <c r="D2382" s="2" t="s">
        <v>2663</v>
      </c>
      <c r="E2382" t="s">
        <v>2148</v>
      </c>
      <c r="F2382" t="s">
        <v>20</v>
      </c>
      <c r="G2382" t="s">
        <v>21</v>
      </c>
      <c r="H2382" t="s">
        <v>614</v>
      </c>
      <c r="I2382" t="s">
        <v>23</v>
      </c>
      <c r="J2382" t="s">
        <v>35</v>
      </c>
      <c r="K2382" s="2" t="s">
        <v>1797</v>
      </c>
      <c r="L2382" t="s">
        <v>26</v>
      </c>
      <c r="M2382">
        <v>363180</v>
      </c>
      <c r="N2382">
        <v>1</v>
      </c>
      <c r="O2382" s="3">
        <v>44990</v>
      </c>
      <c r="P2382" s="3">
        <v>18266</v>
      </c>
      <c r="Q2382" s="5">
        <f t="shared" si="111"/>
        <v>37806.722689075636</v>
      </c>
      <c r="R2382" s="5">
        <f t="shared" si="112"/>
        <v>18266</v>
      </c>
      <c r="S2382" s="5">
        <f t="shared" si="113"/>
        <v>19540.722689075636</v>
      </c>
    </row>
    <row r="2383" spans="1:19" hidden="1" x14ac:dyDescent="0.3">
      <c r="A2383">
        <v>140</v>
      </c>
      <c r="B2383" t="s">
        <v>3524</v>
      </c>
      <c r="C2383" t="s">
        <v>4130</v>
      </c>
      <c r="D2383" s="2" t="s">
        <v>4131</v>
      </c>
      <c r="E2383" t="s">
        <v>4132</v>
      </c>
      <c r="F2383" t="s">
        <v>20</v>
      </c>
      <c r="G2383" t="s">
        <v>21</v>
      </c>
      <c r="H2383" t="s">
        <v>1914</v>
      </c>
      <c r="I2383" t="s">
        <v>23</v>
      </c>
      <c r="J2383" t="s">
        <v>49</v>
      </c>
      <c r="K2383" s="2" t="s">
        <v>1797</v>
      </c>
      <c r="L2383" t="s">
        <v>26</v>
      </c>
      <c r="M2383">
        <v>363181</v>
      </c>
      <c r="N2383">
        <v>1</v>
      </c>
      <c r="O2383" s="3">
        <v>74950</v>
      </c>
      <c r="P2383" s="3">
        <v>24732</v>
      </c>
      <c r="Q2383" s="5">
        <f t="shared" si="111"/>
        <v>62983.193277310929</v>
      </c>
      <c r="R2383" s="5">
        <f t="shared" si="112"/>
        <v>24732</v>
      </c>
      <c r="S2383" s="5">
        <f t="shared" si="113"/>
        <v>38251.193277310929</v>
      </c>
    </row>
    <row r="2384" spans="1:19" hidden="1" x14ac:dyDescent="0.3">
      <c r="A2384">
        <v>140</v>
      </c>
      <c r="B2384" t="s">
        <v>3524</v>
      </c>
      <c r="C2384" t="s">
        <v>1761</v>
      </c>
      <c r="D2384" s="2" t="s">
        <v>1762</v>
      </c>
      <c r="E2384" t="s">
        <v>1763</v>
      </c>
      <c r="F2384" t="s">
        <v>377</v>
      </c>
      <c r="G2384" t="s">
        <v>21</v>
      </c>
      <c r="H2384" t="s">
        <v>378</v>
      </c>
      <c r="I2384" t="s">
        <v>23</v>
      </c>
      <c r="J2384" t="s">
        <v>379</v>
      </c>
      <c r="K2384" s="2" t="s">
        <v>1797</v>
      </c>
      <c r="L2384" t="s">
        <v>26</v>
      </c>
      <c r="M2384">
        <v>363182</v>
      </c>
      <c r="N2384">
        <v>1</v>
      </c>
      <c r="O2384" s="3">
        <v>5950</v>
      </c>
      <c r="P2384" s="3">
        <v>3279</v>
      </c>
      <c r="Q2384" s="5">
        <f t="shared" si="111"/>
        <v>5000</v>
      </c>
      <c r="R2384" s="5">
        <f t="shared" si="112"/>
        <v>3279</v>
      </c>
      <c r="S2384" s="5">
        <f t="shared" si="113"/>
        <v>1721</v>
      </c>
    </row>
    <row r="2385" spans="1:19" hidden="1" x14ac:dyDescent="0.3">
      <c r="A2385">
        <v>140</v>
      </c>
      <c r="B2385" t="s">
        <v>3524</v>
      </c>
      <c r="C2385" t="s">
        <v>2948</v>
      </c>
      <c r="D2385" s="2" t="s">
        <v>2949</v>
      </c>
      <c r="E2385" t="s">
        <v>2226</v>
      </c>
      <c r="F2385" t="s">
        <v>20</v>
      </c>
      <c r="G2385" t="s">
        <v>21</v>
      </c>
      <c r="H2385" t="s">
        <v>53</v>
      </c>
      <c r="I2385" t="s">
        <v>23</v>
      </c>
      <c r="J2385" t="s">
        <v>49</v>
      </c>
      <c r="K2385" s="2" t="s">
        <v>1797</v>
      </c>
      <c r="L2385" t="s">
        <v>26</v>
      </c>
      <c r="M2385">
        <v>363183</v>
      </c>
      <c r="N2385">
        <v>1</v>
      </c>
      <c r="O2385" s="3">
        <v>69950</v>
      </c>
      <c r="P2385" s="3">
        <v>21044</v>
      </c>
      <c r="Q2385" s="5">
        <f t="shared" si="111"/>
        <v>58781.512605042022</v>
      </c>
      <c r="R2385" s="5">
        <f t="shared" si="112"/>
        <v>21044</v>
      </c>
      <c r="S2385" s="5">
        <f t="shared" si="113"/>
        <v>37737.512605042022</v>
      </c>
    </row>
    <row r="2386" spans="1:19" hidden="1" x14ac:dyDescent="0.3">
      <c r="A2386">
        <v>140</v>
      </c>
      <c r="B2386" t="s">
        <v>3524</v>
      </c>
      <c r="C2386" t="s">
        <v>1277</v>
      </c>
      <c r="D2386" s="2" t="s">
        <v>1278</v>
      </c>
      <c r="E2386" t="s">
        <v>793</v>
      </c>
      <c r="F2386" t="s">
        <v>20</v>
      </c>
      <c r="G2386" t="s">
        <v>21</v>
      </c>
      <c r="H2386" t="s">
        <v>794</v>
      </c>
      <c r="I2386" t="s">
        <v>23</v>
      </c>
      <c r="J2386" t="s">
        <v>40</v>
      </c>
      <c r="K2386" s="2" t="s">
        <v>1797</v>
      </c>
      <c r="L2386" t="s">
        <v>26</v>
      </c>
      <c r="M2386">
        <v>363184</v>
      </c>
      <c r="N2386">
        <v>1</v>
      </c>
      <c r="O2386" s="3">
        <v>49990</v>
      </c>
      <c r="P2386" s="3">
        <v>21475</v>
      </c>
      <c r="Q2386" s="5">
        <f t="shared" si="111"/>
        <v>42008.403361344543</v>
      </c>
      <c r="R2386" s="5">
        <f t="shared" si="112"/>
        <v>21475</v>
      </c>
      <c r="S2386" s="5">
        <f t="shared" si="113"/>
        <v>20533.403361344543</v>
      </c>
    </row>
    <row r="2387" spans="1:19" hidden="1" x14ac:dyDescent="0.3">
      <c r="A2387">
        <v>140</v>
      </c>
      <c r="B2387" t="s">
        <v>3524</v>
      </c>
      <c r="C2387" t="s">
        <v>4133</v>
      </c>
      <c r="D2387" s="2" t="s">
        <v>4134</v>
      </c>
      <c r="E2387" t="s">
        <v>2800</v>
      </c>
      <c r="F2387" t="s">
        <v>20</v>
      </c>
      <c r="G2387" t="s">
        <v>21</v>
      </c>
      <c r="H2387" t="s">
        <v>600</v>
      </c>
      <c r="I2387" t="s">
        <v>23</v>
      </c>
      <c r="J2387" t="s">
        <v>40</v>
      </c>
      <c r="K2387" s="2" t="s">
        <v>1797</v>
      </c>
      <c r="L2387" t="s">
        <v>26</v>
      </c>
      <c r="M2387">
        <v>363184</v>
      </c>
      <c r="N2387">
        <v>1</v>
      </c>
      <c r="O2387" s="3">
        <v>49990</v>
      </c>
      <c r="P2387" s="3">
        <v>21327</v>
      </c>
      <c r="Q2387" s="5">
        <f t="shared" si="111"/>
        <v>42008.403361344543</v>
      </c>
      <c r="R2387" s="5">
        <f t="shared" si="112"/>
        <v>21327</v>
      </c>
      <c r="S2387" s="5">
        <f t="shared" si="113"/>
        <v>20681.403361344543</v>
      </c>
    </row>
    <row r="2388" spans="1:19" hidden="1" x14ac:dyDescent="0.3">
      <c r="A2388">
        <v>140</v>
      </c>
      <c r="B2388" t="s">
        <v>3524</v>
      </c>
      <c r="C2388" t="s">
        <v>4135</v>
      </c>
      <c r="D2388" s="2" t="s">
        <v>4136</v>
      </c>
      <c r="E2388" t="s">
        <v>3036</v>
      </c>
      <c r="F2388" t="s">
        <v>20</v>
      </c>
      <c r="G2388" t="s">
        <v>338</v>
      </c>
      <c r="H2388">
        <v>25273</v>
      </c>
      <c r="I2388" t="s">
        <v>23</v>
      </c>
      <c r="J2388" t="s">
        <v>35</v>
      </c>
      <c r="K2388" s="2" t="s">
        <v>1797</v>
      </c>
      <c r="L2388" t="s">
        <v>26</v>
      </c>
      <c r="M2388">
        <v>363185</v>
      </c>
      <c r="N2388">
        <v>1</v>
      </c>
      <c r="O2388" s="3">
        <v>99950</v>
      </c>
      <c r="P2388" s="3">
        <v>32658</v>
      </c>
      <c r="Q2388" s="5">
        <f t="shared" si="111"/>
        <v>83991.596638655465</v>
      </c>
      <c r="R2388" s="5">
        <f t="shared" si="112"/>
        <v>32658</v>
      </c>
      <c r="S2388" s="5">
        <f t="shared" si="113"/>
        <v>51333.596638655465</v>
      </c>
    </row>
    <row r="2389" spans="1:19" hidden="1" x14ac:dyDescent="0.3">
      <c r="A2389">
        <v>140</v>
      </c>
      <c r="B2389" t="s">
        <v>3524</v>
      </c>
      <c r="C2389" t="s">
        <v>2644</v>
      </c>
      <c r="D2389" s="2" t="s">
        <v>2645</v>
      </c>
      <c r="E2389" t="s">
        <v>428</v>
      </c>
      <c r="F2389" t="s">
        <v>20</v>
      </c>
      <c r="G2389" t="s">
        <v>21</v>
      </c>
      <c r="H2389" t="s">
        <v>429</v>
      </c>
      <c r="I2389" t="s">
        <v>23</v>
      </c>
      <c r="J2389" t="s">
        <v>49</v>
      </c>
      <c r="K2389" s="2" t="s">
        <v>1797</v>
      </c>
      <c r="L2389" t="s">
        <v>26</v>
      </c>
      <c r="M2389">
        <v>363186</v>
      </c>
      <c r="N2389">
        <v>1</v>
      </c>
      <c r="O2389" s="3">
        <v>59990</v>
      </c>
      <c r="P2389" s="3">
        <v>28864</v>
      </c>
      <c r="Q2389" s="5">
        <f t="shared" si="111"/>
        <v>50411.764705882357</v>
      </c>
      <c r="R2389" s="5">
        <f t="shared" si="112"/>
        <v>28864</v>
      </c>
      <c r="S2389" s="5">
        <f t="shared" si="113"/>
        <v>21547.764705882357</v>
      </c>
    </row>
    <row r="2390" spans="1:19" hidden="1" x14ac:dyDescent="0.3">
      <c r="A2390">
        <v>140</v>
      </c>
      <c r="B2390" t="s">
        <v>3524</v>
      </c>
      <c r="C2390" t="s">
        <v>3151</v>
      </c>
      <c r="D2390" s="2" t="s">
        <v>3152</v>
      </c>
      <c r="E2390" t="s">
        <v>2666</v>
      </c>
      <c r="F2390" t="s">
        <v>20</v>
      </c>
      <c r="G2390" t="s">
        <v>21</v>
      </c>
      <c r="H2390" t="s">
        <v>65</v>
      </c>
      <c r="I2390" t="s">
        <v>23</v>
      </c>
      <c r="J2390" t="s">
        <v>49</v>
      </c>
      <c r="K2390" s="2" t="s">
        <v>1853</v>
      </c>
      <c r="L2390" t="s">
        <v>26</v>
      </c>
      <c r="M2390">
        <v>363187</v>
      </c>
      <c r="N2390">
        <v>1</v>
      </c>
      <c r="O2390" s="3">
        <v>64950</v>
      </c>
      <c r="P2390" s="3">
        <v>22816</v>
      </c>
      <c r="Q2390" s="5">
        <f t="shared" si="111"/>
        <v>54579.831932773115</v>
      </c>
      <c r="R2390" s="5">
        <f t="shared" si="112"/>
        <v>22816</v>
      </c>
      <c r="S2390" s="5">
        <f t="shared" si="113"/>
        <v>31763.831932773115</v>
      </c>
    </row>
    <row r="2391" spans="1:19" hidden="1" x14ac:dyDescent="0.3">
      <c r="A2391">
        <v>140</v>
      </c>
      <c r="B2391" t="s">
        <v>3524</v>
      </c>
      <c r="C2391" t="s">
        <v>2387</v>
      </c>
      <c r="D2391" s="2" t="s">
        <v>2388</v>
      </c>
      <c r="E2391" t="s">
        <v>2389</v>
      </c>
      <c r="F2391" t="s">
        <v>20</v>
      </c>
      <c r="G2391" t="s">
        <v>21</v>
      </c>
      <c r="H2391" t="s">
        <v>65</v>
      </c>
      <c r="I2391" t="s">
        <v>23</v>
      </c>
      <c r="J2391" t="s">
        <v>49</v>
      </c>
      <c r="K2391" s="2" t="s">
        <v>1853</v>
      </c>
      <c r="L2391" t="s">
        <v>26</v>
      </c>
      <c r="M2391">
        <v>363187</v>
      </c>
      <c r="N2391">
        <v>-1</v>
      </c>
      <c r="O2391" s="3">
        <v>-49990</v>
      </c>
      <c r="P2391" s="3">
        <v>23712</v>
      </c>
      <c r="Q2391" s="5">
        <f t="shared" si="111"/>
        <v>-42008.403361344543</v>
      </c>
      <c r="R2391" s="5">
        <f t="shared" si="112"/>
        <v>-23712</v>
      </c>
      <c r="S2391" s="5">
        <f t="shared" si="113"/>
        <v>-18296.403361344543</v>
      </c>
    </row>
    <row r="2392" spans="1:19" hidden="1" x14ac:dyDescent="0.3">
      <c r="A2392">
        <v>140</v>
      </c>
      <c r="B2392" t="s">
        <v>3524</v>
      </c>
      <c r="C2392" t="s">
        <v>4137</v>
      </c>
      <c r="D2392" s="2" t="s">
        <v>4138</v>
      </c>
      <c r="E2392" t="s">
        <v>3651</v>
      </c>
      <c r="F2392" t="s">
        <v>20</v>
      </c>
      <c r="G2392" t="s">
        <v>21</v>
      </c>
      <c r="H2392" t="s">
        <v>970</v>
      </c>
      <c r="I2392" t="s">
        <v>23</v>
      </c>
      <c r="J2392" t="s">
        <v>40</v>
      </c>
      <c r="K2392" s="2" t="s">
        <v>1853</v>
      </c>
      <c r="L2392" t="s">
        <v>26</v>
      </c>
      <c r="M2392">
        <v>363188</v>
      </c>
      <c r="N2392">
        <v>1</v>
      </c>
      <c r="O2392" s="3">
        <v>59950</v>
      </c>
      <c r="P2392" s="3">
        <v>18738</v>
      </c>
      <c r="Q2392" s="5">
        <f t="shared" si="111"/>
        <v>50378.151260504201</v>
      </c>
      <c r="R2392" s="5">
        <f t="shared" si="112"/>
        <v>18738</v>
      </c>
      <c r="S2392" s="5">
        <f t="shared" si="113"/>
        <v>31640.151260504201</v>
      </c>
    </row>
    <row r="2393" spans="1:19" hidden="1" x14ac:dyDescent="0.3">
      <c r="A2393">
        <v>140</v>
      </c>
      <c r="B2393" t="s">
        <v>3524</v>
      </c>
      <c r="C2393" t="s">
        <v>3580</v>
      </c>
      <c r="D2393" s="2" t="s">
        <v>3581</v>
      </c>
      <c r="E2393" t="s">
        <v>2834</v>
      </c>
      <c r="F2393" t="s">
        <v>20</v>
      </c>
      <c r="G2393" t="s">
        <v>21</v>
      </c>
      <c r="H2393" t="s">
        <v>870</v>
      </c>
      <c r="I2393" t="s">
        <v>23</v>
      </c>
      <c r="J2393" t="s">
        <v>49</v>
      </c>
      <c r="K2393" s="2" t="s">
        <v>1853</v>
      </c>
      <c r="L2393" t="s">
        <v>26</v>
      </c>
      <c r="M2393">
        <v>363188</v>
      </c>
      <c r="N2393">
        <v>1</v>
      </c>
      <c r="O2393" s="3">
        <v>55200</v>
      </c>
      <c r="P2393" s="3">
        <v>23542</v>
      </c>
      <c r="Q2393" s="5">
        <f t="shared" si="111"/>
        <v>46386.554621848743</v>
      </c>
      <c r="R2393" s="5">
        <f t="shared" si="112"/>
        <v>23542</v>
      </c>
      <c r="S2393" s="5">
        <f t="shared" si="113"/>
        <v>22844.554621848743</v>
      </c>
    </row>
    <row r="2394" spans="1:19" hidden="1" x14ac:dyDescent="0.3">
      <c r="A2394">
        <v>140</v>
      </c>
      <c r="B2394" t="s">
        <v>3524</v>
      </c>
      <c r="C2394" t="s">
        <v>3369</v>
      </c>
      <c r="D2394" s="2" t="s">
        <v>3370</v>
      </c>
      <c r="E2394" t="s">
        <v>2771</v>
      </c>
      <c r="F2394" t="s">
        <v>20</v>
      </c>
      <c r="G2394" t="s">
        <v>21</v>
      </c>
      <c r="H2394" t="s">
        <v>57</v>
      </c>
      <c r="I2394" t="s">
        <v>23</v>
      </c>
      <c r="J2394" t="s">
        <v>35</v>
      </c>
      <c r="K2394" s="2" t="s">
        <v>1853</v>
      </c>
      <c r="L2394" t="s">
        <v>26</v>
      </c>
      <c r="M2394">
        <v>363189</v>
      </c>
      <c r="N2394">
        <v>1</v>
      </c>
      <c r="O2394" s="3">
        <v>79990</v>
      </c>
      <c r="P2394" s="3">
        <v>29189</v>
      </c>
      <c r="Q2394" s="5">
        <f t="shared" si="111"/>
        <v>67218.487394957992</v>
      </c>
      <c r="R2394" s="5">
        <f t="shared" si="112"/>
        <v>29189</v>
      </c>
      <c r="S2394" s="5">
        <f t="shared" si="113"/>
        <v>38029.487394957992</v>
      </c>
    </row>
    <row r="2395" spans="1:19" hidden="1" x14ac:dyDescent="0.3">
      <c r="A2395">
        <v>140</v>
      </c>
      <c r="B2395" t="s">
        <v>3524</v>
      </c>
      <c r="C2395" t="s">
        <v>4139</v>
      </c>
      <c r="D2395" s="2" t="s">
        <v>4140</v>
      </c>
      <c r="E2395" t="s">
        <v>3656</v>
      </c>
      <c r="F2395" t="s">
        <v>20</v>
      </c>
      <c r="G2395" t="s">
        <v>21</v>
      </c>
      <c r="H2395" t="s">
        <v>614</v>
      </c>
      <c r="I2395" t="s">
        <v>23</v>
      </c>
      <c r="J2395" t="s">
        <v>40</v>
      </c>
      <c r="K2395" s="2" t="s">
        <v>1853</v>
      </c>
      <c r="L2395" t="s">
        <v>26</v>
      </c>
      <c r="M2395">
        <v>363190</v>
      </c>
      <c r="N2395">
        <v>1</v>
      </c>
      <c r="O2395" s="3">
        <v>44990</v>
      </c>
      <c r="P2395" s="3">
        <v>14265</v>
      </c>
      <c r="Q2395" s="5">
        <f t="shared" si="111"/>
        <v>37806.722689075636</v>
      </c>
      <c r="R2395" s="5">
        <f t="shared" si="112"/>
        <v>14265</v>
      </c>
      <c r="S2395" s="5">
        <f t="shared" si="113"/>
        <v>23541.722689075636</v>
      </c>
    </row>
    <row r="2396" spans="1:19" hidden="1" x14ac:dyDescent="0.3">
      <c r="A2396">
        <v>140</v>
      </c>
      <c r="B2396" t="s">
        <v>3524</v>
      </c>
      <c r="C2396" t="s">
        <v>2644</v>
      </c>
      <c r="D2396" s="2" t="s">
        <v>2645</v>
      </c>
      <c r="E2396" t="s">
        <v>428</v>
      </c>
      <c r="F2396" t="s">
        <v>20</v>
      </c>
      <c r="G2396" t="s">
        <v>21</v>
      </c>
      <c r="H2396" t="s">
        <v>429</v>
      </c>
      <c r="I2396" t="s">
        <v>23</v>
      </c>
      <c r="J2396" t="s">
        <v>49</v>
      </c>
      <c r="K2396" s="2" t="s">
        <v>1853</v>
      </c>
      <c r="L2396" t="s">
        <v>26</v>
      </c>
      <c r="M2396">
        <v>363191</v>
      </c>
      <c r="N2396">
        <v>1</v>
      </c>
      <c r="O2396" s="3">
        <v>59991</v>
      </c>
      <c r="P2396" s="3">
        <v>28864</v>
      </c>
      <c r="Q2396" s="5">
        <f t="shared" si="111"/>
        <v>50412.60504201681</v>
      </c>
      <c r="R2396" s="5">
        <f t="shared" si="112"/>
        <v>28864</v>
      </c>
      <c r="S2396" s="5">
        <f t="shared" si="113"/>
        <v>21548.60504201681</v>
      </c>
    </row>
    <row r="2397" spans="1:19" hidden="1" x14ac:dyDescent="0.3">
      <c r="A2397">
        <v>140</v>
      </c>
      <c r="B2397" t="s">
        <v>3524</v>
      </c>
      <c r="C2397" t="s">
        <v>4141</v>
      </c>
      <c r="D2397" s="2" t="s">
        <v>4142</v>
      </c>
      <c r="E2397" t="s">
        <v>428</v>
      </c>
      <c r="F2397" t="s">
        <v>20</v>
      </c>
      <c r="G2397" t="s">
        <v>21</v>
      </c>
      <c r="H2397" t="s">
        <v>429</v>
      </c>
      <c r="I2397" t="s">
        <v>23</v>
      </c>
      <c r="J2397" t="s">
        <v>49</v>
      </c>
      <c r="K2397" s="2" t="s">
        <v>1853</v>
      </c>
      <c r="L2397" t="s">
        <v>26</v>
      </c>
      <c r="M2397">
        <v>363191</v>
      </c>
      <c r="N2397">
        <v>-1</v>
      </c>
      <c r="O2397" s="3">
        <v>-59990</v>
      </c>
      <c r="P2397" s="3">
        <v>27959</v>
      </c>
      <c r="Q2397" s="5">
        <f t="shared" si="111"/>
        <v>-50411.764705882357</v>
      </c>
      <c r="R2397" s="5">
        <f t="shared" si="112"/>
        <v>-27959</v>
      </c>
      <c r="S2397" s="5">
        <f t="shared" si="113"/>
        <v>-22452.764705882357</v>
      </c>
    </row>
    <row r="2398" spans="1:19" hidden="1" x14ac:dyDescent="0.3">
      <c r="A2398">
        <v>140</v>
      </c>
      <c r="B2398" t="s">
        <v>3524</v>
      </c>
      <c r="C2398" t="s">
        <v>4143</v>
      </c>
      <c r="D2398" s="2" t="s">
        <v>4144</v>
      </c>
      <c r="E2398" t="s">
        <v>4145</v>
      </c>
      <c r="F2398" t="s">
        <v>20</v>
      </c>
      <c r="G2398" t="s">
        <v>21</v>
      </c>
      <c r="H2398" t="s">
        <v>429</v>
      </c>
      <c r="I2398" t="s">
        <v>23</v>
      </c>
      <c r="J2398" t="s">
        <v>49</v>
      </c>
      <c r="K2398" s="2" t="s">
        <v>1853</v>
      </c>
      <c r="L2398" t="s">
        <v>26</v>
      </c>
      <c r="M2398">
        <v>363192</v>
      </c>
      <c r="N2398">
        <v>-1</v>
      </c>
      <c r="O2398" s="3">
        <v>-49990</v>
      </c>
      <c r="P2398" s="3">
        <v>27866</v>
      </c>
      <c r="Q2398" s="5">
        <f t="shared" si="111"/>
        <v>-42008.403361344543</v>
      </c>
      <c r="R2398" s="5">
        <f t="shared" si="112"/>
        <v>-27866</v>
      </c>
      <c r="S2398" s="5">
        <f t="shared" si="113"/>
        <v>-14142.403361344543</v>
      </c>
    </row>
    <row r="2399" spans="1:19" hidden="1" x14ac:dyDescent="0.3">
      <c r="A2399">
        <v>140</v>
      </c>
      <c r="B2399" t="s">
        <v>3524</v>
      </c>
      <c r="C2399" t="s">
        <v>3925</v>
      </c>
      <c r="D2399" s="2" t="s">
        <v>3926</v>
      </c>
      <c r="E2399" t="s">
        <v>3127</v>
      </c>
      <c r="F2399" t="s">
        <v>20</v>
      </c>
      <c r="G2399" t="s">
        <v>21</v>
      </c>
      <c r="H2399" t="s">
        <v>3128</v>
      </c>
      <c r="I2399" t="s">
        <v>23</v>
      </c>
      <c r="J2399" t="s">
        <v>35</v>
      </c>
      <c r="K2399" s="2" t="s">
        <v>1853</v>
      </c>
      <c r="L2399" t="s">
        <v>26</v>
      </c>
      <c r="M2399">
        <v>363192</v>
      </c>
      <c r="N2399">
        <v>1</v>
      </c>
      <c r="O2399" s="3">
        <v>84950</v>
      </c>
      <c r="P2399" s="3">
        <v>29189</v>
      </c>
      <c r="Q2399" s="5">
        <f t="shared" si="111"/>
        <v>71386.554621848743</v>
      </c>
      <c r="R2399" s="5">
        <f t="shared" si="112"/>
        <v>29189</v>
      </c>
      <c r="S2399" s="5">
        <f t="shared" si="113"/>
        <v>42197.554621848743</v>
      </c>
    </row>
    <row r="2400" spans="1:19" hidden="1" x14ac:dyDescent="0.3">
      <c r="A2400">
        <v>140</v>
      </c>
      <c r="B2400" t="s">
        <v>3524</v>
      </c>
      <c r="C2400" t="s">
        <v>4146</v>
      </c>
      <c r="D2400" s="2" t="s">
        <v>4147</v>
      </c>
      <c r="E2400" t="s">
        <v>2738</v>
      </c>
      <c r="F2400" t="s">
        <v>20</v>
      </c>
      <c r="G2400" t="s">
        <v>21</v>
      </c>
      <c r="H2400" t="s">
        <v>22</v>
      </c>
      <c r="I2400" t="s">
        <v>23</v>
      </c>
      <c r="J2400" t="s">
        <v>49</v>
      </c>
      <c r="K2400" s="2" t="s">
        <v>1853</v>
      </c>
      <c r="L2400" t="s">
        <v>26</v>
      </c>
      <c r="M2400">
        <v>363193</v>
      </c>
      <c r="N2400">
        <v>1</v>
      </c>
      <c r="O2400" s="3">
        <v>74950</v>
      </c>
      <c r="P2400" s="3">
        <v>26246</v>
      </c>
      <c r="Q2400" s="5">
        <f t="shared" si="111"/>
        <v>62983.193277310929</v>
      </c>
      <c r="R2400" s="5">
        <f t="shared" si="112"/>
        <v>26246</v>
      </c>
      <c r="S2400" s="5">
        <f t="shared" si="113"/>
        <v>36737.193277310929</v>
      </c>
    </row>
    <row r="2401" spans="1:19" hidden="1" x14ac:dyDescent="0.3">
      <c r="A2401">
        <v>140</v>
      </c>
      <c r="B2401" t="s">
        <v>3524</v>
      </c>
      <c r="C2401" t="s">
        <v>3023</v>
      </c>
      <c r="D2401" s="2" t="s">
        <v>3024</v>
      </c>
      <c r="E2401" t="s">
        <v>938</v>
      </c>
      <c r="F2401" t="s">
        <v>20</v>
      </c>
      <c r="G2401" t="s">
        <v>21</v>
      </c>
      <c r="H2401" t="s">
        <v>317</v>
      </c>
      <c r="I2401" t="s">
        <v>23</v>
      </c>
      <c r="J2401" t="s">
        <v>35</v>
      </c>
      <c r="K2401" s="2" t="s">
        <v>1853</v>
      </c>
      <c r="L2401" t="s">
        <v>26</v>
      </c>
      <c r="M2401">
        <v>363194</v>
      </c>
      <c r="N2401">
        <v>-1</v>
      </c>
      <c r="O2401" s="3">
        <v>-69950</v>
      </c>
      <c r="P2401" s="3">
        <v>26455</v>
      </c>
      <c r="Q2401" s="5">
        <f t="shared" si="111"/>
        <v>-58781.512605042022</v>
      </c>
      <c r="R2401" s="5">
        <f t="shared" si="112"/>
        <v>-26455</v>
      </c>
      <c r="S2401" s="5">
        <f t="shared" si="113"/>
        <v>-32326.512605042022</v>
      </c>
    </row>
    <row r="2402" spans="1:19" hidden="1" x14ac:dyDescent="0.3">
      <c r="A2402">
        <v>140</v>
      </c>
      <c r="B2402" t="s">
        <v>3524</v>
      </c>
      <c r="C2402" t="s">
        <v>3545</v>
      </c>
      <c r="D2402" s="2" t="s">
        <v>3546</v>
      </c>
      <c r="E2402" t="s">
        <v>938</v>
      </c>
      <c r="F2402" t="s">
        <v>20</v>
      </c>
      <c r="G2402" t="s">
        <v>21</v>
      </c>
      <c r="H2402" t="s">
        <v>317</v>
      </c>
      <c r="I2402" t="s">
        <v>23</v>
      </c>
      <c r="J2402" t="s">
        <v>35</v>
      </c>
      <c r="K2402" s="2" t="s">
        <v>1853</v>
      </c>
      <c r="L2402" t="s">
        <v>26</v>
      </c>
      <c r="M2402">
        <v>363194</v>
      </c>
      <c r="N2402">
        <v>1</v>
      </c>
      <c r="O2402" s="3">
        <v>69951</v>
      </c>
      <c r="P2402" s="3">
        <v>26745</v>
      </c>
      <c r="Q2402" s="5">
        <f t="shared" si="111"/>
        <v>58782.352941176476</v>
      </c>
      <c r="R2402" s="5">
        <f t="shared" si="112"/>
        <v>26745</v>
      </c>
      <c r="S2402" s="5">
        <f t="shared" si="113"/>
        <v>32037.352941176476</v>
      </c>
    </row>
    <row r="2403" spans="1:19" hidden="1" x14ac:dyDescent="0.3">
      <c r="A2403">
        <v>140</v>
      </c>
      <c r="B2403" t="s">
        <v>3524</v>
      </c>
      <c r="C2403" t="s">
        <v>2984</v>
      </c>
      <c r="D2403" s="2" t="s">
        <v>2985</v>
      </c>
      <c r="E2403" t="s">
        <v>2986</v>
      </c>
      <c r="F2403" t="s">
        <v>20</v>
      </c>
      <c r="G2403" t="s">
        <v>21</v>
      </c>
      <c r="H2403" t="s">
        <v>267</v>
      </c>
      <c r="I2403" t="s">
        <v>23</v>
      </c>
      <c r="J2403" t="s">
        <v>35</v>
      </c>
      <c r="K2403" s="2" t="s">
        <v>1853</v>
      </c>
      <c r="L2403" t="s">
        <v>26</v>
      </c>
      <c r="M2403">
        <v>363195</v>
      </c>
      <c r="N2403">
        <v>1</v>
      </c>
      <c r="O2403" s="3">
        <v>59990</v>
      </c>
      <c r="P2403" s="3">
        <v>24733</v>
      </c>
      <c r="Q2403" s="5">
        <f t="shared" si="111"/>
        <v>50411.764705882357</v>
      </c>
      <c r="R2403" s="5">
        <f t="shared" si="112"/>
        <v>24733</v>
      </c>
      <c r="S2403" s="5">
        <f t="shared" si="113"/>
        <v>25678.764705882357</v>
      </c>
    </row>
    <row r="2404" spans="1:19" hidden="1" x14ac:dyDescent="0.3">
      <c r="A2404">
        <v>140</v>
      </c>
      <c r="B2404" t="s">
        <v>3524</v>
      </c>
      <c r="C2404" t="s">
        <v>4148</v>
      </c>
      <c r="D2404" s="2" t="s">
        <v>4149</v>
      </c>
      <c r="E2404" t="s">
        <v>485</v>
      </c>
      <c r="F2404" t="s">
        <v>20</v>
      </c>
      <c r="G2404" t="s">
        <v>21</v>
      </c>
      <c r="H2404" t="s">
        <v>247</v>
      </c>
      <c r="I2404" t="s">
        <v>23</v>
      </c>
      <c r="J2404" t="s">
        <v>40</v>
      </c>
      <c r="K2404" s="2" t="s">
        <v>1853</v>
      </c>
      <c r="L2404" t="s">
        <v>26</v>
      </c>
      <c r="M2404">
        <v>363196</v>
      </c>
      <c r="N2404">
        <v>1</v>
      </c>
      <c r="O2404" s="3">
        <v>34990</v>
      </c>
      <c r="P2404" s="3">
        <v>17041</v>
      </c>
      <c r="Q2404" s="5">
        <f t="shared" si="111"/>
        <v>29403.361344537818</v>
      </c>
      <c r="R2404" s="5">
        <f t="shared" si="112"/>
        <v>17041</v>
      </c>
      <c r="S2404" s="5">
        <f t="shared" si="113"/>
        <v>12362.361344537818</v>
      </c>
    </row>
    <row r="2405" spans="1:19" hidden="1" x14ac:dyDescent="0.3">
      <c r="A2405">
        <v>140</v>
      </c>
      <c r="B2405" t="s">
        <v>3524</v>
      </c>
      <c r="C2405" t="s">
        <v>3993</v>
      </c>
      <c r="D2405" s="2" t="s">
        <v>3994</v>
      </c>
      <c r="E2405" t="s">
        <v>3995</v>
      </c>
      <c r="F2405" t="s">
        <v>20</v>
      </c>
      <c r="G2405" t="s">
        <v>21</v>
      </c>
      <c r="H2405" t="s">
        <v>3996</v>
      </c>
      <c r="I2405" t="s">
        <v>23</v>
      </c>
      <c r="J2405" t="s">
        <v>40</v>
      </c>
      <c r="K2405" s="2" t="s">
        <v>1853</v>
      </c>
      <c r="L2405" t="s">
        <v>26</v>
      </c>
      <c r="M2405">
        <v>363197</v>
      </c>
      <c r="N2405">
        <v>1</v>
      </c>
      <c r="O2405" s="3">
        <v>39990</v>
      </c>
      <c r="P2405" s="3">
        <v>17195</v>
      </c>
      <c r="Q2405" s="5">
        <f t="shared" si="111"/>
        <v>33605.042016806721</v>
      </c>
      <c r="R2405" s="5">
        <f t="shared" si="112"/>
        <v>17195</v>
      </c>
      <c r="S2405" s="5">
        <f t="shared" si="113"/>
        <v>16410.042016806721</v>
      </c>
    </row>
    <row r="2406" spans="1:19" hidden="1" x14ac:dyDescent="0.3">
      <c r="A2406">
        <v>140</v>
      </c>
      <c r="B2406" t="s">
        <v>3524</v>
      </c>
      <c r="C2406" t="s">
        <v>4150</v>
      </c>
      <c r="D2406" s="2" t="s">
        <v>4151</v>
      </c>
      <c r="E2406" t="s">
        <v>4038</v>
      </c>
      <c r="F2406" t="s">
        <v>20</v>
      </c>
      <c r="G2406" t="s">
        <v>21</v>
      </c>
      <c r="H2406" t="s">
        <v>2469</v>
      </c>
      <c r="I2406" t="s">
        <v>23</v>
      </c>
      <c r="J2406" t="s">
        <v>35</v>
      </c>
      <c r="K2406" s="2" t="s">
        <v>1853</v>
      </c>
      <c r="L2406" t="s">
        <v>26</v>
      </c>
      <c r="M2406">
        <v>363198</v>
      </c>
      <c r="N2406">
        <v>1</v>
      </c>
      <c r="O2406" s="3">
        <v>69950</v>
      </c>
      <c r="P2406" s="3">
        <v>29635</v>
      </c>
      <c r="Q2406" s="5">
        <f t="shared" si="111"/>
        <v>58781.512605042022</v>
      </c>
      <c r="R2406" s="5">
        <f t="shared" si="112"/>
        <v>29635</v>
      </c>
      <c r="S2406" s="5">
        <f t="shared" si="113"/>
        <v>29146.512605042022</v>
      </c>
    </row>
    <row r="2407" spans="1:19" hidden="1" x14ac:dyDescent="0.3">
      <c r="A2407">
        <v>140</v>
      </c>
      <c r="B2407" t="s">
        <v>3524</v>
      </c>
      <c r="C2407" t="s">
        <v>4152</v>
      </c>
      <c r="D2407" s="2" t="s">
        <v>4153</v>
      </c>
      <c r="E2407" t="s">
        <v>3491</v>
      </c>
      <c r="F2407" t="s">
        <v>20</v>
      </c>
      <c r="G2407" t="s">
        <v>338</v>
      </c>
      <c r="H2407">
        <v>85200</v>
      </c>
      <c r="I2407" t="s">
        <v>23</v>
      </c>
      <c r="J2407" t="s">
        <v>35</v>
      </c>
      <c r="K2407" s="2" t="s">
        <v>1853</v>
      </c>
      <c r="L2407" t="s">
        <v>26</v>
      </c>
      <c r="M2407">
        <v>363199</v>
      </c>
      <c r="N2407">
        <v>1</v>
      </c>
      <c r="O2407" s="3">
        <v>89950</v>
      </c>
      <c r="P2407" s="3">
        <v>27253</v>
      </c>
      <c r="Q2407" s="5">
        <f t="shared" si="111"/>
        <v>75588.23529411765</v>
      </c>
      <c r="R2407" s="5">
        <f t="shared" si="112"/>
        <v>27253</v>
      </c>
      <c r="S2407" s="5">
        <f t="shared" si="113"/>
        <v>48335.23529411765</v>
      </c>
    </row>
    <row r="2408" spans="1:19" hidden="1" x14ac:dyDescent="0.3">
      <c r="A2408">
        <v>140</v>
      </c>
      <c r="B2408" t="s">
        <v>3524</v>
      </c>
      <c r="C2408" t="s">
        <v>4154</v>
      </c>
      <c r="D2408" s="2" t="s">
        <v>4155</v>
      </c>
      <c r="E2408" t="s">
        <v>3684</v>
      </c>
      <c r="F2408" t="s">
        <v>20</v>
      </c>
      <c r="G2408" t="s">
        <v>21</v>
      </c>
      <c r="H2408" t="s">
        <v>114</v>
      </c>
      <c r="I2408" t="s">
        <v>23</v>
      </c>
      <c r="J2408" t="s">
        <v>49</v>
      </c>
      <c r="K2408" s="2" t="s">
        <v>1853</v>
      </c>
      <c r="L2408" t="s">
        <v>26</v>
      </c>
      <c r="M2408">
        <v>363200</v>
      </c>
      <c r="N2408">
        <v>1</v>
      </c>
      <c r="O2408" s="3">
        <v>49990</v>
      </c>
      <c r="P2408" s="3">
        <v>23514</v>
      </c>
      <c r="Q2408" s="5">
        <f t="shared" si="111"/>
        <v>42008.403361344543</v>
      </c>
      <c r="R2408" s="5">
        <f t="shared" si="112"/>
        <v>23514</v>
      </c>
      <c r="S2408" s="5">
        <f t="shared" si="113"/>
        <v>18494.403361344543</v>
      </c>
    </row>
    <row r="2409" spans="1:19" hidden="1" x14ac:dyDescent="0.3">
      <c r="A2409">
        <v>140</v>
      </c>
      <c r="B2409" t="s">
        <v>3524</v>
      </c>
      <c r="C2409" t="s">
        <v>3647</v>
      </c>
      <c r="D2409" s="2" t="s">
        <v>3648</v>
      </c>
      <c r="E2409" t="s">
        <v>316</v>
      </c>
      <c r="F2409" t="s">
        <v>20</v>
      </c>
      <c r="G2409" t="s">
        <v>21</v>
      </c>
      <c r="H2409" t="s">
        <v>317</v>
      </c>
      <c r="I2409" t="s">
        <v>23</v>
      </c>
      <c r="J2409" t="s">
        <v>35</v>
      </c>
      <c r="K2409" s="2" t="s">
        <v>1853</v>
      </c>
      <c r="L2409" t="s">
        <v>26</v>
      </c>
      <c r="M2409">
        <v>363201</v>
      </c>
      <c r="N2409">
        <v>1</v>
      </c>
      <c r="O2409" s="3">
        <v>69950</v>
      </c>
      <c r="P2409" s="3">
        <v>24893</v>
      </c>
      <c r="Q2409" s="5">
        <f t="shared" si="111"/>
        <v>58781.512605042022</v>
      </c>
      <c r="R2409" s="5">
        <f t="shared" si="112"/>
        <v>24893</v>
      </c>
      <c r="S2409" s="5">
        <f t="shared" si="113"/>
        <v>33888.512605042022</v>
      </c>
    </row>
    <row r="2410" spans="1:19" hidden="1" x14ac:dyDescent="0.3">
      <c r="A2410">
        <v>140</v>
      </c>
      <c r="B2410" t="s">
        <v>3524</v>
      </c>
      <c r="C2410" t="s">
        <v>4156</v>
      </c>
      <c r="D2410" s="2" t="s">
        <v>4157</v>
      </c>
      <c r="E2410" t="s">
        <v>2515</v>
      </c>
      <c r="F2410" t="s">
        <v>20</v>
      </c>
      <c r="G2410" t="s">
        <v>338</v>
      </c>
      <c r="H2410">
        <v>23603</v>
      </c>
      <c r="I2410" t="s">
        <v>23</v>
      </c>
      <c r="J2410" t="s">
        <v>40</v>
      </c>
      <c r="K2410" s="2" t="s">
        <v>1853</v>
      </c>
      <c r="L2410" t="s">
        <v>26</v>
      </c>
      <c r="M2410">
        <v>363202</v>
      </c>
      <c r="N2410">
        <v>1</v>
      </c>
      <c r="O2410" s="3">
        <v>49990</v>
      </c>
      <c r="P2410" s="3">
        <v>22607</v>
      </c>
      <c r="Q2410" s="5">
        <f t="shared" si="111"/>
        <v>42008.403361344543</v>
      </c>
      <c r="R2410" s="5">
        <f t="shared" si="112"/>
        <v>22607</v>
      </c>
      <c r="S2410" s="5">
        <f t="shared" si="113"/>
        <v>19401.403361344543</v>
      </c>
    </row>
    <row r="2411" spans="1:19" hidden="1" x14ac:dyDescent="0.3">
      <c r="A2411">
        <v>140</v>
      </c>
      <c r="B2411" t="s">
        <v>3524</v>
      </c>
      <c r="C2411" t="s">
        <v>4158</v>
      </c>
      <c r="D2411" s="2" t="s">
        <v>4159</v>
      </c>
      <c r="E2411" t="s">
        <v>3328</v>
      </c>
      <c r="F2411" t="s">
        <v>20</v>
      </c>
      <c r="G2411" t="s">
        <v>338</v>
      </c>
      <c r="H2411">
        <v>23720</v>
      </c>
      <c r="I2411" t="s">
        <v>23</v>
      </c>
      <c r="J2411" t="s">
        <v>40</v>
      </c>
      <c r="K2411" s="2" t="s">
        <v>1853</v>
      </c>
      <c r="L2411" t="s">
        <v>26</v>
      </c>
      <c r="M2411">
        <v>363202</v>
      </c>
      <c r="N2411">
        <v>1</v>
      </c>
      <c r="O2411" s="3">
        <v>59950</v>
      </c>
      <c r="P2411" s="3">
        <v>19643</v>
      </c>
      <c r="Q2411" s="5">
        <f t="shared" si="111"/>
        <v>50378.151260504201</v>
      </c>
      <c r="R2411" s="5">
        <f t="shared" si="112"/>
        <v>19643</v>
      </c>
      <c r="S2411" s="5">
        <f t="shared" si="113"/>
        <v>30735.151260504201</v>
      </c>
    </row>
    <row r="2412" spans="1:19" hidden="1" x14ac:dyDescent="0.3">
      <c r="A2412">
        <v>140</v>
      </c>
      <c r="B2412" t="s">
        <v>3524</v>
      </c>
      <c r="C2412" t="s">
        <v>2801</v>
      </c>
      <c r="D2412" s="2" t="s">
        <v>2802</v>
      </c>
      <c r="E2412" t="s">
        <v>2803</v>
      </c>
      <c r="F2412" t="s">
        <v>20</v>
      </c>
      <c r="G2412" t="s">
        <v>338</v>
      </c>
      <c r="H2412">
        <v>23726</v>
      </c>
      <c r="I2412" t="s">
        <v>23</v>
      </c>
      <c r="J2412" t="s">
        <v>40</v>
      </c>
      <c r="K2412" s="2" t="s">
        <v>1853</v>
      </c>
      <c r="L2412" t="s">
        <v>26</v>
      </c>
      <c r="M2412">
        <v>363202</v>
      </c>
      <c r="N2412">
        <v>1</v>
      </c>
      <c r="O2412" s="3">
        <v>76450</v>
      </c>
      <c r="P2412" s="3">
        <v>29798</v>
      </c>
      <c r="Q2412" s="5">
        <f t="shared" si="111"/>
        <v>64243.697478991598</v>
      </c>
      <c r="R2412" s="5">
        <f t="shared" si="112"/>
        <v>29798</v>
      </c>
      <c r="S2412" s="5">
        <f t="shared" si="113"/>
        <v>34445.697478991598</v>
      </c>
    </row>
    <row r="2413" spans="1:19" hidden="1" x14ac:dyDescent="0.3">
      <c r="A2413">
        <v>140</v>
      </c>
      <c r="B2413" t="s">
        <v>3524</v>
      </c>
      <c r="C2413" t="s">
        <v>2575</v>
      </c>
      <c r="D2413" s="2" t="s">
        <v>2576</v>
      </c>
      <c r="E2413" t="s">
        <v>2577</v>
      </c>
      <c r="F2413" t="s">
        <v>377</v>
      </c>
      <c r="G2413" t="s">
        <v>21</v>
      </c>
      <c r="H2413" t="s">
        <v>378</v>
      </c>
      <c r="I2413" t="s">
        <v>23</v>
      </c>
      <c r="J2413" t="s">
        <v>379</v>
      </c>
      <c r="K2413" s="2" t="s">
        <v>1853</v>
      </c>
      <c r="L2413" t="s">
        <v>26</v>
      </c>
      <c r="M2413">
        <v>363203</v>
      </c>
      <c r="N2413">
        <v>1</v>
      </c>
      <c r="O2413" s="3">
        <v>5950</v>
      </c>
      <c r="P2413" s="3">
        <v>3307</v>
      </c>
      <c r="Q2413" s="5">
        <f t="shared" si="111"/>
        <v>5000</v>
      </c>
      <c r="R2413" s="5">
        <f t="shared" si="112"/>
        <v>3307</v>
      </c>
      <c r="S2413" s="5">
        <f t="shared" si="113"/>
        <v>1693</v>
      </c>
    </row>
    <row r="2414" spans="1:19" hidden="1" x14ac:dyDescent="0.3">
      <c r="A2414">
        <v>140</v>
      </c>
      <c r="B2414" t="s">
        <v>3524</v>
      </c>
      <c r="C2414" t="s">
        <v>426</v>
      </c>
      <c r="D2414" s="2" t="s">
        <v>427</v>
      </c>
      <c r="E2414" t="s">
        <v>428</v>
      </c>
      <c r="F2414" t="s">
        <v>20</v>
      </c>
      <c r="G2414" t="s">
        <v>21</v>
      </c>
      <c r="H2414" t="s">
        <v>429</v>
      </c>
      <c r="I2414" t="s">
        <v>23</v>
      </c>
      <c r="J2414" t="s">
        <v>49</v>
      </c>
      <c r="K2414" s="2" t="s">
        <v>1853</v>
      </c>
      <c r="L2414" t="s">
        <v>26</v>
      </c>
      <c r="M2414">
        <v>363204</v>
      </c>
      <c r="N2414">
        <v>1</v>
      </c>
      <c r="O2414" s="3">
        <v>59990</v>
      </c>
      <c r="P2414" s="3">
        <v>28897</v>
      </c>
      <c r="Q2414" s="5">
        <f t="shared" si="111"/>
        <v>50411.764705882357</v>
      </c>
      <c r="R2414" s="5">
        <f t="shared" si="112"/>
        <v>28897</v>
      </c>
      <c r="S2414" s="5">
        <f t="shared" si="113"/>
        <v>21514.764705882357</v>
      </c>
    </row>
    <row r="2415" spans="1:19" hidden="1" x14ac:dyDescent="0.3">
      <c r="A2415">
        <v>140</v>
      </c>
      <c r="B2415" t="s">
        <v>3524</v>
      </c>
      <c r="C2415" t="s">
        <v>3505</v>
      </c>
      <c r="D2415" s="2" t="s">
        <v>3506</v>
      </c>
      <c r="E2415" t="s">
        <v>2465</v>
      </c>
      <c r="F2415" t="s">
        <v>20</v>
      </c>
      <c r="G2415" t="s">
        <v>21</v>
      </c>
      <c r="H2415" t="s">
        <v>30</v>
      </c>
      <c r="I2415" t="s">
        <v>23</v>
      </c>
      <c r="J2415" t="s">
        <v>35</v>
      </c>
      <c r="K2415" s="2" t="s">
        <v>1853</v>
      </c>
      <c r="L2415" t="s">
        <v>26</v>
      </c>
      <c r="M2415">
        <v>363205</v>
      </c>
      <c r="N2415">
        <v>1</v>
      </c>
      <c r="O2415" s="3">
        <v>79950</v>
      </c>
      <c r="P2415" s="3">
        <v>30749</v>
      </c>
      <c r="Q2415" s="5">
        <f t="shared" si="111"/>
        <v>67184.873949579836</v>
      </c>
      <c r="R2415" s="5">
        <f t="shared" si="112"/>
        <v>30749</v>
      </c>
      <c r="S2415" s="5">
        <f t="shared" si="113"/>
        <v>36435.873949579836</v>
      </c>
    </row>
    <row r="2416" spans="1:19" hidden="1" x14ac:dyDescent="0.3">
      <c r="A2416">
        <v>140</v>
      </c>
      <c r="B2416" t="s">
        <v>3524</v>
      </c>
      <c r="C2416" t="s">
        <v>3193</v>
      </c>
      <c r="D2416" s="2" t="s">
        <v>3194</v>
      </c>
      <c r="E2416" t="s">
        <v>3195</v>
      </c>
      <c r="F2416" t="s">
        <v>20</v>
      </c>
      <c r="G2416" t="s">
        <v>338</v>
      </c>
      <c r="H2416">
        <v>25366</v>
      </c>
      <c r="I2416" t="s">
        <v>23</v>
      </c>
      <c r="J2416" t="s">
        <v>35</v>
      </c>
      <c r="K2416" s="2" t="s">
        <v>1853</v>
      </c>
      <c r="L2416" t="s">
        <v>26</v>
      </c>
      <c r="M2416">
        <v>363205</v>
      </c>
      <c r="N2416">
        <v>1</v>
      </c>
      <c r="O2416" s="3">
        <v>84950</v>
      </c>
      <c r="P2416" s="3">
        <v>33157</v>
      </c>
      <c r="Q2416" s="5">
        <f t="shared" si="111"/>
        <v>71386.554621848743</v>
      </c>
      <c r="R2416" s="5">
        <f t="shared" si="112"/>
        <v>33157</v>
      </c>
      <c r="S2416" s="5">
        <f t="shared" si="113"/>
        <v>38229.554621848743</v>
      </c>
    </row>
    <row r="2417" spans="1:19" hidden="1" x14ac:dyDescent="0.3">
      <c r="A2417">
        <v>140</v>
      </c>
      <c r="B2417" t="s">
        <v>3524</v>
      </c>
      <c r="C2417" t="s">
        <v>4160</v>
      </c>
      <c r="D2417" s="2" t="s">
        <v>4161</v>
      </c>
      <c r="E2417" t="s">
        <v>2314</v>
      </c>
      <c r="F2417" t="s">
        <v>20</v>
      </c>
      <c r="G2417" t="s">
        <v>21</v>
      </c>
      <c r="H2417" t="s">
        <v>2315</v>
      </c>
      <c r="I2417" t="s">
        <v>23</v>
      </c>
      <c r="J2417" t="s">
        <v>49</v>
      </c>
      <c r="K2417" s="2" t="s">
        <v>1853</v>
      </c>
      <c r="L2417" t="s">
        <v>26</v>
      </c>
      <c r="M2417">
        <v>363206</v>
      </c>
      <c r="N2417">
        <v>1</v>
      </c>
      <c r="O2417" s="3">
        <v>74950</v>
      </c>
      <c r="P2417" s="3">
        <v>29091</v>
      </c>
      <c r="Q2417" s="5">
        <f t="shared" si="111"/>
        <v>62983.193277310929</v>
      </c>
      <c r="R2417" s="5">
        <f t="shared" si="112"/>
        <v>29091</v>
      </c>
      <c r="S2417" s="5">
        <f t="shared" si="113"/>
        <v>33892.193277310929</v>
      </c>
    </row>
    <row r="2418" spans="1:19" hidden="1" x14ac:dyDescent="0.3">
      <c r="A2418">
        <v>140</v>
      </c>
      <c r="B2418" t="s">
        <v>3524</v>
      </c>
      <c r="C2418" t="s">
        <v>2984</v>
      </c>
      <c r="D2418" s="2" t="s">
        <v>2985</v>
      </c>
      <c r="E2418" t="s">
        <v>2986</v>
      </c>
      <c r="F2418" t="s">
        <v>20</v>
      </c>
      <c r="G2418" t="s">
        <v>21</v>
      </c>
      <c r="H2418" t="s">
        <v>267</v>
      </c>
      <c r="I2418" t="s">
        <v>23</v>
      </c>
      <c r="J2418" t="s">
        <v>35</v>
      </c>
      <c r="K2418" s="2" t="s">
        <v>1853</v>
      </c>
      <c r="L2418" t="s">
        <v>26</v>
      </c>
      <c r="M2418">
        <v>363207</v>
      </c>
      <c r="N2418">
        <v>1</v>
      </c>
      <c r="O2418" s="3">
        <v>59990</v>
      </c>
      <c r="P2418" s="3">
        <v>24733</v>
      </c>
      <c r="Q2418" s="5">
        <f t="shared" si="111"/>
        <v>50411.764705882357</v>
      </c>
      <c r="R2418" s="5">
        <f t="shared" si="112"/>
        <v>24733</v>
      </c>
      <c r="S2418" s="5">
        <f t="shared" si="113"/>
        <v>25678.764705882357</v>
      </c>
    </row>
    <row r="2419" spans="1:19" hidden="1" x14ac:dyDescent="0.3">
      <c r="A2419">
        <v>140</v>
      </c>
      <c r="B2419" t="s">
        <v>3524</v>
      </c>
      <c r="C2419" t="s">
        <v>4162</v>
      </c>
      <c r="D2419" s="2" t="s">
        <v>4163</v>
      </c>
      <c r="E2419" t="s">
        <v>2311</v>
      </c>
      <c r="F2419" t="s">
        <v>20</v>
      </c>
      <c r="G2419" t="s">
        <v>338</v>
      </c>
      <c r="H2419">
        <v>83716</v>
      </c>
      <c r="I2419" t="s">
        <v>23</v>
      </c>
      <c r="J2419" t="s">
        <v>40</v>
      </c>
      <c r="K2419" s="2" t="s">
        <v>1853</v>
      </c>
      <c r="L2419" t="s">
        <v>26</v>
      </c>
      <c r="M2419">
        <v>363208</v>
      </c>
      <c r="N2419">
        <v>1</v>
      </c>
      <c r="O2419" s="3">
        <v>89950</v>
      </c>
      <c r="P2419" s="3">
        <v>30263</v>
      </c>
      <c r="Q2419" s="5">
        <f t="shared" si="111"/>
        <v>75588.23529411765</v>
      </c>
      <c r="R2419" s="5">
        <f t="shared" si="112"/>
        <v>30263</v>
      </c>
      <c r="S2419" s="5">
        <f t="shared" si="113"/>
        <v>45325.23529411765</v>
      </c>
    </row>
    <row r="2420" spans="1:19" hidden="1" x14ac:dyDescent="0.3">
      <c r="A2420">
        <v>140</v>
      </c>
      <c r="B2420" t="s">
        <v>3524</v>
      </c>
      <c r="C2420" t="s">
        <v>3230</v>
      </c>
      <c r="D2420" s="2" t="s">
        <v>3231</v>
      </c>
      <c r="E2420" t="s">
        <v>3183</v>
      </c>
      <c r="F2420" t="s">
        <v>20</v>
      </c>
      <c r="G2420" t="s">
        <v>21</v>
      </c>
      <c r="H2420" t="s">
        <v>614</v>
      </c>
      <c r="I2420" t="s">
        <v>23</v>
      </c>
      <c r="J2420" t="s">
        <v>40</v>
      </c>
      <c r="K2420" s="2" t="s">
        <v>1853</v>
      </c>
      <c r="L2420" t="s">
        <v>26</v>
      </c>
      <c r="M2420">
        <v>363209</v>
      </c>
      <c r="N2420">
        <v>1</v>
      </c>
      <c r="O2420" s="3">
        <v>39990</v>
      </c>
      <c r="P2420" s="3">
        <v>17378</v>
      </c>
      <c r="Q2420" s="5">
        <f t="shared" si="111"/>
        <v>33605.042016806721</v>
      </c>
      <c r="R2420" s="5">
        <f t="shared" si="112"/>
        <v>17378</v>
      </c>
      <c r="S2420" s="5">
        <f t="shared" si="113"/>
        <v>16227.042016806721</v>
      </c>
    </row>
    <row r="2421" spans="1:19" hidden="1" x14ac:dyDescent="0.3">
      <c r="A2421">
        <v>140</v>
      </c>
      <c r="B2421" t="s">
        <v>3524</v>
      </c>
      <c r="C2421" t="s">
        <v>3273</v>
      </c>
      <c r="D2421" s="2" t="s">
        <v>3274</v>
      </c>
      <c r="E2421" t="s">
        <v>499</v>
      </c>
      <c r="F2421" t="s">
        <v>20</v>
      </c>
      <c r="G2421" t="s">
        <v>21</v>
      </c>
      <c r="H2421" t="s">
        <v>500</v>
      </c>
      <c r="I2421" t="s">
        <v>23</v>
      </c>
      <c r="J2421" t="s">
        <v>40</v>
      </c>
      <c r="K2421" s="2" t="s">
        <v>1853</v>
      </c>
      <c r="L2421" t="s">
        <v>26</v>
      </c>
      <c r="M2421">
        <v>363209</v>
      </c>
      <c r="N2421">
        <v>1</v>
      </c>
      <c r="O2421" s="3">
        <v>50950</v>
      </c>
      <c r="P2421" s="3">
        <v>17416</v>
      </c>
      <c r="Q2421" s="5">
        <f t="shared" si="111"/>
        <v>42815.126050420171</v>
      </c>
      <c r="R2421" s="5">
        <f t="shared" si="112"/>
        <v>17416</v>
      </c>
      <c r="S2421" s="5">
        <f t="shared" si="113"/>
        <v>25399.126050420171</v>
      </c>
    </row>
    <row r="2422" spans="1:19" hidden="1" x14ac:dyDescent="0.3">
      <c r="A2422">
        <v>140</v>
      </c>
      <c r="B2422" t="s">
        <v>3524</v>
      </c>
      <c r="C2422" t="s">
        <v>4164</v>
      </c>
      <c r="D2422" s="2" t="s">
        <v>4165</v>
      </c>
      <c r="E2422" t="s">
        <v>4166</v>
      </c>
      <c r="F2422" t="s">
        <v>20</v>
      </c>
      <c r="G2422" t="s">
        <v>338</v>
      </c>
      <c r="H2422">
        <v>25918</v>
      </c>
      <c r="I2422" t="s">
        <v>23</v>
      </c>
      <c r="J2422" t="s">
        <v>35</v>
      </c>
      <c r="K2422" s="2" t="s">
        <v>1853</v>
      </c>
      <c r="L2422" t="s">
        <v>26</v>
      </c>
      <c r="M2422">
        <v>363210</v>
      </c>
      <c r="N2422">
        <v>1</v>
      </c>
      <c r="O2422" s="3">
        <v>89950</v>
      </c>
      <c r="P2422" s="3">
        <v>27207</v>
      </c>
      <c r="Q2422" s="5">
        <f t="shared" si="111"/>
        <v>75588.23529411765</v>
      </c>
      <c r="R2422" s="5">
        <f t="shared" si="112"/>
        <v>27207</v>
      </c>
      <c r="S2422" s="5">
        <f t="shared" si="113"/>
        <v>48381.23529411765</v>
      </c>
    </row>
    <row r="2423" spans="1:19" hidden="1" x14ac:dyDescent="0.3">
      <c r="A2423">
        <v>140</v>
      </c>
      <c r="B2423" t="s">
        <v>3524</v>
      </c>
      <c r="C2423" t="s">
        <v>2365</v>
      </c>
      <c r="D2423" s="2" t="s">
        <v>2366</v>
      </c>
      <c r="E2423" t="s">
        <v>2367</v>
      </c>
      <c r="F2423" t="s">
        <v>377</v>
      </c>
      <c r="G2423" t="s">
        <v>21</v>
      </c>
      <c r="H2423" t="s">
        <v>378</v>
      </c>
      <c r="I2423" t="s">
        <v>23</v>
      </c>
      <c r="J2423" t="s">
        <v>379</v>
      </c>
      <c r="K2423" s="2" t="s">
        <v>1853</v>
      </c>
      <c r="L2423" t="s">
        <v>26</v>
      </c>
      <c r="M2423">
        <v>363211</v>
      </c>
      <c r="N2423">
        <v>1</v>
      </c>
      <c r="O2423" s="3">
        <v>6950</v>
      </c>
      <c r="P2423" s="3">
        <v>3759</v>
      </c>
      <c r="Q2423" s="5">
        <f t="shared" si="111"/>
        <v>5840.3361344537816</v>
      </c>
      <c r="R2423" s="5">
        <f t="shared" si="112"/>
        <v>3759</v>
      </c>
      <c r="S2423" s="5">
        <f t="shared" si="113"/>
        <v>2081.3361344537816</v>
      </c>
    </row>
    <row r="2424" spans="1:19" hidden="1" x14ac:dyDescent="0.3">
      <c r="A2424">
        <v>140</v>
      </c>
      <c r="B2424" t="s">
        <v>3524</v>
      </c>
      <c r="C2424" t="s">
        <v>2749</v>
      </c>
      <c r="D2424" s="2" t="s">
        <v>2750</v>
      </c>
      <c r="E2424" t="s">
        <v>2629</v>
      </c>
      <c r="F2424" t="s">
        <v>20</v>
      </c>
      <c r="G2424" t="s">
        <v>21</v>
      </c>
      <c r="H2424" t="s">
        <v>1987</v>
      </c>
      <c r="I2424" t="s">
        <v>23</v>
      </c>
      <c r="J2424" t="s">
        <v>49</v>
      </c>
      <c r="K2424" s="2" t="s">
        <v>1910</v>
      </c>
      <c r="L2424" t="s">
        <v>26</v>
      </c>
      <c r="M2424">
        <v>363212</v>
      </c>
      <c r="N2424">
        <v>1</v>
      </c>
      <c r="O2424" s="3">
        <v>74950</v>
      </c>
      <c r="P2424" s="3">
        <v>23391</v>
      </c>
      <c r="Q2424" s="5">
        <f t="shared" si="111"/>
        <v>62983.193277310929</v>
      </c>
      <c r="R2424" s="5">
        <f t="shared" si="112"/>
        <v>23391</v>
      </c>
      <c r="S2424" s="5">
        <f t="shared" si="113"/>
        <v>39592.193277310929</v>
      </c>
    </row>
    <row r="2425" spans="1:19" hidden="1" x14ac:dyDescent="0.3">
      <c r="A2425">
        <v>140</v>
      </c>
      <c r="B2425" t="s">
        <v>3524</v>
      </c>
      <c r="C2425" t="s">
        <v>3594</v>
      </c>
      <c r="D2425" s="2" t="s">
        <v>3595</v>
      </c>
      <c r="E2425" t="s">
        <v>2473</v>
      </c>
      <c r="F2425" t="s">
        <v>20</v>
      </c>
      <c r="G2425" t="s">
        <v>21</v>
      </c>
      <c r="H2425" t="s">
        <v>114</v>
      </c>
      <c r="I2425" t="s">
        <v>23</v>
      </c>
      <c r="J2425" t="s">
        <v>49</v>
      </c>
      <c r="K2425" s="2" t="s">
        <v>1910</v>
      </c>
      <c r="L2425" t="s">
        <v>26</v>
      </c>
      <c r="M2425">
        <v>363213</v>
      </c>
      <c r="N2425">
        <v>1</v>
      </c>
      <c r="O2425" s="3">
        <v>49990</v>
      </c>
      <c r="P2425" s="3">
        <v>23514</v>
      </c>
      <c r="Q2425" s="5">
        <f t="shared" si="111"/>
        <v>42008.403361344543</v>
      </c>
      <c r="R2425" s="5">
        <f t="shared" si="112"/>
        <v>23514</v>
      </c>
      <c r="S2425" s="5">
        <f t="shared" si="113"/>
        <v>18494.403361344543</v>
      </c>
    </row>
    <row r="2426" spans="1:19" hidden="1" x14ac:dyDescent="0.3">
      <c r="A2426">
        <v>140</v>
      </c>
      <c r="B2426" t="s">
        <v>3524</v>
      </c>
      <c r="C2426" t="s">
        <v>4167</v>
      </c>
      <c r="D2426" s="2" t="s">
        <v>4168</v>
      </c>
      <c r="E2426" t="s">
        <v>3691</v>
      </c>
      <c r="F2426" t="s">
        <v>20</v>
      </c>
      <c r="G2426" t="s">
        <v>338</v>
      </c>
      <c r="H2426">
        <v>23727</v>
      </c>
      <c r="I2426" t="s">
        <v>23</v>
      </c>
      <c r="J2426" t="s">
        <v>40</v>
      </c>
      <c r="K2426" s="2" t="s">
        <v>1910</v>
      </c>
      <c r="L2426" t="s">
        <v>26</v>
      </c>
      <c r="M2426">
        <v>363214</v>
      </c>
      <c r="N2426">
        <v>1</v>
      </c>
      <c r="O2426" s="3">
        <v>49990</v>
      </c>
      <c r="P2426" s="3">
        <v>26539</v>
      </c>
      <c r="Q2426" s="5">
        <f t="shared" si="111"/>
        <v>42008.403361344543</v>
      </c>
      <c r="R2426" s="5">
        <f t="shared" si="112"/>
        <v>26539</v>
      </c>
      <c r="S2426" s="5">
        <f t="shared" si="113"/>
        <v>15469.403361344543</v>
      </c>
    </row>
    <row r="2427" spans="1:19" hidden="1" x14ac:dyDescent="0.3">
      <c r="A2427">
        <v>140</v>
      </c>
      <c r="B2427" t="s">
        <v>3524</v>
      </c>
      <c r="C2427" t="s">
        <v>4169</v>
      </c>
      <c r="D2427" s="2" t="s">
        <v>4170</v>
      </c>
      <c r="E2427" t="s">
        <v>3757</v>
      </c>
      <c r="F2427" t="s">
        <v>20</v>
      </c>
      <c r="G2427" t="s">
        <v>338</v>
      </c>
      <c r="H2427">
        <v>23732</v>
      </c>
      <c r="I2427" t="s">
        <v>23</v>
      </c>
      <c r="J2427" t="s">
        <v>40</v>
      </c>
      <c r="K2427" s="2" t="s">
        <v>1910</v>
      </c>
      <c r="L2427" t="s">
        <v>26</v>
      </c>
      <c r="M2427">
        <v>363214</v>
      </c>
      <c r="N2427">
        <v>1</v>
      </c>
      <c r="O2427" s="3">
        <v>67950</v>
      </c>
      <c r="P2427" s="3">
        <v>26539</v>
      </c>
      <c r="Q2427" s="5">
        <f t="shared" si="111"/>
        <v>57100.840336134454</v>
      </c>
      <c r="R2427" s="5">
        <f t="shared" si="112"/>
        <v>26539</v>
      </c>
      <c r="S2427" s="5">
        <f t="shared" si="113"/>
        <v>30561.840336134454</v>
      </c>
    </row>
    <row r="2428" spans="1:19" hidden="1" x14ac:dyDescent="0.3">
      <c r="A2428">
        <v>140</v>
      </c>
      <c r="B2428" t="s">
        <v>3524</v>
      </c>
      <c r="C2428" t="s">
        <v>3949</v>
      </c>
      <c r="D2428" s="2" t="s">
        <v>3950</v>
      </c>
      <c r="E2428" t="s">
        <v>2163</v>
      </c>
      <c r="F2428" t="s">
        <v>20</v>
      </c>
      <c r="G2428" t="s">
        <v>21</v>
      </c>
      <c r="H2428" t="s">
        <v>970</v>
      </c>
      <c r="I2428" t="s">
        <v>23</v>
      </c>
      <c r="J2428" t="s">
        <v>40</v>
      </c>
      <c r="K2428" s="2" t="s">
        <v>1910</v>
      </c>
      <c r="L2428" t="s">
        <v>26</v>
      </c>
      <c r="M2428">
        <v>363215</v>
      </c>
      <c r="N2428">
        <v>1</v>
      </c>
      <c r="O2428" s="3">
        <v>59950</v>
      </c>
      <c r="P2428" s="3">
        <v>19352</v>
      </c>
      <c r="Q2428" s="5">
        <f t="shared" si="111"/>
        <v>50378.151260504201</v>
      </c>
      <c r="R2428" s="5">
        <f t="shared" si="112"/>
        <v>19352</v>
      </c>
      <c r="S2428" s="5">
        <f t="shared" si="113"/>
        <v>31026.151260504201</v>
      </c>
    </row>
    <row r="2429" spans="1:19" hidden="1" x14ac:dyDescent="0.3">
      <c r="A2429">
        <v>140</v>
      </c>
      <c r="B2429" t="s">
        <v>3524</v>
      </c>
      <c r="C2429" t="s">
        <v>4171</v>
      </c>
      <c r="D2429" s="2" t="s">
        <v>4172</v>
      </c>
      <c r="E2429" t="s">
        <v>1466</v>
      </c>
      <c r="F2429" t="s">
        <v>20</v>
      </c>
      <c r="G2429" t="s">
        <v>21</v>
      </c>
      <c r="H2429" t="s">
        <v>65</v>
      </c>
      <c r="I2429" t="s">
        <v>23</v>
      </c>
      <c r="J2429" t="s">
        <v>49</v>
      </c>
      <c r="K2429" s="2" t="s">
        <v>1910</v>
      </c>
      <c r="L2429" t="s">
        <v>26</v>
      </c>
      <c r="M2429">
        <v>363216</v>
      </c>
      <c r="N2429">
        <v>1</v>
      </c>
      <c r="O2429" s="3">
        <v>64950</v>
      </c>
      <c r="P2429" s="3">
        <v>18535</v>
      </c>
      <c r="Q2429" s="5">
        <f t="shared" si="111"/>
        <v>54579.831932773115</v>
      </c>
      <c r="R2429" s="5">
        <f t="shared" si="112"/>
        <v>18535</v>
      </c>
      <c r="S2429" s="5">
        <f t="shared" si="113"/>
        <v>36044.831932773115</v>
      </c>
    </row>
    <row r="2430" spans="1:19" hidden="1" x14ac:dyDescent="0.3">
      <c r="A2430">
        <v>140</v>
      </c>
      <c r="B2430" t="s">
        <v>3524</v>
      </c>
      <c r="C2430" t="s">
        <v>4173</v>
      </c>
      <c r="D2430" s="2" t="s">
        <v>4174</v>
      </c>
      <c r="E2430" t="s">
        <v>3877</v>
      </c>
      <c r="F2430" t="s">
        <v>20</v>
      </c>
      <c r="G2430" t="s">
        <v>21</v>
      </c>
      <c r="H2430" t="s">
        <v>99</v>
      </c>
      <c r="I2430" t="s">
        <v>23</v>
      </c>
      <c r="J2430" t="s">
        <v>40</v>
      </c>
      <c r="K2430" s="2" t="s">
        <v>1910</v>
      </c>
      <c r="L2430" t="s">
        <v>26</v>
      </c>
      <c r="M2430">
        <v>363217</v>
      </c>
      <c r="N2430">
        <v>1</v>
      </c>
      <c r="O2430" s="3">
        <v>39990</v>
      </c>
      <c r="P2430" s="3">
        <v>31740</v>
      </c>
      <c r="Q2430" s="5">
        <f t="shared" si="111"/>
        <v>33605.042016806721</v>
      </c>
      <c r="R2430" s="5">
        <f t="shared" si="112"/>
        <v>31740</v>
      </c>
      <c r="S2430" s="5">
        <f t="shared" si="113"/>
        <v>1865.0420168067212</v>
      </c>
    </row>
    <row r="2431" spans="1:19" hidden="1" x14ac:dyDescent="0.3">
      <c r="A2431">
        <v>140</v>
      </c>
      <c r="B2431" t="s">
        <v>3524</v>
      </c>
      <c r="C2431" t="s">
        <v>4175</v>
      </c>
      <c r="D2431" s="2" t="s">
        <v>4176</v>
      </c>
      <c r="E2431" t="s">
        <v>2163</v>
      </c>
      <c r="F2431" t="s">
        <v>20</v>
      </c>
      <c r="G2431" t="s">
        <v>21</v>
      </c>
      <c r="H2431" t="s">
        <v>970</v>
      </c>
      <c r="I2431" t="s">
        <v>23</v>
      </c>
      <c r="J2431" t="s">
        <v>40</v>
      </c>
      <c r="K2431" s="2" t="s">
        <v>1910</v>
      </c>
      <c r="L2431" t="s">
        <v>26</v>
      </c>
      <c r="M2431">
        <v>363218</v>
      </c>
      <c r="N2431">
        <v>1</v>
      </c>
      <c r="O2431" s="3">
        <v>59950</v>
      </c>
      <c r="P2431" s="3">
        <v>19352</v>
      </c>
      <c r="Q2431" s="5">
        <f t="shared" si="111"/>
        <v>50378.151260504201</v>
      </c>
      <c r="R2431" s="5">
        <f t="shared" si="112"/>
        <v>19352</v>
      </c>
      <c r="S2431" s="5">
        <f t="shared" si="113"/>
        <v>31026.151260504201</v>
      </c>
    </row>
    <row r="2432" spans="1:19" hidden="1" x14ac:dyDescent="0.3">
      <c r="A2432">
        <v>140</v>
      </c>
      <c r="B2432" t="s">
        <v>3524</v>
      </c>
      <c r="C2432" t="s">
        <v>3584</v>
      </c>
      <c r="D2432" s="2" t="s">
        <v>3585</v>
      </c>
      <c r="E2432" t="s">
        <v>1828</v>
      </c>
      <c r="F2432" t="s">
        <v>20</v>
      </c>
      <c r="G2432" t="s">
        <v>21</v>
      </c>
      <c r="H2432" t="s">
        <v>1689</v>
      </c>
      <c r="I2432" t="s">
        <v>23</v>
      </c>
      <c r="J2432" t="s">
        <v>49</v>
      </c>
      <c r="K2432" s="2" t="s">
        <v>1910</v>
      </c>
      <c r="L2432" t="s">
        <v>26</v>
      </c>
      <c r="M2432">
        <v>363219</v>
      </c>
      <c r="N2432">
        <v>1</v>
      </c>
      <c r="O2432" s="3">
        <v>54990</v>
      </c>
      <c r="P2432" s="3">
        <v>37162</v>
      </c>
      <c r="Q2432" s="5">
        <f t="shared" si="111"/>
        <v>46210.08403361345</v>
      </c>
      <c r="R2432" s="5">
        <f t="shared" si="112"/>
        <v>37162</v>
      </c>
      <c r="S2432" s="5">
        <f t="shared" si="113"/>
        <v>9048.0840336134497</v>
      </c>
    </row>
    <row r="2433" spans="1:19" hidden="1" x14ac:dyDescent="0.3">
      <c r="A2433">
        <v>140</v>
      </c>
      <c r="B2433" t="s">
        <v>3524</v>
      </c>
      <c r="C2433" t="s">
        <v>619</v>
      </c>
      <c r="D2433" s="2" t="s">
        <v>620</v>
      </c>
      <c r="E2433" t="s">
        <v>621</v>
      </c>
      <c r="F2433" t="s">
        <v>20</v>
      </c>
      <c r="G2433" t="s">
        <v>215</v>
      </c>
      <c r="H2433" t="s">
        <v>216</v>
      </c>
      <c r="I2433" t="s">
        <v>23</v>
      </c>
      <c r="J2433" t="s">
        <v>35</v>
      </c>
      <c r="K2433" s="2" t="s">
        <v>1910</v>
      </c>
      <c r="L2433" t="s">
        <v>26</v>
      </c>
      <c r="M2433">
        <v>363219</v>
      </c>
      <c r="N2433">
        <v>1</v>
      </c>
      <c r="O2433" s="3">
        <v>89990</v>
      </c>
      <c r="P2433" s="3">
        <v>46326</v>
      </c>
      <c r="Q2433" s="5">
        <f t="shared" si="111"/>
        <v>75621.848739495807</v>
      </c>
      <c r="R2433" s="5">
        <f t="shared" si="112"/>
        <v>46326</v>
      </c>
      <c r="S2433" s="5">
        <f t="shared" si="113"/>
        <v>29295.848739495807</v>
      </c>
    </row>
    <row r="2434" spans="1:19" hidden="1" x14ac:dyDescent="0.3">
      <c r="A2434">
        <v>140</v>
      </c>
      <c r="B2434" t="s">
        <v>3524</v>
      </c>
      <c r="C2434" t="s">
        <v>3173</v>
      </c>
      <c r="D2434" s="2" t="s">
        <v>3174</v>
      </c>
      <c r="E2434" t="s">
        <v>3175</v>
      </c>
      <c r="F2434" t="s">
        <v>20</v>
      </c>
      <c r="G2434" t="s">
        <v>21</v>
      </c>
      <c r="H2434" t="s">
        <v>625</v>
      </c>
      <c r="I2434" t="s">
        <v>23</v>
      </c>
      <c r="J2434" t="s">
        <v>35</v>
      </c>
      <c r="K2434" s="2" t="s">
        <v>1910</v>
      </c>
      <c r="L2434" t="s">
        <v>26</v>
      </c>
      <c r="M2434">
        <v>363220</v>
      </c>
      <c r="N2434">
        <v>1</v>
      </c>
      <c r="O2434" s="3">
        <v>49990</v>
      </c>
      <c r="P2434" s="3">
        <v>24956</v>
      </c>
      <c r="Q2434" s="5">
        <f t="shared" si="111"/>
        <v>42008.403361344543</v>
      </c>
      <c r="R2434" s="5">
        <f t="shared" si="112"/>
        <v>24956</v>
      </c>
      <c r="S2434" s="5">
        <f t="shared" si="113"/>
        <v>17052.403361344543</v>
      </c>
    </row>
    <row r="2435" spans="1:19" hidden="1" x14ac:dyDescent="0.3">
      <c r="A2435">
        <v>140</v>
      </c>
      <c r="B2435" t="s">
        <v>3524</v>
      </c>
      <c r="C2435" t="s">
        <v>2365</v>
      </c>
      <c r="D2435" s="2" t="s">
        <v>2366</v>
      </c>
      <c r="E2435" t="s">
        <v>2367</v>
      </c>
      <c r="F2435" t="s">
        <v>377</v>
      </c>
      <c r="G2435" t="s">
        <v>21</v>
      </c>
      <c r="H2435" t="s">
        <v>378</v>
      </c>
      <c r="I2435" t="s">
        <v>23</v>
      </c>
      <c r="J2435" t="s">
        <v>379</v>
      </c>
      <c r="K2435" s="2" t="s">
        <v>1910</v>
      </c>
      <c r="L2435" t="s">
        <v>26</v>
      </c>
      <c r="M2435">
        <v>363221</v>
      </c>
      <c r="N2435">
        <v>1</v>
      </c>
      <c r="O2435" s="3">
        <v>6950</v>
      </c>
      <c r="P2435" s="3">
        <v>3759</v>
      </c>
      <c r="Q2435" s="5">
        <f t="shared" si="111"/>
        <v>5840.3361344537816</v>
      </c>
      <c r="R2435" s="5">
        <f t="shared" si="112"/>
        <v>3759</v>
      </c>
      <c r="S2435" s="5">
        <f t="shared" si="113"/>
        <v>2081.3361344537816</v>
      </c>
    </row>
    <row r="2436" spans="1:19" hidden="1" x14ac:dyDescent="0.3">
      <c r="A2436">
        <v>140</v>
      </c>
      <c r="B2436" t="s">
        <v>3524</v>
      </c>
      <c r="C2436" t="s">
        <v>4177</v>
      </c>
      <c r="D2436" s="2" t="s">
        <v>4178</v>
      </c>
      <c r="E2436" t="s">
        <v>2888</v>
      </c>
      <c r="F2436" t="s">
        <v>20</v>
      </c>
      <c r="G2436" t="s">
        <v>21</v>
      </c>
      <c r="H2436" t="s">
        <v>2593</v>
      </c>
      <c r="I2436" t="s">
        <v>23</v>
      </c>
      <c r="J2436" t="s">
        <v>35</v>
      </c>
      <c r="K2436" s="2" t="s">
        <v>1910</v>
      </c>
      <c r="L2436" t="s">
        <v>26</v>
      </c>
      <c r="M2436">
        <v>363222</v>
      </c>
      <c r="N2436">
        <v>1</v>
      </c>
      <c r="O2436" s="3">
        <v>99950</v>
      </c>
      <c r="P2436" s="3">
        <v>38102</v>
      </c>
      <c r="Q2436" s="5">
        <f t="shared" si="111"/>
        <v>83991.596638655465</v>
      </c>
      <c r="R2436" s="5">
        <f t="shared" si="112"/>
        <v>38102</v>
      </c>
      <c r="S2436" s="5">
        <f t="shared" si="113"/>
        <v>45889.596638655465</v>
      </c>
    </row>
    <row r="2437" spans="1:19" hidden="1" x14ac:dyDescent="0.3">
      <c r="A2437">
        <v>140</v>
      </c>
      <c r="B2437" t="s">
        <v>3524</v>
      </c>
      <c r="C2437" t="s">
        <v>1499</v>
      </c>
      <c r="D2437" s="2" t="s">
        <v>1500</v>
      </c>
      <c r="E2437" t="s">
        <v>1501</v>
      </c>
      <c r="F2437" t="s">
        <v>20</v>
      </c>
      <c r="G2437" t="s">
        <v>21</v>
      </c>
      <c r="H2437" t="s">
        <v>742</v>
      </c>
      <c r="I2437" t="s">
        <v>23</v>
      </c>
      <c r="J2437" t="s">
        <v>40</v>
      </c>
      <c r="K2437" s="2" t="s">
        <v>1910</v>
      </c>
      <c r="L2437" t="s">
        <v>26</v>
      </c>
      <c r="M2437">
        <v>363223</v>
      </c>
      <c r="N2437">
        <v>1</v>
      </c>
      <c r="O2437" s="3">
        <v>69990</v>
      </c>
      <c r="P2437" s="3">
        <v>28727</v>
      </c>
      <c r="Q2437" s="5">
        <f t="shared" si="111"/>
        <v>58815.126050420171</v>
      </c>
      <c r="R2437" s="5">
        <f t="shared" si="112"/>
        <v>28727</v>
      </c>
      <c r="S2437" s="5">
        <f t="shared" si="113"/>
        <v>30088.126050420171</v>
      </c>
    </row>
    <row r="2438" spans="1:19" hidden="1" x14ac:dyDescent="0.3">
      <c r="A2438">
        <v>140</v>
      </c>
      <c r="B2438" t="s">
        <v>3524</v>
      </c>
      <c r="C2438" t="s">
        <v>3436</v>
      </c>
      <c r="D2438" s="2" t="s">
        <v>3437</v>
      </c>
      <c r="E2438" t="s">
        <v>3438</v>
      </c>
      <c r="F2438" t="s">
        <v>20</v>
      </c>
      <c r="G2438" t="s">
        <v>338</v>
      </c>
      <c r="H2438">
        <v>83707</v>
      </c>
      <c r="I2438" t="s">
        <v>23</v>
      </c>
      <c r="J2438" t="s">
        <v>40</v>
      </c>
      <c r="K2438" s="2" t="s">
        <v>1910</v>
      </c>
      <c r="L2438" t="s">
        <v>26</v>
      </c>
      <c r="M2438">
        <v>363223</v>
      </c>
      <c r="N2438">
        <v>1</v>
      </c>
      <c r="O2438" s="3">
        <v>76450</v>
      </c>
      <c r="P2438" s="3">
        <v>30263</v>
      </c>
      <c r="Q2438" s="5">
        <f t="shared" ref="Q2438:Q2501" si="114">O2438/1.19</f>
        <v>64243.697478991598</v>
      </c>
      <c r="R2438" s="5">
        <f t="shared" ref="R2438:R2501" si="115">N2438*P2438</f>
        <v>30263</v>
      </c>
      <c r="S2438" s="5">
        <f t="shared" ref="S2438:S2501" si="116">Q2438-R2438</f>
        <v>33980.697478991598</v>
      </c>
    </row>
    <row r="2439" spans="1:19" hidden="1" x14ac:dyDescent="0.3">
      <c r="A2439">
        <v>140</v>
      </c>
      <c r="B2439" t="s">
        <v>3524</v>
      </c>
      <c r="C2439" t="s">
        <v>4179</v>
      </c>
      <c r="D2439" s="2" t="s">
        <v>4180</v>
      </c>
      <c r="E2439" t="s">
        <v>2465</v>
      </c>
      <c r="F2439" t="s">
        <v>20</v>
      </c>
      <c r="G2439" t="s">
        <v>21</v>
      </c>
      <c r="H2439" t="s">
        <v>30</v>
      </c>
      <c r="I2439" t="s">
        <v>23</v>
      </c>
      <c r="J2439" t="s">
        <v>35</v>
      </c>
      <c r="K2439" s="2" t="s">
        <v>1910</v>
      </c>
      <c r="L2439" t="s">
        <v>26</v>
      </c>
      <c r="M2439">
        <v>363224</v>
      </c>
      <c r="N2439">
        <v>1</v>
      </c>
      <c r="O2439" s="3">
        <v>79950</v>
      </c>
      <c r="P2439" s="3">
        <v>30749</v>
      </c>
      <c r="Q2439" s="5">
        <f t="shared" si="114"/>
        <v>67184.873949579836</v>
      </c>
      <c r="R2439" s="5">
        <f t="shared" si="115"/>
        <v>30749</v>
      </c>
      <c r="S2439" s="5">
        <f t="shared" si="116"/>
        <v>36435.873949579836</v>
      </c>
    </row>
    <row r="2440" spans="1:19" hidden="1" x14ac:dyDescent="0.3">
      <c r="A2440">
        <v>140</v>
      </c>
      <c r="B2440" t="s">
        <v>3524</v>
      </c>
      <c r="C2440" t="s">
        <v>3586</v>
      </c>
      <c r="D2440" s="2" t="s">
        <v>3587</v>
      </c>
      <c r="E2440" t="s">
        <v>3449</v>
      </c>
      <c r="F2440" t="s">
        <v>20</v>
      </c>
      <c r="G2440" t="s">
        <v>338</v>
      </c>
      <c r="H2440">
        <v>25366</v>
      </c>
      <c r="I2440" t="s">
        <v>23</v>
      </c>
      <c r="J2440" t="s">
        <v>35</v>
      </c>
      <c r="K2440" s="2" t="s">
        <v>1910</v>
      </c>
      <c r="L2440" t="s">
        <v>26</v>
      </c>
      <c r="M2440">
        <v>363225</v>
      </c>
      <c r="N2440">
        <v>1</v>
      </c>
      <c r="O2440" s="3">
        <v>99950</v>
      </c>
      <c r="P2440" s="3">
        <v>33157</v>
      </c>
      <c r="Q2440" s="5">
        <f t="shared" si="114"/>
        <v>83991.596638655465</v>
      </c>
      <c r="R2440" s="5">
        <f t="shared" si="115"/>
        <v>33157</v>
      </c>
      <c r="S2440" s="5">
        <f t="shared" si="116"/>
        <v>50834.596638655465</v>
      </c>
    </row>
    <row r="2441" spans="1:19" hidden="1" x14ac:dyDescent="0.3">
      <c r="A2441">
        <v>140</v>
      </c>
      <c r="B2441" t="s">
        <v>3524</v>
      </c>
      <c r="C2441" t="s">
        <v>2716</v>
      </c>
      <c r="D2441" s="2" t="s">
        <v>2717</v>
      </c>
      <c r="E2441" t="s">
        <v>2718</v>
      </c>
      <c r="F2441" t="s">
        <v>20</v>
      </c>
      <c r="G2441" t="s">
        <v>21</v>
      </c>
      <c r="H2441" t="s">
        <v>1887</v>
      </c>
      <c r="I2441" t="s">
        <v>23</v>
      </c>
      <c r="J2441" t="s">
        <v>40</v>
      </c>
      <c r="K2441" s="2" t="s">
        <v>1910</v>
      </c>
      <c r="L2441" t="s">
        <v>26</v>
      </c>
      <c r="M2441">
        <v>363226</v>
      </c>
      <c r="N2441">
        <v>1</v>
      </c>
      <c r="O2441" s="3">
        <v>69950</v>
      </c>
      <c r="P2441" s="3">
        <v>22018</v>
      </c>
      <c r="Q2441" s="5">
        <f t="shared" si="114"/>
        <v>58781.512605042022</v>
      </c>
      <c r="R2441" s="5">
        <f t="shared" si="115"/>
        <v>22018</v>
      </c>
      <c r="S2441" s="5">
        <f t="shared" si="116"/>
        <v>36763.512605042022</v>
      </c>
    </row>
    <row r="2442" spans="1:19" hidden="1" x14ac:dyDescent="0.3">
      <c r="A2442">
        <v>140</v>
      </c>
      <c r="B2442" t="s">
        <v>3524</v>
      </c>
      <c r="C2442" t="s">
        <v>3034</v>
      </c>
      <c r="D2442" s="2" t="s">
        <v>3035</v>
      </c>
      <c r="E2442" t="s">
        <v>3036</v>
      </c>
      <c r="F2442" t="s">
        <v>20</v>
      </c>
      <c r="G2442" t="s">
        <v>338</v>
      </c>
      <c r="H2442">
        <v>25273</v>
      </c>
      <c r="I2442" t="s">
        <v>23</v>
      </c>
      <c r="J2442" t="s">
        <v>35</v>
      </c>
      <c r="K2442" s="2" t="s">
        <v>1910</v>
      </c>
      <c r="L2442" t="s">
        <v>26</v>
      </c>
      <c r="M2442">
        <v>363226</v>
      </c>
      <c r="N2442">
        <v>1</v>
      </c>
      <c r="O2442" s="3">
        <v>84950</v>
      </c>
      <c r="P2442" s="3">
        <v>32658</v>
      </c>
      <c r="Q2442" s="5">
        <f t="shared" si="114"/>
        <v>71386.554621848743</v>
      </c>
      <c r="R2442" s="5">
        <f t="shared" si="115"/>
        <v>32658</v>
      </c>
      <c r="S2442" s="5">
        <f t="shared" si="116"/>
        <v>38728.554621848743</v>
      </c>
    </row>
    <row r="2443" spans="1:19" hidden="1" x14ac:dyDescent="0.3">
      <c r="A2443">
        <v>140</v>
      </c>
      <c r="B2443" t="s">
        <v>3524</v>
      </c>
      <c r="C2443" t="s">
        <v>4181</v>
      </c>
      <c r="D2443" s="2" t="s">
        <v>4182</v>
      </c>
      <c r="E2443" t="s">
        <v>631</v>
      </c>
      <c r="F2443" t="s">
        <v>20</v>
      </c>
      <c r="G2443" t="s">
        <v>21</v>
      </c>
      <c r="H2443" t="s">
        <v>632</v>
      </c>
      <c r="I2443" t="s">
        <v>23</v>
      </c>
      <c r="J2443" t="s">
        <v>40</v>
      </c>
      <c r="K2443" s="2" t="s">
        <v>1910</v>
      </c>
      <c r="L2443" t="s">
        <v>26</v>
      </c>
      <c r="M2443">
        <v>363227</v>
      </c>
      <c r="N2443">
        <v>1</v>
      </c>
      <c r="O2443" s="3">
        <v>49950</v>
      </c>
      <c r="P2443" s="3">
        <v>19155</v>
      </c>
      <c r="Q2443" s="5">
        <f t="shared" si="114"/>
        <v>41974.789915966387</v>
      </c>
      <c r="R2443" s="5">
        <f t="shared" si="115"/>
        <v>19155</v>
      </c>
      <c r="S2443" s="5">
        <f t="shared" si="116"/>
        <v>22819.789915966387</v>
      </c>
    </row>
    <row r="2444" spans="1:19" hidden="1" x14ac:dyDescent="0.3">
      <c r="A2444">
        <v>140</v>
      </c>
      <c r="B2444" t="s">
        <v>3524</v>
      </c>
      <c r="C2444" t="s">
        <v>3173</v>
      </c>
      <c r="D2444" s="2" t="s">
        <v>3174</v>
      </c>
      <c r="E2444" t="s">
        <v>3175</v>
      </c>
      <c r="F2444" t="s">
        <v>20</v>
      </c>
      <c r="G2444" t="s">
        <v>21</v>
      </c>
      <c r="H2444" t="s">
        <v>625</v>
      </c>
      <c r="I2444" t="s">
        <v>23</v>
      </c>
      <c r="J2444" t="s">
        <v>35</v>
      </c>
      <c r="K2444" s="2" t="s">
        <v>1910</v>
      </c>
      <c r="L2444" t="s">
        <v>26</v>
      </c>
      <c r="M2444">
        <v>363228</v>
      </c>
      <c r="N2444">
        <v>1</v>
      </c>
      <c r="O2444" s="3">
        <v>49990</v>
      </c>
      <c r="P2444" s="3">
        <v>24956</v>
      </c>
      <c r="Q2444" s="5">
        <f t="shared" si="114"/>
        <v>42008.403361344543</v>
      </c>
      <c r="R2444" s="5">
        <f t="shared" si="115"/>
        <v>24956</v>
      </c>
      <c r="S2444" s="5">
        <f t="shared" si="116"/>
        <v>17052.403361344543</v>
      </c>
    </row>
    <row r="2445" spans="1:19" hidden="1" x14ac:dyDescent="0.3">
      <c r="A2445">
        <v>140</v>
      </c>
      <c r="B2445" t="s">
        <v>3524</v>
      </c>
      <c r="C2445" t="s">
        <v>4150</v>
      </c>
      <c r="D2445" s="2" t="s">
        <v>4151</v>
      </c>
      <c r="E2445" t="s">
        <v>4038</v>
      </c>
      <c r="F2445" t="s">
        <v>20</v>
      </c>
      <c r="G2445" t="s">
        <v>21</v>
      </c>
      <c r="H2445" t="s">
        <v>2469</v>
      </c>
      <c r="I2445" t="s">
        <v>23</v>
      </c>
      <c r="J2445" t="s">
        <v>35</v>
      </c>
      <c r="K2445" s="2" t="s">
        <v>1910</v>
      </c>
      <c r="L2445" t="s">
        <v>26</v>
      </c>
      <c r="M2445">
        <v>363229</v>
      </c>
      <c r="N2445">
        <v>-1</v>
      </c>
      <c r="O2445" s="3">
        <v>-69950</v>
      </c>
      <c r="P2445" s="3">
        <v>29635</v>
      </c>
      <c r="Q2445" s="5">
        <f t="shared" si="114"/>
        <v>-58781.512605042022</v>
      </c>
      <c r="R2445" s="5">
        <f t="shared" si="115"/>
        <v>-29635</v>
      </c>
      <c r="S2445" s="5">
        <f t="shared" si="116"/>
        <v>-29146.512605042022</v>
      </c>
    </row>
    <row r="2446" spans="1:19" hidden="1" x14ac:dyDescent="0.3">
      <c r="A2446">
        <v>140</v>
      </c>
      <c r="B2446" t="s">
        <v>3524</v>
      </c>
      <c r="C2446" t="s">
        <v>4183</v>
      </c>
      <c r="D2446" s="2" t="s">
        <v>4184</v>
      </c>
      <c r="E2446" t="s">
        <v>4038</v>
      </c>
      <c r="F2446" t="s">
        <v>20</v>
      </c>
      <c r="G2446" t="s">
        <v>21</v>
      </c>
      <c r="H2446" t="s">
        <v>2469</v>
      </c>
      <c r="I2446" t="s">
        <v>23</v>
      </c>
      <c r="J2446" t="s">
        <v>35</v>
      </c>
      <c r="K2446" s="2" t="s">
        <v>1910</v>
      </c>
      <c r="L2446" t="s">
        <v>26</v>
      </c>
      <c r="M2446">
        <v>363229</v>
      </c>
      <c r="N2446">
        <v>1</v>
      </c>
      <c r="O2446" s="3">
        <v>69951</v>
      </c>
      <c r="P2446" s="3">
        <v>29635</v>
      </c>
      <c r="Q2446" s="5">
        <f t="shared" si="114"/>
        <v>58782.352941176476</v>
      </c>
      <c r="R2446" s="5">
        <f t="shared" si="115"/>
        <v>29635</v>
      </c>
      <c r="S2446" s="5">
        <f t="shared" si="116"/>
        <v>29147.352941176476</v>
      </c>
    </row>
    <row r="2447" spans="1:19" hidden="1" x14ac:dyDescent="0.3">
      <c r="A2447">
        <v>140</v>
      </c>
      <c r="B2447" t="s">
        <v>3524</v>
      </c>
      <c r="C2447" t="s">
        <v>4185</v>
      </c>
      <c r="D2447" s="2" t="s">
        <v>4186</v>
      </c>
      <c r="E2447" t="s">
        <v>2902</v>
      </c>
      <c r="F2447" t="s">
        <v>20</v>
      </c>
      <c r="G2447" t="s">
        <v>21</v>
      </c>
      <c r="H2447" t="s">
        <v>267</v>
      </c>
      <c r="I2447" t="s">
        <v>23</v>
      </c>
      <c r="J2447" t="s">
        <v>49</v>
      </c>
      <c r="K2447" s="2" t="s">
        <v>1910</v>
      </c>
      <c r="L2447" t="s">
        <v>26</v>
      </c>
      <c r="M2447">
        <v>363230</v>
      </c>
      <c r="N2447">
        <v>1</v>
      </c>
      <c r="O2447" s="3">
        <v>64950</v>
      </c>
      <c r="P2447" s="3">
        <v>24504</v>
      </c>
      <c r="Q2447" s="5">
        <f t="shared" si="114"/>
        <v>54579.831932773115</v>
      </c>
      <c r="R2447" s="5">
        <f t="shared" si="115"/>
        <v>24504</v>
      </c>
      <c r="S2447" s="5">
        <f t="shared" si="116"/>
        <v>30075.831932773115</v>
      </c>
    </row>
    <row r="2448" spans="1:19" hidden="1" x14ac:dyDescent="0.3">
      <c r="A2448">
        <v>140</v>
      </c>
      <c r="B2448" t="s">
        <v>3524</v>
      </c>
      <c r="C2448" t="s">
        <v>3393</v>
      </c>
      <c r="D2448" s="2" t="s">
        <v>3394</v>
      </c>
      <c r="E2448" t="s">
        <v>3395</v>
      </c>
      <c r="F2448" t="s">
        <v>20</v>
      </c>
      <c r="G2448" t="s">
        <v>338</v>
      </c>
      <c r="H2448">
        <v>25459</v>
      </c>
      <c r="I2448" t="s">
        <v>23</v>
      </c>
      <c r="J2448" t="s">
        <v>35</v>
      </c>
      <c r="K2448" s="2" t="s">
        <v>1910</v>
      </c>
      <c r="L2448" t="s">
        <v>26</v>
      </c>
      <c r="M2448">
        <v>363231</v>
      </c>
      <c r="N2448">
        <v>1</v>
      </c>
      <c r="O2448" s="3">
        <v>84950</v>
      </c>
      <c r="P2448" s="3">
        <v>32113</v>
      </c>
      <c r="Q2448" s="5">
        <f t="shared" si="114"/>
        <v>71386.554621848743</v>
      </c>
      <c r="R2448" s="5">
        <f t="shared" si="115"/>
        <v>32113</v>
      </c>
      <c r="S2448" s="5">
        <f t="shared" si="116"/>
        <v>39273.554621848743</v>
      </c>
    </row>
    <row r="2449" spans="1:19" hidden="1" x14ac:dyDescent="0.3">
      <c r="A2449">
        <v>140</v>
      </c>
      <c r="B2449" t="s">
        <v>3524</v>
      </c>
      <c r="C2449" t="s">
        <v>4187</v>
      </c>
      <c r="D2449" s="2" t="s">
        <v>4188</v>
      </c>
      <c r="E2449" t="s">
        <v>3995</v>
      </c>
      <c r="F2449" t="s">
        <v>20</v>
      </c>
      <c r="G2449" t="s">
        <v>21</v>
      </c>
      <c r="H2449" t="s">
        <v>3996</v>
      </c>
      <c r="I2449" t="s">
        <v>23</v>
      </c>
      <c r="J2449" t="s">
        <v>40</v>
      </c>
      <c r="K2449" s="2" t="s">
        <v>1910</v>
      </c>
      <c r="L2449" t="s">
        <v>26</v>
      </c>
      <c r="M2449">
        <v>363231</v>
      </c>
      <c r="N2449">
        <v>1</v>
      </c>
      <c r="O2449" s="3">
        <v>39990</v>
      </c>
      <c r="P2449" s="3">
        <v>17195</v>
      </c>
      <c r="Q2449" s="5">
        <f t="shared" si="114"/>
        <v>33605.042016806721</v>
      </c>
      <c r="R2449" s="5">
        <f t="shared" si="115"/>
        <v>17195</v>
      </c>
      <c r="S2449" s="5">
        <f t="shared" si="116"/>
        <v>16410.042016806721</v>
      </c>
    </row>
    <row r="2450" spans="1:19" hidden="1" x14ac:dyDescent="0.3">
      <c r="A2450">
        <v>140</v>
      </c>
      <c r="B2450" t="s">
        <v>3524</v>
      </c>
      <c r="C2450" t="s">
        <v>4189</v>
      </c>
      <c r="D2450" s="2" t="s">
        <v>4190</v>
      </c>
      <c r="E2450" t="s">
        <v>3472</v>
      </c>
      <c r="F2450" t="s">
        <v>20</v>
      </c>
      <c r="G2450" t="s">
        <v>338</v>
      </c>
      <c r="H2450">
        <v>25336</v>
      </c>
      <c r="I2450" t="s">
        <v>23</v>
      </c>
      <c r="J2450" t="s">
        <v>35</v>
      </c>
      <c r="K2450" s="2" t="s">
        <v>1910</v>
      </c>
      <c r="L2450" t="s">
        <v>26</v>
      </c>
      <c r="M2450">
        <v>363232</v>
      </c>
      <c r="N2450">
        <v>1</v>
      </c>
      <c r="O2450" s="3">
        <v>99950</v>
      </c>
      <c r="P2450" s="3">
        <v>31886</v>
      </c>
      <c r="Q2450" s="5">
        <f t="shared" si="114"/>
        <v>83991.596638655465</v>
      </c>
      <c r="R2450" s="5">
        <f t="shared" si="115"/>
        <v>31886</v>
      </c>
      <c r="S2450" s="5">
        <f t="shared" si="116"/>
        <v>52105.596638655465</v>
      </c>
    </row>
    <row r="2451" spans="1:19" hidden="1" x14ac:dyDescent="0.3">
      <c r="A2451">
        <v>140</v>
      </c>
      <c r="B2451" t="s">
        <v>3524</v>
      </c>
      <c r="C2451" t="s">
        <v>4191</v>
      </c>
      <c r="D2451" s="2" t="s">
        <v>4192</v>
      </c>
      <c r="E2451" t="s">
        <v>4193</v>
      </c>
      <c r="F2451" t="s">
        <v>20</v>
      </c>
      <c r="G2451" t="s">
        <v>21</v>
      </c>
      <c r="H2451" t="s">
        <v>557</v>
      </c>
      <c r="I2451" t="s">
        <v>23</v>
      </c>
      <c r="J2451" t="s">
        <v>40</v>
      </c>
      <c r="K2451" s="2" t="s">
        <v>1910</v>
      </c>
      <c r="L2451" t="s">
        <v>26</v>
      </c>
      <c r="M2451">
        <v>363233</v>
      </c>
      <c r="N2451">
        <v>1</v>
      </c>
      <c r="O2451" s="3">
        <v>79950</v>
      </c>
      <c r="P2451" s="3">
        <v>26654</v>
      </c>
      <c r="Q2451" s="5">
        <f t="shared" si="114"/>
        <v>67184.873949579836</v>
      </c>
      <c r="R2451" s="5">
        <f t="shared" si="115"/>
        <v>26654</v>
      </c>
      <c r="S2451" s="5">
        <f t="shared" si="116"/>
        <v>40530.873949579836</v>
      </c>
    </row>
    <row r="2452" spans="1:19" hidden="1" x14ac:dyDescent="0.3">
      <c r="A2452">
        <v>140</v>
      </c>
      <c r="B2452" t="s">
        <v>3524</v>
      </c>
      <c r="C2452" t="s">
        <v>4194</v>
      </c>
      <c r="D2452" s="2" t="s">
        <v>4195</v>
      </c>
      <c r="E2452" t="s">
        <v>4196</v>
      </c>
      <c r="F2452" t="s">
        <v>377</v>
      </c>
      <c r="G2452" t="s">
        <v>21</v>
      </c>
      <c r="H2452" t="s">
        <v>378</v>
      </c>
      <c r="I2452" t="s">
        <v>23</v>
      </c>
      <c r="J2452" t="s">
        <v>379</v>
      </c>
      <c r="K2452" s="2" t="s">
        <v>1910</v>
      </c>
      <c r="L2452" t="s">
        <v>26</v>
      </c>
      <c r="M2452">
        <v>363233</v>
      </c>
      <c r="N2452">
        <v>1</v>
      </c>
      <c r="O2452" s="3">
        <v>6950</v>
      </c>
      <c r="P2452" s="3">
        <v>3541</v>
      </c>
      <c r="Q2452" s="5">
        <f t="shared" si="114"/>
        <v>5840.3361344537816</v>
      </c>
      <c r="R2452" s="5">
        <f t="shared" si="115"/>
        <v>3541</v>
      </c>
      <c r="S2452" s="5">
        <f t="shared" si="116"/>
        <v>2299.3361344537816</v>
      </c>
    </row>
    <row r="2453" spans="1:19" hidden="1" x14ac:dyDescent="0.3">
      <c r="A2453">
        <v>140</v>
      </c>
      <c r="B2453" t="s">
        <v>3524</v>
      </c>
      <c r="C2453" t="s">
        <v>1231</v>
      </c>
      <c r="D2453" s="2" t="s">
        <v>1232</v>
      </c>
      <c r="E2453" t="s">
        <v>477</v>
      </c>
      <c r="F2453" t="s">
        <v>20</v>
      </c>
      <c r="G2453" t="s">
        <v>21</v>
      </c>
      <c r="H2453" t="s">
        <v>48</v>
      </c>
      <c r="I2453" t="s">
        <v>23</v>
      </c>
      <c r="J2453" t="s">
        <v>35</v>
      </c>
      <c r="K2453" s="2" t="s">
        <v>3310</v>
      </c>
      <c r="L2453" t="s">
        <v>2249</v>
      </c>
      <c r="M2453">
        <v>25455</v>
      </c>
      <c r="N2453">
        <v>-1</v>
      </c>
      <c r="O2453" s="3">
        <v>-49990</v>
      </c>
      <c r="P2453" s="3">
        <v>28960</v>
      </c>
      <c r="Q2453" s="5">
        <f t="shared" si="114"/>
        <v>-42008.403361344543</v>
      </c>
      <c r="R2453" s="5">
        <f t="shared" si="115"/>
        <v>-28960</v>
      </c>
      <c r="S2453" s="5">
        <f t="shared" si="116"/>
        <v>-13048.403361344543</v>
      </c>
    </row>
    <row r="2454" spans="1:19" hidden="1" x14ac:dyDescent="0.3">
      <c r="A2454">
        <v>140</v>
      </c>
      <c r="B2454" t="s">
        <v>3524</v>
      </c>
      <c r="C2454" t="s">
        <v>3760</v>
      </c>
      <c r="D2454" s="2" t="s">
        <v>3761</v>
      </c>
      <c r="E2454" t="s">
        <v>3738</v>
      </c>
      <c r="F2454" t="s">
        <v>20</v>
      </c>
      <c r="G2454" t="s">
        <v>21</v>
      </c>
      <c r="H2454" t="s">
        <v>557</v>
      </c>
      <c r="I2454" t="s">
        <v>23</v>
      </c>
      <c r="J2454" t="s">
        <v>40</v>
      </c>
      <c r="K2454" s="2" t="s">
        <v>3310</v>
      </c>
      <c r="L2454" t="s">
        <v>26</v>
      </c>
      <c r="M2454">
        <v>363234</v>
      </c>
      <c r="N2454">
        <v>1</v>
      </c>
      <c r="O2454" s="3">
        <v>49990</v>
      </c>
      <c r="P2454" s="3">
        <v>28049</v>
      </c>
      <c r="Q2454" s="5">
        <f t="shared" si="114"/>
        <v>42008.403361344543</v>
      </c>
      <c r="R2454" s="5">
        <f t="shared" si="115"/>
        <v>28049</v>
      </c>
      <c r="S2454" s="5">
        <f t="shared" si="116"/>
        <v>13959.403361344543</v>
      </c>
    </row>
    <row r="2455" spans="1:19" hidden="1" x14ac:dyDescent="0.3">
      <c r="A2455">
        <v>140</v>
      </c>
      <c r="B2455" t="s">
        <v>3524</v>
      </c>
      <c r="C2455">
        <v>1687976791</v>
      </c>
      <c r="D2455" s="2" t="s">
        <v>200</v>
      </c>
      <c r="E2455" t="s">
        <v>201</v>
      </c>
      <c r="F2455" t="s">
        <v>201</v>
      </c>
      <c r="G2455" t="s">
        <v>202</v>
      </c>
      <c r="H2455" t="s">
        <v>202</v>
      </c>
      <c r="I2455" t="s">
        <v>23</v>
      </c>
      <c r="J2455" t="s">
        <v>202</v>
      </c>
      <c r="K2455" s="2" t="s">
        <v>3310</v>
      </c>
      <c r="L2455" t="s">
        <v>26</v>
      </c>
      <c r="M2455">
        <v>363234</v>
      </c>
      <c r="N2455">
        <v>1</v>
      </c>
      <c r="O2455" s="3">
        <v>6138</v>
      </c>
      <c r="P2455">
        <v>1</v>
      </c>
      <c r="Q2455" s="5">
        <f t="shared" si="114"/>
        <v>5157.9831932773113</v>
      </c>
      <c r="R2455" s="5">
        <f t="shared" si="115"/>
        <v>1</v>
      </c>
      <c r="S2455" s="5">
        <f t="shared" si="116"/>
        <v>5156.9831932773113</v>
      </c>
    </row>
    <row r="2456" spans="1:19" hidden="1" x14ac:dyDescent="0.3">
      <c r="A2456">
        <v>140</v>
      </c>
      <c r="B2456" t="s">
        <v>3524</v>
      </c>
      <c r="C2456" t="s">
        <v>3927</v>
      </c>
      <c r="D2456" s="2" t="s">
        <v>3928</v>
      </c>
      <c r="E2456" t="s">
        <v>3619</v>
      </c>
      <c r="F2456" t="s">
        <v>20</v>
      </c>
      <c r="G2456" t="s">
        <v>21</v>
      </c>
      <c r="H2456" t="s">
        <v>874</v>
      </c>
      <c r="I2456" t="s">
        <v>23</v>
      </c>
      <c r="J2456" t="s">
        <v>95</v>
      </c>
      <c r="K2456" s="2" t="s">
        <v>3310</v>
      </c>
      <c r="L2456" t="s">
        <v>26</v>
      </c>
      <c r="M2456">
        <v>363235</v>
      </c>
      <c r="N2456">
        <v>1</v>
      </c>
      <c r="O2456" s="3">
        <v>39990</v>
      </c>
      <c r="P2456" s="3">
        <v>21627</v>
      </c>
      <c r="Q2456" s="5">
        <f t="shared" si="114"/>
        <v>33605.042016806721</v>
      </c>
      <c r="R2456" s="5">
        <f t="shared" si="115"/>
        <v>21627</v>
      </c>
      <c r="S2456" s="5">
        <f t="shared" si="116"/>
        <v>11978.042016806721</v>
      </c>
    </row>
    <row r="2457" spans="1:19" hidden="1" x14ac:dyDescent="0.3">
      <c r="A2457">
        <v>140</v>
      </c>
      <c r="B2457" t="s">
        <v>3524</v>
      </c>
      <c r="C2457" t="s">
        <v>2429</v>
      </c>
      <c r="D2457" s="2" t="s">
        <v>2430</v>
      </c>
      <c r="E2457" t="s">
        <v>1828</v>
      </c>
      <c r="F2457" t="s">
        <v>20</v>
      </c>
      <c r="G2457" t="s">
        <v>21</v>
      </c>
      <c r="H2457" t="s">
        <v>1689</v>
      </c>
      <c r="I2457" t="s">
        <v>23</v>
      </c>
      <c r="J2457" t="s">
        <v>49</v>
      </c>
      <c r="K2457" s="2" t="s">
        <v>3310</v>
      </c>
      <c r="L2457" t="s">
        <v>26</v>
      </c>
      <c r="M2457">
        <v>363236</v>
      </c>
      <c r="N2457">
        <v>-1</v>
      </c>
      <c r="O2457" s="3">
        <v>-69990</v>
      </c>
      <c r="P2457" s="3">
        <v>36616</v>
      </c>
      <c r="Q2457" s="5">
        <f t="shared" si="114"/>
        <v>-58815.126050420171</v>
      </c>
      <c r="R2457" s="5">
        <f t="shared" si="115"/>
        <v>-36616</v>
      </c>
      <c r="S2457" s="5">
        <f t="shared" si="116"/>
        <v>-22199.126050420171</v>
      </c>
    </row>
    <row r="2458" spans="1:19" hidden="1" x14ac:dyDescent="0.3">
      <c r="A2458">
        <v>140</v>
      </c>
      <c r="B2458" t="s">
        <v>3524</v>
      </c>
      <c r="C2458" t="s">
        <v>3315</v>
      </c>
      <c r="D2458" s="2" t="s">
        <v>3316</v>
      </c>
      <c r="E2458" t="s">
        <v>2888</v>
      </c>
      <c r="F2458" t="s">
        <v>20</v>
      </c>
      <c r="G2458" t="s">
        <v>21</v>
      </c>
      <c r="H2458" t="s">
        <v>2593</v>
      </c>
      <c r="I2458" t="s">
        <v>23</v>
      </c>
      <c r="J2458" t="s">
        <v>35</v>
      </c>
      <c r="K2458" s="2" t="s">
        <v>3310</v>
      </c>
      <c r="L2458" t="s">
        <v>26</v>
      </c>
      <c r="M2458">
        <v>363236</v>
      </c>
      <c r="N2458">
        <v>1</v>
      </c>
      <c r="O2458" s="3">
        <v>99950</v>
      </c>
      <c r="P2458" s="3">
        <v>38102</v>
      </c>
      <c r="Q2458" s="5">
        <f t="shared" si="114"/>
        <v>83991.596638655465</v>
      </c>
      <c r="R2458" s="5">
        <f t="shared" si="115"/>
        <v>38102</v>
      </c>
      <c r="S2458" s="5">
        <f t="shared" si="116"/>
        <v>45889.596638655465</v>
      </c>
    </row>
    <row r="2459" spans="1:19" hidden="1" x14ac:dyDescent="0.3">
      <c r="A2459">
        <v>140</v>
      </c>
      <c r="B2459" t="s">
        <v>3524</v>
      </c>
      <c r="C2459" t="s">
        <v>3101</v>
      </c>
      <c r="D2459" s="2" t="s">
        <v>3102</v>
      </c>
      <c r="E2459" t="s">
        <v>2566</v>
      </c>
      <c r="F2459" t="s">
        <v>20</v>
      </c>
      <c r="G2459" t="s">
        <v>21</v>
      </c>
      <c r="H2459" t="s">
        <v>1689</v>
      </c>
      <c r="I2459" t="s">
        <v>23</v>
      </c>
      <c r="J2459" t="s">
        <v>49</v>
      </c>
      <c r="K2459" s="2" t="s">
        <v>3310</v>
      </c>
      <c r="L2459" t="s">
        <v>26</v>
      </c>
      <c r="M2459">
        <v>363237</v>
      </c>
      <c r="N2459">
        <v>-1</v>
      </c>
      <c r="O2459" s="3">
        <v>-89950</v>
      </c>
      <c r="P2459" s="3">
        <v>37901</v>
      </c>
      <c r="Q2459" s="5">
        <f t="shared" si="114"/>
        <v>-75588.23529411765</v>
      </c>
      <c r="R2459" s="5">
        <f t="shared" si="115"/>
        <v>-37901</v>
      </c>
      <c r="S2459" s="5">
        <f t="shared" si="116"/>
        <v>-37687.23529411765</v>
      </c>
    </row>
    <row r="2460" spans="1:19" hidden="1" x14ac:dyDescent="0.3">
      <c r="A2460">
        <v>140</v>
      </c>
      <c r="B2460" t="s">
        <v>3524</v>
      </c>
      <c r="C2460" t="s">
        <v>4197</v>
      </c>
      <c r="D2460" s="2" t="s">
        <v>4198</v>
      </c>
      <c r="E2460" t="s">
        <v>2592</v>
      </c>
      <c r="F2460" t="s">
        <v>20</v>
      </c>
      <c r="G2460" t="s">
        <v>21</v>
      </c>
      <c r="H2460" t="s">
        <v>2593</v>
      </c>
      <c r="I2460" t="s">
        <v>23</v>
      </c>
      <c r="J2460" t="s">
        <v>35</v>
      </c>
      <c r="K2460" s="2" t="s">
        <v>3310</v>
      </c>
      <c r="L2460" t="s">
        <v>26</v>
      </c>
      <c r="M2460">
        <v>363237</v>
      </c>
      <c r="N2460">
        <v>1</v>
      </c>
      <c r="O2460" s="3">
        <v>99950</v>
      </c>
      <c r="P2460" s="3">
        <v>38102</v>
      </c>
      <c r="Q2460" s="5">
        <f t="shared" si="114"/>
        <v>83991.596638655465</v>
      </c>
      <c r="R2460" s="5">
        <f t="shared" si="115"/>
        <v>38102</v>
      </c>
      <c r="S2460" s="5">
        <f t="shared" si="116"/>
        <v>45889.596638655465</v>
      </c>
    </row>
    <row r="2461" spans="1:19" hidden="1" x14ac:dyDescent="0.3">
      <c r="A2461">
        <v>140</v>
      </c>
      <c r="B2461" t="s">
        <v>3524</v>
      </c>
      <c r="C2461" t="s">
        <v>4199</v>
      </c>
      <c r="D2461" s="2" t="s">
        <v>4200</v>
      </c>
      <c r="E2461" t="s">
        <v>4201</v>
      </c>
      <c r="F2461" t="s">
        <v>20</v>
      </c>
      <c r="G2461" t="s">
        <v>21</v>
      </c>
      <c r="H2461" t="s">
        <v>448</v>
      </c>
      <c r="I2461" t="s">
        <v>23</v>
      </c>
      <c r="J2461" t="s">
        <v>207</v>
      </c>
      <c r="K2461" s="2" t="s">
        <v>3310</v>
      </c>
      <c r="L2461" t="s">
        <v>26</v>
      </c>
      <c r="M2461">
        <v>363238</v>
      </c>
      <c r="N2461">
        <v>-1</v>
      </c>
      <c r="O2461" s="3">
        <v>-39990</v>
      </c>
      <c r="P2461" s="3">
        <v>25138</v>
      </c>
      <c r="Q2461" s="5">
        <f t="shared" si="114"/>
        <v>-33605.042016806721</v>
      </c>
      <c r="R2461" s="5">
        <f t="shared" si="115"/>
        <v>-25138</v>
      </c>
      <c r="S2461" s="5">
        <f t="shared" si="116"/>
        <v>-8467.0420168067212</v>
      </c>
    </row>
    <row r="2462" spans="1:19" hidden="1" x14ac:dyDescent="0.3">
      <c r="A2462">
        <v>140</v>
      </c>
      <c r="B2462" t="s">
        <v>3524</v>
      </c>
      <c r="C2462" t="s">
        <v>3156</v>
      </c>
      <c r="D2462" s="2" t="s">
        <v>3157</v>
      </c>
      <c r="E2462" t="s">
        <v>3158</v>
      </c>
      <c r="F2462" t="s">
        <v>20</v>
      </c>
      <c r="G2462" t="s">
        <v>21</v>
      </c>
      <c r="H2462" t="s">
        <v>406</v>
      </c>
      <c r="I2462" t="s">
        <v>23</v>
      </c>
      <c r="J2462" t="s">
        <v>407</v>
      </c>
      <c r="K2462" s="2" t="s">
        <v>3310</v>
      </c>
      <c r="L2462" t="s">
        <v>26</v>
      </c>
      <c r="M2462">
        <v>363238</v>
      </c>
      <c r="N2462">
        <v>1</v>
      </c>
      <c r="O2462" s="3">
        <v>44990</v>
      </c>
      <c r="P2462" s="3">
        <v>21598</v>
      </c>
      <c r="Q2462" s="5">
        <f t="shared" si="114"/>
        <v>37806.722689075636</v>
      </c>
      <c r="R2462" s="5">
        <f t="shared" si="115"/>
        <v>21598</v>
      </c>
      <c r="S2462" s="5">
        <f t="shared" si="116"/>
        <v>16208.722689075636</v>
      </c>
    </row>
    <row r="2463" spans="1:19" hidden="1" x14ac:dyDescent="0.3">
      <c r="A2463">
        <v>140</v>
      </c>
      <c r="B2463" t="s">
        <v>3524</v>
      </c>
      <c r="C2463" t="s">
        <v>4202</v>
      </c>
      <c r="D2463" s="2" t="s">
        <v>4203</v>
      </c>
      <c r="E2463" t="s">
        <v>485</v>
      </c>
      <c r="F2463" t="s">
        <v>20</v>
      </c>
      <c r="G2463" t="s">
        <v>21</v>
      </c>
      <c r="H2463" t="s">
        <v>247</v>
      </c>
      <c r="I2463" t="s">
        <v>23</v>
      </c>
      <c r="J2463" t="s">
        <v>40</v>
      </c>
      <c r="K2463" s="2" t="s">
        <v>3310</v>
      </c>
      <c r="L2463" t="s">
        <v>26</v>
      </c>
      <c r="M2463">
        <v>363239</v>
      </c>
      <c r="N2463">
        <v>1</v>
      </c>
      <c r="O2463" s="3">
        <v>34990</v>
      </c>
      <c r="P2463" s="3">
        <v>17194</v>
      </c>
      <c r="Q2463" s="5">
        <f t="shared" si="114"/>
        <v>29403.361344537818</v>
      </c>
      <c r="R2463" s="5">
        <f t="shared" si="115"/>
        <v>17194</v>
      </c>
      <c r="S2463" s="5">
        <f t="shared" si="116"/>
        <v>12209.361344537818</v>
      </c>
    </row>
    <row r="2464" spans="1:19" hidden="1" x14ac:dyDescent="0.3">
      <c r="A2464">
        <v>140</v>
      </c>
      <c r="B2464" t="s">
        <v>3524</v>
      </c>
      <c r="C2464" t="s">
        <v>4204</v>
      </c>
      <c r="D2464" s="2" t="s">
        <v>4205</v>
      </c>
      <c r="E2464" t="s">
        <v>3395</v>
      </c>
      <c r="F2464" t="s">
        <v>20</v>
      </c>
      <c r="G2464" t="s">
        <v>338</v>
      </c>
      <c r="H2464">
        <v>25459</v>
      </c>
      <c r="I2464" t="s">
        <v>23</v>
      </c>
      <c r="J2464" t="s">
        <v>35</v>
      </c>
      <c r="K2464" s="2" t="s">
        <v>3310</v>
      </c>
      <c r="L2464" t="s">
        <v>26</v>
      </c>
      <c r="M2464">
        <v>363240</v>
      </c>
      <c r="N2464">
        <v>1</v>
      </c>
      <c r="O2464" s="3">
        <v>99950</v>
      </c>
      <c r="P2464" s="3">
        <v>32113</v>
      </c>
      <c r="Q2464" s="5">
        <f t="shared" si="114"/>
        <v>83991.596638655465</v>
      </c>
      <c r="R2464" s="5">
        <f t="shared" si="115"/>
        <v>32113</v>
      </c>
      <c r="S2464" s="5">
        <f t="shared" si="116"/>
        <v>51878.596638655465</v>
      </c>
    </row>
    <row r="2465" spans="1:19" hidden="1" x14ac:dyDescent="0.3">
      <c r="A2465">
        <v>140</v>
      </c>
      <c r="B2465" t="s">
        <v>3524</v>
      </c>
      <c r="C2465" t="s">
        <v>4206</v>
      </c>
      <c r="D2465" s="2" t="s">
        <v>4207</v>
      </c>
      <c r="E2465" t="s">
        <v>2042</v>
      </c>
      <c r="F2465" t="s">
        <v>20</v>
      </c>
      <c r="G2465" t="s">
        <v>21</v>
      </c>
      <c r="H2465" t="s">
        <v>565</v>
      </c>
      <c r="I2465" t="s">
        <v>23</v>
      </c>
      <c r="J2465" t="s">
        <v>49</v>
      </c>
      <c r="K2465" s="2" t="s">
        <v>3310</v>
      </c>
      <c r="L2465" t="s">
        <v>26</v>
      </c>
      <c r="M2465">
        <v>363241</v>
      </c>
      <c r="N2465">
        <v>1</v>
      </c>
      <c r="O2465" s="3">
        <v>59450</v>
      </c>
      <c r="P2465" s="3">
        <v>24279</v>
      </c>
      <c r="Q2465" s="5">
        <f t="shared" si="114"/>
        <v>49957.983193277316</v>
      </c>
      <c r="R2465" s="5">
        <f t="shared" si="115"/>
        <v>24279</v>
      </c>
      <c r="S2465" s="5">
        <f t="shared" si="116"/>
        <v>25678.983193277316</v>
      </c>
    </row>
    <row r="2466" spans="1:19" hidden="1" x14ac:dyDescent="0.3">
      <c r="A2466">
        <v>140</v>
      </c>
      <c r="B2466" t="s">
        <v>3524</v>
      </c>
      <c r="C2466" t="s">
        <v>4208</v>
      </c>
      <c r="D2466" s="2" t="s">
        <v>4209</v>
      </c>
      <c r="E2466" t="s">
        <v>2262</v>
      </c>
      <c r="F2466" t="s">
        <v>20</v>
      </c>
      <c r="G2466" t="s">
        <v>21</v>
      </c>
      <c r="H2466" t="s">
        <v>565</v>
      </c>
      <c r="I2466" t="s">
        <v>23</v>
      </c>
      <c r="J2466" t="s">
        <v>49</v>
      </c>
      <c r="K2466" s="2" t="s">
        <v>3310</v>
      </c>
      <c r="L2466" t="s">
        <v>26</v>
      </c>
      <c r="M2466">
        <v>363242</v>
      </c>
      <c r="N2466">
        <v>1</v>
      </c>
      <c r="O2466" s="3">
        <v>55960</v>
      </c>
      <c r="P2466" s="3">
        <v>23820</v>
      </c>
      <c r="Q2466" s="5">
        <f t="shared" si="114"/>
        <v>47025.210084033613</v>
      </c>
      <c r="R2466" s="5">
        <f t="shared" si="115"/>
        <v>23820</v>
      </c>
      <c r="S2466" s="5">
        <f t="shared" si="116"/>
        <v>23205.210084033613</v>
      </c>
    </row>
    <row r="2467" spans="1:19" hidden="1" x14ac:dyDescent="0.3">
      <c r="A2467">
        <v>140</v>
      </c>
      <c r="B2467" t="s">
        <v>3524</v>
      </c>
      <c r="C2467" t="s">
        <v>1037</v>
      </c>
      <c r="D2467" s="2" t="s">
        <v>1038</v>
      </c>
      <c r="E2467" t="s">
        <v>1039</v>
      </c>
      <c r="F2467" t="s">
        <v>377</v>
      </c>
      <c r="G2467" t="s">
        <v>21</v>
      </c>
      <c r="H2467" t="s">
        <v>378</v>
      </c>
      <c r="I2467" t="s">
        <v>23</v>
      </c>
      <c r="J2467" t="s">
        <v>379</v>
      </c>
      <c r="K2467" s="2" t="s">
        <v>3310</v>
      </c>
      <c r="L2467" t="s">
        <v>26</v>
      </c>
      <c r="M2467">
        <v>363242</v>
      </c>
      <c r="N2467">
        <v>1</v>
      </c>
      <c r="O2467" s="3">
        <v>5950</v>
      </c>
      <c r="P2467" s="3">
        <v>3257</v>
      </c>
      <c r="Q2467" s="5">
        <f t="shared" si="114"/>
        <v>5000</v>
      </c>
      <c r="R2467" s="5">
        <f t="shared" si="115"/>
        <v>3257</v>
      </c>
      <c r="S2467" s="5">
        <f t="shared" si="116"/>
        <v>1743</v>
      </c>
    </row>
    <row r="2468" spans="1:19" hidden="1" x14ac:dyDescent="0.3">
      <c r="A2468">
        <v>140</v>
      </c>
      <c r="B2468" t="s">
        <v>3524</v>
      </c>
      <c r="C2468" t="s">
        <v>2376</v>
      </c>
      <c r="D2468" s="2" t="s">
        <v>2377</v>
      </c>
      <c r="E2468" t="s">
        <v>2378</v>
      </c>
      <c r="F2468" t="s">
        <v>20</v>
      </c>
      <c r="G2468" t="s">
        <v>21</v>
      </c>
      <c r="H2468" t="s">
        <v>2379</v>
      </c>
      <c r="I2468" t="s">
        <v>23</v>
      </c>
      <c r="J2468" t="s">
        <v>40</v>
      </c>
      <c r="K2468" s="2" t="s">
        <v>3310</v>
      </c>
      <c r="L2468" t="s">
        <v>26</v>
      </c>
      <c r="M2468">
        <v>363243</v>
      </c>
      <c r="N2468">
        <v>1</v>
      </c>
      <c r="O2468" s="3">
        <v>39990</v>
      </c>
      <c r="P2468" s="3">
        <v>15583</v>
      </c>
      <c r="Q2468" s="5">
        <f t="shared" si="114"/>
        <v>33605.042016806721</v>
      </c>
      <c r="R2468" s="5">
        <f t="shared" si="115"/>
        <v>15583</v>
      </c>
      <c r="S2468" s="5">
        <f t="shared" si="116"/>
        <v>18022.042016806721</v>
      </c>
    </row>
    <row r="2469" spans="1:19" hidden="1" x14ac:dyDescent="0.3">
      <c r="A2469">
        <v>140</v>
      </c>
      <c r="B2469" t="s">
        <v>3524</v>
      </c>
      <c r="C2469" t="s">
        <v>1566</v>
      </c>
      <c r="D2469" s="2" t="s">
        <v>1567</v>
      </c>
      <c r="E2469" t="s">
        <v>1568</v>
      </c>
      <c r="F2469" t="s">
        <v>20</v>
      </c>
      <c r="G2469" t="s">
        <v>21</v>
      </c>
      <c r="H2469" t="s">
        <v>199</v>
      </c>
      <c r="I2469" t="s">
        <v>23</v>
      </c>
      <c r="J2469" t="s">
        <v>49</v>
      </c>
      <c r="K2469" s="2" t="s">
        <v>3310</v>
      </c>
      <c r="L2469" t="s">
        <v>26</v>
      </c>
      <c r="M2469">
        <v>363244</v>
      </c>
      <c r="N2469">
        <v>1</v>
      </c>
      <c r="O2469" s="3">
        <v>44990</v>
      </c>
      <c r="P2469" s="3">
        <v>25178</v>
      </c>
      <c r="Q2469" s="5">
        <f t="shared" si="114"/>
        <v>37806.722689075636</v>
      </c>
      <c r="R2469" s="5">
        <f t="shared" si="115"/>
        <v>25178</v>
      </c>
      <c r="S2469" s="5">
        <f t="shared" si="116"/>
        <v>12628.722689075636</v>
      </c>
    </row>
    <row r="2470" spans="1:19" hidden="1" x14ac:dyDescent="0.3">
      <c r="A2470">
        <v>140</v>
      </c>
      <c r="B2470" t="s">
        <v>3524</v>
      </c>
      <c r="C2470" t="s">
        <v>1566</v>
      </c>
      <c r="D2470" s="2" t="s">
        <v>1567</v>
      </c>
      <c r="E2470" t="s">
        <v>1568</v>
      </c>
      <c r="F2470" t="s">
        <v>20</v>
      </c>
      <c r="G2470" t="s">
        <v>21</v>
      </c>
      <c r="H2470" t="s">
        <v>199</v>
      </c>
      <c r="I2470" t="s">
        <v>23</v>
      </c>
      <c r="J2470" t="s">
        <v>49</v>
      </c>
      <c r="K2470" s="2" t="s">
        <v>3310</v>
      </c>
      <c r="L2470" t="s">
        <v>26</v>
      </c>
      <c r="M2470">
        <v>363245</v>
      </c>
      <c r="N2470">
        <v>1</v>
      </c>
      <c r="O2470" s="3">
        <v>44990</v>
      </c>
      <c r="P2470" s="3">
        <v>25178</v>
      </c>
      <c r="Q2470" s="5">
        <f t="shared" si="114"/>
        <v>37806.722689075636</v>
      </c>
      <c r="R2470" s="5">
        <f t="shared" si="115"/>
        <v>25178</v>
      </c>
      <c r="S2470" s="5">
        <f t="shared" si="116"/>
        <v>12628.722689075636</v>
      </c>
    </row>
    <row r="2471" spans="1:19" hidden="1" x14ac:dyDescent="0.3">
      <c r="A2471">
        <v>140</v>
      </c>
      <c r="B2471" t="s">
        <v>3524</v>
      </c>
      <c r="C2471" t="s">
        <v>3358</v>
      </c>
      <c r="D2471" s="2" t="s">
        <v>3359</v>
      </c>
      <c r="E2471" t="s">
        <v>2069</v>
      </c>
      <c r="F2471" t="s">
        <v>20</v>
      </c>
      <c r="G2471" t="s">
        <v>21</v>
      </c>
      <c r="H2471" t="s">
        <v>2070</v>
      </c>
      <c r="I2471" t="s">
        <v>23</v>
      </c>
      <c r="J2471" t="s">
        <v>35</v>
      </c>
      <c r="K2471" s="2" t="s">
        <v>3310</v>
      </c>
      <c r="L2471" t="s">
        <v>26</v>
      </c>
      <c r="M2471">
        <v>363246</v>
      </c>
      <c r="N2471">
        <v>1</v>
      </c>
      <c r="O2471" s="3">
        <v>89950</v>
      </c>
      <c r="P2471" s="3">
        <v>29635</v>
      </c>
      <c r="Q2471" s="5">
        <f t="shared" si="114"/>
        <v>75588.23529411765</v>
      </c>
      <c r="R2471" s="5">
        <f t="shared" si="115"/>
        <v>29635</v>
      </c>
      <c r="S2471" s="5">
        <f t="shared" si="116"/>
        <v>45953.23529411765</v>
      </c>
    </row>
    <row r="2472" spans="1:19" hidden="1" x14ac:dyDescent="0.3">
      <c r="A2472">
        <v>140</v>
      </c>
      <c r="B2472" t="s">
        <v>3524</v>
      </c>
      <c r="C2472" t="s">
        <v>3765</v>
      </c>
      <c r="D2472" s="2" t="s">
        <v>3766</v>
      </c>
      <c r="E2472" t="s">
        <v>717</v>
      </c>
      <c r="F2472" t="s">
        <v>20</v>
      </c>
      <c r="G2472" t="s">
        <v>21</v>
      </c>
      <c r="H2472" t="s">
        <v>718</v>
      </c>
      <c r="I2472" t="s">
        <v>23</v>
      </c>
      <c r="J2472" t="s">
        <v>49</v>
      </c>
      <c r="K2472" s="2" t="s">
        <v>3310</v>
      </c>
      <c r="L2472" t="s">
        <v>26</v>
      </c>
      <c r="M2472">
        <v>363247</v>
      </c>
      <c r="N2472">
        <v>-1</v>
      </c>
      <c r="O2472" s="3">
        <v>-39990</v>
      </c>
      <c r="P2472" s="3">
        <v>26655</v>
      </c>
      <c r="Q2472" s="5">
        <f t="shared" si="114"/>
        <v>-33605.042016806721</v>
      </c>
      <c r="R2472" s="5">
        <f t="shared" si="115"/>
        <v>-26655</v>
      </c>
      <c r="S2472" s="5">
        <f t="shared" si="116"/>
        <v>-6950.0420168067212</v>
      </c>
    </row>
    <row r="2473" spans="1:19" hidden="1" x14ac:dyDescent="0.3">
      <c r="A2473">
        <v>140</v>
      </c>
      <c r="B2473" t="s">
        <v>3524</v>
      </c>
      <c r="C2473" t="s">
        <v>4210</v>
      </c>
      <c r="D2473" s="2" t="s">
        <v>4211</v>
      </c>
      <c r="E2473" t="s">
        <v>1568</v>
      </c>
      <c r="F2473" t="s">
        <v>20</v>
      </c>
      <c r="G2473" t="s">
        <v>21</v>
      </c>
      <c r="H2473" t="s">
        <v>199</v>
      </c>
      <c r="I2473" t="s">
        <v>23</v>
      </c>
      <c r="J2473" t="s">
        <v>49</v>
      </c>
      <c r="K2473" s="2" t="s">
        <v>3310</v>
      </c>
      <c r="L2473" t="s">
        <v>26</v>
      </c>
      <c r="M2473">
        <v>363247</v>
      </c>
      <c r="N2473">
        <v>1</v>
      </c>
      <c r="O2473" s="3">
        <v>44990</v>
      </c>
      <c r="P2473" s="3">
        <v>25178</v>
      </c>
      <c r="Q2473" s="5">
        <f t="shared" si="114"/>
        <v>37806.722689075636</v>
      </c>
      <c r="R2473" s="5">
        <f t="shared" si="115"/>
        <v>25178</v>
      </c>
      <c r="S2473" s="5">
        <f t="shared" si="116"/>
        <v>12628.722689075636</v>
      </c>
    </row>
    <row r="2474" spans="1:19" hidden="1" x14ac:dyDescent="0.3">
      <c r="A2474">
        <v>140</v>
      </c>
      <c r="B2474" t="s">
        <v>3524</v>
      </c>
      <c r="C2474" t="s">
        <v>4212</v>
      </c>
      <c r="D2474" s="2" t="s">
        <v>4213</v>
      </c>
      <c r="E2474" t="s">
        <v>1443</v>
      </c>
      <c r="F2474" t="s">
        <v>20</v>
      </c>
      <c r="G2474" t="s">
        <v>338</v>
      </c>
      <c r="H2474">
        <v>25301</v>
      </c>
      <c r="I2474" t="s">
        <v>23</v>
      </c>
      <c r="J2474" t="s">
        <v>35</v>
      </c>
      <c r="K2474" s="2" t="s">
        <v>3310</v>
      </c>
      <c r="L2474" t="s">
        <v>26</v>
      </c>
      <c r="M2474">
        <v>363248</v>
      </c>
      <c r="N2474">
        <v>1</v>
      </c>
      <c r="O2474" s="3">
        <v>99950</v>
      </c>
      <c r="P2474" s="3">
        <v>34157</v>
      </c>
      <c r="Q2474" s="5">
        <f t="shared" si="114"/>
        <v>83991.596638655465</v>
      </c>
      <c r="R2474" s="5">
        <f t="shared" si="115"/>
        <v>34157</v>
      </c>
      <c r="S2474" s="5">
        <f t="shared" si="116"/>
        <v>49834.596638655465</v>
      </c>
    </row>
    <row r="2475" spans="1:19" hidden="1" x14ac:dyDescent="0.3">
      <c r="A2475">
        <v>140</v>
      </c>
      <c r="B2475" t="s">
        <v>3524</v>
      </c>
      <c r="C2475" t="s">
        <v>4214</v>
      </c>
      <c r="D2475" s="2" t="s">
        <v>4215</v>
      </c>
      <c r="E2475" t="s">
        <v>4109</v>
      </c>
      <c r="F2475" t="s">
        <v>20</v>
      </c>
      <c r="G2475" t="s">
        <v>21</v>
      </c>
      <c r="H2475" t="s">
        <v>818</v>
      </c>
      <c r="I2475" t="s">
        <v>23</v>
      </c>
      <c r="J2475" t="s">
        <v>35</v>
      </c>
      <c r="K2475" s="2" t="s">
        <v>3310</v>
      </c>
      <c r="L2475" t="s">
        <v>26</v>
      </c>
      <c r="M2475">
        <v>363249</v>
      </c>
      <c r="N2475">
        <v>1</v>
      </c>
      <c r="O2475" s="3">
        <v>76450</v>
      </c>
      <c r="P2475" s="3">
        <v>33186</v>
      </c>
      <c r="Q2475" s="5">
        <f t="shared" si="114"/>
        <v>64243.697478991598</v>
      </c>
      <c r="R2475" s="5">
        <f t="shared" si="115"/>
        <v>33186</v>
      </c>
      <c r="S2475" s="5">
        <f t="shared" si="116"/>
        <v>31057.697478991598</v>
      </c>
    </row>
    <row r="2476" spans="1:19" hidden="1" x14ac:dyDescent="0.3">
      <c r="A2476">
        <v>140</v>
      </c>
      <c r="B2476" t="s">
        <v>3524</v>
      </c>
      <c r="C2476" t="s">
        <v>3615</v>
      </c>
      <c r="D2476" s="2" t="s">
        <v>3616</v>
      </c>
      <c r="E2476" t="s">
        <v>938</v>
      </c>
      <c r="F2476" t="s">
        <v>20</v>
      </c>
      <c r="G2476" t="s">
        <v>21</v>
      </c>
      <c r="H2476" t="s">
        <v>317</v>
      </c>
      <c r="I2476" t="s">
        <v>23</v>
      </c>
      <c r="J2476" t="s">
        <v>35</v>
      </c>
      <c r="K2476" s="2" t="s">
        <v>3310</v>
      </c>
      <c r="L2476" t="s">
        <v>26</v>
      </c>
      <c r="M2476">
        <v>363249</v>
      </c>
      <c r="N2476">
        <v>-1</v>
      </c>
      <c r="O2476" s="3">
        <v>-59450</v>
      </c>
      <c r="P2476" s="3">
        <v>27213</v>
      </c>
      <c r="Q2476" s="5">
        <f t="shared" si="114"/>
        <v>-49957.983193277316</v>
      </c>
      <c r="R2476" s="5">
        <f t="shared" si="115"/>
        <v>-27213</v>
      </c>
      <c r="S2476" s="5">
        <f t="shared" si="116"/>
        <v>-22744.983193277316</v>
      </c>
    </row>
    <row r="2477" spans="1:19" hidden="1" x14ac:dyDescent="0.3">
      <c r="A2477">
        <v>140</v>
      </c>
      <c r="B2477" t="s">
        <v>3524</v>
      </c>
      <c r="C2477" t="s">
        <v>1037</v>
      </c>
      <c r="D2477" s="2" t="s">
        <v>1038</v>
      </c>
      <c r="E2477" t="s">
        <v>1039</v>
      </c>
      <c r="F2477" t="s">
        <v>377</v>
      </c>
      <c r="G2477" t="s">
        <v>21</v>
      </c>
      <c r="H2477" t="s">
        <v>378</v>
      </c>
      <c r="I2477" t="s">
        <v>23</v>
      </c>
      <c r="J2477" t="s">
        <v>379</v>
      </c>
      <c r="K2477" s="2" t="s">
        <v>3310</v>
      </c>
      <c r="L2477" t="s">
        <v>26</v>
      </c>
      <c r="M2477">
        <v>363249</v>
      </c>
      <c r="N2477">
        <v>1</v>
      </c>
      <c r="O2477" s="3">
        <v>5950</v>
      </c>
      <c r="P2477" s="3">
        <v>3257</v>
      </c>
      <c r="Q2477" s="5">
        <f t="shared" si="114"/>
        <v>5000</v>
      </c>
      <c r="R2477" s="5">
        <f t="shared" si="115"/>
        <v>3257</v>
      </c>
      <c r="S2477" s="5">
        <f t="shared" si="116"/>
        <v>1743</v>
      </c>
    </row>
    <row r="2478" spans="1:19" hidden="1" x14ac:dyDescent="0.3">
      <c r="A2478">
        <v>140</v>
      </c>
      <c r="B2478" t="s">
        <v>3524</v>
      </c>
      <c r="C2478" t="s">
        <v>1761</v>
      </c>
      <c r="D2478" s="2" t="s">
        <v>1762</v>
      </c>
      <c r="E2478" t="s">
        <v>1763</v>
      </c>
      <c r="F2478" t="s">
        <v>377</v>
      </c>
      <c r="G2478" t="s">
        <v>21</v>
      </c>
      <c r="H2478" t="s">
        <v>378</v>
      </c>
      <c r="I2478" t="s">
        <v>23</v>
      </c>
      <c r="J2478" t="s">
        <v>379</v>
      </c>
      <c r="K2478" s="2" t="s">
        <v>3310</v>
      </c>
      <c r="L2478" t="s">
        <v>26</v>
      </c>
      <c r="M2478">
        <v>363249</v>
      </c>
      <c r="N2478">
        <v>1</v>
      </c>
      <c r="O2478" s="3">
        <v>5950</v>
      </c>
      <c r="P2478" s="3">
        <v>3279</v>
      </c>
      <c r="Q2478" s="5">
        <f t="shared" si="114"/>
        <v>5000</v>
      </c>
      <c r="R2478" s="5">
        <f t="shared" si="115"/>
        <v>3279</v>
      </c>
      <c r="S2478" s="5">
        <f t="shared" si="116"/>
        <v>1721</v>
      </c>
    </row>
    <row r="2479" spans="1:19" hidden="1" x14ac:dyDescent="0.3">
      <c r="A2479">
        <v>140</v>
      </c>
      <c r="B2479" t="s">
        <v>3524</v>
      </c>
      <c r="C2479" t="s">
        <v>3109</v>
      </c>
      <c r="D2479" s="2" t="s">
        <v>3110</v>
      </c>
      <c r="E2479" t="s">
        <v>2378</v>
      </c>
      <c r="F2479" t="s">
        <v>20</v>
      </c>
      <c r="G2479" t="s">
        <v>21</v>
      </c>
      <c r="H2479" t="s">
        <v>2379</v>
      </c>
      <c r="I2479" t="s">
        <v>23</v>
      </c>
      <c r="J2479" t="s">
        <v>40</v>
      </c>
      <c r="K2479" s="2" t="s">
        <v>3310</v>
      </c>
      <c r="L2479" t="s">
        <v>26</v>
      </c>
      <c r="M2479">
        <v>363250</v>
      </c>
      <c r="N2479">
        <v>1</v>
      </c>
      <c r="O2479" s="3">
        <v>39990</v>
      </c>
      <c r="P2479" s="3">
        <v>15732</v>
      </c>
      <c r="Q2479" s="5">
        <f t="shared" si="114"/>
        <v>33605.042016806721</v>
      </c>
      <c r="R2479" s="5">
        <f t="shared" si="115"/>
        <v>15732</v>
      </c>
      <c r="S2479" s="5">
        <f t="shared" si="116"/>
        <v>17873.042016806721</v>
      </c>
    </row>
    <row r="2480" spans="1:19" hidden="1" x14ac:dyDescent="0.3">
      <c r="A2480">
        <v>140</v>
      </c>
      <c r="B2480" t="s">
        <v>3524</v>
      </c>
      <c r="C2480" t="s">
        <v>3315</v>
      </c>
      <c r="D2480" s="2" t="s">
        <v>3316</v>
      </c>
      <c r="E2480" t="s">
        <v>2888</v>
      </c>
      <c r="F2480" t="s">
        <v>20</v>
      </c>
      <c r="G2480" t="s">
        <v>21</v>
      </c>
      <c r="H2480" t="s">
        <v>2593</v>
      </c>
      <c r="I2480" t="s">
        <v>23</v>
      </c>
      <c r="J2480" t="s">
        <v>35</v>
      </c>
      <c r="K2480" s="2" t="s">
        <v>3310</v>
      </c>
      <c r="L2480" t="s">
        <v>26</v>
      </c>
      <c r="M2480">
        <v>363251</v>
      </c>
      <c r="N2480">
        <v>1</v>
      </c>
      <c r="O2480" s="3">
        <v>79960</v>
      </c>
      <c r="P2480" s="3">
        <v>38102</v>
      </c>
      <c r="Q2480" s="5">
        <f t="shared" si="114"/>
        <v>67193.277310924372</v>
      </c>
      <c r="R2480" s="5">
        <f t="shared" si="115"/>
        <v>38102</v>
      </c>
      <c r="S2480" s="5">
        <f t="shared" si="116"/>
        <v>29091.277310924372</v>
      </c>
    </row>
    <row r="2481" spans="1:19" hidden="1" x14ac:dyDescent="0.3">
      <c r="A2481">
        <v>140</v>
      </c>
      <c r="B2481" t="s">
        <v>3524</v>
      </c>
      <c r="C2481" t="s">
        <v>3373</v>
      </c>
      <c r="D2481" s="2" t="s">
        <v>3374</v>
      </c>
      <c r="E2481" t="s">
        <v>3091</v>
      </c>
      <c r="F2481" t="s">
        <v>20</v>
      </c>
      <c r="G2481" t="s">
        <v>338</v>
      </c>
      <c r="H2481">
        <v>26266</v>
      </c>
      <c r="I2481" t="s">
        <v>23</v>
      </c>
      <c r="J2481" t="s">
        <v>35</v>
      </c>
      <c r="K2481" s="2" t="s">
        <v>3310</v>
      </c>
      <c r="L2481" t="s">
        <v>26</v>
      </c>
      <c r="M2481">
        <v>363252</v>
      </c>
      <c r="N2481">
        <v>1</v>
      </c>
      <c r="O2481" s="3">
        <v>67950</v>
      </c>
      <c r="P2481" s="3">
        <v>25300</v>
      </c>
      <c r="Q2481" s="5">
        <f t="shared" si="114"/>
        <v>57100.840336134454</v>
      </c>
      <c r="R2481" s="5">
        <f t="shared" si="115"/>
        <v>25300</v>
      </c>
      <c r="S2481" s="5">
        <f t="shared" si="116"/>
        <v>31800.840336134454</v>
      </c>
    </row>
    <row r="2482" spans="1:19" hidden="1" x14ac:dyDescent="0.3">
      <c r="A2482">
        <v>140</v>
      </c>
      <c r="B2482" t="s">
        <v>3524</v>
      </c>
      <c r="C2482" t="s">
        <v>2266</v>
      </c>
      <c r="D2482" s="2" t="s">
        <v>2267</v>
      </c>
      <c r="E2482" t="s">
        <v>2069</v>
      </c>
      <c r="F2482" t="s">
        <v>20</v>
      </c>
      <c r="G2482" t="s">
        <v>21</v>
      </c>
      <c r="H2482" t="s">
        <v>2070</v>
      </c>
      <c r="I2482" t="s">
        <v>23</v>
      </c>
      <c r="J2482" t="s">
        <v>35</v>
      </c>
      <c r="K2482" s="2" t="s">
        <v>3310</v>
      </c>
      <c r="L2482" t="s">
        <v>26</v>
      </c>
      <c r="M2482">
        <v>363253</v>
      </c>
      <c r="N2482">
        <v>1</v>
      </c>
      <c r="O2482" s="3">
        <v>89950</v>
      </c>
      <c r="P2482" s="3">
        <v>29635</v>
      </c>
      <c r="Q2482" s="5">
        <f t="shared" si="114"/>
        <v>75588.23529411765</v>
      </c>
      <c r="R2482" s="5">
        <f t="shared" si="115"/>
        <v>29635</v>
      </c>
      <c r="S2482" s="5">
        <f t="shared" si="116"/>
        <v>45953.23529411765</v>
      </c>
    </row>
    <row r="2483" spans="1:19" hidden="1" x14ac:dyDescent="0.3">
      <c r="A2483">
        <v>140</v>
      </c>
      <c r="B2483" t="s">
        <v>3524</v>
      </c>
      <c r="C2483" t="s">
        <v>3369</v>
      </c>
      <c r="D2483" s="2" t="s">
        <v>3370</v>
      </c>
      <c r="E2483" t="s">
        <v>2771</v>
      </c>
      <c r="F2483" t="s">
        <v>20</v>
      </c>
      <c r="G2483" t="s">
        <v>21</v>
      </c>
      <c r="H2483" t="s">
        <v>57</v>
      </c>
      <c r="I2483" t="s">
        <v>23</v>
      </c>
      <c r="J2483" t="s">
        <v>35</v>
      </c>
      <c r="K2483" s="2" t="s">
        <v>3310</v>
      </c>
      <c r="L2483" t="s">
        <v>26</v>
      </c>
      <c r="M2483">
        <v>363254</v>
      </c>
      <c r="N2483">
        <v>1</v>
      </c>
      <c r="O2483" s="3">
        <v>79990</v>
      </c>
      <c r="P2483" s="3">
        <v>29189</v>
      </c>
      <c r="Q2483" s="5">
        <f t="shared" si="114"/>
        <v>67218.487394957992</v>
      </c>
      <c r="R2483" s="5">
        <f t="shared" si="115"/>
        <v>29189</v>
      </c>
      <c r="S2483" s="5">
        <f t="shared" si="116"/>
        <v>38029.487394957992</v>
      </c>
    </row>
    <row r="2484" spans="1:19" hidden="1" x14ac:dyDescent="0.3">
      <c r="A2484">
        <v>140</v>
      </c>
      <c r="B2484" t="s">
        <v>3524</v>
      </c>
      <c r="C2484" t="s">
        <v>4216</v>
      </c>
      <c r="D2484" s="2" t="s">
        <v>4217</v>
      </c>
      <c r="E2484" t="s">
        <v>3531</v>
      </c>
      <c r="F2484" t="s">
        <v>20</v>
      </c>
      <c r="G2484" t="s">
        <v>338</v>
      </c>
      <c r="H2484">
        <v>84316</v>
      </c>
      <c r="I2484" t="s">
        <v>23</v>
      </c>
      <c r="J2484" t="s">
        <v>49</v>
      </c>
      <c r="K2484" s="2" t="s">
        <v>3310</v>
      </c>
      <c r="L2484" t="s">
        <v>26</v>
      </c>
      <c r="M2484">
        <v>363255</v>
      </c>
      <c r="N2484">
        <v>1</v>
      </c>
      <c r="O2484" s="3">
        <v>89950</v>
      </c>
      <c r="P2484" s="3">
        <v>31128</v>
      </c>
      <c r="Q2484" s="5">
        <f t="shared" si="114"/>
        <v>75588.23529411765</v>
      </c>
      <c r="R2484" s="5">
        <f t="shared" si="115"/>
        <v>31128</v>
      </c>
      <c r="S2484" s="5">
        <f t="shared" si="116"/>
        <v>44460.23529411765</v>
      </c>
    </row>
    <row r="2485" spans="1:19" hidden="1" x14ac:dyDescent="0.3">
      <c r="A2485">
        <v>140</v>
      </c>
      <c r="B2485" t="s">
        <v>3524</v>
      </c>
      <c r="C2485" t="s">
        <v>2040</v>
      </c>
      <c r="D2485" s="2" t="s">
        <v>2041</v>
      </c>
      <c r="E2485" t="s">
        <v>2042</v>
      </c>
      <c r="F2485" t="s">
        <v>20</v>
      </c>
      <c r="G2485" t="s">
        <v>21</v>
      </c>
      <c r="H2485" t="s">
        <v>565</v>
      </c>
      <c r="I2485" t="s">
        <v>23</v>
      </c>
      <c r="J2485" t="s">
        <v>49</v>
      </c>
      <c r="K2485" s="2" t="s">
        <v>3310</v>
      </c>
      <c r="L2485" t="s">
        <v>26</v>
      </c>
      <c r="M2485">
        <v>363256</v>
      </c>
      <c r="N2485">
        <v>1</v>
      </c>
      <c r="O2485" s="3">
        <v>69950</v>
      </c>
      <c r="P2485" s="3">
        <v>24581</v>
      </c>
      <c r="Q2485" s="5">
        <f t="shared" si="114"/>
        <v>58781.512605042022</v>
      </c>
      <c r="R2485" s="5">
        <f t="shared" si="115"/>
        <v>24581</v>
      </c>
      <c r="S2485" s="5">
        <f t="shared" si="116"/>
        <v>34200.512605042022</v>
      </c>
    </row>
    <row r="2486" spans="1:19" hidden="1" x14ac:dyDescent="0.3">
      <c r="A2486">
        <v>140</v>
      </c>
      <c r="B2486" t="s">
        <v>3524</v>
      </c>
      <c r="C2486" t="s">
        <v>4218</v>
      </c>
      <c r="D2486" s="2" t="s">
        <v>4219</v>
      </c>
      <c r="E2486" t="s">
        <v>957</v>
      </c>
      <c r="F2486" t="s">
        <v>20</v>
      </c>
      <c r="G2486" t="s">
        <v>21</v>
      </c>
      <c r="H2486" t="s">
        <v>958</v>
      </c>
      <c r="I2486" t="s">
        <v>23</v>
      </c>
      <c r="J2486" t="s">
        <v>40</v>
      </c>
      <c r="K2486" s="2" t="s">
        <v>3310</v>
      </c>
      <c r="L2486" t="s">
        <v>26</v>
      </c>
      <c r="M2486">
        <v>363256</v>
      </c>
      <c r="N2486">
        <v>1</v>
      </c>
      <c r="O2486" s="3">
        <v>34990</v>
      </c>
      <c r="P2486" s="3">
        <v>15744</v>
      </c>
      <c r="Q2486" s="5">
        <f t="shared" si="114"/>
        <v>29403.361344537818</v>
      </c>
      <c r="R2486" s="5">
        <f t="shared" si="115"/>
        <v>15744</v>
      </c>
      <c r="S2486" s="5">
        <f t="shared" si="116"/>
        <v>13659.361344537818</v>
      </c>
    </row>
    <row r="2487" spans="1:19" hidden="1" x14ac:dyDescent="0.3">
      <c r="A2487">
        <v>140</v>
      </c>
      <c r="B2487" t="s">
        <v>3524</v>
      </c>
      <c r="C2487" t="s">
        <v>3389</v>
      </c>
      <c r="D2487" s="2" t="s">
        <v>3390</v>
      </c>
      <c r="E2487" t="s">
        <v>1706</v>
      </c>
      <c r="F2487" t="s">
        <v>20</v>
      </c>
      <c r="G2487" t="s">
        <v>338</v>
      </c>
      <c r="H2487">
        <v>23201</v>
      </c>
      <c r="I2487" t="s">
        <v>23</v>
      </c>
      <c r="J2487" t="s">
        <v>49</v>
      </c>
      <c r="K2487" s="2" t="s">
        <v>3310</v>
      </c>
      <c r="L2487" t="s">
        <v>26</v>
      </c>
      <c r="M2487">
        <v>363257</v>
      </c>
      <c r="N2487">
        <v>1</v>
      </c>
      <c r="O2487" s="3">
        <v>84950</v>
      </c>
      <c r="P2487" s="3">
        <v>26390</v>
      </c>
      <c r="Q2487" s="5">
        <f t="shared" si="114"/>
        <v>71386.554621848743</v>
      </c>
      <c r="R2487" s="5">
        <f t="shared" si="115"/>
        <v>26390</v>
      </c>
      <c r="S2487" s="5">
        <f t="shared" si="116"/>
        <v>44996.554621848743</v>
      </c>
    </row>
    <row r="2488" spans="1:19" hidden="1" x14ac:dyDescent="0.3">
      <c r="A2488">
        <v>140</v>
      </c>
      <c r="B2488" t="s">
        <v>3524</v>
      </c>
      <c r="C2488" t="s">
        <v>2328</v>
      </c>
      <c r="D2488" s="2" t="s">
        <v>2329</v>
      </c>
      <c r="E2488" t="s">
        <v>2330</v>
      </c>
      <c r="F2488" t="s">
        <v>20</v>
      </c>
      <c r="G2488" t="s">
        <v>21</v>
      </c>
      <c r="H2488" t="s">
        <v>839</v>
      </c>
      <c r="I2488" t="s">
        <v>23</v>
      </c>
      <c r="J2488" t="s">
        <v>40</v>
      </c>
      <c r="K2488" s="2" t="s">
        <v>3310</v>
      </c>
      <c r="L2488" t="s">
        <v>26</v>
      </c>
      <c r="M2488">
        <v>363258</v>
      </c>
      <c r="N2488">
        <v>2</v>
      </c>
      <c r="O2488" s="3">
        <v>86690</v>
      </c>
      <c r="P2488" s="3">
        <v>16210</v>
      </c>
      <c r="Q2488" s="5">
        <f t="shared" si="114"/>
        <v>72848.73949579832</v>
      </c>
      <c r="R2488" s="5">
        <f t="shared" si="115"/>
        <v>32420</v>
      </c>
      <c r="S2488" s="5">
        <f t="shared" si="116"/>
        <v>40428.73949579832</v>
      </c>
    </row>
    <row r="2489" spans="1:19" hidden="1" x14ac:dyDescent="0.3">
      <c r="A2489">
        <v>140</v>
      </c>
      <c r="B2489" t="s">
        <v>3524</v>
      </c>
      <c r="C2489" t="s">
        <v>3341</v>
      </c>
      <c r="D2489" s="2" t="s">
        <v>3342</v>
      </c>
      <c r="E2489" t="s">
        <v>2661</v>
      </c>
      <c r="F2489" t="s">
        <v>20</v>
      </c>
      <c r="G2489" t="s">
        <v>21</v>
      </c>
      <c r="H2489" t="s">
        <v>317</v>
      </c>
      <c r="I2489" t="s">
        <v>23</v>
      </c>
      <c r="J2489" t="s">
        <v>35</v>
      </c>
      <c r="K2489" s="2" t="s">
        <v>3310</v>
      </c>
      <c r="L2489" t="s">
        <v>26</v>
      </c>
      <c r="M2489">
        <v>363259</v>
      </c>
      <c r="N2489">
        <v>1</v>
      </c>
      <c r="O2489" s="3">
        <v>69950</v>
      </c>
      <c r="P2489" s="3">
        <v>25924</v>
      </c>
      <c r="Q2489" s="5">
        <f t="shared" si="114"/>
        <v>58781.512605042022</v>
      </c>
      <c r="R2489" s="5">
        <f t="shared" si="115"/>
        <v>25924</v>
      </c>
      <c r="S2489" s="5">
        <f t="shared" si="116"/>
        <v>32857.512605042022</v>
      </c>
    </row>
    <row r="2490" spans="1:19" hidden="1" x14ac:dyDescent="0.3">
      <c r="A2490">
        <v>140</v>
      </c>
      <c r="B2490" t="s">
        <v>3524</v>
      </c>
      <c r="C2490" t="s">
        <v>2250</v>
      </c>
      <c r="D2490" s="2" t="s">
        <v>2251</v>
      </c>
      <c r="E2490" t="s">
        <v>2252</v>
      </c>
      <c r="F2490" t="s">
        <v>20</v>
      </c>
      <c r="G2490" t="s">
        <v>21</v>
      </c>
      <c r="H2490" t="s">
        <v>970</v>
      </c>
      <c r="I2490" t="s">
        <v>23</v>
      </c>
      <c r="J2490" t="s">
        <v>40</v>
      </c>
      <c r="K2490" s="2" t="s">
        <v>3310</v>
      </c>
      <c r="L2490" t="s">
        <v>26</v>
      </c>
      <c r="M2490">
        <v>363260</v>
      </c>
      <c r="N2490">
        <v>1</v>
      </c>
      <c r="O2490" s="3">
        <v>59950</v>
      </c>
      <c r="P2490" s="3">
        <v>15928</v>
      </c>
      <c r="Q2490" s="5">
        <f t="shared" si="114"/>
        <v>50378.151260504201</v>
      </c>
      <c r="R2490" s="5">
        <f t="shared" si="115"/>
        <v>15928</v>
      </c>
      <c r="S2490" s="5">
        <f t="shared" si="116"/>
        <v>34450.151260504201</v>
      </c>
    </row>
    <row r="2491" spans="1:19" hidden="1" x14ac:dyDescent="0.3">
      <c r="A2491">
        <v>140</v>
      </c>
      <c r="B2491" t="s">
        <v>3524</v>
      </c>
      <c r="C2491" t="s">
        <v>4220</v>
      </c>
      <c r="D2491" s="2" t="s">
        <v>4221</v>
      </c>
      <c r="E2491" t="s">
        <v>2933</v>
      </c>
      <c r="F2491" t="s">
        <v>20</v>
      </c>
      <c r="G2491" t="s">
        <v>338</v>
      </c>
      <c r="H2491">
        <v>25539</v>
      </c>
      <c r="I2491" t="s">
        <v>23</v>
      </c>
      <c r="J2491" t="s">
        <v>31</v>
      </c>
      <c r="K2491" s="2" t="s">
        <v>3310</v>
      </c>
      <c r="L2491" t="s">
        <v>26</v>
      </c>
      <c r="M2491">
        <v>363261</v>
      </c>
      <c r="N2491">
        <v>1</v>
      </c>
      <c r="O2491" s="3">
        <v>139950</v>
      </c>
      <c r="P2491" s="3">
        <v>46011</v>
      </c>
      <c r="Q2491" s="5">
        <f t="shared" si="114"/>
        <v>117605.04201680672</v>
      </c>
      <c r="R2491" s="5">
        <f t="shared" si="115"/>
        <v>46011</v>
      </c>
      <c r="S2491" s="5">
        <f t="shared" si="116"/>
        <v>71594.042016806721</v>
      </c>
    </row>
    <row r="2492" spans="1:19" hidden="1" x14ac:dyDescent="0.3">
      <c r="A2492">
        <v>140</v>
      </c>
      <c r="B2492" t="s">
        <v>3524</v>
      </c>
      <c r="C2492" t="s">
        <v>4222</v>
      </c>
      <c r="D2492" s="2" t="s">
        <v>4223</v>
      </c>
      <c r="E2492" t="s">
        <v>556</v>
      </c>
      <c r="F2492" t="s">
        <v>20</v>
      </c>
      <c r="G2492" t="s">
        <v>21</v>
      </c>
      <c r="H2492" t="s">
        <v>557</v>
      </c>
      <c r="I2492" t="s">
        <v>23</v>
      </c>
      <c r="J2492" t="s">
        <v>40</v>
      </c>
      <c r="K2492" s="2" t="s">
        <v>3366</v>
      </c>
      <c r="L2492" t="s">
        <v>26</v>
      </c>
      <c r="M2492">
        <v>363262</v>
      </c>
      <c r="N2492">
        <v>-1</v>
      </c>
      <c r="O2492" s="3">
        <v>-54990</v>
      </c>
      <c r="P2492" s="3">
        <v>28049</v>
      </c>
      <c r="Q2492" s="5">
        <f t="shared" si="114"/>
        <v>-46210.08403361345</v>
      </c>
      <c r="R2492" s="5">
        <f t="shared" si="115"/>
        <v>-28049</v>
      </c>
      <c r="S2492" s="5">
        <f t="shared" si="116"/>
        <v>-18161.08403361345</v>
      </c>
    </row>
    <row r="2493" spans="1:19" hidden="1" x14ac:dyDescent="0.3">
      <c r="A2493">
        <v>140</v>
      </c>
      <c r="B2493" t="s">
        <v>3524</v>
      </c>
      <c r="C2493" t="s">
        <v>4224</v>
      </c>
      <c r="D2493" s="2" t="s">
        <v>4225</v>
      </c>
      <c r="E2493" t="s">
        <v>4226</v>
      </c>
      <c r="F2493" t="s">
        <v>20</v>
      </c>
      <c r="G2493" t="s">
        <v>21</v>
      </c>
      <c r="H2493" t="s">
        <v>2189</v>
      </c>
      <c r="I2493" t="s">
        <v>23</v>
      </c>
      <c r="J2493" t="s">
        <v>40</v>
      </c>
      <c r="K2493" s="2" t="s">
        <v>3366</v>
      </c>
      <c r="L2493" t="s">
        <v>26</v>
      </c>
      <c r="M2493">
        <v>363262</v>
      </c>
      <c r="N2493">
        <v>1</v>
      </c>
      <c r="O2493" s="3">
        <v>74950</v>
      </c>
      <c r="P2493" s="3">
        <v>27728</v>
      </c>
      <c r="Q2493" s="5">
        <f t="shared" si="114"/>
        <v>62983.193277310929</v>
      </c>
      <c r="R2493" s="5">
        <f t="shared" si="115"/>
        <v>27728</v>
      </c>
      <c r="S2493" s="5">
        <f t="shared" si="116"/>
        <v>35255.193277310929</v>
      </c>
    </row>
    <row r="2494" spans="1:19" hidden="1" x14ac:dyDescent="0.3">
      <c r="A2494">
        <v>140</v>
      </c>
      <c r="B2494" t="s">
        <v>3524</v>
      </c>
      <c r="C2494" t="s">
        <v>4227</v>
      </c>
      <c r="D2494" s="2" t="s">
        <v>4228</v>
      </c>
      <c r="E2494" t="s">
        <v>3523</v>
      </c>
      <c r="F2494" t="s">
        <v>20</v>
      </c>
      <c r="G2494" t="s">
        <v>21</v>
      </c>
      <c r="H2494" t="s">
        <v>2070</v>
      </c>
      <c r="I2494" t="s">
        <v>23</v>
      </c>
      <c r="J2494" t="s">
        <v>24</v>
      </c>
      <c r="K2494" s="2" t="s">
        <v>3366</v>
      </c>
      <c r="L2494" t="s">
        <v>26</v>
      </c>
      <c r="M2494">
        <v>363263</v>
      </c>
      <c r="N2494">
        <v>1</v>
      </c>
      <c r="O2494" s="3">
        <v>84950</v>
      </c>
      <c r="P2494" s="3">
        <v>27522</v>
      </c>
      <c r="Q2494" s="5">
        <f t="shared" si="114"/>
        <v>71386.554621848743</v>
      </c>
      <c r="R2494" s="5">
        <f t="shared" si="115"/>
        <v>27522</v>
      </c>
      <c r="S2494" s="5">
        <f t="shared" si="116"/>
        <v>43864.554621848743</v>
      </c>
    </row>
    <row r="2495" spans="1:19" hidden="1" x14ac:dyDescent="0.3">
      <c r="A2495">
        <v>140</v>
      </c>
      <c r="B2495" t="s">
        <v>3524</v>
      </c>
      <c r="C2495" t="s">
        <v>4229</v>
      </c>
      <c r="D2495" s="2" t="s">
        <v>4230</v>
      </c>
      <c r="E2495" t="s">
        <v>4021</v>
      </c>
      <c r="F2495" t="s">
        <v>20</v>
      </c>
      <c r="G2495" t="s">
        <v>21</v>
      </c>
      <c r="H2495" t="s">
        <v>2364</v>
      </c>
      <c r="I2495" t="s">
        <v>23</v>
      </c>
      <c r="J2495" t="s">
        <v>40</v>
      </c>
      <c r="K2495" s="2" t="s">
        <v>3366</v>
      </c>
      <c r="L2495" t="s">
        <v>26</v>
      </c>
      <c r="M2495">
        <v>363264</v>
      </c>
      <c r="N2495">
        <v>1</v>
      </c>
      <c r="O2495" s="3">
        <v>39990</v>
      </c>
      <c r="P2495" s="3">
        <v>30446</v>
      </c>
      <c r="Q2495" s="5">
        <f t="shared" si="114"/>
        <v>33605.042016806721</v>
      </c>
      <c r="R2495" s="5">
        <f t="shared" si="115"/>
        <v>30446</v>
      </c>
      <c r="S2495" s="5">
        <f t="shared" si="116"/>
        <v>3159.0420168067212</v>
      </c>
    </row>
    <row r="2496" spans="1:19" hidden="1" x14ac:dyDescent="0.3">
      <c r="A2496">
        <v>140</v>
      </c>
      <c r="B2496" t="s">
        <v>3524</v>
      </c>
      <c r="C2496" t="s">
        <v>4231</v>
      </c>
      <c r="D2496" s="2" t="s">
        <v>4232</v>
      </c>
      <c r="E2496" t="s">
        <v>2844</v>
      </c>
      <c r="F2496" t="s">
        <v>20</v>
      </c>
      <c r="G2496" t="s">
        <v>338</v>
      </c>
      <c r="H2496">
        <v>24722</v>
      </c>
      <c r="I2496" t="s">
        <v>23</v>
      </c>
      <c r="J2496" t="s">
        <v>95</v>
      </c>
      <c r="K2496" s="2" t="s">
        <v>3366</v>
      </c>
      <c r="L2496" t="s">
        <v>26</v>
      </c>
      <c r="M2496">
        <v>363265</v>
      </c>
      <c r="N2496">
        <v>1</v>
      </c>
      <c r="O2496" s="3">
        <v>89950</v>
      </c>
      <c r="P2496" s="3">
        <v>30987</v>
      </c>
      <c r="Q2496" s="5">
        <f t="shared" si="114"/>
        <v>75588.23529411765</v>
      </c>
      <c r="R2496" s="5">
        <f t="shared" si="115"/>
        <v>30987</v>
      </c>
      <c r="S2496" s="5">
        <f t="shared" si="116"/>
        <v>44601.23529411765</v>
      </c>
    </row>
    <row r="2497" spans="1:19" hidden="1" x14ac:dyDescent="0.3">
      <c r="A2497">
        <v>140</v>
      </c>
      <c r="B2497" t="s">
        <v>3524</v>
      </c>
      <c r="C2497" t="s">
        <v>4233</v>
      </c>
      <c r="D2497" s="2" t="s">
        <v>4234</v>
      </c>
      <c r="E2497" t="s">
        <v>3323</v>
      </c>
      <c r="F2497" t="s">
        <v>20</v>
      </c>
      <c r="G2497" t="s">
        <v>21</v>
      </c>
      <c r="H2497" t="s">
        <v>625</v>
      </c>
      <c r="I2497" t="s">
        <v>23</v>
      </c>
      <c r="J2497" t="s">
        <v>35</v>
      </c>
      <c r="K2497" s="2" t="s">
        <v>3366</v>
      </c>
      <c r="L2497" t="s">
        <v>26</v>
      </c>
      <c r="M2497">
        <v>363266</v>
      </c>
      <c r="N2497">
        <v>1</v>
      </c>
      <c r="O2497" s="3">
        <v>49990</v>
      </c>
      <c r="P2497" s="3">
        <v>24956</v>
      </c>
      <c r="Q2497" s="5">
        <f t="shared" si="114"/>
        <v>42008.403361344543</v>
      </c>
      <c r="R2497" s="5">
        <f t="shared" si="115"/>
        <v>24956</v>
      </c>
      <c r="S2497" s="5">
        <f t="shared" si="116"/>
        <v>17052.403361344543</v>
      </c>
    </row>
    <row r="2498" spans="1:19" hidden="1" x14ac:dyDescent="0.3">
      <c r="A2498">
        <v>140</v>
      </c>
      <c r="B2498" t="s">
        <v>3524</v>
      </c>
      <c r="C2498" t="s">
        <v>1756</v>
      </c>
      <c r="D2498" s="2" t="s">
        <v>1757</v>
      </c>
      <c r="E2498" t="s">
        <v>1758</v>
      </c>
      <c r="F2498" t="s">
        <v>20</v>
      </c>
      <c r="G2498" t="s">
        <v>338</v>
      </c>
      <c r="H2498">
        <v>25133</v>
      </c>
      <c r="I2498" t="s">
        <v>23</v>
      </c>
      <c r="J2498" t="s">
        <v>35</v>
      </c>
      <c r="K2498" s="2" t="s">
        <v>3366</v>
      </c>
      <c r="L2498" t="s">
        <v>26</v>
      </c>
      <c r="M2498">
        <v>363267</v>
      </c>
      <c r="N2498">
        <v>1</v>
      </c>
      <c r="O2498" s="3">
        <v>74950</v>
      </c>
      <c r="P2498" s="3">
        <v>21167</v>
      </c>
      <c r="Q2498" s="5">
        <f t="shared" si="114"/>
        <v>62983.193277310929</v>
      </c>
      <c r="R2498" s="5">
        <f t="shared" si="115"/>
        <v>21167</v>
      </c>
      <c r="S2498" s="5">
        <f t="shared" si="116"/>
        <v>41816.193277310929</v>
      </c>
    </row>
    <row r="2499" spans="1:19" hidden="1" x14ac:dyDescent="0.3">
      <c r="A2499">
        <v>140</v>
      </c>
      <c r="B2499" t="s">
        <v>3524</v>
      </c>
      <c r="C2499" t="s">
        <v>4235</v>
      </c>
      <c r="D2499" s="2" t="s">
        <v>4236</v>
      </c>
      <c r="E2499" t="s">
        <v>2810</v>
      </c>
      <c r="F2499" t="s">
        <v>20</v>
      </c>
      <c r="G2499" t="s">
        <v>21</v>
      </c>
      <c r="H2499" t="s">
        <v>1987</v>
      </c>
      <c r="I2499" t="s">
        <v>23</v>
      </c>
      <c r="J2499" t="s">
        <v>35</v>
      </c>
      <c r="K2499" s="2" t="s">
        <v>3366</v>
      </c>
      <c r="L2499" t="s">
        <v>26</v>
      </c>
      <c r="M2499">
        <v>363268</v>
      </c>
      <c r="N2499">
        <v>1</v>
      </c>
      <c r="O2499" s="3">
        <v>89950</v>
      </c>
      <c r="P2499" s="3">
        <v>29858</v>
      </c>
      <c r="Q2499" s="5">
        <f t="shared" si="114"/>
        <v>75588.23529411765</v>
      </c>
      <c r="R2499" s="5">
        <f t="shared" si="115"/>
        <v>29858</v>
      </c>
      <c r="S2499" s="5">
        <f t="shared" si="116"/>
        <v>45730.23529411765</v>
      </c>
    </row>
    <row r="2500" spans="1:19" hidden="1" x14ac:dyDescent="0.3">
      <c r="A2500">
        <v>140</v>
      </c>
      <c r="B2500" t="s">
        <v>3524</v>
      </c>
      <c r="C2500" t="s">
        <v>4237</v>
      </c>
      <c r="D2500" s="2" t="s">
        <v>4238</v>
      </c>
      <c r="E2500" t="s">
        <v>494</v>
      </c>
      <c r="F2500" t="s">
        <v>20</v>
      </c>
      <c r="G2500" t="s">
        <v>21</v>
      </c>
      <c r="H2500" t="s">
        <v>317</v>
      </c>
      <c r="I2500" t="s">
        <v>23</v>
      </c>
      <c r="J2500" t="s">
        <v>35</v>
      </c>
      <c r="K2500" s="2" t="s">
        <v>3366</v>
      </c>
      <c r="L2500" t="s">
        <v>26</v>
      </c>
      <c r="M2500">
        <v>363269</v>
      </c>
      <c r="N2500">
        <v>1</v>
      </c>
      <c r="O2500" s="3">
        <v>69950</v>
      </c>
      <c r="P2500" s="3">
        <v>23619</v>
      </c>
      <c r="Q2500" s="5">
        <f t="shared" si="114"/>
        <v>58781.512605042022</v>
      </c>
      <c r="R2500" s="5">
        <f t="shared" si="115"/>
        <v>23619</v>
      </c>
      <c r="S2500" s="5">
        <f t="shared" si="116"/>
        <v>35162.512605042022</v>
      </c>
    </row>
    <row r="2501" spans="1:19" hidden="1" x14ac:dyDescent="0.3">
      <c r="A2501">
        <v>140</v>
      </c>
      <c r="B2501" t="s">
        <v>3524</v>
      </c>
      <c r="C2501" t="s">
        <v>4239</v>
      </c>
      <c r="D2501" s="2" t="s">
        <v>4240</v>
      </c>
      <c r="E2501" t="s">
        <v>2539</v>
      </c>
      <c r="F2501" t="s">
        <v>20</v>
      </c>
      <c r="G2501" t="s">
        <v>21</v>
      </c>
      <c r="H2501" t="s">
        <v>966</v>
      </c>
      <c r="I2501" t="s">
        <v>23</v>
      </c>
      <c r="J2501" t="s">
        <v>35</v>
      </c>
      <c r="K2501" s="2" t="s">
        <v>3366</v>
      </c>
      <c r="L2501" t="s">
        <v>26</v>
      </c>
      <c r="M2501">
        <v>363270</v>
      </c>
      <c r="N2501">
        <v>1</v>
      </c>
      <c r="O2501" s="3">
        <v>74950</v>
      </c>
      <c r="P2501" s="3">
        <v>26729</v>
      </c>
      <c r="Q2501" s="5">
        <f t="shared" si="114"/>
        <v>62983.193277310929</v>
      </c>
      <c r="R2501" s="5">
        <f t="shared" si="115"/>
        <v>26729</v>
      </c>
      <c r="S2501" s="5">
        <f t="shared" si="116"/>
        <v>36254.193277310929</v>
      </c>
    </row>
    <row r="2502" spans="1:19" hidden="1" x14ac:dyDescent="0.3">
      <c r="A2502">
        <v>140</v>
      </c>
      <c r="B2502" t="s">
        <v>3524</v>
      </c>
      <c r="C2502" t="s">
        <v>4241</v>
      </c>
      <c r="D2502" s="2" t="s">
        <v>4242</v>
      </c>
      <c r="E2502" t="s">
        <v>3722</v>
      </c>
      <c r="F2502" t="s">
        <v>20</v>
      </c>
      <c r="G2502" t="s">
        <v>21</v>
      </c>
      <c r="H2502" t="s">
        <v>1914</v>
      </c>
      <c r="I2502" t="s">
        <v>23</v>
      </c>
      <c r="J2502" t="s">
        <v>49</v>
      </c>
      <c r="K2502" s="2" t="s">
        <v>3366</v>
      </c>
      <c r="L2502" t="s">
        <v>26</v>
      </c>
      <c r="M2502">
        <v>363271</v>
      </c>
      <c r="N2502">
        <v>1</v>
      </c>
      <c r="O2502" s="3">
        <v>74950</v>
      </c>
      <c r="P2502" s="3">
        <v>22879</v>
      </c>
      <c r="Q2502" s="5">
        <f t="shared" ref="Q2502:Q2565" si="117">O2502/1.19</f>
        <v>62983.193277310929</v>
      </c>
      <c r="R2502" s="5">
        <f t="shared" ref="R2502:R2565" si="118">N2502*P2502</f>
        <v>22879</v>
      </c>
      <c r="S2502" s="5">
        <f t="shared" ref="S2502:S2565" si="119">Q2502-R2502</f>
        <v>40104.193277310929</v>
      </c>
    </row>
    <row r="2503" spans="1:19" hidden="1" x14ac:dyDescent="0.3">
      <c r="A2503">
        <v>140</v>
      </c>
      <c r="B2503" t="s">
        <v>3524</v>
      </c>
      <c r="C2503" t="s">
        <v>4243</v>
      </c>
      <c r="D2503" s="2" t="s">
        <v>4244</v>
      </c>
      <c r="E2503" t="s">
        <v>1758</v>
      </c>
      <c r="F2503" t="s">
        <v>20</v>
      </c>
      <c r="G2503" t="s">
        <v>338</v>
      </c>
      <c r="H2503">
        <v>25133</v>
      </c>
      <c r="I2503" t="s">
        <v>23</v>
      </c>
      <c r="J2503" t="s">
        <v>35</v>
      </c>
      <c r="K2503" s="2" t="s">
        <v>3366</v>
      </c>
      <c r="L2503" t="s">
        <v>26</v>
      </c>
      <c r="M2503">
        <v>363272</v>
      </c>
      <c r="N2503">
        <v>1</v>
      </c>
      <c r="O2503" s="3">
        <v>74950</v>
      </c>
      <c r="P2503" s="3">
        <v>21167</v>
      </c>
      <c r="Q2503" s="5">
        <f t="shared" si="117"/>
        <v>62983.193277310929</v>
      </c>
      <c r="R2503" s="5">
        <f t="shared" si="118"/>
        <v>21167</v>
      </c>
      <c r="S2503" s="5">
        <f t="shared" si="119"/>
        <v>41816.193277310929</v>
      </c>
    </row>
    <row r="2504" spans="1:19" hidden="1" x14ac:dyDescent="0.3">
      <c r="A2504">
        <v>140</v>
      </c>
      <c r="B2504" t="s">
        <v>3524</v>
      </c>
      <c r="C2504" t="s">
        <v>2760</v>
      </c>
      <c r="D2504" s="2" t="s">
        <v>2761</v>
      </c>
      <c r="E2504" t="s">
        <v>1443</v>
      </c>
      <c r="F2504" t="s">
        <v>20</v>
      </c>
      <c r="G2504" t="s">
        <v>338</v>
      </c>
      <c r="H2504">
        <v>25301</v>
      </c>
      <c r="I2504" t="s">
        <v>23</v>
      </c>
      <c r="J2504" t="s">
        <v>35</v>
      </c>
      <c r="K2504" s="2" t="s">
        <v>3366</v>
      </c>
      <c r="L2504" t="s">
        <v>26</v>
      </c>
      <c r="M2504">
        <v>363273</v>
      </c>
      <c r="N2504">
        <v>1</v>
      </c>
      <c r="O2504" s="3">
        <v>99950</v>
      </c>
      <c r="P2504" s="3">
        <v>34157</v>
      </c>
      <c r="Q2504" s="5">
        <f t="shared" si="117"/>
        <v>83991.596638655465</v>
      </c>
      <c r="R2504" s="5">
        <f t="shared" si="118"/>
        <v>34157</v>
      </c>
      <c r="S2504" s="5">
        <f t="shared" si="119"/>
        <v>49834.596638655465</v>
      </c>
    </row>
    <row r="2505" spans="1:19" hidden="1" x14ac:dyDescent="0.3">
      <c r="A2505">
        <v>140</v>
      </c>
      <c r="B2505" t="s">
        <v>3524</v>
      </c>
      <c r="C2505" t="s">
        <v>4245</v>
      </c>
      <c r="D2505" s="2" t="s">
        <v>4246</v>
      </c>
      <c r="E2505" t="s">
        <v>3113</v>
      </c>
      <c r="F2505" t="s">
        <v>20</v>
      </c>
      <c r="G2505" t="s">
        <v>338</v>
      </c>
      <c r="H2505">
        <v>25702</v>
      </c>
      <c r="I2505" t="s">
        <v>23</v>
      </c>
      <c r="J2505" t="s">
        <v>35</v>
      </c>
      <c r="K2505" s="2" t="s">
        <v>3366</v>
      </c>
      <c r="L2505" t="s">
        <v>26</v>
      </c>
      <c r="M2505">
        <v>363274</v>
      </c>
      <c r="N2505">
        <v>1</v>
      </c>
      <c r="O2505" s="3">
        <v>93450</v>
      </c>
      <c r="P2505" s="3">
        <v>34974</v>
      </c>
      <c r="Q2505" s="5">
        <f t="shared" si="117"/>
        <v>78529.411764705888</v>
      </c>
      <c r="R2505" s="5">
        <f t="shared" si="118"/>
        <v>34974</v>
      </c>
      <c r="S2505" s="5">
        <f t="shared" si="119"/>
        <v>43555.411764705888</v>
      </c>
    </row>
    <row r="2506" spans="1:19" hidden="1" x14ac:dyDescent="0.3">
      <c r="A2506">
        <v>140</v>
      </c>
      <c r="B2506" t="s">
        <v>3524</v>
      </c>
      <c r="C2506" t="s">
        <v>3489</v>
      </c>
      <c r="D2506" s="2" t="s">
        <v>3490</v>
      </c>
      <c r="E2506" t="s">
        <v>3491</v>
      </c>
      <c r="F2506" t="s">
        <v>20</v>
      </c>
      <c r="G2506" t="s">
        <v>338</v>
      </c>
      <c r="H2506">
        <v>85200</v>
      </c>
      <c r="I2506" t="s">
        <v>23</v>
      </c>
      <c r="J2506" t="s">
        <v>35</v>
      </c>
      <c r="K2506" s="2" t="s">
        <v>3366</v>
      </c>
      <c r="L2506" t="s">
        <v>26</v>
      </c>
      <c r="M2506">
        <v>363274</v>
      </c>
      <c r="N2506">
        <v>1</v>
      </c>
      <c r="O2506" s="3">
        <v>89950</v>
      </c>
      <c r="P2506" s="3">
        <v>27253</v>
      </c>
      <c r="Q2506" s="5">
        <f t="shared" si="117"/>
        <v>75588.23529411765</v>
      </c>
      <c r="R2506" s="5">
        <f t="shared" si="118"/>
        <v>27253</v>
      </c>
      <c r="S2506" s="5">
        <f t="shared" si="119"/>
        <v>48335.23529411765</v>
      </c>
    </row>
    <row r="2507" spans="1:19" hidden="1" x14ac:dyDescent="0.3">
      <c r="A2507">
        <v>140</v>
      </c>
      <c r="B2507" t="s">
        <v>3524</v>
      </c>
      <c r="C2507" t="s">
        <v>4247</v>
      </c>
      <c r="D2507" s="2" t="s">
        <v>4248</v>
      </c>
      <c r="E2507" t="s">
        <v>4109</v>
      </c>
      <c r="F2507" t="s">
        <v>20</v>
      </c>
      <c r="G2507" t="s">
        <v>21</v>
      </c>
      <c r="H2507" t="s">
        <v>818</v>
      </c>
      <c r="I2507" t="s">
        <v>23</v>
      </c>
      <c r="J2507" t="s">
        <v>35</v>
      </c>
      <c r="K2507" s="2" t="s">
        <v>3366</v>
      </c>
      <c r="L2507" t="s">
        <v>26</v>
      </c>
      <c r="M2507">
        <v>363275</v>
      </c>
      <c r="N2507">
        <v>1</v>
      </c>
      <c r="O2507" s="3">
        <v>76450</v>
      </c>
      <c r="P2507" s="3">
        <v>33052</v>
      </c>
      <c r="Q2507" s="5">
        <f t="shared" si="117"/>
        <v>64243.697478991598</v>
      </c>
      <c r="R2507" s="5">
        <f t="shared" si="118"/>
        <v>33052</v>
      </c>
      <c r="S2507" s="5">
        <f t="shared" si="119"/>
        <v>31191.697478991598</v>
      </c>
    </row>
    <row r="2508" spans="1:19" hidden="1" x14ac:dyDescent="0.3">
      <c r="A2508">
        <v>140</v>
      </c>
      <c r="B2508" t="s">
        <v>3524</v>
      </c>
      <c r="C2508" t="s">
        <v>4249</v>
      </c>
      <c r="D2508" s="2" t="s">
        <v>4250</v>
      </c>
      <c r="E2508" t="s">
        <v>2455</v>
      </c>
      <c r="F2508" t="s">
        <v>20</v>
      </c>
      <c r="G2508" t="s">
        <v>21</v>
      </c>
      <c r="H2508" t="s">
        <v>742</v>
      </c>
      <c r="I2508" t="s">
        <v>23</v>
      </c>
      <c r="J2508" t="s">
        <v>40</v>
      </c>
      <c r="K2508" s="2" t="s">
        <v>3366</v>
      </c>
      <c r="L2508" t="s">
        <v>26</v>
      </c>
      <c r="M2508">
        <v>363275</v>
      </c>
      <c r="N2508">
        <v>1</v>
      </c>
      <c r="O2508" s="3">
        <v>79950</v>
      </c>
      <c r="P2508" s="3">
        <v>28725</v>
      </c>
      <c r="Q2508" s="5">
        <f t="shared" si="117"/>
        <v>67184.873949579836</v>
      </c>
      <c r="R2508" s="5">
        <f t="shared" si="118"/>
        <v>28725</v>
      </c>
      <c r="S2508" s="5">
        <f t="shared" si="119"/>
        <v>38459.873949579836</v>
      </c>
    </row>
    <row r="2509" spans="1:19" hidden="1" x14ac:dyDescent="0.3">
      <c r="A2509">
        <v>140</v>
      </c>
      <c r="B2509" t="s">
        <v>3524</v>
      </c>
      <c r="C2509" t="s">
        <v>3473</v>
      </c>
      <c r="D2509" s="2" t="s">
        <v>3474</v>
      </c>
      <c r="E2509" t="s">
        <v>1446</v>
      </c>
      <c r="F2509" t="s">
        <v>20</v>
      </c>
      <c r="G2509" t="s">
        <v>338</v>
      </c>
      <c r="H2509">
        <v>25321</v>
      </c>
      <c r="I2509" t="s">
        <v>23</v>
      </c>
      <c r="J2509" t="s">
        <v>35</v>
      </c>
      <c r="K2509" s="2" t="s">
        <v>3366</v>
      </c>
      <c r="L2509" t="s">
        <v>26</v>
      </c>
      <c r="M2509">
        <v>363276</v>
      </c>
      <c r="N2509">
        <v>1</v>
      </c>
      <c r="O2509" s="3">
        <v>109950</v>
      </c>
      <c r="P2509" s="3">
        <v>33748</v>
      </c>
      <c r="Q2509" s="5">
        <f t="shared" si="117"/>
        <v>92394.957983193279</v>
      </c>
      <c r="R2509" s="5">
        <f t="shared" si="118"/>
        <v>33748</v>
      </c>
      <c r="S2509" s="5">
        <f t="shared" si="119"/>
        <v>58646.957983193279</v>
      </c>
    </row>
    <row r="2510" spans="1:19" hidden="1" x14ac:dyDescent="0.3">
      <c r="A2510">
        <v>140</v>
      </c>
      <c r="B2510" t="s">
        <v>3524</v>
      </c>
      <c r="C2510" t="s">
        <v>4251</v>
      </c>
      <c r="D2510" s="2" t="s">
        <v>4252</v>
      </c>
      <c r="E2510" t="s">
        <v>2449</v>
      </c>
      <c r="F2510" t="s">
        <v>20</v>
      </c>
      <c r="G2510" t="s">
        <v>21</v>
      </c>
      <c r="H2510" t="s">
        <v>1703</v>
      </c>
      <c r="I2510" t="s">
        <v>23</v>
      </c>
      <c r="J2510" t="s">
        <v>49</v>
      </c>
      <c r="K2510" s="2" t="s">
        <v>3366</v>
      </c>
      <c r="L2510" t="s">
        <v>26</v>
      </c>
      <c r="M2510">
        <v>363277</v>
      </c>
      <c r="N2510">
        <v>1</v>
      </c>
      <c r="O2510" s="3">
        <v>63700</v>
      </c>
      <c r="P2510" s="3">
        <v>26457</v>
      </c>
      <c r="Q2510" s="5">
        <f t="shared" si="117"/>
        <v>53529.411764705888</v>
      </c>
      <c r="R2510" s="5">
        <f t="shared" si="118"/>
        <v>26457</v>
      </c>
      <c r="S2510" s="5">
        <f t="shared" si="119"/>
        <v>27072.411764705888</v>
      </c>
    </row>
    <row r="2511" spans="1:19" hidden="1" x14ac:dyDescent="0.3">
      <c r="A2511">
        <v>140</v>
      </c>
      <c r="B2511" t="s">
        <v>3524</v>
      </c>
      <c r="C2511" t="s">
        <v>4253</v>
      </c>
      <c r="D2511" s="2" t="s">
        <v>4254</v>
      </c>
      <c r="E2511" t="s">
        <v>2930</v>
      </c>
      <c r="F2511" t="s">
        <v>20</v>
      </c>
      <c r="G2511" t="s">
        <v>21</v>
      </c>
      <c r="H2511" t="s">
        <v>1703</v>
      </c>
      <c r="I2511" t="s">
        <v>23</v>
      </c>
      <c r="J2511" t="s">
        <v>49</v>
      </c>
      <c r="K2511" s="2" t="s">
        <v>3366</v>
      </c>
      <c r="L2511" t="s">
        <v>26</v>
      </c>
      <c r="M2511">
        <v>363277</v>
      </c>
      <c r="N2511">
        <v>1</v>
      </c>
      <c r="O2511" s="3">
        <v>74950</v>
      </c>
      <c r="P2511" s="3">
        <v>26457</v>
      </c>
      <c r="Q2511" s="5">
        <f t="shared" si="117"/>
        <v>62983.193277310929</v>
      </c>
      <c r="R2511" s="5">
        <f t="shared" si="118"/>
        <v>26457</v>
      </c>
      <c r="S2511" s="5">
        <f t="shared" si="119"/>
        <v>36526.193277310929</v>
      </c>
    </row>
    <row r="2512" spans="1:19" hidden="1" x14ac:dyDescent="0.3">
      <c r="A2512">
        <v>140</v>
      </c>
      <c r="B2512" t="s">
        <v>3524</v>
      </c>
      <c r="C2512" t="s">
        <v>2926</v>
      </c>
      <c r="D2512" s="2" t="s">
        <v>2927</v>
      </c>
      <c r="E2512" t="s">
        <v>2110</v>
      </c>
      <c r="F2512" t="s">
        <v>20</v>
      </c>
      <c r="G2512" t="s">
        <v>21</v>
      </c>
      <c r="H2512" t="s">
        <v>22</v>
      </c>
      <c r="I2512" t="s">
        <v>23</v>
      </c>
      <c r="J2512" t="s">
        <v>24</v>
      </c>
      <c r="K2512" s="2" t="s">
        <v>3366</v>
      </c>
      <c r="L2512" t="s">
        <v>26</v>
      </c>
      <c r="M2512">
        <v>363278</v>
      </c>
      <c r="N2512">
        <v>1</v>
      </c>
      <c r="O2512" s="3">
        <v>79950</v>
      </c>
      <c r="P2512" s="3">
        <v>27748</v>
      </c>
      <c r="Q2512" s="5">
        <f t="shared" si="117"/>
        <v>67184.873949579836</v>
      </c>
      <c r="R2512" s="5">
        <f t="shared" si="118"/>
        <v>27748</v>
      </c>
      <c r="S2512" s="5">
        <f t="shared" si="119"/>
        <v>39436.873949579836</v>
      </c>
    </row>
    <row r="2513" spans="1:19" hidden="1" x14ac:dyDescent="0.3">
      <c r="A2513">
        <v>140</v>
      </c>
      <c r="B2513" t="s">
        <v>3524</v>
      </c>
      <c r="C2513" t="s">
        <v>3714</v>
      </c>
      <c r="D2513" s="2" t="s">
        <v>3715</v>
      </c>
      <c r="E2513" t="s">
        <v>3716</v>
      </c>
      <c r="F2513" t="s">
        <v>20</v>
      </c>
      <c r="G2513" t="s">
        <v>215</v>
      </c>
      <c r="H2513" t="s">
        <v>3717</v>
      </c>
      <c r="I2513" t="s">
        <v>23</v>
      </c>
      <c r="J2513" t="s">
        <v>35</v>
      </c>
      <c r="K2513" s="2" t="s">
        <v>3366</v>
      </c>
      <c r="L2513" t="s">
        <v>26</v>
      </c>
      <c r="M2513">
        <v>363279</v>
      </c>
      <c r="N2513">
        <v>1</v>
      </c>
      <c r="O2513" s="3">
        <v>69990</v>
      </c>
      <c r="P2513" s="3">
        <v>42430</v>
      </c>
      <c r="Q2513" s="5">
        <f t="shared" si="117"/>
        <v>58815.126050420171</v>
      </c>
      <c r="R2513" s="5">
        <f t="shared" si="118"/>
        <v>42430</v>
      </c>
      <c r="S2513" s="5">
        <f t="shared" si="119"/>
        <v>16385.126050420171</v>
      </c>
    </row>
    <row r="2514" spans="1:19" hidden="1" x14ac:dyDescent="0.3">
      <c r="A2514">
        <v>140</v>
      </c>
      <c r="B2514" t="s">
        <v>3524</v>
      </c>
      <c r="C2514" t="s">
        <v>4255</v>
      </c>
      <c r="D2514" s="2" t="s">
        <v>4256</v>
      </c>
      <c r="E2514" t="s">
        <v>4257</v>
      </c>
      <c r="F2514" t="s">
        <v>20</v>
      </c>
      <c r="G2514" t="s">
        <v>338</v>
      </c>
      <c r="H2514">
        <v>25702</v>
      </c>
      <c r="I2514" t="s">
        <v>23</v>
      </c>
      <c r="J2514" t="s">
        <v>35</v>
      </c>
      <c r="K2514" s="2" t="s">
        <v>3366</v>
      </c>
      <c r="L2514" t="s">
        <v>26</v>
      </c>
      <c r="M2514">
        <v>363280</v>
      </c>
      <c r="N2514">
        <v>1</v>
      </c>
      <c r="O2514" s="3">
        <v>93450</v>
      </c>
      <c r="P2514" s="3">
        <v>34974</v>
      </c>
      <c r="Q2514" s="5">
        <f t="shared" si="117"/>
        <v>78529.411764705888</v>
      </c>
      <c r="R2514" s="5">
        <f t="shared" si="118"/>
        <v>34974</v>
      </c>
      <c r="S2514" s="5">
        <f t="shared" si="119"/>
        <v>43555.411764705888</v>
      </c>
    </row>
    <row r="2515" spans="1:19" hidden="1" x14ac:dyDescent="0.3">
      <c r="A2515">
        <v>140</v>
      </c>
      <c r="B2515" t="s">
        <v>3524</v>
      </c>
      <c r="C2515" t="s">
        <v>4258</v>
      </c>
      <c r="D2515" s="2" t="s">
        <v>4259</v>
      </c>
      <c r="E2515" t="s">
        <v>3019</v>
      </c>
      <c r="F2515" t="s">
        <v>20</v>
      </c>
      <c r="G2515" t="s">
        <v>338</v>
      </c>
      <c r="H2515">
        <v>85408</v>
      </c>
      <c r="I2515" t="s">
        <v>23</v>
      </c>
      <c r="J2515" t="s">
        <v>35</v>
      </c>
      <c r="K2515" s="2" t="s">
        <v>3366</v>
      </c>
      <c r="L2515" t="s">
        <v>26</v>
      </c>
      <c r="M2515">
        <v>363280</v>
      </c>
      <c r="N2515">
        <v>1</v>
      </c>
      <c r="O2515" s="3">
        <v>109950</v>
      </c>
      <c r="P2515" s="3">
        <v>33793</v>
      </c>
      <c r="Q2515" s="5">
        <f t="shared" si="117"/>
        <v>92394.957983193279</v>
      </c>
      <c r="R2515" s="5">
        <f t="shared" si="118"/>
        <v>33793</v>
      </c>
      <c r="S2515" s="5">
        <f t="shared" si="119"/>
        <v>58601.957983193279</v>
      </c>
    </row>
    <row r="2516" spans="1:19" hidden="1" x14ac:dyDescent="0.3">
      <c r="A2516">
        <v>140</v>
      </c>
      <c r="B2516" t="s">
        <v>3524</v>
      </c>
      <c r="C2516" t="s">
        <v>2785</v>
      </c>
      <c r="D2516" s="2" t="s">
        <v>2786</v>
      </c>
      <c r="E2516" t="s">
        <v>2787</v>
      </c>
      <c r="F2516" t="s">
        <v>20</v>
      </c>
      <c r="G2516" t="s">
        <v>21</v>
      </c>
      <c r="H2516" t="s">
        <v>1286</v>
      </c>
      <c r="I2516" t="s">
        <v>23</v>
      </c>
      <c r="J2516" t="s">
        <v>40</v>
      </c>
      <c r="K2516" s="2" t="s">
        <v>3366</v>
      </c>
      <c r="L2516" t="s">
        <v>26</v>
      </c>
      <c r="M2516">
        <v>363281</v>
      </c>
      <c r="N2516">
        <v>1</v>
      </c>
      <c r="O2516" s="3">
        <v>49990</v>
      </c>
      <c r="P2516" s="3">
        <v>24783</v>
      </c>
      <c r="Q2516" s="5">
        <f t="shared" si="117"/>
        <v>42008.403361344543</v>
      </c>
      <c r="R2516" s="5">
        <f t="shared" si="118"/>
        <v>24783</v>
      </c>
      <c r="S2516" s="5">
        <f t="shared" si="119"/>
        <v>17225.403361344543</v>
      </c>
    </row>
    <row r="2517" spans="1:19" hidden="1" x14ac:dyDescent="0.3">
      <c r="A2517">
        <v>140</v>
      </c>
      <c r="B2517" t="s">
        <v>3524</v>
      </c>
      <c r="C2517" t="s">
        <v>4260</v>
      </c>
      <c r="D2517" s="2" t="s">
        <v>4261</v>
      </c>
      <c r="E2517" t="s">
        <v>2865</v>
      </c>
      <c r="F2517" t="s">
        <v>20</v>
      </c>
      <c r="G2517" t="s">
        <v>21</v>
      </c>
      <c r="H2517" t="s">
        <v>57</v>
      </c>
      <c r="I2517" t="s">
        <v>23</v>
      </c>
      <c r="J2517" t="s">
        <v>35</v>
      </c>
      <c r="K2517" s="2" t="s">
        <v>3366</v>
      </c>
      <c r="L2517" t="s">
        <v>26</v>
      </c>
      <c r="M2517">
        <v>363282</v>
      </c>
      <c r="N2517">
        <v>1</v>
      </c>
      <c r="O2517" s="3">
        <v>79950</v>
      </c>
      <c r="P2517" s="3">
        <v>29189</v>
      </c>
      <c r="Q2517" s="5">
        <f t="shared" si="117"/>
        <v>67184.873949579836</v>
      </c>
      <c r="R2517" s="5">
        <f t="shared" si="118"/>
        <v>29189</v>
      </c>
      <c r="S2517" s="5">
        <f t="shared" si="119"/>
        <v>37995.873949579836</v>
      </c>
    </row>
    <row r="2518" spans="1:19" hidden="1" x14ac:dyDescent="0.3">
      <c r="A2518">
        <v>140</v>
      </c>
      <c r="B2518" t="s">
        <v>3524</v>
      </c>
      <c r="C2518" t="s">
        <v>3369</v>
      </c>
      <c r="D2518" s="2" t="s">
        <v>3370</v>
      </c>
      <c r="E2518" t="s">
        <v>2771</v>
      </c>
      <c r="F2518" t="s">
        <v>20</v>
      </c>
      <c r="G2518" t="s">
        <v>21</v>
      </c>
      <c r="H2518" t="s">
        <v>57</v>
      </c>
      <c r="I2518" t="s">
        <v>23</v>
      </c>
      <c r="J2518" t="s">
        <v>35</v>
      </c>
      <c r="K2518" s="2" t="s">
        <v>3366</v>
      </c>
      <c r="L2518" t="s">
        <v>26</v>
      </c>
      <c r="M2518">
        <v>363283</v>
      </c>
      <c r="N2518">
        <v>1</v>
      </c>
      <c r="O2518" s="3">
        <v>79990</v>
      </c>
      <c r="P2518" s="3">
        <v>29189</v>
      </c>
      <c r="Q2518" s="5">
        <f t="shared" si="117"/>
        <v>67218.487394957992</v>
      </c>
      <c r="R2518" s="5">
        <f t="shared" si="118"/>
        <v>29189</v>
      </c>
      <c r="S2518" s="5">
        <f t="shared" si="119"/>
        <v>38029.487394957992</v>
      </c>
    </row>
    <row r="2519" spans="1:19" hidden="1" x14ac:dyDescent="0.3">
      <c r="A2519">
        <v>140</v>
      </c>
      <c r="B2519" t="s">
        <v>3524</v>
      </c>
      <c r="C2519" t="s">
        <v>4262</v>
      </c>
      <c r="D2519" s="2" t="s">
        <v>4263</v>
      </c>
      <c r="E2519" t="s">
        <v>3757</v>
      </c>
      <c r="F2519" t="s">
        <v>20</v>
      </c>
      <c r="G2519" t="s">
        <v>338</v>
      </c>
      <c r="H2519">
        <v>23732</v>
      </c>
      <c r="I2519" t="s">
        <v>23</v>
      </c>
      <c r="J2519" t="s">
        <v>40</v>
      </c>
      <c r="K2519" s="2" t="s">
        <v>3366</v>
      </c>
      <c r="L2519" t="s">
        <v>26</v>
      </c>
      <c r="M2519">
        <v>363284</v>
      </c>
      <c r="N2519">
        <v>1</v>
      </c>
      <c r="O2519" s="3">
        <v>79950</v>
      </c>
      <c r="P2519" s="3">
        <v>26539</v>
      </c>
      <c r="Q2519" s="5">
        <f t="shared" si="117"/>
        <v>67184.873949579836</v>
      </c>
      <c r="R2519" s="5">
        <f t="shared" si="118"/>
        <v>26539</v>
      </c>
      <c r="S2519" s="5">
        <f t="shared" si="119"/>
        <v>40645.873949579836</v>
      </c>
    </row>
    <row r="2520" spans="1:19" hidden="1" x14ac:dyDescent="0.3">
      <c r="A2520">
        <v>140</v>
      </c>
      <c r="B2520" t="s">
        <v>3524</v>
      </c>
      <c r="C2520" t="s">
        <v>4264</v>
      </c>
      <c r="D2520" s="2" t="s">
        <v>4265</v>
      </c>
      <c r="E2520" t="s">
        <v>3698</v>
      </c>
      <c r="F2520" t="s">
        <v>20</v>
      </c>
      <c r="G2520" t="s">
        <v>21</v>
      </c>
      <c r="H2520" t="s">
        <v>966</v>
      </c>
      <c r="I2520" t="s">
        <v>23</v>
      </c>
      <c r="J2520" t="s">
        <v>40</v>
      </c>
      <c r="K2520" s="2" t="s">
        <v>3366</v>
      </c>
      <c r="L2520" t="s">
        <v>26</v>
      </c>
      <c r="M2520">
        <v>363285</v>
      </c>
      <c r="N2520">
        <v>1</v>
      </c>
      <c r="O2520" s="3">
        <v>63700</v>
      </c>
      <c r="P2520" s="3">
        <v>27649</v>
      </c>
      <c r="Q2520" s="5">
        <f t="shared" si="117"/>
        <v>53529.411764705888</v>
      </c>
      <c r="R2520" s="5">
        <f t="shared" si="118"/>
        <v>27649</v>
      </c>
      <c r="S2520" s="5">
        <f t="shared" si="119"/>
        <v>25880.411764705888</v>
      </c>
    </row>
    <row r="2521" spans="1:19" hidden="1" x14ac:dyDescent="0.3">
      <c r="A2521">
        <v>140</v>
      </c>
      <c r="B2521" t="s">
        <v>3524</v>
      </c>
      <c r="C2521" t="s">
        <v>3862</v>
      </c>
      <c r="D2521" s="2" t="s">
        <v>3863</v>
      </c>
      <c r="E2521" t="s">
        <v>3283</v>
      </c>
      <c r="F2521" t="s">
        <v>20</v>
      </c>
      <c r="G2521" t="s">
        <v>21</v>
      </c>
      <c r="H2521" t="s">
        <v>2494</v>
      </c>
      <c r="I2521" t="s">
        <v>23</v>
      </c>
      <c r="J2521" t="s">
        <v>40</v>
      </c>
      <c r="K2521" s="2" t="s">
        <v>3366</v>
      </c>
      <c r="L2521" t="s">
        <v>26</v>
      </c>
      <c r="M2521">
        <v>363285</v>
      </c>
      <c r="N2521">
        <v>1</v>
      </c>
      <c r="O2521" s="3">
        <v>69950</v>
      </c>
      <c r="P2521" s="3">
        <v>23470</v>
      </c>
      <c r="Q2521" s="5">
        <f t="shared" si="117"/>
        <v>58781.512605042022</v>
      </c>
      <c r="R2521" s="5">
        <f t="shared" si="118"/>
        <v>23470</v>
      </c>
      <c r="S2521" s="5">
        <f t="shared" si="119"/>
        <v>35311.512605042022</v>
      </c>
    </row>
    <row r="2522" spans="1:19" hidden="1" x14ac:dyDescent="0.3">
      <c r="A2522">
        <v>140</v>
      </c>
      <c r="B2522" t="s">
        <v>3524</v>
      </c>
      <c r="C2522" t="s">
        <v>4266</v>
      </c>
      <c r="D2522" s="2" t="s">
        <v>4267</v>
      </c>
      <c r="E2522" t="s">
        <v>2252</v>
      </c>
      <c r="F2522" t="s">
        <v>20</v>
      </c>
      <c r="G2522" t="s">
        <v>21</v>
      </c>
      <c r="H2522" t="s">
        <v>970</v>
      </c>
      <c r="I2522" t="s">
        <v>23</v>
      </c>
      <c r="J2522" t="s">
        <v>40</v>
      </c>
      <c r="K2522" s="2" t="s">
        <v>3366</v>
      </c>
      <c r="L2522" t="s">
        <v>26</v>
      </c>
      <c r="M2522">
        <v>363286</v>
      </c>
      <c r="N2522">
        <v>1</v>
      </c>
      <c r="O2522" s="3">
        <v>59950</v>
      </c>
      <c r="P2522" s="3">
        <v>15928</v>
      </c>
      <c r="Q2522" s="5">
        <f t="shared" si="117"/>
        <v>50378.151260504201</v>
      </c>
      <c r="R2522" s="5">
        <f t="shared" si="118"/>
        <v>15928</v>
      </c>
      <c r="S2522" s="5">
        <f t="shared" si="119"/>
        <v>34450.151260504201</v>
      </c>
    </row>
    <row r="2523" spans="1:19" hidden="1" x14ac:dyDescent="0.3">
      <c r="A2523">
        <v>140</v>
      </c>
      <c r="B2523" t="s">
        <v>3524</v>
      </c>
      <c r="C2523" t="s">
        <v>4268</v>
      </c>
      <c r="D2523" s="2" t="s">
        <v>4269</v>
      </c>
      <c r="E2523" t="s">
        <v>1886</v>
      </c>
      <c r="F2523" t="s">
        <v>20</v>
      </c>
      <c r="G2523" t="s">
        <v>21</v>
      </c>
      <c r="H2523" t="s">
        <v>1887</v>
      </c>
      <c r="I2523" t="s">
        <v>23</v>
      </c>
      <c r="J2523" t="s">
        <v>40</v>
      </c>
      <c r="K2523" s="2" t="s">
        <v>3366</v>
      </c>
      <c r="L2523" t="s">
        <v>26</v>
      </c>
      <c r="M2523">
        <v>363286</v>
      </c>
      <c r="N2523">
        <v>1</v>
      </c>
      <c r="O2523" s="3">
        <v>59450</v>
      </c>
      <c r="P2523" s="3">
        <v>21623</v>
      </c>
      <c r="Q2523" s="5">
        <f t="shared" si="117"/>
        <v>49957.983193277316</v>
      </c>
      <c r="R2523" s="5">
        <f t="shared" si="118"/>
        <v>21623</v>
      </c>
      <c r="S2523" s="5">
        <f t="shared" si="119"/>
        <v>28334.983193277316</v>
      </c>
    </row>
    <row r="2524" spans="1:19" hidden="1" x14ac:dyDescent="0.3">
      <c r="A2524">
        <v>140</v>
      </c>
      <c r="B2524" t="s">
        <v>3524</v>
      </c>
      <c r="C2524" t="s">
        <v>4032</v>
      </c>
      <c r="D2524" s="2" t="s">
        <v>4033</v>
      </c>
      <c r="E2524" t="s">
        <v>3573</v>
      </c>
      <c r="F2524" t="s">
        <v>20</v>
      </c>
      <c r="G2524" t="s">
        <v>21</v>
      </c>
      <c r="H2524" t="s">
        <v>247</v>
      </c>
      <c r="I2524" t="s">
        <v>23</v>
      </c>
      <c r="J2524" t="s">
        <v>40</v>
      </c>
      <c r="K2524" s="2" t="s">
        <v>3366</v>
      </c>
      <c r="L2524" t="s">
        <v>26</v>
      </c>
      <c r="M2524">
        <v>363287</v>
      </c>
      <c r="N2524">
        <v>-1</v>
      </c>
      <c r="O2524" s="3">
        <v>-34990</v>
      </c>
      <c r="P2524" s="3">
        <v>17250</v>
      </c>
      <c r="Q2524" s="5">
        <f t="shared" si="117"/>
        <v>-29403.361344537818</v>
      </c>
      <c r="R2524" s="5">
        <f t="shared" si="118"/>
        <v>-17250</v>
      </c>
      <c r="S2524" s="5">
        <f t="shared" si="119"/>
        <v>-12153.361344537818</v>
      </c>
    </row>
    <row r="2525" spans="1:19" hidden="1" x14ac:dyDescent="0.3">
      <c r="A2525">
        <v>140</v>
      </c>
      <c r="B2525" t="s">
        <v>3524</v>
      </c>
      <c r="C2525" t="s">
        <v>3571</v>
      </c>
      <c r="D2525" s="2" t="s">
        <v>3572</v>
      </c>
      <c r="E2525" t="s">
        <v>3573</v>
      </c>
      <c r="F2525" t="s">
        <v>20</v>
      </c>
      <c r="G2525" t="s">
        <v>21</v>
      </c>
      <c r="H2525" t="s">
        <v>247</v>
      </c>
      <c r="I2525" t="s">
        <v>23</v>
      </c>
      <c r="J2525" t="s">
        <v>40</v>
      </c>
      <c r="K2525" s="2" t="s">
        <v>3366</v>
      </c>
      <c r="L2525" t="s">
        <v>26</v>
      </c>
      <c r="M2525">
        <v>363287</v>
      </c>
      <c r="N2525">
        <v>1</v>
      </c>
      <c r="O2525" s="3">
        <v>34991</v>
      </c>
      <c r="P2525" s="3">
        <v>16766</v>
      </c>
      <c r="Q2525" s="5">
        <f t="shared" si="117"/>
        <v>29404.201680672271</v>
      </c>
      <c r="R2525" s="5">
        <f t="shared" si="118"/>
        <v>16766</v>
      </c>
      <c r="S2525" s="5">
        <f t="shared" si="119"/>
        <v>12638.201680672271</v>
      </c>
    </row>
    <row r="2526" spans="1:19" hidden="1" x14ac:dyDescent="0.3">
      <c r="A2526">
        <v>140</v>
      </c>
      <c r="B2526" t="s">
        <v>3524</v>
      </c>
      <c r="C2526" t="s">
        <v>3704</v>
      </c>
      <c r="D2526" s="2" t="s">
        <v>3705</v>
      </c>
      <c r="E2526" t="s">
        <v>2360</v>
      </c>
      <c r="F2526" t="s">
        <v>20</v>
      </c>
      <c r="G2526" t="s">
        <v>21</v>
      </c>
      <c r="H2526" t="s">
        <v>1286</v>
      </c>
      <c r="I2526" t="s">
        <v>23</v>
      </c>
      <c r="J2526" t="s">
        <v>40</v>
      </c>
      <c r="K2526" s="2" t="s">
        <v>3366</v>
      </c>
      <c r="L2526" t="s">
        <v>26</v>
      </c>
      <c r="M2526">
        <v>363288</v>
      </c>
      <c r="N2526">
        <v>1</v>
      </c>
      <c r="O2526" s="3">
        <v>49990</v>
      </c>
      <c r="P2526" s="3">
        <v>24783</v>
      </c>
      <c r="Q2526" s="5">
        <f t="shared" si="117"/>
        <v>42008.403361344543</v>
      </c>
      <c r="R2526" s="5">
        <f t="shared" si="118"/>
        <v>24783</v>
      </c>
      <c r="S2526" s="5">
        <f t="shared" si="119"/>
        <v>17225.403361344543</v>
      </c>
    </row>
    <row r="2527" spans="1:19" hidden="1" x14ac:dyDescent="0.3">
      <c r="A2527">
        <v>140</v>
      </c>
      <c r="B2527" t="s">
        <v>3524</v>
      </c>
      <c r="C2527" t="s">
        <v>4270</v>
      </c>
      <c r="D2527" s="2" t="s">
        <v>4271</v>
      </c>
      <c r="E2527" t="s">
        <v>3880</v>
      </c>
      <c r="F2527" t="s">
        <v>20</v>
      </c>
      <c r="G2527" t="s">
        <v>21</v>
      </c>
      <c r="H2527" t="s">
        <v>22</v>
      </c>
      <c r="I2527" t="s">
        <v>23</v>
      </c>
      <c r="J2527" t="s">
        <v>49</v>
      </c>
      <c r="K2527" s="2" t="s">
        <v>3366</v>
      </c>
      <c r="L2527" t="s">
        <v>26</v>
      </c>
      <c r="M2527">
        <v>363289</v>
      </c>
      <c r="N2527">
        <v>1</v>
      </c>
      <c r="O2527" s="3">
        <v>63700</v>
      </c>
      <c r="P2527" s="3">
        <v>26350</v>
      </c>
      <c r="Q2527" s="5">
        <f t="shared" si="117"/>
        <v>53529.411764705888</v>
      </c>
      <c r="R2527" s="5">
        <f t="shared" si="118"/>
        <v>26350</v>
      </c>
      <c r="S2527" s="5">
        <f t="shared" si="119"/>
        <v>27179.411764705888</v>
      </c>
    </row>
    <row r="2528" spans="1:19" hidden="1" x14ac:dyDescent="0.3">
      <c r="A2528">
        <v>140</v>
      </c>
      <c r="B2528" t="s">
        <v>3524</v>
      </c>
      <c r="C2528" t="s">
        <v>4272</v>
      </c>
      <c r="D2528" s="2" t="s">
        <v>4273</v>
      </c>
      <c r="E2528" t="s">
        <v>4274</v>
      </c>
      <c r="F2528" t="s">
        <v>20</v>
      </c>
      <c r="G2528" t="s">
        <v>338</v>
      </c>
      <c r="H2528">
        <v>22410</v>
      </c>
      <c r="I2528" t="s">
        <v>23</v>
      </c>
      <c r="J2528" t="s">
        <v>49</v>
      </c>
      <c r="K2528" s="2" t="s">
        <v>3366</v>
      </c>
      <c r="L2528" t="s">
        <v>26</v>
      </c>
      <c r="M2528">
        <v>363289</v>
      </c>
      <c r="N2528">
        <v>1</v>
      </c>
      <c r="O2528" s="3">
        <v>69950</v>
      </c>
      <c r="P2528" s="3">
        <v>20848</v>
      </c>
      <c r="Q2528" s="5">
        <f t="shared" si="117"/>
        <v>58781.512605042022</v>
      </c>
      <c r="R2528" s="5">
        <f t="shared" si="118"/>
        <v>20848</v>
      </c>
      <c r="S2528" s="5">
        <f t="shared" si="119"/>
        <v>37933.512605042022</v>
      </c>
    </row>
    <row r="2529" spans="1:19" hidden="1" x14ac:dyDescent="0.3">
      <c r="A2529">
        <v>140</v>
      </c>
      <c r="B2529" t="s">
        <v>3524</v>
      </c>
      <c r="C2529" t="s">
        <v>4275</v>
      </c>
      <c r="D2529" s="2" t="s">
        <v>4276</v>
      </c>
      <c r="E2529" t="s">
        <v>4277</v>
      </c>
      <c r="F2529" t="s">
        <v>20</v>
      </c>
      <c r="G2529" t="s">
        <v>21</v>
      </c>
      <c r="H2529" t="s">
        <v>44</v>
      </c>
      <c r="I2529" t="s">
        <v>23</v>
      </c>
      <c r="J2529" t="s">
        <v>40</v>
      </c>
      <c r="K2529" s="2" t="s">
        <v>1958</v>
      </c>
      <c r="L2529" t="s">
        <v>26</v>
      </c>
      <c r="M2529">
        <v>363290</v>
      </c>
      <c r="N2529">
        <v>1</v>
      </c>
      <c r="O2529" s="3">
        <v>39990</v>
      </c>
      <c r="P2529" s="3">
        <v>15254</v>
      </c>
      <c r="Q2529" s="5">
        <f t="shared" si="117"/>
        <v>33605.042016806721</v>
      </c>
      <c r="R2529" s="5">
        <f t="shared" si="118"/>
        <v>15254</v>
      </c>
      <c r="S2529" s="5">
        <f t="shared" si="119"/>
        <v>18351.042016806721</v>
      </c>
    </row>
    <row r="2530" spans="1:19" hidden="1" x14ac:dyDescent="0.3">
      <c r="A2530">
        <v>140</v>
      </c>
      <c r="B2530" t="s">
        <v>3524</v>
      </c>
      <c r="C2530" t="s">
        <v>4278</v>
      </c>
      <c r="D2530" s="2" t="s">
        <v>4279</v>
      </c>
      <c r="E2530" t="s">
        <v>4280</v>
      </c>
      <c r="F2530" t="s">
        <v>20</v>
      </c>
      <c r="G2530" t="s">
        <v>21</v>
      </c>
      <c r="H2530" t="s">
        <v>3128</v>
      </c>
      <c r="I2530" t="s">
        <v>23</v>
      </c>
      <c r="J2530" t="s">
        <v>35</v>
      </c>
      <c r="K2530" s="2" t="s">
        <v>1958</v>
      </c>
      <c r="L2530" t="s">
        <v>26</v>
      </c>
      <c r="M2530">
        <v>363290</v>
      </c>
      <c r="N2530">
        <v>1</v>
      </c>
      <c r="O2530" s="3">
        <v>72200</v>
      </c>
      <c r="P2530" s="3">
        <v>29189</v>
      </c>
      <c r="Q2530" s="5">
        <f t="shared" si="117"/>
        <v>60672.268907563026</v>
      </c>
      <c r="R2530" s="5">
        <f t="shared" si="118"/>
        <v>29189</v>
      </c>
      <c r="S2530" s="5">
        <f t="shared" si="119"/>
        <v>31483.268907563026</v>
      </c>
    </row>
    <row r="2531" spans="1:19" hidden="1" x14ac:dyDescent="0.3">
      <c r="A2531">
        <v>140</v>
      </c>
      <c r="B2531" t="s">
        <v>3524</v>
      </c>
      <c r="C2531" t="s">
        <v>1103</v>
      </c>
      <c r="D2531" s="2" t="s">
        <v>1104</v>
      </c>
      <c r="E2531" t="s">
        <v>499</v>
      </c>
      <c r="F2531" t="s">
        <v>20</v>
      </c>
      <c r="G2531" t="s">
        <v>21</v>
      </c>
      <c r="H2531" t="s">
        <v>500</v>
      </c>
      <c r="I2531" t="s">
        <v>23</v>
      </c>
      <c r="J2531" t="s">
        <v>40</v>
      </c>
      <c r="K2531" s="2" t="s">
        <v>1958</v>
      </c>
      <c r="L2531" t="s">
        <v>26</v>
      </c>
      <c r="M2531">
        <v>363291</v>
      </c>
      <c r="N2531">
        <v>1</v>
      </c>
      <c r="O2531" s="3">
        <v>59950</v>
      </c>
      <c r="P2531" s="3">
        <v>17416</v>
      </c>
      <c r="Q2531" s="5">
        <f t="shared" si="117"/>
        <v>50378.151260504201</v>
      </c>
      <c r="R2531" s="5">
        <f t="shared" si="118"/>
        <v>17416</v>
      </c>
      <c r="S2531" s="5">
        <f t="shared" si="119"/>
        <v>32962.151260504201</v>
      </c>
    </row>
    <row r="2532" spans="1:19" hidden="1" x14ac:dyDescent="0.3">
      <c r="A2532">
        <v>140</v>
      </c>
      <c r="B2532" t="s">
        <v>3524</v>
      </c>
      <c r="C2532" t="s">
        <v>4281</v>
      </c>
      <c r="D2532" s="2" t="s">
        <v>4282</v>
      </c>
      <c r="E2532" t="s">
        <v>3515</v>
      </c>
      <c r="F2532" t="s">
        <v>20</v>
      </c>
      <c r="G2532" t="s">
        <v>21</v>
      </c>
      <c r="H2532" t="s">
        <v>406</v>
      </c>
      <c r="I2532" t="s">
        <v>23</v>
      </c>
      <c r="J2532" t="s">
        <v>407</v>
      </c>
      <c r="K2532" s="2" t="s">
        <v>1958</v>
      </c>
      <c r="L2532" t="s">
        <v>26</v>
      </c>
      <c r="M2532">
        <v>363292</v>
      </c>
      <c r="N2532">
        <v>1</v>
      </c>
      <c r="O2532" s="3">
        <v>44990</v>
      </c>
      <c r="P2532" s="3">
        <v>21595</v>
      </c>
      <c r="Q2532" s="5">
        <f t="shared" si="117"/>
        <v>37806.722689075636</v>
      </c>
      <c r="R2532" s="5">
        <f t="shared" si="118"/>
        <v>21595</v>
      </c>
      <c r="S2532" s="5">
        <f t="shared" si="119"/>
        <v>16211.722689075636</v>
      </c>
    </row>
    <row r="2533" spans="1:19" hidden="1" x14ac:dyDescent="0.3">
      <c r="A2533">
        <v>140</v>
      </c>
      <c r="B2533" t="s">
        <v>3524</v>
      </c>
      <c r="C2533" t="s">
        <v>4283</v>
      </c>
      <c r="D2533" s="2" t="s">
        <v>4284</v>
      </c>
      <c r="E2533" t="s">
        <v>3449</v>
      </c>
      <c r="F2533" t="s">
        <v>20</v>
      </c>
      <c r="G2533" t="s">
        <v>338</v>
      </c>
      <c r="H2533">
        <v>25366</v>
      </c>
      <c r="I2533" t="s">
        <v>23</v>
      </c>
      <c r="J2533" t="s">
        <v>35</v>
      </c>
      <c r="K2533" s="2" t="s">
        <v>1958</v>
      </c>
      <c r="L2533" t="s">
        <v>26</v>
      </c>
      <c r="M2533">
        <v>363293</v>
      </c>
      <c r="N2533">
        <v>1</v>
      </c>
      <c r="O2533" s="3">
        <v>99950</v>
      </c>
      <c r="P2533" s="3">
        <v>33157</v>
      </c>
      <c r="Q2533" s="5">
        <f t="shared" si="117"/>
        <v>83991.596638655465</v>
      </c>
      <c r="R2533" s="5">
        <f t="shared" si="118"/>
        <v>33157</v>
      </c>
      <c r="S2533" s="5">
        <f t="shared" si="119"/>
        <v>50834.596638655465</v>
      </c>
    </row>
    <row r="2534" spans="1:19" hidden="1" x14ac:dyDescent="0.3">
      <c r="A2534">
        <v>140</v>
      </c>
      <c r="B2534" t="s">
        <v>3524</v>
      </c>
      <c r="C2534" t="s">
        <v>2796</v>
      </c>
      <c r="D2534" s="2" t="s">
        <v>2797</v>
      </c>
      <c r="E2534" t="s">
        <v>1453</v>
      </c>
      <c r="F2534" t="s">
        <v>20</v>
      </c>
      <c r="G2534" t="s">
        <v>338</v>
      </c>
      <c r="H2534">
        <v>22410</v>
      </c>
      <c r="I2534" t="s">
        <v>23</v>
      </c>
      <c r="J2534" t="s">
        <v>49</v>
      </c>
      <c r="K2534" s="2" t="s">
        <v>1958</v>
      </c>
      <c r="L2534" t="s">
        <v>26</v>
      </c>
      <c r="M2534">
        <v>363294</v>
      </c>
      <c r="N2534">
        <v>1</v>
      </c>
      <c r="O2534" s="3">
        <v>69950</v>
      </c>
      <c r="P2534" s="3">
        <v>20848</v>
      </c>
      <c r="Q2534" s="5">
        <f t="shared" si="117"/>
        <v>58781.512605042022</v>
      </c>
      <c r="R2534" s="5">
        <f t="shared" si="118"/>
        <v>20848</v>
      </c>
      <c r="S2534" s="5">
        <f t="shared" si="119"/>
        <v>37933.512605042022</v>
      </c>
    </row>
    <row r="2535" spans="1:19" hidden="1" x14ac:dyDescent="0.3">
      <c r="A2535">
        <v>140</v>
      </c>
      <c r="B2535" t="s">
        <v>3524</v>
      </c>
      <c r="C2535" t="s">
        <v>2746</v>
      </c>
      <c r="D2535" s="2" t="s">
        <v>2747</v>
      </c>
      <c r="E2535" t="s">
        <v>2748</v>
      </c>
      <c r="F2535" t="s">
        <v>20</v>
      </c>
      <c r="G2535" t="s">
        <v>338</v>
      </c>
      <c r="H2535">
        <v>26266</v>
      </c>
      <c r="I2535" t="s">
        <v>23</v>
      </c>
      <c r="J2535" t="s">
        <v>35</v>
      </c>
      <c r="K2535" s="2" t="s">
        <v>1958</v>
      </c>
      <c r="L2535" t="s">
        <v>26</v>
      </c>
      <c r="M2535">
        <v>363295</v>
      </c>
      <c r="N2535">
        <v>1</v>
      </c>
      <c r="O2535" s="3">
        <v>79950</v>
      </c>
      <c r="P2535" s="3">
        <v>25300</v>
      </c>
      <c r="Q2535" s="5">
        <f t="shared" si="117"/>
        <v>67184.873949579836</v>
      </c>
      <c r="R2535" s="5">
        <f t="shared" si="118"/>
        <v>25300</v>
      </c>
      <c r="S2535" s="5">
        <f t="shared" si="119"/>
        <v>41884.873949579836</v>
      </c>
    </row>
    <row r="2536" spans="1:19" hidden="1" x14ac:dyDescent="0.3">
      <c r="A2536">
        <v>140</v>
      </c>
      <c r="B2536" t="s">
        <v>3524</v>
      </c>
      <c r="C2536" t="s">
        <v>2371</v>
      </c>
      <c r="D2536" s="2" t="s">
        <v>2372</v>
      </c>
      <c r="E2536" t="s">
        <v>2373</v>
      </c>
      <c r="F2536" t="s">
        <v>20</v>
      </c>
      <c r="G2536" t="s">
        <v>338</v>
      </c>
      <c r="H2536">
        <v>24239</v>
      </c>
      <c r="I2536" t="s">
        <v>23</v>
      </c>
      <c r="J2536" t="s">
        <v>95</v>
      </c>
      <c r="K2536" s="2" t="s">
        <v>1958</v>
      </c>
      <c r="L2536" t="s">
        <v>26</v>
      </c>
      <c r="M2536">
        <v>363296</v>
      </c>
      <c r="N2536">
        <v>1</v>
      </c>
      <c r="O2536" s="3">
        <v>59951</v>
      </c>
      <c r="P2536" s="3">
        <v>18677</v>
      </c>
      <c r="Q2536" s="5">
        <f t="shared" si="117"/>
        <v>50378.991596638654</v>
      </c>
      <c r="R2536" s="5">
        <f t="shared" si="118"/>
        <v>18677</v>
      </c>
      <c r="S2536" s="5">
        <f t="shared" si="119"/>
        <v>31701.991596638654</v>
      </c>
    </row>
    <row r="2537" spans="1:19" hidden="1" x14ac:dyDescent="0.3">
      <c r="A2537">
        <v>140</v>
      </c>
      <c r="B2537" t="s">
        <v>3524</v>
      </c>
      <c r="C2537" t="s">
        <v>4285</v>
      </c>
      <c r="D2537" s="2" t="s">
        <v>4286</v>
      </c>
      <c r="E2537" t="s">
        <v>2373</v>
      </c>
      <c r="F2537" t="s">
        <v>20</v>
      </c>
      <c r="G2537" t="s">
        <v>338</v>
      </c>
      <c r="H2537">
        <v>24239</v>
      </c>
      <c r="I2537" t="s">
        <v>23</v>
      </c>
      <c r="J2537" t="s">
        <v>95</v>
      </c>
      <c r="K2537" s="2" t="s">
        <v>1958</v>
      </c>
      <c r="L2537" t="s">
        <v>26</v>
      </c>
      <c r="M2537">
        <v>363296</v>
      </c>
      <c r="N2537">
        <v>-1</v>
      </c>
      <c r="O2537" s="3">
        <v>-59950</v>
      </c>
      <c r="P2537" s="3">
        <v>18677</v>
      </c>
      <c r="Q2537" s="5">
        <f t="shared" si="117"/>
        <v>-50378.151260504201</v>
      </c>
      <c r="R2537" s="5">
        <f t="shared" si="118"/>
        <v>-18677</v>
      </c>
      <c r="S2537" s="5">
        <f t="shared" si="119"/>
        <v>-31701.151260504201</v>
      </c>
    </row>
    <row r="2538" spans="1:19" hidden="1" x14ac:dyDescent="0.3">
      <c r="A2538">
        <v>140</v>
      </c>
      <c r="B2538" t="s">
        <v>3524</v>
      </c>
      <c r="C2538" t="s">
        <v>3281</v>
      </c>
      <c r="D2538" s="2" t="s">
        <v>3282</v>
      </c>
      <c r="E2538" t="s">
        <v>3283</v>
      </c>
      <c r="F2538" t="s">
        <v>20</v>
      </c>
      <c r="G2538" t="s">
        <v>21</v>
      </c>
      <c r="H2538" t="s">
        <v>2494</v>
      </c>
      <c r="I2538" t="s">
        <v>23</v>
      </c>
      <c r="J2538" t="s">
        <v>40</v>
      </c>
      <c r="K2538" s="2" t="s">
        <v>1958</v>
      </c>
      <c r="L2538" t="s">
        <v>26</v>
      </c>
      <c r="M2538">
        <v>363297</v>
      </c>
      <c r="N2538">
        <v>1</v>
      </c>
      <c r="O2538" s="3">
        <v>69950</v>
      </c>
      <c r="P2538" s="3">
        <v>23470</v>
      </c>
      <c r="Q2538" s="5">
        <f t="shared" si="117"/>
        <v>58781.512605042022</v>
      </c>
      <c r="R2538" s="5">
        <f t="shared" si="118"/>
        <v>23470</v>
      </c>
      <c r="S2538" s="5">
        <f t="shared" si="119"/>
        <v>35311.512605042022</v>
      </c>
    </row>
    <row r="2539" spans="1:19" hidden="1" x14ac:dyDescent="0.3">
      <c r="A2539">
        <v>140</v>
      </c>
      <c r="B2539" t="s">
        <v>3524</v>
      </c>
      <c r="C2539" t="s">
        <v>4287</v>
      </c>
      <c r="D2539" s="2" t="s">
        <v>4288</v>
      </c>
      <c r="E2539" t="s">
        <v>1185</v>
      </c>
      <c r="F2539" t="s">
        <v>20</v>
      </c>
      <c r="G2539" t="s">
        <v>21</v>
      </c>
      <c r="H2539" t="s">
        <v>285</v>
      </c>
      <c r="I2539" t="s">
        <v>23</v>
      </c>
      <c r="J2539" t="s">
        <v>49</v>
      </c>
      <c r="K2539" s="2" t="s">
        <v>1958</v>
      </c>
      <c r="L2539" t="s">
        <v>26</v>
      </c>
      <c r="M2539">
        <v>363298</v>
      </c>
      <c r="N2539">
        <v>1</v>
      </c>
      <c r="O2539" s="3">
        <v>49990</v>
      </c>
      <c r="P2539" s="3">
        <v>29760</v>
      </c>
      <c r="Q2539" s="5">
        <f t="shared" si="117"/>
        <v>42008.403361344543</v>
      </c>
      <c r="R2539" s="5">
        <f t="shared" si="118"/>
        <v>29760</v>
      </c>
      <c r="S2539" s="5">
        <f t="shared" si="119"/>
        <v>12248.403361344543</v>
      </c>
    </row>
    <row r="2540" spans="1:19" hidden="1" x14ac:dyDescent="0.3">
      <c r="A2540">
        <v>140</v>
      </c>
      <c r="B2540" t="s">
        <v>3524</v>
      </c>
      <c r="C2540" t="s">
        <v>4289</v>
      </c>
      <c r="D2540" s="2" t="s">
        <v>4290</v>
      </c>
      <c r="E2540" t="s">
        <v>4291</v>
      </c>
      <c r="F2540" t="s">
        <v>20</v>
      </c>
      <c r="G2540" t="s">
        <v>21</v>
      </c>
      <c r="H2540" t="s">
        <v>285</v>
      </c>
      <c r="I2540" t="s">
        <v>23</v>
      </c>
      <c r="J2540" t="s">
        <v>35</v>
      </c>
      <c r="K2540" s="2" t="s">
        <v>1958</v>
      </c>
      <c r="L2540" t="s">
        <v>26</v>
      </c>
      <c r="M2540">
        <v>363299</v>
      </c>
      <c r="N2540">
        <v>1</v>
      </c>
      <c r="O2540" s="3">
        <v>67950</v>
      </c>
      <c r="P2540" s="3">
        <v>31401</v>
      </c>
      <c r="Q2540" s="5">
        <f t="shared" si="117"/>
        <v>57100.840336134454</v>
      </c>
      <c r="R2540" s="5">
        <f t="shared" si="118"/>
        <v>31401</v>
      </c>
      <c r="S2540" s="5">
        <f t="shared" si="119"/>
        <v>25699.840336134454</v>
      </c>
    </row>
    <row r="2541" spans="1:19" hidden="1" x14ac:dyDescent="0.3">
      <c r="A2541">
        <v>140</v>
      </c>
      <c r="B2541" t="s">
        <v>3524</v>
      </c>
      <c r="C2541" t="s">
        <v>4292</v>
      </c>
      <c r="D2541" s="2" t="s">
        <v>4293</v>
      </c>
      <c r="E2541" t="s">
        <v>2778</v>
      </c>
      <c r="F2541" t="s">
        <v>20</v>
      </c>
      <c r="G2541" t="s">
        <v>21</v>
      </c>
      <c r="H2541" t="s">
        <v>1296</v>
      </c>
      <c r="I2541" t="s">
        <v>23</v>
      </c>
      <c r="J2541" t="s">
        <v>35</v>
      </c>
      <c r="K2541" s="2" t="s">
        <v>1958</v>
      </c>
      <c r="L2541" t="s">
        <v>26</v>
      </c>
      <c r="M2541">
        <v>363299</v>
      </c>
      <c r="N2541">
        <v>1</v>
      </c>
      <c r="O2541" s="3">
        <v>99950</v>
      </c>
      <c r="P2541" s="3">
        <v>34091</v>
      </c>
      <c r="Q2541" s="5">
        <f t="shared" si="117"/>
        <v>83991.596638655465</v>
      </c>
      <c r="R2541" s="5">
        <f t="shared" si="118"/>
        <v>34091</v>
      </c>
      <c r="S2541" s="5">
        <f t="shared" si="119"/>
        <v>49900.596638655465</v>
      </c>
    </row>
    <row r="2542" spans="1:19" hidden="1" x14ac:dyDescent="0.3">
      <c r="A2542">
        <v>140</v>
      </c>
      <c r="B2542" t="s">
        <v>3524</v>
      </c>
      <c r="C2542" t="s">
        <v>4294</v>
      </c>
      <c r="D2542" s="2" t="s">
        <v>4295</v>
      </c>
      <c r="E2542" t="s">
        <v>4296</v>
      </c>
      <c r="F2542" t="s">
        <v>20</v>
      </c>
      <c r="G2542" t="s">
        <v>338</v>
      </c>
      <c r="H2542">
        <v>25321</v>
      </c>
      <c r="I2542" t="s">
        <v>23</v>
      </c>
      <c r="J2542" t="s">
        <v>35</v>
      </c>
      <c r="K2542" s="2" t="s">
        <v>1958</v>
      </c>
      <c r="L2542" t="s">
        <v>26</v>
      </c>
      <c r="M2542">
        <v>363300</v>
      </c>
      <c r="N2542">
        <v>1</v>
      </c>
      <c r="O2542" s="3">
        <v>109950</v>
      </c>
      <c r="P2542" s="3">
        <v>33748</v>
      </c>
      <c r="Q2542" s="5">
        <f t="shared" si="117"/>
        <v>92394.957983193279</v>
      </c>
      <c r="R2542" s="5">
        <f t="shared" si="118"/>
        <v>33748</v>
      </c>
      <c r="S2542" s="5">
        <f t="shared" si="119"/>
        <v>58646.957983193279</v>
      </c>
    </row>
    <row r="2543" spans="1:19" hidden="1" x14ac:dyDescent="0.3">
      <c r="A2543">
        <v>140</v>
      </c>
      <c r="B2543" t="s">
        <v>3524</v>
      </c>
      <c r="C2543" t="s">
        <v>3089</v>
      </c>
      <c r="D2543" s="2" t="s">
        <v>3090</v>
      </c>
      <c r="E2543" t="s">
        <v>3091</v>
      </c>
      <c r="F2543" t="s">
        <v>20</v>
      </c>
      <c r="G2543" t="s">
        <v>338</v>
      </c>
      <c r="H2543">
        <v>26266</v>
      </c>
      <c r="I2543" t="s">
        <v>23</v>
      </c>
      <c r="J2543" t="s">
        <v>35</v>
      </c>
      <c r="K2543" s="2" t="s">
        <v>1958</v>
      </c>
      <c r="L2543" t="s">
        <v>26</v>
      </c>
      <c r="M2543">
        <v>363301</v>
      </c>
      <c r="N2543">
        <v>1</v>
      </c>
      <c r="O2543" s="3">
        <v>79950</v>
      </c>
      <c r="P2543" s="3">
        <v>25300</v>
      </c>
      <c r="Q2543" s="5">
        <f t="shared" si="117"/>
        <v>67184.873949579836</v>
      </c>
      <c r="R2543" s="5">
        <f t="shared" si="118"/>
        <v>25300</v>
      </c>
      <c r="S2543" s="5">
        <f t="shared" si="119"/>
        <v>41884.873949579836</v>
      </c>
    </row>
    <row r="2544" spans="1:19" hidden="1" x14ac:dyDescent="0.3">
      <c r="A2544">
        <v>140</v>
      </c>
      <c r="B2544" t="s">
        <v>3524</v>
      </c>
      <c r="C2544" t="s">
        <v>3659</v>
      </c>
      <c r="D2544" s="2" t="s">
        <v>3660</v>
      </c>
      <c r="E2544" t="s">
        <v>1466</v>
      </c>
      <c r="F2544" t="s">
        <v>20</v>
      </c>
      <c r="G2544" t="s">
        <v>21</v>
      </c>
      <c r="H2544" t="s">
        <v>65</v>
      </c>
      <c r="I2544" t="s">
        <v>23</v>
      </c>
      <c r="J2544" t="s">
        <v>49</v>
      </c>
      <c r="K2544" s="2" t="s">
        <v>1958</v>
      </c>
      <c r="L2544" t="s">
        <v>26</v>
      </c>
      <c r="M2544">
        <v>363302</v>
      </c>
      <c r="N2544">
        <v>1</v>
      </c>
      <c r="O2544" s="3">
        <v>64950</v>
      </c>
      <c r="P2544" s="3">
        <v>18660</v>
      </c>
      <c r="Q2544" s="5">
        <f t="shared" si="117"/>
        <v>54579.831932773115</v>
      </c>
      <c r="R2544" s="5">
        <f t="shared" si="118"/>
        <v>18660</v>
      </c>
      <c r="S2544" s="5">
        <f t="shared" si="119"/>
        <v>35919.831932773115</v>
      </c>
    </row>
    <row r="2545" spans="1:19" hidden="1" x14ac:dyDescent="0.3">
      <c r="A2545">
        <v>140</v>
      </c>
      <c r="B2545" t="s">
        <v>3524</v>
      </c>
      <c r="C2545" t="s">
        <v>4297</v>
      </c>
      <c r="D2545" s="2" t="s">
        <v>4298</v>
      </c>
      <c r="E2545" t="s">
        <v>4280</v>
      </c>
      <c r="F2545" t="s">
        <v>20</v>
      </c>
      <c r="G2545" t="s">
        <v>21</v>
      </c>
      <c r="H2545" t="s">
        <v>3128</v>
      </c>
      <c r="I2545" t="s">
        <v>23</v>
      </c>
      <c r="J2545" t="s">
        <v>35</v>
      </c>
      <c r="K2545" s="2" t="s">
        <v>2093</v>
      </c>
      <c r="L2545" t="s">
        <v>26</v>
      </c>
      <c r="M2545">
        <v>363303</v>
      </c>
      <c r="N2545">
        <v>1</v>
      </c>
      <c r="O2545" s="3">
        <v>63710</v>
      </c>
      <c r="P2545" s="3">
        <v>29189</v>
      </c>
      <c r="Q2545" s="5">
        <f t="shared" si="117"/>
        <v>53537.815126050424</v>
      </c>
      <c r="R2545" s="5">
        <f t="shared" si="118"/>
        <v>29189</v>
      </c>
      <c r="S2545" s="5">
        <f t="shared" si="119"/>
        <v>24348.815126050424</v>
      </c>
    </row>
    <row r="2546" spans="1:19" hidden="1" x14ac:dyDescent="0.3">
      <c r="A2546">
        <v>140</v>
      </c>
      <c r="B2546" t="s">
        <v>3524</v>
      </c>
      <c r="C2546" t="s">
        <v>2328</v>
      </c>
      <c r="D2546" s="2" t="s">
        <v>2329</v>
      </c>
      <c r="E2546" t="s">
        <v>2330</v>
      </c>
      <c r="F2546" t="s">
        <v>20</v>
      </c>
      <c r="G2546" t="s">
        <v>21</v>
      </c>
      <c r="H2546" t="s">
        <v>839</v>
      </c>
      <c r="I2546" t="s">
        <v>23</v>
      </c>
      <c r="J2546" t="s">
        <v>40</v>
      </c>
      <c r="K2546" s="2" t="s">
        <v>2093</v>
      </c>
      <c r="L2546" t="s">
        <v>26</v>
      </c>
      <c r="M2546">
        <v>363304</v>
      </c>
      <c r="N2546">
        <v>1</v>
      </c>
      <c r="O2546" s="3">
        <v>39990</v>
      </c>
      <c r="P2546" s="3">
        <v>16210</v>
      </c>
      <c r="Q2546" s="5">
        <f t="shared" si="117"/>
        <v>33605.042016806721</v>
      </c>
      <c r="R2546" s="5">
        <f t="shared" si="118"/>
        <v>16210</v>
      </c>
      <c r="S2546" s="5">
        <f t="shared" si="119"/>
        <v>17395.042016806721</v>
      </c>
    </row>
    <row r="2547" spans="1:19" hidden="1" x14ac:dyDescent="0.3">
      <c r="A2547">
        <v>140</v>
      </c>
      <c r="B2547" t="s">
        <v>3524</v>
      </c>
      <c r="C2547" t="s">
        <v>4299</v>
      </c>
      <c r="D2547" s="2" t="s">
        <v>4300</v>
      </c>
      <c r="E2547" t="s">
        <v>4301</v>
      </c>
      <c r="F2547" t="s">
        <v>20</v>
      </c>
      <c r="G2547" t="s">
        <v>21</v>
      </c>
      <c r="H2547" t="s">
        <v>3309</v>
      </c>
      <c r="I2547" t="s">
        <v>23</v>
      </c>
      <c r="J2547" t="s">
        <v>40</v>
      </c>
      <c r="K2547" s="2" t="s">
        <v>2093</v>
      </c>
      <c r="L2547" t="s">
        <v>26</v>
      </c>
      <c r="M2547">
        <v>363304</v>
      </c>
      <c r="N2547">
        <v>1</v>
      </c>
      <c r="O2547" s="3">
        <v>64950</v>
      </c>
      <c r="P2547" s="3">
        <v>21130</v>
      </c>
      <c r="Q2547" s="5">
        <f t="shared" si="117"/>
        <v>54579.831932773115</v>
      </c>
      <c r="R2547" s="5">
        <f t="shared" si="118"/>
        <v>21130</v>
      </c>
      <c r="S2547" s="5">
        <f t="shared" si="119"/>
        <v>33449.831932773115</v>
      </c>
    </row>
    <row r="2548" spans="1:19" hidden="1" x14ac:dyDescent="0.3">
      <c r="A2548">
        <v>140</v>
      </c>
      <c r="B2548" t="s">
        <v>3524</v>
      </c>
      <c r="C2548" t="s">
        <v>4302</v>
      </c>
      <c r="D2548" s="2" t="s">
        <v>4303</v>
      </c>
      <c r="E2548" t="s">
        <v>1137</v>
      </c>
      <c r="F2548" t="s">
        <v>20</v>
      </c>
      <c r="G2548" t="s">
        <v>21</v>
      </c>
      <c r="H2548" t="s">
        <v>224</v>
      </c>
      <c r="I2548" t="s">
        <v>23</v>
      </c>
      <c r="J2548" t="s">
        <v>49</v>
      </c>
      <c r="K2548" s="2" t="s">
        <v>2093</v>
      </c>
      <c r="L2548" t="s">
        <v>26</v>
      </c>
      <c r="M2548">
        <v>363305</v>
      </c>
      <c r="N2548">
        <v>-1</v>
      </c>
      <c r="O2548" s="3">
        <v>-44990</v>
      </c>
      <c r="P2548" s="3">
        <v>31900</v>
      </c>
      <c r="Q2548" s="5">
        <f t="shared" si="117"/>
        <v>-37806.722689075636</v>
      </c>
      <c r="R2548" s="5">
        <f t="shared" si="118"/>
        <v>-31900</v>
      </c>
      <c r="S2548" s="5">
        <f t="shared" si="119"/>
        <v>-5906.7226890756356</v>
      </c>
    </row>
    <row r="2549" spans="1:19" hidden="1" x14ac:dyDescent="0.3">
      <c r="A2549">
        <v>140</v>
      </c>
      <c r="B2549" t="s">
        <v>3524</v>
      </c>
      <c r="C2549" t="s">
        <v>4304</v>
      </c>
      <c r="D2549" s="2" t="s">
        <v>4305</v>
      </c>
      <c r="E2549" t="s">
        <v>717</v>
      </c>
      <c r="F2549" t="s">
        <v>20</v>
      </c>
      <c r="G2549" t="s">
        <v>21</v>
      </c>
      <c r="H2549" t="s">
        <v>718</v>
      </c>
      <c r="I2549" t="s">
        <v>23</v>
      </c>
      <c r="J2549" t="s">
        <v>49</v>
      </c>
      <c r="K2549" s="2" t="s">
        <v>2093</v>
      </c>
      <c r="L2549" t="s">
        <v>26</v>
      </c>
      <c r="M2549">
        <v>363305</v>
      </c>
      <c r="N2549">
        <v>1</v>
      </c>
      <c r="O2549" s="3">
        <v>39990</v>
      </c>
      <c r="P2549" s="3">
        <v>26658</v>
      </c>
      <c r="Q2549" s="5">
        <f t="shared" si="117"/>
        <v>33605.042016806721</v>
      </c>
      <c r="R2549" s="5">
        <f t="shared" si="118"/>
        <v>26658</v>
      </c>
      <c r="S2549" s="5">
        <f t="shared" si="119"/>
        <v>6947.0420168067212</v>
      </c>
    </row>
    <row r="2550" spans="1:19" hidden="1" x14ac:dyDescent="0.3">
      <c r="A2550">
        <v>140</v>
      </c>
      <c r="B2550" t="s">
        <v>3524</v>
      </c>
      <c r="C2550" t="s">
        <v>2575</v>
      </c>
      <c r="D2550" s="2" t="s">
        <v>2576</v>
      </c>
      <c r="E2550" t="s">
        <v>2577</v>
      </c>
      <c r="F2550" t="s">
        <v>377</v>
      </c>
      <c r="G2550" t="s">
        <v>21</v>
      </c>
      <c r="H2550" t="s">
        <v>378</v>
      </c>
      <c r="I2550" t="s">
        <v>23</v>
      </c>
      <c r="J2550" t="s">
        <v>379</v>
      </c>
      <c r="K2550" s="2" t="s">
        <v>2093</v>
      </c>
      <c r="L2550" t="s">
        <v>26</v>
      </c>
      <c r="M2550">
        <v>363305</v>
      </c>
      <c r="N2550">
        <v>1</v>
      </c>
      <c r="O2550" s="3">
        <v>5950</v>
      </c>
      <c r="P2550" s="3">
        <v>3307</v>
      </c>
      <c r="Q2550" s="5">
        <f t="shared" si="117"/>
        <v>5000</v>
      </c>
      <c r="R2550" s="5">
        <f t="shared" si="118"/>
        <v>3307</v>
      </c>
      <c r="S2550" s="5">
        <f t="shared" si="119"/>
        <v>1693</v>
      </c>
    </row>
    <row r="2551" spans="1:19" hidden="1" x14ac:dyDescent="0.3">
      <c r="A2551">
        <v>140</v>
      </c>
      <c r="B2551" t="s">
        <v>3524</v>
      </c>
      <c r="C2551" t="s">
        <v>4306</v>
      </c>
      <c r="D2551" s="2" t="s">
        <v>4307</v>
      </c>
      <c r="E2551" t="s">
        <v>866</v>
      </c>
      <c r="F2551" t="s">
        <v>20</v>
      </c>
      <c r="G2551" t="s">
        <v>21</v>
      </c>
      <c r="H2551" t="s">
        <v>90</v>
      </c>
      <c r="I2551" t="s">
        <v>23</v>
      </c>
      <c r="J2551" t="s">
        <v>35</v>
      </c>
      <c r="K2551" s="2" t="s">
        <v>2093</v>
      </c>
      <c r="L2551" t="s">
        <v>26</v>
      </c>
      <c r="M2551">
        <v>363306</v>
      </c>
      <c r="N2551">
        <v>1</v>
      </c>
      <c r="O2551" s="3">
        <v>84950</v>
      </c>
      <c r="P2551" s="3">
        <v>35272</v>
      </c>
      <c r="Q2551" s="5">
        <f t="shared" si="117"/>
        <v>71386.554621848743</v>
      </c>
      <c r="R2551" s="5">
        <f t="shared" si="118"/>
        <v>35272</v>
      </c>
      <c r="S2551" s="5">
        <f t="shared" si="119"/>
        <v>36114.554621848743</v>
      </c>
    </row>
    <row r="2552" spans="1:19" hidden="1" x14ac:dyDescent="0.3">
      <c r="A2552">
        <v>140</v>
      </c>
      <c r="B2552" t="s">
        <v>3524</v>
      </c>
      <c r="C2552" t="s">
        <v>4308</v>
      </c>
      <c r="D2552" s="2" t="s">
        <v>4309</v>
      </c>
      <c r="E2552" t="s">
        <v>2764</v>
      </c>
      <c r="F2552" t="s">
        <v>20</v>
      </c>
      <c r="G2552" t="s">
        <v>21</v>
      </c>
      <c r="H2552" t="s">
        <v>742</v>
      </c>
      <c r="I2552" t="s">
        <v>23</v>
      </c>
      <c r="J2552" t="s">
        <v>40</v>
      </c>
      <c r="K2552" s="2" t="s">
        <v>2093</v>
      </c>
      <c r="L2552" t="s">
        <v>26</v>
      </c>
      <c r="M2552">
        <v>363307</v>
      </c>
      <c r="N2552">
        <v>1</v>
      </c>
      <c r="O2552" s="3">
        <v>74950</v>
      </c>
      <c r="P2552" s="3">
        <v>22446</v>
      </c>
      <c r="Q2552" s="5">
        <f t="shared" si="117"/>
        <v>62983.193277310929</v>
      </c>
      <c r="R2552" s="5">
        <f t="shared" si="118"/>
        <v>22446</v>
      </c>
      <c r="S2552" s="5">
        <f t="shared" si="119"/>
        <v>40537.193277310929</v>
      </c>
    </row>
    <row r="2553" spans="1:19" hidden="1" x14ac:dyDescent="0.3">
      <c r="A2553">
        <v>140</v>
      </c>
      <c r="B2553" t="s">
        <v>3524</v>
      </c>
      <c r="C2553" t="s">
        <v>3784</v>
      </c>
      <c r="D2553" s="2" t="s">
        <v>3785</v>
      </c>
      <c r="E2553" t="s">
        <v>3786</v>
      </c>
      <c r="F2553" t="s">
        <v>20</v>
      </c>
      <c r="G2553" t="s">
        <v>21</v>
      </c>
      <c r="H2553" t="s">
        <v>1405</v>
      </c>
      <c r="I2553" t="s">
        <v>23</v>
      </c>
      <c r="J2553" t="s">
        <v>40</v>
      </c>
      <c r="K2553" s="2" t="s">
        <v>2093</v>
      </c>
      <c r="L2553" t="s">
        <v>26</v>
      </c>
      <c r="M2553">
        <v>363307</v>
      </c>
      <c r="N2553">
        <v>-1</v>
      </c>
      <c r="O2553" s="3">
        <v>-49950</v>
      </c>
      <c r="P2553" s="3">
        <v>13302</v>
      </c>
      <c r="Q2553" s="5">
        <f t="shared" si="117"/>
        <v>-41974.789915966387</v>
      </c>
      <c r="R2553" s="5">
        <f t="shared" si="118"/>
        <v>-13302</v>
      </c>
      <c r="S2553" s="5">
        <f t="shared" si="119"/>
        <v>-28672.789915966387</v>
      </c>
    </row>
    <row r="2554" spans="1:19" hidden="1" x14ac:dyDescent="0.3">
      <c r="A2554">
        <v>140</v>
      </c>
      <c r="B2554" t="s">
        <v>3524</v>
      </c>
      <c r="C2554" t="s">
        <v>2575</v>
      </c>
      <c r="D2554" s="2" t="s">
        <v>2576</v>
      </c>
      <c r="E2554" t="s">
        <v>2577</v>
      </c>
      <c r="F2554" t="s">
        <v>377</v>
      </c>
      <c r="G2554" t="s">
        <v>21</v>
      </c>
      <c r="H2554" t="s">
        <v>378</v>
      </c>
      <c r="I2554" t="s">
        <v>23</v>
      </c>
      <c r="J2554" t="s">
        <v>379</v>
      </c>
      <c r="K2554" s="2" t="s">
        <v>2093</v>
      </c>
      <c r="L2554" t="s">
        <v>26</v>
      </c>
      <c r="M2554">
        <v>363307</v>
      </c>
      <c r="N2554">
        <v>1</v>
      </c>
      <c r="O2554" s="3">
        <v>5950</v>
      </c>
      <c r="P2554" s="3">
        <v>3307</v>
      </c>
      <c r="Q2554" s="5">
        <f t="shared" si="117"/>
        <v>5000</v>
      </c>
      <c r="R2554" s="5">
        <f t="shared" si="118"/>
        <v>3307</v>
      </c>
      <c r="S2554" s="5">
        <f t="shared" si="119"/>
        <v>1693</v>
      </c>
    </row>
    <row r="2555" spans="1:19" hidden="1" x14ac:dyDescent="0.3">
      <c r="A2555">
        <v>140</v>
      </c>
      <c r="B2555" t="s">
        <v>3524</v>
      </c>
      <c r="C2555" t="s">
        <v>2926</v>
      </c>
      <c r="D2555" s="2" t="s">
        <v>2927</v>
      </c>
      <c r="E2555" t="s">
        <v>2110</v>
      </c>
      <c r="F2555" t="s">
        <v>20</v>
      </c>
      <c r="G2555" t="s">
        <v>21</v>
      </c>
      <c r="H2555" t="s">
        <v>22</v>
      </c>
      <c r="I2555" t="s">
        <v>23</v>
      </c>
      <c r="J2555" t="s">
        <v>24</v>
      </c>
      <c r="K2555" s="2" t="s">
        <v>2093</v>
      </c>
      <c r="L2555" t="s">
        <v>26</v>
      </c>
      <c r="M2555">
        <v>363308</v>
      </c>
      <c r="N2555">
        <v>1</v>
      </c>
      <c r="O2555" s="3">
        <v>79950</v>
      </c>
      <c r="P2555" s="3">
        <v>27748</v>
      </c>
      <c r="Q2555" s="5">
        <f t="shared" si="117"/>
        <v>67184.873949579836</v>
      </c>
      <c r="R2555" s="5">
        <f t="shared" si="118"/>
        <v>27748</v>
      </c>
      <c r="S2555" s="5">
        <f t="shared" si="119"/>
        <v>39436.873949579836</v>
      </c>
    </row>
    <row r="2556" spans="1:19" hidden="1" x14ac:dyDescent="0.3">
      <c r="A2556">
        <v>140</v>
      </c>
      <c r="B2556" t="s">
        <v>3524</v>
      </c>
      <c r="C2556" t="s">
        <v>4050</v>
      </c>
      <c r="D2556" s="2" t="s">
        <v>4051</v>
      </c>
      <c r="E2556" t="s">
        <v>3175</v>
      </c>
      <c r="F2556" t="s">
        <v>20</v>
      </c>
      <c r="G2556" t="s">
        <v>21</v>
      </c>
      <c r="H2556" t="s">
        <v>625</v>
      </c>
      <c r="I2556" t="s">
        <v>23</v>
      </c>
      <c r="J2556" t="s">
        <v>35</v>
      </c>
      <c r="K2556" s="2" t="s">
        <v>2093</v>
      </c>
      <c r="L2556" t="s">
        <v>26</v>
      </c>
      <c r="M2556">
        <v>363309</v>
      </c>
      <c r="N2556">
        <v>-1</v>
      </c>
      <c r="O2556" s="3">
        <v>-49990</v>
      </c>
      <c r="P2556" s="3">
        <v>24956</v>
      </c>
      <c r="Q2556" s="5">
        <f t="shared" si="117"/>
        <v>-42008.403361344543</v>
      </c>
      <c r="R2556" s="5">
        <f t="shared" si="118"/>
        <v>-24956</v>
      </c>
      <c r="S2556" s="5">
        <f t="shared" si="119"/>
        <v>-17052.403361344543</v>
      </c>
    </row>
    <row r="2557" spans="1:19" hidden="1" x14ac:dyDescent="0.3">
      <c r="A2557">
        <v>140</v>
      </c>
      <c r="B2557" t="s">
        <v>3524</v>
      </c>
      <c r="C2557" t="s">
        <v>2948</v>
      </c>
      <c r="D2557" s="2" t="s">
        <v>2949</v>
      </c>
      <c r="E2557" t="s">
        <v>2226</v>
      </c>
      <c r="F2557" t="s">
        <v>20</v>
      </c>
      <c r="G2557" t="s">
        <v>21</v>
      </c>
      <c r="H2557" t="s">
        <v>53</v>
      </c>
      <c r="I2557" t="s">
        <v>23</v>
      </c>
      <c r="J2557" t="s">
        <v>49</v>
      </c>
      <c r="K2557" s="2" t="s">
        <v>2093</v>
      </c>
      <c r="L2557" t="s">
        <v>26</v>
      </c>
      <c r="M2557">
        <v>363309</v>
      </c>
      <c r="N2557">
        <v>1</v>
      </c>
      <c r="O2557" s="3">
        <v>69950</v>
      </c>
      <c r="P2557" s="3">
        <v>21044</v>
      </c>
      <c r="Q2557" s="5">
        <f t="shared" si="117"/>
        <v>58781.512605042022</v>
      </c>
      <c r="R2557" s="5">
        <f t="shared" si="118"/>
        <v>21044</v>
      </c>
      <c r="S2557" s="5">
        <f t="shared" si="119"/>
        <v>37737.512605042022</v>
      </c>
    </row>
    <row r="2558" spans="1:19" hidden="1" x14ac:dyDescent="0.3">
      <c r="A2558">
        <v>140</v>
      </c>
      <c r="B2558" t="s">
        <v>3524</v>
      </c>
      <c r="C2558" t="s">
        <v>3109</v>
      </c>
      <c r="D2558" s="2" t="s">
        <v>3110</v>
      </c>
      <c r="E2558" t="s">
        <v>2378</v>
      </c>
      <c r="F2558" t="s">
        <v>20</v>
      </c>
      <c r="G2558" t="s">
        <v>21</v>
      </c>
      <c r="H2558" t="s">
        <v>2379</v>
      </c>
      <c r="I2558" t="s">
        <v>23</v>
      </c>
      <c r="J2558" t="s">
        <v>40</v>
      </c>
      <c r="K2558" s="2" t="s">
        <v>2093</v>
      </c>
      <c r="L2558" t="s">
        <v>26</v>
      </c>
      <c r="M2558">
        <v>363310</v>
      </c>
      <c r="N2558">
        <v>1</v>
      </c>
      <c r="O2558" s="3">
        <v>39990</v>
      </c>
      <c r="P2558" s="3">
        <v>15732</v>
      </c>
      <c r="Q2558" s="5">
        <f t="shared" si="117"/>
        <v>33605.042016806721</v>
      </c>
      <c r="R2558" s="5">
        <f t="shared" si="118"/>
        <v>15732</v>
      </c>
      <c r="S2558" s="5">
        <f t="shared" si="119"/>
        <v>17873.042016806721</v>
      </c>
    </row>
    <row r="2559" spans="1:19" hidden="1" x14ac:dyDescent="0.3">
      <c r="A2559">
        <v>140</v>
      </c>
      <c r="B2559" t="s">
        <v>3524</v>
      </c>
      <c r="C2559" t="s">
        <v>1368</v>
      </c>
      <c r="D2559" s="2" t="s">
        <v>1369</v>
      </c>
      <c r="E2559" t="s">
        <v>1171</v>
      </c>
      <c r="F2559" t="s">
        <v>20</v>
      </c>
      <c r="G2559" t="s">
        <v>21</v>
      </c>
      <c r="H2559" t="s">
        <v>500</v>
      </c>
      <c r="I2559" t="s">
        <v>23</v>
      </c>
      <c r="J2559" t="s">
        <v>40</v>
      </c>
      <c r="K2559" s="2" t="s">
        <v>2093</v>
      </c>
      <c r="L2559" t="s">
        <v>26</v>
      </c>
      <c r="M2559">
        <v>363310</v>
      </c>
      <c r="N2559">
        <v>1</v>
      </c>
      <c r="O2559" s="3">
        <v>50957</v>
      </c>
      <c r="P2559" s="3">
        <v>17416</v>
      </c>
      <c r="Q2559" s="5">
        <f t="shared" si="117"/>
        <v>42821.008403361346</v>
      </c>
      <c r="R2559" s="5">
        <f t="shared" si="118"/>
        <v>17416</v>
      </c>
      <c r="S2559" s="5">
        <f t="shared" si="119"/>
        <v>25405.008403361346</v>
      </c>
    </row>
    <row r="2560" spans="1:19" hidden="1" x14ac:dyDescent="0.3">
      <c r="A2560">
        <v>140</v>
      </c>
      <c r="B2560" t="s">
        <v>3524</v>
      </c>
      <c r="C2560" t="s">
        <v>4310</v>
      </c>
      <c r="D2560" s="2" t="s">
        <v>4311</v>
      </c>
      <c r="E2560" t="s">
        <v>1572</v>
      </c>
      <c r="F2560" t="s">
        <v>20</v>
      </c>
      <c r="G2560" t="s">
        <v>21</v>
      </c>
      <c r="H2560" t="s">
        <v>527</v>
      </c>
      <c r="I2560" t="s">
        <v>23</v>
      </c>
      <c r="J2560" t="s">
        <v>35</v>
      </c>
      <c r="K2560" s="2" t="s">
        <v>2093</v>
      </c>
      <c r="L2560" t="s">
        <v>26</v>
      </c>
      <c r="M2560">
        <v>363311</v>
      </c>
      <c r="N2560">
        <v>1</v>
      </c>
      <c r="O2560" s="3">
        <v>84950</v>
      </c>
      <c r="P2560" s="3">
        <v>33898</v>
      </c>
      <c r="Q2560" s="5">
        <f t="shared" si="117"/>
        <v>71386.554621848743</v>
      </c>
      <c r="R2560" s="5">
        <f t="shared" si="118"/>
        <v>33898</v>
      </c>
      <c r="S2560" s="5">
        <f t="shared" si="119"/>
        <v>37488.554621848743</v>
      </c>
    </row>
    <row r="2561" spans="1:19" hidden="1" x14ac:dyDescent="0.3">
      <c r="A2561">
        <v>140</v>
      </c>
      <c r="B2561" t="s">
        <v>3524</v>
      </c>
      <c r="C2561" t="s">
        <v>1037</v>
      </c>
      <c r="D2561" s="2" t="s">
        <v>1038</v>
      </c>
      <c r="E2561" t="s">
        <v>1039</v>
      </c>
      <c r="F2561" t="s">
        <v>377</v>
      </c>
      <c r="G2561" t="s">
        <v>21</v>
      </c>
      <c r="H2561" t="s">
        <v>378</v>
      </c>
      <c r="I2561" t="s">
        <v>23</v>
      </c>
      <c r="J2561" t="s">
        <v>379</v>
      </c>
      <c r="K2561" s="2" t="s">
        <v>2093</v>
      </c>
      <c r="L2561" t="s">
        <v>26</v>
      </c>
      <c r="M2561">
        <v>363312</v>
      </c>
      <c r="N2561">
        <v>2</v>
      </c>
      <c r="O2561" s="3">
        <v>11900</v>
      </c>
      <c r="P2561" s="3">
        <v>3257</v>
      </c>
      <c r="Q2561" s="5">
        <f t="shared" si="117"/>
        <v>10000</v>
      </c>
      <c r="R2561" s="5">
        <f t="shared" si="118"/>
        <v>6514</v>
      </c>
      <c r="S2561" s="5">
        <f t="shared" si="119"/>
        <v>3486</v>
      </c>
    </row>
    <row r="2562" spans="1:19" hidden="1" x14ac:dyDescent="0.3">
      <c r="A2562">
        <v>140</v>
      </c>
      <c r="B2562" t="s">
        <v>3524</v>
      </c>
      <c r="C2562" t="s">
        <v>1761</v>
      </c>
      <c r="D2562" s="2" t="s">
        <v>1762</v>
      </c>
      <c r="E2562" t="s">
        <v>1763</v>
      </c>
      <c r="F2562" t="s">
        <v>377</v>
      </c>
      <c r="G2562" t="s">
        <v>21</v>
      </c>
      <c r="H2562" t="s">
        <v>378</v>
      </c>
      <c r="I2562" t="s">
        <v>23</v>
      </c>
      <c r="J2562" t="s">
        <v>379</v>
      </c>
      <c r="K2562" s="2" t="s">
        <v>2093</v>
      </c>
      <c r="L2562" t="s">
        <v>26</v>
      </c>
      <c r="M2562">
        <v>363312</v>
      </c>
      <c r="N2562">
        <v>1</v>
      </c>
      <c r="O2562" s="3">
        <v>5950</v>
      </c>
      <c r="P2562" s="3">
        <v>3279</v>
      </c>
      <c r="Q2562" s="5">
        <f t="shared" si="117"/>
        <v>5000</v>
      </c>
      <c r="R2562" s="5">
        <f t="shared" si="118"/>
        <v>3279</v>
      </c>
      <c r="S2562" s="5">
        <f t="shared" si="119"/>
        <v>1721</v>
      </c>
    </row>
    <row r="2563" spans="1:19" hidden="1" x14ac:dyDescent="0.3">
      <c r="A2563">
        <v>140</v>
      </c>
      <c r="B2563" t="s">
        <v>3524</v>
      </c>
      <c r="C2563" t="s">
        <v>3234</v>
      </c>
      <c r="D2563" s="2" t="s">
        <v>3235</v>
      </c>
      <c r="E2563" t="s">
        <v>1330</v>
      </c>
      <c r="F2563" t="s">
        <v>20</v>
      </c>
      <c r="G2563" t="s">
        <v>338</v>
      </c>
      <c r="H2563">
        <v>25133</v>
      </c>
      <c r="I2563" t="s">
        <v>23</v>
      </c>
      <c r="J2563" t="s">
        <v>35</v>
      </c>
      <c r="K2563" s="2" t="s">
        <v>2093</v>
      </c>
      <c r="L2563" t="s">
        <v>26</v>
      </c>
      <c r="M2563">
        <v>363313</v>
      </c>
      <c r="N2563">
        <v>1</v>
      </c>
      <c r="O2563" s="3">
        <v>74950</v>
      </c>
      <c r="P2563" s="3">
        <v>21167</v>
      </c>
      <c r="Q2563" s="5">
        <f t="shared" si="117"/>
        <v>62983.193277310929</v>
      </c>
      <c r="R2563" s="5">
        <f t="shared" si="118"/>
        <v>21167</v>
      </c>
      <c r="S2563" s="5">
        <f t="shared" si="119"/>
        <v>41816.193277310929</v>
      </c>
    </row>
    <row r="2564" spans="1:19" hidden="1" x14ac:dyDescent="0.3">
      <c r="A2564">
        <v>140</v>
      </c>
      <c r="B2564" t="s">
        <v>3524</v>
      </c>
      <c r="C2564" t="s">
        <v>2575</v>
      </c>
      <c r="D2564" s="2" t="s">
        <v>2576</v>
      </c>
      <c r="E2564" t="s">
        <v>2577</v>
      </c>
      <c r="F2564" t="s">
        <v>377</v>
      </c>
      <c r="G2564" t="s">
        <v>21</v>
      </c>
      <c r="H2564" t="s">
        <v>378</v>
      </c>
      <c r="I2564" t="s">
        <v>23</v>
      </c>
      <c r="J2564" t="s">
        <v>379</v>
      </c>
      <c r="K2564" s="2" t="s">
        <v>2093</v>
      </c>
      <c r="L2564" t="s">
        <v>26</v>
      </c>
      <c r="M2564">
        <v>363314</v>
      </c>
      <c r="N2564">
        <v>1</v>
      </c>
      <c r="O2564" s="3">
        <v>5950</v>
      </c>
      <c r="P2564" s="3">
        <v>3307</v>
      </c>
      <c r="Q2564" s="5">
        <f t="shared" si="117"/>
        <v>5000</v>
      </c>
      <c r="R2564" s="5">
        <f t="shared" si="118"/>
        <v>3307</v>
      </c>
      <c r="S2564" s="5">
        <f t="shared" si="119"/>
        <v>1693</v>
      </c>
    </row>
    <row r="2565" spans="1:19" hidden="1" x14ac:dyDescent="0.3">
      <c r="A2565">
        <v>140</v>
      </c>
      <c r="B2565" t="s">
        <v>3524</v>
      </c>
      <c r="C2565" t="s">
        <v>4312</v>
      </c>
      <c r="D2565" s="2" t="s">
        <v>4313</v>
      </c>
      <c r="E2565" t="s">
        <v>2373</v>
      </c>
      <c r="F2565" t="s">
        <v>20</v>
      </c>
      <c r="G2565" t="s">
        <v>338</v>
      </c>
      <c r="H2565">
        <v>24239</v>
      </c>
      <c r="I2565" t="s">
        <v>23</v>
      </c>
      <c r="J2565" t="s">
        <v>95</v>
      </c>
      <c r="K2565" s="2" t="s">
        <v>2093</v>
      </c>
      <c r="L2565" t="s">
        <v>26</v>
      </c>
      <c r="M2565">
        <v>363315</v>
      </c>
      <c r="N2565">
        <v>1</v>
      </c>
      <c r="O2565" s="3">
        <v>59950</v>
      </c>
      <c r="P2565" s="3">
        <v>18677</v>
      </c>
      <c r="Q2565" s="5">
        <f t="shared" si="117"/>
        <v>50378.151260504201</v>
      </c>
      <c r="R2565" s="5">
        <f t="shared" si="118"/>
        <v>18677</v>
      </c>
      <c r="S2565" s="5">
        <f t="shared" si="119"/>
        <v>31701.151260504201</v>
      </c>
    </row>
    <row r="2566" spans="1:19" hidden="1" x14ac:dyDescent="0.3">
      <c r="A2566">
        <v>140</v>
      </c>
      <c r="B2566" t="s">
        <v>3524</v>
      </c>
      <c r="C2566" t="s">
        <v>4314</v>
      </c>
      <c r="D2566" s="2" t="s">
        <v>4315</v>
      </c>
      <c r="E2566" t="s">
        <v>1568</v>
      </c>
      <c r="F2566" t="s">
        <v>20</v>
      </c>
      <c r="G2566" t="s">
        <v>21</v>
      </c>
      <c r="H2566" t="s">
        <v>199</v>
      </c>
      <c r="I2566" t="s">
        <v>23</v>
      </c>
      <c r="J2566" t="s">
        <v>49</v>
      </c>
      <c r="K2566" s="2" t="s">
        <v>2093</v>
      </c>
      <c r="L2566" t="s">
        <v>26</v>
      </c>
      <c r="M2566">
        <v>363316</v>
      </c>
      <c r="N2566">
        <v>1</v>
      </c>
      <c r="O2566" s="3">
        <v>44990</v>
      </c>
      <c r="P2566" s="3">
        <v>25178</v>
      </c>
      <c r="Q2566" s="5">
        <f t="shared" ref="Q2566:Q2629" si="120">O2566/1.19</f>
        <v>37806.722689075636</v>
      </c>
      <c r="R2566" s="5">
        <f t="shared" ref="R2566:R2629" si="121">N2566*P2566</f>
        <v>25178</v>
      </c>
      <c r="S2566" s="5">
        <f t="shared" ref="S2566:S2629" si="122">Q2566-R2566</f>
        <v>12628.722689075636</v>
      </c>
    </row>
    <row r="2567" spans="1:19" hidden="1" x14ac:dyDescent="0.3">
      <c r="A2567">
        <v>140</v>
      </c>
      <c r="B2567" t="s">
        <v>3524</v>
      </c>
      <c r="C2567" t="s">
        <v>328</v>
      </c>
      <c r="D2567" s="2" t="s">
        <v>329</v>
      </c>
      <c r="E2567" t="s">
        <v>330</v>
      </c>
      <c r="F2567" t="s">
        <v>20</v>
      </c>
      <c r="G2567" t="s">
        <v>21</v>
      </c>
      <c r="H2567" t="s">
        <v>331</v>
      </c>
      <c r="I2567" t="s">
        <v>23</v>
      </c>
      <c r="J2567" t="s">
        <v>49</v>
      </c>
      <c r="K2567" s="2" t="s">
        <v>2093</v>
      </c>
      <c r="L2567" t="s">
        <v>26</v>
      </c>
      <c r="M2567">
        <v>363317</v>
      </c>
      <c r="N2567">
        <v>1</v>
      </c>
      <c r="O2567" s="3">
        <v>39991</v>
      </c>
      <c r="P2567" s="3">
        <v>25155</v>
      </c>
      <c r="Q2567" s="5">
        <f t="shared" si="120"/>
        <v>33605.882352941175</v>
      </c>
      <c r="R2567" s="5">
        <f t="shared" si="121"/>
        <v>25155</v>
      </c>
      <c r="S2567" s="5">
        <f t="shared" si="122"/>
        <v>8450.8823529411748</v>
      </c>
    </row>
    <row r="2568" spans="1:19" hidden="1" x14ac:dyDescent="0.3">
      <c r="A2568">
        <v>140</v>
      </c>
      <c r="B2568" t="s">
        <v>3524</v>
      </c>
      <c r="C2568" t="s">
        <v>1003</v>
      </c>
      <c r="D2568" s="2" t="s">
        <v>1004</v>
      </c>
      <c r="E2568" t="s">
        <v>330</v>
      </c>
      <c r="F2568" t="s">
        <v>20</v>
      </c>
      <c r="G2568" t="s">
        <v>21</v>
      </c>
      <c r="H2568" t="s">
        <v>331</v>
      </c>
      <c r="I2568" t="s">
        <v>23</v>
      </c>
      <c r="J2568" t="s">
        <v>49</v>
      </c>
      <c r="K2568" s="2" t="s">
        <v>2093</v>
      </c>
      <c r="L2568" t="s">
        <v>26</v>
      </c>
      <c r="M2568">
        <v>363317</v>
      </c>
      <c r="N2568">
        <v>-1</v>
      </c>
      <c r="O2568" s="3">
        <v>-39990</v>
      </c>
      <c r="P2568" s="3">
        <v>25157</v>
      </c>
      <c r="Q2568" s="5">
        <f t="shared" si="120"/>
        <v>-33605.042016806721</v>
      </c>
      <c r="R2568" s="5">
        <f t="shared" si="121"/>
        <v>-25157</v>
      </c>
      <c r="S2568" s="5">
        <f t="shared" si="122"/>
        <v>-8448.0420168067212</v>
      </c>
    </row>
    <row r="2569" spans="1:19" hidden="1" x14ac:dyDescent="0.3">
      <c r="A2569">
        <v>140</v>
      </c>
      <c r="B2569" t="s">
        <v>3524</v>
      </c>
      <c r="C2569" t="s">
        <v>3615</v>
      </c>
      <c r="D2569" s="2" t="s">
        <v>3616</v>
      </c>
      <c r="E2569" t="s">
        <v>938</v>
      </c>
      <c r="F2569" t="s">
        <v>20</v>
      </c>
      <c r="G2569" t="s">
        <v>21</v>
      </c>
      <c r="H2569" t="s">
        <v>317</v>
      </c>
      <c r="I2569" t="s">
        <v>23</v>
      </c>
      <c r="J2569" t="s">
        <v>35</v>
      </c>
      <c r="K2569" s="2" t="s">
        <v>2093</v>
      </c>
      <c r="L2569" t="s">
        <v>26</v>
      </c>
      <c r="M2569">
        <v>363318</v>
      </c>
      <c r="N2569">
        <v>1</v>
      </c>
      <c r="O2569" s="3">
        <v>69950</v>
      </c>
      <c r="P2569" s="3">
        <v>27213</v>
      </c>
      <c r="Q2569" s="5">
        <f t="shared" si="120"/>
        <v>58781.512605042022</v>
      </c>
      <c r="R2569" s="5">
        <f t="shared" si="121"/>
        <v>27213</v>
      </c>
      <c r="S2569" s="5">
        <f t="shared" si="122"/>
        <v>31568.512605042022</v>
      </c>
    </row>
    <row r="2570" spans="1:19" hidden="1" x14ac:dyDescent="0.3">
      <c r="A2570">
        <v>140</v>
      </c>
      <c r="B2570" t="s">
        <v>3524</v>
      </c>
      <c r="C2570" t="s">
        <v>4316</v>
      </c>
      <c r="D2570" s="2" t="s">
        <v>4317</v>
      </c>
      <c r="E2570" t="s">
        <v>2363</v>
      </c>
      <c r="F2570" t="s">
        <v>20</v>
      </c>
      <c r="G2570" t="s">
        <v>21</v>
      </c>
      <c r="H2570" t="s">
        <v>2364</v>
      </c>
      <c r="I2570" t="s">
        <v>23</v>
      </c>
      <c r="J2570" t="s">
        <v>40</v>
      </c>
      <c r="K2570" s="2" t="s">
        <v>2093</v>
      </c>
      <c r="L2570" t="s">
        <v>26</v>
      </c>
      <c r="M2570">
        <v>363319</v>
      </c>
      <c r="N2570">
        <v>1</v>
      </c>
      <c r="O2570" s="3">
        <v>39990</v>
      </c>
      <c r="P2570" s="3">
        <v>30446</v>
      </c>
      <c r="Q2570" s="5">
        <f t="shared" si="120"/>
        <v>33605.042016806721</v>
      </c>
      <c r="R2570" s="5">
        <f t="shared" si="121"/>
        <v>30446</v>
      </c>
      <c r="S2570" s="5">
        <f t="shared" si="122"/>
        <v>3159.0420168067212</v>
      </c>
    </row>
    <row r="2571" spans="1:19" hidden="1" x14ac:dyDescent="0.3">
      <c r="A2571">
        <v>140</v>
      </c>
      <c r="B2571" t="s">
        <v>3524</v>
      </c>
      <c r="C2571" t="s">
        <v>4318</v>
      </c>
      <c r="D2571" s="2" t="s">
        <v>4319</v>
      </c>
      <c r="E2571" t="s">
        <v>3893</v>
      </c>
      <c r="F2571" t="s">
        <v>20</v>
      </c>
      <c r="G2571" t="s">
        <v>21</v>
      </c>
      <c r="H2571" t="s">
        <v>2364</v>
      </c>
      <c r="I2571" t="s">
        <v>23</v>
      </c>
      <c r="J2571" t="s">
        <v>40</v>
      </c>
      <c r="K2571" s="2" t="s">
        <v>2093</v>
      </c>
      <c r="L2571" t="s">
        <v>26</v>
      </c>
      <c r="M2571">
        <v>363319</v>
      </c>
      <c r="N2571">
        <v>1</v>
      </c>
      <c r="O2571" s="3">
        <v>39990</v>
      </c>
      <c r="P2571" s="3">
        <v>30467</v>
      </c>
      <c r="Q2571" s="5">
        <f t="shared" si="120"/>
        <v>33605.042016806721</v>
      </c>
      <c r="R2571" s="5">
        <f t="shared" si="121"/>
        <v>30467</v>
      </c>
      <c r="S2571" s="5">
        <f t="shared" si="122"/>
        <v>3138.0420168067212</v>
      </c>
    </row>
    <row r="2572" spans="1:19" hidden="1" x14ac:dyDescent="0.3">
      <c r="A2572">
        <v>140</v>
      </c>
      <c r="B2572" t="s">
        <v>3524</v>
      </c>
      <c r="C2572" t="s">
        <v>4320</v>
      </c>
      <c r="D2572" s="2" t="s">
        <v>4321</v>
      </c>
      <c r="E2572" t="s">
        <v>2738</v>
      </c>
      <c r="F2572" t="s">
        <v>20</v>
      </c>
      <c r="G2572" t="s">
        <v>21</v>
      </c>
      <c r="H2572" t="s">
        <v>22</v>
      </c>
      <c r="I2572" t="s">
        <v>23</v>
      </c>
      <c r="J2572" t="s">
        <v>49</v>
      </c>
      <c r="K2572" s="2" t="s">
        <v>2093</v>
      </c>
      <c r="L2572" t="s">
        <v>26</v>
      </c>
      <c r="M2572">
        <v>363320</v>
      </c>
      <c r="N2572">
        <v>1</v>
      </c>
      <c r="O2572" s="3">
        <v>74950</v>
      </c>
      <c r="P2572" s="3">
        <v>26246</v>
      </c>
      <c r="Q2572" s="5">
        <f t="shared" si="120"/>
        <v>62983.193277310929</v>
      </c>
      <c r="R2572" s="5">
        <f t="shared" si="121"/>
        <v>26246</v>
      </c>
      <c r="S2572" s="5">
        <f t="shared" si="122"/>
        <v>36737.193277310929</v>
      </c>
    </row>
    <row r="2573" spans="1:19" hidden="1" x14ac:dyDescent="0.3">
      <c r="A2573">
        <v>140</v>
      </c>
      <c r="B2573" t="s">
        <v>3524</v>
      </c>
      <c r="C2573" t="s">
        <v>1507</v>
      </c>
      <c r="D2573" s="2" t="s">
        <v>1508</v>
      </c>
      <c r="E2573" t="s">
        <v>425</v>
      </c>
      <c r="F2573" t="s">
        <v>20</v>
      </c>
      <c r="G2573" t="s">
        <v>21</v>
      </c>
      <c r="H2573" t="s">
        <v>22</v>
      </c>
      <c r="I2573" t="s">
        <v>23</v>
      </c>
      <c r="J2573" t="s">
        <v>24</v>
      </c>
      <c r="K2573" s="2" t="s">
        <v>2093</v>
      </c>
      <c r="L2573" t="s">
        <v>26</v>
      </c>
      <c r="M2573">
        <v>363320</v>
      </c>
      <c r="N2573">
        <v>1</v>
      </c>
      <c r="O2573" s="3">
        <v>67950</v>
      </c>
      <c r="P2573" s="3">
        <v>27778</v>
      </c>
      <c r="Q2573" s="5">
        <f t="shared" si="120"/>
        <v>57100.840336134454</v>
      </c>
      <c r="R2573" s="5">
        <f t="shared" si="121"/>
        <v>27778</v>
      </c>
      <c r="S2573" s="5">
        <f t="shared" si="122"/>
        <v>29322.840336134454</v>
      </c>
    </row>
    <row r="2574" spans="1:19" hidden="1" x14ac:dyDescent="0.3">
      <c r="A2574">
        <v>140</v>
      </c>
      <c r="B2574" t="s">
        <v>3524</v>
      </c>
      <c r="C2574" t="s">
        <v>2746</v>
      </c>
      <c r="D2574" s="2" t="s">
        <v>2747</v>
      </c>
      <c r="E2574" t="s">
        <v>2748</v>
      </c>
      <c r="F2574" t="s">
        <v>20</v>
      </c>
      <c r="G2574" t="s">
        <v>338</v>
      </c>
      <c r="H2574">
        <v>26266</v>
      </c>
      <c r="I2574" t="s">
        <v>23</v>
      </c>
      <c r="J2574" t="s">
        <v>35</v>
      </c>
      <c r="K2574" s="2" t="s">
        <v>2093</v>
      </c>
      <c r="L2574" t="s">
        <v>26</v>
      </c>
      <c r="M2574">
        <v>363321</v>
      </c>
      <c r="N2574">
        <v>1</v>
      </c>
      <c r="O2574" s="3">
        <v>79950</v>
      </c>
      <c r="P2574" s="3">
        <v>25300</v>
      </c>
      <c r="Q2574" s="5">
        <f t="shared" si="120"/>
        <v>67184.873949579836</v>
      </c>
      <c r="R2574" s="5">
        <f t="shared" si="121"/>
        <v>25300</v>
      </c>
      <c r="S2574" s="5">
        <f t="shared" si="122"/>
        <v>41884.873949579836</v>
      </c>
    </row>
    <row r="2575" spans="1:19" hidden="1" x14ac:dyDescent="0.3">
      <c r="A2575">
        <v>140</v>
      </c>
      <c r="B2575" t="s">
        <v>3524</v>
      </c>
      <c r="C2575" t="s">
        <v>2049</v>
      </c>
      <c r="D2575" s="2" t="s">
        <v>2050</v>
      </c>
      <c r="E2575" t="s">
        <v>1913</v>
      </c>
      <c r="F2575" t="s">
        <v>20</v>
      </c>
      <c r="G2575" t="s">
        <v>21</v>
      </c>
      <c r="H2575" t="s">
        <v>1914</v>
      </c>
      <c r="I2575" t="s">
        <v>23</v>
      </c>
      <c r="J2575" t="s">
        <v>35</v>
      </c>
      <c r="K2575" s="2" t="s">
        <v>2093</v>
      </c>
      <c r="L2575" t="s">
        <v>26</v>
      </c>
      <c r="M2575">
        <v>363322</v>
      </c>
      <c r="N2575">
        <v>1</v>
      </c>
      <c r="O2575" s="3">
        <v>89950</v>
      </c>
      <c r="P2575" s="3">
        <v>28298</v>
      </c>
      <c r="Q2575" s="5">
        <f t="shared" si="120"/>
        <v>75588.23529411765</v>
      </c>
      <c r="R2575" s="5">
        <f t="shared" si="121"/>
        <v>28298</v>
      </c>
      <c r="S2575" s="5">
        <f t="shared" si="122"/>
        <v>47290.23529411765</v>
      </c>
    </row>
    <row r="2576" spans="1:19" hidden="1" x14ac:dyDescent="0.3">
      <c r="A2576">
        <v>140</v>
      </c>
      <c r="B2576" t="s">
        <v>3524</v>
      </c>
      <c r="C2576" t="s">
        <v>3917</v>
      </c>
      <c r="D2576" s="2" t="s">
        <v>3918</v>
      </c>
      <c r="E2576" t="s">
        <v>3418</v>
      </c>
      <c r="F2576" t="s">
        <v>20</v>
      </c>
      <c r="G2576" t="s">
        <v>21</v>
      </c>
      <c r="H2576" t="s">
        <v>1418</v>
      </c>
      <c r="I2576" t="s">
        <v>23</v>
      </c>
      <c r="J2576" t="s">
        <v>35</v>
      </c>
      <c r="K2576" s="2" t="s">
        <v>2149</v>
      </c>
      <c r="L2576" t="s">
        <v>2249</v>
      </c>
      <c r="M2576">
        <v>25456</v>
      </c>
      <c r="N2576">
        <v>-1</v>
      </c>
      <c r="O2576" s="3">
        <v>-94950</v>
      </c>
      <c r="P2576" s="3">
        <v>30749</v>
      </c>
      <c r="Q2576" s="5">
        <f t="shared" si="120"/>
        <v>-79789.915966386558</v>
      </c>
      <c r="R2576" s="5">
        <f t="shared" si="121"/>
        <v>-30749</v>
      </c>
      <c r="S2576" s="5">
        <f t="shared" si="122"/>
        <v>-49040.915966386558</v>
      </c>
    </row>
    <row r="2577" spans="1:19" hidden="1" x14ac:dyDescent="0.3">
      <c r="A2577">
        <v>140</v>
      </c>
      <c r="B2577" t="s">
        <v>3524</v>
      </c>
      <c r="C2577" t="s">
        <v>3205</v>
      </c>
      <c r="D2577" s="2" t="s">
        <v>3206</v>
      </c>
      <c r="E2577" t="s">
        <v>2865</v>
      </c>
      <c r="F2577" t="s">
        <v>20</v>
      </c>
      <c r="G2577" t="s">
        <v>21</v>
      </c>
      <c r="H2577" t="s">
        <v>57</v>
      </c>
      <c r="I2577" t="s">
        <v>23</v>
      </c>
      <c r="J2577" t="s">
        <v>35</v>
      </c>
      <c r="K2577" s="2" t="s">
        <v>2149</v>
      </c>
      <c r="L2577" t="s">
        <v>26</v>
      </c>
      <c r="M2577">
        <v>363323</v>
      </c>
      <c r="N2577">
        <v>1</v>
      </c>
      <c r="O2577" s="3">
        <v>79990</v>
      </c>
      <c r="P2577" s="3">
        <v>29189</v>
      </c>
      <c r="Q2577" s="5">
        <f t="shared" si="120"/>
        <v>67218.487394957992</v>
      </c>
      <c r="R2577" s="5">
        <f t="shared" si="121"/>
        <v>29189</v>
      </c>
      <c r="S2577" s="5">
        <f t="shared" si="122"/>
        <v>38029.487394957992</v>
      </c>
    </row>
    <row r="2578" spans="1:19" hidden="1" x14ac:dyDescent="0.3">
      <c r="A2578">
        <v>140</v>
      </c>
      <c r="B2578" t="s">
        <v>3524</v>
      </c>
      <c r="C2578" t="s">
        <v>4322</v>
      </c>
      <c r="D2578" s="2" t="s">
        <v>4323</v>
      </c>
      <c r="E2578" t="s">
        <v>4324</v>
      </c>
      <c r="F2578" t="s">
        <v>20</v>
      </c>
      <c r="G2578" t="s">
        <v>21</v>
      </c>
      <c r="H2578" t="s">
        <v>1440</v>
      </c>
      <c r="I2578" t="s">
        <v>23</v>
      </c>
      <c r="J2578" t="s">
        <v>40</v>
      </c>
      <c r="K2578" s="2" t="s">
        <v>2149</v>
      </c>
      <c r="L2578" t="s">
        <v>26</v>
      </c>
      <c r="M2578">
        <v>363324</v>
      </c>
      <c r="N2578">
        <v>1</v>
      </c>
      <c r="O2578" s="3">
        <v>64950</v>
      </c>
      <c r="P2578" s="3">
        <v>17328</v>
      </c>
      <c r="Q2578" s="5">
        <f t="shared" si="120"/>
        <v>54579.831932773115</v>
      </c>
      <c r="R2578" s="5">
        <f t="shared" si="121"/>
        <v>17328</v>
      </c>
      <c r="S2578" s="5">
        <f t="shared" si="122"/>
        <v>37251.831932773115</v>
      </c>
    </row>
    <row r="2579" spans="1:19" hidden="1" x14ac:dyDescent="0.3">
      <c r="A2579">
        <v>140</v>
      </c>
      <c r="B2579" t="s">
        <v>3524</v>
      </c>
      <c r="C2579" t="s">
        <v>4325</v>
      </c>
      <c r="D2579" s="2" t="s">
        <v>4326</v>
      </c>
      <c r="E2579" t="s">
        <v>1466</v>
      </c>
      <c r="F2579" t="s">
        <v>20</v>
      </c>
      <c r="G2579" t="s">
        <v>21</v>
      </c>
      <c r="H2579" t="s">
        <v>65</v>
      </c>
      <c r="I2579" t="s">
        <v>23</v>
      </c>
      <c r="J2579" t="s">
        <v>49</v>
      </c>
      <c r="K2579" s="2" t="s">
        <v>2149</v>
      </c>
      <c r="L2579" t="s">
        <v>26</v>
      </c>
      <c r="M2579">
        <v>363325</v>
      </c>
      <c r="N2579">
        <v>1</v>
      </c>
      <c r="O2579" s="3">
        <v>64950</v>
      </c>
      <c r="P2579" s="3">
        <v>18422</v>
      </c>
      <c r="Q2579" s="5">
        <f t="shared" si="120"/>
        <v>54579.831932773115</v>
      </c>
      <c r="R2579" s="5">
        <f t="shared" si="121"/>
        <v>18422</v>
      </c>
      <c r="S2579" s="5">
        <f t="shared" si="122"/>
        <v>36157.831932773115</v>
      </c>
    </row>
    <row r="2580" spans="1:19" hidden="1" x14ac:dyDescent="0.3">
      <c r="A2580">
        <v>140</v>
      </c>
      <c r="B2580" t="s">
        <v>3524</v>
      </c>
      <c r="C2580" t="s">
        <v>3927</v>
      </c>
      <c r="D2580" s="2" t="s">
        <v>3928</v>
      </c>
      <c r="E2580" t="s">
        <v>3619</v>
      </c>
      <c r="F2580" t="s">
        <v>20</v>
      </c>
      <c r="G2580" t="s">
        <v>21</v>
      </c>
      <c r="H2580" t="s">
        <v>874</v>
      </c>
      <c r="I2580" t="s">
        <v>23</v>
      </c>
      <c r="J2580" t="s">
        <v>95</v>
      </c>
      <c r="K2580" s="2" t="s">
        <v>2149</v>
      </c>
      <c r="L2580" t="s">
        <v>26</v>
      </c>
      <c r="M2580">
        <v>363326</v>
      </c>
      <c r="N2580">
        <v>1</v>
      </c>
      <c r="O2580" s="3">
        <v>39990</v>
      </c>
      <c r="P2580" s="3">
        <v>21627</v>
      </c>
      <c r="Q2580" s="5">
        <f t="shared" si="120"/>
        <v>33605.042016806721</v>
      </c>
      <c r="R2580" s="5">
        <f t="shared" si="121"/>
        <v>21627</v>
      </c>
      <c r="S2580" s="5">
        <f t="shared" si="122"/>
        <v>11978.042016806721</v>
      </c>
    </row>
    <row r="2581" spans="1:19" hidden="1" x14ac:dyDescent="0.3">
      <c r="A2581">
        <v>140</v>
      </c>
      <c r="B2581" t="s">
        <v>3524</v>
      </c>
      <c r="C2581" t="s">
        <v>4275</v>
      </c>
      <c r="D2581" s="2" t="s">
        <v>4276</v>
      </c>
      <c r="E2581" t="s">
        <v>4277</v>
      </c>
      <c r="F2581" t="s">
        <v>20</v>
      </c>
      <c r="G2581" t="s">
        <v>21</v>
      </c>
      <c r="H2581" t="s">
        <v>44</v>
      </c>
      <c r="I2581" t="s">
        <v>23</v>
      </c>
      <c r="J2581" t="s">
        <v>40</v>
      </c>
      <c r="K2581" s="2" t="s">
        <v>2149</v>
      </c>
      <c r="L2581" t="s">
        <v>26</v>
      </c>
      <c r="M2581">
        <v>363327</v>
      </c>
      <c r="N2581">
        <v>1</v>
      </c>
      <c r="O2581" s="3">
        <v>39990</v>
      </c>
      <c r="P2581" s="3">
        <v>15254</v>
      </c>
      <c r="Q2581" s="5">
        <f t="shared" si="120"/>
        <v>33605.042016806721</v>
      </c>
      <c r="R2581" s="5">
        <f t="shared" si="121"/>
        <v>15254</v>
      </c>
      <c r="S2581" s="5">
        <f t="shared" si="122"/>
        <v>18351.042016806721</v>
      </c>
    </row>
    <row r="2582" spans="1:19" hidden="1" x14ac:dyDescent="0.3">
      <c r="A2582">
        <v>140</v>
      </c>
      <c r="B2582" t="s">
        <v>3524</v>
      </c>
      <c r="C2582" t="s">
        <v>4253</v>
      </c>
      <c r="D2582" s="2" t="s">
        <v>4254</v>
      </c>
      <c r="E2582" t="s">
        <v>2930</v>
      </c>
      <c r="F2582" t="s">
        <v>20</v>
      </c>
      <c r="G2582" t="s">
        <v>21</v>
      </c>
      <c r="H2582" t="s">
        <v>1703</v>
      </c>
      <c r="I2582" t="s">
        <v>23</v>
      </c>
      <c r="J2582" t="s">
        <v>49</v>
      </c>
      <c r="K2582" s="2" t="s">
        <v>2149</v>
      </c>
      <c r="L2582" t="s">
        <v>26</v>
      </c>
      <c r="M2582">
        <v>363328</v>
      </c>
      <c r="N2582">
        <v>1</v>
      </c>
      <c r="O2582" s="3">
        <v>63700</v>
      </c>
      <c r="P2582" s="3">
        <v>26457</v>
      </c>
      <c r="Q2582" s="5">
        <f t="shared" si="120"/>
        <v>53529.411764705888</v>
      </c>
      <c r="R2582" s="5">
        <f t="shared" si="121"/>
        <v>26457</v>
      </c>
      <c r="S2582" s="5">
        <f t="shared" si="122"/>
        <v>27072.411764705888</v>
      </c>
    </row>
    <row r="2583" spans="1:19" hidden="1" x14ac:dyDescent="0.3">
      <c r="A2583">
        <v>140</v>
      </c>
      <c r="B2583" t="s">
        <v>3524</v>
      </c>
      <c r="C2583" t="s">
        <v>4327</v>
      </c>
      <c r="D2583" s="2" t="s">
        <v>4328</v>
      </c>
      <c r="E2583" t="s">
        <v>1453</v>
      </c>
      <c r="F2583" t="s">
        <v>20</v>
      </c>
      <c r="G2583" t="s">
        <v>338</v>
      </c>
      <c r="H2583">
        <v>22410</v>
      </c>
      <c r="I2583" t="s">
        <v>23</v>
      </c>
      <c r="J2583" t="s">
        <v>49</v>
      </c>
      <c r="K2583" s="2" t="s">
        <v>2149</v>
      </c>
      <c r="L2583" t="s">
        <v>26</v>
      </c>
      <c r="M2583">
        <v>363328</v>
      </c>
      <c r="N2583">
        <v>1</v>
      </c>
      <c r="O2583" s="3">
        <v>69950</v>
      </c>
      <c r="P2583" s="3">
        <v>20848</v>
      </c>
      <c r="Q2583" s="5">
        <f t="shared" si="120"/>
        <v>58781.512605042022</v>
      </c>
      <c r="R2583" s="5">
        <f t="shared" si="121"/>
        <v>20848</v>
      </c>
      <c r="S2583" s="5">
        <f t="shared" si="122"/>
        <v>37933.512605042022</v>
      </c>
    </row>
    <row r="2584" spans="1:19" hidden="1" x14ac:dyDescent="0.3">
      <c r="A2584">
        <v>140</v>
      </c>
      <c r="B2584" t="s">
        <v>3524</v>
      </c>
      <c r="C2584" t="s">
        <v>4329</v>
      </c>
      <c r="D2584" s="2" t="s">
        <v>4330</v>
      </c>
      <c r="E2584" t="s">
        <v>4331</v>
      </c>
      <c r="F2584" t="s">
        <v>20</v>
      </c>
      <c r="G2584" t="s">
        <v>338</v>
      </c>
      <c r="H2584">
        <v>25357</v>
      </c>
      <c r="I2584" t="s">
        <v>23</v>
      </c>
      <c r="J2584" t="s">
        <v>35</v>
      </c>
      <c r="K2584" s="2" t="s">
        <v>2149</v>
      </c>
      <c r="L2584" t="s">
        <v>26</v>
      </c>
      <c r="M2584">
        <v>363329</v>
      </c>
      <c r="N2584">
        <v>1</v>
      </c>
      <c r="O2584" s="3">
        <v>79950</v>
      </c>
      <c r="P2584" s="3">
        <v>24482</v>
      </c>
      <c r="Q2584" s="5">
        <f t="shared" si="120"/>
        <v>67184.873949579836</v>
      </c>
      <c r="R2584" s="5">
        <f t="shared" si="121"/>
        <v>24482</v>
      </c>
      <c r="S2584" s="5">
        <f t="shared" si="122"/>
        <v>42702.873949579836</v>
      </c>
    </row>
    <row r="2585" spans="1:19" hidden="1" x14ac:dyDescent="0.3">
      <c r="A2585">
        <v>140</v>
      </c>
      <c r="B2585" t="s">
        <v>3524</v>
      </c>
      <c r="C2585" t="s">
        <v>3324</v>
      </c>
      <c r="D2585" s="2" t="s">
        <v>3325</v>
      </c>
      <c r="E2585" t="s">
        <v>2349</v>
      </c>
      <c r="F2585" t="s">
        <v>20</v>
      </c>
      <c r="G2585" t="s">
        <v>338</v>
      </c>
      <c r="H2585">
        <v>23709</v>
      </c>
      <c r="I2585" t="s">
        <v>23</v>
      </c>
      <c r="J2585" t="s">
        <v>40</v>
      </c>
      <c r="K2585" s="2" t="s">
        <v>2149</v>
      </c>
      <c r="L2585" t="s">
        <v>26</v>
      </c>
      <c r="M2585">
        <v>363330</v>
      </c>
      <c r="N2585">
        <v>2</v>
      </c>
      <c r="O2585" s="3">
        <v>147900</v>
      </c>
      <c r="P2585" s="3">
        <v>27728</v>
      </c>
      <c r="Q2585" s="5">
        <f t="shared" si="120"/>
        <v>124285.71428571429</v>
      </c>
      <c r="R2585" s="5">
        <f t="shared" si="121"/>
        <v>55456</v>
      </c>
      <c r="S2585" s="5">
        <f t="shared" si="122"/>
        <v>68829.71428571429</v>
      </c>
    </row>
    <row r="2586" spans="1:19" hidden="1" x14ac:dyDescent="0.3">
      <c r="A2586">
        <v>140</v>
      </c>
      <c r="B2586" t="s">
        <v>3524</v>
      </c>
      <c r="C2586" t="s">
        <v>2875</v>
      </c>
      <c r="D2586" s="2" t="s">
        <v>2876</v>
      </c>
      <c r="E2586" t="s">
        <v>2877</v>
      </c>
      <c r="F2586" t="s">
        <v>20</v>
      </c>
      <c r="G2586" t="s">
        <v>21</v>
      </c>
      <c r="H2586" t="s">
        <v>30</v>
      </c>
      <c r="I2586" t="s">
        <v>23</v>
      </c>
      <c r="J2586" t="s">
        <v>49</v>
      </c>
      <c r="K2586" s="2" t="s">
        <v>2149</v>
      </c>
      <c r="L2586" t="s">
        <v>26</v>
      </c>
      <c r="M2586">
        <v>363331</v>
      </c>
      <c r="N2586">
        <v>1</v>
      </c>
      <c r="O2586" s="3">
        <v>69950</v>
      </c>
      <c r="P2586" s="3">
        <v>26131</v>
      </c>
      <c r="Q2586" s="5">
        <f t="shared" si="120"/>
        <v>58781.512605042022</v>
      </c>
      <c r="R2586" s="5">
        <f t="shared" si="121"/>
        <v>26131</v>
      </c>
      <c r="S2586" s="5">
        <f t="shared" si="122"/>
        <v>32650.512605042022</v>
      </c>
    </row>
    <row r="2587" spans="1:19" hidden="1" x14ac:dyDescent="0.3">
      <c r="A2587">
        <v>140</v>
      </c>
      <c r="B2587" t="s">
        <v>3524</v>
      </c>
      <c r="C2587" t="s">
        <v>4332</v>
      </c>
      <c r="D2587" s="2" t="s">
        <v>4333</v>
      </c>
      <c r="E2587" t="s">
        <v>3122</v>
      </c>
      <c r="F2587" t="s">
        <v>20</v>
      </c>
      <c r="G2587" t="s">
        <v>21</v>
      </c>
      <c r="H2587" t="s">
        <v>718</v>
      </c>
      <c r="I2587" t="s">
        <v>23</v>
      </c>
      <c r="J2587" t="s">
        <v>49</v>
      </c>
      <c r="K2587" s="2" t="s">
        <v>2149</v>
      </c>
      <c r="L2587" t="s">
        <v>26</v>
      </c>
      <c r="M2587">
        <v>363332</v>
      </c>
      <c r="N2587">
        <v>1</v>
      </c>
      <c r="O2587" s="3">
        <v>39990</v>
      </c>
      <c r="P2587" s="3">
        <v>26646</v>
      </c>
      <c r="Q2587" s="5">
        <f t="shared" si="120"/>
        <v>33605.042016806721</v>
      </c>
      <c r="R2587" s="5">
        <f t="shared" si="121"/>
        <v>26646</v>
      </c>
      <c r="S2587" s="5">
        <f t="shared" si="122"/>
        <v>6959.0420168067212</v>
      </c>
    </row>
    <row r="2588" spans="1:19" hidden="1" x14ac:dyDescent="0.3">
      <c r="A2588">
        <v>140</v>
      </c>
      <c r="B2588" t="s">
        <v>3524</v>
      </c>
      <c r="C2588" t="s">
        <v>4334</v>
      </c>
      <c r="D2588" s="2" t="s">
        <v>4335</v>
      </c>
      <c r="E2588" t="s">
        <v>4291</v>
      </c>
      <c r="F2588" t="s">
        <v>20</v>
      </c>
      <c r="G2588" t="s">
        <v>21</v>
      </c>
      <c r="H2588" t="s">
        <v>285</v>
      </c>
      <c r="I2588" t="s">
        <v>23</v>
      </c>
      <c r="J2588" t="s">
        <v>35</v>
      </c>
      <c r="K2588" s="2" t="s">
        <v>2149</v>
      </c>
      <c r="L2588" t="s">
        <v>26</v>
      </c>
      <c r="M2588">
        <v>363333</v>
      </c>
      <c r="N2588">
        <v>1</v>
      </c>
      <c r="O2588" s="3">
        <v>79950</v>
      </c>
      <c r="P2588" s="3">
        <v>31481</v>
      </c>
      <c r="Q2588" s="5">
        <f t="shared" si="120"/>
        <v>67184.873949579836</v>
      </c>
      <c r="R2588" s="5">
        <f t="shared" si="121"/>
        <v>31481</v>
      </c>
      <c r="S2588" s="5">
        <f t="shared" si="122"/>
        <v>35703.873949579836</v>
      </c>
    </row>
    <row r="2589" spans="1:19" hidden="1" x14ac:dyDescent="0.3">
      <c r="A2589">
        <v>140</v>
      </c>
      <c r="B2589" t="s">
        <v>3524</v>
      </c>
      <c r="C2589" t="s">
        <v>3378</v>
      </c>
      <c r="D2589" s="2" t="s">
        <v>3379</v>
      </c>
      <c r="E2589" t="s">
        <v>3380</v>
      </c>
      <c r="F2589" t="s">
        <v>20</v>
      </c>
      <c r="G2589" t="s">
        <v>21</v>
      </c>
      <c r="H2589" t="s">
        <v>1703</v>
      </c>
      <c r="I2589" t="s">
        <v>23</v>
      </c>
      <c r="J2589" t="s">
        <v>49</v>
      </c>
      <c r="K2589" s="2" t="s">
        <v>2149</v>
      </c>
      <c r="L2589" t="s">
        <v>26</v>
      </c>
      <c r="M2589">
        <v>363334</v>
      </c>
      <c r="N2589">
        <v>1</v>
      </c>
      <c r="O2589" s="3">
        <v>69950</v>
      </c>
      <c r="P2589" s="3">
        <v>22284</v>
      </c>
      <c r="Q2589" s="5">
        <f t="shared" si="120"/>
        <v>58781.512605042022</v>
      </c>
      <c r="R2589" s="5">
        <f t="shared" si="121"/>
        <v>22284</v>
      </c>
      <c r="S2589" s="5">
        <f t="shared" si="122"/>
        <v>36497.512605042022</v>
      </c>
    </row>
    <row r="2590" spans="1:19" hidden="1" x14ac:dyDescent="0.3">
      <c r="A2590">
        <v>140</v>
      </c>
      <c r="B2590" t="s">
        <v>3524</v>
      </c>
      <c r="C2590" t="s">
        <v>4336</v>
      </c>
      <c r="D2590" s="2" t="s">
        <v>4337</v>
      </c>
      <c r="E2590" t="s">
        <v>599</v>
      </c>
      <c r="F2590" t="s">
        <v>20</v>
      </c>
      <c r="G2590" t="s">
        <v>21</v>
      </c>
      <c r="H2590" t="s">
        <v>600</v>
      </c>
      <c r="I2590" t="s">
        <v>23</v>
      </c>
      <c r="J2590" t="s">
        <v>40</v>
      </c>
      <c r="K2590" s="2" t="s">
        <v>2149</v>
      </c>
      <c r="L2590" t="s">
        <v>26</v>
      </c>
      <c r="M2590">
        <v>363335</v>
      </c>
      <c r="N2590">
        <v>1</v>
      </c>
      <c r="O2590" s="3">
        <v>49990</v>
      </c>
      <c r="P2590" s="3">
        <v>21327</v>
      </c>
      <c r="Q2590" s="5">
        <f t="shared" si="120"/>
        <v>42008.403361344543</v>
      </c>
      <c r="R2590" s="5">
        <f t="shared" si="121"/>
        <v>21327</v>
      </c>
      <c r="S2590" s="5">
        <f t="shared" si="122"/>
        <v>20681.403361344543</v>
      </c>
    </row>
    <row r="2591" spans="1:19" hidden="1" x14ac:dyDescent="0.3">
      <c r="A2591">
        <v>140</v>
      </c>
      <c r="B2591" t="s">
        <v>3524</v>
      </c>
      <c r="C2591" t="s">
        <v>2625</v>
      </c>
      <c r="D2591" s="2" t="s">
        <v>2626</v>
      </c>
      <c r="E2591" t="s">
        <v>2539</v>
      </c>
      <c r="F2591" t="s">
        <v>20</v>
      </c>
      <c r="G2591" t="s">
        <v>21</v>
      </c>
      <c r="H2591" t="s">
        <v>966</v>
      </c>
      <c r="I2591" t="s">
        <v>23</v>
      </c>
      <c r="J2591" t="s">
        <v>35</v>
      </c>
      <c r="K2591" s="2" t="s">
        <v>2149</v>
      </c>
      <c r="L2591" t="s">
        <v>26</v>
      </c>
      <c r="M2591">
        <v>363336</v>
      </c>
      <c r="N2591">
        <v>1</v>
      </c>
      <c r="O2591" s="3">
        <v>63700</v>
      </c>
      <c r="P2591" s="3">
        <v>27026</v>
      </c>
      <c r="Q2591" s="5">
        <f t="shared" si="120"/>
        <v>53529.411764705888</v>
      </c>
      <c r="R2591" s="5">
        <f t="shared" si="121"/>
        <v>27026</v>
      </c>
      <c r="S2591" s="5">
        <f t="shared" si="122"/>
        <v>26503.411764705888</v>
      </c>
    </row>
    <row r="2592" spans="1:19" hidden="1" x14ac:dyDescent="0.3">
      <c r="A2592">
        <v>140</v>
      </c>
      <c r="B2592" t="s">
        <v>3524</v>
      </c>
      <c r="C2592" t="s">
        <v>2765</v>
      </c>
      <c r="D2592" s="2" t="s">
        <v>2766</v>
      </c>
      <c r="E2592" t="s">
        <v>2658</v>
      </c>
      <c r="F2592" t="s">
        <v>20</v>
      </c>
      <c r="G2592" t="s">
        <v>21</v>
      </c>
      <c r="H2592" t="s">
        <v>500</v>
      </c>
      <c r="I2592" t="s">
        <v>23</v>
      </c>
      <c r="J2592" t="s">
        <v>40</v>
      </c>
      <c r="K2592" s="2" t="s">
        <v>2149</v>
      </c>
      <c r="L2592" t="s">
        <v>26</v>
      </c>
      <c r="M2592">
        <v>363336</v>
      </c>
      <c r="N2592">
        <v>1</v>
      </c>
      <c r="O2592" s="3">
        <v>59950</v>
      </c>
      <c r="P2592" s="3">
        <v>16978</v>
      </c>
      <c r="Q2592" s="5">
        <f t="shared" si="120"/>
        <v>50378.151260504201</v>
      </c>
      <c r="R2592" s="5">
        <f t="shared" si="121"/>
        <v>16978</v>
      </c>
      <c r="S2592" s="5">
        <f t="shared" si="122"/>
        <v>33400.151260504201</v>
      </c>
    </row>
    <row r="2593" spans="1:19" hidden="1" x14ac:dyDescent="0.3">
      <c r="A2593">
        <v>140</v>
      </c>
      <c r="B2593" t="s">
        <v>3524</v>
      </c>
      <c r="C2593" t="s">
        <v>1328</v>
      </c>
      <c r="D2593" s="2" t="s">
        <v>1329</v>
      </c>
      <c r="E2593" t="s">
        <v>1330</v>
      </c>
      <c r="F2593" t="s">
        <v>20</v>
      </c>
      <c r="G2593" t="s">
        <v>338</v>
      </c>
      <c r="H2593">
        <v>25133</v>
      </c>
      <c r="I2593" t="s">
        <v>23</v>
      </c>
      <c r="J2593" t="s">
        <v>35</v>
      </c>
      <c r="K2593" s="2" t="s">
        <v>2149</v>
      </c>
      <c r="L2593" t="s">
        <v>26</v>
      </c>
      <c r="M2593">
        <v>363337</v>
      </c>
      <c r="N2593">
        <v>1</v>
      </c>
      <c r="O2593" s="3">
        <v>74950</v>
      </c>
      <c r="P2593" s="3">
        <v>21167</v>
      </c>
      <c r="Q2593" s="5">
        <f t="shared" si="120"/>
        <v>62983.193277310929</v>
      </c>
      <c r="R2593" s="5">
        <f t="shared" si="121"/>
        <v>21167</v>
      </c>
      <c r="S2593" s="5">
        <f t="shared" si="122"/>
        <v>41816.193277310929</v>
      </c>
    </row>
    <row r="2594" spans="1:19" hidden="1" x14ac:dyDescent="0.3">
      <c r="A2594">
        <v>140</v>
      </c>
      <c r="B2594" t="s">
        <v>3524</v>
      </c>
      <c r="C2594" t="s">
        <v>4338</v>
      </c>
      <c r="D2594" s="2" t="s">
        <v>4339</v>
      </c>
      <c r="E2594" t="s">
        <v>2666</v>
      </c>
      <c r="F2594" t="s">
        <v>20</v>
      </c>
      <c r="G2594" t="s">
        <v>21</v>
      </c>
      <c r="H2594" t="s">
        <v>65</v>
      </c>
      <c r="I2594" t="s">
        <v>23</v>
      </c>
      <c r="J2594" t="s">
        <v>49</v>
      </c>
      <c r="K2594" s="2" t="s">
        <v>2149</v>
      </c>
      <c r="L2594" t="s">
        <v>26</v>
      </c>
      <c r="M2594">
        <v>363338</v>
      </c>
      <c r="N2594">
        <v>1</v>
      </c>
      <c r="O2594" s="3">
        <v>64951</v>
      </c>
      <c r="P2594" s="3">
        <v>22797</v>
      </c>
      <c r="Q2594" s="5">
        <f t="shared" si="120"/>
        <v>54580.672268907569</v>
      </c>
      <c r="R2594" s="5">
        <f t="shared" si="121"/>
        <v>22797</v>
      </c>
      <c r="S2594" s="5">
        <f t="shared" si="122"/>
        <v>31783.672268907569</v>
      </c>
    </row>
    <row r="2595" spans="1:19" hidden="1" x14ac:dyDescent="0.3">
      <c r="A2595">
        <v>140</v>
      </c>
      <c r="B2595" t="s">
        <v>3524</v>
      </c>
      <c r="C2595" t="s">
        <v>3989</v>
      </c>
      <c r="D2595" s="2" t="s">
        <v>3990</v>
      </c>
      <c r="E2595" t="s">
        <v>2298</v>
      </c>
      <c r="F2595" t="s">
        <v>20</v>
      </c>
      <c r="G2595" t="s">
        <v>21</v>
      </c>
      <c r="H2595" t="s">
        <v>2189</v>
      </c>
      <c r="I2595" t="s">
        <v>23</v>
      </c>
      <c r="J2595" t="s">
        <v>40</v>
      </c>
      <c r="K2595" s="2" t="s">
        <v>2149</v>
      </c>
      <c r="L2595" t="s">
        <v>26</v>
      </c>
      <c r="M2595">
        <v>363338</v>
      </c>
      <c r="N2595">
        <v>-1</v>
      </c>
      <c r="O2595" s="3">
        <v>-64950</v>
      </c>
      <c r="P2595" s="3">
        <v>20787</v>
      </c>
      <c r="Q2595" s="5">
        <f t="shared" si="120"/>
        <v>-54579.831932773115</v>
      </c>
      <c r="R2595" s="5">
        <f t="shared" si="121"/>
        <v>-20787</v>
      </c>
      <c r="S2595" s="5">
        <f t="shared" si="122"/>
        <v>-33792.831932773115</v>
      </c>
    </row>
    <row r="2596" spans="1:19" hidden="1" x14ac:dyDescent="0.3">
      <c r="A2596">
        <v>140</v>
      </c>
      <c r="B2596" t="s">
        <v>3524</v>
      </c>
      <c r="C2596" t="s">
        <v>3856</v>
      </c>
      <c r="D2596" s="2" t="s">
        <v>3857</v>
      </c>
      <c r="E2596" t="s">
        <v>2301</v>
      </c>
      <c r="F2596" t="s">
        <v>20</v>
      </c>
      <c r="G2596" t="s">
        <v>21</v>
      </c>
      <c r="H2596" t="s">
        <v>1124</v>
      </c>
      <c r="I2596" t="s">
        <v>23</v>
      </c>
      <c r="J2596" t="s">
        <v>24</v>
      </c>
      <c r="K2596" s="2" t="s">
        <v>2149</v>
      </c>
      <c r="L2596" t="s">
        <v>26</v>
      </c>
      <c r="M2596">
        <v>363339</v>
      </c>
      <c r="N2596">
        <v>1</v>
      </c>
      <c r="O2596" s="3">
        <v>74950</v>
      </c>
      <c r="P2596" s="3">
        <v>25857</v>
      </c>
      <c r="Q2596" s="5">
        <f t="shared" si="120"/>
        <v>62983.193277310929</v>
      </c>
      <c r="R2596" s="5">
        <f t="shared" si="121"/>
        <v>25857</v>
      </c>
      <c r="S2596" s="5">
        <f t="shared" si="122"/>
        <v>37126.193277310929</v>
      </c>
    </row>
    <row r="2597" spans="1:19" hidden="1" x14ac:dyDescent="0.3">
      <c r="A2597">
        <v>140</v>
      </c>
      <c r="B2597" t="s">
        <v>3524</v>
      </c>
      <c r="C2597" t="s">
        <v>2884</v>
      </c>
      <c r="D2597" s="2" t="s">
        <v>2885</v>
      </c>
      <c r="E2597" t="s">
        <v>1330</v>
      </c>
      <c r="F2597" t="s">
        <v>20</v>
      </c>
      <c r="G2597" t="s">
        <v>338</v>
      </c>
      <c r="H2597">
        <v>25133</v>
      </c>
      <c r="I2597" t="s">
        <v>23</v>
      </c>
      <c r="J2597" t="s">
        <v>35</v>
      </c>
      <c r="K2597" s="2" t="s">
        <v>2192</v>
      </c>
      <c r="L2597" t="s">
        <v>26</v>
      </c>
      <c r="M2597">
        <v>363340</v>
      </c>
      <c r="N2597">
        <v>1</v>
      </c>
      <c r="O2597" s="3">
        <v>74950</v>
      </c>
      <c r="P2597" s="3">
        <v>21167</v>
      </c>
      <c r="Q2597" s="5">
        <f t="shared" si="120"/>
        <v>62983.193277310929</v>
      </c>
      <c r="R2597" s="5">
        <f t="shared" si="121"/>
        <v>21167</v>
      </c>
      <c r="S2597" s="5">
        <f t="shared" si="122"/>
        <v>41816.193277310929</v>
      </c>
    </row>
    <row r="2598" spans="1:19" hidden="1" x14ac:dyDescent="0.3">
      <c r="A2598">
        <v>140</v>
      </c>
      <c r="B2598" t="s">
        <v>3524</v>
      </c>
      <c r="C2598" t="s">
        <v>4243</v>
      </c>
      <c r="D2598" s="2" t="s">
        <v>4244</v>
      </c>
      <c r="E2598" t="s">
        <v>1758</v>
      </c>
      <c r="F2598" t="s">
        <v>20</v>
      </c>
      <c r="G2598" t="s">
        <v>338</v>
      </c>
      <c r="H2598">
        <v>25133</v>
      </c>
      <c r="I2598" t="s">
        <v>23</v>
      </c>
      <c r="J2598" t="s">
        <v>35</v>
      </c>
      <c r="K2598" s="2" t="s">
        <v>2192</v>
      </c>
      <c r="L2598" t="s">
        <v>26</v>
      </c>
      <c r="M2598">
        <v>363340</v>
      </c>
      <c r="N2598">
        <v>1</v>
      </c>
      <c r="O2598" s="3">
        <v>74950</v>
      </c>
      <c r="P2598" s="3">
        <v>21167</v>
      </c>
      <c r="Q2598" s="5">
        <f t="shared" si="120"/>
        <v>62983.193277310929</v>
      </c>
      <c r="R2598" s="5">
        <f t="shared" si="121"/>
        <v>21167</v>
      </c>
      <c r="S2598" s="5">
        <f t="shared" si="122"/>
        <v>41816.193277310929</v>
      </c>
    </row>
    <row r="2599" spans="1:19" hidden="1" x14ac:dyDescent="0.3">
      <c r="A2599">
        <v>140</v>
      </c>
      <c r="B2599" t="s">
        <v>3524</v>
      </c>
      <c r="C2599" t="s">
        <v>4340</v>
      </c>
      <c r="D2599" s="2" t="s">
        <v>4341</v>
      </c>
      <c r="E2599" t="s">
        <v>1174</v>
      </c>
      <c r="F2599" t="s">
        <v>20</v>
      </c>
      <c r="G2599" t="s">
        <v>21</v>
      </c>
      <c r="H2599" t="s">
        <v>272</v>
      </c>
      <c r="I2599" t="s">
        <v>23</v>
      </c>
      <c r="J2599" t="s">
        <v>40</v>
      </c>
      <c r="K2599" s="2" t="s">
        <v>2192</v>
      </c>
      <c r="L2599" t="s">
        <v>26</v>
      </c>
      <c r="M2599">
        <v>363341</v>
      </c>
      <c r="N2599">
        <v>1</v>
      </c>
      <c r="O2599" s="3">
        <v>74950</v>
      </c>
      <c r="P2599" s="3">
        <v>25232</v>
      </c>
      <c r="Q2599" s="5">
        <f t="shared" si="120"/>
        <v>62983.193277310929</v>
      </c>
      <c r="R2599" s="5">
        <f t="shared" si="121"/>
        <v>25232</v>
      </c>
      <c r="S2599" s="5">
        <f t="shared" si="122"/>
        <v>37751.193277310929</v>
      </c>
    </row>
    <row r="2600" spans="1:19" hidden="1" x14ac:dyDescent="0.3">
      <c r="A2600">
        <v>140</v>
      </c>
      <c r="B2600" t="s">
        <v>3524</v>
      </c>
      <c r="C2600" t="s">
        <v>4101</v>
      </c>
      <c r="D2600" s="2" t="s">
        <v>4102</v>
      </c>
      <c r="E2600" t="s">
        <v>1404</v>
      </c>
      <c r="F2600" t="s">
        <v>20</v>
      </c>
      <c r="G2600" t="s">
        <v>21</v>
      </c>
      <c r="H2600" t="s">
        <v>1405</v>
      </c>
      <c r="I2600" t="s">
        <v>23</v>
      </c>
      <c r="J2600" t="s">
        <v>40</v>
      </c>
      <c r="K2600" s="2" t="s">
        <v>2192</v>
      </c>
      <c r="L2600" t="s">
        <v>26</v>
      </c>
      <c r="M2600">
        <v>363341</v>
      </c>
      <c r="N2600">
        <v>-1</v>
      </c>
      <c r="O2600" s="3">
        <v>-49950</v>
      </c>
      <c r="P2600" s="3">
        <v>13302</v>
      </c>
      <c r="Q2600" s="5">
        <f t="shared" si="120"/>
        <v>-41974.789915966387</v>
      </c>
      <c r="R2600" s="5">
        <f t="shared" si="121"/>
        <v>-13302</v>
      </c>
      <c r="S2600" s="5">
        <f t="shared" si="122"/>
        <v>-28672.789915966387</v>
      </c>
    </row>
    <row r="2601" spans="1:19" hidden="1" x14ac:dyDescent="0.3">
      <c r="A2601">
        <v>140</v>
      </c>
      <c r="B2601" t="s">
        <v>3524</v>
      </c>
      <c r="C2601" t="s">
        <v>4342</v>
      </c>
      <c r="D2601" s="2" t="s">
        <v>4343</v>
      </c>
      <c r="E2601" t="s">
        <v>842</v>
      </c>
      <c r="F2601" t="s">
        <v>20</v>
      </c>
      <c r="G2601" t="s">
        <v>21</v>
      </c>
      <c r="H2601" t="s">
        <v>99</v>
      </c>
      <c r="I2601" t="s">
        <v>23</v>
      </c>
      <c r="J2601" t="s">
        <v>40</v>
      </c>
      <c r="K2601" s="2" t="s">
        <v>2192</v>
      </c>
      <c r="L2601" t="s">
        <v>26</v>
      </c>
      <c r="M2601">
        <v>363342</v>
      </c>
      <c r="N2601">
        <v>1</v>
      </c>
      <c r="O2601" s="3">
        <v>39990</v>
      </c>
      <c r="P2601" s="3">
        <v>24328</v>
      </c>
      <c r="Q2601" s="5">
        <f t="shared" si="120"/>
        <v>33605.042016806721</v>
      </c>
      <c r="R2601" s="5">
        <f t="shared" si="121"/>
        <v>24328</v>
      </c>
      <c r="S2601" s="5">
        <f t="shared" si="122"/>
        <v>9277.0420168067212</v>
      </c>
    </row>
    <row r="2602" spans="1:19" hidden="1" x14ac:dyDescent="0.3">
      <c r="A2602">
        <v>140</v>
      </c>
      <c r="B2602" t="s">
        <v>3524</v>
      </c>
      <c r="C2602" t="s">
        <v>3875</v>
      </c>
      <c r="D2602" s="2" t="s">
        <v>3876</v>
      </c>
      <c r="E2602" t="s">
        <v>3877</v>
      </c>
      <c r="F2602" t="s">
        <v>20</v>
      </c>
      <c r="G2602" t="s">
        <v>21</v>
      </c>
      <c r="H2602" t="s">
        <v>99</v>
      </c>
      <c r="I2602" t="s">
        <v>23</v>
      </c>
      <c r="J2602" t="s">
        <v>40</v>
      </c>
      <c r="K2602" s="2" t="s">
        <v>2192</v>
      </c>
      <c r="L2602" t="s">
        <v>26</v>
      </c>
      <c r="M2602">
        <v>363343</v>
      </c>
      <c r="N2602">
        <v>1</v>
      </c>
      <c r="O2602" s="3">
        <v>39990</v>
      </c>
      <c r="P2602" s="3">
        <v>31740</v>
      </c>
      <c r="Q2602" s="5">
        <f t="shared" si="120"/>
        <v>33605.042016806721</v>
      </c>
      <c r="R2602" s="5">
        <f t="shared" si="121"/>
        <v>31740</v>
      </c>
      <c r="S2602" s="5">
        <f t="shared" si="122"/>
        <v>1865.0420168067212</v>
      </c>
    </row>
    <row r="2603" spans="1:19" hidden="1" x14ac:dyDescent="0.3">
      <c r="A2603">
        <v>140</v>
      </c>
      <c r="B2603" t="s">
        <v>3524</v>
      </c>
      <c r="C2603" t="s">
        <v>2678</v>
      </c>
      <c r="D2603" s="2" t="s">
        <v>2679</v>
      </c>
      <c r="E2603" t="s">
        <v>2632</v>
      </c>
      <c r="F2603" t="s">
        <v>20</v>
      </c>
      <c r="G2603" t="s">
        <v>21</v>
      </c>
      <c r="H2603" t="s">
        <v>2469</v>
      </c>
      <c r="I2603" t="s">
        <v>23</v>
      </c>
      <c r="J2603" t="s">
        <v>49</v>
      </c>
      <c r="K2603" s="2" t="s">
        <v>2192</v>
      </c>
      <c r="L2603" t="s">
        <v>26</v>
      </c>
      <c r="M2603">
        <v>363344</v>
      </c>
      <c r="N2603">
        <v>1</v>
      </c>
      <c r="O2603" s="3">
        <v>64950</v>
      </c>
      <c r="P2603" s="3">
        <v>21368</v>
      </c>
      <c r="Q2603" s="5">
        <f t="shared" si="120"/>
        <v>54579.831932773115</v>
      </c>
      <c r="R2603" s="5">
        <f t="shared" si="121"/>
        <v>21368</v>
      </c>
      <c r="S2603" s="5">
        <f t="shared" si="122"/>
        <v>33211.831932773115</v>
      </c>
    </row>
    <row r="2604" spans="1:19" hidden="1" x14ac:dyDescent="0.3">
      <c r="A2604">
        <v>140</v>
      </c>
      <c r="B2604" t="s">
        <v>3524</v>
      </c>
      <c r="C2604" t="s">
        <v>4344</v>
      </c>
      <c r="D2604" s="2" t="s">
        <v>4345</v>
      </c>
      <c r="E2604" t="s">
        <v>4346</v>
      </c>
      <c r="F2604" t="s">
        <v>20</v>
      </c>
      <c r="G2604" t="s">
        <v>21</v>
      </c>
      <c r="H2604" t="s">
        <v>1755</v>
      </c>
      <c r="I2604" t="s">
        <v>23</v>
      </c>
      <c r="J2604" t="s">
        <v>35</v>
      </c>
      <c r="K2604" s="2" t="s">
        <v>2192</v>
      </c>
      <c r="L2604" t="s">
        <v>26</v>
      </c>
      <c r="M2604">
        <v>363345</v>
      </c>
      <c r="N2604">
        <v>1</v>
      </c>
      <c r="O2604" s="3">
        <v>59990</v>
      </c>
      <c r="P2604" s="3">
        <v>28298</v>
      </c>
      <c r="Q2604" s="5">
        <f t="shared" si="120"/>
        <v>50411.764705882357</v>
      </c>
      <c r="R2604" s="5">
        <f t="shared" si="121"/>
        <v>28298</v>
      </c>
      <c r="S2604" s="5">
        <f t="shared" si="122"/>
        <v>22113.764705882357</v>
      </c>
    </row>
    <row r="2605" spans="1:19" hidden="1" x14ac:dyDescent="0.3">
      <c r="A2605">
        <v>140</v>
      </c>
      <c r="B2605" t="s">
        <v>3524</v>
      </c>
      <c r="C2605" t="s">
        <v>3710</v>
      </c>
      <c r="D2605" s="2" t="s">
        <v>3711</v>
      </c>
      <c r="E2605" t="s">
        <v>294</v>
      </c>
      <c r="F2605" t="s">
        <v>20</v>
      </c>
      <c r="G2605" t="s">
        <v>21</v>
      </c>
      <c r="H2605" t="s">
        <v>295</v>
      </c>
      <c r="I2605" t="s">
        <v>23</v>
      </c>
      <c r="J2605" t="s">
        <v>40</v>
      </c>
      <c r="K2605" s="2" t="s">
        <v>2192</v>
      </c>
      <c r="L2605" t="s">
        <v>26</v>
      </c>
      <c r="M2605">
        <v>363346</v>
      </c>
      <c r="N2605">
        <v>1</v>
      </c>
      <c r="O2605" s="3">
        <v>79950</v>
      </c>
      <c r="P2605" s="3">
        <v>26951</v>
      </c>
      <c r="Q2605" s="5">
        <f t="shared" si="120"/>
        <v>67184.873949579836</v>
      </c>
      <c r="R2605" s="5">
        <f t="shared" si="121"/>
        <v>26951</v>
      </c>
      <c r="S2605" s="5">
        <f t="shared" si="122"/>
        <v>40233.873949579836</v>
      </c>
    </row>
    <row r="2606" spans="1:19" hidden="1" x14ac:dyDescent="0.3">
      <c r="A2606">
        <v>140</v>
      </c>
      <c r="B2606" t="s">
        <v>3524</v>
      </c>
      <c r="C2606" t="s">
        <v>2049</v>
      </c>
      <c r="D2606" s="2" t="s">
        <v>2050</v>
      </c>
      <c r="E2606" t="s">
        <v>1913</v>
      </c>
      <c r="F2606" t="s">
        <v>20</v>
      </c>
      <c r="G2606" t="s">
        <v>21</v>
      </c>
      <c r="H2606" t="s">
        <v>1914</v>
      </c>
      <c r="I2606" t="s">
        <v>23</v>
      </c>
      <c r="J2606" t="s">
        <v>35</v>
      </c>
      <c r="K2606" s="2" t="s">
        <v>2192</v>
      </c>
      <c r="L2606" t="s">
        <v>26</v>
      </c>
      <c r="M2606">
        <v>363347</v>
      </c>
      <c r="N2606">
        <v>1</v>
      </c>
      <c r="O2606" s="3">
        <v>89950</v>
      </c>
      <c r="P2606" s="3">
        <v>28298</v>
      </c>
      <c r="Q2606" s="5">
        <f t="shared" si="120"/>
        <v>75588.23529411765</v>
      </c>
      <c r="R2606" s="5">
        <f t="shared" si="121"/>
        <v>28298</v>
      </c>
      <c r="S2606" s="5">
        <f t="shared" si="122"/>
        <v>47290.23529411765</v>
      </c>
    </row>
    <row r="2607" spans="1:19" hidden="1" x14ac:dyDescent="0.3">
      <c r="A2607">
        <v>140</v>
      </c>
      <c r="B2607" t="s">
        <v>3524</v>
      </c>
      <c r="C2607" t="s">
        <v>4347</v>
      </c>
      <c r="D2607" s="2" t="s">
        <v>4348</v>
      </c>
      <c r="E2607" t="s">
        <v>4349</v>
      </c>
      <c r="F2607" t="s">
        <v>20</v>
      </c>
      <c r="G2607" t="s">
        <v>21</v>
      </c>
      <c r="H2607" t="s">
        <v>30</v>
      </c>
      <c r="I2607" t="s">
        <v>23</v>
      </c>
      <c r="J2607" t="s">
        <v>35</v>
      </c>
      <c r="K2607" s="2" t="s">
        <v>2192</v>
      </c>
      <c r="L2607" t="s">
        <v>26</v>
      </c>
      <c r="M2607">
        <v>363348</v>
      </c>
      <c r="N2607">
        <v>1</v>
      </c>
      <c r="O2607" s="3">
        <v>64990</v>
      </c>
      <c r="P2607" s="3">
        <v>29988</v>
      </c>
      <c r="Q2607" s="5">
        <f t="shared" si="120"/>
        <v>54613.445378151264</v>
      </c>
      <c r="R2607" s="5">
        <f t="shared" si="121"/>
        <v>29988</v>
      </c>
      <c r="S2607" s="5">
        <f t="shared" si="122"/>
        <v>24625.445378151264</v>
      </c>
    </row>
    <row r="2608" spans="1:19" hidden="1" x14ac:dyDescent="0.3">
      <c r="A2608">
        <v>140</v>
      </c>
      <c r="B2608" t="s">
        <v>3524</v>
      </c>
      <c r="C2608" t="s">
        <v>2387</v>
      </c>
      <c r="D2608" s="2" t="s">
        <v>2388</v>
      </c>
      <c r="E2608" t="s">
        <v>2389</v>
      </c>
      <c r="F2608" t="s">
        <v>20</v>
      </c>
      <c r="G2608" t="s">
        <v>21</v>
      </c>
      <c r="H2608" t="s">
        <v>65</v>
      </c>
      <c r="I2608" t="s">
        <v>23</v>
      </c>
      <c r="J2608" t="s">
        <v>49</v>
      </c>
      <c r="K2608" s="2" t="s">
        <v>2192</v>
      </c>
      <c r="L2608" t="s">
        <v>26</v>
      </c>
      <c r="M2608">
        <v>363349</v>
      </c>
      <c r="N2608">
        <v>1</v>
      </c>
      <c r="O2608" s="3">
        <v>49990</v>
      </c>
      <c r="P2608" s="3">
        <v>23712</v>
      </c>
      <c r="Q2608" s="5">
        <f t="shared" si="120"/>
        <v>42008.403361344543</v>
      </c>
      <c r="R2608" s="5">
        <f t="shared" si="121"/>
        <v>23712</v>
      </c>
      <c r="S2608" s="5">
        <f t="shared" si="122"/>
        <v>18296.403361344543</v>
      </c>
    </row>
    <row r="2609" spans="1:19" hidden="1" x14ac:dyDescent="0.3">
      <c r="A2609">
        <v>140</v>
      </c>
      <c r="B2609" t="s">
        <v>3524</v>
      </c>
      <c r="C2609" t="s">
        <v>3975</v>
      </c>
      <c r="D2609" s="2" t="s">
        <v>3976</v>
      </c>
      <c r="E2609" t="s">
        <v>3462</v>
      </c>
      <c r="F2609" t="s">
        <v>20</v>
      </c>
      <c r="G2609" t="s">
        <v>21</v>
      </c>
      <c r="H2609" t="s">
        <v>1282</v>
      </c>
      <c r="I2609" t="s">
        <v>23</v>
      </c>
      <c r="J2609" t="s">
        <v>40</v>
      </c>
      <c r="K2609" s="2" t="s">
        <v>2192</v>
      </c>
      <c r="L2609" t="s">
        <v>26</v>
      </c>
      <c r="M2609">
        <v>363350</v>
      </c>
      <c r="N2609">
        <v>1</v>
      </c>
      <c r="O2609" s="3">
        <v>30000</v>
      </c>
      <c r="P2609" s="3">
        <v>12353</v>
      </c>
      <c r="Q2609" s="5">
        <f t="shared" si="120"/>
        <v>25210.084033613446</v>
      </c>
      <c r="R2609" s="5">
        <f t="shared" si="121"/>
        <v>12353</v>
      </c>
      <c r="S2609" s="5">
        <f t="shared" si="122"/>
        <v>12857.084033613446</v>
      </c>
    </row>
    <row r="2610" spans="1:19" hidden="1" x14ac:dyDescent="0.3">
      <c r="A2610">
        <v>140</v>
      </c>
      <c r="B2610" t="s">
        <v>3524</v>
      </c>
      <c r="C2610" t="s">
        <v>2676</v>
      </c>
      <c r="D2610" s="2" t="s">
        <v>2677</v>
      </c>
      <c r="E2610" t="s">
        <v>1421</v>
      </c>
      <c r="F2610" t="s">
        <v>20</v>
      </c>
      <c r="G2610" t="s">
        <v>21</v>
      </c>
      <c r="H2610" t="s">
        <v>1422</v>
      </c>
      <c r="I2610" t="s">
        <v>23</v>
      </c>
      <c r="J2610" t="s">
        <v>49</v>
      </c>
      <c r="K2610" s="2" t="s">
        <v>2192</v>
      </c>
      <c r="L2610" t="s">
        <v>26</v>
      </c>
      <c r="M2610">
        <v>363350</v>
      </c>
      <c r="N2610">
        <v>1</v>
      </c>
      <c r="O2610" s="3">
        <v>74950</v>
      </c>
      <c r="P2610" s="3">
        <v>25179</v>
      </c>
      <c r="Q2610" s="5">
        <f t="shared" si="120"/>
        <v>62983.193277310929</v>
      </c>
      <c r="R2610" s="5">
        <f t="shared" si="121"/>
        <v>25179</v>
      </c>
      <c r="S2610" s="5">
        <f t="shared" si="122"/>
        <v>37804.193277310929</v>
      </c>
    </row>
    <row r="2611" spans="1:19" hidden="1" x14ac:dyDescent="0.3">
      <c r="A2611">
        <v>140</v>
      </c>
      <c r="B2611" t="s">
        <v>3524</v>
      </c>
      <c r="C2611" t="s">
        <v>4231</v>
      </c>
      <c r="D2611" s="2" t="s">
        <v>4232</v>
      </c>
      <c r="E2611" t="s">
        <v>2844</v>
      </c>
      <c r="F2611" t="s">
        <v>20</v>
      </c>
      <c r="G2611" t="s">
        <v>338</v>
      </c>
      <c r="H2611">
        <v>24722</v>
      </c>
      <c r="I2611" t="s">
        <v>23</v>
      </c>
      <c r="J2611" t="s">
        <v>95</v>
      </c>
      <c r="K2611" s="2" t="s">
        <v>2192</v>
      </c>
      <c r="L2611" t="s">
        <v>26</v>
      </c>
      <c r="M2611">
        <v>363350</v>
      </c>
      <c r="N2611">
        <v>-1</v>
      </c>
      <c r="O2611" s="3">
        <v>-89950</v>
      </c>
      <c r="P2611" s="3">
        <v>30987</v>
      </c>
      <c r="Q2611" s="5">
        <f t="shared" si="120"/>
        <v>-75588.23529411765</v>
      </c>
      <c r="R2611" s="5">
        <f t="shared" si="121"/>
        <v>-30987</v>
      </c>
      <c r="S2611" s="5">
        <f t="shared" si="122"/>
        <v>-44601.23529411765</v>
      </c>
    </row>
    <row r="2612" spans="1:19" hidden="1" x14ac:dyDescent="0.3">
      <c r="A2612">
        <v>140</v>
      </c>
      <c r="B2612" t="s">
        <v>3524</v>
      </c>
      <c r="C2612" t="s">
        <v>4350</v>
      </c>
      <c r="D2612" s="2" t="s">
        <v>4351</v>
      </c>
      <c r="E2612" t="s">
        <v>3406</v>
      </c>
      <c r="F2612" t="s">
        <v>20</v>
      </c>
      <c r="G2612" t="s">
        <v>338</v>
      </c>
      <c r="H2612">
        <v>26825</v>
      </c>
      <c r="I2612" t="s">
        <v>23</v>
      </c>
      <c r="J2612" t="s">
        <v>35</v>
      </c>
      <c r="K2612" s="2" t="s">
        <v>2192</v>
      </c>
      <c r="L2612" t="s">
        <v>26</v>
      </c>
      <c r="M2612">
        <v>363351</v>
      </c>
      <c r="N2612">
        <v>1</v>
      </c>
      <c r="O2612" s="3">
        <v>79950</v>
      </c>
      <c r="P2612" s="3">
        <v>23119</v>
      </c>
      <c r="Q2612" s="5">
        <f t="shared" si="120"/>
        <v>67184.873949579836</v>
      </c>
      <c r="R2612" s="5">
        <f t="shared" si="121"/>
        <v>23119</v>
      </c>
      <c r="S2612" s="5">
        <f t="shared" si="122"/>
        <v>44065.873949579836</v>
      </c>
    </row>
    <row r="2613" spans="1:19" hidden="1" x14ac:dyDescent="0.3">
      <c r="A2613">
        <v>140</v>
      </c>
      <c r="B2613" t="s">
        <v>3524</v>
      </c>
      <c r="C2613" t="s">
        <v>4352</v>
      </c>
      <c r="D2613" s="2" t="s">
        <v>4353</v>
      </c>
      <c r="E2613" t="s">
        <v>553</v>
      </c>
      <c r="F2613" t="s">
        <v>20</v>
      </c>
      <c r="G2613" t="s">
        <v>21</v>
      </c>
      <c r="H2613" t="s">
        <v>353</v>
      </c>
      <c r="I2613" t="s">
        <v>23</v>
      </c>
      <c r="J2613" t="s">
        <v>95</v>
      </c>
      <c r="K2613" s="2" t="s">
        <v>2192</v>
      </c>
      <c r="L2613" t="s">
        <v>26</v>
      </c>
      <c r="M2613">
        <v>363352</v>
      </c>
      <c r="N2613">
        <v>1</v>
      </c>
      <c r="O2613" s="3">
        <v>44990</v>
      </c>
      <c r="P2613" s="3">
        <v>31000</v>
      </c>
      <c r="Q2613" s="5">
        <f t="shared" si="120"/>
        <v>37806.722689075636</v>
      </c>
      <c r="R2613" s="5">
        <f t="shared" si="121"/>
        <v>31000</v>
      </c>
      <c r="S2613" s="5">
        <f t="shared" si="122"/>
        <v>6806.7226890756356</v>
      </c>
    </row>
    <row r="2614" spans="1:19" hidden="1" x14ac:dyDescent="0.3">
      <c r="A2614">
        <v>140</v>
      </c>
      <c r="B2614" t="s">
        <v>3524</v>
      </c>
      <c r="C2614" t="s">
        <v>3904</v>
      </c>
      <c r="D2614" s="2" t="s">
        <v>3905</v>
      </c>
      <c r="E2614" t="s">
        <v>990</v>
      </c>
      <c r="F2614" t="s">
        <v>20</v>
      </c>
      <c r="G2614" t="s">
        <v>21</v>
      </c>
      <c r="H2614" t="s">
        <v>991</v>
      </c>
      <c r="I2614" t="s">
        <v>23</v>
      </c>
      <c r="J2614" t="s">
        <v>49</v>
      </c>
      <c r="K2614" s="2" t="s">
        <v>2192</v>
      </c>
      <c r="L2614" t="s">
        <v>26</v>
      </c>
      <c r="M2614">
        <v>363353</v>
      </c>
      <c r="N2614">
        <v>1</v>
      </c>
      <c r="O2614" s="3">
        <v>69950</v>
      </c>
      <c r="P2614" s="3">
        <v>22180</v>
      </c>
      <c r="Q2614" s="5">
        <f t="shared" si="120"/>
        <v>58781.512605042022</v>
      </c>
      <c r="R2614" s="5">
        <f t="shared" si="121"/>
        <v>22180</v>
      </c>
      <c r="S2614" s="5">
        <f t="shared" si="122"/>
        <v>36601.512605042022</v>
      </c>
    </row>
    <row r="2615" spans="1:19" hidden="1" x14ac:dyDescent="0.3">
      <c r="A2615">
        <v>140</v>
      </c>
      <c r="B2615" t="s">
        <v>3524</v>
      </c>
      <c r="C2615" t="s">
        <v>4354</v>
      </c>
      <c r="D2615" s="2" t="s">
        <v>4355</v>
      </c>
      <c r="E2615" t="s">
        <v>553</v>
      </c>
      <c r="F2615" t="s">
        <v>20</v>
      </c>
      <c r="G2615" t="s">
        <v>21</v>
      </c>
      <c r="H2615" t="s">
        <v>353</v>
      </c>
      <c r="I2615" t="s">
        <v>23</v>
      </c>
      <c r="J2615" t="s">
        <v>95</v>
      </c>
      <c r="K2615" s="2" t="s">
        <v>2192</v>
      </c>
      <c r="L2615" t="s">
        <v>26</v>
      </c>
      <c r="M2615">
        <v>363354</v>
      </c>
      <c r="N2615">
        <v>1</v>
      </c>
      <c r="O2615" s="3">
        <v>44990</v>
      </c>
      <c r="P2615" s="3">
        <v>31000</v>
      </c>
      <c r="Q2615" s="5">
        <f t="shared" si="120"/>
        <v>37806.722689075636</v>
      </c>
      <c r="R2615" s="5">
        <f t="shared" si="121"/>
        <v>31000</v>
      </c>
      <c r="S2615" s="5">
        <f t="shared" si="122"/>
        <v>6806.7226890756356</v>
      </c>
    </row>
    <row r="2616" spans="1:19" hidden="1" x14ac:dyDescent="0.3">
      <c r="A2616">
        <v>140</v>
      </c>
      <c r="B2616" t="s">
        <v>3524</v>
      </c>
      <c r="C2616" t="s">
        <v>4356</v>
      </c>
      <c r="D2616" s="2" t="s">
        <v>4357</v>
      </c>
      <c r="E2616" t="s">
        <v>4358</v>
      </c>
      <c r="F2616" t="s">
        <v>20</v>
      </c>
      <c r="G2616" t="s">
        <v>21</v>
      </c>
      <c r="H2616" t="s">
        <v>346</v>
      </c>
      <c r="I2616" t="s">
        <v>23</v>
      </c>
      <c r="J2616" t="s">
        <v>49</v>
      </c>
      <c r="K2616" s="2" t="s">
        <v>2192</v>
      </c>
      <c r="L2616" t="s">
        <v>26</v>
      </c>
      <c r="M2616">
        <v>363355</v>
      </c>
      <c r="N2616">
        <v>-1</v>
      </c>
      <c r="O2616" s="3">
        <v>-49990</v>
      </c>
      <c r="P2616" s="3">
        <v>23226</v>
      </c>
      <c r="Q2616" s="5">
        <f t="shared" si="120"/>
        <v>-42008.403361344543</v>
      </c>
      <c r="R2616" s="5">
        <f t="shared" si="121"/>
        <v>-23226</v>
      </c>
      <c r="S2616" s="5">
        <f t="shared" si="122"/>
        <v>-18782.403361344543</v>
      </c>
    </row>
    <row r="2617" spans="1:19" hidden="1" x14ac:dyDescent="0.3">
      <c r="A2617">
        <v>140</v>
      </c>
      <c r="B2617" t="s">
        <v>3524</v>
      </c>
      <c r="C2617" t="s">
        <v>3898</v>
      </c>
      <c r="D2617" s="2" t="s">
        <v>3899</v>
      </c>
      <c r="E2617" t="s">
        <v>2741</v>
      </c>
      <c r="F2617" t="s">
        <v>20</v>
      </c>
      <c r="G2617" t="s">
        <v>21</v>
      </c>
      <c r="H2617" t="s">
        <v>2494</v>
      </c>
      <c r="I2617" t="s">
        <v>23</v>
      </c>
      <c r="J2617" t="s">
        <v>40</v>
      </c>
      <c r="K2617" s="2" t="s">
        <v>2192</v>
      </c>
      <c r="L2617" t="s">
        <v>26</v>
      </c>
      <c r="M2617">
        <v>363355</v>
      </c>
      <c r="N2617">
        <v>1</v>
      </c>
      <c r="O2617" s="3">
        <v>69950</v>
      </c>
      <c r="P2617" s="3">
        <v>23470</v>
      </c>
      <c r="Q2617" s="5">
        <f t="shared" si="120"/>
        <v>58781.512605042022</v>
      </c>
      <c r="R2617" s="5">
        <f t="shared" si="121"/>
        <v>23470</v>
      </c>
      <c r="S2617" s="5">
        <f t="shared" si="122"/>
        <v>35311.512605042022</v>
      </c>
    </row>
    <row r="2618" spans="1:19" hidden="1" x14ac:dyDescent="0.3">
      <c r="A2618">
        <v>140</v>
      </c>
      <c r="B2618" t="s">
        <v>3524</v>
      </c>
      <c r="C2618" t="s">
        <v>4359</v>
      </c>
      <c r="D2618" s="2" t="s">
        <v>4360</v>
      </c>
      <c r="E2618" t="s">
        <v>4049</v>
      </c>
      <c r="F2618" t="s">
        <v>20</v>
      </c>
      <c r="G2618" t="s">
        <v>21</v>
      </c>
      <c r="H2618" t="s">
        <v>3351</v>
      </c>
      <c r="I2618" t="s">
        <v>23</v>
      </c>
      <c r="J2618" t="s">
        <v>40</v>
      </c>
      <c r="K2618" s="2" t="s">
        <v>2192</v>
      </c>
      <c r="L2618" t="s">
        <v>26</v>
      </c>
      <c r="M2618">
        <v>363356</v>
      </c>
      <c r="N2618">
        <v>1</v>
      </c>
      <c r="O2618" s="3">
        <v>79950</v>
      </c>
      <c r="P2618" s="3">
        <v>30166</v>
      </c>
      <c r="Q2618" s="5">
        <f t="shared" si="120"/>
        <v>67184.873949579836</v>
      </c>
      <c r="R2618" s="5">
        <f t="shared" si="121"/>
        <v>30166</v>
      </c>
      <c r="S2618" s="5">
        <f t="shared" si="122"/>
        <v>37018.873949579836</v>
      </c>
    </row>
    <row r="2619" spans="1:19" hidden="1" x14ac:dyDescent="0.3">
      <c r="A2619">
        <v>140</v>
      </c>
      <c r="B2619" t="s">
        <v>3524</v>
      </c>
      <c r="C2619" t="s">
        <v>1507</v>
      </c>
      <c r="D2619" s="2" t="s">
        <v>1508</v>
      </c>
      <c r="E2619" t="s">
        <v>425</v>
      </c>
      <c r="F2619" t="s">
        <v>20</v>
      </c>
      <c r="G2619" t="s">
        <v>21</v>
      </c>
      <c r="H2619" t="s">
        <v>22</v>
      </c>
      <c r="I2619" t="s">
        <v>23</v>
      </c>
      <c r="J2619" t="s">
        <v>24</v>
      </c>
      <c r="K2619" s="2" t="s">
        <v>2192</v>
      </c>
      <c r="L2619" t="s">
        <v>26</v>
      </c>
      <c r="M2619">
        <v>363357</v>
      </c>
      <c r="N2619">
        <v>-1</v>
      </c>
      <c r="O2619" s="3">
        <v>-67950</v>
      </c>
      <c r="P2619" s="3">
        <v>27778</v>
      </c>
      <c r="Q2619" s="5">
        <f t="shared" si="120"/>
        <v>-57100.840336134454</v>
      </c>
      <c r="R2619" s="5">
        <f t="shared" si="121"/>
        <v>-27778</v>
      </c>
      <c r="S2619" s="5">
        <f t="shared" si="122"/>
        <v>-29322.840336134454</v>
      </c>
    </row>
    <row r="2620" spans="1:19" hidden="1" x14ac:dyDescent="0.3">
      <c r="A2620">
        <v>140</v>
      </c>
      <c r="B2620" t="s">
        <v>3524</v>
      </c>
      <c r="C2620" t="s">
        <v>2840</v>
      </c>
      <c r="D2620" s="2" t="s">
        <v>2841</v>
      </c>
      <c r="E2620" t="s">
        <v>2110</v>
      </c>
      <c r="F2620" t="s">
        <v>20</v>
      </c>
      <c r="G2620" t="s">
        <v>21</v>
      </c>
      <c r="H2620" t="s">
        <v>22</v>
      </c>
      <c r="I2620" t="s">
        <v>23</v>
      </c>
      <c r="J2620" t="s">
        <v>24</v>
      </c>
      <c r="K2620" s="2" t="s">
        <v>2192</v>
      </c>
      <c r="L2620" t="s">
        <v>26</v>
      </c>
      <c r="M2620">
        <v>363357</v>
      </c>
      <c r="N2620">
        <v>1</v>
      </c>
      <c r="O2620" s="3">
        <v>67952</v>
      </c>
      <c r="P2620" s="3">
        <v>27760</v>
      </c>
      <c r="Q2620" s="5">
        <f t="shared" si="120"/>
        <v>57102.521008403361</v>
      </c>
      <c r="R2620" s="5">
        <f t="shared" si="121"/>
        <v>27760</v>
      </c>
      <c r="S2620" s="5">
        <f t="shared" si="122"/>
        <v>29342.521008403361</v>
      </c>
    </row>
    <row r="2621" spans="1:19" hidden="1" x14ac:dyDescent="0.3">
      <c r="A2621">
        <v>150</v>
      </c>
      <c r="B2621" t="s">
        <v>4361</v>
      </c>
      <c r="C2621" t="s">
        <v>4362</v>
      </c>
      <c r="D2621" s="2" t="s">
        <v>4363</v>
      </c>
      <c r="E2621" t="s">
        <v>609</v>
      </c>
      <c r="F2621" t="s">
        <v>20</v>
      </c>
      <c r="G2621" t="s">
        <v>21</v>
      </c>
      <c r="H2621" t="s">
        <v>610</v>
      </c>
      <c r="I2621" t="s">
        <v>23</v>
      </c>
      <c r="J2621" t="s">
        <v>40</v>
      </c>
      <c r="K2621" s="2" t="s">
        <v>25</v>
      </c>
      <c r="L2621" t="s">
        <v>26</v>
      </c>
      <c r="M2621">
        <v>358133</v>
      </c>
      <c r="N2621">
        <v>1</v>
      </c>
      <c r="O2621" s="3">
        <v>34990</v>
      </c>
      <c r="P2621" s="3">
        <v>14680</v>
      </c>
      <c r="Q2621" s="5">
        <f t="shared" si="120"/>
        <v>29403.361344537818</v>
      </c>
      <c r="R2621" s="5">
        <f t="shared" si="121"/>
        <v>14680</v>
      </c>
      <c r="S2621" s="5">
        <f t="shared" si="122"/>
        <v>14723.361344537818</v>
      </c>
    </row>
    <row r="2622" spans="1:19" hidden="1" x14ac:dyDescent="0.3">
      <c r="A2622">
        <v>150</v>
      </c>
      <c r="B2622" t="s">
        <v>4361</v>
      </c>
      <c r="C2622" t="s">
        <v>4364</v>
      </c>
      <c r="D2622" s="2" t="s">
        <v>4365</v>
      </c>
      <c r="E2622" t="s">
        <v>2515</v>
      </c>
      <c r="F2622" t="s">
        <v>20</v>
      </c>
      <c r="G2622" t="s">
        <v>338</v>
      </c>
      <c r="H2622">
        <v>23603</v>
      </c>
      <c r="I2622" t="s">
        <v>23</v>
      </c>
      <c r="J2622" t="s">
        <v>40</v>
      </c>
      <c r="K2622" s="2" t="s">
        <v>25</v>
      </c>
      <c r="L2622" t="s">
        <v>26</v>
      </c>
      <c r="M2622">
        <v>358133</v>
      </c>
      <c r="N2622">
        <v>1</v>
      </c>
      <c r="O2622" s="3">
        <v>49990</v>
      </c>
      <c r="P2622" s="3">
        <v>22607</v>
      </c>
      <c r="Q2622" s="5">
        <f t="shared" si="120"/>
        <v>42008.403361344543</v>
      </c>
      <c r="R2622" s="5">
        <f t="shared" si="121"/>
        <v>22607</v>
      </c>
      <c r="S2622" s="5">
        <f t="shared" si="122"/>
        <v>19401.403361344543</v>
      </c>
    </row>
    <row r="2623" spans="1:19" hidden="1" x14ac:dyDescent="0.3">
      <c r="A2623">
        <v>150</v>
      </c>
      <c r="B2623" t="s">
        <v>4361</v>
      </c>
      <c r="C2623" t="s">
        <v>700</v>
      </c>
      <c r="D2623" s="2" t="s">
        <v>701</v>
      </c>
      <c r="E2623" t="s">
        <v>702</v>
      </c>
      <c r="F2623" t="s">
        <v>377</v>
      </c>
      <c r="G2623" t="s">
        <v>21</v>
      </c>
      <c r="H2623" t="s">
        <v>378</v>
      </c>
      <c r="I2623" t="s">
        <v>23</v>
      </c>
      <c r="J2623" t="s">
        <v>379</v>
      </c>
      <c r="K2623" s="2" t="s">
        <v>25</v>
      </c>
      <c r="L2623" t="s">
        <v>26</v>
      </c>
      <c r="M2623">
        <v>358133</v>
      </c>
      <c r="N2623">
        <v>1</v>
      </c>
      <c r="O2623" s="3">
        <v>4950</v>
      </c>
      <c r="P2623" s="3">
        <v>2529</v>
      </c>
      <c r="Q2623" s="5">
        <f t="shared" si="120"/>
        <v>4159.6638655462184</v>
      </c>
      <c r="R2623" s="5">
        <f t="shared" si="121"/>
        <v>2529</v>
      </c>
      <c r="S2623" s="5">
        <f t="shared" si="122"/>
        <v>1630.6638655462184</v>
      </c>
    </row>
    <row r="2624" spans="1:19" hidden="1" x14ac:dyDescent="0.3">
      <c r="A2624">
        <v>150</v>
      </c>
      <c r="B2624" t="s">
        <v>4361</v>
      </c>
      <c r="C2624" t="s">
        <v>4366</v>
      </c>
      <c r="D2624" s="2" t="s">
        <v>4367</v>
      </c>
      <c r="E2624" t="s">
        <v>3780</v>
      </c>
      <c r="F2624" t="s">
        <v>20</v>
      </c>
      <c r="G2624" t="s">
        <v>21</v>
      </c>
      <c r="H2624" t="s">
        <v>970</v>
      </c>
      <c r="I2624" t="s">
        <v>23</v>
      </c>
      <c r="J2624" t="s">
        <v>40</v>
      </c>
      <c r="K2624" s="2" t="s">
        <v>25</v>
      </c>
      <c r="L2624" t="s">
        <v>26</v>
      </c>
      <c r="M2624">
        <v>358134</v>
      </c>
      <c r="N2624">
        <v>1</v>
      </c>
      <c r="O2624" s="3">
        <v>59950</v>
      </c>
      <c r="P2624" s="3">
        <v>15928</v>
      </c>
      <c r="Q2624" s="5">
        <f t="shared" si="120"/>
        <v>50378.151260504201</v>
      </c>
      <c r="R2624" s="5">
        <f t="shared" si="121"/>
        <v>15928</v>
      </c>
      <c r="S2624" s="5">
        <f t="shared" si="122"/>
        <v>34450.151260504201</v>
      </c>
    </row>
    <row r="2625" spans="1:19" hidden="1" x14ac:dyDescent="0.3">
      <c r="A2625">
        <v>150</v>
      </c>
      <c r="B2625" t="s">
        <v>4361</v>
      </c>
      <c r="C2625" t="s">
        <v>4368</v>
      </c>
      <c r="D2625" s="2" t="s">
        <v>4369</v>
      </c>
      <c r="E2625" t="s">
        <v>3195</v>
      </c>
      <c r="F2625" t="s">
        <v>20</v>
      </c>
      <c r="G2625" t="s">
        <v>338</v>
      </c>
      <c r="H2625">
        <v>25366</v>
      </c>
      <c r="I2625" t="s">
        <v>23</v>
      </c>
      <c r="J2625" t="s">
        <v>35</v>
      </c>
      <c r="K2625" s="2" t="s">
        <v>25</v>
      </c>
      <c r="L2625" t="s">
        <v>26</v>
      </c>
      <c r="M2625">
        <v>358135</v>
      </c>
      <c r="N2625">
        <v>1</v>
      </c>
      <c r="O2625" s="3">
        <v>99950</v>
      </c>
      <c r="P2625" s="3">
        <v>33157</v>
      </c>
      <c r="Q2625" s="5">
        <f t="shared" si="120"/>
        <v>83991.596638655465</v>
      </c>
      <c r="R2625" s="5">
        <f t="shared" si="121"/>
        <v>33157</v>
      </c>
      <c r="S2625" s="5">
        <f t="shared" si="122"/>
        <v>50834.596638655465</v>
      </c>
    </row>
    <row r="2626" spans="1:19" hidden="1" x14ac:dyDescent="0.3">
      <c r="A2626">
        <v>150</v>
      </c>
      <c r="B2626" t="s">
        <v>4361</v>
      </c>
      <c r="C2626" t="s">
        <v>4370</v>
      </c>
      <c r="D2626" s="2" t="s">
        <v>4371</v>
      </c>
      <c r="E2626" t="s">
        <v>4372</v>
      </c>
      <c r="F2626" t="s">
        <v>20</v>
      </c>
      <c r="G2626" t="s">
        <v>21</v>
      </c>
      <c r="H2626" t="s">
        <v>2821</v>
      </c>
      <c r="I2626" t="s">
        <v>23</v>
      </c>
      <c r="J2626" t="s">
        <v>40</v>
      </c>
      <c r="K2626" s="2" t="s">
        <v>25</v>
      </c>
      <c r="L2626" t="s">
        <v>26</v>
      </c>
      <c r="M2626">
        <v>358135</v>
      </c>
      <c r="N2626">
        <v>1</v>
      </c>
      <c r="O2626" s="3">
        <v>67950</v>
      </c>
      <c r="P2626" s="3">
        <v>32843</v>
      </c>
      <c r="Q2626" s="5">
        <f t="shared" si="120"/>
        <v>57100.840336134454</v>
      </c>
      <c r="R2626" s="5">
        <f t="shared" si="121"/>
        <v>32843</v>
      </c>
      <c r="S2626" s="5">
        <f t="shared" si="122"/>
        <v>24257.840336134454</v>
      </c>
    </row>
    <row r="2627" spans="1:19" hidden="1" x14ac:dyDescent="0.3">
      <c r="A2627">
        <v>150</v>
      </c>
      <c r="B2627" t="s">
        <v>4361</v>
      </c>
      <c r="C2627" t="s">
        <v>4373</v>
      </c>
      <c r="D2627" s="2" t="s">
        <v>4374</v>
      </c>
      <c r="E2627" t="s">
        <v>2629</v>
      </c>
      <c r="F2627" t="s">
        <v>20</v>
      </c>
      <c r="G2627" t="s">
        <v>21</v>
      </c>
      <c r="H2627" t="s">
        <v>1987</v>
      </c>
      <c r="I2627" t="s">
        <v>23</v>
      </c>
      <c r="J2627" t="s">
        <v>49</v>
      </c>
      <c r="K2627" s="2" t="s">
        <v>25</v>
      </c>
      <c r="L2627" t="s">
        <v>26</v>
      </c>
      <c r="M2627">
        <v>358136</v>
      </c>
      <c r="N2627">
        <v>1</v>
      </c>
      <c r="O2627" s="3">
        <v>74950</v>
      </c>
      <c r="P2627" s="3">
        <v>23391</v>
      </c>
      <c r="Q2627" s="5">
        <f t="shared" si="120"/>
        <v>62983.193277310929</v>
      </c>
      <c r="R2627" s="5">
        <f t="shared" si="121"/>
        <v>23391</v>
      </c>
      <c r="S2627" s="5">
        <f t="shared" si="122"/>
        <v>39592.193277310929</v>
      </c>
    </row>
    <row r="2628" spans="1:19" hidden="1" x14ac:dyDescent="0.3">
      <c r="A2628">
        <v>150</v>
      </c>
      <c r="B2628" t="s">
        <v>4361</v>
      </c>
      <c r="C2628" t="s">
        <v>1221</v>
      </c>
      <c r="D2628" s="2" t="s">
        <v>1222</v>
      </c>
      <c r="E2628" t="s">
        <v>1223</v>
      </c>
      <c r="F2628" t="s">
        <v>20</v>
      </c>
      <c r="G2628" t="s">
        <v>21</v>
      </c>
      <c r="H2628" t="s">
        <v>500</v>
      </c>
      <c r="I2628" t="s">
        <v>23</v>
      </c>
      <c r="J2628" t="s">
        <v>40</v>
      </c>
      <c r="K2628" s="2" t="s">
        <v>25</v>
      </c>
      <c r="L2628" t="s">
        <v>26</v>
      </c>
      <c r="M2628">
        <v>358137</v>
      </c>
      <c r="N2628">
        <v>1</v>
      </c>
      <c r="O2628" s="3">
        <v>49990</v>
      </c>
      <c r="P2628" s="3">
        <v>20043</v>
      </c>
      <c r="Q2628" s="5">
        <f t="shared" si="120"/>
        <v>42008.403361344543</v>
      </c>
      <c r="R2628" s="5">
        <f t="shared" si="121"/>
        <v>20043</v>
      </c>
      <c r="S2628" s="5">
        <f t="shared" si="122"/>
        <v>21965.403361344543</v>
      </c>
    </row>
    <row r="2629" spans="1:19" hidden="1" x14ac:dyDescent="0.3">
      <c r="A2629">
        <v>150</v>
      </c>
      <c r="B2629" t="s">
        <v>4361</v>
      </c>
      <c r="C2629" t="s">
        <v>2946</v>
      </c>
      <c r="D2629" s="2" t="s">
        <v>2947</v>
      </c>
      <c r="E2629" t="s">
        <v>1123</v>
      </c>
      <c r="F2629" t="s">
        <v>20</v>
      </c>
      <c r="G2629" t="s">
        <v>21</v>
      </c>
      <c r="H2629" t="s">
        <v>1124</v>
      </c>
      <c r="I2629" t="s">
        <v>23</v>
      </c>
      <c r="J2629" t="s">
        <v>24</v>
      </c>
      <c r="K2629" s="2" t="s">
        <v>25</v>
      </c>
      <c r="L2629" t="s">
        <v>26</v>
      </c>
      <c r="M2629">
        <v>358138</v>
      </c>
      <c r="N2629">
        <v>1</v>
      </c>
      <c r="O2629" s="3">
        <v>74950</v>
      </c>
      <c r="P2629" s="3">
        <v>25857</v>
      </c>
      <c r="Q2629" s="5">
        <f t="shared" si="120"/>
        <v>62983.193277310929</v>
      </c>
      <c r="R2629" s="5">
        <f t="shared" si="121"/>
        <v>25857</v>
      </c>
      <c r="S2629" s="5">
        <f t="shared" si="122"/>
        <v>37126.193277310929</v>
      </c>
    </row>
    <row r="2630" spans="1:19" hidden="1" x14ac:dyDescent="0.3">
      <c r="A2630">
        <v>150</v>
      </c>
      <c r="B2630" t="s">
        <v>4361</v>
      </c>
      <c r="C2630" t="s">
        <v>3912</v>
      </c>
      <c r="D2630" s="2" t="s">
        <v>3913</v>
      </c>
      <c r="E2630" t="s">
        <v>3914</v>
      </c>
      <c r="F2630" t="s">
        <v>20</v>
      </c>
      <c r="G2630" t="s">
        <v>338</v>
      </c>
      <c r="H2630">
        <v>24316</v>
      </c>
      <c r="I2630" t="s">
        <v>23</v>
      </c>
      <c r="J2630" t="s">
        <v>49</v>
      </c>
      <c r="K2630" s="2" t="s">
        <v>25</v>
      </c>
      <c r="L2630" t="s">
        <v>26</v>
      </c>
      <c r="M2630">
        <v>358138</v>
      </c>
      <c r="N2630">
        <v>1</v>
      </c>
      <c r="O2630" s="3">
        <v>74950</v>
      </c>
      <c r="P2630" s="3">
        <v>23473</v>
      </c>
      <c r="Q2630" s="5">
        <f t="shared" ref="Q2630:Q2693" si="123">O2630/1.19</f>
        <v>62983.193277310929</v>
      </c>
      <c r="R2630" s="5">
        <f t="shared" ref="R2630:R2693" si="124">N2630*P2630</f>
        <v>23473</v>
      </c>
      <c r="S2630" s="5">
        <f t="shared" ref="S2630:S2693" si="125">Q2630-R2630</f>
        <v>39510.193277310929</v>
      </c>
    </row>
    <row r="2631" spans="1:19" hidden="1" x14ac:dyDescent="0.3">
      <c r="A2631">
        <v>150</v>
      </c>
      <c r="B2631" t="s">
        <v>4361</v>
      </c>
      <c r="C2631" t="s">
        <v>4375</v>
      </c>
      <c r="D2631" s="2" t="s">
        <v>4376</v>
      </c>
      <c r="E2631" t="s">
        <v>4377</v>
      </c>
      <c r="F2631" t="s">
        <v>377</v>
      </c>
      <c r="G2631" t="s">
        <v>21</v>
      </c>
      <c r="H2631" t="s">
        <v>378</v>
      </c>
      <c r="I2631" t="s">
        <v>23</v>
      </c>
      <c r="J2631" t="s">
        <v>2459</v>
      </c>
      <c r="K2631" s="2" t="s">
        <v>25</v>
      </c>
      <c r="L2631" t="s">
        <v>26</v>
      </c>
      <c r="M2631">
        <v>358139</v>
      </c>
      <c r="N2631">
        <v>1</v>
      </c>
      <c r="O2631" s="3">
        <v>6950</v>
      </c>
      <c r="P2631" s="3">
        <v>3701</v>
      </c>
      <c r="Q2631" s="5">
        <f t="shared" si="123"/>
        <v>5840.3361344537816</v>
      </c>
      <c r="R2631" s="5">
        <f t="shared" si="124"/>
        <v>3701</v>
      </c>
      <c r="S2631" s="5">
        <f t="shared" si="125"/>
        <v>2139.3361344537816</v>
      </c>
    </row>
    <row r="2632" spans="1:19" hidden="1" x14ac:dyDescent="0.3">
      <c r="A2632">
        <v>150</v>
      </c>
      <c r="B2632" t="s">
        <v>4361</v>
      </c>
      <c r="C2632" t="s">
        <v>4378</v>
      </c>
      <c r="D2632" s="2" t="s">
        <v>4379</v>
      </c>
      <c r="E2632" t="s">
        <v>4380</v>
      </c>
      <c r="F2632" t="s">
        <v>20</v>
      </c>
      <c r="G2632" t="s">
        <v>21</v>
      </c>
      <c r="H2632" t="s">
        <v>1286</v>
      </c>
      <c r="I2632" t="s">
        <v>23</v>
      </c>
      <c r="J2632" t="s">
        <v>40</v>
      </c>
      <c r="K2632" s="2" t="s">
        <v>25</v>
      </c>
      <c r="L2632" t="s">
        <v>26</v>
      </c>
      <c r="M2632">
        <v>358140</v>
      </c>
      <c r="N2632">
        <v>1</v>
      </c>
      <c r="O2632" s="3">
        <v>49990</v>
      </c>
      <c r="P2632" s="3">
        <v>24783</v>
      </c>
      <c r="Q2632" s="5">
        <f t="shared" si="123"/>
        <v>42008.403361344543</v>
      </c>
      <c r="R2632" s="5">
        <f t="shared" si="124"/>
        <v>24783</v>
      </c>
      <c r="S2632" s="5">
        <f t="shared" si="125"/>
        <v>17225.403361344543</v>
      </c>
    </row>
    <row r="2633" spans="1:19" hidden="1" x14ac:dyDescent="0.3">
      <c r="A2633">
        <v>150</v>
      </c>
      <c r="B2633" t="s">
        <v>4361</v>
      </c>
      <c r="C2633" t="s">
        <v>2260</v>
      </c>
      <c r="D2633" s="2" t="s">
        <v>2261</v>
      </c>
      <c r="E2633" t="s">
        <v>2262</v>
      </c>
      <c r="F2633" t="s">
        <v>20</v>
      </c>
      <c r="G2633" t="s">
        <v>21</v>
      </c>
      <c r="H2633" t="s">
        <v>565</v>
      </c>
      <c r="I2633" t="s">
        <v>23</v>
      </c>
      <c r="J2633" t="s">
        <v>49</v>
      </c>
      <c r="K2633" s="2" t="s">
        <v>25</v>
      </c>
      <c r="L2633" t="s">
        <v>26</v>
      </c>
      <c r="M2633">
        <v>358141</v>
      </c>
      <c r="N2633">
        <v>1</v>
      </c>
      <c r="O2633" s="3">
        <v>69950</v>
      </c>
      <c r="P2633" s="3">
        <v>23775</v>
      </c>
      <c r="Q2633" s="5">
        <f t="shared" si="123"/>
        <v>58781.512605042022</v>
      </c>
      <c r="R2633" s="5">
        <f t="shared" si="124"/>
        <v>23775</v>
      </c>
      <c r="S2633" s="5">
        <f t="shared" si="125"/>
        <v>35006.512605042022</v>
      </c>
    </row>
    <row r="2634" spans="1:19" hidden="1" x14ac:dyDescent="0.3">
      <c r="A2634">
        <v>150</v>
      </c>
      <c r="B2634" t="s">
        <v>4361</v>
      </c>
      <c r="C2634" t="s">
        <v>4381</v>
      </c>
      <c r="D2634" s="2" t="s">
        <v>4382</v>
      </c>
      <c r="E2634" t="s">
        <v>2758</v>
      </c>
      <c r="F2634" t="s">
        <v>20</v>
      </c>
      <c r="G2634" t="s">
        <v>21</v>
      </c>
      <c r="H2634" t="s">
        <v>2759</v>
      </c>
      <c r="I2634" t="s">
        <v>23</v>
      </c>
      <c r="J2634" t="s">
        <v>49</v>
      </c>
      <c r="K2634" s="2" t="s">
        <v>25</v>
      </c>
      <c r="L2634" t="s">
        <v>26</v>
      </c>
      <c r="M2634">
        <v>358141</v>
      </c>
      <c r="N2634">
        <v>1</v>
      </c>
      <c r="O2634" s="3">
        <v>79950</v>
      </c>
      <c r="P2634" s="3">
        <v>33450</v>
      </c>
      <c r="Q2634" s="5">
        <f t="shared" si="123"/>
        <v>67184.873949579836</v>
      </c>
      <c r="R2634" s="5">
        <f t="shared" si="124"/>
        <v>33450</v>
      </c>
      <c r="S2634" s="5">
        <f t="shared" si="125"/>
        <v>33734.873949579836</v>
      </c>
    </row>
    <row r="2635" spans="1:19" hidden="1" x14ac:dyDescent="0.3">
      <c r="A2635">
        <v>150</v>
      </c>
      <c r="B2635" t="s">
        <v>4361</v>
      </c>
      <c r="C2635" t="s">
        <v>4383</v>
      </c>
      <c r="D2635" s="2" t="s">
        <v>4384</v>
      </c>
      <c r="E2635" t="s">
        <v>2795</v>
      </c>
      <c r="F2635" t="s">
        <v>20</v>
      </c>
      <c r="G2635" t="s">
        <v>21</v>
      </c>
      <c r="H2635" t="s">
        <v>57</v>
      </c>
      <c r="I2635" t="s">
        <v>23</v>
      </c>
      <c r="J2635" t="s">
        <v>35</v>
      </c>
      <c r="K2635" s="2" t="s">
        <v>25</v>
      </c>
      <c r="L2635" t="s">
        <v>26</v>
      </c>
      <c r="M2635">
        <v>358142</v>
      </c>
      <c r="N2635">
        <v>1</v>
      </c>
      <c r="O2635" s="3">
        <v>89950</v>
      </c>
      <c r="P2635" s="3">
        <v>31663</v>
      </c>
      <c r="Q2635" s="5">
        <f t="shared" si="123"/>
        <v>75588.23529411765</v>
      </c>
      <c r="R2635" s="5">
        <f t="shared" si="124"/>
        <v>31663</v>
      </c>
      <c r="S2635" s="5">
        <f t="shared" si="125"/>
        <v>43925.23529411765</v>
      </c>
    </row>
    <row r="2636" spans="1:19" hidden="1" x14ac:dyDescent="0.3">
      <c r="A2636">
        <v>150</v>
      </c>
      <c r="B2636" t="s">
        <v>4361</v>
      </c>
      <c r="C2636" t="s">
        <v>4385</v>
      </c>
      <c r="D2636" s="2" t="s">
        <v>4386</v>
      </c>
      <c r="E2636" t="s">
        <v>609</v>
      </c>
      <c r="F2636" t="s">
        <v>20</v>
      </c>
      <c r="G2636" t="s">
        <v>21</v>
      </c>
      <c r="H2636" t="s">
        <v>610</v>
      </c>
      <c r="I2636" t="s">
        <v>23</v>
      </c>
      <c r="J2636" t="s">
        <v>40</v>
      </c>
      <c r="K2636" s="2" t="s">
        <v>25</v>
      </c>
      <c r="L2636" t="s">
        <v>26</v>
      </c>
      <c r="M2636">
        <v>358143</v>
      </c>
      <c r="N2636">
        <v>1</v>
      </c>
      <c r="O2636" s="3">
        <v>34990</v>
      </c>
      <c r="P2636" s="3">
        <v>14680</v>
      </c>
      <c r="Q2636" s="5">
        <f t="shared" si="123"/>
        <v>29403.361344537818</v>
      </c>
      <c r="R2636" s="5">
        <f t="shared" si="124"/>
        <v>14680</v>
      </c>
      <c r="S2636" s="5">
        <f t="shared" si="125"/>
        <v>14723.361344537818</v>
      </c>
    </row>
    <row r="2637" spans="1:19" hidden="1" x14ac:dyDescent="0.3">
      <c r="A2637">
        <v>150</v>
      </c>
      <c r="B2637" t="s">
        <v>4361</v>
      </c>
      <c r="C2637" t="s">
        <v>4387</v>
      </c>
      <c r="D2637" s="2" t="s">
        <v>4388</v>
      </c>
      <c r="E2637" t="s">
        <v>3068</v>
      </c>
      <c r="F2637" t="s">
        <v>20</v>
      </c>
      <c r="G2637" t="s">
        <v>21</v>
      </c>
      <c r="H2637" t="s">
        <v>1286</v>
      </c>
      <c r="I2637" t="s">
        <v>23</v>
      </c>
      <c r="J2637" t="s">
        <v>40</v>
      </c>
      <c r="K2637" s="2" t="s">
        <v>25</v>
      </c>
      <c r="L2637" t="s">
        <v>26</v>
      </c>
      <c r="M2637">
        <v>358143</v>
      </c>
      <c r="N2637">
        <v>1</v>
      </c>
      <c r="O2637" s="3">
        <v>69950</v>
      </c>
      <c r="P2637" s="3">
        <v>19604</v>
      </c>
      <c r="Q2637" s="5">
        <f t="shared" si="123"/>
        <v>58781.512605042022</v>
      </c>
      <c r="R2637" s="5">
        <f t="shared" si="124"/>
        <v>19604</v>
      </c>
      <c r="S2637" s="5">
        <f t="shared" si="125"/>
        <v>39177.512605042022</v>
      </c>
    </row>
    <row r="2638" spans="1:19" hidden="1" x14ac:dyDescent="0.3">
      <c r="A2638">
        <v>150</v>
      </c>
      <c r="B2638" t="s">
        <v>4361</v>
      </c>
      <c r="C2638" t="s">
        <v>2599</v>
      </c>
      <c r="D2638" s="2" t="s">
        <v>2600</v>
      </c>
      <c r="E2638" t="s">
        <v>2601</v>
      </c>
      <c r="F2638" t="s">
        <v>20</v>
      </c>
      <c r="G2638" t="s">
        <v>21</v>
      </c>
      <c r="H2638" t="s">
        <v>783</v>
      </c>
      <c r="I2638" t="s">
        <v>23</v>
      </c>
      <c r="J2638" t="s">
        <v>40</v>
      </c>
      <c r="K2638" s="2" t="s">
        <v>25</v>
      </c>
      <c r="L2638" t="s">
        <v>26</v>
      </c>
      <c r="M2638">
        <v>358144</v>
      </c>
      <c r="N2638">
        <v>1</v>
      </c>
      <c r="O2638" s="3">
        <v>54950</v>
      </c>
      <c r="P2638" s="3">
        <v>19451</v>
      </c>
      <c r="Q2638" s="5">
        <f t="shared" si="123"/>
        <v>46176.470588235294</v>
      </c>
      <c r="R2638" s="5">
        <f t="shared" si="124"/>
        <v>19451</v>
      </c>
      <c r="S2638" s="5">
        <f t="shared" si="125"/>
        <v>26725.470588235294</v>
      </c>
    </row>
    <row r="2639" spans="1:19" hidden="1" x14ac:dyDescent="0.3">
      <c r="A2639">
        <v>150</v>
      </c>
      <c r="B2639" t="s">
        <v>4361</v>
      </c>
      <c r="C2639" t="s">
        <v>3037</v>
      </c>
      <c r="D2639" s="2" t="s">
        <v>3038</v>
      </c>
      <c r="E2639" t="s">
        <v>1404</v>
      </c>
      <c r="F2639" t="s">
        <v>20</v>
      </c>
      <c r="G2639" t="s">
        <v>21</v>
      </c>
      <c r="H2639" t="s">
        <v>1405</v>
      </c>
      <c r="I2639" t="s">
        <v>23</v>
      </c>
      <c r="J2639" t="s">
        <v>40</v>
      </c>
      <c r="K2639" s="2" t="s">
        <v>25</v>
      </c>
      <c r="L2639" t="s">
        <v>26</v>
      </c>
      <c r="M2639">
        <v>358144</v>
      </c>
      <c r="N2639">
        <v>1</v>
      </c>
      <c r="O2639" s="3">
        <v>49950</v>
      </c>
      <c r="P2639" s="3">
        <v>13302</v>
      </c>
      <c r="Q2639" s="5">
        <f t="shared" si="123"/>
        <v>41974.789915966387</v>
      </c>
      <c r="R2639" s="5">
        <f t="shared" si="124"/>
        <v>13302</v>
      </c>
      <c r="S2639" s="5">
        <f t="shared" si="125"/>
        <v>28672.789915966387</v>
      </c>
    </row>
    <row r="2640" spans="1:19" hidden="1" x14ac:dyDescent="0.3">
      <c r="A2640">
        <v>150</v>
      </c>
      <c r="B2640" t="s">
        <v>4361</v>
      </c>
      <c r="C2640" t="s">
        <v>4389</v>
      </c>
      <c r="D2640" s="2" t="s">
        <v>4390</v>
      </c>
      <c r="E2640" t="s">
        <v>4391</v>
      </c>
      <c r="F2640" t="s">
        <v>20</v>
      </c>
      <c r="G2640" t="s">
        <v>21</v>
      </c>
      <c r="H2640" t="s">
        <v>295</v>
      </c>
      <c r="I2640" t="s">
        <v>23</v>
      </c>
      <c r="J2640" t="s">
        <v>40</v>
      </c>
      <c r="K2640" s="2" t="s">
        <v>25</v>
      </c>
      <c r="L2640" t="s">
        <v>26</v>
      </c>
      <c r="M2640">
        <v>358145</v>
      </c>
      <c r="N2640">
        <v>1</v>
      </c>
      <c r="O2640" s="3">
        <v>79950</v>
      </c>
      <c r="P2640" s="3">
        <v>26951</v>
      </c>
      <c r="Q2640" s="5">
        <f t="shared" si="123"/>
        <v>67184.873949579836</v>
      </c>
      <c r="R2640" s="5">
        <f t="shared" si="124"/>
        <v>26951</v>
      </c>
      <c r="S2640" s="5">
        <f t="shared" si="125"/>
        <v>40233.873949579836</v>
      </c>
    </row>
    <row r="2641" spans="1:19" hidden="1" x14ac:dyDescent="0.3">
      <c r="A2641">
        <v>150</v>
      </c>
      <c r="B2641" t="s">
        <v>4361</v>
      </c>
      <c r="C2641" t="s">
        <v>3178</v>
      </c>
      <c r="D2641" s="2" t="s">
        <v>3179</v>
      </c>
      <c r="E2641" t="s">
        <v>3180</v>
      </c>
      <c r="F2641" t="s">
        <v>20</v>
      </c>
      <c r="G2641" t="s">
        <v>338</v>
      </c>
      <c r="H2641">
        <v>23313</v>
      </c>
      <c r="I2641" t="s">
        <v>23</v>
      </c>
      <c r="J2641" t="s">
        <v>40</v>
      </c>
      <c r="K2641" s="2" t="s">
        <v>25</v>
      </c>
      <c r="L2641" t="s">
        <v>26</v>
      </c>
      <c r="M2641">
        <v>358146</v>
      </c>
      <c r="N2641">
        <v>1</v>
      </c>
      <c r="O2641" s="3">
        <v>69950</v>
      </c>
      <c r="P2641" s="3">
        <v>23533</v>
      </c>
      <c r="Q2641" s="5">
        <f t="shared" si="123"/>
        <v>58781.512605042022</v>
      </c>
      <c r="R2641" s="5">
        <f t="shared" si="124"/>
        <v>23533</v>
      </c>
      <c r="S2641" s="5">
        <f t="shared" si="125"/>
        <v>35248.512605042022</v>
      </c>
    </row>
    <row r="2642" spans="1:19" hidden="1" x14ac:dyDescent="0.3">
      <c r="A2642">
        <v>150</v>
      </c>
      <c r="B2642" t="s">
        <v>4361</v>
      </c>
      <c r="C2642" t="s">
        <v>3912</v>
      </c>
      <c r="D2642" s="2" t="s">
        <v>3913</v>
      </c>
      <c r="E2642" t="s">
        <v>3914</v>
      </c>
      <c r="F2642" t="s">
        <v>20</v>
      </c>
      <c r="G2642" t="s">
        <v>338</v>
      </c>
      <c r="H2642">
        <v>24316</v>
      </c>
      <c r="I2642" t="s">
        <v>23</v>
      </c>
      <c r="J2642" t="s">
        <v>49</v>
      </c>
      <c r="K2642" s="2" t="s">
        <v>25</v>
      </c>
      <c r="L2642" t="s">
        <v>26</v>
      </c>
      <c r="M2642">
        <v>358147</v>
      </c>
      <c r="N2642">
        <v>1</v>
      </c>
      <c r="O2642" s="3">
        <v>74950</v>
      </c>
      <c r="P2642" s="3">
        <v>23473</v>
      </c>
      <c r="Q2642" s="5">
        <f t="shared" si="123"/>
        <v>62983.193277310929</v>
      </c>
      <c r="R2642" s="5">
        <f t="shared" si="124"/>
        <v>23473</v>
      </c>
      <c r="S2642" s="5">
        <f t="shared" si="125"/>
        <v>39510.193277310929</v>
      </c>
    </row>
    <row r="2643" spans="1:19" hidden="1" x14ac:dyDescent="0.3">
      <c r="A2643">
        <v>150</v>
      </c>
      <c r="B2643" t="s">
        <v>4361</v>
      </c>
      <c r="C2643" t="s">
        <v>4392</v>
      </c>
      <c r="D2643" s="2" t="s">
        <v>4393</v>
      </c>
      <c r="E2643" t="s">
        <v>1491</v>
      </c>
      <c r="F2643" t="s">
        <v>20</v>
      </c>
      <c r="G2643" t="s">
        <v>21</v>
      </c>
      <c r="H2643" t="s">
        <v>610</v>
      </c>
      <c r="I2643" t="s">
        <v>23</v>
      </c>
      <c r="J2643" t="s">
        <v>40</v>
      </c>
      <c r="K2643" s="2" t="s">
        <v>25</v>
      </c>
      <c r="L2643" t="s">
        <v>26</v>
      </c>
      <c r="M2643">
        <v>358148</v>
      </c>
      <c r="N2643">
        <v>1</v>
      </c>
      <c r="O2643" s="3">
        <v>34990</v>
      </c>
      <c r="P2643" s="3">
        <v>14680</v>
      </c>
      <c r="Q2643" s="5">
        <f t="shared" si="123"/>
        <v>29403.361344537818</v>
      </c>
      <c r="R2643" s="5">
        <f t="shared" si="124"/>
        <v>14680</v>
      </c>
      <c r="S2643" s="5">
        <f t="shared" si="125"/>
        <v>14723.361344537818</v>
      </c>
    </row>
    <row r="2644" spans="1:19" hidden="1" x14ac:dyDescent="0.3">
      <c r="A2644">
        <v>150</v>
      </c>
      <c r="B2644" t="s">
        <v>4361</v>
      </c>
      <c r="C2644" t="s">
        <v>3131</v>
      </c>
      <c r="D2644" s="2" t="s">
        <v>3132</v>
      </c>
      <c r="E2644" t="s">
        <v>2298</v>
      </c>
      <c r="F2644" t="s">
        <v>20</v>
      </c>
      <c r="G2644" t="s">
        <v>21</v>
      </c>
      <c r="H2644" t="s">
        <v>2189</v>
      </c>
      <c r="I2644" t="s">
        <v>23</v>
      </c>
      <c r="J2644" t="s">
        <v>40</v>
      </c>
      <c r="K2644" s="2" t="s">
        <v>25</v>
      </c>
      <c r="L2644" t="s">
        <v>26</v>
      </c>
      <c r="M2644">
        <v>358149</v>
      </c>
      <c r="N2644">
        <v>1</v>
      </c>
      <c r="O2644" s="3">
        <v>64950</v>
      </c>
      <c r="P2644" s="3">
        <v>20776</v>
      </c>
      <c r="Q2644" s="5">
        <f t="shared" si="123"/>
        <v>54579.831932773115</v>
      </c>
      <c r="R2644" s="5">
        <f t="shared" si="124"/>
        <v>20776</v>
      </c>
      <c r="S2644" s="5">
        <f t="shared" si="125"/>
        <v>33803.831932773115</v>
      </c>
    </row>
    <row r="2645" spans="1:19" hidden="1" x14ac:dyDescent="0.3">
      <c r="A2645">
        <v>150</v>
      </c>
      <c r="B2645" t="s">
        <v>4361</v>
      </c>
      <c r="C2645" t="s">
        <v>4394</v>
      </c>
      <c r="D2645" s="2" t="s">
        <v>4395</v>
      </c>
      <c r="E2645" t="s">
        <v>4396</v>
      </c>
      <c r="F2645" t="s">
        <v>20</v>
      </c>
      <c r="G2645" t="s">
        <v>21</v>
      </c>
      <c r="H2645" t="s">
        <v>2759</v>
      </c>
      <c r="I2645" t="s">
        <v>23</v>
      </c>
      <c r="J2645" t="s">
        <v>49</v>
      </c>
      <c r="K2645" s="2" t="s">
        <v>268</v>
      </c>
      <c r="L2645" t="s">
        <v>2249</v>
      </c>
      <c r="M2645">
        <v>25344</v>
      </c>
      <c r="N2645">
        <v>-1</v>
      </c>
      <c r="O2645" s="3">
        <v>-79950</v>
      </c>
      <c r="P2645" s="3">
        <v>33323</v>
      </c>
      <c r="Q2645" s="5">
        <f t="shared" si="123"/>
        <v>-67184.873949579836</v>
      </c>
      <c r="R2645" s="5">
        <f t="shared" si="124"/>
        <v>-33323</v>
      </c>
      <c r="S2645" s="5">
        <f t="shared" si="125"/>
        <v>-33861.873949579836</v>
      </c>
    </row>
    <row r="2646" spans="1:19" hidden="1" x14ac:dyDescent="0.3">
      <c r="A2646">
        <v>150</v>
      </c>
      <c r="B2646" t="s">
        <v>4361</v>
      </c>
      <c r="C2646" t="s">
        <v>4397</v>
      </c>
      <c r="D2646" s="2" t="s">
        <v>4398</v>
      </c>
      <c r="E2646" t="s">
        <v>2002</v>
      </c>
      <c r="F2646" t="s">
        <v>20</v>
      </c>
      <c r="G2646" t="s">
        <v>338</v>
      </c>
      <c r="H2646">
        <v>25026</v>
      </c>
      <c r="I2646" t="s">
        <v>23</v>
      </c>
      <c r="J2646" t="s">
        <v>35</v>
      </c>
      <c r="K2646" s="2" t="s">
        <v>268</v>
      </c>
      <c r="L2646" t="s">
        <v>26</v>
      </c>
      <c r="M2646">
        <v>358150</v>
      </c>
      <c r="N2646">
        <v>1</v>
      </c>
      <c r="O2646" s="3">
        <v>89950</v>
      </c>
      <c r="P2646" s="3">
        <v>28454</v>
      </c>
      <c r="Q2646" s="5">
        <f t="shared" si="123"/>
        <v>75588.23529411765</v>
      </c>
      <c r="R2646" s="5">
        <f t="shared" si="124"/>
        <v>28454</v>
      </c>
      <c r="S2646" s="5">
        <f t="shared" si="125"/>
        <v>47134.23529411765</v>
      </c>
    </row>
    <row r="2647" spans="1:19" hidden="1" x14ac:dyDescent="0.3">
      <c r="A2647">
        <v>150</v>
      </c>
      <c r="B2647" t="s">
        <v>4361</v>
      </c>
      <c r="C2647" t="s">
        <v>4366</v>
      </c>
      <c r="D2647" s="2" t="s">
        <v>4367</v>
      </c>
      <c r="E2647" t="s">
        <v>3780</v>
      </c>
      <c r="F2647" t="s">
        <v>20</v>
      </c>
      <c r="G2647" t="s">
        <v>21</v>
      </c>
      <c r="H2647" t="s">
        <v>970</v>
      </c>
      <c r="I2647" t="s">
        <v>23</v>
      </c>
      <c r="J2647" t="s">
        <v>40</v>
      </c>
      <c r="K2647" s="2" t="s">
        <v>268</v>
      </c>
      <c r="L2647" t="s">
        <v>26</v>
      </c>
      <c r="M2647">
        <v>358151</v>
      </c>
      <c r="N2647">
        <v>-1</v>
      </c>
      <c r="O2647" s="3">
        <v>-59950</v>
      </c>
      <c r="P2647" s="3">
        <v>15928</v>
      </c>
      <c r="Q2647" s="5">
        <f t="shared" si="123"/>
        <v>-50378.151260504201</v>
      </c>
      <c r="R2647" s="5">
        <f t="shared" si="124"/>
        <v>-15928</v>
      </c>
      <c r="S2647" s="5">
        <f t="shared" si="125"/>
        <v>-34450.151260504201</v>
      </c>
    </row>
    <row r="2648" spans="1:19" hidden="1" x14ac:dyDescent="0.3">
      <c r="A2648">
        <v>150</v>
      </c>
      <c r="B2648" t="s">
        <v>4361</v>
      </c>
      <c r="C2648" t="s">
        <v>3778</v>
      </c>
      <c r="D2648" s="2" t="s">
        <v>3779</v>
      </c>
      <c r="E2648" t="s">
        <v>3780</v>
      </c>
      <c r="F2648" t="s">
        <v>20</v>
      </c>
      <c r="G2648" t="s">
        <v>21</v>
      </c>
      <c r="H2648" t="s">
        <v>970</v>
      </c>
      <c r="I2648" t="s">
        <v>23</v>
      </c>
      <c r="J2648" t="s">
        <v>40</v>
      </c>
      <c r="K2648" s="2" t="s">
        <v>268</v>
      </c>
      <c r="L2648" t="s">
        <v>26</v>
      </c>
      <c r="M2648">
        <v>358151</v>
      </c>
      <c r="N2648">
        <v>1</v>
      </c>
      <c r="O2648" s="3">
        <v>59951</v>
      </c>
      <c r="P2648" s="3">
        <v>15928</v>
      </c>
      <c r="Q2648" s="5">
        <f t="shared" si="123"/>
        <v>50378.991596638654</v>
      </c>
      <c r="R2648" s="5">
        <f t="shared" si="124"/>
        <v>15928</v>
      </c>
      <c r="S2648" s="5">
        <f t="shared" si="125"/>
        <v>34450.991596638654</v>
      </c>
    </row>
    <row r="2649" spans="1:19" hidden="1" x14ac:dyDescent="0.3">
      <c r="A2649">
        <v>150</v>
      </c>
      <c r="B2649" t="s">
        <v>4361</v>
      </c>
      <c r="C2649" t="s">
        <v>4231</v>
      </c>
      <c r="D2649" s="2" t="s">
        <v>4232</v>
      </c>
      <c r="E2649" t="s">
        <v>2844</v>
      </c>
      <c r="F2649" t="s">
        <v>20</v>
      </c>
      <c r="G2649" t="s">
        <v>338</v>
      </c>
      <c r="H2649">
        <v>24722</v>
      </c>
      <c r="I2649" t="s">
        <v>23</v>
      </c>
      <c r="J2649" t="s">
        <v>95</v>
      </c>
      <c r="K2649" s="2" t="s">
        <v>268</v>
      </c>
      <c r="L2649" t="s">
        <v>26</v>
      </c>
      <c r="M2649">
        <v>358152</v>
      </c>
      <c r="N2649">
        <v>1</v>
      </c>
      <c r="O2649" s="3">
        <v>89950</v>
      </c>
      <c r="P2649" s="3">
        <v>30987</v>
      </c>
      <c r="Q2649" s="5">
        <f t="shared" si="123"/>
        <v>75588.23529411765</v>
      </c>
      <c r="R2649" s="5">
        <f t="shared" si="124"/>
        <v>30987</v>
      </c>
      <c r="S2649" s="5">
        <f t="shared" si="125"/>
        <v>44601.23529411765</v>
      </c>
    </row>
    <row r="2650" spans="1:19" hidden="1" x14ac:dyDescent="0.3">
      <c r="A2650">
        <v>150</v>
      </c>
      <c r="B2650" t="s">
        <v>4361</v>
      </c>
      <c r="C2650" t="s">
        <v>2371</v>
      </c>
      <c r="D2650" s="2" t="s">
        <v>2372</v>
      </c>
      <c r="E2650" t="s">
        <v>2373</v>
      </c>
      <c r="F2650" t="s">
        <v>20</v>
      </c>
      <c r="G2650" t="s">
        <v>338</v>
      </c>
      <c r="H2650">
        <v>24239</v>
      </c>
      <c r="I2650" t="s">
        <v>23</v>
      </c>
      <c r="J2650" t="s">
        <v>95</v>
      </c>
      <c r="K2650" s="2" t="s">
        <v>268</v>
      </c>
      <c r="L2650" t="s">
        <v>26</v>
      </c>
      <c r="M2650">
        <v>358153</v>
      </c>
      <c r="N2650">
        <v>1</v>
      </c>
      <c r="O2650" s="3">
        <v>59950</v>
      </c>
      <c r="P2650" s="3">
        <v>18677</v>
      </c>
      <c r="Q2650" s="5">
        <f t="shared" si="123"/>
        <v>50378.151260504201</v>
      </c>
      <c r="R2650" s="5">
        <f t="shared" si="124"/>
        <v>18677</v>
      </c>
      <c r="S2650" s="5">
        <f t="shared" si="125"/>
        <v>31701.151260504201</v>
      </c>
    </row>
    <row r="2651" spans="1:19" hidden="1" x14ac:dyDescent="0.3">
      <c r="A2651">
        <v>150</v>
      </c>
      <c r="B2651" t="s">
        <v>4361</v>
      </c>
      <c r="C2651" t="s">
        <v>4381</v>
      </c>
      <c r="D2651" s="2" t="s">
        <v>4382</v>
      </c>
      <c r="E2651" t="s">
        <v>2758</v>
      </c>
      <c r="F2651" t="s">
        <v>20</v>
      </c>
      <c r="G2651" t="s">
        <v>21</v>
      </c>
      <c r="H2651" t="s">
        <v>2759</v>
      </c>
      <c r="I2651" t="s">
        <v>23</v>
      </c>
      <c r="J2651" t="s">
        <v>49</v>
      </c>
      <c r="K2651" s="2" t="s">
        <v>268</v>
      </c>
      <c r="L2651" t="s">
        <v>26</v>
      </c>
      <c r="M2651">
        <v>358154</v>
      </c>
      <c r="N2651">
        <v>1</v>
      </c>
      <c r="O2651" s="3">
        <v>79950</v>
      </c>
      <c r="P2651" s="3">
        <v>33450</v>
      </c>
      <c r="Q2651" s="5">
        <f t="shared" si="123"/>
        <v>67184.873949579836</v>
      </c>
      <c r="R2651" s="5">
        <f t="shared" si="124"/>
        <v>33450</v>
      </c>
      <c r="S2651" s="5">
        <f t="shared" si="125"/>
        <v>33734.873949579836</v>
      </c>
    </row>
    <row r="2652" spans="1:19" hidden="1" x14ac:dyDescent="0.3">
      <c r="A2652">
        <v>150</v>
      </c>
      <c r="B2652" t="s">
        <v>4361</v>
      </c>
      <c r="C2652" t="s">
        <v>4399</v>
      </c>
      <c r="D2652" s="2" t="s">
        <v>4400</v>
      </c>
      <c r="E2652" t="s">
        <v>3268</v>
      </c>
      <c r="F2652" t="s">
        <v>20</v>
      </c>
      <c r="G2652" t="s">
        <v>21</v>
      </c>
      <c r="H2652" t="s">
        <v>2189</v>
      </c>
      <c r="I2652" t="s">
        <v>23</v>
      </c>
      <c r="J2652" t="s">
        <v>40</v>
      </c>
      <c r="K2652" s="2" t="s">
        <v>268</v>
      </c>
      <c r="L2652" t="s">
        <v>26</v>
      </c>
      <c r="M2652">
        <v>358155</v>
      </c>
      <c r="N2652">
        <v>1</v>
      </c>
      <c r="O2652" s="3">
        <v>74950</v>
      </c>
      <c r="P2652" s="3">
        <v>27727</v>
      </c>
      <c r="Q2652" s="5">
        <f t="shared" si="123"/>
        <v>62983.193277310929</v>
      </c>
      <c r="R2652" s="5">
        <f t="shared" si="124"/>
        <v>27727</v>
      </c>
      <c r="S2652" s="5">
        <f t="shared" si="125"/>
        <v>35256.193277310929</v>
      </c>
    </row>
    <row r="2653" spans="1:19" hidden="1" x14ac:dyDescent="0.3">
      <c r="A2653">
        <v>150</v>
      </c>
      <c r="B2653" t="s">
        <v>4361</v>
      </c>
      <c r="C2653" t="s">
        <v>3356</v>
      </c>
      <c r="D2653" s="2" t="s">
        <v>3357</v>
      </c>
      <c r="E2653" t="s">
        <v>345</v>
      </c>
      <c r="F2653" t="s">
        <v>20</v>
      </c>
      <c r="G2653" t="s">
        <v>21</v>
      </c>
      <c r="H2653" t="s">
        <v>346</v>
      </c>
      <c r="I2653" t="s">
        <v>23</v>
      </c>
      <c r="J2653" t="s">
        <v>49</v>
      </c>
      <c r="K2653" s="2" t="s">
        <v>268</v>
      </c>
      <c r="L2653" t="s">
        <v>26</v>
      </c>
      <c r="M2653">
        <v>358156</v>
      </c>
      <c r="N2653">
        <v>1</v>
      </c>
      <c r="O2653" s="3">
        <v>49990</v>
      </c>
      <c r="P2653" s="3">
        <v>21039</v>
      </c>
      <c r="Q2653" s="5">
        <f t="shared" si="123"/>
        <v>42008.403361344543</v>
      </c>
      <c r="R2653" s="5">
        <f t="shared" si="124"/>
        <v>21039</v>
      </c>
      <c r="S2653" s="5">
        <f t="shared" si="125"/>
        <v>20969.403361344543</v>
      </c>
    </row>
    <row r="2654" spans="1:19" hidden="1" x14ac:dyDescent="0.3">
      <c r="A2654">
        <v>150</v>
      </c>
      <c r="B2654" t="s">
        <v>4361</v>
      </c>
      <c r="C2654" t="s">
        <v>4401</v>
      </c>
      <c r="D2654" s="2" t="s">
        <v>4402</v>
      </c>
      <c r="E2654" t="s">
        <v>4088</v>
      </c>
      <c r="F2654" t="s">
        <v>20</v>
      </c>
      <c r="G2654" t="s">
        <v>21</v>
      </c>
      <c r="H2654" t="s">
        <v>3272</v>
      </c>
      <c r="I2654" t="s">
        <v>23</v>
      </c>
      <c r="J2654" t="s">
        <v>40</v>
      </c>
      <c r="K2654" s="2" t="s">
        <v>268</v>
      </c>
      <c r="L2654" t="s">
        <v>26</v>
      </c>
      <c r="M2654">
        <v>358157</v>
      </c>
      <c r="N2654">
        <v>1</v>
      </c>
      <c r="O2654" s="3">
        <v>59950</v>
      </c>
      <c r="P2654" s="3">
        <v>23104</v>
      </c>
      <c r="Q2654" s="5">
        <f t="shared" si="123"/>
        <v>50378.151260504201</v>
      </c>
      <c r="R2654" s="5">
        <f t="shared" si="124"/>
        <v>23104</v>
      </c>
      <c r="S2654" s="5">
        <f t="shared" si="125"/>
        <v>27274.151260504201</v>
      </c>
    </row>
    <row r="2655" spans="1:19" hidden="1" x14ac:dyDescent="0.3">
      <c r="A2655">
        <v>150</v>
      </c>
      <c r="B2655" t="s">
        <v>4361</v>
      </c>
      <c r="C2655" t="s">
        <v>1175</v>
      </c>
      <c r="D2655" s="2" t="s">
        <v>1176</v>
      </c>
      <c r="E2655" t="s">
        <v>1177</v>
      </c>
      <c r="F2655" t="s">
        <v>20</v>
      </c>
      <c r="G2655" t="s">
        <v>338</v>
      </c>
      <c r="H2655">
        <v>23724</v>
      </c>
      <c r="I2655" t="s">
        <v>23</v>
      </c>
      <c r="J2655" t="s">
        <v>40</v>
      </c>
      <c r="K2655" s="2" t="s">
        <v>268</v>
      </c>
      <c r="L2655" t="s">
        <v>26</v>
      </c>
      <c r="M2655">
        <v>358158</v>
      </c>
      <c r="N2655">
        <v>1</v>
      </c>
      <c r="O2655" s="3">
        <v>79950</v>
      </c>
      <c r="P2655" s="3">
        <v>26165</v>
      </c>
      <c r="Q2655" s="5">
        <f t="shared" si="123"/>
        <v>67184.873949579836</v>
      </c>
      <c r="R2655" s="5">
        <f t="shared" si="124"/>
        <v>26165</v>
      </c>
      <c r="S2655" s="5">
        <f t="shared" si="125"/>
        <v>41019.873949579836</v>
      </c>
    </row>
    <row r="2656" spans="1:19" hidden="1" x14ac:dyDescent="0.3">
      <c r="A2656">
        <v>150</v>
      </c>
      <c r="B2656" t="s">
        <v>4361</v>
      </c>
      <c r="C2656" t="s">
        <v>4403</v>
      </c>
      <c r="D2656" s="2" t="s">
        <v>4404</v>
      </c>
      <c r="E2656" t="s">
        <v>2771</v>
      </c>
      <c r="F2656" t="s">
        <v>20</v>
      </c>
      <c r="G2656" t="s">
        <v>21</v>
      </c>
      <c r="H2656" t="s">
        <v>57</v>
      </c>
      <c r="I2656" t="s">
        <v>23</v>
      </c>
      <c r="J2656" t="s">
        <v>35</v>
      </c>
      <c r="K2656" s="2" t="s">
        <v>268</v>
      </c>
      <c r="L2656" t="s">
        <v>26</v>
      </c>
      <c r="M2656">
        <v>358159</v>
      </c>
      <c r="N2656">
        <v>1</v>
      </c>
      <c r="O2656" s="3">
        <v>89950</v>
      </c>
      <c r="P2656" s="3">
        <v>29189</v>
      </c>
      <c r="Q2656" s="5">
        <f t="shared" si="123"/>
        <v>75588.23529411765</v>
      </c>
      <c r="R2656" s="5">
        <f t="shared" si="124"/>
        <v>29189</v>
      </c>
      <c r="S2656" s="5">
        <f t="shared" si="125"/>
        <v>46399.23529411765</v>
      </c>
    </row>
    <row r="2657" spans="1:19" hidden="1" x14ac:dyDescent="0.3">
      <c r="A2657">
        <v>150</v>
      </c>
      <c r="B2657" t="s">
        <v>4361</v>
      </c>
      <c r="C2657" t="s">
        <v>4405</v>
      </c>
      <c r="D2657" s="2" t="s">
        <v>4406</v>
      </c>
      <c r="E2657" t="s">
        <v>2446</v>
      </c>
      <c r="F2657" t="s">
        <v>20</v>
      </c>
      <c r="G2657" t="s">
        <v>21</v>
      </c>
      <c r="H2657" t="s">
        <v>1286</v>
      </c>
      <c r="I2657" t="s">
        <v>23</v>
      </c>
      <c r="J2657" t="s">
        <v>40</v>
      </c>
      <c r="K2657" s="2" t="s">
        <v>268</v>
      </c>
      <c r="L2657" t="s">
        <v>26</v>
      </c>
      <c r="M2657">
        <v>358160</v>
      </c>
      <c r="N2657">
        <v>1</v>
      </c>
      <c r="O2657" s="3">
        <v>52461</v>
      </c>
      <c r="P2657" s="3">
        <v>19604</v>
      </c>
      <c r="Q2657" s="5">
        <f t="shared" si="123"/>
        <v>44084.873949579836</v>
      </c>
      <c r="R2657" s="5">
        <f t="shared" si="124"/>
        <v>19604</v>
      </c>
      <c r="S2657" s="5">
        <f t="shared" si="125"/>
        <v>24480.873949579836</v>
      </c>
    </row>
    <row r="2658" spans="1:19" hidden="1" x14ac:dyDescent="0.3">
      <c r="A2658">
        <v>150</v>
      </c>
      <c r="B2658" t="s">
        <v>4361</v>
      </c>
      <c r="C2658" t="s">
        <v>4407</v>
      </c>
      <c r="D2658" s="2" t="s">
        <v>4408</v>
      </c>
      <c r="E2658" t="s">
        <v>3068</v>
      </c>
      <c r="F2658" t="s">
        <v>20</v>
      </c>
      <c r="G2658" t="s">
        <v>21</v>
      </c>
      <c r="H2658" t="s">
        <v>1286</v>
      </c>
      <c r="I2658" t="s">
        <v>23</v>
      </c>
      <c r="J2658" t="s">
        <v>40</v>
      </c>
      <c r="K2658" s="2" t="s">
        <v>268</v>
      </c>
      <c r="L2658" t="s">
        <v>26</v>
      </c>
      <c r="M2658">
        <v>358160</v>
      </c>
      <c r="N2658">
        <v>-1</v>
      </c>
      <c r="O2658" s="3">
        <v>-52460</v>
      </c>
      <c r="P2658" s="3">
        <v>19604</v>
      </c>
      <c r="Q2658" s="5">
        <f t="shared" si="123"/>
        <v>-44084.033613445383</v>
      </c>
      <c r="R2658" s="5">
        <f t="shared" si="124"/>
        <v>-19604</v>
      </c>
      <c r="S2658" s="5">
        <f t="shared" si="125"/>
        <v>-24480.033613445383</v>
      </c>
    </row>
    <row r="2659" spans="1:19" hidden="1" x14ac:dyDescent="0.3">
      <c r="A2659">
        <v>150</v>
      </c>
      <c r="B2659" t="s">
        <v>4361</v>
      </c>
      <c r="C2659" t="s">
        <v>4409</v>
      </c>
      <c r="D2659" s="2" t="s">
        <v>4410</v>
      </c>
      <c r="E2659" t="s">
        <v>4411</v>
      </c>
      <c r="F2659" t="s">
        <v>20</v>
      </c>
      <c r="G2659" t="s">
        <v>21</v>
      </c>
      <c r="H2659" t="s">
        <v>614</v>
      </c>
      <c r="I2659" t="s">
        <v>23</v>
      </c>
      <c r="J2659" t="s">
        <v>40</v>
      </c>
      <c r="K2659" s="2" t="s">
        <v>2344</v>
      </c>
      <c r="L2659" t="s">
        <v>26</v>
      </c>
      <c r="M2659">
        <v>358161</v>
      </c>
      <c r="N2659">
        <v>1</v>
      </c>
      <c r="O2659" s="3">
        <v>39990</v>
      </c>
      <c r="P2659" s="3">
        <v>15128</v>
      </c>
      <c r="Q2659" s="5">
        <f t="shared" si="123"/>
        <v>33605.042016806721</v>
      </c>
      <c r="R2659" s="5">
        <f t="shared" si="124"/>
        <v>15128</v>
      </c>
      <c r="S2659" s="5">
        <f t="shared" si="125"/>
        <v>18477.042016806721</v>
      </c>
    </row>
    <row r="2660" spans="1:19" hidden="1" x14ac:dyDescent="0.3">
      <c r="A2660">
        <v>150</v>
      </c>
      <c r="B2660" t="s">
        <v>4361</v>
      </c>
      <c r="C2660" t="s">
        <v>2575</v>
      </c>
      <c r="D2660" s="2" t="s">
        <v>2576</v>
      </c>
      <c r="E2660" t="s">
        <v>2577</v>
      </c>
      <c r="F2660" t="s">
        <v>377</v>
      </c>
      <c r="G2660" t="s">
        <v>21</v>
      </c>
      <c r="H2660" t="s">
        <v>378</v>
      </c>
      <c r="I2660" t="s">
        <v>23</v>
      </c>
      <c r="J2660" t="s">
        <v>379</v>
      </c>
      <c r="K2660" s="2" t="s">
        <v>2344</v>
      </c>
      <c r="L2660" t="s">
        <v>26</v>
      </c>
      <c r="M2660">
        <v>358162</v>
      </c>
      <c r="N2660">
        <v>1</v>
      </c>
      <c r="O2660" s="3">
        <v>5950</v>
      </c>
      <c r="P2660" s="3">
        <v>3307</v>
      </c>
      <c r="Q2660" s="5">
        <f t="shared" si="123"/>
        <v>5000</v>
      </c>
      <c r="R2660" s="5">
        <f t="shared" si="124"/>
        <v>3307</v>
      </c>
      <c r="S2660" s="5">
        <f t="shared" si="125"/>
        <v>1693</v>
      </c>
    </row>
    <row r="2661" spans="1:19" hidden="1" x14ac:dyDescent="0.3">
      <c r="A2661">
        <v>150</v>
      </c>
      <c r="B2661" t="s">
        <v>4361</v>
      </c>
      <c r="C2661" t="s">
        <v>2547</v>
      </c>
      <c r="D2661" s="2" t="s">
        <v>2548</v>
      </c>
      <c r="E2661" t="s">
        <v>2549</v>
      </c>
      <c r="F2661" t="s">
        <v>20</v>
      </c>
      <c r="G2661" t="s">
        <v>338</v>
      </c>
      <c r="H2661">
        <v>23755</v>
      </c>
      <c r="I2661" t="s">
        <v>23</v>
      </c>
      <c r="J2661" t="s">
        <v>40</v>
      </c>
      <c r="K2661" s="2" t="s">
        <v>2344</v>
      </c>
      <c r="L2661" t="s">
        <v>26</v>
      </c>
      <c r="M2661">
        <v>358163</v>
      </c>
      <c r="N2661">
        <v>1</v>
      </c>
      <c r="O2661" s="3">
        <v>74950</v>
      </c>
      <c r="P2661" s="3">
        <v>24718</v>
      </c>
      <c r="Q2661" s="5">
        <f t="shared" si="123"/>
        <v>62983.193277310929</v>
      </c>
      <c r="R2661" s="5">
        <f t="shared" si="124"/>
        <v>24718</v>
      </c>
      <c r="S2661" s="5">
        <f t="shared" si="125"/>
        <v>38265.193277310929</v>
      </c>
    </row>
    <row r="2662" spans="1:19" hidden="1" x14ac:dyDescent="0.3">
      <c r="A2662">
        <v>150</v>
      </c>
      <c r="B2662" t="s">
        <v>4361</v>
      </c>
      <c r="C2662" t="s">
        <v>2547</v>
      </c>
      <c r="D2662" s="2" t="s">
        <v>2548</v>
      </c>
      <c r="E2662" t="s">
        <v>2549</v>
      </c>
      <c r="F2662" t="s">
        <v>20</v>
      </c>
      <c r="G2662" t="s">
        <v>338</v>
      </c>
      <c r="H2662">
        <v>23755</v>
      </c>
      <c r="I2662" t="s">
        <v>23</v>
      </c>
      <c r="J2662" t="s">
        <v>40</v>
      </c>
      <c r="K2662" s="2" t="s">
        <v>2344</v>
      </c>
      <c r="L2662" t="s">
        <v>26</v>
      </c>
      <c r="M2662">
        <v>358164</v>
      </c>
      <c r="N2662">
        <v>-1</v>
      </c>
      <c r="O2662" s="3">
        <v>-74950</v>
      </c>
      <c r="P2662" s="3">
        <v>24718</v>
      </c>
      <c r="Q2662" s="5">
        <f t="shared" si="123"/>
        <v>-62983.193277310929</v>
      </c>
      <c r="R2662" s="5">
        <f t="shared" si="124"/>
        <v>-24718</v>
      </c>
      <c r="S2662" s="5">
        <f t="shared" si="125"/>
        <v>-38265.193277310929</v>
      </c>
    </row>
    <row r="2663" spans="1:19" hidden="1" x14ac:dyDescent="0.3">
      <c r="A2663">
        <v>150</v>
      </c>
      <c r="B2663" t="s">
        <v>4361</v>
      </c>
      <c r="C2663" t="s">
        <v>4412</v>
      </c>
      <c r="D2663" s="2" t="s">
        <v>4413</v>
      </c>
      <c r="E2663" t="s">
        <v>3195</v>
      </c>
      <c r="F2663" t="s">
        <v>20</v>
      </c>
      <c r="G2663" t="s">
        <v>338</v>
      </c>
      <c r="H2663">
        <v>25366</v>
      </c>
      <c r="I2663" t="s">
        <v>23</v>
      </c>
      <c r="J2663" t="s">
        <v>35</v>
      </c>
      <c r="K2663" s="2" t="s">
        <v>2344</v>
      </c>
      <c r="L2663" t="s">
        <v>26</v>
      </c>
      <c r="M2663">
        <v>358164</v>
      </c>
      <c r="N2663">
        <v>1</v>
      </c>
      <c r="O2663" s="3">
        <v>99950</v>
      </c>
      <c r="P2663" s="3">
        <v>33157</v>
      </c>
      <c r="Q2663" s="5">
        <f t="shared" si="123"/>
        <v>83991.596638655465</v>
      </c>
      <c r="R2663" s="5">
        <f t="shared" si="124"/>
        <v>33157</v>
      </c>
      <c r="S2663" s="5">
        <f t="shared" si="125"/>
        <v>50834.596638655465</v>
      </c>
    </row>
    <row r="2664" spans="1:19" hidden="1" x14ac:dyDescent="0.3">
      <c r="A2664">
        <v>150</v>
      </c>
      <c r="B2664" t="s">
        <v>4361</v>
      </c>
      <c r="C2664" t="s">
        <v>4414</v>
      </c>
      <c r="D2664" s="2" t="s">
        <v>4415</v>
      </c>
      <c r="E2664" t="s">
        <v>4416</v>
      </c>
      <c r="F2664" t="s">
        <v>20</v>
      </c>
      <c r="G2664" t="s">
        <v>21</v>
      </c>
      <c r="H2664" t="s">
        <v>4417</v>
      </c>
      <c r="I2664" t="s">
        <v>23</v>
      </c>
      <c r="J2664" t="s">
        <v>49</v>
      </c>
      <c r="K2664" s="2" t="s">
        <v>2344</v>
      </c>
      <c r="L2664" t="s">
        <v>26</v>
      </c>
      <c r="M2664">
        <v>358165</v>
      </c>
      <c r="N2664">
        <v>1</v>
      </c>
      <c r="O2664" s="3">
        <v>84950</v>
      </c>
      <c r="P2664" s="3">
        <v>33489</v>
      </c>
      <c r="Q2664" s="5">
        <f t="shared" si="123"/>
        <v>71386.554621848743</v>
      </c>
      <c r="R2664" s="5">
        <f t="shared" si="124"/>
        <v>33489</v>
      </c>
      <c r="S2664" s="5">
        <f t="shared" si="125"/>
        <v>37897.554621848743</v>
      </c>
    </row>
    <row r="2665" spans="1:19" hidden="1" x14ac:dyDescent="0.3">
      <c r="A2665">
        <v>150</v>
      </c>
      <c r="B2665" t="s">
        <v>4361</v>
      </c>
      <c r="C2665" t="s">
        <v>3023</v>
      </c>
      <c r="D2665" s="2" t="s">
        <v>3024</v>
      </c>
      <c r="E2665" t="s">
        <v>938</v>
      </c>
      <c r="F2665" t="s">
        <v>20</v>
      </c>
      <c r="G2665" t="s">
        <v>21</v>
      </c>
      <c r="H2665" t="s">
        <v>317</v>
      </c>
      <c r="I2665" t="s">
        <v>23</v>
      </c>
      <c r="J2665" t="s">
        <v>35</v>
      </c>
      <c r="K2665" s="2" t="s">
        <v>2344</v>
      </c>
      <c r="L2665" t="s">
        <v>26</v>
      </c>
      <c r="M2665">
        <v>358166</v>
      </c>
      <c r="N2665">
        <v>1</v>
      </c>
      <c r="O2665" s="3">
        <v>69950</v>
      </c>
      <c r="P2665" s="3">
        <v>26455</v>
      </c>
      <c r="Q2665" s="5">
        <f t="shared" si="123"/>
        <v>58781.512605042022</v>
      </c>
      <c r="R2665" s="5">
        <f t="shared" si="124"/>
        <v>26455</v>
      </c>
      <c r="S2665" s="5">
        <f t="shared" si="125"/>
        <v>32326.512605042022</v>
      </c>
    </row>
    <row r="2666" spans="1:19" hidden="1" x14ac:dyDescent="0.3">
      <c r="A2666">
        <v>150</v>
      </c>
      <c r="B2666" t="s">
        <v>4361</v>
      </c>
      <c r="C2666" t="s">
        <v>4026</v>
      </c>
      <c r="D2666" s="2" t="s">
        <v>4027</v>
      </c>
      <c r="E2666" t="s">
        <v>3837</v>
      </c>
      <c r="F2666" t="s">
        <v>20</v>
      </c>
      <c r="G2666" t="s">
        <v>21</v>
      </c>
      <c r="H2666" t="s">
        <v>1457</v>
      </c>
      <c r="I2666" t="s">
        <v>23</v>
      </c>
      <c r="J2666" t="s">
        <v>40</v>
      </c>
      <c r="K2666" s="2" t="s">
        <v>2344</v>
      </c>
      <c r="L2666" t="s">
        <v>26</v>
      </c>
      <c r="M2666">
        <v>358167</v>
      </c>
      <c r="N2666">
        <v>1</v>
      </c>
      <c r="O2666" s="3">
        <v>64950</v>
      </c>
      <c r="P2666" s="3">
        <v>18239</v>
      </c>
      <c r="Q2666" s="5">
        <f t="shared" si="123"/>
        <v>54579.831932773115</v>
      </c>
      <c r="R2666" s="5">
        <f t="shared" si="124"/>
        <v>18239</v>
      </c>
      <c r="S2666" s="5">
        <f t="shared" si="125"/>
        <v>36340.831932773115</v>
      </c>
    </row>
    <row r="2667" spans="1:19" hidden="1" x14ac:dyDescent="0.3">
      <c r="A2667">
        <v>150</v>
      </c>
      <c r="B2667" t="s">
        <v>4361</v>
      </c>
      <c r="C2667" t="s">
        <v>3687</v>
      </c>
      <c r="D2667" s="2" t="s">
        <v>3688</v>
      </c>
      <c r="E2667" t="s">
        <v>2902</v>
      </c>
      <c r="F2667" t="s">
        <v>20</v>
      </c>
      <c r="G2667" t="s">
        <v>21</v>
      </c>
      <c r="H2667" t="s">
        <v>267</v>
      </c>
      <c r="I2667" t="s">
        <v>23</v>
      </c>
      <c r="J2667" t="s">
        <v>49</v>
      </c>
      <c r="K2667" s="2" t="s">
        <v>2344</v>
      </c>
      <c r="L2667" t="s">
        <v>26</v>
      </c>
      <c r="M2667">
        <v>358168</v>
      </c>
      <c r="N2667">
        <v>1</v>
      </c>
      <c r="O2667" s="3">
        <v>64950</v>
      </c>
      <c r="P2667" s="3">
        <v>24504</v>
      </c>
      <c r="Q2667" s="5">
        <f t="shared" si="123"/>
        <v>54579.831932773115</v>
      </c>
      <c r="R2667" s="5">
        <f t="shared" si="124"/>
        <v>24504</v>
      </c>
      <c r="S2667" s="5">
        <f t="shared" si="125"/>
        <v>30075.831932773115</v>
      </c>
    </row>
    <row r="2668" spans="1:19" hidden="1" x14ac:dyDescent="0.3">
      <c r="A2668">
        <v>150</v>
      </c>
      <c r="B2668" t="s">
        <v>4361</v>
      </c>
      <c r="C2668" t="s">
        <v>3211</v>
      </c>
      <c r="D2668" s="2" t="s">
        <v>3212</v>
      </c>
      <c r="E2668" t="s">
        <v>3213</v>
      </c>
      <c r="F2668" t="s">
        <v>377</v>
      </c>
      <c r="G2668" t="s">
        <v>21</v>
      </c>
      <c r="H2668" t="s">
        <v>378</v>
      </c>
      <c r="I2668" t="s">
        <v>23</v>
      </c>
      <c r="J2668" t="s">
        <v>2459</v>
      </c>
      <c r="K2668" s="2" t="s">
        <v>2344</v>
      </c>
      <c r="L2668" t="s">
        <v>26</v>
      </c>
      <c r="M2668">
        <v>358169</v>
      </c>
      <c r="N2668">
        <v>1</v>
      </c>
      <c r="O2668" s="3">
        <v>6950</v>
      </c>
      <c r="P2668" s="3">
        <v>3751</v>
      </c>
      <c r="Q2668" s="5">
        <f t="shared" si="123"/>
        <v>5840.3361344537816</v>
      </c>
      <c r="R2668" s="5">
        <f t="shared" si="124"/>
        <v>3751</v>
      </c>
      <c r="S2668" s="5">
        <f t="shared" si="125"/>
        <v>2089.3361344537816</v>
      </c>
    </row>
    <row r="2669" spans="1:19" hidden="1" x14ac:dyDescent="0.3">
      <c r="A2669">
        <v>150</v>
      </c>
      <c r="B2669" t="s">
        <v>4361</v>
      </c>
      <c r="C2669" t="s">
        <v>4418</v>
      </c>
      <c r="D2669" s="2" t="s">
        <v>4419</v>
      </c>
      <c r="E2669" t="s">
        <v>2262</v>
      </c>
      <c r="F2669" t="s">
        <v>20</v>
      </c>
      <c r="G2669" t="s">
        <v>21</v>
      </c>
      <c r="H2669" t="s">
        <v>565</v>
      </c>
      <c r="I2669" t="s">
        <v>23</v>
      </c>
      <c r="J2669" t="s">
        <v>49</v>
      </c>
      <c r="K2669" s="2" t="s">
        <v>2344</v>
      </c>
      <c r="L2669" t="s">
        <v>26</v>
      </c>
      <c r="M2669">
        <v>358170</v>
      </c>
      <c r="N2669">
        <v>1</v>
      </c>
      <c r="O2669" s="3">
        <v>69950</v>
      </c>
      <c r="P2669" s="3">
        <v>24202</v>
      </c>
      <c r="Q2669" s="5">
        <f t="shared" si="123"/>
        <v>58781.512605042022</v>
      </c>
      <c r="R2669" s="5">
        <f t="shared" si="124"/>
        <v>24202</v>
      </c>
      <c r="S2669" s="5">
        <f t="shared" si="125"/>
        <v>34579.512605042022</v>
      </c>
    </row>
    <row r="2670" spans="1:19" hidden="1" x14ac:dyDescent="0.3">
      <c r="A2670">
        <v>150</v>
      </c>
      <c r="B2670" t="s">
        <v>4361</v>
      </c>
      <c r="C2670" t="s">
        <v>4385</v>
      </c>
      <c r="D2670" s="2" t="s">
        <v>4386</v>
      </c>
      <c r="E2670" t="s">
        <v>609</v>
      </c>
      <c r="F2670" t="s">
        <v>20</v>
      </c>
      <c r="G2670" t="s">
        <v>21</v>
      </c>
      <c r="H2670" t="s">
        <v>610</v>
      </c>
      <c r="I2670" t="s">
        <v>23</v>
      </c>
      <c r="J2670" t="s">
        <v>40</v>
      </c>
      <c r="K2670" s="2" t="s">
        <v>2386</v>
      </c>
      <c r="L2670" t="s">
        <v>26</v>
      </c>
      <c r="M2670">
        <v>358171</v>
      </c>
      <c r="N2670">
        <v>1</v>
      </c>
      <c r="O2670" s="3">
        <v>34990</v>
      </c>
      <c r="P2670" s="3">
        <v>14680</v>
      </c>
      <c r="Q2670" s="5">
        <f t="shared" si="123"/>
        <v>29403.361344537818</v>
      </c>
      <c r="R2670" s="5">
        <f t="shared" si="124"/>
        <v>14680</v>
      </c>
      <c r="S2670" s="5">
        <f t="shared" si="125"/>
        <v>14723.361344537818</v>
      </c>
    </row>
    <row r="2671" spans="1:19" hidden="1" x14ac:dyDescent="0.3">
      <c r="A2671">
        <v>150</v>
      </c>
      <c r="B2671" t="s">
        <v>4361</v>
      </c>
      <c r="C2671" t="s">
        <v>4420</v>
      </c>
      <c r="D2671" s="2" t="s">
        <v>4421</v>
      </c>
      <c r="E2671" t="s">
        <v>4422</v>
      </c>
      <c r="F2671" t="s">
        <v>20</v>
      </c>
      <c r="G2671" t="s">
        <v>21</v>
      </c>
      <c r="H2671" t="s">
        <v>346</v>
      </c>
      <c r="I2671" t="s">
        <v>23</v>
      </c>
      <c r="J2671" t="s">
        <v>49</v>
      </c>
      <c r="K2671" s="2" t="s">
        <v>2386</v>
      </c>
      <c r="L2671" t="s">
        <v>26</v>
      </c>
      <c r="M2671">
        <v>358172</v>
      </c>
      <c r="N2671">
        <v>1</v>
      </c>
      <c r="O2671" s="3">
        <v>49990</v>
      </c>
      <c r="P2671" s="3">
        <v>21038</v>
      </c>
      <c r="Q2671" s="5">
        <f t="shared" si="123"/>
        <v>42008.403361344543</v>
      </c>
      <c r="R2671" s="5">
        <f t="shared" si="124"/>
        <v>21038</v>
      </c>
      <c r="S2671" s="5">
        <f t="shared" si="125"/>
        <v>20970.403361344543</v>
      </c>
    </row>
    <row r="2672" spans="1:19" hidden="1" x14ac:dyDescent="0.3">
      <c r="A2672">
        <v>150</v>
      </c>
      <c r="B2672" t="s">
        <v>4361</v>
      </c>
      <c r="C2672" t="s">
        <v>4423</v>
      </c>
      <c r="D2672" s="2" t="s">
        <v>4424</v>
      </c>
      <c r="E2672" t="s">
        <v>4358</v>
      </c>
      <c r="F2672" t="s">
        <v>20</v>
      </c>
      <c r="G2672" t="s">
        <v>21</v>
      </c>
      <c r="H2672" t="s">
        <v>346</v>
      </c>
      <c r="I2672" t="s">
        <v>23</v>
      </c>
      <c r="J2672" t="s">
        <v>49</v>
      </c>
      <c r="K2672" s="2" t="s">
        <v>2386</v>
      </c>
      <c r="L2672" t="s">
        <v>26</v>
      </c>
      <c r="M2672">
        <v>358172</v>
      </c>
      <c r="N2672">
        <v>1</v>
      </c>
      <c r="O2672" s="3">
        <v>49990</v>
      </c>
      <c r="P2672" s="3">
        <v>23224</v>
      </c>
      <c r="Q2672" s="5">
        <f t="shared" si="123"/>
        <v>42008.403361344543</v>
      </c>
      <c r="R2672" s="5">
        <f t="shared" si="124"/>
        <v>23224</v>
      </c>
      <c r="S2672" s="5">
        <f t="shared" si="125"/>
        <v>18784.403361344543</v>
      </c>
    </row>
    <row r="2673" spans="1:19" hidden="1" x14ac:dyDescent="0.3">
      <c r="A2673">
        <v>150</v>
      </c>
      <c r="B2673" t="s">
        <v>4361</v>
      </c>
      <c r="C2673" t="s">
        <v>3973</v>
      </c>
      <c r="D2673" s="2" t="s">
        <v>3974</v>
      </c>
      <c r="E2673" t="s">
        <v>3068</v>
      </c>
      <c r="F2673" t="s">
        <v>20</v>
      </c>
      <c r="G2673" t="s">
        <v>21</v>
      </c>
      <c r="H2673" t="s">
        <v>1286</v>
      </c>
      <c r="I2673" t="s">
        <v>23</v>
      </c>
      <c r="J2673" t="s">
        <v>40</v>
      </c>
      <c r="K2673" s="2" t="s">
        <v>2386</v>
      </c>
      <c r="L2673" t="s">
        <v>26</v>
      </c>
      <c r="M2673">
        <v>358173</v>
      </c>
      <c r="N2673">
        <v>1</v>
      </c>
      <c r="O2673" s="3">
        <v>69950</v>
      </c>
      <c r="P2673" s="3">
        <v>19604</v>
      </c>
      <c r="Q2673" s="5">
        <f t="shared" si="123"/>
        <v>58781.512605042022</v>
      </c>
      <c r="R2673" s="5">
        <f t="shared" si="124"/>
        <v>19604</v>
      </c>
      <c r="S2673" s="5">
        <f t="shared" si="125"/>
        <v>39177.512605042022</v>
      </c>
    </row>
    <row r="2674" spans="1:19" hidden="1" x14ac:dyDescent="0.3">
      <c r="A2674">
        <v>150</v>
      </c>
      <c r="B2674" t="s">
        <v>4361</v>
      </c>
      <c r="C2674" t="s">
        <v>4425</v>
      </c>
      <c r="D2674" s="2" t="s">
        <v>4426</v>
      </c>
      <c r="E2674" t="s">
        <v>2262</v>
      </c>
      <c r="F2674" t="s">
        <v>20</v>
      </c>
      <c r="G2674" t="s">
        <v>21</v>
      </c>
      <c r="H2674" t="s">
        <v>565</v>
      </c>
      <c r="I2674" t="s">
        <v>23</v>
      </c>
      <c r="J2674" t="s">
        <v>49</v>
      </c>
      <c r="K2674" s="2" t="s">
        <v>2386</v>
      </c>
      <c r="L2674" t="s">
        <v>26</v>
      </c>
      <c r="M2674">
        <v>358174</v>
      </c>
      <c r="N2674">
        <v>1</v>
      </c>
      <c r="O2674" s="3">
        <v>69950</v>
      </c>
      <c r="P2674" s="3">
        <v>24012</v>
      </c>
      <c r="Q2674" s="5">
        <f t="shared" si="123"/>
        <v>58781.512605042022</v>
      </c>
      <c r="R2674" s="5">
        <f t="shared" si="124"/>
        <v>24012</v>
      </c>
      <c r="S2674" s="5">
        <f t="shared" si="125"/>
        <v>34769.512605042022</v>
      </c>
    </row>
    <row r="2675" spans="1:19" hidden="1" x14ac:dyDescent="0.3">
      <c r="A2675">
        <v>150</v>
      </c>
      <c r="B2675" t="s">
        <v>4361</v>
      </c>
      <c r="C2675" t="s">
        <v>2525</v>
      </c>
      <c r="D2675" s="2" t="s">
        <v>2526</v>
      </c>
      <c r="E2675" t="s">
        <v>2527</v>
      </c>
      <c r="F2675" t="s">
        <v>377</v>
      </c>
      <c r="G2675" t="s">
        <v>21</v>
      </c>
      <c r="H2675" t="s">
        <v>378</v>
      </c>
      <c r="I2675" t="s">
        <v>23</v>
      </c>
      <c r="J2675" t="s">
        <v>2459</v>
      </c>
      <c r="K2675" s="2" t="s">
        <v>2386</v>
      </c>
      <c r="L2675" t="s">
        <v>26</v>
      </c>
      <c r="M2675">
        <v>358175</v>
      </c>
      <c r="N2675">
        <v>1</v>
      </c>
      <c r="O2675" s="3">
        <v>6950</v>
      </c>
      <c r="P2675" s="3">
        <v>2964</v>
      </c>
      <c r="Q2675" s="5">
        <f t="shared" si="123"/>
        <v>5840.3361344537816</v>
      </c>
      <c r="R2675" s="5">
        <f t="shared" si="124"/>
        <v>2964</v>
      </c>
      <c r="S2675" s="5">
        <f t="shared" si="125"/>
        <v>2876.3361344537816</v>
      </c>
    </row>
    <row r="2676" spans="1:19" hidden="1" x14ac:dyDescent="0.3">
      <c r="A2676">
        <v>150</v>
      </c>
      <c r="B2676" t="s">
        <v>4361</v>
      </c>
      <c r="C2676" t="s">
        <v>4427</v>
      </c>
      <c r="D2676" s="2" t="s">
        <v>4428</v>
      </c>
      <c r="E2676" t="s">
        <v>1986</v>
      </c>
      <c r="F2676" t="s">
        <v>20</v>
      </c>
      <c r="G2676" t="s">
        <v>21</v>
      </c>
      <c r="H2676" t="s">
        <v>1987</v>
      </c>
      <c r="I2676" t="s">
        <v>23</v>
      </c>
      <c r="J2676" t="s">
        <v>49</v>
      </c>
      <c r="K2676" s="2" t="s">
        <v>2386</v>
      </c>
      <c r="L2676" t="s">
        <v>26</v>
      </c>
      <c r="M2676">
        <v>358176</v>
      </c>
      <c r="N2676">
        <v>1</v>
      </c>
      <c r="O2676" s="3">
        <v>74950</v>
      </c>
      <c r="P2676" s="3">
        <v>25014</v>
      </c>
      <c r="Q2676" s="5">
        <f t="shared" si="123"/>
        <v>62983.193277310929</v>
      </c>
      <c r="R2676" s="5">
        <f t="shared" si="124"/>
        <v>25014</v>
      </c>
      <c r="S2676" s="5">
        <f t="shared" si="125"/>
        <v>37969.193277310929</v>
      </c>
    </row>
    <row r="2677" spans="1:19" hidden="1" x14ac:dyDescent="0.3">
      <c r="A2677">
        <v>150</v>
      </c>
      <c r="B2677" t="s">
        <v>4361</v>
      </c>
      <c r="C2677" t="s">
        <v>3431</v>
      </c>
      <c r="D2677" s="2" t="s">
        <v>3432</v>
      </c>
      <c r="E2677" t="s">
        <v>3433</v>
      </c>
      <c r="F2677" t="s">
        <v>20</v>
      </c>
      <c r="G2677" t="s">
        <v>338</v>
      </c>
      <c r="H2677">
        <v>23732</v>
      </c>
      <c r="I2677" t="s">
        <v>23</v>
      </c>
      <c r="J2677" t="s">
        <v>40</v>
      </c>
      <c r="K2677" s="2" t="s">
        <v>2386</v>
      </c>
      <c r="L2677" t="s">
        <v>26</v>
      </c>
      <c r="M2677">
        <v>358176</v>
      </c>
      <c r="N2677">
        <v>-1</v>
      </c>
      <c r="O2677" s="3">
        <v>-59990</v>
      </c>
      <c r="P2677" s="3">
        <v>26539</v>
      </c>
      <c r="Q2677" s="5">
        <f t="shared" si="123"/>
        <v>-50411.764705882357</v>
      </c>
      <c r="R2677" s="5">
        <f t="shared" si="124"/>
        <v>-26539</v>
      </c>
      <c r="S2677" s="5">
        <f t="shared" si="125"/>
        <v>-23872.764705882357</v>
      </c>
    </row>
    <row r="2678" spans="1:19" hidden="1" x14ac:dyDescent="0.3">
      <c r="A2678">
        <v>150</v>
      </c>
      <c r="B2678" t="s">
        <v>4361</v>
      </c>
      <c r="C2678" t="s">
        <v>4378</v>
      </c>
      <c r="D2678" s="2" t="s">
        <v>4379</v>
      </c>
      <c r="E2678" t="s">
        <v>4380</v>
      </c>
      <c r="F2678" t="s">
        <v>20</v>
      </c>
      <c r="G2678" t="s">
        <v>21</v>
      </c>
      <c r="H2678" t="s">
        <v>1286</v>
      </c>
      <c r="I2678" t="s">
        <v>23</v>
      </c>
      <c r="J2678" t="s">
        <v>40</v>
      </c>
      <c r="K2678" s="2" t="s">
        <v>2386</v>
      </c>
      <c r="L2678" t="s">
        <v>26</v>
      </c>
      <c r="M2678">
        <v>358177</v>
      </c>
      <c r="N2678">
        <v>-1</v>
      </c>
      <c r="O2678" s="3">
        <v>-49990</v>
      </c>
      <c r="P2678" s="3">
        <v>24783</v>
      </c>
      <c r="Q2678" s="5">
        <f t="shared" si="123"/>
        <v>-42008.403361344543</v>
      </c>
      <c r="R2678" s="5">
        <f t="shared" si="124"/>
        <v>-24783</v>
      </c>
      <c r="S2678" s="5">
        <f t="shared" si="125"/>
        <v>-17225.403361344543</v>
      </c>
    </row>
    <row r="2679" spans="1:19" hidden="1" x14ac:dyDescent="0.3">
      <c r="A2679">
        <v>150</v>
      </c>
      <c r="B2679" t="s">
        <v>4361</v>
      </c>
      <c r="C2679" t="s">
        <v>3624</v>
      </c>
      <c r="D2679" s="2" t="s">
        <v>3625</v>
      </c>
      <c r="E2679" t="s">
        <v>2586</v>
      </c>
      <c r="F2679" t="s">
        <v>20</v>
      </c>
      <c r="G2679" t="s">
        <v>21</v>
      </c>
      <c r="H2679" t="s">
        <v>600</v>
      </c>
      <c r="I2679" t="s">
        <v>23</v>
      </c>
      <c r="J2679" t="s">
        <v>40</v>
      </c>
      <c r="K2679" s="2" t="s">
        <v>2386</v>
      </c>
      <c r="L2679" t="s">
        <v>26</v>
      </c>
      <c r="M2679">
        <v>358177</v>
      </c>
      <c r="N2679">
        <v>1</v>
      </c>
      <c r="O2679" s="3">
        <v>49991</v>
      </c>
      <c r="P2679" s="3">
        <v>21327</v>
      </c>
      <c r="Q2679" s="5">
        <f t="shared" si="123"/>
        <v>42009.243697478996</v>
      </c>
      <c r="R2679" s="5">
        <f t="shared" si="124"/>
        <v>21327</v>
      </c>
      <c r="S2679" s="5">
        <f t="shared" si="125"/>
        <v>20682.243697478996</v>
      </c>
    </row>
    <row r="2680" spans="1:19" hidden="1" x14ac:dyDescent="0.3">
      <c r="A2680">
        <v>150</v>
      </c>
      <c r="B2680" t="s">
        <v>4361</v>
      </c>
      <c r="C2680" t="s">
        <v>4429</v>
      </c>
      <c r="D2680" s="2" t="s">
        <v>4430</v>
      </c>
      <c r="E2680" t="s">
        <v>2275</v>
      </c>
      <c r="F2680" t="s">
        <v>20</v>
      </c>
      <c r="G2680" t="s">
        <v>21</v>
      </c>
      <c r="H2680" t="s">
        <v>783</v>
      </c>
      <c r="I2680" t="s">
        <v>23</v>
      </c>
      <c r="J2680" t="s">
        <v>40</v>
      </c>
      <c r="K2680" s="2" t="s">
        <v>2386</v>
      </c>
      <c r="L2680" t="s">
        <v>26</v>
      </c>
      <c r="M2680">
        <v>358178</v>
      </c>
      <c r="N2680">
        <v>1</v>
      </c>
      <c r="O2680" s="3">
        <v>34990</v>
      </c>
      <c r="P2680" s="3">
        <v>17194</v>
      </c>
      <c r="Q2680" s="5">
        <f t="shared" si="123"/>
        <v>29403.361344537818</v>
      </c>
      <c r="R2680" s="5">
        <f t="shared" si="124"/>
        <v>17194</v>
      </c>
      <c r="S2680" s="5">
        <f t="shared" si="125"/>
        <v>12209.361344537818</v>
      </c>
    </row>
    <row r="2681" spans="1:19" hidden="1" x14ac:dyDescent="0.3">
      <c r="A2681">
        <v>150</v>
      </c>
      <c r="B2681" t="s">
        <v>4361</v>
      </c>
      <c r="C2681" t="s">
        <v>4431</v>
      </c>
      <c r="D2681" s="2" t="s">
        <v>4432</v>
      </c>
      <c r="E2681" t="s">
        <v>2764</v>
      </c>
      <c r="F2681" t="s">
        <v>20</v>
      </c>
      <c r="G2681" t="s">
        <v>21</v>
      </c>
      <c r="H2681" t="s">
        <v>742</v>
      </c>
      <c r="I2681" t="s">
        <v>23</v>
      </c>
      <c r="J2681" t="s">
        <v>40</v>
      </c>
      <c r="K2681" s="2" t="s">
        <v>2386</v>
      </c>
      <c r="L2681" t="s">
        <v>26</v>
      </c>
      <c r="M2681">
        <v>358179</v>
      </c>
      <c r="N2681">
        <v>1</v>
      </c>
      <c r="O2681" s="3">
        <v>74950</v>
      </c>
      <c r="P2681" s="3">
        <v>22406</v>
      </c>
      <c r="Q2681" s="5">
        <f t="shared" si="123"/>
        <v>62983.193277310929</v>
      </c>
      <c r="R2681" s="5">
        <f t="shared" si="124"/>
        <v>22406</v>
      </c>
      <c r="S2681" s="5">
        <f t="shared" si="125"/>
        <v>40577.193277310929</v>
      </c>
    </row>
    <row r="2682" spans="1:19" hidden="1" x14ac:dyDescent="0.3">
      <c r="A2682">
        <v>150</v>
      </c>
      <c r="B2682" t="s">
        <v>4361</v>
      </c>
      <c r="C2682" t="s">
        <v>3458</v>
      </c>
      <c r="D2682" s="2" t="s">
        <v>3459</v>
      </c>
      <c r="E2682" t="s">
        <v>2844</v>
      </c>
      <c r="F2682" t="s">
        <v>20</v>
      </c>
      <c r="G2682" t="s">
        <v>338</v>
      </c>
      <c r="H2682">
        <v>24722</v>
      </c>
      <c r="I2682" t="s">
        <v>23</v>
      </c>
      <c r="J2682" t="s">
        <v>95</v>
      </c>
      <c r="K2682" s="2" t="s">
        <v>2386</v>
      </c>
      <c r="L2682" t="s">
        <v>26</v>
      </c>
      <c r="M2682">
        <v>358179</v>
      </c>
      <c r="N2682">
        <v>1</v>
      </c>
      <c r="O2682" s="3">
        <v>89950</v>
      </c>
      <c r="P2682" s="3">
        <v>30987</v>
      </c>
      <c r="Q2682" s="5">
        <f t="shared" si="123"/>
        <v>75588.23529411765</v>
      </c>
      <c r="R2682" s="5">
        <f t="shared" si="124"/>
        <v>30987</v>
      </c>
      <c r="S2682" s="5">
        <f t="shared" si="125"/>
        <v>44601.23529411765</v>
      </c>
    </row>
    <row r="2683" spans="1:19" hidden="1" x14ac:dyDescent="0.3">
      <c r="A2683">
        <v>150</v>
      </c>
      <c r="B2683" t="s">
        <v>4361</v>
      </c>
      <c r="C2683" t="s">
        <v>1761</v>
      </c>
      <c r="D2683" s="2" t="s">
        <v>1762</v>
      </c>
      <c r="E2683" t="s">
        <v>1763</v>
      </c>
      <c r="F2683" t="s">
        <v>377</v>
      </c>
      <c r="G2683" t="s">
        <v>21</v>
      </c>
      <c r="H2683" t="s">
        <v>378</v>
      </c>
      <c r="I2683" t="s">
        <v>23</v>
      </c>
      <c r="J2683" t="s">
        <v>379</v>
      </c>
      <c r="K2683" s="2" t="s">
        <v>2386</v>
      </c>
      <c r="L2683" t="s">
        <v>26</v>
      </c>
      <c r="M2683">
        <v>358180</v>
      </c>
      <c r="N2683">
        <v>1</v>
      </c>
      <c r="O2683" s="3">
        <v>5950</v>
      </c>
      <c r="P2683" s="3">
        <v>3279</v>
      </c>
      <c r="Q2683" s="5">
        <f t="shared" si="123"/>
        <v>5000</v>
      </c>
      <c r="R2683" s="5">
        <f t="shared" si="124"/>
        <v>3279</v>
      </c>
      <c r="S2683" s="5">
        <f t="shared" si="125"/>
        <v>1721</v>
      </c>
    </row>
    <row r="2684" spans="1:19" hidden="1" x14ac:dyDescent="0.3">
      <c r="A2684">
        <v>150</v>
      </c>
      <c r="B2684" t="s">
        <v>4361</v>
      </c>
      <c r="C2684" t="s">
        <v>4433</v>
      </c>
      <c r="D2684" s="2" t="s">
        <v>4434</v>
      </c>
      <c r="E2684" t="s">
        <v>4280</v>
      </c>
      <c r="F2684" t="s">
        <v>20</v>
      </c>
      <c r="G2684" t="s">
        <v>21</v>
      </c>
      <c r="H2684" t="s">
        <v>3128</v>
      </c>
      <c r="I2684" t="s">
        <v>23</v>
      </c>
      <c r="J2684" t="s">
        <v>35</v>
      </c>
      <c r="K2684" s="2" t="s">
        <v>2386</v>
      </c>
      <c r="L2684" t="s">
        <v>26</v>
      </c>
      <c r="M2684">
        <v>358181</v>
      </c>
      <c r="N2684">
        <v>1</v>
      </c>
      <c r="O2684" s="3">
        <v>84950</v>
      </c>
      <c r="P2684" s="3">
        <v>29189</v>
      </c>
      <c r="Q2684" s="5">
        <f t="shared" si="123"/>
        <v>71386.554621848743</v>
      </c>
      <c r="R2684" s="5">
        <f t="shared" si="124"/>
        <v>29189</v>
      </c>
      <c r="S2684" s="5">
        <f t="shared" si="125"/>
        <v>42197.554621848743</v>
      </c>
    </row>
    <row r="2685" spans="1:19" hidden="1" x14ac:dyDescent="0.3">
      <c r="A2685">
        <v>150</v>
      </c>
      <c r="B2685" t="s">
        <v>4361</v>
      </c>
      <c r="C2685" t="s">
        <v>2788</v>
      </c>
      <c r="D2685" s="2" t="s">
        <v>2789</v>
      </c>
      <c r="E2685" t="s">
        <v>2790</v>
      </c>
      <c r="F2685" t="s">
        <v>20</v>
      </c>
      <c r="G2685" t="s">
        <v>21</v>
      </c>
      <c r="H2685" t="s">
        <v>2759</v>
      </c>
      <c r="I2685" t="s">
        <v>23</v>
      </c>
      <c r="J2685" t="s">
        <v>35</v>
      </c>
      <c r="K2685" s="2" t="s">
        <v>2386</v>
      </c>
      <c r="L2685" t="s">
        <v>26</v>
      </c>
      <c r="M2685">
        <v>358182</v>
      </c>
      <c r="N2685">
        <v>1</v>
      </c>
      <c r="O2685" s="3">
        <v>89950</v>
      </c>
      <c r="P2685" s="3">
        <v>30972</v>
      </c>
      <c r="Q2685" s="5">
        <f t="shared" si="123"/>
        <v>75588.23529411765</v>
      </c>
      <c r="R2685" s="5">
        <f t="shared" si="124"/>
        <v>30972</v>
      </c>
      <c r="S2685" s="5">
        <f t="shared" si="125"/>
        <v>44616.23529411765</v>
      </c>
    </row>
    <row r="2686" spans="1:19" hidden="1" x14ac:dyDescent="0.3">
      <c r="A2686">
        <v>150</v>
      </c>
      <c r="B2686" t="s">
        <v>4361</v>
      </c>
      <c r="C2686" t="s">
        <v>2365</v>
      </c>
      <c r="D2686" s="2" t="s">
        <v>2366</v>
      </c>
      <c r="E2686" t="s">
        <v>2367</v>
      </c>
      <c r="F2686" t="s">
        <v>377</v>
      </c>
      <c r="G2686" t="s">
        <v>21</v>
      </c>
      <c r="H2686" t="s">
        <v>378</v>
      </c>
      <c r="I2686" t="s">
        <v>23</v>
      </c>
      <c r="J2686" t="s">
        <v>379</v>
      </c>
      <c r="K2686" s="2" t="s">
        <v>2386</v>
      </c>
      <c r="L2686" t="s">
        <v>26</v>
      </c>
      <c r="M2686">
        <v>358182</v>
      </c>
      <c r="N2686">
        <v>1</v>
      </c>
      <c r="O2686" s="3">
        <v>6950</v>
      </c>
      <c r="P2686" s="3">
        <v>3759</v>
      </c>
      <c r="Q2686" s="5">
        <f t="shared" si="123"/>
        <v>5840.3361344537816</v>
      </c>
      <c r="R2686" s="5">
        <f t="shared" si="124"/>
        <v>3759</v>
      </c>
      <c r="S2686" s="5">
        <f t="shared" si="125"/>
        <v>2081.3361344537816</v>
      </c>
    </row>
    <row r="2687" spans="1:19" hidden="1" x14ac:dyDescent="0.3">
      <c r="A2687">
        <v>150</v>
      </c>
      <c r="B2687" t="s">
        <v>4361</v>
      </c>
      <c r="C2687" t="s">
        <v>615</v>
      </c>
      <c r="D2687" s="2" t="s">
        <v>616</v>
      </c>
      <c r="E2687" t="s">
        <v>617</v>
      </c>
      <c r="F2687" t="s">
        <v>20</v>
      </c>
      <c r="G2687" t="s">
        <v>21</v>
      </c>
      <c r="H2687" t="s">
        <v>618</v>
      </c>
      <c r="I2687" t="s">
        <v>23</v>
      </c>
      <c r="J2687" t="s">
        <v>40</v>
      </c>
      <c r="K2687" s="2" t="s">
        <v>2386</v>
      </c>
      <c r="L2687" t="s">
        <v>26</v>
      </c>
      <c r="M2687">
        <v>358183</v>
      </c>
      <c r="N2687">
        <v>1</v>
      </c>
      <c r="O2687" s="3">
        <v>34990</v>
      </c>
      <c r="P2687" s="3">
        <v>16817</v>
      </c>
      <c r="Q2687" s="5">
        <f t="shared" si="123"/>
        <v>29403.361344537818</v>
      </c>
      <c r="R2687" s="5">
        <f t="shared" si="124"/>
        <v>16817</v>
      </c>
      <c r="S2687" s="5">
        <f t="shared" si="125"/>
        <v>12586.361344537818</v>
      </c>
    </row>
    <row r="2688" spans="1:19" hidden="1" x14ac:dyDescent="0.3">
      <c r="A2688">
        <v>150</v>
      </c>
      <c r="B2688" t="s">
        <v>4361</v>
      </c>
      <c r="C2688" t="s">
        <v>4435</v>
      </c>
      <c r="D2688" s="2" t="s">
        <v>4436</v>
      </c>
      <c r="E2688" t="s">
        <v>2671</v>
      </c>
      <c r="F2688" t="s">
        <v>20</v>
      </c>
      <c r="G2688" t="s">
        <v>21</v>
      </c>
      <c r="H2688" t="s">
        <v>874</v>
      </c>
      <c r="I2688" t="s">
        <v>23</v>
      </c>
      <c r="J2688" t="s">
        <v>95</v>
      </c>
      <c r="K2688" s="2" t="s">
        <v>2386</v>
      </c>
      <c r="L2688" t="s">
        <v>26</v>
      </c>
      <c r="M2688">
        <v>358184</v>
      </c>
      <c r="N2688">
        <v>1</v>
      </c>
      <c r="O2688" s="3">
        <v>39990</v>
      </c>
      <c r="P2688" s="3">
        <v>20699</v>
      </c>
      <c r="Q2688" s="5">
        <f t="shared" si="123"/>
        <v>33605.042016806721</v>
      </c>
      <c r="R2688" s="5">
        <f t="shared" si="124"/>
        <v>20699</v>
      </c>
      <c r="S2688" s="5">
        <f t="shared" si="125"/>
        <v>12906.042016806721</v>
      </c>
    </row>
    <row r="2689" spans="1:19" hidden="1" x14ac:dyDescent="0.3">
      <c r="A2689">
        <v>150</v>
      </c>
      <c r="B2689" t="s">
        <v>4361</v>
      </c>
      <c r="C2689" t="s">
        <v>4437</v>
      </c>
      <c r="D2689" s="2" t="s">
        <v>4438</v>
      </c>
      <c r="E2689" t="s">
        <v>4411</v>
      </c>
      <c r="F2689" t="s">
        <v>20</v>
      </c>
      <c r="G2689" t="s">
        <v>21</v>
      </c>
      <c r="H2689" t="s">
        <v>614</v>
      </c>
      <c r="I2689" t="s">
        <v>23</v>
      </c>
      <c r="J2689" t="s">
        <v>40</v>
      </c>
      <c r="K2689" s="2" t="s">
        <v>2386</v>
      </c>
      <c r="L2689" t="s">
        <v>26</v>
      </c>
      <c r="M2689">
        <v>358185</v>
      </c>
      <c r="N2689">
        <v>1</v>
      </c>
      <c r="O2689" s="3">
        <v>39990</v>
      </c>
      <c r="P2689" s="3">
        <v>14604</v>
      </c>
      <c r="Q2689" s="5">
        <f t="shared" si="123"/>
        <v>33605.042016806721</v>
      </c>
      <c r="R2689" s="5">
        <f t="shared" si="124"/>
        <v>14604</v>
      </c>
      <c r="S2689" s="5">
        <f t="shared" si="125"/>
        <v>19001.042016806721</v>
      </c>
    </row>
    <row r="2690" spans="1:19" hidden="1" x14ac:dyDescent="0.3">
      <c r="A2690">
        <v>150</v>
      </c>
      <c r="B2690" t="s">
        <v>4361</v>
      </c>
      <c r="C2690" t="s">
        <v>4439</v>
      </c>
      <c r="D2690" s="2" t="s">
        <v>4440</v>
      </c>
      <c r="E2690" t="s">
        <v>957</v>
      </c>
      <c r="F2690" t="s">
        <v>20</v>
      </c>
      <c r="G2690" t="s">
        <v>21</v>
      </c>
      <c r="H2690" t="s">
        <v>958</v>
      </c>
      <c r="I2690" t="s">
        <v>23</v>
      </c>
      <c r="J2690" t="s">
        <v>40</v>
      </c>
      <c r="K2690" s="2" t="s">
        <v>2386</v>
      </c>
      <c r="L2690" t="s">
        <v>26</v>
      </c>
      <c r="M2690">
        <v>358186</v>
      </c>
      <c r="N2690">
        <v>1</v>
      </c>
      <c r="O2690" s="3">
        <v>34990</v>
      </c>
      <c r="P2690" s="3">
        <v>15744</v>
      </c>
      <c r="Q2690" s="5">
        <f t="shared" si="123"/>
        <v>29403.361344537818</v>
      </c>
      <c r="R2690" s="5">
        <f t="shared" si="124"/>
        <v>15744</v>
      </c>
      <c r="S2690" s="5">
        <f t="shared" si="125"/>
        <v>13659.361344537818</v>
      </c>
    </row>
    <row r="2691" spans="1:19" hidden="1" x14ac:dyDescent="0.3">
      <c r="A2691">
        <v>150</v>
      </c>
      <c r="B2691" t="s">
        <v>4361</v>
      </c>
      <c r="C2691" t="s">
        <v>2485</v>
      </c>
      <c r="D2691" s="2" t="s">
        <v>2486</v>
      </c>
      <c r="E2691" t="s">
        <v>2487</v>
      </c>
      <c r="F2691" t="s">
        <v>377</v>
      </c>
      <c r="G2691" t="s">
        <v>21</v>
      </c>
      <c r="H2691" t="s">
        <v>378</v>
      </c>
      <c r="I2691" t="s">
        <v>23</v>
      </c>
      <c r="J2691" t="s">
        <v>379</v>
      </c>
      <c r="K2691" s="2" t="s">
        <v>2386</v>
      </c>
      <c r="L2691" t="s">
        <v>26</v>
      </c>
      <c r="M2691">
        <v>358186</v>
      </c>
      <c r="N2691">
        <v>1</v>
      </c>
      <c r="O2691" s="3">
        <v>5950</v>
      </c>
      <c r="P2691" s="3">
        <v>2243</v>
      </c>
      <c r="Q2691" s="5">
        <f t="shared" si="123"/>
        <v>5000</v>
      </c>
      <c r="R2691" s="5">
        <f t="shared" si="124"/>
        <v>2243</v>
      </c>
      <c r="S2691" s="5">
        <f t="shared" si="125"/>
        <v>2757</v>
      </c>
    </row>
    <row r="2692" spans="1:19" hidden="1" x14ac:dyDescent="0.3">
      <c r="A2692">
        <v>150</v>
      </c>
      <c r="B2692" t="s">
        <v>4361</v>
      </c>
      <c r="C2692" t="s">
        <v>2365</v>
      </c>
      <c r="D2692" s="2" t="s">
        <v>2366</v>
      </c>
      <c r="E2692" t="s">
        <v>2367</v>
      </c>
      <c r="F2692" t="s">
        <v>377</v>
      </c>
      <c r="G2692" t="s">
        <v>21</v>
      </c>
      <c r="H2692" t="s">
        <v>378</v>
      </c>
      <c r="I2692" t="s">
        <v>23</v>
      </c>
      <c r="J2692" t="s">
        <v>379</v>
      </c>
      <c r="K2692" s="2" t="s">
        <v>2470</v>
      </c>
      <c r="L2692" t="s">
        <v>26</v>
      </c>
      <c r="M2692">
        <v>358187</v>
      </c>
      <c r="N2692">
        <v>1</v>
      </c>
      <c r="O2692" s="3">
        <v>6950</v>
      </c>
      <c r="P2692" s="3">
        <v>3759</v>
      </c>
      <c r="Q2692" s="5">
        <f t="shared" si="123"/>
        <v>5840.3361344537816</v>
      </c>
      <c r="R2692" s="5">
        <f t="shared" si="124"/>
        <v>3759</v>
      </c>
      <c r="S2692" s="5">
        <f t="shared" si="125"/>
        <v>2081.3361344537816</v>
      </c>
    </row>
    <row r="2693" spans="1:19" hidden="1" x14ac:dyDescent="0.3">
      <c r="A2693">
        <v>150</v>
      </c>
      <c r="B2693" t="s">
        <v>4361</v>
      </c>
      <c r="C2693" t="s">
        <v>1037</v>
      </c>
      <c r="D2693" s="2" t="s">
        <v>1038</v>
      </c>
      <c r="E2693" t="s">
        <v>1039</v>
      </c>
      <c r="F2693" t="s">
        <v>377</v>
      </c>
      <c r="G2693" t="s">
        <v>21</v>
      </c>
      <c r="H2693" t="s">
        <v>378</v>
      </c>
      <c r="I2693" t="s">
        <v>23</v>
      </c>
      <c r="J2693" t="s">
        <v>379</v>
      </c>
      <c r="K2693" s="2" t="s">
        <v>2470</v>
      </c>
      <c r="L2693" t="s">
        <v>26</v>
      </c>
      <c r="M2693">
        <v>358188</v>
      </c>
      <c r="N2693">
        <v>1</v>
      </c>
      <c r="O2693" s="3">
        <v>5950</v>
      </c>
      <c r="P2693" s="3">
        <v>3257</v>
      </c>
      <c r="Q2693" s="5">
        <f t="shared" si="123"/>
        <v>5000</v>
      </c>
      <c r="R2693" s="5">
        <f t="shared" si="124"/>
        <v>3257</v>
      </c>
      <c r="S2693" s="5">
        <f t="shared" si="125"/>
        <v>1743</v>
      </c>
    </row>
    <row r="2694" spans="1:19" hidden="1" x14ac:dyDescent="0.3">
      <c r="A2694">
        <v>150</v>
      </c>
      <c r="B2694" t="s">
        <v>4361</v>
      </c>
      <c r="C2694" t="s">
        <v>700</v>
      </c>
      <c r="D2694" s="2" t="s">
        <v>701</v>
      </c>
      <c r="E2694" t="s">
        <v>702</v>
      </c>
      <c r="F2694" t="s">
        <v>377</v>
      </c>
      <c r="G2694" t="s">
        <v>21</v>
      </c>
      <c r="H2694" t="s">
        <v>378</v>
      </c>
      <c r="I2694" t="s">
        <v>23</v>
      </c>
      <c r="J2694" t="s">
        <v>379</v>
      </c>
      <c r="K2694" s="2" t="s">
        <v>2470</v>
      </c>
      <c r="L2694" t="s">
        <v>26</v>
      </c>
      <c r="M2694">
        <v>358188</v>
      </c>
      <c r="N2694">
        <v>1</v>
      </c>
      <c r="O2694" s="3">
        <v>4950</v>
      </c>
      <c r="P2694" s="3">
        <v>2529</v>
      </c>
      <c r="Q2694" s="5">
        <f t="shared" ref="Q2694:Q2757" si="126">O2694/1.19</f>
        <v>4159.6638655462184</v>
      </c>
      <c r="R2694" s="5">
        <f t="shared" ref="R2694:R2757" si="127">N2694*P2694</f>
        <v>2529</v>
      </c>
      <c r="S2694" s="5">
        <f t="shared" ref="S2694:S2757" si="128">Q2694-R2694</f>
        <v>1630.6638655462184</v>
      </c>
    </row>
    <row r="2695" spans="1:19" hidden="1" x14ac:dyDescent="0.3">
      <c r="A2695">
        <v>150</v>
      </c>
      <c r="B2695" t="s">
        <v>4361</v>
      </c>
      <c r="C2695" t="s">
        <v>4441</v>
      </c>
      <c r="D2695" s="2" t="s">
        <v>4442</v>
      </c>
      <c r="E2695" t="s">
        <v>1336</v>
      </c>
      <c r="F2695" t="s">
        <v>20</v>
      </c>
      <c r="G2695" t="s">
        <v>21</v>
      </c>
      <c r="H2695" t="s">
        <v>1337</v>
      </c>
      <c r="I2695" t="s">
        <v>23</v>
      </c>
      <c r="J2695" t="s">
        <v>49</v>
      </c>
      <c r="K2695" s="2" t="s">
        <v>2470</v>
      </c>
      <c r="L2695" t="s">
        <v>26</v>
      </c>
      <c r="M2695">
        <v>358189</v>
      </c>
      <c r="N2695">
        <v>1</v>
      </c>
      <c r="O2695" s="3">
        <v>59950</v>
      </c>
      <c r="P2695" s="3">
        <v>19239</v>
      </c>
      <c r="Q2695" s="5">
        <f t="shared" si="126"/>
        <v>50378.151260504201</v>
      </c>
      <c r="R2695" s="5">
        <f t="shared" si="127"/>
        <v>19239</v>
      </c>
      <c r="S2695" s="5">
        <f t="shared" si="128"/>
        <v>31139.151260504201</v>
      </c>
    </row>
    <row r="2696" spans="1:19" hidden="1" x14ac:dyDescent="0.3">
      <c r="A2696">
        <v>150</v>
      </c>
      <c r="B2696" t="s">
        <v>4361</v>
      </c>
      <c r="C2696" t="s">
        <v>4443</v>
      </c>
      <c r="D2696" s="2" t="s">
        <v>4444</v>
      </c>
      <c r="E2696" t="s">
        <v>1137</v>
      </c>
      <c r="F2696" t="s">
        <v>20</v>
      </c>
      <c r="G2696" t="s">
        <v>21</v>
      </c>
      <c r="H2696" t="s">
        <v>224</v>
      </c>
      <c r="I2696" t="s">
        <v>23</v>
      </c>
      <c r="J2696" t="s">
        <v>49</v>
      </c>
      <c r="K2696" s="2" t="s">
        <v>2470</v>
      </c>
      <c r="L2696" t="s">
        <v>26</v>
      </c>
      <c r="M2696">
        <v>358190</v>
      </c>
      <c r="N2696">
        <v>1</v>
      </c>
      <c r="O2696" s="3">
        <v>44991</v>
      </c>
      <c r="P2696" s="3">
        <v>31785</v>
      </c>
      <c r="Q2696" s="5">
        <f t="shared" si="126"/>
        <v>37807.563025210089</v>
      </c>
      <c r="R2696" s="5">
        <f t="shared" si="127"/>
        <v>31785</v>
      </c>
      <c r="S2696" s="5">
        <f t="shared" si="128"/>
        <v>6022.5630252100891</v>
      </c>
    </row>
    <row r="2697" spans="1:19" hidden="1" x14ac:dyDescent="0.3">
      <c r="A2697">
        <v>150</v>
      </c>
      <c r="B2697" t="s">
        <v>4361</v>
      </c>
      <c r="C2697" t="s">
        <v>1135</v>
      </c>
      <c r="D2697" s="2" t="s">
        <v>1136</v>
      </c>
      <c r="E2697" t="s">
        <v>1137</v>
      </c>
      <c r="F2697" t="s">
        <v>20</v>
      </c>
      <c r="G2697" t="s">
        <v>21</v>
      </c>
      <c r="H2697" t="s">
        <v>224</v>
      </c>
      <c r="I2697" t="s">
        <v>23</v>
      </c>
      <c r="J2697" t="s">
        <v>49</v>
      </c>
      <c r="K2697" s="2" t="s">
        <v>2470</v>
      </c>
      <c r="L2697" t="s">
        <v>26</v>
      </c>
      <c r="M2697">
        <v>358190</v>
      </c>
      <c r="N2697">
        <v>-1</v>
      </c>
      <c r="O2697" s="3">
        <v>-44990</v>
      </c>
      <c r="P2697" s="3">
        <v>31921</v>
      </c>
      <c r="Q2697" s="5">
        <f t="shared" si="126"/>
        <v>-37806.722689075636</v>
      </c>
      <c r="R2697" s="5">
        <f t="shared" si="127"/>
        <v>-31921</v>
      </c>
      <c r="S2697" s="5">
        <f t="shared" si="128"/>
        <v>-5885.7226890756356</v>
      </c>
    </row>
    <row r="2698" spans="1:19" hidden="1" x14ac:dyDescent="0.3">
      <c r="A2698">
        <v>150</v>
      </c>
      <c r="B2698" t="s">
        <v>4361</v>
      </c>
      <c r="C2698" t="s">
        <v>4445</v>
      </c>
      <c r="D2698" s="2" t="s">
        <v>4446</v>
      </c>
      <c r="E2698" t="s">
        <v>1981</v>
      </c>
      <c r="F2698" t="s">
        <v>20</v>
      </c>
      <c r="G2698" t="s">
        <v>21</v>
      </c>
      <c r="H2698" t="s">
        <v>48</v>
      </c>
      <c r="I2698" t="s">
        <v>23</v>
      </c>
      <c r="J2698" t="s">
        <v>49</v>
      </c>
      <c r="K2698" s="2" t="s">
        <v>2470</v>
      </c>
      <c r="L2698" t="s">
        <v>26</v>
      </c>
      <c r="M2698">
        <v>358191</v>
      </c>
      <c r="N2698">
        <v>-1</v>
      </c>
      <c r="O2698" s="3">
        <v>-39990</v>
      </c>
      <c r="P2698" s="3">
        <v>24353</v>
      </c>
      <c r="Q2698" s="5">
        <f t="shared" si="126"/>
        <v>-33605.042016806721</v>
      </c>
      <c r="R2698" s="5">
        <f t="shared" si="127"/>
        <v>-24353</v>
      </c>
      <c r="S2698" s="5">
        <f t="shared" si="128"/>
        <v>-9252.0420168067212</v>
      </c>
    </row>
    <row r="2699" spans="1:19" hidden="1" x14ac:dyDescent="0.3">
      <c r="A2699">
        <v>150</v>
      </c>
      <c r="B2699" t="s">
        <v>4361</v>
      </c>
      <c r="C2699" t="s">
        <v>4447</v>
      </c>
      <c r="D2699" s="2" t="s">
        <v>4448</v>
      </c>
      <c r="E2699" t="s">
        <v>2373</v>
      </c>
      <c r="F2699" t="s">
        <v>20</v>
      </c>
      <c r="G2699" t="s">
        <v>338</v>
      </c>
      <c r="H2699">
        <v>24239</v>
      </c>
      <c r="I2699" t="s">
        <v>23</v>
      </c>
      <c r="J2699" t="s">
        <v>95</v>
      </c>
      <c r="K2699" s="2" t="s">
        <v>2470</v>
      </c>
      <c r="L2699" t="s">
        <v>26</v>
      </c>
      <c r="M2699">
        <v>358191</v>
      </c>
      <c r="N2699">
        <v>1</v>
      </c>
      <c r="O2699" s="3">
        <v>59950</v>
      </c>
      <c r="P2699" s="3">
        <v>18677</v>
      </c>
      <c r="Q2699" s="5">
        <f t="shared" si="126"/>
        <v>50378.151260504201</v>
      </c>
      <c r="R2699" s="5">
        <f t="shared" si="127"/>
        <v>18677</v>
      </c>
      <c r="S2699" s="5">
        <f t="shared" si="128"/>
        <v>31701.151260504201</v>
      </c>
    </row>
    <row r="2700" spans="1:19" hidden="1" x14ac:dyDescent="0.3">
      <c r="A2700">
        <v>150</v>
      </c>
      <c r="B2700" t="s">
        <v>4361</v>
      </c>
      <c r="C2700" t="s">
        <v>1368</v>
      </c>
      <c r="D2700" s="2" t="s">
        <v>1369</v>
      </c>
      <c r="E2700" t="s">
        <v>1171</v>
      </c>
      <c r="F2700" t="s">
        <v>20</v>
      </c>
      <c r="G2700" t="s">
        <v>21</v>
      </c>
      <c r="H2700" t="s">
        <v>500</v>
      </c>
      <c r="I2700" t="s">
        <v>23</v>
      </c>
      <c r="J2700" t="s">
        <v>40</v>
      </c>
      <c r="K2700" s="2" t="s">
        <v>2470</v>
      </c>
      <c r="L2700" t="s">
        <v>26</v>
      </c>
      <c r="M2700">
        <v>358192</v>
      </c>
      <c r="N2700">
        <v>1</v>
      </c>
      <c r="O2700" s="3">
        <v>59950</v>
      </c>
      <c r="P2700" s="3">
        <v>17416</v>
      </c>
      <c r="Q2700" s="5">
        <f t="shared" si="126"/>
        <v>50378.151260504201</v>
      </c>
      <c r="R2700" s="5">
        <f t="shared" si="127"/>
        <v>17416</v>
      </c>
      <c r="S2700" s="5">
        <f t="shared" si="128"/>
        <v>32962.151260504201</v>
      </c>
    </row>
    <row r="2701" spans="1:19" hidden="1" x14ac:dyDescent="0.3">
      <c r="A2701">
        <v>150</v>
      </c>
      <c r="B2701" t="s">
        <v>4361</v>
      </c>
      <c r="C2701" t="s">
        <v>4449</v>
      </c>
      <c r="D2701" s="2" t="s">
        <v>4450</v>
      </c>
      <c r="E2701" t="s">
        <v>3415</v>
      </c>
      <c r="F2701" t="s">
        <v>20</v>
      </c>
      <c r="G2701" t="s">
        <v>21</v>
      </c>
      <c r="H2701" t="s">
        <v>2745</v>
      </c>
      <c r="I2701" t="s">
        <v>23</v>
      </c>
      <c r="J2701" t="s">
        <v>35</v>
      </c>
      <c r="K2701" s="2" t="s">
        <v>2470</v>
      </c>
      <c r="L2701" t="s">
        <v>26</v>
      </c>
      <c r="M2701">
        <v>358193</v>
      </c>
      <c r="N2701">
        <v>1</v>
      </c>
      <c r="O2701" s="3">
        <v>99950</v>
      </c>
      <c r="P2701" s="3">
        <v>33200</v>
      </c>
      <c r="Q2701" s="5">
        <f t="shared" si="126"/>
        <v>83991.596638655465</v>
      </c>
      <c r="R2701" s="5">
        <f t="shared" si="127"/>
        <v>33200</v>
      </c>
      <c r="S2701" s="5">
        <f t="shared" si="128"/>
        <v>50791.596638655465</v>
      </c>
    </row>
    <row r="2702" spans="1:19" hidden="1" x14ac:dyDescent="0.3">
      <c r="A2702">
        <v>150</v>
      </c>
      <c r="B2702" t="s">
        <v>4361</v>
      </c>
      <c r="C2702" t="s">
        <v>4451</v>
      </c>
      <c r="D2702" s="2" t="s">
        <v>4452</v>
      </c>
      <c r="E2702" t="s">
        <v>4077</v>
      </c>
      <c r="F2702" t="s">
        <v>20</v>
      </c>
      <c r="G2702" t="s">
        <v>338</v>
      </c>
      <c r="H2702">
        <v>84316</v>
      </c>
      <c r="I2702" t="s">
        <v>23</v>
      </c>
      <c r="J2702" t="s">
        <v>49</v>
      </c>
      <c r="K2702" s="2" t="s">
        <v>2470</v>
      </c>
      <c r="L2702" t="s">
        <v>26</v>
      </c>
      <c r="M2702">
        <v>358194</v>
      </c>
      <c r="N2702">
        <v>1</v>
      </c>
      <c r="O2702" s="3">
        <v>89950</v>
      </c>
      <c r="P2702" s="3">
        <v>31128</v>
      </c>
      <c r="Q2702" s="5">
        <f t="shared" si="126"/>
        <v>75588.23529411765</v>
      </c>
      <c r="R2702" s="5">
        <f t="shared" si="127"/>
        <v>31128</v>
      </c>
      <c r="S2702" s="5">
        <f t="shared" si="128"/>
        <v>44460.23529411765</v>
      </c>
    </row>
    <row r="2703" spans="1:19" hidden="1" x14ac:dyDescent="0.3">
      <c r="A2703">
        <v>150</v>
      </c>
      <c r="B2703" t="s">
        <v>4361</v>
      </c>
      <c r="C2703" t="s">
        <v>4239</v>
      </c>
      <c r="D2703" s="2" t="s">
        <v>4240</v>
      </c>
      <c r="E2703" t="s">
        <v>2539</v>
      </c>
      <c r="F2703" t="s">
        <v>20</v>
      </c>
      <c r="G2703" t="s">
        <v>21</v>
      </c>
      <c r="H2703" t="s">
        <v>966</v>
      </c>
      <c r="I2703" t="s">
        <v>23</v>
      </c>
      <c r="J2703" t="s">
        <v>35</v>
      </c>
      <c r="K2703" s="2" t="s">
        <v>2470</v>
      </c>
      <c r="L2703" t="s">
        <v>26</v>
      </c>
      <c r="M2703">
        <v>358195</v>
      </c>
      <c r="N2703">
        <v>1</v>
      </c>
      <c r="O2703" s="3">
        <v>74950</v>
      </c>
      <c r="P2703" s="3">
        <v>26729</v>
      </c>
      <c r="Q2703" s="5">
        <f t="shared" si="126"/>
        <v>62983.193277310929</v>
      </c>
      <c r="R2703" s="5">
        <f t="shared" si="127"/>
        <v>26729</v>
      </c>
      <c r="S2703" s="5">
        <f t="shared" si="128"/>
        <v>36254.193277310929</v>
      </c>
    </row>
    <row r="2704" spans="1:19" hidden="1" x14ac:dyDescent="0.3">
      <c r="A2704">
        <v>150</v>
      </c>
      <c r="B2704" t="s">
        <v>4361</v>
      </c>
      <c r="C2704" t="s">
        <v>2734</v>
      </c>
      <c r="D2704" s="2" t="s">
        <v>2735</v>
      </c>
      <c r="E2704" t="s">
        <v>2718</v>
      </c>
      <c r="F2704" t="s">
        <v>20</v>
      </c>
      <c r="G2704" t="s">
        <v>21</v>
      </c>
      <c r="H2704" t="s">
        <v>1887</v>
      </c>
      <c r="I2704" t="s">
        <v>23</v>
      </c>
      <c r="J2704" t="s">
        <v>40</v>
      </c>
      <c r="K2704" s="2" t="s">
        <v>2470</v>
      </c>
      <c r="L2704" t="s">
        <v>26</v>
      </c>
      <c r="M2704">
        <v>358196</v>
      </c>
      <c r="N2704">
        <v>1</v>
      </c>
      <c r="O2704" s="3">
        <v>69950</v>
      </c>
      <c r="P2704" s="3">
        <v>22018</v>
      </c>
      <c r="Q2704" s="5">
        <f t="shared" si="126"/>
        <v>58781.512605042022</v>
      </c>
      <c r="R2704" s="5">
        <f t="shared" si="127"/>
        <v>22018</v>
      </c>
      <c r="S2704" s="5">
        <f t="shared" si="128"/>
        <v>36763.512605042022</v>
      </c>
    </row>
    <row r="2705" spans="1:19" hidden="1" x14ac:dyDescent="0.3">
      <c r="A2705">
        <v>150</v>
      </c>
      <c r="B2705" t="s">
        <v>4361</v>
      </c>
      <c r="C2705" t="s">
        <v>2575</v>
      </c>
      <c r="D2705" s="2" t="s">
        <v>2576</v>
      </c>
      <c r="E2705" t="s">
        <v>2577</v>
      </c>
      <c r="F2705" t="s">
        <v>377</v>
      </c>
      <c r="G2705" t="s">
        <v>21</v>
      </c>
      <c r="H2705" t="s">
        <v>378</v>
      </c>
      <c r="I2705" t="s">
        <v>23</v>
      </c>
      <c r="J2705" t="s">
        <v>379</v>
      </c>
      <c r="K2705" s="2" t="s">
        <v>2470</v>
      </c>
      <c r="L2705" t="s">
        <v>26</v>
      </c>
      <c r="M2705">
        <v>358197</v>
      </c>
      <c r="N2705">
        <v>1</v>
      </c>
      <c r="O2705" s="3">
        <v>5950</v>
      </c>
      <c r="P2705" s="3">
        <v>3307</v>
      </c>
      <c r="Q2705" s="5">
        <f t="shared" si="126"/>
        <v>5000</v>
      </c>
      <c r="R2705" s="5">
        <f t="shared" si="127"/>
        <v>3307</v>
      </c>
      <c r="S2705" s="5">
        <f t="shared" si="128"/>
        <v>1693</v>
      </c>
    </row>
    <row r="2706" spans="1:19" hidden="1" x14ac:dyDescent="0.3">
      <c r="A2706">
        <v>150</v>
      </c>
      <c r="B2706" t="s">
        <v>4361</v>
      </c>
      <c r="C2706" t="s">
        <v>1103</v>
      </c>
      <c r="D2706" s="2" t="s">
        <v>1104</v>
      </c>
      <c r="E2706" t="s">
        <v>499</v>
      </c>
      <c r="F2706" t="s">
        <v>20</v>
      </c>
      <c r="G2706" t="s">
        <v>21</v>
      </c>
      <c r="H2706" t="s">
        <v>500</v>
      </c>
      <c r="I2706" t="s">
        <v>23</v>
      </c>
      <c r="J2706" t="s">
        <v>40</v>
      </c>
      <c r="K2706" s="2" t="s">
        <v>2470</v>
      </c>
      <c r="L2706" t="s">
        <v>26</v>
      </c>
      <c r="M2706">
        <v>358198</v>
      </c>
      <c r="N2706">
        <v>1</v>
      </c>
      <c r="O2706" s="3">
        <v>59950</v>
      </c>
      <c r="P2706" s="3">
        <v>17416</v>
      </c>
      <c r="Q2706" s="5">
        <f t="shared" si="126"/>
        <v>50378.151260504201</v>
      </c>
      <c r="R2706" s="5">
        <f t="shared" si="127"/>
        <v>17416</v>
      </c>
      <c r="S2706" s="5">
        <f t="shared" si="128"/>
        <v>32962.151260504201</v>
      </c>
    </row>
    <row r="2707" spans="1:19" hidden="1" x14ac:dyDescent="0.3">
      <c r="A2707">
        <v>150</v>
      </c>
      <c r="B2707" t="s">
        <v>4361</v>
      </c>
      <c r="C2707" t="s">
        <v>3958</v>
      </c>
      <c r="D2707" s="2" t="s">
        <v>3959</v>
      </c>
      <c r="E2707" t="s">
        <v>2473</v>
      </c>
      <c r="F2707" t="s">
        <v>20</v>
      </c>
      <c r="G2707" t="s">
        <v>21</v>
      </c>
      <c r="H2707" t="s">
        <v>114</v>
      </c>
      <c r="I2707" t="s">
        <v>23</v>
      </c>
      <c r="J2707" t="s">
        <v>49</v>
      </c>
      <c r="K2707" s="2" t="s">
        <v>2470</v>
      </c>
      <c r="L2707" t="s">
        <v>26</v>
      </c>
      <c r="M2707">
        <v>358199</v>
      </c>
      <c r="N2707">
        <v>1</v>
      </c>
      <c r="O2707" s="3">
        <v>49990</v>
      </c>
      <c r="P2707" s="3">
        <v>23514</v>
      </c>
      <c r="Q2707" s="5">
        <f t="shared" si="126"/>
        <v>42008.403361344543</v>
      </c>
      <c r="R2707" s="5">
        <f t="shared" si="127"/>
        <v>23514</v>
      </c>
      <c r="S2707" s="5">
        <f t="shared" si="128"/>
        <v>18494.403361344543</v>
      </c>
    </row>
    <row r="2708" spans="1:19" hidden="1" x14ac:dyDescent="0.3">
      <c r="A2708">
        <v>150</v>
      </c>
      <c r="B2708" t="s">
        <v>4361</v>
      </c>
      <c r="C2708">
        <v>1687976791</v>
      </c>
      <c r="D2708" s="2" t="s">
        <v>200</v>
      </c>
      <c r="E2708" t="s">
        <v>201</v>
      </c>
      <c r="F2708" t="s">
        <v>201</v>
      </c>
      <c r="G2708" t="s">
        <v>202</v>
      </c>
      <c r="H2708" t="s">
        <v>202</v>
      </c>
      <c r="I2708" t="s">
        <v>23</v>
      </c>
      <c r="J2708" t="s">
        <v>202</v>
      </c>
      <c r="K2708" s="2" t="s">
        <v>2470</v>
      </c>
      <c r="L2708" t="s">
        <v>26</v>
      </c>
      <c r="M2708">
        <v>358199</v>
      </c>
      <c r="N2708">
        <v>1</v>
      </c>
      <c r="O2708" s="3">
        <v>2000</v>
      </c>
      <c r="P2708">
        <v>1</v>
      </c>
      <c r="Q2708" s="5">
        <f t="shared" si="126"/>
        <v>1680.6722689075632</v>
      </c>
      <c r="R2708" s="5">
        <f t="shared" si="127"/>
        <v>1</v>
      </c>
      <c r="S2708" s="5">
        <f t="shared" si="128"/>
        <v>1679.6722689075632</v>
      </c>
    </row>
    <row r="2709" spans="1:19" hidden="1" x14ac:dyDescent="0.3">
      <c r="A2709">
        <v>150</v>
      </c>
      <c r="B2709" t="s">
        <v>4361</v>
      </c>
      <c r="C2709" t="s">
        <v>4453</v>
      </c>
      <c r="D2709" s="2" t="s">
        <v>4454</v>
      </c>
      <c r="E2709" t="s">
        <v>4455</v>
      </c>
      <c r="F2709" t="s">
        <v>377</v>
      </c>
      <c r="G2709" t="s">
        <v>21</v>
      </c>
      <c r="H2709" t="s">
        <v>378</v>
      </c>
      <c r="I2709" t="s">
        <v>23</v>
      </c>
      <c r="J2709" t="s">
        <v>2459</v>
      </c>
      <c r="K2709" s="2" t="s">
        <v>2470</v>
      </c>
      <c r="L2709" t="s">
        <v>26</v>
      </c>
      <c r="M2709">
        <v>358200</v>
      </c>
      <c r="N2709">
        <v>1</v>
      </c>
      <c r="O2709" s="3">
        <v>3950</v>
      </c>
      <c r="P2709" s="3">
        <v>1607</v>
      </c>
      <c r="Q2709" s="5">
        <f t="shared" si="126"/>
        <v>3319.3277310924373</v>
      </c>
      <c r="R2709" s="5">
        <f t="shared" si="127"/>
        <v>1607</v>
      </c>
      <c r="S2709" s="5">
        <f t="shared" si="128"/>
        <v>1712.3277310924373</v>
      </c>
    </row>
    <row r="2710" spans="1:19" hidden="1" x14ac:dyDescent="0.3">
      <c r="A2710">
        <v>150</v>
      </c>
      <c r="B2710" t="s">
        <v>4361</v>
      </c>
      <c r="C2710" t="s">
        <v>2083</v>
      </c>
      <c r="D2710" s="2" t="s">
        <v>2084</v>
      </c>
      <c r="E2710" t="s">
        <v>2085</v>
      </c>
      <c r="F2710" t="s">
        <v>20</v>
      </c>
      <c r="G2710" t="s">
        <v>21</v>
      </c>
      <c r="H2710" t="s">
        <v>870</v>
      </c>
      <c r="I2710" t="s">
        <v>23</v>
      </c>
      <c r="J2710" t="s">
        <v>49</v>
      </c>
      <c r="K2710" s="2" t="s">
        <v>422</v>
      </c>
      <c r="L2710" t="s">
        <v>26</v>
      </c>
      <c r="M2710">
        <v>358201</v>
      </c>
      <c r="N2710">
        <v>-1</v>
      </c>
      <c r="O2710" s="3">
        <v>-51960</v>
      </c>
      <c r="P2710" s="3">
        <v>22955</v>
      </c>
      <c r="Q2710" s="5">
        <f t="shared" si="126"/>
        <v>-43663.865546218491</v>
      </c>
      <c r="R2710" s="5">
        <f t="shared" si="127"/>
        <v>-22955</v>
      </c>
      <c r="S2710" s="5">
        <f t="shared" si="128"/>
        <v>-20708.865546218491</v>
      </c>
    </row>
    <row r="2711" spans="1:19" hidden="1" x14ac:dyDescent="0.3">
      <c r="A2711">
        <v>150</v>
      </c>
      <c r="B2711" t="s">
        <v>4361</v>
      </c>
      <c r="C2711" t="s">
        <v>2556</v>
      </c>
      <c r="D2711" s="2" t="s">
        <v>2557</v>
      </c>
      <c r="E2711" t="s">
        <v>2558</v>
      </c>
      <c r="F2711" t="s">
        <v>20</v>
      </c>
      <c r="G2711" t="s">
        <v>21</v>
      </c>
      <c r="H2711" t="s">
        <v>870</v>
      </c>
      <c r="I2711" t="s">
        <v>23</v>
      </c>
      <c r="J2711" t="s">
        <v>49</v>
      </c>
      <c r="K2711" s="2" t="s">
        <v>422</v>
      </c>
      <c r="L2711" t="s">
        <v>26</v>
      </c>
      <c r="M2711">
        <v>358201</v>
      </c>
      <c r="N2711">
        <v>1</v>
      </c>
      <c r="O2711" s="3">
        <v>64950</v>
      </c>
      <c r="P2711" s="3">
        <v>22955</v>
      </c>
      <c r="Q2711" s="5">
        <f t="shared" si="126"/>
        <v>54579.831932773115</v>
      </c>
      <c r="R2711" s="5">
        <f t="shared" si="127"/>
        <v>22955</v>
      </c>
      <c r="S2711" s="5">
        <f t="shared" si="128"/>
        <v>31624.831932773115</v>
      </c>
    </row>
    <row r="2712" spans="1:19" hidden="1" x14ac:dyDescent="0.3">
      <c r="A2712">
        <v>150</v>
      </c>
      <c r="B2712" t="s">
        <v>4361</v>
      </c>
      <c r="C2712" t="s">
        <v>4456</v>
      </c>
      <c r="D2712" s="2" t="s">
        <v>4457</v>
      </c>
      <c r="E2712" t="s">
        <v>4458</v>
      </c>
      <c r="F2712" t="s">
        <v>20</v>
      </c>
      <c r="G2712" t="s">
        <v>21</v>
      </c>
      <c r="H2712" t="s">
        <v>160</v>
      </c>
      <c r="I2712" t="s">
        <v>23</v>
      </c>
      <c r="J2712" t="s">
        <v>35</v>
      </c>
      <c r="K2712" s="2" t="s">
        <v>422</v>
      </c>
      <c r="L2712" t="s">
        <v>26</v>
      </c>
      <c r="M2712">
        <v>358202</v>
      </c>
      <c r="N2712">
        <v>1</v>
      </c>
      <c r="O2712" s="3">
        <v>64990</v>
      </c>
      <c r="P2712" s="3">
        <v>34676</v>
      </c>
      <c r="Q2712" s="5">
        <f t="shared" si="126"/>
        <v>54613.445378151264</v>
      </c>
      <c r="R2712" s="5">
        <f t="shared" si="127"/>
        <v>34676</v>
      </c>
      <c r="S2712" s="5">
        <f t="shared" si="128"/>
        <v>19937.445378151264</v>
      </c>
    </row>
    <row r="2713" spans="1:19" hidden="1" x14ac:dyDescent="0.3">
      <c r="A2713">
        <v>150</v>
      </c>
      <c r="B2713" t="s">
        <v>4361</v>
      </c>
      <c r="C2713" t="s">
        <v>2234</v>
      </c>
      <c r="D2713" s="2" t="s">
        <v>2235</v>
      </c>
      <c r="E2713" t="s">
        <v>2236</v>
      </c>
      <c r="F2713" t="s">
        <v>20</v>
      </c>
      <c r="G2713" t="s">
        <v>215</v>
      </c>
      <c r="H2713" t="s">
        <v>2237</v>
      </c>
      <c r="I2713" t="s">
        <v>23</v>
      </c>
      <c r="J2713" t="s">
        <v>49</v>
      </c>
      <c r="K2713" s="2" t="s">
        <v>422</v>
      </c>
      <c r="L2713" t="s">
        <v>26</v>
      </c>
      <c r="M2713">
        <v>358202</v>
      </c>
      <c r="N2713">
        <v>-1</v>
      </c>
      <c r="O2713" s="3">
        <v>-69960</v>
      </c>
      <c r="P2713" s="3">
        <v>40145</v>
      </c>
      <c r="Q2713" s="5">
        <f t="shared" si="126"/>
        <v>-58789.915966386558</v>
      </c>
      <c r="R2713" s="5">
        <f t="shared" si="127"/>
        <v>-40145</v>
      </c>
      <c r="S2713" s="5">
        <f t="shared" si="128"/>
        <v>-18644.915966386558</v>
      </c>
    </row>
    <row r="2714" spans="1:19" hidden="1" x14ac:dyDescent="0.3">
      <c r="A2714">
        <v>150</v>
      </c>
      <c r="B2714" t="s">
        <v>4361</v>
      </c>
      <c r="C2714" t="s">
        <v>1037</v>
      </c>
      <c r="D2714" s="2" t="s">
        <v>1038</v>
      </c>
      <c r="E2714" t="s">
        <v>1039</v>
      </c>
      <c r="F2714" t="s">
        <v>377</v>
      </c>
      <c r="G2714" t="s">
        <v>21</v>
      </c>
      <c r="H2714" t="s">
        <v>378</v>
      </c>
      <c r="I2714" t="s">
        <v>23</v>
      </c>
      <c r="J2714" t="s">
        <v>379</v>
      </c>
      <c r="K2714" s="2" t="s">
        <v>422</v>
      </c>
      <c r="L2714" t="s">
        <v>26</v>
      </c>
      <c r="M2714">
        <v>358202</v>
      </c>
      <c r="N2714">
        <v>1</v>
      </c>
      <c r="O2714" s="3">
        <v>5950</v>
      </c>
      <c r="P2714" s="3">
        <v>3257</v>
      </c>
      <c r="Q2714" s="5">
        <f t="shared" si="126"/>
        <v>5000</v>
      </c>
      <c r="R2714" s="5">
        <f t="shared" si="127"/>
        <v>3257</v>
      </c>
      <c r="S2714" s="5">
        <f t="shared" si="128"/>
        <v>1743</v>
      </c>
    </row>
    <row r="2715" spans="1:19" hidden="1" x14ac:dyDescent="0.3">
      <c r="A2715">
        <v>150</v>
      </c>
      <c r="B2715" t="s">
        <v>4361</v>
      </c>
      <c r="C2715" t="s">
        <v>4459</v>
      </c>
      <c r="D2715" s="2" t="s">
        <v>4460</v>
      </c>
      <c r="E2715" t="s">
        <v>1842</v>
      </c>
      <c r="F2715" t="s">
        <v>20</v>
      </c>
      <c r="G2715" t="s">
        <v>21</v>
      </c>
      <c r="H2715" t="s">
        <v>625</v>
      </c>
      <c r="I2715" t="s">
        <v>23</v>
      </c>
      <c r="J2715" t="s">
        <v>35</v>
      </c>
      <c r="K2715" s="2" t="s">
        <v>422</v>
      </c>
      <c r="L2715" t="s">
        <v>26</v>
      </c>
      <c r="M2715">
        <v>358203</v>
      </c>
      <c r="N2715">
        <v>1</v>
      </c>
      <c r="O2715" s="3">
        <v>69950</v>
      </c>
      <c r="P2715" s="3">
        <v>27918</v>
      </c>
      <c r="Q2715" s="5">
        <f t="shared" si="126"/>
        <v>58781.512605042022</v>
      </c>
      <c r="R2715" s="5">
        <f t="shared" si="127"/>
        <v>27918</v>
      </c>
      <c r="S2715" s="5">
        <f t="shared" si="128"/>
        <v>30863.512605042022</v>
      </c>
    </row>
    <row r="2716" spans="1:19" hidden="1" x14ac:dyDescent="0.3">
      <c r="A2716">
        <v>150</v>
      </c>
      <c r="B2716" t="s">
        <v>4361</v>
      </c>
      <c r="C2716" t="s">
        <v>615</v>
      </c>
      <c r="D2716" s="2" t="s">
        <v>616</v>
      </c>
      <c r="E2716" t="s">
        <v>617</v>
      </c>
      <c r="F2716" t="s">
        <v>20</v>
      </c>
      <c r="G2716" t="s">
        <v>21</v>
      </c>
      <c r="H2716" t="s">
        <v>618</v>
      </c>
      <c r="I2716" t="s">
        <v>23</v>
      </c>
      <c r="J2716" t="s">
        <v>40</v>
      </c>
      <c r="K2716" s="2" t="s">
        <v>422</v>
      </c>
      <c r="L2716" t="s">
        <v>26</v>
      </c>
      <c r="M2716">
        <v>358204</v>
      </c>
      <c r="N2716">
        <v>-1</v>
      </c>
      <c r="O2716" s="3">
        <v>-34990</v>
      </c>
      <c r="P2716" s="3">
        <v>16817</v>
      </c>
      <c r="Q2716" s="5">
        <f t="shared" si="126"/>
        <v>-29403.361344537818</v>
      </c>
      <c r="R2716" s="5">
        <f t="shared" si="127"/>
        <v>-16817</v>
      </c>
      <c r="S2716" s="5">
        <f t="shared" si="128"/>
        <v>-12586.361344537818</v>
      </c>
    </row>
    <row r="2717" spans="1:19" hidden="1" x14ac:dyDescent="0.3">
      <c r="A2717">
        <v>150</v>
      </c>
      <c r="B2717" t="s">
        <v>4361</v>
      </c>
      <c r="C2717" t="s">
        <v>3872</v>
      </c>
      <c r="D2717" s="2" t="s">
        <v>3873</v>
      </c>
      <c r="E2717" t="s">
        <v>3874</v>
      </c>
      <c r="F2717" t="s">
        <v>20</v>
      </c>
      <c r="G2717" t="s">
        <v>21</v>
      </c>
      <c r="H2717" t="s">
        <v>618</v>
      </c>
      <c r="I2717" t="s">
        <v>23</v>
      </c>
      <c r="J2717" t="s">
        <v>40</v>
      </c>
      <c r="K2717" s="2" t="s">
        <v>422</v>
      </c>
      <c r="L2717" t="s">
        <v>26</v>
      </c>
      <c r="M2717">
        <v>358204</v>
      </c>
      <c r="N2717">
        <v>1</v>
      </c>
      <c r="O2717" s="3">
        <v>34991</v>
      </c>
      <c r="P2717" s="3">
        <v>16817</v>
      </c>
      <c r="Q2717" s="5">
        <f t="shared" si="126"/>
        <v>29404.201680672271</v>
      </c>
      <c r="R2717" s="5">
        <f t="shared" si="127"/>
        <v>16817</v>
      </c>
      <c r="S2717" s="5">
        <f t="shared" si="128"/>
        <v>12587.201680672271</v>
      </c>
    </row>
    <row r="2718" spans="1:19" hidden="1" x14ac:dyDescent="0.3">
      <c r="A2718">
        <v>150</v>
      </c>
      <c r="B2718" t="s">
        <v>4361</v>
      </c>
      <c r="C2718" t="s">
        <v>2960</v>
      </c>
      <c r="D2718" s="2" t="s">
        <v>2961</v>
      </c>
      <c r="E2718" t="s">
        <v>2539</v>
      </c>
      <c r="F2718" t="s">
        <v>20</v>
      </c>
      <c r="G2718" t="s">
        <v>21</v>
      </c>
      <c r="H2718" t="s">
        <v>966</v>
      </c>
      <c r="I2718" t="s">
        <v>23</v>
      </c>
      <c r="J2718" t="s">
        <v>35</v>
      </c>
      <c r="K2718" s="2" t="s">
        <v>422</v>
      </c>
      <c r="L2718" t="s">
        <v>26</v>
      </c>
      <c r="M2718">
        <v>358205</v>
      </c>
      <c r="N2718">
        <v>1</v>
      </c>
      <c r="O2718" s="3">
        <v>74950</v>
      </c>
      <c r="P2718" s="3">
        <v>27380</v>
      </c>
      <c r="Q2718" s="5">
        <f t="shared" si="126"/>
        <v>62983.193277310929</v>
      </c>
      <c r="R2718" s="5">
        <f t="shared" si="127"/>
        <v>27380</v>
      </c>
      <c r="S2718" s="5">
        <f t="shared" si="128"/>
        <v>35603.193277310929</v>
      </c>
    </row>
    <row r="2719" spans="1:19" hidden="1" x14ac:dyDescent="0.3">
      <c r="A2719">
        <v>150</v>
      </c>
      <c r="B2719" t="s">
        <v>4361</v>
      </c>
      <c r="C2719" t="s">
        <v>3989</v>
      </c>
      <c r="D2719" s="2" t="s">
        <v>3990</v>
      </c>
      <c r="E2719" t="s">
        <v>2298</v>
      </c>
      <c r="F2719" t="s">
        <v>20</v>
      </c>
      <c r="G2719" t="s">
        <v>21</v>
      </c>
      <c r="H2719" t="s">
        <v>2189</v>
      </c>
      <c r="I2719" t="s">
        <v>23</v>
      </c>
      <c r="J2719" t="s">
        <v>40</v>
      </c>
      <c r="K2719" s="2" t="s">
        <v>422</v>
      </c>
      <c r="L2719" t="s">
        <v>26</v>
      </c>
      <c r="M2719">
        <v>358206</v>
      </c>
      <c r="N2719">
        <v>1</v>
      </c>
      <c r="O2719" s="3">
        <v>64950</v>
      </c>
      <c r="P2719" s="3">
        <v>20787</v>
      </c>
      <c r="Q2719" s="5">
        <f t="shared" si="126"/>
        <v>54579.831932773115</v>
      </c>
      <c r="R2719" s="5">
        <f t="shared" si="127"/>
        <v>20787</v>
      </c>
      <c r="S2719" s="5">
        <f t="shared" si="128"/>
        <v>33792.831932773115</v>
      </c>
    </row>
    <row r="2720" spans="1:19" hidden="1" x14ac:dyDescent="0.3">
      <c r="A2720">
        <v>150</v>
      </c>
      <c r="B2720" t="s">
        <v>4361</v>
      </c>
      <c r="C2720" t="s">
        <v>3989</v>
      </c>
      <c r="D2720" s="2" t="s">
        <v>3990</v>
      </c>
      <c r="E2720" t="s">
        <v>2298</v>
      </c>
      <c r="F2720" t="s">
        <v>20</v>
      </c>
      <c r="G2720" t="s">
        <v>21</v>
      </c>
      <c r="H2720" t="s">
        <v>2189</v>
      </c>
      <c r="I2720" t="s">
        <v>23</v>
      </c>
      <c r="J2720" t="s">
        <v>40</v>
      </c>
      <c r="K2720" s="2" t="s">
        <v>422</v>
      </c>
      <c r="L2720" t="s">
        <v>26</v>
      </c>
      <c r="M2720">
        <v>358207</v>
      </c>
      <c r="N2720">
        <v>1</v>
      </c>
      <c r="O2720" s="3">
        <v>64950</v>
      </c>
      <c r="P2720" s="3">
        <v>20787</v>
      </c>
      <c r="Q2720" s="5">
        <f t="shared" si="126"/>
        <v>54579.831932773115</v>
      </c>
      <c r="R2720" s="5">
        <f t="shared" si="127"/>
        <v>20787</v>
      </c>
      <c r="S2720" s="5">
        <f t="shared" si="128"/>
        <v>33792.831932773115</v>
      </c>
    </row>
    <row r="2721" spans="1:19" hidden="1" x14ac:dyDescent="0.3">
      <c r="A2721">
        <v>150</v>
      </c>
      <c r="B2721" t="s">
        <v>4361</v>
      </c>
      <c r="C2721" t="s">
        <v>2736</v>
      </c>
      <c r="D2721" s="2" t="s">
        <v>2737</v>
      </c>
      <c r="E2721" t="s">
        <v>2738</v>
      </c>
      <c r="F2721" t="s">
        <v>20</v>
      </c>
      <c r="G2721" t="s">
        <v>21</v>
      </c>
      <c r="H2721" t="s">
        <v>22</v>
      </c>
      <c r="I2721" t="s">
        <v>23</v>
      </c>
      <c r="J2721" t="s">
        <v>49</v>
      </c>
      <c r="K2721" s="2" t="s">
        <v>422</v>
      </c>
      <c r="L2721" t="s">
        <v>26</v>
      </c>
      <c r="M2721">
        <v>358208</v>
      </c>
      <c r="N2721">
        <v>1</v>
      </c>
      <c r="O2721" s="3">
        <v>74950</v>
      </c>
      <c r="P2721" s="3">
        <v>26246</v>
      </c>
      <c r="Q2721" s="5">
        <f t="shared" si="126"/>
        <v>62983.193277310929</v>
      </c>
      <c r="R2721" s="5">
        <f t="shared" si="127"/>
        <v>26246</v>
      </c>
      <c r="S2721" s="5">
        <f t="shared" si="128"/>
        <v>36737.193277310929</v>
      </c>
    </row>
    <row r="2722" spans="1:19" hidden="1" x14ac:dyDescent="0.3">
      <c r="A2722">
        <v>150</v>
      </c>
      <c r="B2722" t="s">
        <v>4361</v>
      </c>
      <c r="C2722" t="s">
        <v>4461</v>
      </c>
      <c r="D2722" s="2" t="s">
        <v>4462</v>
      </c>
      <c r="E2722" t="s">
        <v>425</v>
      </c>
      <c r="F2722" t="s">
        <v>20</v>
      </c>
      <c r="G2722" t="s">
        <v>21</v>
      </c>
      <c r="H2722" t="s">
        <v>22</v>
      </c>
      <c r="I2722" t="s">
        <v>23</v>
      </c>
      <c r="J2722" t="s">
        <v>24</v>
      </c>
      <c r="K2722" s="2" t="s">
        <v>422</v>
      </c>
      <c r="L2722" t="s">
        <v>26</v>
      </c>
      <c r="M2722">
        <v>358209</v>
      </c>
      <c r="N2722">
        <v>1</v>
      </c>
      <c r="O2722" s="3">
        <v>79950</v>
      </c>
      <c r="P2722" s="3">
        <v>27806</v>
      </c>
      <c r="Q2722" s="5">
        <f t="shared" si="126"/>
        <v>67184.873949579836</v>
      </c>
      <c r="R2722" s="5">
        <f t="shared" si="127"/>
        <v>27806</v>
      </c>
      <c r="S2722" s="5">
        <f t="shared" si="128"/>
        <v>39378.873949579836</v>
      </c>
    </row>
    <row r="2723" spans="1:19" hidden="1" x14ac:dyDescent="0.3">
      <c r="A2723">
        <v>150</v>
      </c>
      <c r="B2723" t="s">
        <v>4361</v>
      </c>
      <c r="C2723" t="s">
        <v>4463</v>
      </c>
      <c r="D2723" s="2" t="s">
        <v>4464</v>
      </c>
      <c r="E2723" t="s">
        <v>3814</v>
      </c>
      <c r="F2723" t="s">
        <v>20</v>
      </c>
      <c r="G2723" t="s">
        <v>21</v>
      </c>
      <c r="H2723" t="s">
        <v>500</v>
      </c>
      <c r="I2723" t="s">
        <v>23</v>
      </c>
      <c r="J2723" t="s">
        <v>40</v>
      </c>
      <c r="K2723" s="2" t="s">
        <v>422</v>
      </c>
      <c r="L2723" t="s">
        <v>26</v>
      </c>
      <c r="M2723">
        <v>358210</v>
      </c>
      <c r="N2723">
        <v>1</v>
      </c>
      <c r="O2723" s="3">
        <v>49990</v>
      </c>
      <c r="P2723" s="3">
        <v>20043</v>
      </c>
      <c r="Q2723" s="5">
        <f t="shared" si="126"/>
        <v>42008.403361344543</v>
      </c>
      <c r="R2723" s="5">
        <f t="shared" si="127"/>
        <v>20043</v>
      </c>
      <c r="S2723" s="5">
        <f t="shared" si="128"/>
        <v>21965.403361344543</v>
      </c>
    </row>
    <row r="2724" spans="1:19" hidden="1" x14ac:dyDescent="0.3">
      <c r="A2724">
        <v>150</v>
      </c>
      <c r="B2724" t="s">
        <v>4361</v>
      </c>
      <c r="C2724">
        <v>1687976791</v>
      </c>
      <c r="D2724" s="2" t="s">
        <v>200</v>
      </c>
      <c r="E2724" t="s">
        <v>201</v>
      </c>
      <c r="F2724" t="s">
        <v>201</v>
      </c>
      <c r="G2724" t="s">
        <v>202</v>
      </c>
      <c r="H2724" t="s">
        <v>202</v>
      </c>
      <c r="I2724" t="s">
        <v>23</v>
      </c>
      <c r="J2724" t="s">
        <v>202</v>
      </c>
      <c r="K2724" s="2" t="s">
        <v>422</v>
      </c>
      <c r="L2724" t="s">
        <v>26</v>
      </c>
      <c r="M2724">
        <v>358210</v>
      </c>
      <c r="N2724">
        <v>1</v>
      </c>
      <c r="O2724" s="3">
        <v>6350</v>
      </c>
      <c r="P2724">
        <v>1</v>
      </c>
      <c r="Q2724" s="5">
        <f t="shared" si="126"/>
        <v>5336.134453781513</v>
      </c>
      <c r="R2724" s="5">
        <f t="shared" si="127"/>
        <v>1</v>
      </c>
      <c r="S2724" s="5">
        <f t="shared" si="128"/>
        <v>5335.134453781513</v>
      </c>
    </row>
    <row r="2725" spans="1:19" hidden="1" x14ac:dyDescent="0.3">
      <c r="A2725">
        <v>150</v>
      </c>
      <c r="B2725" t="s">
        <v>4361</v>
      </c>
      <c r="C2725" t="s">
        <v>4465</v>
      </c>
      <c r="D2725" s="2" t="s">
        <v>4466</v>
      </c>
      <c r="E2725" t="s">
        <v>4467</v>
      </c>
      <c r="F2725" t="s">
        <v>20</v>
      </c>
      <c r="G2725" t="s">
        <v>21</v>
      </c>
      <c r="H2725" t="s">
        <v>4468</v>
      </c>
      <c r="I2725" t="s">
        <v>23</v>
      </c>
      <c r="J2725" t="s">
        <v>207</v>
      </c>
      <c r="K2725" s="2" t="s">
        <v>422</v>
      </c>
      <c r="L2725" t="s">
        <v>26</v>
      </c>
      <c r="M2725">
        <v>358211</v>
      </c>
      <c r="N2725">
        <v>1</v>
      </c>
      <c r="O2725" s="3">
        <v>49990</v>
      </c>
      <c r="P2725" s="3">
        <v>26632</v>
      </c>
      <c r="Q2725" s="5">
        <f t="shared" si="126"/>
        <v>42008.403361344543</v>
      </c>
      <c r="R2725" s="5">
        <f t="shared" si="127"/>
        <v>26632</v>
      </c>
      <c r="S2725" s="5">
        <f t="shared" si="128"/>
        <v>15376.403361344543</v>
      </c>
    </row>
    <row r="2726" spans="1:19" hidden="1" x14ac:dyDescent="0.3">
      <c r="A2726">
        <v>150</v>
      </c>
      <c r="B2726" t="s">
        <v>4361</v>
      </c>
      <c r="C2726" t="s">
        <v>4469</v>
      </c>
      <c r="D2726" s="2" t="s">
        <v>4470</v>
      </c>
      <c r="E2726" t="s">
        <v>3698</v>
      </c>
      <c r="F2726" t="s">
        <v>20</v>
      </c>
      <c r="G2726" t="s">
        <v>21</v>
      </c>
      <c r="H2726" t="s">
        <v>966</v>
      </c>
      <c r="I2726" t="s">
        <v>23</v>
      </c>
      <c r="J2726" t="s">
        <v>40</v>
      </c>
      <c r="K2726" s="2" t="s">
        <v>422</v>
      </c>
      <c r="L2726" t="s">
        <v>26</v>
      </c>
      <c r="M2726">
        <v>358212</v>
      </c>
      <c r="N2726">
        <v>1</v>
      </c>
      <c r="O2726" s="3">
        <v>74950</v>
      </c>
      <c r="P2726" s="3">
        <v>27541</v>
      </c>
      <c r="Q2726" s="5">
        <f t="shared" si="126"/>
        <v>62983.193277310929</v>
      </c>
      <c r="R2726" s="5">
        <f t="shared" si="127"/>
        <v>27541</v>
      </c>
      <c r="S2726" s="5">
        <f t="shared" si="128"/>
        <v>35442.193277310929</v>
      </c>
    </row>
    <row r="2727" spans="1:19" hidden="1" x14ac:dyDescent="0.3">
      <c r="A2727">
        <v>150</v>
      </c>
      <c r="B2727" t="s">
        <v>4361</v>
      </c>
      <c r="C2727" t="s">
        <v>2525</v>
      </c>
      <c r="D2727" s="2" t="s">
        <v>2526</v>
      </c>
      <c r="E2727" t="s">
        <v>2527</v>
      </c>
      <c r="F2727" t="s">
        <v>377</v>
      </c>
      <c r="G2727" t="s">
        <v>21</v>
      </c>
      <c r="H2727" t="s">
        <v>378</v>
      </c>
      <c r="I2727" t="s">
        <v>23</v>
      </c>
      <c r="J2727" t="s">
        <v>2459</v>
      </c>
      <c r="K2727" s="2" t="s">
        <v>422</v>
      </c>
      <c r="L2727" t="s">
        <v>26</v>
      </c>
      <c r="M2727">
        <v>358213</v>
      </c>
      <c r="N2727">
        <v>1</v>
      </c>
      <c r="O2727" s="3">
        <v>6950</v>
      </c>
      <c r="P2727" s="3">
        <v>2964</v>
      </c>
      <c r="Q2727" s="5">
        <f t="shared" si="126"/>
        <v>5840.3361344537816</v>
      </c>
      <c r="R2727" s="5">
        <f t="shared" si="127"/>
        <v>2964</v>
      </c>
      <c r="S2727" s="5">
        <f t="shared" si="128"/>
        <v>2876.3361344537816</v>
      </c>
    </row>
    <row r="2728" spans="1:19" hidden="1" x14ac:dyDescent="0.3">
      <c r="A2728">
        <v>150</v>
      </c>
      <c r="B2728" t="s">
        <v>4361</v>
      </c>
      <c r="C2728" t="s">
        <v>3872</v>
      </c>
      <c r="D2728" s="2" t="s">
        <v>3873</v>
      </c>
      <c r="E2728" t="s">
        <v>3874</v>
      </c>
      <c r="F2728" t="s">
        <v>20</v>
      </c>
      <c r="G2728" t="s">
        <v>21</v>
      </c>
      <c r="H2728" t="s">
        <v>618</v>
      </c>
      <c r="I2728" t="s">
        <v>23</v>
      </c>
      <c r="J2728" t="s">
        <v>40</v>
      </c>
      <c r="K2728" s="2" t="s">
        <v>814</v>
      </c>
      <c r="L2728" t="s">
        <v>26</v>
      </c>
      <c r="M2728">
        <v>358214</v>
      </c>
      <c r="N2728">
        <v>-1</v>
      </c>
      <c r="O2728" s="3">
        <v>-34990</v>
      </c>
      <c r="P2728" s="3">
        <v>16817</v>
      </c>
      <c r="Q2728" s="5">
        <f t="shared" si="126"/>
        <v>-29403.361344537818</v>
      </c>
      <c r="R2728" s="5">
        <f t="shared" si="127"/>
        <v>-16817</v>
      </c>
      <c r="S2728" s="5">
        <f t="shared" si="128"/>
        <v>-12586.361344537818</v>
      </c>
    </row>
    <row r="2729" spans="1:19" hidden="1" x14ac:dyDescent="0.3">
      <c r="A2729">
        <v>150</v>
      </c>
      <c r="B2729" t="s">
        <v>4361</v>
      </c>
      <c r="C2729" t="s">
        <v>4471</v>
      </c>
      <c r="D2729" s="2" t="s">
        <v>4472</v>
      </c>
      <c r="E2729" t="s">
        <v>3271</v>
      </c>
      <c r="F2729" t="s">
        <v>20</v>
      </c>
      <c r="G2729" t="s">
        <v>21</v>
      </c>
      <c r="H2729" t="s">
        <v>3272</v>
      </c>
      <c r="I2729" t="s">
        <v>23</v>
      </c>
      <c r="J2729" t="s">
        <v>40</v>
      </c>
      <c r="K2729" s="2" t="s">
        <v>814</v>
      </c>
      <c r="L2729" t="s">
        <v>26</v>
      </c>
      <c r="M2729">
        <v>358214</v>
      </c>
      <c r="N2729">
        <v>1</v>
      </c>
      <c r="O2729" s="3">
        <v>59950</v>
      </c>
      <c r="P2729" s="3">
        <v>23104</v>
      </c>
      <c r="Q2729" s="5">
        <f t="shared" si="126"/>
        <v>50378.151260504201</v>
      </c>
      <c r="R2729" s="5">
        <f t="shared" si="127"/>
        <v>23104</v>
      </c>
      <c r="S2729" s="5">
        <f t="shared" si="128"/>
        <v>27274.151260504201</v>
      </c>
    </row>
    <row r="2730" spans="1:19" hidden="1" x14ac:dyDescent="0.3">
      <c r="A2730">
        <v>150</v>
      </c>
      <c r="B2730" t="s">
        <v>4361</v>
      </c>
      <c r="C2730" t="s">
        <v>2234</v>
      </c>
      <c r="D2730" s="2" t="s">
        <v>2235</v>
      </c>
      <c r="E2730" t="s">
        <v>2236</v>
      </c>
      <c r="F2730" t="s">
        <v>20</v>
      </c>
      <c r="G2730" t="s">
        <v>215</v>
      </c>
      <c r="H2730" t="s">
        <v>2237</v>
      </c>
      <c r="I2730" t="s">
        <v>23</v>
      </c>
      <c r="J2730" t="s">
        <v>49</v>
      </c>
      <c r="K2730" s="2" t="s">
        <v>814</v>
      </c>
      <c r="L2730" t="s">
        <v>26</v>
      </c>
      <c r="M2730">
        <v>358215</v>
      </c>
      <c r="N2730">
        <v>1</v>
      </c>
      <c r="O2730" s="3">
        <v>69990</v>
      </c>
      <c r="P2730" s="3">
        <v>40145</v>
      </c>
      <c r="Q2730" s="5">
        <f t="shared" si="126"/>
        <v>58815.126050420171</v>
      </c>
      <c r="R2730" s="5">
        <f t="shared" si="127"/>
        <v>40145</v>
      </c>
      <c r="S2730" s="5">
        <f t="shared" si="128"/>
        <v>18670.126050420171</v>
      </c>
    </row>
    <row r="2731" spans="1:19" hidden="1" x14ac:dyDescent="0.3">
      <c r="A2731">
        <v>150</v>
      </c>
      <c r="B2731" t="s">
        <v>4361</v>
      </c>
      <c r="C2731" t="s">
        <v>2456</v>
      </c>
      <c r="D2731" s="2" t="s">
        <v>2457</v>
      </c>
      <c r="E2731" t="s">
        <v>2458</v>
      </c>
      <c r="F2731" t="s">
        <v>377</v>
      </c>
      <c r="G2731" t="s">
        <v>21</v>
      </c>
      <c r="H2731" t="s">
        <v>378</v>
      </c>
      <c r="I2731" t="s">
        <v>23</v>
      </c>
      <c r="J2731" t="s">
        <v>2459</v>
      </c>
      <c r="K2731" s="2" t="s">
        <v>814</v>
      </c>
      <c r="L2731" t="s">
        <v>26</v>
      </c>
      <c r="M2731">
        <v>358215</v>
      </c>
      <c r="N2731">
        <v>1</v>
      </c>
      <c r="O2731" s="3">
        <v>6950</v>
      </c>
      <c r="P2731" s="3">
        <v>3421</v>
      </c>
      <c r="Q2731" s="5">
        <f t="shared" si="126"/>
        <v>5840.3361344537816</v>
      </c>
      <c r="R2731" s="5">
        <f t="shared" si="127"/>
        <v>3421</v>
      </c>
      <c r="S2731" s="5">
        <f t="shared" si="128"/>
        <v>2419.3361344537816</v>
      </c>
    </row>
    <row r="2732" spans="1:19" hidden="1" x14ac:dyDescent="0.3">
      <c r="A2732">
        <v>150</v>
      </c>
      <c r="B2732" t="s">
        <v>4361</v>
      </c>
      <c r="C2732" t="s">
        <v>4473</v>
      </c>
      <c r="D2732" s="2" t="s">
        <v>4474</v>
      </c>
      <c r="E2732" t="s">
        <v>4475</v>
      </c>
      <c r="F2732" t="s">
        <v>20</v>
      </c>
      <c r="G2732" t="s">
        <v>21</v>
      </c>
      <c r="H2732" t="s">
        <v>44</v>
      </c>
      <c r="I2732" t="s">
        <v>23</v>
      </c>
      <c r="J2732" t="s">
        <v>40</v>
      </c>
      <c r="K2732" s="2" t="s">
        <v>814</v>
      </c>
      <c r="L2732" t="s">
        <v>26</v>
      </c>
      <c r="M2732">
        <v>358216</v>
      </c>
      <c r="N2732">
        <v>1</v>
      </c>
      <c r="O2732" s="3">
        <v>39990</v>
      </c>
      <c r="P2732" s="3">
        <v>12172</v>
      </c>
      <c r="Q2732" s="5">
        <f t="shared" si="126"/>
        <v>33605.042016806721</v>
      </c>
      <c r="R2732" s="5">
        <f t="shared" si="127"/>
        <v>12172</v>
      </c>
      <c r="S2732" s="5">
        <f t="shared" si="128"/>
        <v>21433.042016806721</v>
      </c>
    </row>
    <row r="2733" spans="1:19" hidden="1" x14ac:dyDescent="0.3">
      <c r="A2733">
        <v>150</v>
      </c>
      <c r="B2733" t="s">
        <v>4361</v>
      </c>
      <c r="C2733" t="s">
        <v>2395</v>
      </c>
      <c r="D2733" s="2" t="s">
        <v>2396</v>
      </c>
      <c r="E2733" t="s">
        <v>425</v>
      </c>
      <c r="F2733" t="s">
        <v>20</v>
      </c>
      <c r="G2733" t="s">
        <v>21</v>
      </c>
      <c r="H2733" t="s">
        <v>22</v>
      </c>
      <c r="I2733" t="s">
        <v>23</v>
      </c>
      <c r="J2733" t="s">
        <v>24</v>
      </c>
      <c r="K2733" s="2" t="s">
        <v>814</v>
      </c>
      <c r="L2733" t="s">
        <v>26</v>
      </c>
      <c r="M2733">
        <v>358217</v>
      </c>
      <c r="N2733">
        <v>-1</v>
      </c>
      <c r="O2733" s="3">
        <v>-79950</v>
      </c>
      <c r="P2733" s="3">
        <v>27848</v>
      </c>
      <c r="Q2733" s="5">
        <f t="shared" si="126"/>
        <v>-67184.873949579836</v>
      </c>
      <c r="R2733" s="5">
        <f t="shared" si="127"/>
        <v>-27848</v>
      </c>
      <c r="S2733" s="5">
        <f t="shared" si="128"/>
        <v>-39336.873949579836</v>
      </c>
    </row>
    <row r="2734" spans="1:19" hidden="1" x14ac:dyDescent="0.3">
      <c r="A2734">
        <v>150</v>
      </c>
      <c r="B2734" t="s">
        <v>4361</v>
      </c>
      <c r="C2734" t="s">
        <v>423</v>
      </c>
      <c r="D2734" s="2" t="s">
        <v>424</v>
      </c>
      <c r="E2734" t="s">
        <v>425</v>
      </c>
      <c r="F2734" t="s">
        <v>20</v>
      </c>
      <c r="G2734" t="s">
        <v>21</v>
      </c>
      <c r="H2734" t="s">
        <v>22</v>
      </c>
      <c r="I2734" t="s">
        <v>23</v>
      </c>
      <c r="J2734" t="s">
        <v>24</v>
      </c>
      <c r="K2734" s="2" t="s">
        <v>814</v>
      </c>
      <c r="L2734" t="s">
        <v>26</v>
      </c>
      <c r="M2734">
        <v>358217</v>
      </c>
      <c r="N2734">
        <v>1</v>
      </c>
      <c r="O2734" s="3">
        <v>79951</v>
      </c>
      <c r="P2734" s="3">
        <v>27848</v>
      </c>
      <c r="Q2734" s="5">
        <f t="shared" si="126"/>
        <v>67185.71428571429</v>
      </c>
      <c r="R2734" s="5">
        <f t="shared" si="127"/>
        <v>27848</v>
      </c>
      <c r="S2734" s="5">
        <f t="shared" si="128"/>
        <v>39337.71428571429</v>
      </c>
    </row>
    <row r="2735" spans="1:19" hidden="1" x14ac:dyDescent="0.3">
      <c r="A2735">
        <v>150</v>
      </c>
      <c r="B2735" t="s">
        <v>4361</v>
      </c>
      <c r="C2735" t="s">
        <v>4231</v>
      </c>
      <c r="D2735" s="2" t="s">
        <v>4232</v>
      </c>
      <c r="E2735" t="s">
        <v>2844</v>
      </c>
      <c r="F2735" t="s">
        <v>20</v>
      </c>
      <c r="G2735" t="s">
        <v>338</v>
      </c>
      <c r="H2735">
        <v>24722</v>
      </c>
      <c r="I2735" t="s">
        <v>23</v>
      </c>
      <c r="J2735" t="s">
        <v>95</v>
      </c>
      <c r="K2735" s="2" t="s">
        <v>814</v>
      </c>
      <c r="L2735" t="s">
        <v>26</v>
      </c>
      <c r="M2735">
        <v>358218</v>
      </c>
      <c r="N2735">
        <v>1</v>
      </c>
      <c r="O2735" s="3">
        <v>89950</v>
      </c>
      <c r="P2735" s="3">
        <v>30987</v>
      </c>
      <c r="Q2735" s="5">
        <f t="shared" si="126"/>
        <v>75588.23529411765</v>
      </c>
      <c r="R2735" s="5">
        <f t="shared" si="127"/>
        <v>30987</v>
      </c>
      <c r="S2735" s="5">
        <f t="shared" si="128"/>
        <v>44601.23529411765</v>
      </c>
    </row>
    <row r="2736" spans="1:19" hidden="1" x14ac:dyDescent="0.3">
      <c r="A2736">
        <v>150</v>
      </c>
      <c r="B2736" t="s">
        <v>4361</v>
      </c>
      <c r="C2736" t="s">
        <v>4231</v>
      </c>
      <c r="D2736" s="2" t="s">
        <v>4232</v>
      </c>
      <c r="E2736" t="s">
        <v>2844</v>
      </c>
      <c r="F2736" t="s">
        <v>20</v>
      </c>
      <c r="G2736" t="s">
        <v>338</v>
      </c>
      <c r="H2736">
        <v>24722</v>
      </c>
      <c r="I2736" t="s">
        <v>23</v>
      </c>
      <c r="J2736" t="s">
        <v>95</v>
      </c>
      <c r="K2736" s="2" t="s">
        <v>814</v>
      </c>
      <c r="L2736" t="s">
        <v>26</v>
      </c>
      <c r="M2736">
        <v>358219</v>
      </c>
      <c r="N2736">
        <v>1</v>
      </c>
      <c r="O2736" s="3">
        <v>89950</v>
      </c>
      <c r="P2736" s="3">
        <v>30987</v>
      </c>
      <c r="Q2736" s="5">
        <f t="shared" si="126"/>
        <v>75588.23529411765</v>
      </c>
      <c r="R2736" s="5">
        <f t="shared" si="127"/>
        <v>30987</v>
      </c>
      <c r="S2736" s="5">
        <f t="shared" si="128"/>
        <v>44601.23529411765</v>
      </c>
    </row>
    <row r="2737" spans="1:19" hidden="1" x14ac:dyDescent="0.3">
      <c r="A2737">
        <v>150</v>
      </c>
      <c r="B2737" t="s">
        <v>4361</v>
      </c>
      <c r="C2737" t="s">
        <v>4476</v>
      </c>
      <c r="D2737" s="2" t="s">
        <v>4477</v>
      </c>
      <c r="E2737" t="s">
        <v>1581</v>
      </c>
      <c r="F2737" t="s">
        <v>20</v>
      </c>
      <c r="G2737" t="s">
        <v>21</v>
      </c>
      <c r="H2737" t="s">
        <v>1582</v>
      </c>
      <c r="I2737" t="s">
        <v>23</v>
      </c>
      <c r="J2737" t="s">
        <v>207</v>
      </c>
      <c r="K2737" s="2" t="s">
        <v>814</v>
      </c>
      <c r="L2737" t="s">
        <v>26</v>
      </c>
      <c r="M2737">
        <v>358220</v>
      </c>
      <c r="N2737">
        <v>-1</v>
      </c>
      <c r="O2737" s="3">
        <v>-52460</v>
      </c>
      <c r="P2737" s="3">
        <v>24559</v>
      </c>
      <c r="Q2737" s="5">
        <f t="shared" si="126"/>
        <v>-44084.033613445383</v>
      </c>
      <c r="R2737" s="5">
        <f t="shared" si="127"/>
        <v>-24559</v>
      </c>
      <c r="S2737" s="5">
        <f t="shared" si="128"/>
        <v>-19525.033613445383</v>
      </c>
    </row>
    <row r="2738" spans="1:19" hidden="1" x14ac:dyDescent="0.3">
      <c r="A2738">
        <v>150</v>
      </c>
      <c r="B2738" t="s">
        <v>4361</v>
      </c>
      <c r="C2738" t="s">
        <v>3358</v>
      </c>
      <c r="D2738" s="2" t="s">
        <v>3359</v>
      </c>
      <c r="E2738" t="s">
        <v>2069</v>
      </c>
      <c r="F2738" t="s">
        <v>20</v>
      </c>
      <c r="G2738" t="s">
        <v>21</v>
      </c>
      <c r="H2738" t="s">
        <v>2070</v>
      </c>
      <c r="I2738" t="s">
        <v>23</v>
      </c>
      <c r="J2738" t="s">
        <v>35</v>
      </c>
      <c r="K2738" s="2" t="s">
        <v>814</v>
      </c>
      <c r="L2738" t="s">
        <v>26</v>
      </c>
      <c r="M2738">
        <v>358220</v>
      </c>
      <c r="N2738">
        <v>1</v>
      </c>
      <c r="O2738" s="3">
        <v>89950</v>
      </c>
      <c r="P2738" s="3">
        <v>29635</v>
      </c>
      <c r="Q2738" s="5">
        <f t="shared" si="126"/>
        <v>75588.23529411765</v>
      </c>
      <c r="R2738" s="5">
        <f t="shared" si="127"/>
        <v>29635</v>
      </c>
      <c r="S2738" s="5">
        <f t="shared" si="128"/>
        <v>45953.23529411765</v>
      </c>
    </row>
    <row r="2739" spans="1:19" hidden="1" x14ac:dyDescent="0.3">
      <c r="A2739">
        <v>150</v>
      </c>
      <c r="B2739" t="s">
        <v>4361</v>
      </c>
      <c r="C2739" t="s">
        <v>3092</v>
      </c>
      <c r="D2739" s="2" t="s">
        <v>3093</v>
      </c>
      <c r="E2739" t="s">
        <v>2589</v>
      </c>
      <c r="F2739" t="s">
        <v>20</v>
      </c>
      <c r="G2739" t="s">
        <v>21</v>
      </c>
      <c r="H2739" t="s">
        <v>53</v>
      </c>
      <c r="I2739" t="s">
        <v>23</v>
      </c>
      <c r="J2739" t="s">
        <v>49</v>
      </c>
      <c r="K2739" s="2" t="s">
        <v>814</v>
      </c>
      <c r="L2739" t="s">
        <v>26</v>
      </c>
      <c r="M2739">
        <v>358221</v>
      </c>
      <c r="N2739">
        <v>1</v>
      </c>
      <c r="O2739" s="3">
        <v>49990</v>
      </c>
      <c r="P2739" s="3">
        <v>22764</v>
      </c>
      <c r="Q2739" s="5">
        <f t="shared" si="126"/>
        <v>42008.403361344543</v>
      </c>
      <c r="R2739" s="5">
        <f t="shared" si="127"/>
        <v>22764</v>
      </c>
      <c r="S2739" s="5">
        <f t="shared" si="128"/>
        <v>19244.403361344543</v>
      </c>
    </row>
    <row r="2740" spans="1:19" hidden="1" x14ac:dyDescent="0.3">
      <c r="A2740">
        <v>150</v>
      </c>
      <c r="B2740" t="s">
        <v>4361</v>
      </c>
      <c r="C2740" t="s">
        <v>1037</v>
      </c>
      <c r="D2740" s="2" t="s">
        <v>1038</v>
      </c>
      <c r="E2740" t="s">
        <v>1039</v>
      </c>
      <c r="F2740" t="s">
        <v>377</v>
      </c>
      <c r="G2740" t="s">
        <v>21</v>
      </c>
      <c r="H2740" t="s">
        <v>378</v>
      </c>
      <c r="I2740" t="s">
        <v>23</v>
      </c>
      <c r="J2740" t="s">
        <v>379</v>
      </c>
      <c r="K2740" s="2" t="s">
        <v>814</v>
      </c>
      <c r="L2740" t="s">
        <v>26</v>
      </c>
      <c r="M2740">
        <v>358222</v>
      </c>
      <c r="N2740">
        <v>1</v>
      </c>
      <c r="O2740" s="3">
        <v>5950</v>
      </c>
      <c r="P2740" s="3">
        <v>3257</v>
      </c>
      <c r="Q2740" s="5">
        <f t="shared" si="126"/>
        <v>5000</v>
      </c>
      <c r="R2740" s="5">
        <f t="shared" si="127"/>
        <v>3257</v>
      </c>
      <c r="S2740" s="5">
        <f t="shared" si="128"/>
        <v>1743</v>
      </c>
    </row>
    <row r="2741" spans="1:19" hidden="1" x14ac:dyDescent="0.3">
      <c r="A2741">
        <v>150</v>
      </c>
      <c r="B2741" t="s">
        <v>4361</v>
      </c>
      <c r="C2741" t="s">
        <v>2485</v>
      </c>
      <c r="D2741" s="2" t="s">
        <v>2486</v>
      </c>
      <c r="E2741" t="s">
        <v>2487</v>
      </c>
      <c r="F2741" t="s">
        <v>377</v>
      </c>
      <c r="G2741" t="s">
        <v>21</v>
      </c>
      <c r="H2741" t="s">
        <v>378</v>
      </c>
      <c r="I2741" t="s">
        <v>23</v>
      </c>
      <c r="J2741" t="s">
        <v>379</v>
      </c>
      <c r="K2741" s="2" t="s">
        <v>814</v>
      </c>
      <c r="L2741" t="s">
        <v>26</v>
      </c>
      <c r="M2741">
        <v>358223</v>
      </c>
      <c r="N2741">
        <v>1</v>
      </c>
      <c r="O2741" s="3">
        <v>5950</v>
      </c>
      <c r="P2741" s="3">
        <v>2243</v>
      </c>
      <c r="Q2741" s="5">
        <f t="shared" si="126"/>
        <v>5000</v>
      </c>
      <c r="R2741" s="5">
        <f t="shared" si="127"/>
        <v>2243</v>
      </c>
      <c r="S2741" s="5">
        <f t="shared" si="128"/>
        <v>2757</v>
      </c>
    </row>
    <row r="2742" spans="1:19" hidden="1" x14ac:dyDescent="0.3">
      <c r="A2742">
        <v>150</v>
      </c>
      <c r="B2742" t="s">
        <v>4361</v>
      </c>
      <c r="C2742" t="s">
        <v>4478</v>
      </c>
      <c r="D2742" s="2" t="s">
        <v>4479</v>
      </c>
      <c r="E2742" t="s">
        <v>1188</v>
      </c>
      <c r="F2742" t="s">
        <v>20</v>
      </c>
      <c r="G2742" t="s">
        <v>21</v>
      </c>
      <c r="H2742" t="s">
        <v>30</v>
      </c>
      <c r="I2742" t="s">
        <v>23</v>
      </c>
      <c r="J2742" t="s">
        <v>49</v>
      </c>
      <c r="K2742" s="2" t="s">
        <v>902</v>
      </c>
      <c r="L2742" t="s">
        <v>26</v>
      </c>
      <c r="M2742">
        <v>358224</v>
      </c>
      <c r="N2742">
        <v>1</v>
      </c>
      <c r="O2742" s="3">
        <v>69950</v>
      </c>
      <c r="P2742" s="3">
        <v>25039</v>
      </c>
      <c r="Q2742" s="5">
        <f t="shared" si="126"/>
        <v>58781.512605042022</v>
      </c>
      <c r="R2742" s="5">
        <f t="shared" si="127"/>
        <v>25039</v>
      </c>
      <c r="S2742" s="5">
        <f t="shared" si="128"/>
        <v>33742.512605042022</v>
      </c>
    </row>
    <row r="2743" spans="1:19" hidden="1" x14ac:dyDescent="0.3">
      <c r="A2743">
        <v>150</v>
      </c>
      <c r="B2743" t="s">
        <v>4361</v>
      </c>
      <c r="C2743" t="s">
        <v>2158</v>
      </c>
      <c r="D2743" s="2" t="s">
        <v>2159</v>
      </c>
      <c r="E2743" t="s">
        <v>2160</v>
      </c>
      <c r="F2743" t="s">
        <v>20</v>
      </c>
      <c r="G2743" t="s">
        <v>21</v>
      </c>
      <c r="H2743" t="s">
        <v>970</v>
      </c>
      <c r="I2743" t="s">
        <v>23</v>
      </c>
      <c r="J2743" t="s">
        <v>40</v>
      </c>
      <c r="K2743" s="2" t="s">
        <v>902</v>
      </c>
      <c r="L2743" t="s">
        <v>26</v>
      </c>
      <c r="M2743">
        <v>358225</v>
      </c>
      <c r="N2743">
        <v>1</v>
      </c>
      <c r="O2743" s="3">
        <v>49990</v>
      </c>
      <c r="P2743" s="3">
        <v>18264</v>
      </c>
      <c r="Q2743" s="5">
        <f t="shared" si="126"/>
        <v>42008.403361344543</v>
      </c>
      <c r="R2743" s="5">
        <f t="shared" si="127"/>
        <v>18264</v>
      </c>
      <c r="S2743" s="5">
        <f t="shared" si="128"/>
        <v>23744.403361344543</v>
      </c>
    </row>
    <row r="2744" spans="1:19" hidden="1" x14ac:dyDescent="0.3">
      <c r="A2744">
        <v>150</v>
      </c>
      <c r="B2744" t="s">
        <v>4361</v>
      </c>
      <c r="C2744" t="s">
        <v>4480</v>
      </c>
      <c r="D2744" s="2" t="s">
        <v>4481</v>
      </c>
      <c r="E2744" t="s">
        <v>617</v>
      </c>
      <c r="F2744" t="s">
        <v>20</v>
      </c>
      <c r="G2744" t="s">
        <v>21</v>
      </c>
      <c r="H2744" t="s">
        <v>618</v>
      </c>
      <c r="I2744" t="s">
        <v>23</v>
      </c>
      <c r="J2744" t="s">
        <v>40</v>
      </c>
      <c r="K2744" s="2" t="s">
        <v>902</v>
      </c>
      <c r="L2744" t="s">
        <v>26</v>
      </c>
      <c r="M2744">
        <v>358225</v>
      </c>
      <c r="N2744">
        <v>1</v>
      </c>
      <c r="O2744" s="3">
        <v>34990</v>
      </c>
      <c r="P2744" s="3">
        <v>16817</v>
      </c>
      <c r="Q2744" s="5">
        <f t="shared" si="126"/>
        <v>29403.361344537818</v>
      </c>
      <c r="R2744" s="5">
        <f t="shared" si="127"/>
        <v>16817</v>
      </c>
      <c r="S2744" s="5">
        <f t="shared" si="128"/>
        <v>12586.361344537818</v>
      </c>
    </row>
    <row r="2745" spans="1:19" hidden="1" x14ac:dyDescent="0.3">
      <c r="A2745">
        <v>150</v>
      </c>
      <c r="B2745" t="s">
        <v>4361</v>
      </c>
      <c r="C2745" t="s">
        <v>2946</v>
      </c>
      <c r="D2745" s="2" t="s">
        <v>2947</v>
      </c>
      <c r="E2745" t="s">
        <v>1123</v>
      </c>
      <c r="F2745" t="s">
        <v>20</v>
      </c>
      <c r="G2745" t="s">
        <v>21</v>
      </c>
      <c r="H2745" t="s">
        <v>1124</v>
      </c>
      <c r="I2745" t="s">
        <v>23</v>
      </c>
      <c r="J2745" t="s">
        <v>24</v>
      </c>
      <c r="K2745" s="2" t="s">
        <v>902</v>
      </c>
      <c r="L2745" t="s">
        <v>26</v>
      </c>
      <c r="M2745">
        <v>358226</v>
      </c>
      <c r="N2745">
        <v>1</v>
      </c>
      <c r="O2745" s="3">
        <v>74950</v>
      </c>
      <c r="P2745" s="3">
        <v>25857</v>
      </c>
      <c r="Q2745" s="5">
        <f t="shared" si="126"/>
        <v>62983.193277310929</v>
      </c>
      <c r="R2745" s="5">
        <f t="shared" si="127"/>
        <v>25857</v>
      </c>
      <c r="S2745" s="5">
        <f t="shared" si="128"/>
        <v>37126.193277310929</v>
      </c>
    </row>
    <row r="2746" spans="1:19" hidden="1" x14ac:dyDescent="0.3">
      <c r="A2746">
        <v>150</v>
      </c>
      <c r="B2746" t="s">
        <v>4361</v>
      </c>
      <c r="C2746" t="s">
        <v>4482</v>
      </c>
      <c r="D2746" s="2" t="s">
        <v>4483</v>
      </c>
      <c r="E2746" t="s">
        <v>4484</v>
      </c>
      <c r="F2746" t="s">
        <v>20</v>
      </c>
      <c r="G2746" t="s">
        <v>21</v>
      </c>
      <c r="H2746" t="s">
        <v>958</v>
      </c>
      <c r="I2746" t="s">
        <v>23</v>
      </c>
      <c r="J2746" t="s">
        <v>40</v>
      </c>
      <c r="K2746" s="2" t="s">
        <v>902</v>
      </c>
      <c r="L2746" t="s">
        <v>26</v>
      </c>
      <c r="M2746">
        <v>358227</v>
      </c>
      <c r="N2746">
        <v>1</v>
      </c>
      <c r="O2746" s="3">
        <v>34990</v>
      </c>
      <c r="P2746" s="3">
        <v>15744</v>
      </c>
      <c r="Q2746" s="5">
        <f t="shared" si="126"/>
        <v>29403.361344537818</v>
      </c>
      <c r="R2746" s="5">
        <f t="shared" si="127"/>
        <v>15744</v>
      </c>
      <c r="S2746" s="5">
        <f t="shared" si="128"/>
        <v>13659.361344537818</v>
      </c>
    </row>
    <row r="2747" spans="1:19" hidden="1" x14ac:dyDescent="0.3">
      <c r="A2747">
        <v>150</v>
      </c>
      <c r="B2747" t="s">
        <v>4361</v>
      </c>
      <c r="C2747" t="s">
        <v>4485</v>
      </c>
      <c r="D2747" s="2" t="s">
        <v>4486</v>
      </c>
      <c r="E2747" t="s">
        <v>869</v>
      </c>
      <c r="F2747" t="s">
        <v>20</v>
      </c>
      <c r="G2747" t="s">
        <v>21</v>
      </c>
      <c r="H2747" t="s">
        <v>870</v>
      </c>
      <c r="I2747" t="s">
        <v>23</v>
      </c>
      <c r="J2747" t="s">
        <v>35</v>
      </c>
      <c r="K2747" s="2" t="s">
        <v>902</v>
      </c>
      <c r="L2747" t="s">
        <v>26</v>
      </c>
      <c r="M2747">
        <v>358228</v>
      </c>
      <c r="N2747">
        <v>1</v>
      </c>
      <c r="O2747" s="3">
        <v>69950</v>
      </c>
      <c r="P2747" s="3">
        <v>25434</v>
      </c>
      <c r="Q2747" s="5">
        <f t="shared" si="126"/>
        <v>58781.512605042022</v>
      </c>
      <c r="R2747" s="5">
        <f t="shared" si="127"/>
        <v>25434</v>
      </c>
      <c r="S2747" s="5">
        <f t="shared" si="128"/>
        <v>33347.512605042022</v>
      </c>
    </row>
    <row r="2748" spans="1:19" hidden="1" x14ac:dyDescent="0.3">
      <c r="A2748">
        <v>150</v>
      </c>
      <c r="B2748" t="s">
        <v>4361</v>
      </c>
      <c r="C2748" t="s">
        <v>2525</v>
      </c>
      <c r="D2748" s="2" t="s">
        <v>2526</v>
      </c>
      <c r="E2748" t="s">
        <v>2527</v>
      </c>
      <c r="F2748" t="s">
        <v>377</v>
      </c>
      <c r="G2748" t="s">
        <v>21</v>
      </c>
      <c r="H2748" t="s">
        <v>378</v>
      </c>
      <c r="I2748" t="s">
        <v>23</v>
      </c>
      <c r="J2748" t="s">
        <v>2459</v>
      </c>
      <c r="K2748" s="2" t="s">
        <v>902</v>
      </c>
      <c r="L2748" t="s">
        <v>26</v>
      </c>
      <c r="M2748">
        <v>358229</v>
      </c>
      <c r="N2748">
        <v>1</v>
      </c>
      <c r="O2748" s="3">
        <v>6950</v>
      </c>
      <c r="P2748" s="3">
        <v>2964</v>
      </c>
      <c r="Q2748" s="5">
        <f t="shared" si="126"/>
        <v>5840.3361344537816</v>
      </c>
      <c r="R2748" s="5">
        <f t="shared" si="127"/>
        <v>2964</v>
      </c>
      <c r="S2748" s="5">
        <f t="shared" si="128"/>
        <v>2876.3361344537816</v>
      </c>
    </row>
    <row r="2749" spans="1:19" hidden="1" x14ac:dyDescent="0.3">
      <c r="A2749">
        <v>150</v>
      </c>
      <c r="B2749" t="s">
        <v>4361</v>
      </c>
      <c r="C2749" t="s">
        <v>4487</v>
      </c>
      <c r="D2749" s="2" t="s">
        <v>4488</v>
      </c>
      <c r="E2749" t="s">
        <v>1336</v>
      </c>
      <c r="F2749" t="s">
        <v>20</v>
      </c>
      <c r="G2749" t="s">
        <v>21</v>
      </c>
      <c r="H2749" t="s">
        <v>1337</v>
      </c>
      <c r="I2749" t="s">
        <v>23</v>
      </c>
      <c r="J2749" t="s">
        <v>49</v>
      </c>
      <c r="K2749" s="2" t="s">
        <v>902</v>
      </c>
      <c r="L2749" t="s">
        <v>26</v>
      </c>
      <c r="M2749">
        <v>358230</v>
      </c>
      <c r="N2749">
        <v>1</v>
      </c>
      <c r="O2749" s="3">
        <v>59950</v>
      </c>
      <c r="P2749" s="3">
        <v>19096</v>
      </c>
      <c r="Q2749" s="5">
        <f t="shared" si="126"/>
        <v>50378.151260504201</v>
      </c>
      <c r="R2749" s="5">
        <f t="shared" si="127"/>
        <v>19096</v>
      </c>
      <c r="S2749" s="5">
        <f t="shared" si="128"/>
        <v>31282.151260504201</v>
      </c>
    </row>
    <row r="2750" spans="1:19" hidden="1" x14ac:dyDescent="0.3">
      <c r="A2750">
        <v>150</v>
      </c>
      <c r="B2750" t="s">
        <v>4361</v>
      </c>
      <c r="C2750" t="s">
        <v>4489</v>
      </c>
      <c r="D2750" s="2" t="s">
        <v>4490</v>
      </c>
      <c r="E2750" t="s">
        <v>3666</v>
      </c>
      <c r="F2750" t="s">
        <v>20</v>
      </c>
      <c r="G2750" t="s">
        <v>338</v>
      </c>
      <c r="H2750">
        <v>24316</v>
      </c>
      <c r="I2750" t="s">
        <v>23</v>
      </c>
      <c r="J2750" t="s">
        <v>49</v>
      </c>
      <c r="K2750" s="2" t="s">
        <v>902</v>
      </c>
      <c r="L2750" t="s">
        <v>26</v>
      </c>
      <c r="M2750">
        <v>358231</v>
      </c>
      <c r="N2750">
        <v>1</v>
      </c>
      <c r="O2750" s="3">
        <v>74950</v>
      </c>
      <c r="P2750" s="3">
        <v>23473</v>
      </c>
      <c r="Q2750" s="5">
        <f t="shared" si="126"/>
        <v>62983.193277310929</v>
      </c>
      <c r="R2750" s="5">
        <f t="shared" si="127"/>
        <v>23473</v>
      </c>
      <c r="S2750" s="5">
        <f t="shared" si="128"/>
        <v>39510.193277310929</v>
      </c>
    </row>
    <row r="2751" spans="1:19" hidden="1" x14ac:dyDescent="0.3">
      <c r="A2751">
        <v>150</v>
      </c>
      <c r="B2751" t="s">
        <v>4361</v>
      </c>
      <c r="C2751" t="s">
        <v>3343</v>
      </c>
      <c r="D2751" s="2" t="s">
        <v>3344</v>
      </c>
      <c r="E2751" t="s">
        <v>3345</v>
      </c>
      <c r="F2751" t="s">
        <v>20</v>
      </c>
      <c r="G2751" t="s">
        <v>338</v>
      </c>
      <c r="H2751">
        <v>25354</v>
      </c>
      <c r="I2751" t="s">
        <v>23</v>
      </c>
      <c r="J2751" t="s">
        <v>35</v>
      </c>
      <c r="K2751" s="2" t="s">
        <v>902</v>
      </c>
      <c r="L2751" t="s">
        <v>26</v>
      </c>
      <c r="M2751">
        <v>358232</v>
      </c>
      <c r="N2751">
        <v>1</v>
      </c>
      <c r="O2751" s="3">
        <v>69950</v>
      </c>
      <c r="P2751" s="3">
        <v>21167</v>
      </c>
      <c r="Q2751" s="5">
        <f t="shared" si="126"/>
        <v>58781.512605042022</v>
      </c>
      <c r="R2751" s="5">
        <f t="shared" si="127"/>
        <v>21167</v>
      </c>
      <c r="S2751" s="5">
        <f t="shared" si="128"/>
        <v>37614.512605042022</v>
      </c>
    </row>
    <row r="2752" spans="1:19" hidden="1" x14ac:dyDescent="0.3">
      <c r="A2752">
        <v>150</v>
      </c>
      <c r="B2752" t="s">
        <v>4361</v>
      </c>
      <c r="C2752" t="s">
        <v>4491</v>
      </c>
      <c r="D2752" s="2" t="s">
        <v>4492</v>
      </c>
      <c r="E2752" t="s">
        <v>3449</v>
      </c>
      <c r="F2752" t="s">
        <v>20</v>
      </c>
      <c r="G2752" t="s">
        <v>338</v>
      </c>
      <c r="H2752">
        <v>25366</v>
      </c>
      <c r="I2752" t="s">
        <v>23</v>
      </c>
      <c r="J2752" t="s">
        <v>35</v>
      </c>
      <c r="K2752" s="2" t="s">
        <v>902</v>
      </c>
      <c r="L2752" t="s">
        <v>26</v>
      </c>
      <c r="M2752">
        <v>358232</v>
      </c>
      <c r="N2752">
        <v>1</v>
      </c>
      <c r="O2752" s="3">
        <v>99950</v>
      </c>
      <c r="P2752" s="3">
        <v>33157</v>
      </c>
      <c r="Q2752" s="5">
        <f t="shared" si="126"/>
        <v>83991.596638655465</v>
      </c>
      <c r="R2752" s="5">
        <f t="shared" si="127"/>
        <v>33157</v>
      </c>
      <c r="S2752" s="5">
        <f t="shared" si="128"/>
        <v>50834.596638655465</v>
      </c>
    </row>
    <row r="2753" spans="1:19" hidden="1" x14ac:dyDescent="0.3">
      <c r="A2753">
        <v>150</v>
      </c>
      <c r="B2753" t="s">
        <v>4361</v>
      </c>
      <c r="C2753" t="s">
        <v>4493</v>
      </c>
      <c r="D2753" s="2" t="s">
        <v>4494</v>
      </c>
      <c r="E2753" t="s">
        <v>4495</v>
      </c>
      <c r="F2753" t="s">
        <v>20</v>
      </c>
      <c r="G2753" t="s">
        <v>21</v>
      </c>
      <c r="H2753" t="s">
        <v>243</v>
      </c>
      <c r="I2753" t="s">
        <v>23</v>
      </c>
      <c r="J2753" t="s">
        <v>35</v>
      </c>
      <c r="K2753" s="2" t="s">
        <v>902</v>
      </c>
      <c r="L2753" t="s">
        <v>26</v>
      </c>
      <c r="M2753">
        <v>358233</v>
      </c>
      <c r="N2753">
        <v>1</v>
      </c>
      <c r="O2753" s="3">
        <v>109950</v>
      </c>
      <c r="P2753" s="3">
        <v>62858</v>
      </c>
      <c r="Q2753" s="5">
        <f t="shared" si="126"/>
        <v>92394.957983193279</v>
      </c>
      <c r="R2753" s="5">
        <f t="shared" si="127"/>
        <v>62858</v>
      </c>
      <c r="S2753" s="5">
        <f t="shared" si="128"/>
        <v>29536.957983193279</v>
      </c>
    </row>
    <row r="2754" spans="1:19" hidden="1" x14ac:dyDescent="0.3">
      <c r="A2754">
        <v>150</v>
      </c>
      <c r="B2754" t="s">
        <v>4361</v>
      </c>
      <c r="C2754" t="s">
        <v>3532</v>
      </c>
      <c r="D2754" s="2" t="s">
        <v>3533</v>
      </c>
      <c r="E2754" t="s">
        <v>2844</v>
      </c>
      <c r="F2754" t="s">
        <v>20</v>
      </c>
      <c r="G2754" t="s">
        <v>338</v>
      </c>
      <c r="H2754">
        <v>24722</v>
      </c>
      <c r="I2754" t="s">
        <v>23</v>
      </c>
      <c r="J2754" t="s">
        <v>95</v>
      </c>
      <c r="K2754" s="2" t="s">
        <v>999</v>
      </c>
      <c r="L2754" t="s">
        <v>26</v>
      </c>
      <c r="M2754">
        <v>358234</v>
      </c>
      <c r="N2754">
        <v>1</v>
      </c>
      <c r="O2754" s="3">
        <v>89951</v>
      </c>
      <c r="P2754" s="3">
        <v>30987</v>
      </c>
      <c r="Q2754" s="5">
        <f t="shared" si="126"/>
        <v>75589.075630252104</v>
      </c>
      <c r="R2754" s="5">
        <f t="shared" si="127"/>
        <v>30987</v>
      </c>
      <c r="S2754" s="5">
        <f t="shared" si="128"/>
        <v>44602.075630252104</v>
      </c>
    </row>
    <row r="2755" spans="1:19" hidden="1" x14ac:dyDescent="0.3">
      <c r="A2755">
        <v>150</v>
      </c>
      <c r="B2755" t="s">
        <v>4361</v>
      </c>
      <c r="C2755" t="s">
        <v>4231</v>
      </c>
      <c r="D2755" s="2" t="s">
        <v>4232</v>
      </c>
      <c r="E2755" t="s">
        <v>2844</v>
      </c>
      <c r="F2755" t="s">
        <v>20</v>
      </c>
      <c r="G2755" t="s">
        <v>338</v>
      </c>
      <c r="H2755">
        <v>24722</v>
      </c>
      <c r="I2755" t="s">
        <v>23</v>
      </c>
      <c r="J2755" t="s">
        <v>95</v>
      </c>
      <c r="K2755" s="2" t="s">
        <v>999</v>
      </c>
      <c r="L2755" t="s">
        <v>26</v>
      </c>
      <c r="M2755">
        <v>358234</v>
      </c>
      <c r="N2755">
        <v>-1</v>
      </c>
      <c r="O2755" s="3">
        <v>-89950</v>
      </c>
      <c r="P2755" s="3">
        <v>30987</v>
      </c>
      <c r="Q2755" s="5">
        <f t="shared" si="126"/>
        <v>-75588.23529411765</v>
      </c>
      <c r="R2755" s="5">
        <f t="shared" si="127"/>
        <v>-30987</v>
      </c>
      <c r="S2755" s="5">
        <f t="shared" si="128"/>
        <v>-44601.23529411765</v>
      </c>
    </row>
    <row r="2756" spans="1:19" hidden="1" x14ac:dyDescent="0.3">
      <c r="A2756">
        <v>150</v>
      </c>
      <c r="B2756" t="s">
        <v>4361</v>
      </c>
      <c r="C2756" t="s">
        <v>4334</v>
      </c>
      <c r="D2756" s="2" t="s">
        <v>4335</v>
      </c>
      <c r="E2756" t="s">
        <v>4291</v>
      </c>
      <c r="F2756" t="s">
        <v>20</v>
      </c>
      <c r="G2756" t="s">
        <v>21</v>
      </c>
      <c r="H2756" t="s">
        <v>285</v>
      </c>
      <c r="I2756" t="s">
        <v>23</v>
      </c>
      <c r="J2756" t="s">
        <v>35</v>
      </c>
      <c r="K2756" s="2" t="s">
        <v>999</v>
      </c>
      <c r="L2756" t="s">
        <v>26</v>
      </c>
      <c r="M2756">
        <v>358235</v>
      </c>
      <c r="N2756">
        <v>1</v>
      </c>
      <c r="O2756" s="3">
        <v>79950</v>
      </c>
      <c r="P2756" s="3">
        <v>31481</v>
      </c>
      <c r="Q2756" s="5">
        <f t="shared" si="126"/>
        <v>67184.873949579836</v>
      </c>
      <c r="R2756" s="5">
        <f t="shared" si="127"/>
        <v>31481</v>
      </c>
      <c r="S2756" s="5">
        <f t="shared" si="128"/>
        <v>35703.873949579836</v>
      </c>
    </row>
    <row r="2757" spans="1:19" hidden="1" x14ac:dyDescent="0.3">
      <c r="A2757">
        <v>150</v>
      </c>
      <c r="B2757" t="s">
        <v>4361</v>
      </c>
      <c r="C2757" t="s">
        <v>2734</v>
      </c>
      <c r="D2757" s="2" t="s">
        <v>2735</v>
      </c>
      <c r="E2757" t="s">
        <v>2718</v>
      </c>
      <c r="F2757" t="s">
        <v>20</v>
      </c>
      <c r="G2757" t="s">
        <v>21</v>
      </c>
      <c r="H2757" t="s">
        <v>1887</v>
      </c>
      <c r="I2757" t="s">
        <v>23</v>
      </c>
      <c r="J2757" t="s">
        <v>40</v>
      </c>
      <c r="K2757" s="2" t="s">
        <v>999</v>
      </c>
      <c r="L2757" t="s">
        <v>26</v>
      </c>
      <c r="M2757">
        <v>358235</v>
      </c>
      <c r="N2757">
        <v>-1</v>
      </c>
      <c r="O2757" s="3">
        <v>-69950</v>
      </c>
      <c r="P2757" s="3">
        <v>22018</v>
      </c>
      <c r="Q2757" s="5">
        <f t="shared" si="126"/>
        <v>-58781.512605042022</v>
      </c>
      <c r="R2757" s="5">
        <f t="shared" si="127"/>
        <v>-22018</v>
      </c>
      <c r="S2757" s="5">
        <f t="shared" si="128"/>
        <v>-36763.512605042022</v>
      </c>
    </row>
    <row r="2758" spans="1:19" hidden="1" x14ac:dyDescent="0.3">
      <c r="A2758">
        <v>150</v>
      </c>
      <c r="B2758" t="s">
        <v>4361</v>
      </c>
      <c r="C2758" t="s">
        <v>4496</v>
      </c>
      <c r="D2758" s="2" t="s">
        <v>4497</v>
      </c>
      <c r="E2758" t="s">
        <v>3293</v>
      </c>
      <c r="F2758" t="s">
        <v>20</v>
      </c>
      <c r="G2758" t="s">
        <v>21</v>
      </c>
      <c r="H2758" t="s">
        <v>247</v>
      </c>
      <c r="I2758" t="s">
        <v>23</v>
      </c>
      <c r="J2758" t="s">
        <v>40</v>
      </c>
      <c r="K2758" s="2" t="s">
        <v>999</v>
      </c>
      <c r="L2758" t="s">
        <v>26</v>
      </c>
      <c r="M2758">
        <v>358236</v>
      </c>
      <c r="N2758">
        <v>1</v>
      </c>
      <c r="O2758" s="3">
        <v>34990</v>
      </c>
      <c r="P2758" s="3">
        <v>18016</v>
      </c>
      <c r="Q2758" s="5">
        <f t="shared" ref="Q2758:Q2821" si="129">O2758/1.19</f>
        <v>29403.361344537818</v>
      </c>
      <c r="R2758" s="5">
        <f t="shared" ref="R2758:R2821" si="130">N2758*P2758</f>
        <v>18016</v>
      </c>
      <c r="S2758" s="5">
        <f t="shared" ref="S2758:S2821" si="131">Q2758-R2758</f>
        <v>11387.361344537818</v>
      </c>
    </row>
    <row r="2759" spans="1:19" hidden="1" x14ac:dyDescent="0.3">
      <c r="A2759">
        <v>150</v>
      </c>
      <c r="B2759" t="s">
        <v>4361</v>
      </c>
      <c r="C2759" t="s">
        <v>4498</v>
      </c>
      <c r="D2759" s="2" t="s">
        <v>4499</v>
      </c>
      <c r="E2759" t="s">
        <v>2790</v>
      </c>
      <c r="F2759" t="s">
        <v>20</v>
      </c>
      <c r="G2759" t="s">
        <v>21</v>
      </c>
      <c r="H2759" t="s">
        <v>2759</v>
      </c>
      <c r="I2759" t="s">
        <v>23</v>
      </c>
      <c r="J2759" t="s">
        <v>35</v>
      </c>
      <c r="K2759" s="2" t="s">
        <v>999</v>
      </c>
      <c r="L2759" t="s">
        <v>26</v>
      </c>
      <c r="M2759">
        <v>358237</v>
      </c>
      <c r="N2759">
        <v>1</v>
      </c>
      <c r="O2759" s="3">
        <v>89950</v>
      </c>
      <c r="P2759" s="3">
        <v>30972</v>
      </c>
      <c r="Q2759" s="5">
        <f t="shared" si="129"/>
        <v>75588.23529411765</v>
      </c>
      <c r="R2759" s="5">
        <f t="shared" si="130"/>
        <v>30972</v>
      </c>
      <c r="S2759" s="5">
        <f t="shared" si="131"/>
        <v>44616.23529411765</v>
      </c>
    </row>
    <row r="2760" spans="1:19" hidden="1" x14ac:dyDescent="0.3">
      <c r="A2760">
        <v>150</v>
      </c>
      <c r="B2760" t="s">
        <v>4361</v>
      </c>
      <c r="C2760" t="s">
        <v>4500</v>
      </c>
      <c r="D2760" s="2" t="s">
        <v>4501</v>
      </c>
      <c r="E2760" t="s">
        <v>467</v>
      </c>
      <c r="F2760" t="s">
        <v>20</v>
      </c>
      <c r="G2760" t="s">
        <v>21</v>
      </c>
      <c r="H2760" t="s">
        <v>171</v>
      </c>
      <c r="I2760" t="s">
        <v>23</v>
      </c>
      <c r="J2760" t="s">
        <v>40</v>
      </c>
      <c r="K2760" s="2" t="s">
        <v>999</v>
      </c>
      <c r="L2760" t="s">
        <v>26</v>
      </c>
      <c r="M2760">
        <v>358238</v>
      </c>
      <c r="N2760">
        <v>1</v>
      </c>
      <c r="O2760" s="3">
        <v>59990</v>
      </c>
      <c r="P2760" s="3">
        <v>29948</v>
      </c>
      <c r="Q2760" s="5">
        <f t="shared" si="129"/>
        <v>50411.764705882357</v>
      </c>
      <c r="R2760" s="5">
        <f t="shared" si="130"/>
        <v>29948</v>
      </c>
      <c r="S2760" s="5">
        <f t="shared" si="131"/>
        <v>20463.764705882357</v>
      </c>
    </row>
    <row r="2761" spans="1:19" hidden="1" x14ac:dyDescent="0.3">
      <c r="A2761">
        <v>150</v>
      </c>
      <c r="B2761" t="s">
        <v>4361</v>
      </c>
      <c r="C2761" t="s">
        <v>4502</v>
      </c>
      <c r="D2761" s="2" t="s">
        <v>4503</v>
      </c>
      <c r="E2761" t="s">
        <v>3914</v>
      </c>
      <c r="F2761" t="s">
        <v>20</v>
      </c>
      <c r="G2761" t="s">
        <v>338</v>
      </c>
      <c r="H2761">
        <v>24316</v>
      </c>
      <c r="I2761" t="s">
        <v>23</v>
      </c>
      <c r="J2761" t="s">
        <v>49</v>
      </c>
      <c r="K2761" s="2" t="s">
        <v>999</v>
      </c>
      <c r="L2761" t="s">
        <v>26</v>
      </c>
      <c r="M2761">
        <v>358239</v>
      </c>
      <c r="N2761">
        <v>1</v>
      </c>
      <c r="O2761" s="3">
        <v>74950</v>
      </c>
      <c r="P2761" s="3">
        <v>23473</v>
      </c>
      <c r="Q2761" s="5">
        <f t="shared" si="129"/>
        <v>62983.193277310929</v>
      </c>
      <c r="R2761" s="5">
        <f t="shared" si="130"/>
        <v>23473</v>
      </c>
      <c r="S2761" s="5">
        <f t="shared" si="131"/>
        <v>39510.193277310929</v>
      </c>
    </row>
    <row r="2762" spans="1:19" hidden="1" x14ac:dyDescent="0.3">
      <c r="A2762">
        <v>150</v>
      </c>
      <c r="B2762" t="s">
        <v>4361</v>
      </c>
      <c r="C2762" t="s">
        <v>4504</v>
      </c>
      <c r="D2762" s="2" t="s">
        <v>4505</v>
      </c>
      <c r="E2762" t="s">
        <v>3651</v>
      </c>
      <c r="F2762" t="s">
        <v>20</v>
      </c>
      <c r="G2762" t="s">
        <v>21</v>
      </c>
      <c r="H2762" t="s">
        <v>970</v>
      </c>
      <c r="I2762" t="s">
        <v>23</v>
      </c>
      <c r="J2762" t="s">
        <v>40</v>
      </c>
      <c r="K2762" s="2" t="s">
        <v>999</v>
      </c>
      <c r="L2762" t="s">
        <v>26</v>
      </c>
      <c r="M2762">
        <v>358240</v>
      </c>
      <c r="N2762">
        <v>1</v>
      </c>
      <c r="O2762" s="3">
        <v>59950</v>
      </c>
      <c r="P2762" s="3">
        <v>18805</v>
      </c>
      <c r="Q2762" s="5">
        <f t="shared" si="129"/>
        <v>50378.151260504201</v>
      </c>
      <c r="R2762" s="5">
        <f t="shared" si="130"/>
        <v>18805</v>
      </c>
      <c r="S2762" s="5">
        <f t="shared" si="131"/>
        <v>31573.151260504201</v>
      </c>
    </row>
    <row r="2763" spans="1:19" hidden="1" x14ac:dyDescent="0.3">
      <c r="A2763">
        <v>150</v>
      </c>
      <c r="B2763" t="s">
        <v>4361</v>
      </c>
      <c r="C2763" t="s">
        <v>4237</v>
      </c>
      <c r="D2763" s="2" t="s">
        <v>4238</v>
      </c>
      <c r="E2763" t="s">
        <v>494</v>
      </c>
      <c r="F2763" t="s">
        <v>20</v>
      </c>
      <c r="G2763" t="s">
        <v>21</v>
      </c>
      <c r="H2763" t="s">
        <v>317</v>
      </c>
      <c r="I2763" t="s">
        <v>23</v>
      </c>
      <c r="J2763" t="s">
        <v>35</v>
      </c>
      <c r="K2763" s="2" t="s">
        <v>999</v>
      </c>
      <c r="L2763" t="s">
        <v>26</v>
      </c>
      <c r="M2763">
        <v>358241</v>
      </c>
      <c r="N2763">
        <v>1</v>
      </c>
      <c r="O2763" s="3">
        <v>69950</v>
      </c>
      <c r="P2763" s="3">
        <v>23619</v>
      </c>
      <c r="Q2763" s="5">
        <f t="shared" si="129"/>
        <v>58781.512605042022</v>
      </c>
      <c r="R2763" s="5">
        <f t="shared" si="130"/>
        <v>23619</v>
      </c>
      <c r="S2763" s="5">
        <f t="shared" si="131"/>
        <v>35162.512605042022</v>
      </c>
    </row>
    <row r="2764" spans="1:19" hidden="1" x14ac:dyDescent="0.3">
      <c r="A2764">
        <v>150</v>
      </c>
      <c r="B2764" t="s">
        <v>4361</v>
      </c>
      <c r="C2764" t="s">
        <v>3447</v>
      </c>
      <c r="D2764" s="2" t="s">
        <v>3448</v>
      </c>
      <c r="E2764" t="s">
        <v>3449</v>
      </c>
      <c r="F2764" t="s">
        <v>20</v>
      </c>
      <c r="G2764" t="s">
        <v>338</v>
      </c>
      <c r="H2764">
        <v>25366</v>
      </c>
      <c r="I2764" t="s">
        <v>23</v>
      </c>
      <c r="J2764" t="s">
        <v>35</v>
      </c>
      <c r="K2764" s="2" t="s">
        <v>999</v>
      </c>
      <c r="L2764" t="s">
        <v>26</v>
      </c>
      <c r="M2764">
        <v>358242</v>
      </c>
      <c r="N2764">
        <v>1</v>
      </c>
      <c r="O2764" s="3">
        <v>99950</v>
      </c>
      <c r="P2764" s="3">
        <v>33157</v>
      </c>
      <c r="Q2764" s="5">
        <f t="shared" si="129"/>
        <v>83991.596638655465</v>
      </c>
      <c r="R2764" s="5">
        <f t="shared" si="130"/>
        <v>33157</v>
      </c>
      <c r="S2764" s="5">
        <f t="shared" si="131"/>
        <v>50834.596638655465</v>
      </c>
    </row>
    <row r="2765" spans="1:19" hidden="1" x14ac:dyDescent="0.3">
      <c r="A2765">
        <v>150</v>
      </c>
      <c r="B2765" t="s">
        <v>4361</v>
      </c>
      <c r="C2765" t="s">
        <v>4506</v>
      </c>
      <c r="D2765" s="2" t="s">
        <v>4507</v>
      </c>
      <c r="E2765" t="s">
        <v>3048</v>
      </c>
      <c r="F2765" t="s">
        <v>20</v>
      </c>
      <c r="G2765" t="s">
        <v>21</v>
      </c>
      <c r="H2765" t="s">
        <v>2484</v>
      </c>
      <c r="I2765" t="s">
        <v>23</v>
      </c>
      <c r="J2765" t="s">
        <v>40</v>
      </c>
      <c r="K2765" s="2" t="s">
        <v>999</v>
      </c>
      <c r="L2765" t="s">
        <v>26</v>
      </c>
      <c r="M2765">
        <v>358243</v>
      </c>
      <c r="N2765">
        <v>1</v>
      </c>
      <c r="O2765" s="3">
        <v>59950</v>
      </c>
      <c r="P2765" s="3">
        <v>17503</v>
      </c>
      <c r="Q2765" s="5">
        <f t="shared" si="129"/>
        <v>50378.151260504201</v>
      </c>
      <c r="R2765" s="5">
        <f t="shared" si="130"/>
        <v>17503</v>
      </c>
      <c r="S2765" s="5">
        <f t="shared" si="131"/>
        <v>32875.151260504201</v>
      </c>
    </row>
    <row r="2766" spans="1:19" hidden="1" x14ac:dyDescent="0.3">
      <c r="A2766">
        <v>150</v>
      </c>
      <c r="B2766" t="s">
        <v>4361</v>
      </c>
      <c r="C2766" t="s">
        <v>4508</v>
      </c>
      <c r="D2766" s="2" t="s">
        <v>4509</v>
      </c>
      <c r="E2766" t="s">
        <v>3679</v>
      </c>
      <c r="F2766" t="s">
        <v>20</v>
      </c>
      <c r="G2766" t="s">
        <v>338</v>
      </c>
      <c r="H2766">
        <v>24200</v>
      </c>
      <c r="I2766" t="s">
        <v>23</v>
      </c>
      <c r="J2766" t="s">
        <v>95</v>
      </c>
      <c r="K2766" s="2" t="s">
        <v>999</v>
      </c>
      <c r="L2766" t="s">
        <v>26</v>
      </c>
      <c r="M2766">
        <v>358244</v>
      </c>
      <c r="N2766">
        <v>1</v>
      </c>
      <c r="O2766" s="3">
        <v>84950</v>
      </c>
      <c r="P2766" s="3">
        <v>27015</v>
      </c>
      <c r="Q2766" s="5">
        <f t="shared" si="129"/>
        <v>71386.554621848743</v>
      </c>
      <c r="R2766" s="5">
        <f t="shared" si="130"/>
        <v>27015</v>
      </c>
      <c r="S2766" s="5">
        <f t="shared" si="131"/>
        <v>44371.554621848743</v>
      </c>
    </row>
    <row r="2767" spans="1:19" hidden="1" x14ac:dyDescent="0.3">
      <c r="A2767">
        <v>150</v>
      </c>
      <c r="B2767" t="s">
        <v>4361</v>
      </c>
      <c r="C2767" t="s">
        <v>715</v>
      </c>
      <c r="D2767" s="2" t="s">
        <v>716</v>
      </c>
      <c r="E2767" t="s">
        <v>717</v>
      </c>
      <c r="F2767" t="s">
        <v>20</v>
      </c>
      <c r="G2767" t="s">
        <v>21</v>
      </c>
      <c r="H2767" t="s">
        <v>718</v>
      </c>
      <c r="I2767" t="s">
        <v>23</v>
      </c>
      <c r="J2767" t="s">
        <v>49</v>
      </c>
      <c r="K2767" s="2" t="s">
        <v>999</v>
      </c>
      <c r="L2767" t="s">
        <v>26</v>
      </c>
      <c r="M2767">
        <v>358245</v>
      </c>
      <c r="N2767">
        <v>1</v>
      </c>
      <c r="O2767" s="3">
        <v>39990</v>
      </c>
      <c r="P2767" s="3">
        <v>26649</v>
      </c>
      <c r="Q2767" s="5">
        <f t="shared" si="129"/>
        <v>33605.042016806721</v>
      </c>
      <c r="R2767" s="5">
        <f t="shared" si="130"/>
        <v>26649</v>
      </c>
      <c r="S2767" s="5">
        <f t="shared" si="131"/>
        <v>6956.0420168067212</v>
      </c>
    </row>
    <row r="2768" spans="1:19" hidden="1" x14ac:dyDescent="0.3">
      <c r="A2768">
        <v>150</v>
      </c>
      <c r="B2768" t="s">
        <v>4361</v>
      </c>
      <c r="C2768" t="s">
        <v>4510</v>
      </c>
      <c r="D2768" s="2" t="s">
        <v>4511</v>
      </c>
      <c r="E2768" t="s">
        <v>1237</v>
      </c>
      <c r="F2768" t="s">
        <v>20</v>
      </c>
      <c r="G2768" t="s">
        <v>21</v>
      </c>
      <c r="H2768" t="s">
        <v>618</v>
      </c>
      <c r="I2768" t="s">
        <v>23</v>
      </c>
      <c r="J2768" t="s">
        <v>40</v>
      </c>
      <c r="K2768" s="2" t="s">
        <v>999</v>
      </c>
      <c r="L2768" t="s">
        <v>26</v>
      </c>
      <c r="M2768">
        <v>358246</v>
      </c>
      <c r="N2768">
        <v>1</v>
      </c>
      <c r="O2768" s="3">
        <v>34990</v>
      </c>
      <c r="P2768" s="3">
        <v>16817</v>
      </c>
      <c r="Q2768" s="5">
        <f t="shared" si="129"/>
        <v>29403.361344537818</v>
      </c>
      <c r="R2768" s="5">
        <f t="shared" si="130"/>
        <v>16817</v>
      </c>
      <c r="S2768" s="5">
        <f t="shared" si="131"/>
        <v>12586.361344537818</v>
      </c>
    </row>
    <row r="2769" spans="1:19" hidden="1" x14ac:dyDescent="0.3">
      <c r="A2769">
        <v>150</v>
      </c>
      <c r="B2769" t="s">
        <v>4361</v>
      </c>
      <c r="C2769" t="s">
        <v>2218</v>
      </c>
      <c r="D2769" s="2" t="s">
        <v>2219</v>
      </c>
      <c r="E2769" t="s">
        <v>1185</v>
      </c>
      <c r="F2769" t="s">
        <v>20</v>
      </c>
      <c r="G2769" t="s">
        <v>21</v>
      </c>
      <c r="H2769" t="s">
        <v>285</v>
      </c>
      <c r="I2769" t="s">
        <v>23</v>
      </c>
      <c r="J2769" t="s">
        <v>49</v>
      </c>
      <c r="K2769" s="2" t="s">
        <v>999</v>
      </c>
      <c r="L2769" t="s">
        <v>26</v>
      </c>
      <c r="M2769">
        <v>358247</v>
      </c>
      <c r="N2769">
        <v>1</v>
      </c>
      <c r="O2769" s="3">
        <v>49990</v>
      </c>
      <c r="P2769" s="3">
        <v>28690</v>
      </c>
      <c r="Q2769" s="5">
        <f t="shared" si="129"/>
        <v>42008.403361344543</v>
      </c>
      <c r="R2769" s="5">
        <f t="shared" si="130"/>
        <v>28690</v>
      </c>
      <c r="S2769" s="5">
        <f t="shared" si="131"/>
        <v>13318.403361344543</v>
      </c>
    </row>
    <row r="2770" spans="1:19" hidden="1" x14ac:dyDescent="0.3">
      <c r="A2770">
        <v>150</v>
      </c>
      <c r="B2770" t="s">
        <v>4361</v>
      </c>
      <c r="C2770" t="s">
        <v>4512</v>
      </c>
      <c r="D2770" s="2" t="s">
        <v>4513</v>
      </c>
      <c r="E2770" t="s">
        <v>2208</v>
      </c>
      <c r="F2770" t="s">
        <v>20</v>
      </c>
      <c r="G2770" t="s">
        <v>338</v>
      </c>
      <c r="H2770">
        <v>25823</v>
      </c>
      <c r="I2770" t="s">
        <v>23</v>
      </c>
      <c r="J2770" t="s">
        <v>35</v>
      </c>
      <c r="K2770" s="2" t="s">
        <v>1072</v>
      </c>
      <c r="L2770" t="s">
        <v>26</v>
      </c>
      <c r="M2770">
        <v>358248</v>
      </c>
      <c r="N2770">
        <v>1</v>
      </c>
      <c r="O2770" s="3">
        <v>99950</v>
      </c>
      <c r="P2770" s="3">
        <v>33748</v>
      </c>
      <c r="Q2770" s="5">
        <f t="shared" si="129"/>
        <v>83991.596638655465</v>
      </c>
      <c r="R2770" s="5">
        <f t="shared" si="130"/>
        <v>33748</v>
      </c>
      <c r="S2770" s="5">
        <f t="shared" si="131"/>
        <v>50243.596638655465</v>
      </c>
    </row>
    <row r="2771" spans="1:19" hidden="1" x14ac:dyDescent="0.3">
      <c r="A2771">
        <v>150</v>
      </c>
      <c r="B2771" t="s">
        <v>4361</v>
      </c>
      <c r="C2771" t="s">
        <v>1037</v>
      </c>
      <c r="D2771" s="2" t="s">
        <v>1038</v>
      </c>
      <c r="E2771" t="s">
        <v>1039</v>
      </c>
      <c r="F2771" t="s">
        <v>377</v>
      </c>
      <c r="G2771" t="s">
        <v>21</v>
      </c>
      <c r="H2771" t="s">
        <v>378</v>
      </c>
      <c r="I2771" t="s">
        <v>23</v>
      </c>
      <c r="J2771" t="s">
        <v>379</v>
      </c>
      <c r="K2771" s="2" t="s">
        <v>1072</v>
      </c>
      <c r="L2771" t="s">
        <v>26</v>
      </c>
      <c r="M2771">
        <v>358248</v>
      </c>
      <c r="N2771">
        <v>1</v>
      </c>
      <c r="O2771" s="3">
        <v>5950</v>
      </c>
      <c r="P2771" s="3">
        <v>3257</v>
      </c>
      <c r="Q2771" s="5">
        <f t="shared" si="129"/>
        <v>5000</v>
      </c>
      <c r="R2771" s="5">
        <f t="shared" si="130"/>
        <v>3257</v>
      </c>
      <c r="S2771" s="5">
        <f t="shared" si="131"/>
        <v>1743</v>
      </c>
    </row>
    <row r="2772" spans="1:19" hidden="1" x14ac:dyDescent="0.3">
      <c r="A2772">
        <v>150</v>
      </c>
      <c r="B2772" t="s">
        <v>4361</v>
      </c>
      <c r="C2772" t="s">
        <v>1761</v>
      </c>
      <c r="D2772" s="2" t="s">
        <v>1762</v>
      </c>
      <c r="E2772" t="s">
        <v>1763</v>
      </c>
      <c r="F2772" t="s">
        <v>377</v>
      </c>
      <c r="G2772" t="s">
        <v>21</v>
      </c>
      <c r="H2772" t="s">
        <v>378</v>
      </c>
      <c r="I2772" t="s">
        <v>23</v>
      </c>
      <c r="J2772" t="s">
        <v>379</v>
      </c>
      <c r="K2772" s="2" t="s">
        <v>1072</v>
      </c>
      <c r="L2772" t="s">
        <v>26</v>
      </c>
      <c r="M2772">
        <v>358248</v>
      </c>
      <c r="N2772">
        <v>1</v>
      </c>
      <c r="O2772" s="3">
        <v>5950</v>
      </c>
      <c r="P2772" s="3">
        <v>3279</v>
      </c>
      <c r="Q2772" s="5">
        <f t="shared" si="129"/>
        <v>5000</v>
      </c>
      <c r="R2772" s="5">
        <f t="shared" si="130"/>
        <v>3279</v>
      </c>
      <c r="S2772" s="5">
        <f t="shared" si="131"/>
        <v>1721</v>
      </c>
    </row>
    <row r="2773" spans="1:19" hidden="1" x14ac:dyDescent="0.3">
      <c r="A2773">
        <v>150</v>
      </c>
      <c r="B2773" t="s">
        <v>4361</v>
      </c>
      <c r="C2773" t="s">
        <v>4514</v>
      </c>
      <c r="D2773" s="2" t="s">
        <v>4515</v>
      </c>
      <c r="E2773" t="s">
        <v>4455</v>
      </c>
      <c r="F2773" t="s">
        <v>377</v>
      </c>
      <c r="G2773" t="s">
        <v>21</v>
      </c>
      <c r="H2773" t="s">
        <v>378</v>
      </c>
      <c r="I2773" t="s">
        <v>23</v>
      </c>
      <c r="J2773" t="s">
        <v>2459</v>
      </c>
      <c r="K2773" s="2" t="s">
        <v>1072</v>
      </c>
      <c r="L2773" t="s">
        <v>26</v>
      </c>
      <c r="M2773">
        <v>358248</v>
      </c>
      <c r="N2773">
        <v>1</v>
      </c>
      <c r="O2773" s="3">
        <v>3950</v>
      </c>
      <c r="P2773" s="3">
        <v>1607</v>
      </c>
      <c r="Q2773" s="5">
        <f t="shared" si="129"/>
        <v>3319.3277310924373</v>
      </c>
      <c r="R2773" s="5">
        <f t="shared" si="130"/>
        <v>1607</v>
      </c>
      <c r="S2773" s="5">
        <f t="shared" si="131"/>
        <v>1712.3277310924373</v>
      </c>
    </row>
    <row r="2774" spans="1:19" hidden="1" x14ac:dyDescent="0.3">
      <c r="A2774">
        <v>150</v>
      </c>
      <c r="B2774" t="s">
        <v>4361</v>
      </c>
      <c r="C2774" t="s">
        <v>4516</v>
      </c>
      <c r="D2774" s="2" t="s">
        <v>4517</v>
      </c>
      <c r="E2774" t="s">
        <v>1443</v>
      </c>
      <c r="F2774" t="s">
        <v>20</v>
      </c>
      <c r="G2774" t="s">
        <v>338</v>
      </c>
      <c r="H2774">
        <v>25301</v>
      </c>
      <c r="I2774" t="s">
        <v>23</v>
      </c>
      <c r="J2774" t="s">
        <v>35</v>
      </c>
      <c r="K2774" s="2" t="s">
        <v>1072</v>
      </c>
      <c r="L2774" t="s">
        <v>26</v>
      </c>
      <c r="M2774">
        <v>358249</v>
      </c>
      <c r="N2774">
        <v>1</v>
      </c>
      <c r="O2774" s="3">
        <v>99950</v>
      </c>
      <c r="P2774" s="3">
        <v>34157</v>
      </c>
      <c r="Q2774" s="5">
        <f t="shared" si="129"/>
        <v>83991.596638655465</v>
      </c>
      <c r="R2774" s="5">
        <f t="shared" si="130"/>
        <v>34157</v>
      </c>
      <c r="S2774" s="5">
        <f t="shared" si="131"/>
        <v>49834.596638655465</v>
      </c>
    </row>
    <row r="2775" spans="1:19" hidden="1" x14ac:dyDescent="0.3">
      <c r="A2775">
        <v>150</v>
      </c>
      <c r="B2775" t="s">
        <v>4361</v>
      </c>
      <c r="C2775" t="s">
        <v>4370</v>
      </c>
      <c r="D2775" s="2" t="s">
        <v>4371</v>
      </c>
      <c r="E2775" t="s">
        <v>4372</v>
      </c>
      <c r="F2775" t="s">
        <v>20</v>
      </c>
      <c r="G2775" t="s">
        <v>21</v>
      </c>
      <c r="H2775" t="s">
        <v>2821</v>
      </c>
      <c r="I2775" t="s">
        <v>23</v>
      </c>
      <c r="J2775" t="s">
        <v>40</v>
      </c>
      <c r="K2775" s="2" t="s">
        <v>1072</v>
      </c>
      <c r="L2775" t="s">
        <v>26</v>
      </c>
      <c r="M2775">
        <v>358250</v>
      </c>
      <c r="N2775">
        <v>1</v>
      </c>
      <c r="O2775" s="3">
        <v>79950</v>
      </c>
      <c r="P2775" s="3">
        <v>32843</v>
      </c>
      <c r="Q2775" s="5">
        <f t="shared" si="129"/>
        <v>67184.873949579836</v>
      </c>
      <c r="R2775" s="5">
        <f t="shared" si="130"/>
        <v>32843</v>
      </c>
      <c r="S2775" s="5">
        <f t="shared" si="131"/>
        <v>34341.873949579836</v>
      </c>
    </row>
    <row r="2776" spans="1:19" hidden="1" x14ac:dyDescent="0.3">
      <c r="A2776">
        <v>150</v>
      </c>
      <c r="B2776" t="s">
        <v>4361</v>
      </c>
      <c r="C2776" t="s">
        <v>1037</v>
      </c>
      <c r="D2776" s="2" t="s">
        <v>1038</v>
      </c>
      <c r="E2776" t="s">
        <v>1039</v>
      </c>
      <c r="F2776" t="s">
        <v>377</v>
      </c>
      <c r="G2776" t="s">
        <v>21</v>
      </c>
      <c r="H2776" t="s">
        <v>378</v>
      </c>
      <c r="I2776" t="s">
        <v>23</v>
      </c>
      <c r="J2776" t="s">
        <v>379</v>
      </c>
      <c r="K2776" s="2" t="s">
        <v>1072</v>
      </c>
      <c r="L2776" t="s">
        <v>26</v>
      </c>
      <c r="M2776">
        <v>358250</v>
      </c>
      <c r="N2776">
        <v>1</v>
      </c>
      <c r="O2776" s="3">
        <v>5950</v>
      </c>
      <c r="P2776" s="3">
        <v>3257</v>
      </c>
      <c r="Q2776" s="5">
        <f t="shared" si="129"/>
        <v>5000</v>
      </c>
      <c r="R2776" s="5">
        <f t="shared" si="130"/>
        <v>3257</v>
      </c>
      <c r="S2776" s="5">
        <f t="shared" si="131"/>
        <v>1743</v>
      </c>
    </row>
    <row r="2777" spans="1:19" hidden="1" x14ac:dyDescent="0.3">
      <c r="A2777">
        <v>150</v>
      </c>
      <c r="B2777" t="s">
        <v>4361</v>
      </c>
      <c r="C2777" t="s">
        <v>2575</v>
      </c>
      <c r="D2777" s="2" t="s">
        <v>2576</v>
      </c>
      <c r="E2777" t="s">
        <v>2577</v>
      </c>
      <c r="F2777" t="s">
        <v>377</v>
      </c>
      <c r="G2777" t="s">
        <v>21</v>
      </c>
      <c r="H2777" t="s">
        <v>378</v>
      </c>
      <c r="I2777" t="s">
        <v>23</v>
      </c>
      <c r="J2777" t="s">
        <v>379</v>
      </c>
      <c r="K2777" s="2" t="s">
        <v>1072</v>
      </c>
      <c r="L2777" t="s">
        <v>26</v>
      </c>
      <c r="M2777">
        <v>358250</v>
      </c>
      <c r="N2777">
        <v>1</v>
      </c>
      <c r="O2777" s="3">
        <v>5950</v>
      </c>
      <c r="P2777" s="3">
        <v>3307</v>
      </c>
      <c r="Q2777" s="5">
        <f t="shared" si="129"/>
        <v>5000</v>
      </c>
      <c r="R2777" s="5">
        <f t="shared" si="130"/>
        <v>3307</v>
      </c>
      <c r="S2777" s="5">
        <f t="shared" si="131"/>
        <v>1693</v>
      </c>
    </row>
    <row r="2778" spans="1:19" hidden="1" x14ac:dyDescent="0.3">
      <c r="A2778">
        <v>150</v>
      </c>
      <c r="B2778" t="s">
        <v>4361</v>
      </c>
      <c r="C2778" t="s">
        <v>1933</v>
      </c>
      <c r="D2778" s="2" t="s">
        <v>1934</v>
      </c>
      <c r="E2778" t="s">
        <v>1620</v>
      </c>
      <c r="F2778" t="s">
        <v>20</v>
      </c>
      <c r="G2778" t="s">
        <v>21</v>
      </c>
      <c r="H2778" t="s">
        <v>673</v>
      </c>
      <c r="I2778" t="s">
        <v>23</v>
      </c>
      <c r="J2778" t="s">
        <v>35</v>
      </c>
      <c r="K2778" s="2" t="s">
        <v>1072</v>
      </c>
      <c r="L2778" t="s">
        <v>26</v>
      </c>
      <c r="M2778">
        <v>358251</v>
      </c>
      <c r="N2778">
        <v>1</v>
      </c>
      <c r="O2778" s="3">
        <v>69990</v>
      </c>
      <c r="P2778" s="3">
        <v>37703</v>
      </c>
      <c r="Q2778" s="5">
        <f t="shared" si="129"/>
        <v>58815.126050420171</v>
      </c>
      <c r="R2778" s="5">
        <f t="shared" si="130"/>
        <v>37703</v>
      </c>
      <c r="S2778" s="5">
        <f t="shared" si="131"/>
        <v>21112.126050420171</v>
      </c>
    </row>
    <row r="2779" spans="1:19" hidden="1" x14ac:dyDescent="0.3">
      <c r="A2779">
        <v>150</v>
      </c>
      <c r="B2779" t="s">
        <v>4361</v>
      </c>
      <c r="C2779" t="s">
        <v>4518</v>
      </c>
      <c r="D2779" s="2" t="s">
        <v>4519</v>
      </c>
      <c r="E2779" t="s">
        <v>526</v>
      </c>
      <c r="F2779" t="s">
        <v>20</v>
      </c>
      <c r="G2779" t="s">
        <v>21</v>
      </c>
      <c r="H2779" t="s">
        <v>527</v>
      </c>
      <c r="I2779" t="s">
        <v>23</v>
      </c>
      <c r="J2779" t="s">
        <v>35</v>
      </c>
      <c r="K2779" s="2" t="s">
        <v>1072</v>
      </c>
      <c r="L2779" t="s">
        <v>26</v>
      </c>
      <c r="M2779">
        <v>358252</v>
      </c>
      <c r="N2779">
        <v>1</v>
      </c>
      <c r="O2779" s="3">
        <v>84950</v>
      </c>
      <c r="P2779" s="3">
        <v>35203</v>
      </c>
      <c r="Q2779" s="5">
        <f t="shared" si="129"/>
        <v>71386.554621848743</v>
      </c>
      <c r="R2779" s="5">
        <f t="shared" si="130"/>
        <v>35203</v>
      </c>
      <c r="S2779" s="5">
        <f t="shared" si="131"/>
        <v>36183.554621848743</v>
      </c>
    </row>
    <row r="2780" spans="1:19" hidden="1" x14ac:dyDescent="0.3">
      <c r="A2780">
        <v>150</v>
      </c>
      <c r="B2780" t="s">
        <v>4361</v>
      </c>
      <c r="C2780" t="s">
        <v>4520</v>
      </c>
      <c r="D2780" s="2" t="s">
        <v>4521</v>
      </c>
      <c r="E2780" t="s">
        <v>1632</v>
      </c>
      <c r="F2780" t="s">
        <v>20</v>
      </c>
      <c r="G2780" t="s">
        <v>21</v>
      </c>
      <c r="H2780" t="s">
        <v>1124</v>
      </c>
      <c r="I2780" t="s">
        <v>23</v>
      </c>
      <c r="J2780" t="s">
        <v>35</v>
      </c>
      <c r="K2780" s="2" t="s">
        <v>1072</v>
      </c>
      <c r="L2780" t="s">
        <v>26</v>
      </c>
      <c r="M2780">
        <v>358253</v>
      </c>
      <c r="N2780">
        <v>1</v>
      </c>
      <c r="O2780" s="3">
        <v>74950</v>
      </c>
      <c r="P2780" s="3">
        <v>28506</v>
      </c>
      <c r="Q2780" s="5">
        <f t="shared" si="129"/>
        <v>62983.193277310929</v>
      </c>
      <c r="R2780" s="5">
        <f t="shared" si="130"/>
        <v>28506</v>
      </c>
      <c r="S2780" s="5">
        <f t="shared" si="131"/>
        <v>34477.193277310929</v>
      </c>
    </row>
    <row r="2781" spans="1:19" hidden="1" x14ac:dyDescent="0.3">
      <c r="A2781">
        <v>150</v>
      </c>
      <c r="B2781" t="s">
        <v>4361</v>
      </c>
      <c r="C2781" t="s">
        <v>4522</v>
      </c>
      <c r="D2781" s="2" t="s">
        <v>4523</v>
      </c>
      <c r="E2781" t="s">
        <v>1488</v>
      </c>
      <c r="F2781" t="s">
        <v>20</v>
      </c>
      <c r="G2781" t="s">
        <v>21</v>
      </c>
      <c r="H2781" t="s">
        <v>57</v>
      </c>
      <c r="I2781" t="s">
        <v>23</v>
      </c>
      <c r="J2781" t="s">
        <v>35</v>
      </c>
      <c r="K2781" s="2" t="s">
        <v>1072</v>
      </c>
      <c r="L2781" t="s">
        <v>26</v>
      </c>
      <c r="M2781">
        <v>358253</v>
      </c>
      <c r="N2781">
        <v>-1</v>
      </c>
      <c r="O2781" s="3">
        <v>-54990</v>
      </c>
      <c r="P2781" s="3">
        <v>30462</v>
      </c>
      <c r="Q2781" s="5">
        <f t="shared" si="129"/>
        <v>-46210.08403361345</v>
      </c>
      <c r="R2781" s="5">
        <f t="shared" si="130"/>
        <v>-30462</v>
      </c>
      <c r="S2781" s="5">
        <f t="shared" si="131"/>
        <v>-15748.08403361345</v>
      </c>
    </row>
    <row r="2782" spans="1:19" hidden="1" x14ac:dyDescent="0.3">
      <c r="A2782">
        <v>150</v>
      </c>
      <c r="B2782" t="s">
        <v>4361</v>
      </c>
      <c r="C2782" t="s">
        <v>2525</v>
      </c>
      <c r="D2782" s="2" t="s">
        <v>2526</v>
      </c>
      <c r="E2782" t="s">
        <v>2527</v>
      </c>
      <c r="F2782" t="s">
        <v>377</v>
      </c>
      <c r="G2782" t="s">
        <v>21</v>
      </c>
      <c r="H2782" t="s">
        <v>378</v>
      </c>
      <c r="I2782" t="s">
        <v>23</v>
      </c>
      <c r="J2782" t="s">
        <v>2459</v>
      </c>
      <c r="K2782" s="2" t="s">
        <v>1072</v>
      </c>
      <c r="L2782" t="s">
        <v>26</v>
      </c>
      <c r="M2782">
        <v>358253</v>
      </c>
      <c r="N2782">
        <v>1</v>
      </c>
      <c r="O2782" s="3">
        <v>6950</v>
      </c>
      <c r="P2782" s="3">
        <v>2964</v>
      </c>
      <c r="Q2782" s="5">
        <f t="shared" si="129"/>
        <v>5840.3361344537816</v>
      </c>
      <c r="R2782" s="5">
        <f t="shared" si="130"/>
        <v>2964</v>
      </c>
      <c r="S2782" s="5">
        <f t="shared" si="131"/>
        <v>2876.3361344537816</v>
      </c>
    </row>
    <row r="2783" spans="1:19" hidden="1" x14ac:dyDescent="0.3">
      <c r="A2783">
        <v>150</v>
      </c>
      <c r="B2783" t="s">
        <v>4361</v>
      </c>
      <c r="C2783" t="s">
        <v>1368</v>
      </c>
      <c r="D2783" s="2" t="s">
        <v>1369</v>
      </c>
      <c r="E2783" t="s">
        <v>1171</v>
      </c>
      <c r="F2783" t="s">
        <v>20</v>
      </c>
      <c r="G2783" t="s">
        <v>21</v>
      </c>
      <c r="H2783" t="s">
        <v>500</v>
      </c>
      <c r="I2783" t="s">
        <v>23</v>
      </c>
      <c r="J2783" t="s">
        <v>40</v>
      </c>
      <c r="K2783" s="2" t="s">
        <v>1072</v>
      </c>
      <c r="L2783" t="s">
        <v>26</v>
      </c>
      <c r="M2783">
        <v>358254</v>
      </c>
      <c r="N2783">
        <v>-1</v>
      </c>
      <c r="O2783" s="3">
        <v>-59950</v>
      </c>
      <c r="P2783" s="3">
        <v>17416</v>
      </c>
      <c r="Q2783" s="5">
        <f t="shared" si="129"/>
        <v>-50378.151260504201</v>
      </c>
      <c r="R2783" s="5">
        <f t="shared" si="130"/>
        <v>-17416</v>
      </c>
      <c r="S2783" s="5">
        <f t="shared" si="131"/>
        <v>-32962.151260504201</v>
      </c>
    </row>
    <row r="2784" spans="1:19" hidden="1" x14ac:dyDescent="0.3">
      <c r="A2784">
        <v>150</v>
      </c>
      <c r="B2784" t="s">
        <v>4361</v>
      </c>
      <c r="C2784" t="s">
        <v>3273</v>
      </c>
      <c r="D2784" s="2" t="s">
        <v>3274</v>
      </c>
      <c r="E2784" t="s">
        <v>499</v>
      </c>
      <c r="F2784" t="s">
        <v>20</v>
      </c>
      <c r="G2784" t="s">
        <v>21</v>
      </c>
      <c r="H2784" t="s">
        <v>500</v>
      </c>
      <c r="I2784" t="s">
        <v>23</v>
      </c>
      <c r="J2784" t="s">
        <v>40</v>
      </c>
      <c r="K2784" s="2" t="s">
        <v>1072</v>
      </c>
      <c r="L2784" t="s">
        <v>26</v>
      </c>
      <c r="M2784">
        <v>358254</v>
      </c>
      <c r="N2784">
        <v>1</v>
      </c>
      <c r="O2784" s="3">
        <v>59951</v>
      </c>
      <c r="P2784" s="3">
        <v>17416</v>
      </c>
      <c r="Q2784" s="5">
        <f t="shared" si="129"/>
        <v>50378.991596638654</v>
      </c>
      <c r="R2784" s="5">
        <f t="shared" si="130"/>
        <v>17416</v>
      </c>
      <c r="S2784" s="5">
        <f t="shared" si="131"/>
        <v>32962.991596638654</v>
      </c>
    </row>
    <row r="2785" spans="1:19" hidden="1" x14ac:dyDescent="0.3">
      <c r="A2785">
        <v>150</v>
      </c>
      <c r="B2785" t="s">
        <v>4361</v>
      </c>
      <c r="C2785" t="s">
        <v>4524</v>
      </c>
      <c r="D2785" s="2" t="s">
        <v>4525</v>
      </c>
      <c r="E2785" t="s">
        <v>4380</v>
      </c>
      <c r="F2785" t="s">
        <v>20</v>
      </c>
      <c r="G2785" t="s">
        <v>21</v>
      </c>
      <c r="H2785" t="s">
        <v>1286</v>
      </c>
      <c r="I2785" t="s">
        <v>23</v>
      </c>
      <c r="J2785" t="s">
        <v>40</v>
      </c>
      <c r="K2785" s="2" t="s">
        <v>1072</v>
      </c>
      <c r="L2785" t="s">
        <v>26</v>
      </c>
      <c r="M2785">
        <v>358255</v>
      </c>
      <c r="N2785">
        <v>1</v>
      </c>
      <c r="O2785" s="3">
        <v>49991</v>
      </c>
      <c r="P2785" s="3">
        <v>24783</v>
      </c>
      <c r="Q2785" s="5">
        <f t="shared" si="129"/>
        <v>42009.243697478996</v>
      </c>
      <c r="R2785" s="5">
        <f t="shared" si="130"/>
        <v>24783</v>
      </c>
      <c r="S2785" s="5">
        <f t="shared" si="131"/>
        <v>17226.243697478996</v>
      </c>
    </row>
    <row r="2786" spans="1:19" hidden="1" x14ac:dyDescent="0.3">
      <c r="A2786">
        <v>150</v>
      </c>
      <c r="B2786" t="s">
        <v>4361</v>
      </c>
      <c r="C2786" t="s">
        <v>4526</v>
      </c>
      <c r="D2786" s="2" t="s">
        <v>4527</v>
      </c>
      <c r="E2786" t="s">
        <v>2800</v>
      </c>
      <c r="F2786" t="s">
        <v>20</v>
      </c>
      <c r="G2786" t="s">
        <v>21</v>
      </c>
      <c r="H2786" t="s">
        <v>600</v>
      </c>
      <c r="I2786" t="s">
        <v>23</v>
      </c>
      <c r="J2786" t="s">
        <v>40</v>
      </c>
      <c r="K2786" s="2" t="s">
        <v>1072</v>
      </c>
      <c r="L2786" t="s">
        <v>26</v>
      </c>
      <c r="M2786">
        <v>358255</v>
      </c>
      <c r="N2786">
        <v>-1</v>
      </c>
      <c r="O2786" s="3">
        <v>-49990</v>
      </c>
      <c r="P2786" s="3">
        <v>21327</v>
      </c>
      <c r="Q2786" s="5">
        <f t="shared" si="129"/>
        <v>-42008.403361344543</v>
      </c>
      <c r="R2786" s="5">
        <f t="shared" si="130"/>
        <v>-21327</v>
      </c>
      <c r="S2786" s="5">
        <f t="shared" si="131"/>
        <v>-20681.403361344543</v>
      </c>
    </row>
    <row r="2787" spans="1:19" hidden="1" x14ac:dyDescent="0.3">
      <c r="A2787">
        <v>150</v>
      </c>
      <c r="B2787" t="s">
        <v>4361</v>
      </c>
      <c r="C2787" t="s">
        <v>2097</v>
      </c>
      <c r="D2787" s="2" t="s">
        <v>2098</v>
      </c>
      <c r="E2787" t="s">
        <v>494</v>
      </c>
      <c r="F2787" t="s">
        <v>20</v>
      </c>
      <c r="G2787" t="s">
        <v>21</v>
      </c>
      <c r="H2787" t="s">
        <v>317</v>
      </c>
      <c r="I2787" t="s">
        <v>23</v>
      </c>
      <c r="J2787" t="s">
        <v>35</v>
      </c>
      <c r="K2787" s="2" t="s">
        <v>1072</v>
      </c>
      <c r="L2787" t="s">
        <v>26</v>
      </c>
      <c r="M2787">
        <v>358256</v>
      </c>
      <c r="N2787">
        <v>1</v>
      </c>
      <c r="O2787" s="3">
        <v>69950</v>
      </c>
      <c r="P2787" s="3">
        <v>23619</v>
      </c>
      <c r="Q2787" s="5">
        <f t="shared" si="129"/>
        <v>58781.512605042022</v>
      </c>
      <c r="R2787" s="5">
        <f t="shared" si="130"/>
        <v>23619</v>
      </c>
      <c r="S2787" s="5">
        <f t="shared" si="131"/>
        <v>35162.512605042022</v>
      </c>
    </row>
    <row r="2788" spans="1:19" hidden="1" x14ac:dyDescent="0.3">
      <c r="A2788">
        <v>150</v>
      </c>
      <c r="B2788" t="s">
        <v>4361</v>
      </c>
      <c r="C2788" t="s">
        <v>4528</v>
      </c>
      <c r="D2788" s="2" t="s">
        <v>4529</v>
      </c>
      <c r="E2788" t="s">
        <v>2340</v>
      </c>
      <c r="F2788" t="s">
        <v>20</v>
      </c>
      <c r="G2788" t="s">
        <v>21</v>
      </c>
      <c r="H2788" t="s">
        <v>1914</v>
      </c>
      <c r="I2788" t="s">
        <v>23</v>
      </c>
      <c r="J2788" t="s">
        <v>35</v>
      </c>
      <c r="K2788" s="2" t="s">
        <v>1072</v>
      </c>
      <c r="L2788" t="s">
        <v>26</v>
      </c>
      <c r="M2788">
        <v>358257</v>
      </c>
      <c r="N2788">
        <v>1</v>
      </c>
      <c r="O2788" s="3">
        <v>89950</v>
      </c>
      <c r="P2788" s="3">
        <v>27630</v>
      </c>
      <c r="Q2788" s="5">
        <f t="shared" si="129"/>
        <v>75588.23529411765</v>
      </c>
      <c r="R2788" s="5">
        <f t="shared" si="130"/>
        <v>27630</v>
      </c>
      <c r="S2788" s="5">
        <f t="shared" si="131"/>
        <v>47958.23529411765</v>
      </c>
    </row>
    <row r="2789" spans="1:19" hidden="1" x14ac:dyDescent="0.3">
      <c r="A2789">
        <v>150</v>
      </c>
      <c r="B2789" t="s">
        <v>4361</v>
      </c>
      <c r="C2789" t="s">
        <v>4530</v>
      </c>
      <c r="D2789" s="2" t="s">
        <v>4531</v>
      </c>
      <c r="E2789" t="s">
        <v>467</v>
      </c>
      <c r="F2789" t="s">
        <v>20</v>
      </c>
      <c r="G2789" t="s">
        <v>21</v>
      </c>
      <c r="H2789" t="s">
        <v>171</v>
      </c>
      <c r="I2789" t="s">
        <v>23</v>
      </c>
      <c r="J2789" t="s">
        <v>40</v>
      </c>
      <c r="K2789" s="2" t="s">
        <v>2693</v>
      </c>
      <c r="L2789" t="s">
        <v>26</v>
      </c>
      <c r="M2789">
        <v>358258</v>
      </c>
      <c r="N2789">
        <v>1</v>
      </c>
      <c r="O2789" s="3">
        <v>59990</v>
      </c>
      <c r="P2789" s="3">
        <v>29948</v>
      </c>
      <c r="Q2789" s="5">
        <f t="shared" si="129"/>
        <v>50411.764705882357</v>
      </c>
      <c r="R2789" s="5">
        <f t="shared" si="130"/>
        <v>29948</v>
      </c>
      <c r="S2789" s="5">
        <f t="shared" si="131"/>
        <v>20463.764705882357</v>
      </c>
    </row>
    <row r="2790" spans="1:19" hidden="1" x14ac:dyDescent="0.3">
      <c r="A2790">
        <v>150</v>
      </c>
      <c r="B2790" t="s">
        <v>4361</v>
      </c>
      <c r="C2790">
        <v>1687976791</v>
      </c>
      <c r="D2790" s="2" t="s">
        <v>200</v>
      </c>
      <c r="E2790" t="s">
        <v>201</v>
      </c>
      <c r="F2790" t="s">
        <v>201</v>
      </c>
      <c r="G2790" t="s">
        <v>202</v>
      </c>
      <c r="H2790" t="s">
        <v>202</v>
      </c>
      <c r="I2790" t="s">
        <v>23</v>
      </c>
      <c r="J2790" t="s">
        <v>202</v>
      </c>
      <c r="K2790" s="2" t="s">
        <v>2693</v>
      </c>
      <c r="L2790" t="s">
        <v>26</v>
      </c>
      <c r="M2790">
        <v>358258</v>
      </c>
      <c r="N2790">
        <v>1</v>
      </c>
      <c r="O2790" s="3">
        <v>6350</v>
      </c>
      <c r="P2790">
        <v>1</v>
      </c>
      <c r="Q2790" s="5">
        <f t="shared" si="129"/>
        <v>5336.134453781513</v>
      </c>
      <c r="R2790" s="5">
        <f t="shared" si="130"/>
        <v>1</v>
      </c>
      <c r="S2790" s="5">
        <f t="shared" si="131"/>
        <v>5335.134453781513</v>
      </c>
    </row>
    <row r="2791" spans="1:19" hidden="1" x14ac:dyDescent="0.3">
      <c r="A2791">
        <v>150</v>
      </c>
      <c r="B2791" t="s">
        <v>4361</v>
      </c>
      <c r="C2791" t="s">
        <v>4532</v>
      </c>
      <c r="D2791" s="2" t="s">
        <v>4533</v>
      </c>
      <c r="E2791" t="s">
        <v>4534</v>
      </c>
      <c r="F2791" t="s">
        <v>20</v>
      </c>
      <c r="G2791" t="s">
        <v>21</v>
      </c>
      <c r="H2791" t="s">
        <v>247</v>
      </c>
      <c r="I2791" t="s">
        <v>23</v>
      </c>
      <c r="J2791" t="s">
        <v>40</v>
      </c>
      <c r="K2791" s="2" t="s">
        <v>2693</v>
      </c>
      <c r="L2791" t="s">
        <v>26</v>
      </c>
      <c r="M2791">
        <v>358259</v>
      </c>
      <c r="N2791">
        <v>1</v>
      </c>
      <c r="O2791" s="3">
        <v>34990</v>
      </c>
      <c r="P2791" s="3">
        <v>18016</v>
      </c>
      <c r="Q2791" s="5">
        <f t="shared" si="129"/>
        <v>29403.361344537818</v>
      </c>
      <c r="R2791" s="5">
        <f t="shared" si="130"/>
        <v>18016</v>
      </c>
      <c r="S2791" s="5">
        <f t="shared" si="131"/>
        <v>11387.361344537818</v>
      </c>
    </row>
    <row r="2792" spans="1:19" hidden="1" x14ac:dyDescent="0.3">
      <c r="A2792">
        <v>150</v>
      </c>
      <c r="B2792" t="s">
        <v>4361</v>
      </c>
      <c r="C2792" t="s">
        <v>3586</v>
      </c>
      <c r="D2792" s="2" t="s">
        <v>3587</v>
      </c>
      <c r="E2792" t="s">
        <v>3449</v>
      </c>
      <c r="F2792" t="s">
        <v>20</v>
      </c>
      <c r="G2792" t="s">
        <v>338</v>
      </c>
      <c r="H2792">
        <v>25366</v>
      </c>
      <c r="I2792" t="s">
        <v>23</v>
      </c>
      <c r="J2792" t="s">
        <v>35</v>
      </c>
      <c r="K2792" s="2" t="s">
        <v>2693</v>
      </c>
      <c r="L2792" t="s">
        <v>26</v>
      </c>
      <c r="M2792">
        <v>358260</v>
      </c>
      <c r="N2792">
        <v>1</v>
      </c>
      <c r="O2792" s="3">
        <v>99950</v>
      </c>
      <c r="P2792" s="3">
        <v>33157</v>
      </c>
      <c r="Q2792" s="5">
        <f t="shared" si="129"/>
        <v>83991.596638655465</v>
      </c>
      <c r="R2792" s="5">
        <f t="shared" si="130"/>
        <v>33157</v>
      </c>
      <c r="S2792" s="5">
        <f t="shared" si="131"/>
        <v>50834.596638655465</v>
      </c>
    </row>
    <row r="2793" spans="1:19" hidden="1" x14ac:dyDescent="0.3">
      <c r="A2793">
        <v>150</v>
      </c>
      <c r="B2793" t="s">
        <v>4361</v>
      </c>
      <c r="C2793" t="s">
        <v>3935</v>
      </c>
      <c r="D2793" s="2" t="s">
        <v>3936</v>
      </c>
      <c r="E2793" t="s">
        <v>1330</v>
      </c>
      <c r="F2793" t="s">
        <v>20</v>
      </c>
      <c r="G2793" t="s">
        <v>338</v>
      </c>
      <c r="H2793">
        <v>25133</v>
      </c>
      <c r="I2793" t="s">
        <v>23</v>
      </c>
      <c r="J2793" t="s">
        <v>35</v>
      </c>
      <c r="K2793" s="2" t="s">
        <v>2693</v>
      </c>
      <c r="L2793" t="s">
        <v>26</v>
      </c>
      <c r="M2793">
        <v>358261</v>
      </c>
      <c r="N2793">
        <v>1</v>
      </c>
      <c r="O2793" s="3">
        <v>74950</v>
      </c>
      <c r="P2793" s="3">
        <v>21167</v>
      </c>
      <c r="Q2793" s="5">
        <f t="shared" si="129"/>
        <v>62983.193277310929</v>
      </c>
      <c r="R2793" s="5">
        <f t="shared" si="130"/>
        <v>21167</v>
      </c>
      <c r="S2793" s="5">
        <f t="shared" si="131"/>
        <v>41816.193277310929</v>
      </c>
    </row>
    <row r="2794" spans="1:19" hidden="1" x14ac:dyDescent="0.3">
      <c r="A2794">
        <v>150</v>
      </c>
      <c r="B2794" t="s">
        <v>4361</v>
      </c>
      <c r="C2794" t="s">
        <v>1426</v>
      </c>
      <c r="D2794" s="2" t="s">
        <v>1427</v>
      </c>
      <c r="E2794" t="s">
        <v>1428</v>
      </c>
      <c r="F2794" t="s">
        <v>20</v>
      </c>
      <c r="G2794" t="s">
        <v>21</v>
      </c>
      <c r="H2794" t="s">
        <v>57</v>
      </c>
      <c r="I2794" t="s">
        <v>23</v>
      </c>
      <c r="J2794" t="s">
        <v>35</v>
      </c>
      <c r="K2794" s="2" t="s">
        <v>2693</v>
      </c>
      <c r="L2794" t="s">
        <v>26</v>
      </c>
      <c r="M2794">
        <v>358262</v>
      </c>
      <c r="N2794">
        <v>1</v>
      </c>
      <c r="O2794" s="3">
        <v>89950</v>
      </c>
      <c r="P2794" s="3">
        <v>31397</v>
      </c>
      <c r="Q2794" s="5">
        <f t="shared" si="129"/>
        <v>75588.23529411765</v>
      </c>
      <c r="R2794" s="5">
        <f t="shared" si="130"/>
        <v>31397</v>
      </c>
      <c r="S2794" s="5">
        <f t="shared" si="131"/>
        <v>44191.23529411765</v>
      </c>
    </row>
    <row r="2795" spans="1:19" hidden="1" x14ac:dyDescent="0.3">
      <c r="A2795">
        <v>150</v>
      </c>
      <c r="B2795" t="s">
        <v>4361</v>
      </c>
      <c r="C2795" t="s">
        <v>3064</v>
      </c>
      <c r="D2795" s="2" t="s">
        <v>3065</v>
      </c>
      <c r="E2795" t="s">
        <v>3031</v>
      </c>
      <c r="F2795" t="s">
        <v>20</v>
      </c>
      <c r="G2795" t="s">
        <v>21</v>
      </c>
      <c r="H2795" t="s">
        <v>2315</v>
      </c>
      <c r="I2795" t="s">
        <v>23</v>
      </c>
      <c r="J2795" t="s">
        <v>49</v>
      </c>
      <c r="K2795" s="2" t="s">
        <v>2693</v>
      </c>
      <c r="L2795" t="s">
        <v>26</v>
      </c>
      <c r="M2795">
        <v>358263</v>
      </c>
      <c r="N2795">
        <v>1</v>
      </c>
      <c r="O2795" s="3">
        <v>74950</v>
      </c>
      <c r="P2795" s="3">
        <v>24255</v>
      </c>
      <c r="Q2795" s="5">
        <f t="shared" si="129"/>
        <v>62983.193277310929</v>
      </c>
      <c r="R2795" s="5">
        <f t="shared" si="130"/>
        <v>24255</v>
      </c>
      <c r="S2795" s="5">
        <f t="shared" si="131"/>
        <v>38728.193277310929</v>
      </c>
    </row>
    <row r="2796" spans="1:19" hidden="1" x14ac:dyDescent="0.3">
      <c r="A2796">
        <v>150</v>
      </c>
      <c r="B2796" t="s">
        <v>4361</v>
      </c>
      <c r="C2796" t="s">
        <v>4535</v>
      </c>
      <c r="D2796" s="2" t="s">
        <v>4536</v>
      </c>
      <c r="E2796" t="s">
        <v>4537</v>
      </c>
      <c r="F2796" t="s">
        <v>20</v>
      </c>
      <c r="G2796" t="s">
        <v>21</v>
      </c>
      <c r="H2796" t="s">
        <v>2759</v>
      </c>
      <c r="I2796" t="s">
        <v>23</v>
      </c>
      <c r="J2796" t="s">
        <v>49</v>
      </c>
      <c r="K2796" s="2" t="s">
        <v>2693</v>
      </c>
      <c r="L2796" t="s">
        <v>26</v>
      </c>
      <c r="M2796">
        <v>358264</v>
      </c>
      <c r="N2796">
        <v>1</v>
      </c>
      <c r="O2796" s="3">
        <v>79950</v>
      </c>
      <c r="P2796" s="3">
        <v>33526</v>
      </c>
      <c r="Q2796" s="5">
        <f t="shared" si="129"/>
        <v>67184.873949579836</v>
      </c>
      <c r="R2796" s="5">
        <f t="shared" si="130"/>
        <v>33526</v>
      </c>
      <c r="S2796" s="5">
        <f t="shared" si="131"/>
        <v>33658.873949579836</v>
      </c>
    </row>
    <row r="2797" spans="1:19" hidden="1" x14ac:dyDescent="0.3">
      <c r="A2797">
        <v>150</v>
      </c>
      <c r="B2797" t="s">
        <v>4361</v>
      </c>
      <c r="C2797" t="s">
        <v>4061</v>
      </c>
      <c r="D2797" s="2" t="s">
        <v>4062</v>
      </c>
      <c r="E2797" t="s">
        <v>2208</v>
      </c>
      <c r="F2797" t="s">
        <v>20</v>
      </c>
      <c r="G2797" t="s">
        <v>338</v>
      </c>
      <c r="H2797">
        <v>25823</v>
      </c>
      <c r="I2797" t="s">
        <v>23</v>
      </c>
      <c r="J2797" t="s">
        <v>35</v>
      </c>
      <c r="K2797" s="2" t="s">
        <v>2693</v>
      </c>
      <c r="L2797" t="s">
        <v>26</v>
      </c>
      <c r="M2797">
        <v>358265</v>
      </c>
      <c r="N2797">
        <v>1</v>
      </c>
      <c r="O2797" s="3">
        <v>99950</v>
      </c>
      <c r="P2797" s="3">
        <v>33748</v>
      </c>
      <c r="Q2797" s="5">
        <f t="shared" si="129"/>
        <v>83991.596638655465</v>
      </c>
      <c r="R2797" s="5">
        <f t="shared" si="130"/>
        <v>33748</v>
      </c>
      <c r="S2797" s="5">
        <f t="shared" si="131"/>
        <v>50243.596638655465</v>
      </c>
    </row>
    <row r="2798" spans="1:19" hidden="1" x14ac:dyDescent="0.3">
      <c r="A2798">
        <v>150</v>
      </c>
      <c r="B2798" t="s">
        <v>4361</v>
      </c>
      <c r="C2798" t="s">
        <v>4538</v>
      </c>
      <c r="D2798" s="2" t="s">
        <v>4539</v>
      </c>
      <c r="E2798" t="s">
        <v>4540</v>
      </c>
      <c r="F2798" t="s">
        <v>20</v>
      </c>
      <c r="G2798" t="s">
        <v>338</v>
      </c>
      <c r="H2798">
        <v>25623</v>
      </c>
      <c r="I2798" t="s">
        <v>23</v>
      </c>
      <c r="J2798" t="s">
        <v>31</v>
      </c>
      <c r="K2798" s="2" t="s">
        <v>2693</v>
      </c>
      <c r="L2798" t="s">
        <v>26</v>
      </c>
      <c r="M2798">
        <v>358266</v>
      </c>
      <c r="N2798">
        <v>1</v>
      </c>
      <c r="O2798" s="3">
        <v>99950</v>
      </c>
      <c r="P2798" s="3">
        <v>33748</v>
      </c>
      <c r="Q2798" s="5">
        <f t="shared" si="129"/>
        <v>83991.596638655465</v>
      </c>
      <c r="R2798" s="5">
        <f t="shared" si="130"/>
        <v>33748</v>
      </c>
      <c r="S2798" s="5">
        <f t="shared" si="131"/>
        <v>50243.596638655465</v>
      </c>
    </row>
    <row r="2799" spans="1:19" hidden="1" x14ac:dyDescent="0.3">
      <c r="A2799">
        <v>150</v>
      </c>
      <c r="B2799" t="s">
        <v>4361</v>
      </c>
      <c r="C2799" t="s">
        <v>4541</v>
      </c>
      <c r="D2799" s="2" t="s">
        <v>4542</v>
      </c>
      <c r="E2799" t="s">
        <v>3048</v>
      </c>
      <c r="F2799" t="s">
        <v>20</v>
      </c>
      <c r="G2799" t="s">
        <v>21</v>
      </c>
      <c r="H2799" t="s">
        <v>2484</v>
      </c>
      <c r="I2799" t="s">
        <v>23</v>
      </c>
      <c r="J2799" t="s">
        <v>40</v>
      </c>
      <c r="K2799" s="2" t="s">
        <v>2693</v>
      </c>
      <c r="L2799" t="s">
        <v>26</v>
      </c>
      <c r="M2799">
        <v>358267</v>
      </c>
      <c r="N2799">
        <v>1</v>
      </c>
      <c r="O2799" s="3">
        <v>59951</v>
      </c>
      <c r="P2799" s="3">
        <v>17503</v>
      </c>
      <c r="Q2799" s="5">
        <f t="shared" si="129"/>
        <v>50378.991596638654</v>
      </c>
      <c r="R2799" s="5">
        <f t="shared" si="130"/>
        <v>17503</v>
      </c>
      <c r="S2799" s="5">
        <f t="shared" si="131"/>
        <v>32875.991596638654</v>
      </c>
    </row>
    <row r="2800" spans="1:19" hidden="1" x14ac:dyDescent="0.3">
      <c r="A2800">
        <v>150</v>
      </c>
      <c r="B2800" t="s">
        <v>4361</v>
      </c>
      <c r="C2800" t="s">
        <v>4506</v>
      </c>
      <c r="D2800" s="2" t="s">
        <v>4507</v>
      </c>
      <c r="E2800" t="s">
        <v>3048</v>
      </c>
      <c r="F2800" t="s">
        <v>20</v>
      </c>
      <c r="G2800" t="s">
        <v>21</v>
      </c>
      <c r="H2800" t="s">
        <v>2484</v>
      </c>
      <c r="I2800" t="s">
        <v>23</v>
      </c>
      <c r="J2800" t="s">
        <v>40</v>
      </c>
      <c r="K2800" s="2" t="s">
        <v>2693</v>
      </c>
      <c r="L2800" t="s">
        <v>26</v>
      </c>
      <c r="M2800">
        <v>358267</v>
      </c>
      <c r="N2800">
        <v>-1</v>
      </c>
      <c r="O2800" s="3">
        <v>-59950</v>
      </c>
      <c r="P2800" s="3">
        <v>17503</v>
      </c>
      <c r="Q2800" s="5">
        <f t="shared" si="129"/>
        <v>-50378.151260504201</v>
      </c>
      <c r="R2800" s="5">
        <f t="shared" si="130"/>
        <v>-17503</v>
      </c>
      <c r="S2800" s="5">
        <f t="shared" si="131"/>
        <v>-32875.151260504201</v>
      </c>
    </row>
    <row r="2801" spans="1:19" hidden="1" x14ac:dyDescent="0.3">
      <c r="A2801">
        <v>150</v>
      </c>
      <c r="B2801" t="s">
        <v>4361</v>
      </c>
      <c r="C2801" t="s">
        <v>1103</v>
      </c>
      <c r="D2801" s="2" t="s">
        <v>1104</v>
      </c>
      <c r="E2801" t="s">
        <v>499</v>
      </c>
      <c r="F2801" t="s">
        <v>20</v>
      </c>
      <c r="G2801" t="s">
        <v>21</v>
      </c>
      <c r="H2801" t="s">
        <v>500</v>
      </c>
      <c r="I2801" t="s">
        <v>23</v>
      </c>
      <c r="J2801" t="s">
        <v>40</v>
      </c>
      <c r="K2801" s="2" t="s">
        <v>2693</v>
      </c>
      <c r="L2801" t="s">
        <v>26</v>
      </c>
      <c r="M2801">
        <v>358268</v>
      </c>
      <c r="N2801">
        <v>1</v>
      </c>
      <c r="O2801" s="3">
        <v>59950</v>
      </c>
      <c r="P2801" s="3">
        <v>17416</v>
      </c>
      <c r="Q2801" s="5">
        <f t="shared" si="129"/>
        <v>50378.151260504201</v>
      </c>
      <c r="R2801" s="5">
        <f t="shared" si="130"/>
        <v>17416</v>
      </c>
      <c r="S2801" s="5">
        <f t="shared" si="131"/>
        <v>32962.151260504201</v>
      </c>
    </row>
    <row r="2802" spans="1:19" hidden="1" x14ac:dyDescent="0.3">
      <c r="A2802">
        <v>150</v>
      </c>
      <c r="B2802" t="s">
        <v>4361</v>
      </c>
      <c r="C2802" t="s">
        <v>4543</v>
      </c>
      <c r="D2802" s="2" t="s">
        <v>4544</v>
      </c>
      <c r="E2802" t="s">
        <v>2195</v>
      </c>
      <c r="F2802" t="s">
        <v>20</v>
      </c>
      <c r="G2802" t="s">
        <v>338</v>
      </c>
      <c r="H2802">
        <v>24722</v>
      </c>
      <c r="I2802" t="s">
        <v>23</v>
      </c>
      <c r="J2802" t="s">
        <v>95</v>
      </c>
      <c r="K2802" s="2" t="s">
        <v>2693</v>
      </c>
      <c r="L2802" t="s">
        <v>26</v>
      </c>
      <c r="M2802">
        <v>358269</v>
      </c>
      <c r="N2802">
        <v>1</v>
      </c>
      <c r="O2802" s="3">
        <v>89950</v>
      </c>
      <c r="P2802" s="3">
        <v>30987</v>
      </c>
      <c r="Q2802" s="5">
        <f t="shared" si="129"/>
        <v>75588.23529411765</v>
      </c>
      <c r="R2802" s="5">
        <f t="shared" si="130"/>
        <v>30987</v>
      </c>
      <c r="S2802" s="5">
        <f t="shared" si="131"/>
        <v>44601.23529411765</v>
      </c>
    </row>
    <row r="2803" spans="1:19" hidden="1" x14ac:dyDescent="0.3">
      <c r="A2803">
        <v>150</v>
      </c>
      <c r="B2803" t="s">
        <v>4361</v>
      </c>
      <c r="C2803" t="s">
        <v>4545</v>
      </c>
      <c r="D2803" s="2" t="s">
        <v>4546</v>
      </c>
      <c r="E2803" t="s">
        <v>4547</v>
      </c>
      <c r="F2803" t="s">
        <v>20</v>
      </c>
      <c r="G2803" t="s">
        <v>21</v>
      </c>
      <c r="H2803" t="s">
        <v>285</v>
      </c>
      <c r="I2803" t="s">
        <v>23</v>
      </c>
      <c r="J2803" t="s">
        <v>49</v>
      </c>
      <c r="K2803" s="2" t="s">
        <v>2693</v>
      </c>
      <c r="L2803" t="s">
        <v>26</v>
      </c>
      <c r="M2803">
        <v>358270</v>
      </c>
      <c r="N2803">
        <v>1</v>
      </c>
      <c r="O2803" s="3">
        <v>59990</v>
      </c>
      <c r="P2803" s="3">
        <v>29464</v>
      </c>
      <c r="Q2803" s="5">
        <f t="shared" si="129"/>
        <v>50411.764705882357</v>
      </c>
      <c r="R2803" s="5">
        <f t="shared" si="130"/>
        <v>29464</v>
      </c>
      <c r="S2803" s="5">
        <f t="shared" si="131"/>
        <v>20947.764705882357</v>
      </c>
    </row>
    <row r="2804" spans="1:19" hidden="1" x14ac:dyDescent="0.3">
      <c r="A2804">
        <v>150</v>
      </c>
      <c r="B2804" t="s">
        <v>4361</v>
      </c>
      <c r="C2804" t="s">
        <v>4548</v>
      </c>
      <c r="D2804" s="2" t="s">
        <v>4549</v>
      </c>
      <c r="E2804" t="s">
        <v>3195</v>
      </c>
      <c r="F2804" t="s">
        <v>20</v>
      </c>
      <c r="G2804" t="s">
        <v>338</v>
      </c>
      <c r="H2804">
        <v>25366</v>
      </c>
      <c r="I2804" t="s">
        <v>23</v>
      </c>
      <c r="J2804" t="s">
        <v>35</v>
      </c>
      <c r="K2804" s="2" t="s">
        <v>2693</v>
      </c>
      <c r="L2804" t="s">
        <v>26</v>
      </c>
      <c r="M2804">
        <v>358271</v>
      </c>
      <c r="N2804">
        <v>1</v>
      </c>
      <c r="O2804" s="3">
        <v>99950</v>
      </c>
      <c r="P2804" s="3">
        <v>33157</v>
      </c>
      <c r="Q2804" s="5">
        <f t="shared" si="129"/>
        <v>83991.596638655465</v>
      </c>
      <c r="R2804" s="5">
        <f t="shared" si="130"/>
        <v>33157</v>
      </c>
      <c r="S2804" s="5">
        <f t="shared" si="131"/>
        <v>50834.596638655465</v>
      </c>
    </row>
    <row r="2805" spans="1:19" hidden="1" x14ac:dyDescent="0.3">
      <c r="A2805">
        <v>150</v>
      </c>
      <c r="B2805" t="s">
        <v>4361</v>
      </c>
      <c r="C2805" t="s">
        <v>4550</v>
      </c>
      <c r="D2805" s="2" t="s">
        <v>4551</v>
      </c>
      <c r="E2805" t="s">
        <v>3814</v>
      </c>
      <c r="F2805" t="s">
        <v>20</v>
      </c>
      <c r="G2805" t="s">
        <v>21</v>
      </c>
      <c r="H2805" t="s">
        <v>500</v>
      </c>
      <c r="I2805" t="s">
        <v>23</v>
      </c>
      <c r="J2805" t="s">
        <v>40</v>
      </c>
      <c r="K2805" s="2" t="s">
        <v>2693</v>
      </c>
      <c r="L2805" t="s">
        <v>26</v>
      </c>
      <c r="M2805">
        <v>358272</v>
      </c>
      <c r="N2805">
        <v>1</v>
      </c>
      <c r="O2805" s="3">
        <v>49990</v>
      </c>
      <c r="P2805" s="3">
        <v>20043</v>
      </c>
      <c r="Q2805" s="5">
        <f t="shared" si="129"/>
        <v>42008.403361344543</v>
      </c>
      <c r="R2805" s="5">
        <f t="shared" si="130"/>
        <v>20043</v>
      </c>
      <c r="S2805" s="5">
        <f t="shared" si="131"/>
        <v>21965.403361344543</v>
      </c>
    </row>
    <row r="2806" spans="1:19" hidden="1" x14ac:dyDescent="0.3">
      <c r="A2806">
        <v>150</v>
      </c>
      <c r="B2806" t="s">
        <v>4361</v>
      </c>
      <c r="C2806" t="s">
        <v>3833</v>
      </c>
      <c r="D2806" s="2" t="s">
        <v>3834</v>
      </c>
      <c r="E2806" t="s">
        <v>1632</v>
      </c>
      <c r="F2806" t="s">
        <v>20</v>
      </c>
      <c r="G2806" t="s">
        <v>21</v>
      </c>
      <c r="H2806" t="s">
        <v>1124</v>
      </c>
      <c r="I2806" t="s">
        <v>23</v>
      </c>
      <c r="J2806" t="s">
        <v>35</v>
      </c>
      <c r="K2806" s="2" t="s">
        <v>2693</v>
      </c>
      <c r="L2806" t="s">
        <v>26</v>
      </c>
      <c r="M2806">
        <v>358273</v>
      </c>
      <c r="N2806">
        <v>1</v>
      </c>
      <c r="O2806" s="3">
        <v>74950</v>
      </c>
      <c r="P2806" s="3">
        <v>28520</v>
      </c>
      <c r="Q2806" s="5">
        <f t="shared" si="129"/>
        <v>62983.193277310929</v>
      </c>
      <c r="R2806" s="5">
        <f t="shared" si="130"/>
        <v>28520</v>
      </c>
      <c r="S2806" s="5">
        <f t="shared" si="131"/>
        <v>34463.193277310929</v>
      </c>
    </row>
    <row r="2807" spans="1:19" hidden="1" x14ac:dyDescent="0.3">
      <c r="A2807">
        <v>150</v>
      </c>
      <c r="B2807" t="s">
        <v>4361</v>
      </c>
      <c r="C2807" t="s">
        <v>2948</v>
      </c>
      <c r="D2807" s="2" t="s">
        <v>2949</v>
      </c>
      <c r="E2807" t="s">
        <v>2226</v>
      </c>
      <c r="F2807" t="s">
        <v>20</v>
      </c>
      <c r="G2807" t="s">
        <v>21</v>
      </c>
      <c r="H2807" t="s">
        <v>53</v>
      </c>
      <c r="I2807" t="s">
        <v>23</v>
      </c>
      <c r="J2807" t="s">
        <v>49</v>
      </c>
      <c r="K2807" s="2" t="s">
        <v>2693</v>
      </c>
      <c r="L2807" t="s">
        <v>26</v>
      </c>
      <c r="M2807">
        <v>358274</v>
      </c>
      <c r="N2807">
        <v>1</v>
      </c>
      <c r="O2807" s="3">
        <v>69950</v>
      </c>
      <c r="P2807" s="3">
        <v>21044</v>
      </c>
      <c r="Q2807" s="5">
        <f t="shared" si="129"/>
        <v>58781.512605042022</v>
      </c>
      <c r="R2807" s="5">
        <f t="shared" si="130"/>
        <v>21044</v>
      </c>
      <c r="S2807" s="5">
        <f t="shared" si="131"/>
        <v>37737.512605042022</v>
      </c>
    </row>
    <row r="2808" spans="1:19" hidden="1" x14ac:dyDescent="0.3">
      <c r="A2808">
        <v>150</v>
      </c>
      <c r="B2808" t="s">
        <v>4361</v>
      </c>
      <c r="C2808" t="s">
        <v>4552</v>
      </c>
      <c r="D2808" s="2" t="s">
        <v>4553</v>
      </c>
      <c r="E2808" t="s">
        <v>4291</v>
      </c>
      <c r="F2808" t="s">
        <v>20</v>
      </c>
      <c r="G2808" t="s">
        <v>21</v>
      </c>
      <c r="H2808" t="s">
        <v>285</v>
      </c>
      <c r="I2808" t="s">
        <v>23</v>
      </c>
      <c r="J2808" t="s">
        <v>35</v>
      </c>
      <c r="K2808" s="2" t="s">
        <v>2693</v>
      </c>
      <c r="L2808" t="s">
        <v>26</v>
      </c>
      <c r="M2808">
        <v>358275</v>
      </c>
      <c r="N2808">
        <v>1</v>
      </c>
      <c r="O2808" s="3">
        <v>79950</v>
      </c>
      <c r="P2808" s="3">
        <v>31402</v>
      </c>
      <c r="Q2808" s="5">
        <f t="shared" si="129"/>
        <v>67184.873949579836</v>
      </c>
      <c r="R2808" s="5">
        <f t="shared" si="130"/>
        <v>31402</v>
      </c>
      <c r="S2808" s="5">
        <f t="shared" si="131"/>
        <v>35782.873949579836</v>
      </c>
    </row>
    <row r="2809" spans="1:19" hidden="1" x14ac:dyDescent="0.3">
      <c r="A2809">
        <v>150</v>
      </c>
      <c r="B2809" t="s">
        <v>4361</v>
      </c>
      <c r="C2809" t="s">
        <v>4554</v>
      </c>
      <c r="D2809" s="2" t="s">
        <v>4555</v>
      </c>
      <c r="E2809" t="s">
        <v>4556</v>
      </c>
      <c r="F2809" t="s">
        <v>20</v>
      </c>
      <c r="G2809" t="s">
        <v>21</v>
      </c>
      <c r="H2809" t="s">
        <v>1987</v>
      </c>
      <c r="I2809" t="s">
        <v>23</v>
      </c>
      <c r="J2809" t="s">
        <v>35</v>
      </c>
      <c r="K2809" s="2" t="s">
        <v>2693</v>
      </c>
      <c r="L2809" t="s">
        <v>26</v>
      </c>
      <c r="M2809">
        <v>358276</v>
      </c>
      <c r="N2809">
        <v>1</v>
      </c>
      <c r="O2809" s="3">
        <v>89950</v>
      </c>
      <c r="P2809" s="3">
        <v>29858</v>
      </c>
      <c r="Q2809" s="5">
        <f t="shared" si="129"/>
        <v>75588.23529411765</v>
      </c>
      <c r="R2809" s="5">
        <f t="shared" si="130"/>
        <v>29858</v>
      </c>
      <c r="S2809" s="5">
        <f t="shared" si="131"/>
        <v>45730.23529411765</v>
      </c>
    </row>
    <row r="2810" spans="1:19" hidden="1" x14ac:dyDescent="0.3">
      <c r="A2810">
        <v>150</v>
      </c>
      <c r="B2810" t="s">
        <v>4361</v>
      </c>
      <c r="C2810" t="s">
        <v>4557</v>
      </c>
      <c r="D2810" s="2" t="s">
        <v>4558</v>
      </c>
      <c r="E2810" t="s">
        <v>4484</v>
      </c>
      <c r="F2810" t="s">
        <v>20</v>
      </c>
      <c r="G2810" t="s">
        <v>21</v>
      </c>
      <c r="H2810" t="s">
        <v>958</v>
      </c>
      <c r="I2810" t="s">
        <v>23</v>
      </c>
      <c r="J2810" t="s">
        <v>40</v>
      </c>
      <c r="K2810" s="2" t="s">
        <v>2693</v>
      </c>
      <c r="L2810" t="s">
        <v>26</v>
      </c>
      <c r="M2810">
        <v>358277</v>
      </c>
      <c r="N2810">
        <v>1</v>
      </c>
      <c r="O2810" s="3">
        <v>34990</v>
      </c>
      <c r="P2810" s="3">
        <v>15744</v>
      </c>
      <c r="Q2810" s="5">
        <f t="shared" si="129"/>
        <v>29403.361344537818</v>
      </c>
      <c r="R2810" s="5">
        <f t="shared" si="130"/>
        <v>15744</v>
      </c>
      <c r="S2810" s="5">
        <f t="shared" si="131"/>
        <v>13659.361344537818</v>
      </c>
    </row>
    <row r="2811" spans="1:19" hidden="1" x14ac:dyDescent="0.3">
      <c r="A2811">
        <v>150</v>
      </c>
      <c r="B2811" t="s">
        <v>4361</v>
      </c>
      <c r="C2811" t="s">
        <v>2804</v>
      </c>
      <c r="D2811" s="2" t="s">
        <v>2805</v>
      </c>
      <c r="E2811" t="s">
        <v>512</v>
      </c>
      <c r="F2811" t="s">
        <v>20</v>
      </c>
      <c r="G2811" t="s">
        <v>21</v>
      </c>
      <c r="H2811" t="s">
        <v>513</v>
      </c>
      <c r="I2811" t="s">
        <v>23</v>
      </c>
      <c r="J2811" t="s">
        <v>35</v>
      </c>
      <c r="K2811" s="2" t="s">
        <v>2693</v>
      </c>
      <c r="L2811" t="s">
        <v>26</v>
      </c>
      <c r="M2811">
        <v>358278</v>
      </c>
      <c r="N2811">
        <v>1</v>
      </c>
      <c r="O2811" s="3">
        <v>119950</v>
      </c>
      <c r="P2811" s="3">
        <v>63050</v>
      </c>
      <c r="Q2811" s="5">
        <f t="shared" si="129"/>
        <v>100798.31932773109</v>
      </c>
      <c r="R2811" s="5">
        <f t="shared" si="130"/>
        <v>63050</v>
      </c>
      <c r="S2811" s="5">
        <f t="shared" si="131"/>
        <v>37748.319327731093</v>
      </c>
    </row>
    <row r="2812" spans="1:19" hidden="1" x14ac:dyDescent="0.3">
      <c r="A2812">
        <v>150</v>
      </c>
      <c r="B2812" t="s">
        <v>4361</v>
      </c>
      <c r="C2812" t="s">
        <v>3011</v>
      </c>
      <c r="D2812" s="2" t="s">
        <v>3012</v>
      </c>
      <c r="E2812" t="s">
        <v>3013</v>
      </c>
      <c r="F2812" t="s">
        <v>20</v>
      </c>
      <c r="G2812" t="s">
        <v>21</v>
      </c>
      <c r="H2812" t="s">
        <v>2070</v>
      </c>
      <c r="I2812" t="s">
        <v>23</v>
      </c>
      <c r="J2812" t="s">
        <v>24</v>
      </c>
      <c r="K2812" s="2" t="s">
        <v>2693</v>
      </c>
      <c r="L2812" t="s">
        <v>26</v>
      </c>
      <c r="M2812">
        <v>358278</v>
      </c>
      <c r="N2812">
        <v>1</v>
      </c>
      <c r="O2812" s="3">
        <v>84950</v>
      </c>
      <c r="P2812" s="3">
        <v>27701</v>
      </c>
      <c r="Q2812" s="5">
        <f t="shared" si="129"/>
        <v>71386.554621848743</v>
      </c>
      <c r="R2812" s="5">
        <f t="shared" si="130"/>
        <v>27701</v>
      </c>
      <c r="S2812" s="5">
        <f t="shared" si="131"/>
        <v>43685.554621848743</v>
      </c>
    </row>
    <row r="2813" spans="1:19" hidden="1" x14ac:dyDescent="0.3">
      <c r="A2813">
        <v>150</v>
      </c>
      <c r="B2813" t="s">
        <v>4361</v>
      </c>
      <c r="C2813" t="s">
        <v>562</v>
      </c>
      <c r="D2813" s="2" t="s">
        <v>563</v>
      </c>
      <c r="E2813" t="s">
        <v>564</v>
      </c>
      <c r="F2813" t="s">
        <v>20</v>
      </c>
      <c r="G2813" t="s">
        <v>21</v>
      </c>
      <c r="H2813" t="s">
        <v>565</v>
      </c>
      <c r="I2813" t="s">
        <v>23</v>
      </c>
      <c r="J2813" t="s">
        <v>49</v>
      </c>
      <c r="K2813" s="2" t="s">
        <v>2693</v>
      </c>
      <c r="L2813" t="s">
        <v>26</v>
      </c>
      <c r="M2813">
        <v>358278</v>
      </c>
      <c r="N2813">
        <v>1</v>
      </c>
      <c r="O2813" s="3">
        <v>49990</v>
      </c>
      <c r="P2813" s="3">
        <v>27663</v>
      </c>
      <c r="Q2813" s="5">
        <f t="shared" si="129"/>
        <v>42008.403361344543</v>
      </c>
      <c r="R2813" s="5">
        <f t="shared" si="130"/>
        <v>27663</v>
      </c>
      <c r="S2813" s="5">
        <f t="shared" si="131"/>
        <v>14345.403361344543</v>
      </c>
    </row>
    <row r="2814" spans="1:19" hidden="1" x14ac:dyDescent="0.3">
      <c r="A2814">
        <v>150</v>
      </c>
      <c r="B2814" t="s">
        <v>4361</v>
      </c>
      <c r="C2814" t="s">
        <v>4559</v>
      </c>
      <c r="D2814" s="2" t="s">
        <v>4560</v>
      </c>
      <c r="E2814" t="s">
        <v>564</v>
      </c>
      <c r="F2814" t="s">
        <v>20</v>
      </c>
      <c r="G2814" t="s">
        <v>21</v>
      </c>
      <c r="H2814" t="s">
        <v>565</v>
      </c>
      <c r="I2814" t="s">
        <v>23</v>
      </c>
      <c r="J2814" t="s">
        <v>49</v>
      </c>
      <c r="K2814" s="2" t="s">
        <v>2693</v>
      </c>
      <c r="L2814" t="s">
        <v>26</v>
      </c>
      <c r="M2814">
        <v>358278</v>
      </c>
      <c r="N2814">
        <v>1</v>
      </c>
      <c r="O2814" s="3">
        <v>49990</v>
      </c>
      <c r="P2814" s="3">
        <v>26922</v>
      </c>
      <c r="Q2814" s="5">
        <f t="shared" si="129"/>
        <v>42008.403361344543</v>
      </c>
      <c r="R2814" s="5">
        <f t="shared" si="130"/>
        <v>26922</v>
      </c>
      <c r="S2814" s="5">
        <f t="shared" si="131"/>
        <v>15086.403361344543</v>
      </c>
    </row>
    <row r="2815" spans="1:19" hidden="1" x14ac:dyDescent="0.3">
      <c r="A2815">
        <v>150</v>
      </c>
      <c r="B2815" t="s">
        <v>4361</v>
      </c>
      <c r="C2815" t="s">
        <v>3034</v>
      </c>
      <c r="D2815" s="2" t="s">
        <v>3035</v>
      </c>
      <c r="E2815" t="s">
        <v>3036</v>
      </c>
      <c r="F2815" t="s">
        <v>20</v>
      </c>
      <c r="G2815" t="s">
        <v>338</v>
      </c>
      <c r="H2815">
        <v>25273</v>
      </c>
      <c r="I2815" t="s">
        <v>23</v>
      </c>
      <c r="J2815" t="s">
        <v>35</v>
      </c>
      <c r="K2815" s="2" t="s">
        <v>2693</v>
      </c>
      <c r="L2815" t="s">
        <v>26</v>
      </c>
      <c r="M2815">
        <v>358279</v>
      </c>
      <c r="N2815">
        <v>1</v>
      </c>
      <c r="O2815" s="3">
        <v>99950</v>
      </c>
      <c r="P2815" s="3">
        <v>32658</v>
      </c>
      <c r="Q2815" s="5">
        <f t="shared" si="129"/>
        <v>83991.596638655465</v>
      </c>
      <c r="R2815" s="5">
        <f t="shared" si="130"/>
        <v>32658</v>
      </c>
      <c r="S2815" s="5">
        <f t="shared" si="131"/>
        <v>51333.596638655465</v>
      </c>
    </row>
    <row r="2816" spans="1:19" hidden="1" x14ac:dyDescent="0.3">
      <c r="A2816">
        <v>150</v>
      </c>
      <c r="B2816" t="s">
        <v>4361</v>
      </c>
      <c r="C2816" t="s">
        <v>4561</v>
      </c>
      <c r="D2816" s="2" t="s">
        <v>4562</v>
      </c>
      <c r="E2816" t="s">
        <v>3345</v>
      </c>
      <c r="F2816" t="s">
        <v>20</v>
      </c>
      <c r="G2816" t="s">
        <v>338</v>
      </c>
      <c r="H2816">
        <v>25354</v>
      </c>
      <c r="I2816" t="s">
        <v>23</v>
      </c>
      <c r="J2816" t="s">
        <v>35</v>
      </c>
      <c r="K2816" s="2" t="s">
        <v>2693</v>
      </c>
      <c r="L2816" t="s">
        <v>26</v>
      </c>
      <c r="M2816">
        <v>358279</v>
      </c>
      <c r="N2816">
        <v>1</v>
      </c>
      <c r="O2816" s="3">
        <v>69950</v>
      </c>
      <c r="P2816" s="3">
        <v>21167</v>
      </c>
      <c r="Q2816" s="5">
        <f t="shared" si="129"/>
        <v>58781.512605042022</v>
      </c>
      <c r="R2816" s="5">
        <f t="shared" si="130"/>
        <v>21167</v>
      </c>
      <c r="S2816" s="5">
        <f t="shared" si="131"/>
        <v>37614.512605042022</v>
      </c>
    </row>
    <row r="2817" spans="1:19" hidden="1" x14ac:dyDescent="0.3">
      <c r="A2817">
        <v>150</v>
      </c>
      <c r="B2817" t="s">
        <v>4361</v>
      </c>
      <c r="C2817" t="s">
        <v>2957</v>
      </c>
      <c r="D2817" s="2" t="s">
        <v>2958</v>
      </c>
      <c r="E2817" t="s">
        <v>2959</v>
      </c>
      <c r="F2817" t="s">
        <v>20</v>
      </c>
      <c r="G2817" t="s">
        <v>338</v>
      </c>
      <c r="H2817">
        <v>25529</v>
      </c>
      <c r="I2817" t="s">
        <v>23</v>
      </c>
      <c r="J2817" t="s">
        <v>31</v>
      </c>
      <c r="K2817" s="2" t="s">
        <v>2693</v>
      </c>
      <c r="L2817" t="s">
        <v>26</v>
      </c>
      <c r="M2817">
        <v>358280</v>
      </c>
      <c r="N2817">
        <v>1</v>
      </c>
      <c r="O2817" s="3">
        <v>149950</v>
      </c>
      <c r="P2817" s="3">
        <v>50690</v>
      </c>
      <c r="Q2817" s="5">
        <f t="shared" si="129"/>
        <v>126008.40336134455</v>
      </c>
      <c r="R2817" s="5">
        <f t="shared" si="130"/>
        <v>50690</v>
      </c>
      <c r="S2817" s="5">
        <f t="shared" si="131"/>
        <v>75318.40336134455</v>
      </c>
    </row>
    <row r="2818" spans="1:19" hidden="1" x14ac:dyDescent="0.3">
      <c r="A2818">
        <v>150</v>
      </c>
      <c r="B2818" t="s">
        <v>4361</v>
      </c>
      <c r="C2818" t="s">
        <v>2525</v>
      </c>
      <c r="D2818" s="2" t="s">
        <v>2526</v>
      </c>
      <c r="E2818" t="s">
        <v>2527</v>
      </c>
      <c r="F2818" t="s">
        <v>377</v>
      </c>
      <c r="G2818" t="s">
        <v>21</v>
      </c>
      <c r="H2818" t="s">
        <v>378</v>
      </c>
      <c r="I2818" t="s">
        <v>23</v>
      </c>
      <c r="J2818" t="s">
        <v>2459</v>
      </c>
      <c r="K2818" s="2" t="s">
        <v>2693</v>
      </c>
      <c r="L2818" t="s">
        <v>26</v>
      </c>
      <c r="M2818">
        <v>358281</v>
      </c>
      <c r="N2818">
        <v>1</v>
      </c>
      <c r="O2818" s="3">
        <v>6950</v>
      </c>
      <c r="P2818" s="3">
        <v>2964</v>
      </c>
      <c r="Q2818" s="5">
        <f t="shared" si="129"/>
        <v>5840.3361344537816</v>
      </c>
      <c r="R2818" s="5">
        <f t="shared" si="130"/>
        <v>2964</v>
      </c>
      <c r="S2818" s="5">
        <f t="shared" si="131"/>
        <v>2876.3361344537816</v>
      </c>
    </row>
    <row r="2819" spans="1:19" hidden="1" x14ac:dyDescent="0.3">
      <c r="A2819">
        <v>150</v>
      </c>
      <c r="B2819" t="s">
        <v>4361</v>
      </c>
      <c r="C2819" t="s">
        <v>4563</v>
      </c>
      <c r="D2819" s="2" t="s">
        <v>4564</v>
      </c>
      <c r="E2819" t="s">
        <v>4565</v>
      </c>
      <c r="F2819" t="s">
        <v>20</v>
      </c>
      <c r="G2819" t="s">
        <v>21</v>
      </c>
      <c r="H2819" t="s">
        <v>790</v>
      </c>
      <c r="I2819" t="s">
        <v>23</v>
      </c>
      <c r="J2819" t="s">
        <v>40</v>
      </c>
      <c r="K2819" s="2" t="s">
        <v>2693</v>
      </c>
      <c r="L2819" t="s">
        <v>26</v>
      </c>
      <c r="M2819">
        <v>358282</v>
      </c>
      <c r="N2819">
        <v>1</v>
      </c>
      <c r="O2819" s="3">
        <v>79950</v>
      </c>
      <c r="P2819" s="3">
        <v>30690</v>
      </c>
      <c r="Q2819" s="5">
        <f t="shared" si="129"/>
        <v>67184.873949579836</v>
      </c>
      <c r="R2819" s="5">
        <f t="shared" si="130"/>
        <v>30690</v>
      </c>
      <c r="S2819" s="5">
        <f t="shared" si="131"/>
        <v>36494.873949579836</v>
      </c>
    </row>
    <row r="2820" spans="1:19" hidden="1" x14ac:dyDescent="0.3">
      <c r="A2820">
        <v>150</v>
      </c>
      <c r="B2820" t="s">
        <v>4361</v>
      </c>
      <c r="C2820" t="s">
        <v>4566</v>
      </c>
      <c r="D2820" s="2" t="s">
        <v>4567</v>
      </c>
      <c r="E2820" t="s">
        <v>2661</v>
      </c>
      <c r="F2820" t="s">
        <v>20</v>
      </c>
      <c r="G2820" t="s">
        <v>21</v>
      </c>
      <c r="H2820" t="s">
        <v>317</v>
      </c>
      <c r="I2820" t="s">
        <v>23</v>
      </c>
      <c r="J2820" t="s">
        <v>35</v>
      </c>
      <c r="K2820" s="2" t="s">
        <v>2693</v>
      </c>
      <c r="L2820" t="s">
        <v>26</v>
      </c>
      <c r="M2820">
        <v>358282</v>
      </c>
      <c r="N2820">
        <v>1</v>
      </c>
      <c r="O2820" s="3">
        <v>69950</v>
      </c>
      <c r="P2820" s="3">
        <v>24086</v>
      </c>
      <c r="Q2820" s="5">
        <f t="shared" si="129"/>
        <v>58781.512605042022</v>
      </c>
      <c r="R2820" s="5">
        <f t="shared" si="130"/>
        <v>24086</v>
      </c>
      <c r="S2820" s="5">
        <f t="shared" si="131"/>
        <v>34695.512605042022</v>
      </c>
    </row>
    <row r="2821" spans="1:19" hidden="1" x14ac:dyDescent="0.3">
      <c r="A2821">
        <v>150</v>
      </c>
      <c r="B2821" t="s">
        <v>4361</v>
      </c>
      <c r="C2821" t="s">
        <v>4568</v>
      </c>
      <c r="D2821" s="2" t="s">
        <v>4569</v>
      </c>
      <c r="E2821" t="s">
        <v>3016</v>
      </c>
      <c r="F2821" t="s">
        <v>20</v>
      </c>
      <c r="G2821" t="s">
        <v>338</v>
      </c>
      <c r="H2821">
        <v>25301</v>
      </c>
      <c r="I2821" t="s">
        <v>23</v>
      </c>
      <c r="J2821" t="s">
        <v>35</v>
      </c>
      <c r="K2821" s="2" t="s">
        <v>2693</v>
      </c>
      <c r="L2821" t="s">
        <v>26</v>
      </c>
      <c r="M2821">
        <v>358283</v>
      </c>
      <c r="N2821">
        <v>1</v>
      </c>
      <c r="O2821" s="3">
        <v>99950</v>
      </c>
      <c r="P2821" s="3">
        <v>34679</v>
      </c>
      <c r="Q2821" s="5">
        <f t="shared" si="129"/>
        <v>83991.596638655465</v>
      </c>
      <c r="R2821" s="5">
        <f t="shared" si="130"/>
        <v>34679</v>
      </c>
      <c r="S2821" s="5">
        <f t="shared" si="131"/>
        <v>49312.596638655465</v>
      </c>
    </row>
    <row r="2822" spans="1:19" hidden="1" x14ac:dyDescent="0.3">
      <c r="A2822">
        <v>150</v>
      </c>
      <c r="B2822" t="s">
        <v>4361</v>
      </c>
      <c r="C2822" t="s">
        <v>4570</v>
      </c>
      <c r="D2822" s="2" t="s">
        <v>4571</v>
      </c>
      <c r="E2822" t="s">
        <v>4296</v>
      </c>
      <c r="F2822" t="s">
        <v>20</v>
      </c>
      <c r="G2822" t="s">
        <v>338</v>
      </c>
      <c r="H2822">
        <v>25321</v>
      </c>
      <c r="I2822" t="s">
        <v>23</v>
      </c>
      <c r="J2822" t="s">
        <v>35</v>
      </c>
      <c r="K2822" s="2" t="s">
        <v>2693</v>
      </c>
      <c r="L2822" t="s">
        <v>26</v>
      </c>
      <c r="M2822">
        <v>358284</v>
      </c>
      <c r="N2822">
        <v>1</v>
      </c>
      <c r="O2822" s="3">
        <v>109950</v>
      </c>
      <c r="P2822" s="3">
        <v>33748</v>
      </c>
      <c r="Q2822" s="5">
        <f t="shared" ref="Q2822:Q2885" si="132">O2822/1.19</f>
        <v>92394.957983193279</v>
      </c>
      <c r="R2822" s="5">
        <f t="shared" ref="R2822:R2885" si="133">N2822*P2822</f>
        <v>33748</v>
      </c>
      <c r="S2822" s="5">
        <f t="shared" ref="S2822:S2885" si="134">Q2822-R2822</f>
        <v>58646.957983193279</v>
      </c>
    </row>
    <row r="2823" spans="1:19" hidden="1" x14ac:dyDescent="0.3">
      <c r="A2823">
        <v>150</v>
      </c>
      <c r="B2823" t="s">
        <v>4361</v>
      </c>
      <c r="C2823" t="s">
        <v>4572</v>
      </c>
      <c r="D2823" s="2" t="s">
        <v>4573</v>
      </c>
      <c r="E2823" t="s">
        <v>4574</v>
      </c>
      <c r="F2823" t="s">
        <v>20</v>
      </c>
      <c r="G2823" t="s">
        <v>21</v>
      </c>
      <c r="H2823" t="s">
        <v>3028</v>
      </c>
      <c r="I2823" t="s">
        <v>23</v>
      </c>
      <c r="J2823" t="s">
        <v>35</v>
      </c>
      <c r="K2823" s="2" t="s">
        <v>2693</v>
      </c>
      <c r="L2823" t="s">
        <v>26</v>
      </c>
      <c r="M2823">
        <v>358285</v>
      </c>
      <c r="N2823">
        <v>1</v>
      </c>
      <c r="O2823" s="3">
        <v>99950</v>
      </c>
      <c r="P2823" s="3">
        <v>53748</v>
      </c>
      <c r="Q2823" s="5">
        <f t="shared" si="132"/>
        <v>83991.596638655465</v>
      </c>
      <c r="R2823" s="5">
        <f t="shared" si="133"/>
        <v>53748</v>
      </c>
      <c r="S2823" s="5">
        <f t="shared" si="134"/>
        <v>30243.596638655465</v>
      </c>
    </row>
    <row r="2824" spans="1:19" hidden="1" x14ac:dyDescent="0.3">
      <c r="A2824">
        <v>150</v>
      </c>
      <c r="B2824" t="s">
        <v>4361</v>
      </c>
      <c r="C2824" t="s">
        <v>2575</v>
      </c>
      <c r="D2824" s="2" t="s">
        <v>2576</v>
      </c>
      <c r="E2824" t="s">
        <v>2577</v>
      </c>
      <c r="F2824" t="s">
        <v>377</v>
      </c>
      <c r="G2824" t="s">
        <v>21</v>
      </c>
      <c r="H2824" t="s">
        <v>378</v>
      </c>
      <c r="I2824" t="s">
        <v>23</v>
      </c>
      <c r="J2824" t="s">
        <v>379</v>
      </c>
      <c r="K2824" s="2" t="s">
        <v>2693</v>
      </c>
      <c r="L2824" t="s">
        <v>26</v>
      </c>
      <c r="M2824">
        <v>358285</v>
      </c>
      <c r="N2824">
        <v>1</v>
      </c>
      <c r="O2824" s="3">
        <v>5950</v>
      </c>
      <c r="P2824" s="3">
        <v>3307</v>
      </c>
      <c r="Q2824" s="5">
        <f t="shared" si="132"/>
        <v>5000</v>
      </c>
      <c r="R2824" s="5">
        <f t="shared" si="133"/>
        <v>3307</v>
      </c>
      <c r="S2824" s="5">
        <f t="shared" si="134"/>
        <v>1693</v>
      </c>
    </row>
    <row r="2825" spans="1:19" hidden="1" x14ac:dyDescent="0.3">
      <c r="A2825">
        <v>150</v>
      </c>
      <c r="B2825" t="s">
        <v>4361</v>
      </c>
      <c r="C2825" t="s">
        <v>4575</v>
      </c>
      <c r="D2825" s="2" t="s">
        <v>4576</v>
      </c>
      <c r="E2825" t="s">
        <v>4577</v>
      </c>
      <c r="F2825" t="s">
        <v>20</v>
      </c>
      <c r="G2825" t="s">
        <v>338</v>
      </c>
      <c r="H2825">
        <v>23724</v>
      </c>
      <c r="I2825" t="s">
        <v>23</v>
      </c>
      <c r="J2825" t="s">
        <v>40</v>
      </c>
      <c r="K2825" s="2" t="s">
        <v>2693</v>
      </c>
      <c r="L2825" t="s">
        <v>26</v>
      </c>
      <c r="M2825">
        <v>358286</v>
      </c>
      <c r="N2825">
        <v>1</v>
      </c>
      <c r="O2825" s="3">
        <v>79950</v>
      </c>
      <c r="P2825" s="3">
        <v>26332</v>
      </c>
      <c r="Q2825" s="5">
        <f t="shared" si="132"/>
        <v>67184.873949579836</v>
      </c>
      <c r="R2825" s="5">
        <f t="shared" si="133"/>
        <v>26332</v>
      </c>
      <c r="S2825" s="5">
        <f t="shared" si="134"/>
        <v>40852.873949579836</v>
      </c>
    </row>
    <row r="2826" spans="1:19" hidden="1" x14ac:dyDescent="0.3">
      <c r="A2826">
        <v>150</v>
      </c>
      <c r="B2826" t="s">
        <v>4361</v>
      </c>
      <c r="C2826" t="s">
        <v>2989</v>
      </c>
      <c r="D2826" s="2" t="s">
        <v>2990</v>
      </c>
      <c r="E2826" t="s">
        <v>2208</v>
      </c>
      <c r="F2826" t="s">
        <v>20</v>
      </c>
      <c r="G2826" t="s">
        <v>338</v>
      </c>
      <c r="H2826">
        <v>25823</v>
      </c>
      <c r="I2826" t="s">
        <v>23</v>
      </c>
      <c r="J2826" t="s">
        <v>35</v>
      </c>
      <c r="K2826" s="2" t="s">
        <v>2693</v>
      </c>
      <c r="L2826" t="s">
        <v>26</v>
      </c>
      <c r="M2826">
        <v>358287</v>
      </c>
      <c r="N2826">
        <v>1</v>
      </c>
      <c r="O2826" s="3">
        <v>99950</v>
      </c>
      <c r="P2826" s="3">
        <v>33748</v>
      </c>
      <c r="Q2826" s="5">
        <f t="shared" si="132"/>
        <v>83991.596638655465</v>
      </c>
      <c r="R2826" s="5">
        <f t="shared" si="133"/>
        <v>33748</v>
      </c>
      <c r="S2826" s="5">
        <f t="shared" si="134"/>
        <v>50243.596638655465</v>
      </c>
    </row>
    <row r="2827" spans="1:19" hidden="1" x14ac:dyDescent="0.3">
      <c r="A2827">
        <v>150</v>
      </c>
      <c r="B2827" t="s">
        <v>4361</v>
      </c>
      <c r="C2827" t="s">
        <v>3396</v>
      </c>
      <c r="D2827" s="2" t="s">
        <v>3397</v>
      </c>
      <c r="E2827" t="s">
        <v>494</v>
      </c>
      <c r="F2827" t="s">
        <v>20</v>
      </c>
      <c r="G2827" t="s">
        <v>21</v>
      </c>
      <c r="H2827" t="s">
        <v>317</v>
      </c>
      <c r="I2827" t="s">
        <v>23</v>
      </c>
      <c r="J2827" t="s">
        <v>35</v>
      </c>
      <c r="K2827" s="2" t="s">
        <v>2751</v>
      </c>
      <c r="L2827" t="s">
        <v>26</v>
      </c>
      <c r="M2827">
        <v>358288</v>
      </c>
      <c r="N2827">
        <v>1</v>
      </c>
      <c r="O2827" s="3">
        <v>69950</v>
      </c>
      <c r="P2827" s="3">
        <v>23619</v>
      </c>
      <c r="Q2827" s="5">
        <f t="shared" si="132"/>
        <v>58781.512605042022</v>
      </c>
      <c r="R2827" s="5">
        <f t="shared" si="133"/>
        <v>23619</v>
      </c>
      <c r="S2827" s="5">
        <f t="shared" si="134"/>
        <v>35162.512605042022</v>
      </c>
    </row>
    <row r="2828" spans="1:19" hidden="1" x14ac:dyDescent="0.3">
      <c r="A2828">
        <v>150</v>
      </c>
      <c r="B2828" t="s">
        <v>4361</v>
      </c>
      <c r="C2828" t="s">
        <v>2801</v>
      </c>
      <c r="D2828" s="2" t="s">
        <v>2802</v>
      </c>
      <c r="E2828" t="s">
        <v>2803</v>
      </c>
      <c r="F2828" t="s">
        <v>20</v>
      </c>
      <c r="G2828" t="s">
        <v>338</v>
      </c>
      <c r="H2828">
        <v>23726</v>
      </c>
      <c r="I2828" t="s">
        <v>23</v>
      </c>
      <c r="J2828" t="s">
        <v>40</v>
      </c>
      <c r="K2828" s="2" t="s">
        <v>2751</v>
      </c>
      <c r="L2828" t="s">
        <v>26</v>
      </c>
      <c r="M2828">
        <v>358289</v>
      </c>
      <c r="N2828">
        <v>1</v>
      </c>
      <c r="O2828" s="3">
        <v>89950</v>
      </c>
      <c r="P2828" s="3">
        <v>29798</v>
      </c>
      <c r="Q2828" s="5">
        <f t="shared" si="132"/>
        <v>75588.23529411765</v>
      </c>
      <c r="R2828" s="5">
        <f t="shared" si="133"/>
        <v>29798</v>
      </c>
      <c r="S2828" s="5">
        <f t="shared" si="134"/>
        <v>45790.23529411765</v>
      </c>
    </row>
    <row r="2829" spans="1:19" hidden="1" x14ac:dyDescent="0.3">
      <c r="A2829">
        <v>150</v>
      </c>
      <c r="B2829" t="s">
        <v>4361</v>
      </c>
      <c r="C2829" t="s">
        <v>4578</v>
      </c>
      <c r="D2829" s="2" t="s">
        <v>4579</v>
      </c>
      <c r="E2829" t="s">
        <v>3754</v>
      </c>
      <c r="F2829" t="s">
        <v>20</v>
      </c>
      <c r="G2829" t="s">
        <v>21</v>
      </c>
      <c r="H2829" t="s">
        <v>610</v>
      </c>
      <c r="I2829" t="s">
        <v>23</v>
      </c>
      <c r="J2829" t="s">
        <v>40</v>
      </c>
      <c r="K2829" s="2" t="s">
        <v>2751</v>
      </c>
      <c r="L2829" t="s">
        <v>26</v>
      </c>
      <c r="M2829">
        <v>358290</v>
      </c>
      <c r="N2829">
        <v>-1</v>
      </c>
      <c r="O2829" s="3">
        <v>-34990</v>
      </c>
      <c r="P2829" s="3">
        <v>14810</v>
      </c>
      <c r="Q2829" s="5">
        <f t="shared" si="132"/>
        <v>-29403.361344537818</v>
      </c>
      <c r="R2829" s="5">
        <f t="shared" si="133"/>
        <v>-14810</v>
      </c>
      <c r="S2829" s="5">
        <f t="shared" si="134"/>
        <v>-14593.361344537818</v>
      </c>
    </row>
    <row r="2830" spans="1:19" hidden="1" x14ac:dyDescent="0.3">
      <c r="A2830">
        <v>150</v>
      </c>
      <c r="B2830" t="s">
        <v>4361</v>
      </c>
      <c r="C2830" t="s">
        <v>4580</v>
      </c>
      <c r="D2830" s="2" t="s">
        <v>4581</v>
      </c>
      <c r="E2830" t="s">
        <v>4582</v>
      </c>
      <c r="F2830" t="s">
        <v>20</v>
      </c>
      <c r="G2830" t="s">
        <v>21</v>
      </c>
      <c r="H2830" t="s">
        <v>4583</v>
      </c>
      <c r="I2830" t="s">
        <v>23</v>
      </c>
      <c r="J2830" t="s">
        <v>40</v>
      </c>
      <c r="K2830" s="2" t="s">
        <v>2751</v>
      </c>
      <c r="L2830" t="s">
        <v>26</v>
      </c>
      <c r="M2830">
        <v>358290</v>
      </c>
      <c r="N2830">
        <v>1</v>
      </c>
      <c r="O2830" s="3">
        <v>34991</v>
      </c>
      <c r="P2830" s="3">
        <v>19155</v>
      </c>
      <c r="Q2830" s="5">
        <f t="shared" si="132"/>
        <v>29404.201680672271</v>
      </c>
      <c r="R2830" s="5">
        <f t="shared" si="133"/>
        <v>19155</v>
      </c>
      <c r="S2830" s="5">
        <f t="shared" si="134"/>
        <v>10249.201680672271</v>
      </c>
    </row>
    <row r="2831" spans="1:19" hidden="1" x14ac:dyDescent="0.3">
      <c r="A2831">
        <v>150</v>
      </c>
      <c r="B2831" t="s">
        <v>4361</v>
      </c>
      <c r="C2831" t="s">
        <v>4584</v>
      </c>
      <c r="D2831" s="2" t="s">
        <v>4585</v>
      </c>
      <c r="E2831" t="s">
        <v>4586</v>
      </c>
      <c r="F2831" t="s">
        <v>20</v>
      </c>
      <c r="G2831" t="s">
        <v>21</v>
      </c>
      <c r="H2831" t="s">
        <v>818</v>
      </c>
      <c r="I2831" t="s">
        <v>23</v>
      </c>
      <c r="J2831" t="s">
        <v>35</v>
      </c>
      <c r="K2831" s="2" t="s">
        <v>2751</v>
      </c>
      <c r="L2831" t="s">
        <v>26</v>
      </c>
      <c r="M2831">
        <v>358291</v>
      </c>
      <c r="N2831">
        <v>1</v>
      </c>
      <c r="O2831" s="3">
        <v>69990</v>
      </c>
      <c r="P2831" s="3">
        <v>34589</v>
      </c>
      <c r="Q2831" s="5">
        <f t="shared" si="132"/>
        <v>58815.126050420171</v>
      </c>
      <c r="R2831" s="5">
        <f t="shared" si="133"/>
        <v>34589</v>
      </c>
      <c r="S2831" s="5">
        <f t="shared" si="134"/>
        <v>24226.126050420171</v>
      </c>
    </row>
    <row r="2832" spans="1:19" hidden="1" x14ac:dyDescent="0.3">
      <c r="A2832">
        <v>150</v>
      </c>
      <c r="B2832" t="s">
        <v>4361</v>
      </c>
      <c r="C2832" t="s">
        <v>2395</v>
      </c>
      <c r="D2832" s="2" t="s">
        <v>2396</v>
      </c>
      <c r="E2832" t="s">
        <v>425</v>
      </c>
      <c r="F2832" t="s">
        <v>20</v>
      </c>
      <c r="G2832" t="s">
        <v>21</v>
      </c>
      <c r="H2832" t="s">
        <v>22</v>
      </c>
      <c r="I2832" t="s">
        <v>23</v>
      </c>
      <c r="J2832" t="s">
        <v>24</v>
      </c>
      <c r="K2832" s="2" t="s">
        <v>2751</v>
      </c>
      <c r="L2832" t="s">
        <v>26</v>
      </c>
      <c r="M2832">
        <v>358292</v>
      </c>
      <c r="N2832">
        <v>1</v>
      </c>
      <c r="O2832" s="3">
        <v>79950</v>
      </c>
      <c r="P2832" s="3">
        <v>27848</v>
      </c>
      <c r="Q2832" s="5">
        <f t="shared" si="132"/>
        <v>67184.873949579836</v>
      </c>
      <c r="R2832" s="5">
        <f t="shared" si="133"/>
        <v>27848</v>
      </c>
      <c r="S2832" s="5">
        <f t="shared" si="134"/>
        <v>39336.873949579836</v>
      </c>
    </row>
    <row r="2833" spans="1:19" hidden="1" x14ac:dyDescent="0.3">
      <c r="A2833">
        <v>150</v>
      </c>
      <c r="B2833" t="s">
        <v>4361</v>
      </c>
      <c r="C2833" t="s">
        <v>3153</v>
      </c>
      <c r="D2833" s="2" t="s">
        <v>3154</v>
      </c>
      <c r="E2833" t="s">
        <v>3155</v>
      </c>
      <c r="F2833" t="s">
        <v>20</v>
      </c>
      <c r="G2833" t="s">
        <v>21</v>
      </c>
      <c r="H2833" t="s">
        <v>970</v>
      </c>
      <c r="I2833" t="s">
        <v>23</v>
      </c>
      <c r="J2833" t="s">
        <v>40</v>
      </c>
      <c r="K2833" s="2" t="s">
        <v>2751</v>
      </c>
      <c r="L2833" t="s">
        <v>26</v>
      </c>
      <c r="M2833">
        <v>358293</v>
      </c>
      <c r="N2833">
        <v>1</v>
      </c>
      <c r="O2833" s="3">
        <v>59950</v>
      </c>
      <c r="P2833" s="3">
        <v>19352</v>
      </c>
      <c r="Q2833" s="5">
        <f t="shared" si="132"/>
        <v>50378.151260504201</v>
      </c>
      <c r="R2833" s="5">
        <f t="shared" si="133"/>
        <v>19352</v>
      </c>
      <c r="S2833" s="5">
        <f t="shared" si="134"/>
        <v>31026.151260504201</v>
      </c>
    </row>
    <row r="2834" spans="1:19" hidden="1" x14ac:dyDescent="0.3">
      <c r="A2834">
        <v>150</v>
      </c>
      <c r="B2834" t="s">
        <v>4361</v>
      </c>
      <c r="C2834" t="s">
        <v>615</v>
      </c>
      <c r="D2834" s="2" t="s">
        <v>616</v>
      </c>
      <c r="E2834" t="s">
        <v>617</v>
      </c>
      <c r="F2834" t="s">
        <v>20</v>
      </c>
      <c r="G2834" t="s">
        <v>21</v>
      </c>
      <c r="H2834" t="s">
        <v>618</v>
      </c>
      <c r="I2834" t="s">
        <v>23</v>
      </c>
      <c r="J2834" t="s">
        <v>40</v>
      </c>
      <c r="K2834" s="2" t="s">
        <v>2751</v>
      </c>
      <c r="L2834" t="s">
        <v>26</v>
      </c>
      <c r="M2834">
        <v>358293</v>
      </c>
      <c r="N2834">
        <v>1</v>
      </c>
      <c r="O2834" s="3">
        <v>34990</v>
      </c>
      <c r="P2834" s="3">
        <v>16817</v>
      </c>
      <c r="Q2834" s="5">
        <f t="shared" si="132"/>
        <v>29403.361344537818</v>
      </c>
      <c r="R2834" s="5">
        <f t="shared" si="133"/>
        <v>16817</v>
      </c>
      <c r="S2834" s="5">
        <f t="shared" si="134"/>
        <v>12586.361344537818</v>
      </c>
    </row>
    <row r="2835" spans="1:19" hidden="1" x14ac:dyDescent="0.3">
      <c r="A2835">
        <v>150</v>
      </c>
      <c r="B2835" t="s">
        <v>4361</v>
      </c>
      <c r="C2835" t="s">
        <v>3840</v>
      </c>
      <c r="D2835" s="2" t="s">
        <v>3841</v>
      </c>
      <c r="E2835" t="s">
        <v>2810</v>
      </c>
      <c r="F2835" t="s">
        <v>20</v>
      </c>
      <c r="G2835" t="s">
        <v>21</v>
      </c>
      <c r="H2835" t="s">
        <v>1987</v>
      </c>
      <c r="I2835" t="s">
        <v>23</v>
      </c>
      <c r="J2835" t="s">
        <v>35</v>
      </c>
      <c r="K2835" s="2" t="s">
        <v>2751</v>
      </c>
      <c r="L2835" t="s">
        <v>26</v>
      </c>
      <c r="M2835">
        <v>358294</v>
      </c>
      <c r="N2835">
        <v>1</v>
      </c>
      <c r="O2835" s="3">
        <v>89950</v>
      </c>
      <c r="P2835" s="3">
        <v>29858</v>
      </c>
      <c r="Q2835" s="5">
        <f t="shared" si="132"/>
        <v>75588.23529411765</v>
      </c>
      <c r="R2835" s="5">
        <f t="shared" si="133"/>
        <v>29858</v>
      </c>
      <c r="S2835" s="5">
        <f t="shared" si="134"/>
        <v>45730.23529411765</v>
      </c>
    </row>
    <row r="2836" spans="1:19" hidden="1" x14ac:dyDescent="0.3">
      <c r="A2836">
        <v>150</v>
      </c>
      <c r="B2836" t="s">
        <v>4361</v>
      </c>
      <c r="C2836" t="s">
        <v>4587</v>
      </c>
      <c r="D2836" s="2" t="s">
        <v>4588</v>
      </c>
      <c r="E2836" t="s">
        <v>4280</v>
      </c>
      <c r="F2836" t="s">
        <v>20</v>
      </c>
      <c r="G2836" t="s">
        <v>21</v>
      </c>
      <c r="H2836" t="s">
        <v>3128</v>
      </c>
      <c r="I2836" t="s">
        <v>23</v>
      </c>
      <c r="J2836" t="s">
        <v>35</v>
      </c>
      <c r="K2836" s="2" t="s">
        <v>2751</v>
      </c>
      <c r="L2836" t="s">
        <v>26</v>
      </c>
      <c r="M2836">
        <v>358295</v>
      </c>
      <c r="N2836">
        <v>1</v>
      </c>
      <c r="O2836" s="3">
        <v>84950</v>
      </c>
      <c r="P2836" s="3">
        <v>29189</v>
      </c>
      <c r="Q2836" s="5">
        <f t="shared" si="132"/>
        <v>71386.554621848743</v>
      </c>
      <c r="R2836" s="5">
        <f t="shared" si="133"/>
        <v>29189</v>
      </c>
      <c r="S2836" s="5">
        <f t="shared" si="134"/>
        <v>42197.554621848743</v>
      </c>
    </row>
    <row r="2837" spans="1:19" hidden="1" x14ac:dyDescent="0.3">
      <c r="A2837">
        <v>150</v>
      </c>
      <c r="B2837" t="s">
        <v>4361</v>
      </c>
      <c r="C2837" t="s">
        <v>4589</v>
      </c>
      <c r="D2837" s="2" t="s">
        <v>4590</v>
      </c>
      <c r="E2837" t="s">
        <v>4021</v>
      </c>
      <c r="F2837" t="s">
        <v>20</v>
      </c>
      <c r="G2837" t="s">
        <v>21</v>
      </c>
      <c r="H2837" t="s">
        <v>2364</v>
      </c>
      <c r="I2837" t="s">
        <v>23</v>
      </c>
      <c r="J2837" t="s">
        <v>40</v>
      </c>
      <c r="K2837" s="2" t="s">
        <v>2751</v>
      </c>
      <c r="L2837" t="s">
        <v>26</v>
      </c>
      <c r="M2837">
        <v>358296</v>
      </c>
      <c r="N2837">
        <v>1</v>
      </c>
      <c r="O2837" s="3">
        <v>39990</v>
      </c>
      <c r="P2837" s="3">
        <v>30446</v>
      </c>
      <c r="Q2837" s="5">
        <f t="shared" si="132"/>
        <v>33605.042016806721</v>
      </c>
      <c r="R2837" s="5">
        <f t="shared" si="133"/>
        <v>30446</v>
      </c>
      <c r="S2837" s="5">
        <f t="shared" si="134"/>
        <v>3159.0420168067212</v>
      </c>
    </row>
    <row r="2838" spans="1:19" hidden="1" x14ac:dyDescent="0.3">
      <c r="A2838">
        <v>150</v>
      </c>
      <c r="B2838" t="s">
        <v>4361</v>
      </c>
      <c r="C2838" t="s">
        <v>4591</v>
      </c>
      <c r="D2838" s="2" t="s">
        <v>4592</v>
      </c>
      <c r="E2838" t="s">
        <v>2834</v>
      </c>
      <c r="F2838" t="s">
        <v>20</v>
      </c>
      <c r="G2838" t="s">
        <v>21</v>
      </c>
      <c r="H2838" t="s">
        <v>870</v>
      </c>
      <c r="I2838" t="s">
        <v>23</v>
      </c>
      <c r="J2838" t="s">
        <v>49</v>
      </c>
      <c r="K2838" s="2" t="s">
        <v>2751</v>
      </c>
      <c r="L2838" t="s">
        <v>26</v>
      </c>
      <c r="M2838">
        <v>358297</v>
      </c>
      <c r="N2838">
        <v>1</v>
      </c>
      <c r="O2838" s="3">
        <v>64950</v>
      </c>
      <c r="P2838" s="3">
        <v>23542</v>
      </c>
      <c r="Q2838" s="5">
        <f t="shared" si="132"/>
        <v>54579.831932773115</v>
      </c>
      <c r="R2838" s="5">
        <f t="shared" si="133"/>
        <v>23542</v>
      </c>
      <c r="S2838" s="5">
        <f t="shared" si="134"/>
        <v>31037.831932773115</v>
      </c>
    </row>
    <row r="2839" spans="1:19" hidden="1" x14ac:dyDescent="0.3">
      <c r="A2839">
        <v>150</v>
      </c>
      <c r="B2839" t="s">
        <v>4361</v>
      </c>
      <c r="C2839" t="s">
        <v>4593</v>
      </c>
      <c r="D2839" s="2" t="s">
        <v>4594</v>
      </c>
      <c r="E2839" t="s">
        <v>3786</v>
      </c>
      <c r="F2839" t="s">
        <v>20</v>
      </c>
      <c r="G2839" t="s">
        <v>21</v>
      </c>
      <c r="H2839" t="s">
        <v>1405</v>
      </c>
      <c r="I2839" t="s">
        <v>23</v>
      </c>
      <c r="J2839" t="s">
        <v>40</v>
      </c>
      <c r="K2839" s="2" t="s">
        <v>2751</v>
      </c>
      <c r="L2839" t="s">
        <v>26</v>
      </c>
      <c r="M2839">
        <v>358298</v>
      </c>
      <c r="N2839">
        <v>1</v>
      </c>
      <c r="O2839" s="3">
        <v>49950</v>
      </c>
      <c r="P2839" s="3">
        <v>13302</v>
      </c>
      <c r="Q2839" s="5">
        <f t="shared" si="132"/>
        <v>41974.789915966387</v>
      </c>
      <c r="R2839" s="5">
        <f t="shared" si="133"/>
        <v>13302</v>
      </c>
      <c r="S2839" s="5">
        <f t="shared" si="134"/>
        <v>28672.789915966387</v>
      </c>
    </row>
    <row r="2840" spans="1:19" hidden="1" x14ac:dyDescent="0.3">
      <c r="A2840">
        <v>150</v>
      </c>
      <c r="B2840" t="s">
        <v>4361</v>
      </c>
      <c r="C2840" t="s">
        <v>3054</v>
      </c>
      <c r="D2840" s="2" t="s">
        <v>3055</v>
      </c>
      <c r="E2840" t="s">
        <v>2870</v>
      </c>
      <c r="F2840" t="s">
        <v>20</v>
      </c>
      <c r="G2840" t="s">
        <v>21</v>
      </c>
      <c r="H2840" t="s">
        <v>30</v>
      </c>
      <c r="I2840" t="s">
        <v>23</v>
      </c>
      <c r="J2840" t="s">
        <v>35</v>
      </c>
      <c r="K2840" s="2" t="s">
        <v>1152</v>
      </c>
      <c r="L2840" t="s">
        <v>26</v>
      </c>
      <c r="M2840">
        <v>358299</v>
      </c>
      <c r="N2840">
        <v>1</v>
      </c>
      <c r="O2840" s="3">
        <v>79950</v>
      </c>
      <c r="P2840" s="3">
        <v>30749</v>
      </c>
      <c r="Q2840" s="5">
        <f t="shared" si="132"/>
        <v>67184.873949579836</v>
      </c>
      <c r="R2840" s="5">
        <f t="shared" si="133"/>
        <v>30749</v>
      </c>
      <c r="S2840" s="5">
        <f t="shared" si="134"/>
        <v>36435.873949579836</v>
      </c>
    </row>
    <row r="2841" spans="1:19" hidden="1" x14ac:dyDescent="0.3">
      <c r="A2841">
        <v>150</v>
      </c>
      <c r="B2841" t="s">
        <v>4361</v>
      </c>
      <c r="C2841" t="s">
        <v>1761</v>
      </c>
      <c r="D2841" s="2" t="s">
        <v>1762</v>
      </c>
      <c r="E2841" t="s">
        <v>1763</v>
      </c>
      <c r="F2841" t="s">
        <v>377</v>
      </c>
      <c r="G2841" t="s">
        <v>21</v>
      </c>
      <c r="H2841" t="s">
        <v>378</v>
      </c>
      <c r="I2841" t="s">
        <v>23</v>
      </c>
      <c r="J2841" t="s">
        <v>379</v>
      </c>
      <c r="K2841" s="2" t="s">
        <v>1152</v>
      </c>
      <c r="L2841" t="s">
        <v>26</v>
      </c>
      <c r="M2841">
        <v>358299</v>
      </c>
      <c r="N2841">
        <v>1</v>
      </c>
      <c r="O2841" s="3">
        <v>5950</v>
      </c>
      <c r="P2841" s="3">
        <v>3279</v>
      </c>
      <c r="Q2841" s="5">
        <f t="shared" si="132"/>
        <v>5000</v>
      </c>
      <c r="R2841" s="5">
        <f t="shared" si="133"/>
        <v>3279</v>
      </c>
      <c r="S2841" s="5">
        <f t="shared" si="134"/>
        <v>1721</v>
      </c>
    </row>
    <row r="2842" spans="1:19" hidden="1" x14ac:dyDescent="0.3">
      <c r="A2842">
        <v>150</v>
      </c>
      <c r="B2842" t="s">
        <v>4361</v>
      </c>
      <c r="C2842" t="s">
        <v>3477</v>
      </c>
      <c r="D2842" s="2" t="s">
        <v>3478</v>
      </c>
      <c r="E2842" t="s">
        <v>3479</v>
      </c>
      <c r="F2842" t="s">
        <v>377</v>
      </c>
      <c r="G2842" t="s">
        <v>21</v>
      </c>
      <c r="H2842" t="s">
        <v>378</v>
      </c>
      <c r="I2842" t="s">
        <v>23</v>
      </c>
      <c r="J2842" t="s">
        <v>379</v>
      </c>
      <c r="K2842" s="2" t="s">
        <v>1152</v>
      </c>
      <c r="L2842" t="s">
        <v>26</v>
      </c>
      <c r="M2842">
        <v>358299</v>
      </c>
      <c r="N2842">
        <v>1</v>
      </c>
      <c r="O2842" s="3">
        <v>5950</v>
      </c>
      <c r="P2842" s="3">
        <v>3311</v>
      </c>
      <c r="Q2842" s="5">
        <f t="shared" si="132"/>
        <v>5000</v>
      </c>
      <c r="R2842" s="5">
        <f t="shared" si="133"/>
        <v>3311</v>
      </c>
      <c r="S2842" s="5">
        <f t="shared" si="134"/>
        <v>1689</v>
      </c>
    </row>
    <row r="2843" spans="1:19" hidden="1" x14ac:dyDescent="0.3">
      <c r="A2843">
        <v>150</v>
      </c>
      <c r="B2843" t="s">
        <v>4361</v>
      </c>
      <c r="C2843" t="s">
        <v>4595</v>
      </c>
      <c r="D2843" s="2" t="s">
        <v>4596</v>
      </c>
      <c r="E2843" t="s">
        <v>1632</v>
      </c>
      <c r="F2843" t="s">
        <v>20</v>
      </c>
      <c r="G2843" t="s">
        <v>21</v>
      </c>
      <c r="H2843" t="s">
        <v>1124</v>
      </c>
      <c r="I2843" t="s">
        <v>23</v>
      </c>
      <c r="J2843" t="s">
        <v>35</v>
      </c>
      <c r="K2843" s="2" t="s">
        <v>1152</v>
      </c>
      <c r="L2843" t="s">
        <v>26</v>
      </c>
      <c r="M2843">
        <v>358300</v>
      </c>
      <c r="N2843">
        <v>1</v>
      </c>
      <c r="O2843" s="3">
        <v>74950</v>
      </c>
      <c r="P2843" s="3">
        <v>28518</v>
      </c>
      <c r="Q2843" s="5">
        <f t="shared" si="132"/>
        <v>62983.193277310929</v>
      </c>
      <c r="R2843" s="5">
        <f t="shared" si="133"/>
        <v>28518</v>
      </c>
      <c r="S2843" s="5">
        <f t="shared" si="134"/>
        <v>34465.193277310929</v>
      </c>
    </row>
    <row r="2844" spans="1:19" hidden="1" x14ac:dyDescent="0.3">
      <c r="A2844">
        <v>150</v>
      </c>
      <c r="B2844" t="s">
        <v>4361</v>
      </c>
      <c r="C2844" t="s">
        <v>2674</v>
      </c>
      <c r="D2844" s="2" t="s">
        <v>2675</v>
      </c>
      <c r="E2844" t="s">
        <v>2143</v>
      </c>
      <c r="F2844" t="s">
        <v>20</v>
      </c>
      <c r="G2844" t="s">
        <v>338</v>
      </c>
      <c r="H2844">
        <v>23732</v>
      </c>
      <c r="I2844" t="s">
        <v>23</v>
      </c>
      <c r="J2844" t="s">
        <v>40</v>
      </c>
      <c r="K2844" s="2" t="s">
        <v>1152</v>
      </c>
      <c r="L2844" t="s">
        <v>26</v>
      </c>
      <c r="M2844">
        <v>358301</v>
      </c>
      <c r="N2844">
        <v>1</v>
      </c>
      <c r="O2844" s="3">
        <v>59990</v>
      </c>
      <c r="P2844" s="3">
        <v>26539</v>
      </c>
      <c r="Q2844" s="5">
        <f t="shared" si="132"/>
        <v>50411.764705882357</v>
      </c>
      <c r="R2844" s="5">
        <f t="shared" si="133"/>
        <v>26539</v>
      </c>
      <c r="S2844" s="5">
        <f t="shared" si="134"/>
        <v>23872.764705882357</v>
      </c>
    </row>
    <row r="2845" spans="1:19" hidden="1" x14ac:dyDescent="0.3">
      <c r="A2845">
        <v>150</v>
      </c>
      <c r="B2845" t="s">
        <v>4361</v>
      </c>
      <c r="C2845" t="s">
        <v>3396</v>
      </c>
      <c r="D2845" s="2" t="s">
        <v>3397</v>
      </c>
      <c r="E2845" t="s">
        <v>494</v>
      </c>
      <c r="F2845" t="s">
        <v>20</v>
      </c>
      <c r="G2845" t="s">
        <v>21</v>
      </c>
      <c r="H2845" t="s">
        <v>317</v>
      </c>
      <c r="I2845" t="s">
        <v>23</v>
      </c>
      <c r="J2845" t="s">
        <v>35</v>
      </c>
      <c r="K2845" s="2" t="s">
        <v>1152</v>
      </c>
      <c r="L2845" t="s">
        <v>26</v>
      </c>
      <c r="M2845">
        <v>358302</v>
      </c>
      <c r="N2845">
        <v>1</v>
      </c>
      <c r="O2845" s="3">
        <v>69950</v>
      </c>
      <c r="P2845" s="3">
        <v>23619</v>
      </c>
      <c r="Q2845" s="5">
        <f t="shared" si="132"/>
        <v>58781.512605042022</v>
      </c>
      <c r="R2845" s="5">
        <f t="shared" si="133"/>
        <v>23619</v>
      </c>
      <c r="S2845" s="5">
        <f t="shared" si="134"/>
        <v>35162.512605042022</v>
      </c>
    </row>
    <row r="2846" spans="1:19" hidden="1" x14ac:dyDescent="0.3">
      <c r="A2846">
        <v>150</v>
      </c>
      <c r="B2846" t="s">
        <v>4361</v>
      </c>
      <c r="C2846" t="s">
        <v>2575</v>
      </c>
      <c r="D2846" s="2" t="s">
        <v>2576</v>
      </c>
      <c r="E2846" t="s">
        <v>2577</v>
      </c>
      <c r="F2846" t="s">
        <v>377</v>
      </c>
      <c r="G2846" t="s">
        <v>21</v>
      </c>
      <c r="H2846" t="s">
        <v>378</v>
      </c>
      <c r="I2846" t="s">
        <v>23</v>
      </c>
      <c r="J2846" t="s">
        <v>379</v>
      </c>
      <c r="K2846" s="2" t="s">
        <v>1152</v>
      </c>
      <c r="L2846" t="s">
        <v>26</v>
      </c>
      <c r="M2846">
        <v>358302</v>
      </c>
      <c r="N2846">
        <v>1</v>
      </c>
      <c r="O2846" s="3">
        <v>5950</v>
      </c>
      <c r="P2846" s="3">
        <v>3307</v>
      </c>
      <c r="Q2846" s="5">
        <f t="shared" si="132"/>
        <v>5000</v>
      </c>
      <c r="R2846" s="5">
        <f t="shared" si="133"/>
        <v>3307</v>
      </c>
      <c r="S2846" s="5">
        <f t="shared" si="134"/>
        <v>1693</v>
      </c>
    </row>
    <row r="2847" spans="1:19" hidden="1" x14ac:dyDescent="0.3">
      <c r="A2847">
        <v>150</v>
      </c>
      <c r="B2847" t="s">
        <v>4361</v>
      </c>
      <c r="C2847" t="s">
        <v>4597</v>
      </c>
      <c r="D2847" s="2" t="s">
        <v>4598</v>
      </c>
      <c r="E2847" t="s">
        <v>4599</v>
      </c>
      <c r="F2847" t="s">
        <v>20</v>
      </c>
      <c r="G2847" t="s">
        <v>21</v>
      </c>
      <c r="H2847" t="s">
        <v>3128</v>
      </c>
      <c r="I2847" t="s">
        <v>23</v>
      </c>
      <c r="J2847" t="s">
        <v>49</v>
      </c>
      <c r="K2847" s="2" t="s">
        <v>1152</v>
      </c>
      <c r="L2847" t="s">
        <v>26</v>
      </c>
      <c r="M2847">
        <v>358303</v>
      </c>
      <c r="N2847">
        <v>1</v>
      </c>
      <c r="O2847" s="3">
        <v>79950</v>
      </c>
      <c r="P2847" s="3">
        <v>29835</v>
      </c>
      <c r="Q2847" s="5">
        <f t="shared" si="132"/>
        <v>67184.873949579836</v>
      </c>
      <c r="R2847" s="5">
        <f t="shared" si="133"/>
        <v>29835</v>
      </c>
      <c r="S2847" s="5">
        <f t="shared" si="134"/>
        <v>37349.873949579836</v>
      </c>
    </row>
    <row r="2848" spans="1:19" hidden="1" x14ac:dyDescent="0.3">
      <c r="A2848">
        <v>150</v>
      </c>
      <c r="B2848" t="s">
        <v>4361</v>
      </c>
      <c r="C2848" t="s">
        <v>4600</v>
      </c>
      <c r="D2848" s="2" t="s">
        <v>4601</v>
      </c>
      <c r="E2848" t="s">
        <v>4602</v>
      </c>
      <c r="F2848" t="s">
        <v>20</v>
      </c>
      <c r="G2848" t="s">
        <v>21</v>
      </c>
      <c r="H2848" t="s">
        <v>4468</v>
      </c>
      <c r="I2848" t="s">
        <v>23</v>
      </c>
      <c r="J2848" t="s">
        <v>207</v>
      </c>
      <c r="K2848" s="2" t="s">
        <v>1152</v>
      </c>
      <c r="L2848" t="s">
        <v>26</v>
      </c>
      <c r="M2848">
        <v>358304</v>
      </c>
      <c r="N2848">
        <v>1</v>
      </c>
      <c r="O2848" s="3">
        <v>44990</v>
      </c>
      <c r="P2848" s="3">
        <v>22775</v>
      </c>
      <c r="Q2848" s="5">
        <f t="shared" si="132"/>
        <v>37806.722689075636</v>
      </c>
      <c r="R2848" s="5">
        <f t="shared" si="133"/>
        <v>22775</v>
      </c>
      <c r="S2848" s="5">
        <f t="shared" si="134"/>
        <v>15031.722689075636</v>
      </c>
    </row>
    <row r="2849" spans="1:19" hidden="1" x14ac:dyDescent="0.3">
      <c r="A2849">
        <v>150</v>
      </c>
      <c r="B2849" t="s">
        <v>4361</v>
      </c>
      <c r="C2849">
        <v>1687976791</v>
      </c>
      <c r="D2849" s="2" t="s">
        <v>200</v>
      </c>
      <c r="E2849" t="s">
        <v>201</v>
      </c>
      <c r="F2849" t="s">
        <v>201</v>
      </c>
      <c r="G2849" t="s">
        <v>202</v>
      </c>
      <c r="H2849" t="s">
        <v>202</v>
      </c>
      <c r="I2849" t="s">
        <v>23</v>
      </c>
      <c r="J2849" t="s">
        <v>202</v>
      </c>
      <c r="K2849" s="2" t="s">
        <v>1152</v>
      </c>
      <c r="L2849" t="s">
        <v>26</v>
      </c>
      <c r="M2849">
        <v>358304</v>
      </c>
      <c r="N2849">
        <v>1</v>
      </c>
      <c r="O2849" s="3">
        <v>2000</v>
      </c>
      <c r="P2849">
        <v>1</v>
      </c>
      <c r="Q2849" s="5">
        <f t="shared" si="132"/>
        <v>1680.6722689075632</v>
      </c>
      <c r="R2849" s="5">
        <f t="shared" si="133"/>
        <v>1</v>
      </c>
      <c r="S2849" s="5">
        <f t="shared" si="134"/>
        <v>1679.6722689075632</v>
      </c>
    </row>
    <row r="2850" spans="1:19" hidden="1" x14ac:dyDescent="0.3">
      <c r="A2850">
        <v>150</v>
      </c>
      <c r="B2850" t="s">
        <v>4361</v>
      </c>
      <c r="C2850" t="s">
        <v>3306</v>
      </c>
      <c r="D2850" s="2" t="s">
        <v>3307</v>
      </c>
      <c r="E2850" t="s">
        <v>3308</v>
      </c>
      <c r="F2850" t="s">
        <v>20</v>
      </c>
      <c r="G2850" t="s">
        <v>21</v>
      </c>
      <c r="H2850" t="s">
        <v>3309</v>
      </c>
      <c r="I2850" t="s">
        <v>23</v>
      </c>
      <c r="J2850" t="s">
        <v>40</v>
      </c>
      <c r="K2850" s="2" t="s">
        <v>1152</v>
      </c>
      <c r="L2850" t="s">
        <v>26</v>
      </c>
      <c r="M2850">
        <v>358305</v>
      </c>
      <c r="N2850">
        <v>1</v>
      </c>
      <c r="O2850" s="3">
        <v>64950</v>
      </c>
      <c r="P2850" s="3">
        <v>21130</v>
      </c>
      <c r="Q2850" s="5">
        <f t="shared" si="132"/>
        <v>54579.831932773115</v>
      </c>
      <c r="R2850" s="5">
        <f t="shared" si="133"/>
        <v>21130</v>
      </c>
      <c r="S2850" s="5">
        <f t="shared" si="134"/>
        <v>33449.831932773115</v>
      </c>
    </row>
    <row r="2851" spans="1:19" hidden="1" x14ac:dyDescent="0.3">
      <c r="A2851">
        <v>150</v>
      </c>
      <c r="B2851" t="s">
        <v>4361</v>
      </c>
      <c r="C2851" t="s">
        <v>3343</v>
      </c>
      <c r="D2851" s="2" t="s">
        <v>3344</v>
      </c>
      <c r="E2851" t="s">
        <v>3345</v>
      </c>
      <c r="F2851" t="s">
        <v>20</v>
      </c>
      <c r="G2851" t="s">
        <v>338</v>
      </c>
      <c r="H2851">
        <v>25354</v>
      </c>
      <c r="I2851" t="s">
        <v>23</v>
      </c>
      <c r="J2851" t="s">
        <v>35</v>
      </c>
      <c r="K2851" s="2" t="s">
        <v>1152</v>
      </c>
      <c r="L2851" t="s">
        <v>26</v>
      </c>
      <c r="M2851">
        <v>358306</v>
      </c>
      <c r="N2851">
        <v>-1</v>
      </c>
      <c r="O2851" s="3">
        <v>-69950</v>
      </c>
      <c r="P2851" s="3">
        <v>21167</v>
      </c>
      <c r="Q2851" s="5">
        <f t="shared" si="132"/>
        <v>-58781.512605042022</v>
      </c>
      <c r="R2851" s="5">
        <f t="shared" si="133"/>
        <v>-21167</v>
      </c>
      <c r="S2851" s="5">
        <f t="shared" si="134"/>
        <v>-37614.512605042022</v>
      </c>
    </row>
    <row r="2852" spans="1:19" hidden="1" x14ac:dyDescent="0.3">
      <c r="A2852">
        <v>150</v>
      </c>
      <c r="B2852" t="s">
        <v>4361</v>
      </c>
      <c r="C2852" t="s">
        <v>3193</v>
      </c>
      <c r="D2852" s="2" t="s">
        <v>3194</v>
      </c>
      <c r="E2852" t="s">
        <v>3195</v>
      </c>
      <c r="F2852" t="s">
        <v>20</v>
      </c>
      <c r="G2852" t="s">
        <v>338</v>
      </c>
      <c r="H2852">
        <v>25366</v>
      </c>
      <c r="I2852" t="s">
        <v>23</v>
      </c>
      <c r="J2852" t="s">
        <v>35</v>
      </c>
      <c r="K2852" s="2" t="s">
        <v>1152</v>
      </c>
      <c r="L2852" t="s">
        <v>26</v>
      </c>
      <c r="M2852">
        <v>358306</v>
      </c>
      <c r="N2852">
        <v>1</v>
      </c>
      <c r="O2852" s="3">
        <v>99950</v>
      </c>
      <c r="P2852" s="3">
        <v>33157</v>
      </c>
      <c r="Q2852" s="5">
        <f t="shared" si="132"/>
        <v>83991.596638655465</v>
      </c>
      <c r="R2852" s="5">
        <f t="shared" si="133"/>
        <v>33157</v>
      </c>
      <c r="S2852" s="5">
        <f t="shared" si="134"/>
        <v>50834.596638655465</v>
      </c>
    </row>
    <row r="2853" spans="1:19" hidden="1" x14ac:dyDescent="0.3">
      <c r="A2853">
        <v>150</v>
      </c>
      <c r="B2853" t="s">
        <v>4361</v>
      </c>
      <c r="C2853" t="s">
        <v>1761</v>
      </c>
      <c r="D2853" s="2" t="s">
        <v>1762</v>
      </c>
      <c r="E2853" t="s">
        <v>1763</v>
      </c>
      <c r="F2853" t="s">
        <v>377</v>
      </c>
      <c r="G2853" t="s">
        <v>21</v>
      </c>
      <c r="H2853" t="s">
        <v>378</v>
      </c>
      <c r="I2853" t="s">
        <v>23</v>
      </c>
      <c r="J2853" t="s">
        <v>379</v>
      </c>
      <c r="K2853" s="2" t="s">
        <v>1152</v>
      </c>
      <c r="L2853" t="s">
        <v>26</v>
      </c>
      <c r="M2853">
        <v>358307</v>
      </c>
      <c r="N2853">
        <v>1</v>
      </c>
      <c r="O2853" s="3">
        <v>5950</v>
      </c>
      <c r="P2853" s="3">
        <v>3279</v>
      </c>
      <c r="Q2853" s="5">
        <f t="shared" si="132"/>
        <v>5000</v>
      </c>
      <c r="R2853" s="5">
        <f t="shared" si="133"/>
        <v>3279</v>
      </c>
      <c r="S2853" s="5">
        <f t="shared" si="134"/>
        <v>1721</v>
      </c>
    </row>
    <row r="2854" spans="1:19" hidden="1" x14ac:dyDescent="0.3">
      <c r="A2854">
        <v>150</v>
      </c>
      <c r="B2854" t="s">
        <v>4361</v>
      </c>
      <c r="C2854" t="s">
        <v>2895</v>
      </c>
      <c r="D2854" s="2" t="s">
        <v>2896</v>
      </c>
      <c r="E2854" t="s">
        <v>1318</v>
      </c>
      <c r="F2854" t="s">
        <v>20</v>
      </c>
      <c r="G2854" t="s">
        <v>21</v>
      </c>
      <c r="H2854" t="s">
        <v>272</v>
      </c>
      <c r="I2854" t="s">
        <v>23</v>
      </c>
      <c r="J2854" t="s">
        <v>40</v>
      </c>
      <c r="K2854" s="2" t="s">
        <v>1309</v>
      </c>
      <c r="L2854" t="s">
        <v>26</v>
      </c>
      <c r="M2854">
        <v>358308</v>
      </c>
      <c r="N2854">
        <v>1</v>
      </c>
      <c r="O2854" s="3">
        <v>74950</v>
      </c>
      <c r="P2854" s="3">
        <v>25819</v>
      </c>
      <c r="Q2854" s="5">
        <f t="shared" si="132"/>
        <v>62983.193277310929</v>
      </c>
      <c r="R2854" s="5">
        <f t="shared" si="133"/>
        <v>25819</v>
      </c>
      <c r="S2854" s="5">
        <f t="shared" si="134"/>
        <v>37164.193277310929</v>
      </c>
    </row>
    <row r="2855" spans="1:19" hidden="1" x14ac:dyDescent="0.3">
      <c r="A2855">
        <v>150</v>
      </c>
      <c r="B2855" t="s">
        <v>4361</v>
      </c>
      <c r="C2855" t="s">
        <v>4603</v>
      </c>
      <c r="D2855" s="2" t="s">
        <v>4604</v>
      </c>
      <c r="E2855" t="s">
        <v>2504</v>
      </c>
      <c r="F2855" t="s">
        <v>20</v>
      </c>
      <c r="G2855" t="s">
        <v>21</v>
      </c>
      <c r="H2855" t="s">
        <v>2501</v>
      </c>
      <c r="I2855" t="s">
        <v>23</v>
      </c>
      <c r="J2855" t="s">
        <v>40</v>
      </c>
      <c r="K2855" s="2" t="s">
        <v>1309</v>
      </c>
      <c r="L2855" t="s">
        <v>26</v>
      </c>
      <c r="M2855">
        <v>358309</v>
      </c>
      <c r="N2855">
        <v>1</v>
      </c>
      <c r="O2855" s="3">
        <v>84950</v>
      </c>
      <c r="P2855" s="3">
        <v>31649</v>
      </c>
      <c r="Q2855" s="5">
        <f t="shared" si="132"/>
        <v>71386.554621848743</v>
      </c>
      <c r="R2855" s="5">
        <f t="shared" si="133"/>
        <v>31649</v>
      </c>
      <c r="S2855" s="5">
        <f t="shared" si="134"/>
        <v>39737.554621848743</v>
      </c>
    </row>
    <row r="2856" spans="1:19" hidden="1" x14ac:dyDescent="0.3">
      <c r="A2856">
        <v>150</v>
      </c>
      <c r="B2856" t="s">
        <v>4361</v>
      </c>
      <c r="C2856" t="s">
        <v>4605</v>
      </c>
      <c r="D2856" s="2" t="s">
        <v>4606</v>
      </c>
      <c r="E2856" t="s">
        <v>2933</v>
      </c>
      <c r="F2856" t="s">
        <v>20</v>
      </c>
      <c r="G2856" t="s">
        <v>338</v>
      </c>
      <c r="H2856">
        <v>25539</v>
      </c>
      <c r="I2856" t="s">
        <v>23</v>
      </c>
      <c r="J2856" t="s">
        <v>31</v>
      </c>
      <c r="K2856" s="2" t="s">
        <v>1309</v>
      </c>
      <c r="L2856" t="s">
        <v>26</v>
      </c>
      <c r="M2856">
        <v>358310</v>
      </c>
      <c r="N2856">
        <v>1</v>
      </c>
      <c r="O2856" s="3">
        <v>139950</v>
      </c>
      <c r="P2856" s="3">
        <v>46011</v>
      </c>
      <c r="Q2856" s="5">
        <f t="shared" si="132"/>
        <v>117605.04201680672</v>
      </c>
      <c r="R2856" s="5">
        <f t="shared" si="133"/>
        <v>46011</v>
      </c>
      <c r="S2856" s="5">
        <f t="shared" si="134"/>
        <v>71594.042016806721</v>
      </c>
    </row>
    <row r="2857" spans="1:19" hidden="1" x14ac:dyDescent="0.3">
      <c r="A2857">
        <v>150</v>
      </c>
      <c r="B2857" t="s">
        <v>4361</v>
      </c>
      <c r="C2857" t="s">
        <v>4607</v>
      </c>
      <c r="D2857" s="2" t="s">
        <v>4608</v>
      </c>
      <c r="E2857" t="s">
        <v>2308</v>
      </c>
      <c r="F2857" t="s">
        <v>20</v>
      </c>
      <c r="G2857" t="s">
        <v>21</v>
      </c>
      <c r="H2857" t="s">
        <v>1337</v>
      </c>
      <c r="I2857" t="s">
        <v>23</v>
      </c>
      <c r="J2857" t="s">
        <v>49</v>
      </c>
      <c r="K2857" s="2" t="s">
        <v>1309</v>
      </c>
      <c r="L2857" t="s">
        <v>26</v>
      </c>
      <c r="M2857">
        <v>358310</v>
      </c>
      <c r="N2857">
        <v>1</v>
      </c>
      <c r="O2857" s="3">
        <v>59950</v>
      </c>
      <c r="P2857" s="3">
        <v>21918</v>
      </c>
      <c r="Q2857" s="5">
        <f t="shared" si="132"/>
        <v>50378.151260504201</v>
      </c>
      <c r="R2857" s="5">
        <f t="shared" si="133"/>
        <v>21918</v>
      </c>
      <c r="S2857" s="5">
        <f t="shared" si="134"/>
        <v>28460.151260504201</v>
      </c>
    </row>
    <row r="2858" spans="1:19" hidden="1" x14ac:dyDescent="0.3">
      <c r="A2858">
        <v>150</v>
      </c>
      <c r="B2858" t="s">
        <v>4361</v>
      </c>
      <c r="C2858" t="s">
        <v>3787</v>
      </c>
      <c r="D2858" s="2" t="s">
        <v>3788</v>
      </c>
      <c r="E2858" t="s">
        <v>2748</v>
      </c>
      <c r="F2858" t="s">
        <v>20</v>
      </c>
      <c r="G2858" t="s">
        <v>338</v>
      </c>
      <c r="H2858">
        <v>26266</v>
      </c>
      <c r="I2858" t="s">
        <v>23</v>
      </c>
      <c r="J2858" t="s">
        <v>35</v>
      </c>
      <c r="K2858" s="2" t="s">
        <v>1309</v>
      </c>
      <c r="L2858" t="s">
        <v>26</v>
      </c>
      <c r="M2858">
        <v>358311</v>
      </c>
      <c r="N2858">
        <v>1</v>
      </c>
      <c r="O2858" s="3">
        <v>79950</v>
      </c>
      <c r="P2858" s="3">
        <v>25300</v>
      </c>
      <c r="Q2858" s="5">
        <f t="shared" si="132"/>
        <v>67184.873949579836</v>
      </c>
      <c r="R2858" s="5">
        <f t="shared" si="133"/>
        <v>25300</v>
      </c>
      <c r="S2858" s="5">
        <f t="shared" si="134"/>
        <v>41884.873949579836</v>
      </c>
    </row>
    <row r="2859" spans="1:19" hidden="1" x14ac:dyDescent="0.3">
      <c r="A2859">
        <v>150</v>
      </c>
      <c r="B2859" t="s">
        <v>4361</v>
      </c>
      <c r="C2859" t="s">
        <v>3586</v>
      </c>
      <c r="D2859" s="2" t="s">
        <v>3587</v>
      </c>
      <c r="E2859" t="s">
        <v>3449</v>
      </c>
      <c r="F2859" t="s">
        <v>20</v>
      </c>
      <c r="G2859" t="s">
        <v>338</v>
      </c>
      <c r="H2859">
        <v>25366</v>
      </c>
      <c r="I2859" t="s">
        <v>23</v>
      </c>
      <c r="J2859" t="s">
        <v>35</v>
      </c>
      <c r="K2859" s="2" t="s">
        <v>1309</v>
      </c>
      <c r="L2859" t="s">
        <v>26</v>
      </c>
      <c r="M2859">
        <v>358312</v>
      </c>
      <c r="N2859">
        <v>1</v>
      </c>
      <c r="O2859" s="3">
        <v>99950</v>
      </c>
      <c r="P2859" s="3">
        <v>33157</v>
      </c>
      <c r="Q2859" s="5">
        <f t="shared" si="132"/>
        <v>83991.596638655465</v>
      </c>
      <c r="R2859" s="5">
        <f t="shared" si="133"/>
        <v>33157</v>
      </c>
      <c r="S2859" s="5">
        <f t="shared" si="134"/>
        <v>50834.596638655465</v>
      </c>
    </row>
    <row r="2860" spans="1:19" hidden="1" x14ac:dyDescent="0.3">
      <c r="A2860">
        <v>150</v>
      </c>
      <c r="B2860" t="s">
        <v>4361</v>
      </c>
      <c r="C2860" t="s">
        <v>1037</v>
      </c>
      <c r="D2860" s="2" t="s">
        <v>1038</v>
      </c>
      <c r="E2860" t="s">
        <v>1039</v>
      </c>
      <c r="F2860" t="s">
        <v>377</v>
      </c>
      <c r="G2860" t="s">
        <v>21</v>
      </c>
      <c r="H2860" t="s">
        <v>378</v>
      </c>
      <c r="I2860" t="s">
        <v>23</v>
      </c>
      <c r="J2860" t="s">
        <v>379</v>
      </c>
      <c r="K2860" s="2" t="s">
        <v>1309</v>
      </c>
      <c r="L2860" t="s">
        <v>26</v>
      </c>
      <c r="M2860">
        <v>358312</v>
      </c>
      <c r="N2860">
        <v>1</v>
      </c>
      <c r="O2860" s="3">
        <v>5950</v>
      </c>
      <c r="P2860" s="3">
        <v>3257</v>
      </c>
      <c r="Q2860" s="5">
        <f t="shared" si="132"/>
        <v>5000</v>
      </c>
      <c r="R2860" s="5">
        <f t="shared" si="133"/>
        <v>3257</v>
      </c>
      <c r="S2860" s="5">
        <f t="shared" si="134"/>
        <v>1743</v>
      </c>
    </row>
    <row r="2861" spans="1:19" hidden="1" x14ac:dyDescent="0.3">
      <c r="A2861">
        <v>150</v>
      </c>
      <c r="B2861" t="s">
        <v>4361</v>
      </c>
      <c r="C2861" t="s">
        <v>2537</v>
      </c>
      <c r="D2861" s="2" t="s">
        <v>2538</v>
      </c>
      <c r="E2861" t="s">
        <v>2539</v>
      </c>
      <c r="F2861" t="s">
        <v>20</v>
      </c>
      <c r="G2861" t="s">
        <v>21</v>
      </c>
      <c r="H2861" t="s">
        <v>966</v>
      </c>
      <c r="I2861" t="s">
        <v>23</v>
      </c>
      <c r="J2861" t="s">
        <v>35</v>
      </c>
      <c r="K2861" s="2" t="s">
        <v>1309</v>
      </c>
      <c r="L2861" t="s">
        <v>26</v>
      </c>
      <c r="M2861">
        <v>358313</v>
      </c>
      <c r="N2861">
        <v>1</v>
      </c>
      <c r="O2861" s="3">
        <v>74950</v>
      </c>
      <c r="P2861" s="3">
        <v>27299</v>
      </c>
      <c r="Q2861" s="5">
        <f t="shared" si="132"/>
        <v>62983.193277310929</v>
      </c>
      <c r="R2861" s="5">
        <f t="shared" si="133"/>
        <v>27299</v>
      </c>
      <c r="S2861" s="5">
        <f t="shared" si="134"/>
        <v>35684.193277310929</v>
      </c>
    </row>
    <row r="2862" spans="1:19" hidden="1" x14ac:dyDescent="0.3">
      <c r="A2862">
        <v>150</v>
      </c>
      <c r="B2862" t="s">
        <v>4361</v>
      </c>
      <c r="C2862" t="s">
        <v>2900</v>
      </c>
      <c r="D2862" s="2" t="s">
        <v>2901</v>
      </c>
      <c r="E2862" t="s">
        <v>2902</v>
      </c>
      <c r="F2862" t="s">
        <v>20</v>
      </c>
      <c r="G2862" t="s">
        <v>21</v>
      </c>
      <c r="H2862" t="s">
        <v>267</v>
      </c>
      <c r="I2862" t="s">
        <v>23</v>
      </c>
      <c r="J2862" t="s">
        <v>49</v>
      </c>
      <c r="K2862" s="2" t="s">
        <v>1309</v>
      </c>
      <c r="L2862" t="s">
        <v>26</v>
      </c>
      <c r="M2862">
        <v>358314</v>
      </c>
      <c r="N2862">
        <v>1</v>
      </c>
      <c r="O2862" s="3">
        <v>64950</v>
      </c>
      <c r="P2862" s="3">
        <v>24504</v>
      </c>
      <c r="Q2862" s="5">
        <f t="shared" si="132"/>
        <v>54579.831932773115</v>
      </c>
      <c r="R2862" s="5">
        <f t="shared" si="133"/>
        <v>24504</v>
      </c>
      <c r="S2862" s="5">
        <f t="shared" si="134"/>
        <v>30075.831932773115</v>
      </c>
    </row>
    <row r="2863" spans="1:19" hidden="1" x14ac:dyDescent="0.3">
      <c r="A2863">
        <v>150</v>
      </c>
      <c r="B2863" t="s">
        <v>4361</v>
      </c>
      <c r="C2863" t="s">
        <v>4609</v>
      </c>
      <c r="D2863" s="2" t="s">
        <v>4610</v>
      </c>
      <c r="E2863" t="s">
        <v>499</v>
      </c>
      <c r="F2863" t="s">
        <v>20</v>
      </c>
      <c r="G2863" t="s">
        <v>21</v>
      </c>
      <c r="H2863" t="s">
        <v>500</v>
      </c>
      <c r="I2863" t="s">
        <v>23</v>
      </c>
      <c r="J2863" t="s">
        <v>40</v>
      </c>
      <c r="K2863" s="2" t="s">
        <v>1309</v>
      </c>
      <c r="L2863" t="s">
        <v>26</v>
      </c>
      <c r="M2863">
        <v>358315</v>
      </c>
      <c r="N2863">
        <v>1</v>
      </c>
      <c r="O2863" s="3">
        <v>59950</v>
      </c>
      <c r="P2863" s="3">
        <v>17416</v>
      </c>
      <c r="Q2863" s="5">
        <f t="shared" si="132"/>
        <v>50378.151260504201</v>
      </c>
      <c r="R2863" s="5">
        <f t="shared" si="133"/>
        <v>17416</v>
      </c>
      <c r="S2863" s="5">
        <f t="shared" si="134"/>
        <v>32962.151260504201</v>
      </c>
    </row>
    <row r="2864" spans="1:19" hidden="1" x14ac:dyDescent="0.3">
      <c r="A2864">
        <v>150</v>
      </c>
      <c r="B2864" t="s">
        <v>4361</v>
      </c>
      <c r="C2864" t="s">
        <v>4611</v>
      </c>
      <c r="D2864" s="2" t="s">
        <v>4612</v>
      </c>
      <c r="E2864" t="s">
        <v>4088</v>
      </c>
      <c r="F2864" t="s">
        <v>20</v>
      </c>
      <c r="G2864" t="s">
        <v>21</v>
      </c>
      <c r="H2864" t="s">
        <v>3272</v>
      </c>
      <c r="I2864" t="s">
        <v>23</v>
      </c>
      <c r="J2864" t="s">
        <v>40</v>
      </c>
      <c r="K2864" s="2" t="s">
        <v>1309</v>
      </c>
      <c r="L2864" t="s">
        <v>26</v>
      </c>
      <c r="M2864">
        <v>358316</v>
      </c>
      <c r="N2864">
        <v>1</v>
      </c>
      <c r="O2864" s="3">
        <v>59950</v>
      </c>
      <c r="P2864" s="3">
        <v>23104</v>
      </c>
      <c r="Q2864" s="5">
        <f t="shared" si="132"/>
        <v>50378.151260504201</v>
      </c>
      <c r="R2864" s="5">
        <f t="shared" si="133"/>
        <v>23104</v>
      </c>
      <c r="S2864" s="5">
        <f t="shared" si="134"/>
        <v>27274.151260504201</v>
      </c>
    </row>
    <row r="2865" spans="1:19" hidden="1" x14ac:dyDescent="0.3">
      <c r="A2865">
        <v>150</v>
      </c>
      <c r="B2865" t="s">
        <v>4361</v>
      </c>
      <c r="C2865" t="s">
        <v>2365</v>
      </c>
      <c r="D2865" s="2" t="s">
        <v>2366</v>
      </c>
      <c r="E2865" t="s">
        <v>2367</v>
      </c>
      <c r="F2865" t="s">
        <v>377</v>
      </c>
      <c r="G2865" t="s">
        <v>21</v>
      </c>
      <c r="H2865" t="s">
        <v>378</v>
      </c>
      <c r="I2865" t="s">
        <v>23</v>
      </c>
      <c r="J2865" t="s">
        <v>379</v>
      </c>
      <c r="K2865" s="2" t="s">
        <v>1309</v>
      </c>
      <c r="L2865" t="s">
        <v>26</v>
      </c>
      <c r="M2865">
        <v>358316</v>
      </c>
      <c r="N2865">
        <v>1</v>
      </c>
      <c r="O2865" s="3">
        <v>6950</v>
      </c>
      <c r="P2865" s="3">
        <v>3759</v>
      </c>
      <c r="Q2865" s="5">
        <f t="shared" si="132"/>
        <v>5840.3361344537816</v>
      </c>
      <c r="R2865" s="5">
        <f t="shared" si="133"/>
        <v>3759</v>
      </c>
      <c r="S2865" s="5">
        <f t="shared" si="134"/>
        <v>2081.3361344537816</v>
      </c>
    </row>
    <row r="2866" spans="1:19" hidden="1" x14ac:dyDescent="0.3">
      <c r="A2866">
        <v>150</v>
      </c>
      <c r="B2866" t="s">
        <v>4361</v>
      </c>
      <c r="C2866" t="s">
        <v>4613</v>
      </c>
      <c r="D2866" s="2" t="s">
        <v>4614</v>
      </c>
      <c r="E2866" t="s">
        <v>4124</v>
      </c>
      <c r="F2866" t="s">
        <v>20</v>
      </c>
      <c r="G2866" t="s">
        <v>338</v>
      </c>
      <c r="H2866">
        <v>25026</v>
      </c>
      <c r="I2866" t="s">
        <v>23</v>
      </c>
      <c r="J2866" t="s">
        <v>35</v>
      </c>
      <c r="K2866" s="2" t="s">
        <v>1309</v>
      </c>
      <c r="L2866" t="s">
        <v>26</v>
      </c>
      <c r="M2866">
        <v>358317</v>
      </c>
      <c r="N2866">
        <v>1</v>
      </c>
      <c r="O2866" s="3">
        <v>89950</v>
      </c>
      <c r="P2866" s="3">
        <v>28025</v>
      </c>
      <c r="Q2866" s="5">
        <f t="shared" si="132"/>
        <v>75588.23529411765</v>
      </c>
      <c r="R2866" s="5">
        <f t="shared" si="133"/>
        <v>28025</v>
      </c>
      <c r="S2866" s="5">
        <f t="shared" si="134"/>
        <v>47563.23529411765</v>
      </c>
    </row>
    <row r="2867" spans="1:19" hidden="1" x14ac:dyDescent="0.3">
      <c r="A2867">
        <v>150</v>
      </c>
      <c r="B2867" t="s">
        <v>4361</v>
      </c>
      <c r="C2867" t="s">
        <v>4615</v>
      </c>
      <c r="D2867" s="2" t="s">
        <v>4616</v>
      </c>
      <c r="E2867" t="s">
        <v>3027</v>
      </c>
      <c r="F2867" t="s">
        <v>20</v>
      </c>
      <c r="G2867" t="s">
        <v>21</v>
      </c>
      <c r="H2867" t="s">
        <v>3028</v>
      </c>
      <c r="I2867" t="s">
        <v>23</v>
      </c>
      <c r="J2867" t="s">
        <v>35</v>
      </c>
      <c r="K2867" s="2" t="s">
        <v>1309</v>
      </c>
      <c r="L2867" t="s">
        <v>26</v>
      </c>
      <c r="M2867">
        <v>358318</v>
      </c>
      <c r="N2867">
        <v>1</v>
      </c>
      <c r="O2867" s="3">
        <v>99950</v>
      </c>
      <c r="P2867" s="3">
        <v>53748</v>
      </c>
      <c r="Q2867" s="5">
        <f t="shared" si="132"/>
        <v>83991.596638655465</v>
      </c>
      <c r="R2867" s="5">
        <f t="shared" si="133"/>
        <v>53748</v>
      </c>
      <c r="S2867" s="5">
        <f t="shared" si="134"/>
        <v>30243.596638655465</v>
      </c>
    </row>
    <row r="2868" spans="1:19" hidden="1" x14ac:dyDescent="0.3">
      <c r="A2868">
        <v>150</v>
      </c>
      <c r="B2868" t="s">
        <v>4361</v>
      </c>
      <c r="C2868" t="s">
        <v>1441</v>
      </c>
      <c r="D2868" s="2" t="s">
        <v>1442</v>
      </c>
      <c r="E2868" t="s">
        <v>1443</v>
      </c>
      <c r="F2868" t="s">
        <v>20</v>
      </c>
      <c r="G2868" t="s">
        <v>338</v>
      </c>
      <c r="H2868">
        <v>25301</v>
      </c>
      <c r="I2868" t="s">
        <v>23</v>
      </c>
      <c r="J2868" t="s">
        <v>35</v>
      </c>
      <c r="K2868" s="2" t="s">
        <v>1309</v>
      </c>
      <c r="L2868" t="s">
        <v>26</v>
      </c>
      <c r="M2868">
        <v>358318</v>
      </c>
      <c r="N2868">
        <v>1</v>
      </c>
      <c r="O2868" s="3">
        <v>99950</v>
      </c>
      <c r="P2868" s="3">
        <v>34157</v>
      </c>
      <c r="Q2868" s="5">
        <f t="shared" si="132"/>
        <v>83991.596638655465</v>
      </c>
      <c r="R2868" s="5">
        <f t="shared" si="133"/>
        <v>34157</v>
      </c>
      <c r="S2868" s="5">
        <f t="shared" si="134"/>
        <v>49834.596638655465</v>
      </c>
    </row>
    <row r="2869" spans="1:19" hidden="1" x14ac:dyDescent="0.3">
      <c r="A2869">
        <v>150</v>
      </c>
      <c r="B2869" t="s">
        <v>4361</v>
      </c>
      <c r="C2869" t="s">
        <v>1328</v>
      </c>
      <c r="D2869" s="2" t="s">
        <v>1329</v>
      </c>
      <c r="E2869" t="s">
        <v>1330</v>
      </c>
      <c r="F2869" t="s">
        <v>20</v>
      </c>
      <c r="G2869" t="s">
        <v>338</v>
      </c>
      <c r="H2869">
        <v>25133</v>
      </c>
      <c r="I2869" t="s">
        <v>23</v>
      </c>
      <c r="J2869" t="s">
        <v>35</v>
      </c>
      <c r="K2869" s="2" t="s">
        <v>1365</v>
      </c>
      <c r="L2869" t="s">
        <v>26</v>
      </c>
      <c r="M2869">
        <v>358319</v>
      </c>
      <c r="N2869">
        <v>1</v>
      </c>
      <c r="O2869" s="3">
        <v>74950</v>
      </c>
      <c r="P2869" s="3">
        <v>21167</v>
      </c>
      <c r="Q2869" s="5">
        <f t="shared" si="132"/>
        <v>62983.193277310929</v>
      </c>
      <c r="R2869" s="5">
        <f t="shared" si="133"/>
        <v>21167</v>
      </c>
      <c r="S2869" s="5">
        <f t="shared" si="134"/>
        <v>41816.193277310929</v>
      </c>
    </row>
    <row r="2870" spans="1:19" hidden="1" x14ac:dyDescent="0.3">
      <c r="A2870">
        <v>150</v>
      </c>
      <c r="B2870" t="s">
        <v>4361</v>
      </c>
      <c r="C2870" t="s">
        <v>1761</v>
      </c>
      <c r="D2870" s="2" t="s">
        <v>1762</v>
      </c>
      <c r="E2870" t="s">
        <v>1763</v>
      </c>
      <c r="F2870" t="s">
        <v>377</v>
      </c>
      <c r="G2870" t="s">
        <v>21</v>
      </c>
      <c r="H2870" t="s">
        <v>378</v>
      </c>
      <c r="I2870" t="s">
        <v>23</v>
      </c>
      <c r="J2870" t="s">
        <v>379</v>
      </c>
      <c r="K2870" s="2" t="s">
        <v>1365</v>
      </c>
      <c r="L2870" t="s">
        <v>26</v>
      </c>
      <c r="M2870">
        <v>358320</v>
      </c>
      <c r="N2870">
        <v>0</v>
      </c>
      <c r="O2870">
        <v>1</v>
      </c>
      <c r="P2870" s="3">
        <v>3279</v>
      </c>
      <c r="Q2870" s="5">
        <f t="shared" si="132"/>
        <v>0.84033613445378152</v>
      </c>
      <c r="R2870" s="5">
        <f t="shared" si="133"/>
        <v>0</v>
      </c>
      <c r="S2870" s="5">
        <f t="shared" si="134"/>
        <v>0.84033613445378152</v>
      </c>
    </row>
    <row r="2871" spans="1:19" hidden="1" x14ac:dyDescent="0.3">
      <c r="A2871">
        <v>150</v>
      </c>
      <c r="B2871" t="s">
        <v>4361</v>
      </c>
      <c r="C2871" t="s">
        <v>4518</v>
      </c>
      <c r="D2871" s="2" t="s">
        <v>4519</v>
      </c>
      <c r="E2871" t="s">
        <v>526</v>
      </c>
      <c r="F2871" t="s">
        <v>20</v>
      </c>
      <c r="G2871" t="s">
        <v>21</v>
      </c>
      <c r="H2871" t="s">
        <v>527</v>
      </c>
      <c r="I2871" t="s">
        <v>23</v>
      </c>
      <c r="J2871" t="s">
        <v>35</v>
      </c>
      <c r="K2871" s="2" t="s">
        <v>1365</v>
      </c>
      <c r="L2871" t="s">
        <v>26</v>
      </c>
      <c r="M2871">
        <v>358321</v>
      </c>
      <c r="N2871">
        <v>1</v>
      </c>
      <c r="O2871" s="3">
        <v>84950</v>
      </c>
      <c r="P2871" s="3">
        <v>35203</v>
      </c>
      <c r="Q2871" s="5">
        <f t="shared" si="132"/>
        <v>71386.554621848743</v>
      </c>
      <c r="R2871" s="5">
        <f t="shared" si="133"/>
        <v>35203</v>
      </c>
      <c r="S2871" s="5">
        <f t="shared" si="134"/>
        <v>36183.554621848743</v>
      </c>
    </row>
    <row r="2872" spans="1:19" hidden="1" x14ac:dyDescent="0.3">
      <c r="A2872">
        <v>150</v>
      </c>
      <c r="B2872" t="s">
        <v>4361</v>
      </c>
      <c r="C2872" t="s">
        <v>2575</v>
      </c>
      <c r="D2872" s="2" t="s">
        <v>2576</v>
      </c>
      <c r="E2872" t="s">
        <v>2577</v>
      </c>
      <c r="F2872" t="s">
        <v>377</v>
      </c>
      <c r="G2872" t="s">
        <v>21</v>
      </c>
      <c r="H2872" t="s">
        <v>378</v>
      </c>
      <c r="I2872" t="s">
        <v>23</v>
      </c>
      <c r="J2872" t="s">
        <v>379</v>
      </c>
      <c r="K2872" s="2" t="s">
        <v>1365</v>
      </c>
      <c r="L2872" t="s">
        <v>26</v>
      </c>
      <c r="M2872">
        <v>358322</v>
      </c>
      <c r="N2872">
        <v>1</v>
      </c>
      <c r="O2872" s="3">
        <v>5950</v>
      </c>
      <c r="P2872" s="3">
        <v>3307</v>
      </c>
      <c r="Q2872" s="5">
        <f t="shared" si="132"/>
        <v>5000</v>
      </c>
      <c r="R2872" s="5">
        <f t="shared" si="133"/>
        <v>3307</v>
      </c>
      <c r="S2872" s="5">
        <f t="shared" si="134"/>
        <v>1693</v>
      </c>
    </row>
    <row r="2873" spans="1:19" hidden="1" x14ac:dyDescent="0.3">
      <c r="A2873">
        <v>150</v>
      </c>
      <c r="B2873" t="s">
        <v>4361</v>
      </c>
      <c r="C2873" t="s">
        <v>4617</v>
      </c>
      <c r="D2873" s="2" t="s">
        <v>4618</v>
      </c>
      <c r="E2873" t="s">
        <v>2870</v>
      </c>
      <c r="F2873" t="s">
        <v>20</v>
      </c>
      <c r="G2873" t="s">
        <v>21</v>
      </c>
      <c r="H2873" t="s">
        <v>30</v>
      </c>
      <c r="I2873" t="s">
        <v>23</v>
      </c>
      <c r="J2873" t="s">
        <v>35</v>
      </c>
      <c r="K2873" s="2" t="s">
        <v>1365</v>
      </c>
      <c r="L2873" t="s">
        <v>26</v>
      </c>
      <c r="M2873">
        <v>358323</v>
      </c>
      <c r="N2873">
        <v>1</v>
      </c>
      <c r="O2873" s="3">
        <v>79950</v>
      </c>
      <c r="P2873" s="3">
        <v>30749</v>
      </c>
      <c r="Q2873" s="5">
        <f t="shared" si="132"/>
        <v>67184.873949579836</v>
      </c>
      <c r="R2873" s="5">
        <f t="shared" si="133"/>
        <v>30749</v>
      </c>
      <c r="S2873" s="5">
        <f t="shared" si="134"/>
        <v>36435.873949579836</v>
      </c>
    </row>
    <row r="2874" spans="1:19" hidden="1" x14ac:dyDescent="0.3">
      <c r="A2874">
        <v>150</v>
      </c>
      <c r="B2874" t="s">
        <v>4361</v>
      </c>
      <c r="C2874" t="s">
        <v>4552</v>
      </c>
      <c r="D2874" s="2" t="s">
        <v>4553</v>
      </c>
      <c r="E2874" t="s">
        <v>4291</v>
      </c>
      <c r="F2874" t="s">
        <v>20</v>
      </c>
      <c r="G2874" t="s">
        <v>21</v>
      </c>
      <c r="H2874" t="s">
        <v>285</v>
      </c>
      <c r="I2874" t="s">
        <v>23</v>
      </c>
      <c r="J2874" t="s">
        <v>35</v>
      </c>
      <c r="K2874" s="2" t="s">
        <v>1365</v>
      </c>
      <c r="L2874" t="s">
        <v>26</v>
      </c>
      <c r="M2874">
        <v>358324</v>
      </c>
      <c r="N2874">
        <v>1</v>
      </c>
      <c r="O2874" s="3">
        <v>79950</v>
      </c>
      <c r="P2874" s="3">
        <v>31402</v>
      </c>
      <c r="Q2874" s="5">
        <f t="shared" si="132"/>
        <v>67184.873949579836</v>
      </c>
      <c r="R2874" s="5">
        <f t="shared" si="133"/>
        <v>31402</v>
      </c>
      <c r="S2874" s="5">
        <f t="shared" si="134"/>
        <v>35782.873949579836</v>
      </c>
    </row>
    <row r="2875" spans="1:19" hidden="1" x14ac:dyDescent="0.3">
      <c r="A2875">
        <v>150</v>
      </c>
      <c r="B2875" t="s">
        <v>4361</v>
      </c>
      <c r="C2875" t="s">
        <v>4619</v>
      </c>
      <c r="D2875" s="2" t="s">
        <v>4620</v>
      </c>
      <c r="E2875" t="s">
        <v>4547</v>
      </c>
      <c r="F2875" t="s">
        <v>20</v>
      </c>
      <c r="G2875" t="s">
        <v>21</v>
      </c>
      <c r="H2875" t="s">
        <v>285</v>
      </c>
      <c r="I2875" t="s">
        <v>23</v>
      </c>
      <c r="J2875" t="s">
        <v>49</v>
      </c>
      <c r="K2875" s="2" t="s">
        <v>1365</v>
      </c>
      <c r="L2875" t="s">
        <v>26</v>
      </c>
      <c r="M2875">
        <v>358325</v>
      </c>
      <c r="N2875">
        <v>1</v>
      </c>
      <c r="O2875" s="3">
        <v>59990</v>
      </c>
      <c r="P2875" s="3">
        <v>29034</v>
      </c>
      <c r="Q2875" s="5">
        <f t="shared" si="132"/>
        <v>50411.764705882357</v>
      </c>
      <c r="R2875" s="5">
        <f t="shared" si="133"/>
        <v>29034</v>
      </c>
      <c r="S2875" s="5">
        <f t="shared" si="134"/>
        <v>21377.764705882357</v>
      </c>
    </row>
    <row r="2876" spans="1:19" hidden="1" x14ac:dyDescent="0.3">
      <c r="A2876">
        <v>150</v>
      </c>
      <c r="B2876" t="s">
        <v>4361</v>
      </c>
      <c r="C2876" t="s">
        <v>4621</v>
      </c>
      <c r="D2876" s="2" t="s">
        <v>4622</v>
      </c>
      <c r="E2876" t="s">
        <v>4358</v>
      </c>
      <c r="F2876" t="s">
        <v>20</v>
      </c>
      <c r="G2876" t="s">
        <v>21</v>
      </c>
      <c r="H2876" t="s">
        <v>346</v>
      </c>
      <c r="I2876" t="s">
        <v>23</v>
      </c>
      <c r="J2876" t="s">
        <v>49</v>
      </c>
      <c r="K2876" s="2" t="s">
        <v>1365</v>
      </c>
      <c r="L2876" t="s">
        <v>26</v>
      </c>
      <c r="M2876">
        <v>358326</v>
      </c>
      <c r="N2876">
        <v>-1</v>
      </c>
      <c r="O2876" s="3">
        <v>-59950</v>
      </c>
      <c r="P2876" s="3">
        <v>23229</v>
      </c>
      <c r="Q2876" s="5">
        <f t="shared" si="132"/>
        <v>-50378.151260504201</v>
      </c>
      <c r="R2876" s="5">
        <f t="shared" si="133"/>
        <v>-23229</v>
      </c>
      <c r="S2876" s="5">
        <f t="shared" si="134"/>
        <v>-27149.151260504201</v>
      </c>
    </row>
    <row r="2877" spans="1:19" hidden="1" x14ac:dyDescent="0.3">
      <c r="A2877">
        <v>150</v>
      </c>
      <c r="B2877" t="s">
        <v>4361</v>
      </c>
      <c r="C2877" t="s">
        <v>4356</v>
      </c>
      <c r="D2877" s="2" t="s">
        <v>4357</v>
      </c>
      <c r="E2877" t="s">
        <v>4358</v>
      </c>
      <c r="F2877" t="s">
        <v>20</v>
      </c>
      <c r="G2877" t="s">
        <v>21</v>
      </c>
      <c r="H2877" t="s">
        <v>346</v>
      </c>
      <c r="I2877" t="s">
        <v>23</v>
      </c>
      <c r="J2877" t="s">
        <v>49</v>
      </c>
      <c r="K2877" s="2" t="s">
        <v>1365</v>
      </c>
      <c r="L2877" t="s">
        <v>26</v>
      </c>
      <c r="M2877">
        <v>358326</v>
      </c>
      <c r="N2877">
        <v>1</v>
      </c>
      <c r="O2877" s="3">
        <v>59951</v>
      </c>
      <c r="P2877" s="3">
        <v>23226</v>
      </c>
      <c r="Q2877" s="5">
        <f t="shared" si="132"/>
        <v>50378.991596638654</v>
      </c>
      <c r="R2877" s="5">
        <f t="shared" si="133"/>
        <v>23226</v>
      </c>
      <c r="S2877" s="5">
        <f t="shared" si="134"/>
        <v>27152.991596638654</v>
      </c>
    </row>
    <row r="2878" spans="1:19" hidden="1" x14ac:dyDescent="0.3">
      <c r="A2878">
        <v>150</v>
      </c>
      <c r="B2878" t="s">
        <v>4361</v>
      </c>
      <c r="C2878" t="s">
        <v>4623</v>
      </c>
      <c r="D2878" s="2" t="s">
        <v>4624</v>
      </c>
      <c r="E2878" t="s">
        <v>3810</v>
      </c>
      <c r="F2878" t="s">
        <v>20</v>
      </c>
      <c r="G2878" t="s">
        <v>21</v>
      </c>
      <c r="H2878" t="s">
        <v>3811</v>
      </c>
      <c r="I2878" t="s">
        <v>23</v>
      </c>
      <c r="J2878" t="s">
        <v>40</v>
      </c>
      <c r="K2878" s="2" t="s">
        <v>1365</v>
      </c>
      <c r="L2878" t="s">
        <v>26</v>
      </c>
      <c r="M2878">
        <v>358327</v>
      </c>
      <c r="N2878">
        <v>1</v>
      </c>
      <c r="O2878" s="3">
        <v>49990</v>
      </c>
      <c r="P2878" s="3">
        <v>21722</v>
      </c>
      <c r="Q2878" s="5">
        <f t="shared" si="132"/>
        <v>42008.403361344543</v>
      </c>
      <c r="R2878" s="5">
        <f t="shared" si="133"/>
        <v>21722</v>
      </c>
      <c r="S2878" s="5">
        <f t="shared" si="134"/>
        <v>20286.403361344543</v>
      </c>
    </row>
    <row r="2879" spans="1:19" hidden="1" x14ac:dyDescent="0.3">
      <c r="A2879">
        <v>150</v>
      </c>
      <c r="B2879" t="s">
        <v>4361</v>
      </c>
      <c r="C2879" t="s">
        <v>4625</v>
      </c>
      <c r="D2879" s="2" t="s">
        <v>4626</v>
      </c>
      <c r="E2879" t="s">
        <v>4599</v>
      </c>
      <c r="F2879" t="s">
        <v>20</v>
      </c>
      <c r="G2879" t="s">
        <v>21</v>
      </c>
      <c r="H2879" t="s">
        <v>3128</v>
      </c>
      <c r="I2879" t="s">
        <v>23</v>
      </c>
      <c r="J2879" t="s">
        <v>49</v>
      </c>
      <c r="K2879" s="2" t="s">
        <v>1365</v>
      </c>
      <c r="L2879" t="s">
        <v>26</v>
      </c>
      <c r="M2879">
        <v>358328</v>
      </c>
      <c r="N2879">
        <v>1</v>
      </c>
      <c r="O2879" s="3">
        <v>79950</v>
      </c>
      <c r="P2879" s="3">
        <v>29835</v>
      </c>
      <c r="Q2879" s="5">
        <f t="shared" si="132"/>
        <v>67184.873949579836</v>
      </c>
      <c r="R2879" s="5">
        <f t="shared" si="133"/>
        <v>29835</v>
      </c>
      <c r="S2879" s="5">
        <f t="shared" si="134"/>
        <v>37349.873949579836</v>
      </c>
    </row>
    <row r="2880" spans="1:19" hidden="1" x14ac:dyDescent="0.3">
      <c r="A2880">
        <v>150</v>
      </c>
      <c r="B2880" t="s">
        <v>4361</v>
      </c>
      <c r="C2880" t="s">
        <v>4627</v>
      </c>
      <c r="D2880" s="2" t="s">
        <v>4628</v>
      </c>
      <c r="E2880" t="s">
        <v>3003</v>
      </c>
      <c r="F2880" t="s">
        <v>20</v>
      </c>
      <c r="G2880" t="s">
        <v>338</v>
      </c>
      <c r="H2880">
        <v>25312</v>
      </c>
      <c r="I2880" t="s">
        <v>23</v>
      </c>
      <c r="J2880" t="s">
        <v>35</v>
      </c>
      <c r="K2880" s="2" t="s">
        <v>1365</v>
      </c>
      <c r="L2880" t="s">
        <v>26</v>
      </c>
      <c r="M2880">
        <v>358329</v>
      </c>
      <c r="N2880">
        <v>1</v>
      </c>
      <c r="O2880" s="3">
        <v>69950</v>
      </c>
      <c r="P2880" s="3">
        <v>21167</v>
      </c>
      <c r="Q2880" s="5">
        <f t="shared" si="132"/>
        <v>58781.512605042022</v>
      </c>
      <c r="R2880" s="5">
        <f t="shared" si="133"/>
        <v>21167</v>
      </c>
      <c r="S2880" s="5">
        <f t="shared" si="134"/>
        <v>37614.512605042022</v>
      </c>
    </row>
    <row r="2881" spans="1:19" hidden="1" x14ac:dyDescent="0.3">
      <c r="A2881">
        <v>150</v>
      </c>
      <c r="B2881" t="s">
        <v>4361</v>
      </c>
      <c r="C2881" t="s">
        <v>264</v>
      </c>
      <c r="D2881" s="2" t="s">
        <v>265</v>
      </c>
      <c r="E2881" t="s">
        <v>266</v>
      </c>
      <c r="F2881" t="s">
        <v>20</v>
      </c>
      <c r="G2881" t="s">
        <v>21</v>
      </c>
      <c r="H2881" t="s">
        <v>267</v>
      </c>
      <c r="I2881" t="s">
        <v>23</v>
      </c>
      <c r="J2881" t="s">
        <v>49</v>
      </c>
      <c r="K2881" s="2" t="s">
        <v>1365</v>
      </c>
      <c r="L2881" t="s">
        <v>26</v>
      </c>
      <c r="M2881">
        <v>358330</v>
      </c>
      <c r="N2881">
        <v>1</v>
      </c>
      <c r="O2881" s="3">
        <v>64950</v>
      </c>
      <c r="P2881" s="3">
        <v>24504</v>
      </c>
      <c r="Q2881" s="5">
        <f t="shared" si="132"/>
        <v>54579.831932773115</v>
      </c>
      <c r="R2881" s="5">
        <f t="shared" si="133"/>
        <v>24504</v>
      </c>
      <c r="S2881" s="5">
        <f t="shared" si="134"/>
        <v>30075.831932773115</v>
      </c>
    </row>
    <row r="2882" spans="1:19" hidden="1" x14ac:dyDescent="0.3">
      <c r="A2882">
        <v>150</v>
      </c>
      <c r="B2882" t="s">
        <v>4361</v>
      </c>
      <c r="C2882" t="s">
        <v>4177</v>
      </c>
      <c r="D2882" s="2" t="s">
        <v>4178</v>
      </c>
      <c r="E2882" t="s">
        <v>2888</v>
      </c>
      <c r="F2882" t="s">
        <v>20</v>
      </c>
      <c r="G2882" t="s">
        <v>21</v>
      </c>
      <c r="H2882" t="s">
        <v>2593</v>
      </c>
      <c r="I2882" t="s">
        <v>23</v>
      </c>
      <c r="J2882" t="s">
        <v>35</v>
      </c>
      <c r="K2882" s="2" t="s">
        <v>1365</v>
      </c>
      <c r="L2882" t="s">
        <v>26</v>
      </c>
      <c r="M2882">
        <v>358331</v>
      </c>
      <c r="N2882">
        <v>1</v>
      </c>
      <c r="O2882" s="3">
        <v>99950</v>
      </c>
      <c r="P2882" s="3">
        <v>38102</v>
      </c>
      <c r="Q2882" s="5">
        <f t="shared" si="132"/>
        <v>83991.596638655465</v>
      </c>
      <c r="R2882" s="5">
        <f t="shared" si="133"/>
        <v>38102</v>
      </c>
      <c r="S2882" s="5">
        <f t="shared" si="134"/>
        <v>45889.596638655465</v>
      </c>
    </row>
    <row r="2883" spans="1:19" hidden="1" x14ac:dyDescent="0.3">
      <c r="A2883">
        <v>150</v>
      </c>
      <c r="B2883" t="s">
        <v>4361</v>
      </c>
      <c r="C2883" t="s">
        <v>4629</v>
      </c>
      <c r="D2883" s="2" t="s">
        <v>4630</v>
      </c>
      <c r="E2883" t="s">
        <v>1281</v>
      </c>
      <c r="F2883" t="s">
        <v>20</v>
      </c>
      <c r="G2883" t="s">
        <v>21</v>
      </c>
      <c r="H2883" t="s">
        <v>1282</v>
      </c>
      <c r="I2883" t="s">
        <v>23</v>
      </c>
      <c r="J2883" t="s">
        <v>40</v>
      </c>
      <c r="K2883" s="2" t="s">
        <v>1365</v>
      </c>
      <c r="L2883" t="s">
        <v>26</v>
      </c>
      <c r="M2883">
        <v>358332</v>
      </c>
      <c r="N2883">
        <v>1</v>
      </c>
      <c r="O2883" s="3">
        <v>49950</v>
      </c>
      <c r="P2883" s="3">
        <v>13922</v>
      </c>
      <c r="Q2883" s="5">
        <f t="shared" si="132"/>
        <v>41974.789915966387</v>
      </c>
      <c r="R2883" s="5">
        <f t="shared" si="133"/>
        <v>13922</v>
      </c>
      <c r="S2883" s="5">
        <f t="shared" si="134"/>
        <v>28052.789915966387</v>
      </c>
    </row>
    <row r="2884" spans="1:19" hidden="1" x14ac:dyDescent="0.3">
      <c r="A2884">
        <v>150</v>
      </c>
      <c r="B2884" t="s">
        <v>4361</v>
      </c>
      <c r="C2884" t="s">
        <v>3146</v>
      </c>
      <c r="D2884" s="2" t="s">
        <v>3147</v>
      </c>
      <c r="E2884" t="s">
        <v>3148</v>
      </c>
      <c r="F2884" t="s">
        <v>20</v>
      </c>
      <c r="G2884" t="s">
        <v>338</v>
      </c>
      <c r="H2884">
        <v>23313</v>
      </c>
      <c r="I2884" t="s">
        <v>23</v>
      </c>
      <c r="J2884" t="s">
        <v>40</v>
      </c>
      <c r="K2884" s="2" t="s">
        <v>1365</v>
      </c>
      <c r="L2884" t="s">
        <v>26</v>
      </c>
      <c r="M2884">
        <v>358333</v>
      </c>
      <c r="N2884">
        <v>1</v>
      </c>
      <c r="O2884" s="3">
        <v>49990</v>
      </c>
      <c r="P2884" s="3">
        <v>23476</v>
      </c>
      <c r="Q2884" s="5">
        <f t="shared" si="132"/>
        <v>42008.403361344543</v>
      </c>
      <c r="R2884" s="5">
        <f t="shared" si="133"/>
        <v>23476</v>
      </c>
      <c r="S2884" s="5">
        <f t="shared" si="134"/>
        <v>18532.403361344543</v>
      </c>
    </row>
    <row r="2885" spans="1:19" hidden="1" x14ac:dyDescent="0.3">
      <c r="A2885">
        <v>150</v>
      </c>
      <c r="B2885" t="s">
        <v>4361</v>
      </c>
      <c r="C2885" t="s">
        <v>3171</v>
      </c>
      <c r="D2885" s="2" t="s">
        <v>3172</v>
      </c>
      <c r="E2885" t="s">
        <v>2589</v>
      </c>
      <c r="F2885" t="s">
        <v>20</v>
      </c>
      <c r="G2885" t="s">
        <v>21</v>
      </c>
      <c r="H2885" t="s">
        <v>53</v>
      </c>
      <c r="I2885" t="s">
        <v>23</v>
      </c>
      <c r="J2885" t="s">
        <v>49</v>
      </c>
      <c r="K2885" s="2" t="s">
        <v>1450</v>
      </c>
      <c r="L2885" t="s">
        <v>26</v>
      </c>
      <c r="M2885">
        <v>358334</v>
      </c>
      <c r="N2885">
        <v>1</v>
      </c>
      <c r="O2885" s="3">
        <v>49990</v>
      </c>
      <c r="P2885" s="3">
        <v>22719</v>
      </c>
      <c r="Q2885" s="5">
        <f t="shared" si="132"/>
        <v>42008.403361344543</v>
      </c>
      <c r="R2885" s="5">
        <f t="shared" si="133"/>
        <v>22719</v>
      </c>
      <c r="S2885" s="5">
        <f t="shared" si="134"/>
        <v>19289.403361344543</v>
      </c>
    </row>
    <row r="2886" spans="1:19" hidden="1" x14ac:dyDescent="0.3">
      <c r="A2886">
        <v>150</v>
      </c>
      <c r="B2886" t="s">
        <v>4361</v>
      </c>
      <c r="C2886" t="s">
        <v>3234</v>
      </c>
      <c r="D2886" s="2" t="s">
        <v>3235</v>
      </c>
      <c r="E2886" t="s">
        <v>1330</v>
      </c>
      <c r="F2886" t="s">
        <v>20</v>
      </c>
      <c r="G2886" t="s">
        <v>338</v>
      </c>
      <c r="H2886">
        <v>25133</v>
      </c>
      <c r="I2886" t="s">
        <v>23</v>
      </c>
      <c r="J2886" t="s">
        <v>35</v>
      </c>
      <c r="K2886" s="2" t="s">
        <v>1450</v>
      </c>
      <c r="L2886" t="s">
        <v>26</v>
      </c>
      <c r="M2886">
        <v>358335</v>
      </c>
      <c r="N2886">
        <v>1</v>
      </c>
      <c r="O2886" s="3">
        <v>74950</v>
      </c>
      <c r="P2886" s="3">
        <v>21167</v>
      </c>
      <c r="Q2886" s="5">
        <f t="shared" ref="Q2886:Q2949" si="135">O2886/1.19</f>
        <v>62983.193277310929</v>
      </c>
      <c r="R2886" s="5">
        <f t="shared" ref="R2886:R2949" si="136">N2886*P2886</f>
        <v>21167</v>
      </c>
      <c r="S2886" s="5">
        <f t="shared" ref="S2886:S2949" si="137">Q2886-R2886</f>
        <v>41816.193277310929</v>
      </c>
    </row>
    <row r="2887" spans="1:19" hidden="1" x14ac:dyDescent="0.3">
      <c r="A2887">
        <v>150</v>
      </c>
      <c r="B2887" t="s">
        <v>4361</v>
      </c>
      <c r="C2887" t="s">
        <v>4518</v>
      </c>
      <c r="D2887" s="2" t="s">
        <v>4519</v>
      </c>
      <c r="E2887" t="s">
        <v>526</v>
      </c>
      <c r="F2887" t="s">
        <v>20</v>
      </c>
      <c r="G2887" t="s">
        <v>21</v>
      </c>
      <c r="H2887" t="s">
        <v>527</v>
      </c>
      <c r="I2887" t="s">
        <v>23</v>
      </c>
      <c r="J2887" t="s">
        <v>35</v>
      </c>
      <c r="K2887" s="2" t="s">
        <v>1450</v>
      </c>
      <c r="L2887" t="s">
        <v>26</v>
      </c>
      <c r="M2887">
        <v>358336</v>
      </c>
      <c r="N2887">
        <v>-1</v>
      </c>
      <c r="O2887" s="3">
        <v>-84950</v>
      </c>
      <c r="P2887" s="3">
        <v>35203</v>
      </c>
      <c r="Q2887" s="5">
        <f t="shared" si="135"/>
        <v>-71386.554621848743</v>
      </c>
      <c r="R2887" s="5">
        <f t="shared" si="136"/>
        <v>-35203</v>
      </c>
      <c r="S2887" s="5">
        <f t="shared" si="137"/>
        <v>-36183.554621848743</v>
      </c>
    </row>
    <row r="2888" spans="1:19" hidden="1" x14ac:dyDescent="0.3">
      <c r="A2888">
        <v>150</v>
      </c>
      <c r="B2888" t="s">
        <v>4361</v>
      </c>
      <c r="C2888" t="s">
        <v>524</v>
      </c>
      <c r="D2888" s="2" t="s">
        <v>525</v>
      </c>
      <c r="E2888" t="s">
        <v>526</v>
      </c>
      <c r="F2888" t="s">
        <v>20</v>
      </c>
      <c r="G2888" t="s">
        <v>21</v>
      </c>
      <c r="H2888" t="s">
        <v>527</v>
      </c>
      <c r="I2888" t="s">
        <v>23</v>
      </c>
      <c r="J2888" t="s">
        <v>35</v>
      </c>
      <c r="K2888" s="2" t="s">
        <v>1450</v>
      </c>
      <c r="L2888" t="s">
        <v>26</v>
      </c>
      <c r="M2888">
        <v>358336</v>
      </c>
      <c r="N2888">
        <v>1</v>
      </c>
      <c r="O2888" s="3">
        <v>84951</v>
      </c>
      <c r="P2888" s="3">
        <v>35050</v>
      </c>
      <c r="Q2888" s="5">
        <f t="shared" si="135"/>
        <v>71387.394957983197</v>
      </c>
      <c r="R2888" s="5">
        <f t="shared" si="136"/>
        <v>35050</v>
      </c>
      <c r="S2888" s="5">
        <f t="shared" si="137"/>
        <v>36337.394957983197</v>
      </c>
    </row>
    <row r="2889" spans="1:19" hidden="1" x14ac:dyDescent="0.3">
      <c r="A2889">
        <v>150</v>
      </c>
      <c r="B2889" t="s">
        <v>4361</v>
      </c>
      <c r="C2889" t="s">
        <v>4631</v>
      </c>
      <c r="D2889" s="2" t="s">
        <v>4632</v>
      </c>
      <c r="E2889" t="s">
        <v>2002</v>
      </c>
      <c r="F2889" t="s">
        <v>20</v>
      </c>
      <c r="G2889" t="s">
        <v>338</v>
      </c>
      <c r="H2889">
        <v>25026</v>
      </c>
      <c r="I2889" t="s">
        <v>23</v>
      </c>
      <c r="J2889" t="s">
        <v>35</v>
      </c>
      <c r="K2889" s="2" t="s">
        <v>1450</v>
      </c>
      <c r="L2889" t="s">
        <v>26</v>
      </c>
      <c r="M2889">
        <v>358337</v>
      </c>
      <c r="N2889">
        <v>1</v>
      </c>
      <c r="O2889" s="3">
        <v>89950</v>
      </c>
      <c r="P2889" s="3">
        <v>28454</v>
      </c>
      <c r="Q2889" s="5">
        <f t="shared" si="135"/>
        <v>75588.23529411765</v>
      </c>
      <c r="R2889" s="5">
        <f t="shared" si="136"/>
        <v>28454</v>
      </c>
      <c r="S2889" s="5">
        <f t="shared" si="137"/>
        <v>47134.23529411765</v>
      </c>
    </row>
    <row r="2890" spans="1:19" hidden="1" x14ac:dyDescent="0.3">
      <c r="A2890">
        <v>150</v>
      </c>
      <c r="B2890" t="s">
        <v>4361</v>
      </c>
      <c r="C2890" t="s">
        <v>4633</v>
      </c>
      <c r="D2890" s="2" t="s">
        <v>4634</v>
      </c>
      <c r="E2890" t="s">
        <v>294</v>
      </c>
      <c r="F2890" t="s">
        <v>20</v>
      </c>
      <c r="G2890" t="s">
        <v>21</v>
      </c>
      <c r="H2890" t="s">
        <v>295</v>
      </c>
      <c r="I2890" t="s">
        <v>23</v>
      </c>
      <c r="J2890" t="s">
        <v>40</v>
      </c>
      <c r="K2890" s="2" t="s">
        <v>1450</v>
      </c>
      <c r="L2890" t="s">
        <v>26</v>
      </c>
      <c r="M2890">
        <v>358338</v>
      </c>
      <c r="N2890">
        <v>1</v>
      </c>
      <c r="O2890" s="3">
        <v>79950</v>
      </c>
      <c r="P2890" s="3">
        <v>26951</v>
      </c>
      <c r="Q2890" s="5">
        <f t="shared" si="135"/>
        <v>67184.873949579836</v>
      </c>
      <c r="R2890" s="5">
        <f t="shared" si="136"/>
        <v>26951</v>
      </c>
      <c r="S2890" s="5">
        <f t="shared" si="137"/>
        <v>40233.873949579836</v>
      </c>
    </row>
    <row r="2891" spans="1:19" hidden="1" x14ac:dyDescent="0.3">
      <c r="A2891">
        <v>150</v>
      </c>
      <c r="B2891" t="s">
        <v>4361</v>
      </c>
      <c r="C2891" t="s">
        <v>4635</v>
      </c>
      <c r="D2891" s="2" t="s">
        <v>4636</v>
      </c>
      <c r="E2891" t="s">
        <v>3031</v>
      </c>
      <c r="F2891" t="s">
        <v>20</v>
      </c>
      <c r="G2891" t="s">
        <v>21</v>
      </c>
      <c r="H2891" t="s">
        <v>2315</v>
      </c>
      <c r="I2891" t="s">
        <v>23</v>
      </c>
      <c r="J2891" t="s">
        <v>49</v>
      </c>
      <c r="K2891" s="2" t="s">
        <v>1450</v>
      </c>
      <c r="L2891" t="s">
        <v>26</v>
      </c>
      <c r="M2891">
        <v>358339</v>
      </c>
      <c r="N2891">
        <v>1</v>
      </c>
      <c r="O2891" s="3">
        <v>74950</v>
      </c>
      <c r="P2891" s="3">
        <v>24254</v>
      </c>
      <c r="Q2891" s="5">
        <f t="shared" si="135"/>
        <v>62983.193277310929</v>
      </c>
      <c r="R2891" s="5">
        <f t="shared" si="136"/>
        <v>24254</v>
      </c>
      <c r="S2891" s="5">
        <f t="shared" si="137"/>
        <v>38729.193277310929</v>
      </c>
    </row>
    <row r="2892" spans="1:19" hidden="1" x14ac:dyDescent="0.3">
      <c r="A2892">
        <v>150</v>
      </c>
      <c r="B2892" t="s">
        <v>4361</v>
      </c>
      <c r="C2892" t="s">
        <v>2946</v>
      </c>
      <c r="D2892" s="2" t="s">
        <v>2947</v>
      </c>
      <c r="E2892" t="s">
        <v>1123</v>
      </c>
      <c r="F2892" t="s">
        <v>20</v>
      </c>
      <c r="G2892" t="s">
        <v>21</v>
      </c>
      <c r="H2892" t="s">
        <v>1124</v>
      </c>
      <c r="I2892" t="s">
        <v>23</v>
      </c>
      <c r="J2892" t="s">
        <v>24</v>
      </c>
      <c r="K2892" s="2" t="s">
        <v>1450</v>
      </c>
      <c r="L2892" t="s">
        <v>26</v>
      </c>
      <c r="M2892">
        <v>358340</v>
      </c>
      <c r="N2892">
        <v>1</v>
      </c>
      <c r="O2892" s="3">
        <v>74950</v>
      </c>
      <c r="P2892" s="3">
        <v>25857</v>
      </c>
      <c r="Q2892" s="5">
        <f t="shared" si="135"/>
        <v>62983.193277310929</v>
      </c>
      <c r="R2892" s="5">
        <f t="shared" si="136"/>
        <v>25857</v>
      </c>
      <c r="S2892" s="5">
        <f t="shared" si="137"/>
        <v>37126.193277310929</v>
      </c>
    </row>
    <row r="2893" spans="1:19" hidden="1" x14ac:dyDescent="0.3">
      <c r="A2893">
        <v>150</v>
      </c>
      <c r="B2893" t="s">
        <v>4361</v>
      </c>
      <c r="C2893" t="s">
        <v>4320</v>
      </c>
      <c r="D2893" s="2" t="s">
        <v>4321</v>
      </c>
      <c r="E2893" t="s">
        <v>2738</v>
      </c>
      <c r="F2893" t="s">
        <v>20</v>
      </c>
      <c r="G2893" t="s">
        <v>21</v>
      </c>
      <c r="H2893" t="s">
        <v>22</v>
      </c>
      <c r="I2893" t="s">
        <v>23</v>
      </c>
      <c r="J2893" t="s">
        <v>49</v>
      </c>
      <c r="K2893" s="2" t="s">
        <v>1450</v>
      </c>
      <c r="L2893" t="s">
        <v>26</v>
      </c>
      <c r="M2893">
        <v>358341</v>
      </c>
      <c r="N2893">
        <v>1</v>
      </c>
      <c r="O2893" s="3">
        <v>74950</v>
      </c>
      <c r="P2893" s="3">
        <v>26246</v>
      </c>
      <c r="Q2893" s="5">
        <f t="shared" si="135"/>
        <v>62983.193277310929</v>
      </c>
      <c r="R2893" s="5">
        <f t="shared" si="136"/>
        <v>26246</v>
      </c>
      <c r="S2893" s="5">
        <f t="shared" si="137"/>
        <v>36737.193277310929</v>
      </c>
    </row>
    <row r="2894" spans="1:19" hidden="1" x14ac:dyDescent="0.3">
      <c r="A2894">
        <v>150</v>
      </c>
      <c r="B2894" t="s">
        <v>4361</v>
      </c>
      <c r="C2894" t="s">
        <v>3743</v>
      </c>
      <c r="D2894" s="2" t="s">
        <v>3744</v>
      </c>
      <c r="E2894" t="s">
        <v>1709</v>
      </c>
      <c r="F2894" t="s">
        <v>20</v>
      </c>
      <c r="G2894" t="s">
        <v>21</v>
      </c>
      <c r="H2894" t="s">
        <v>970</v>
      </c>
      <c r="I2894" t="s">
        <v>23</v>
      </c>
      <c r="J2894" t="s">
        <v>40</v>
      </c>
      <c r="K2894" s="2" t="s">
        <v>1525</v>
      </c>
      <c r="L2894" t="s">
        <v>26</v>
      </c>
      <c r="M2894">
        <v>358342</v>
      </c>
      <c r="N2894">
        <v>1</v>
      </c>
      <c r="O2894" s="3">
        <v>49990</v>
      </c>
      <c r="P2894" s="3">
        <v>18897</v>
      </c>
      <c r="Q2894" s="5">
        <f t="shared" si="135"/>
        <v>42008.403361344543</v>
      </c>
      <c r="R2894" s="5">
        <f t="shared" si="136"/>
        <v>18897</v>
      </c>
      <c r="S2894" s="5">
        <f t="shared" si="137"/>
        <v>23111.403361344543</v>
      </c>
    </row>
    <row r="2895" spans="1:19" hidden="1" x14ac:dyDescent="0.3">
      <c r="A2895">
        <v>150</v>
      </c>
      <c r="B2895" t="s">
        <v>4361</v>
      </c>
      <c r="C2895">
        <v>1687976791</v>
      </c>
      <c r="D2895" s="2" t="s">
        <v>200</v>
      </c>
      <c r="E2895" t="s">
        <v>201</v>
      </c>
      <c r="F2895" t="s">
        <v>201</v>
      </c>
      <c r="G2895" t="s">
        <v>202</v>
      </c>
      <c r="H2895" t="s">
        <v>202</v>
      </c>
      <c r="I2895" t="s">
        <v>23</v>
      </c>
      <c r="J2895" t="s">
        <v>202</v>
      </c>
      <c r="K2895" s="2" t="s">
        <v>1525</v>
      </c>
      <c r="L2895" t="s">
        <v>26</v>
      </c>
      <c r="M2895">
        <v>358342</v>
      </c>
      <c r="N2895">
        <v>1</v>
      </c>
      <c r="O2895" s="3">
        <v>2500</v>
      </c>
      <c r="P2895">
        <v>1</v>
      </c>
      <c r="Q2895" s="5">
        <f t="shared" si="135"/>
        <v>2100.840336134454</v>
      </c>
      <c r="R2895" s="5">
        <f t="shared" si="136"/>
        <v>1</v>
      </c>
      <c r="S2895" s="5">
        <f t="shared" si="137"/>
        <v>2099.840336134454</v>
      </c>
    </row>
    <row r="2896" spans="1:19" hidden="1" x14ac:dyDescent="0.3">
      <c r="A2896">
        <v>150</v>
      </c>
      <c r="B2896" t="s">
        <v>4361</v>
      </c>
      <c r="C2896" t="s">
        <v>4637</v>
      </c>
      <c r="D2896" s="2" t="s">
        <v>4638</v>
      </c>
      <c r="E2896" t="s">
        <v>2648</v>
      </c>
      <c r="F2896" t="s">
        <v>20</v>
      </c>
      <c r="G2896" t="s">
        <v>21</v>
      </c>
      <c r="H2896" t="s">
        <v>970</v>
      </c>
      <c r="I2896" t="s">
        <v>23</v>
      </c>
      <c r="J2896" t="s">
        <v>40</v>
      </c>
      <c r="K2896" s="2" t="s">
        <v>1525</v>
      </c>
      <c r="L2896" t="s">
        <v>26</v>
      </c>
      <c r="M2896">
        <v>358343</v>
      </c>
      <c r="N2896">
        <v>1</v>
      </c>
      <c r="O2896" s="3">
        <v>59950</v>
      </c>
      <c r="P2896" s="3">
        <v>18491</v>
      </c>
      <c r="Q2896" s="5">
        <f t="shared" si="135"/>
        <v>50378.151260504201</v>
      </c>
      <c r="R2896" s="5">
        <f t="shared" si="136"/>
        <v>18491</v>
      </c>
      <c r="S2896" s="5">
        <f t="shared" si="137"/>
        <v>31887.151260504201</v>
      </c>
    </row>
    <row r="2897" spans="1:19" hidden="1" x14ac:dyDescent="0.3">
      <c r="A2897">
        <v>150</v>
      </c>
      <c r="B2897" t="s">
        <v>4361</v>
      </c>
      <c r="C2897" t="s">
        <v>4639</v>
      </c>
      <c r="D2897" s="2" t="s">
        <v>4640</v>
      </c>
      <c r="E2897" t="s">
        <v>3340</v>
      </c>
      <c r="F2897" t="s">
        <v>20</v>
      </c>
      <c r="G2897" t="s">
        <v>338</v>
      </c>
      <c r="H2897">
        <v>25097</v>
      </c>
      <c r="I2897" t="s">
        <v>23</v>
      </c>
      <c r="J2897" t="s">
        <v>24</v>
      </c>
      <c r="K2897" s="2" t="s">
        <v>1525</v>
      </c>
      <c r="L2897" t="s">
        <v>26</v>
      </c>
      <c r="M2897">
        <v>358344</v>
      </c>
      <c r="N2897">
        <v>1</v>
      </c>
      <c r="O2897" s="3">
        <v>74950</v>
      </c>
      <c r="P2897" s="3">
        <v>23242</v>
      </c>
      <c r="Q2897" s="5">
        <f t="shared" si="135"/>
        <v>62983.193277310929</v>
      </c>
      <c r="R2897" s="5">
        <f t="shared" si="136"/>
        <v>23242</v>
      </c>
      <c r="S2897" s="5">
        <f t="shared" si="137"/>
        <v>39741.193277310929</v>
      </c>
    </row>
    <row r="2898" spans="1:19" hidden="1" x14ac:dyDescent="0.3">
      <c r="A2898">
        <v>150</v>
      </c>
      <c r="B2898" t="s">
        <v>4361</v>
      </c>
      <c r="C2898" t="s">
        <v>4641</v>
      </c>
      <c r="D2898" s="2" t="s">
        <v>4642</v>
      </c>
      <c r="E2898" t="s">
        <v>4643</v>
      </c>
      <c r="F2898" t="s">
        <v>20</v>
      </c>
      <c r="G2898" t="s">
        <v>338</v>
      </c>
      <c r="H2898">
        <v>85101</v>
      </c>
      <c r="I2898" t="s">
        <v>23</v>
      </c>
      <c r="J2898" t="s">
        <v>35</v>
      </c>
      <c r="K2898" s="2" t="s">
        <v>1525</v>
      </c>
      <c r="L2898" t="s">
        <v>26</v>
      </c>
      <c r="M2898">
        <v>358344</v>
      </c>
      <c r="N2898">
        <v>1</v>
      </c>
      <c r="O2898" s="3">
        <v>99950</v>
      </c>
      <c r="P2898" s="3">
        <v>33793</v>
      </c>
      <c r="Q2898" s="5">
        <f t="shared" si="135"/>
        <v>83991.596638655465</v>
      </c>
      <c r="R2898" s="5">
        <f t="shared" si="136"/>
        <v>33793</v>
      </c>
      <c r="S2898" s="5">
        <f t="shared" si="137"/>
        <v>50198.596638655465</v>
      </c>
    </row>
    <row r="2899" spans="1:19" hidden="1" x14ac:dyDescent="0.3">
      <c r="A2899">
        <v>150</v>
      </c>
      <c r="B2899" t="s">
        <v>4361</v>
      </c>
      <c r="C2899" t="s">
        <v>2365</v>
      </c>
      <c r="D2899" s="2" t="s">
        <v>2366</v>
      </c>
      <c r="E2899" t="s">
        <v>2367</v>
      </c>
      <c r="F2899" t="s">
        <v>377</v>
      </c>
      <c r="G2899" t="s">
        <v>21</v>
      </c>
      <c r="H2899" t="s">
        <v>378</v>
      </c>
      <c r="I2899" t="s">
        <v>23</v>
      </c>
      <c r="J2899" t="s">
        <v>379</v>
      </c>
      <c r="K2899" s="2" t="s">
        <v>1525</v>
      </c>
      <c r="L2899" t="s">
        <v>26</v>
      </c>
      <c r="M2899">
        <v>358344</v>
      </c>
      <c r="N2899">
        <v>1</v>
      </c>
      <c r="O2899" s="3">
        <v>6950</v>
      </c>
      <c r="P2899" s="3">
        <v>3759</v>
      </c>
      <c r="Q2899" s="5">
        <f t="shared" si="135"/>
        <v>5840.3361344537816</v>
      </c>
      <c r="R2899" s="5">
        <f t="shared" si="136"/>
        <v>3759</v>
      </c>
      <c r="S2899" s="5">
        <f t="shared" si="137"/>
        <v>2081.3361344537816</v>
      </c>
    </row>
    <row r="2900" spans="1:19" hidden="1" x14ac:dyDescent="0.3">
      <c r="A2900">
        <v>150</v>
      </c>
      <c r="B2900" t="s">
        <v>4361</v>
      </c>
      <c r="C2900" t="s">
        <v>4644</v>
      </c>
      <c r="D2900" s="2" t="s">
        <v>4645</v>
      </c>
      <c r="E2900" t="s">
        <v>4646</v>
      </c>
      <c r="F2900" t="s">
        <v>20</v>
      </c>
      <c r="G2900" t="s">
        <v>21</v>
      </c>
      <c r="H2900" t="s">
        <v>4647</v>
      </c>
      <c r="I2900" t="s">
        <v>23</v>
      </c>
      <c r="J2900" t="s">
        <v>49</v>
      </c>
      <c r="K2900" s="2" t="s">
        <v>1525</v>
      </c>
      <c r="L2900" t="s">
        <v>26</v>
      </c>
      <c r="M2900">
        <v>358345</v>
      </c>
      <c r="N2900">
        <v>1</v>
      </c>
      <c r="O2900" s="3">
        <v>74950</v>
      </c>
      <c r="P2900" s="3">
        <v>28770</v>
      </c>
      <c r="Q2900" s="5">
        <f t="shared" si="135"/>
        <v>62983.193277310929</v>
      </c>
      <c r="R2900" s="5">
        <f t="shared" si="136"/>
        <v>28770</v>
      </c>
      <c r="S2900" s="5">
        <f t="shared" si="137"/>
        <v>34213.193277310929</v>
      </c>
    </row>
    <row r="2901" spans="1:19" hidden="1" x14ac:dyDescent="0.3">
      <c r="A2901">
        <v>150</v>
      </c>
      <c r="B2901" t="s">
        <v>4361</v>
      </c>
      <c r="C2901" t="s">
        <v>1507</v>
      </c>
      <c r="D2901" s="2" t="s">
        <v>1508</v>
      </c>
      <c r="E2901" t="s">
        <v>425</v>
      </c>
      <c r="F2901" t="s">
        <v>20</v>
      </c>
      <c r="G2901" t="s">
        <v>21</v>
      </c>
      <c r="H2901" t="s">
        <v>22</v>
      </c>
      <c r="I2901" t="s">
        <v>23</v>
      </c>
      <c r="J2901" t="s">
        <v>24</v>
      </c>
      <c r="K2901" s="2" t="s">
        <v>1525</v>
      </c>
      <c r="L2901" t="s">
        <v>26</v>
      </c>
      <c r="M2901">
        <v>358346</v>
      </c>
      <c r="N2901">
        <v>1</v>
      </c>
      <c r="O2901" s="3">
        <v>79950</v>
      </c>
      <c r="P2901" s="3">
        <v>27778</v>
      </c>
      <c r="Q2901" s="5">
        <f t="shared" si="135"/>
        <v>67184.873949579836</v>
      </c>
      <c r="R2901" s="5">
        <f t="shared" si="136"/>
        <v>27778</v>
      </c>
      <c r="S2901" s="5">
        <f t="shared" si="137"/>
        <v>39406.873949579836</v>
      </c>
    </row>
    <row r="2902" spans="1:19" hidden="1" x14ac:dyDescent="0.3">
      <c r="A2902">
        <v>150</v>
      </c>
      <c r="B2902" t="s">
        <v>4361</v>
      </c>
      <c r="C2902" t="s">
        <v>3343</v>
      </c>
      <c r="D2902" s="2" t="s">
        <v>3344</v>
      </c>
      <c r="E2902" t="s">
        <v>3345</v>
      </c>
      <c r="F2902" t="s">
        <v>20</v>
      </c>
      <c r="G2902" t="s">
        <v>338</v>
      </c>
      <c r="H2902">
        <v>25354</v>
      </c>
      <c r="I2902" t="s">
        <v>23</v>
      </c>
      <c r="J2902" t="s">
        <v>35</v>
      </c>
      <c r="K2902" s="2" t="s">
        <v>1525</v>
      </c>
      <c r="L2902" t="s">
        <v>26</v>
      </c>
      <c r="M2902">
        <v>358347</v>
      </c>
      <c r="N2902">
        <v>1</v>
      </c>
      <c r="O2902" s="3">
        <v>69950</v>
      </c>
      <c r="P2902" s="3">
        <v>21167</v>
      </c>
      <c r="Q2902" s="5">
        <f t="shared" si="135"/>
        <v>58781.512605042022</v>
      </c>
      <c r="R2902" s="5">
        <f t="shared" si="136"/>
        <v>21167</v>
      </c>
      <c r="S2902" s="5">
        <f t="shared" si="137"/>
        <v>37614.512605042022</v>
      </c>
    </row>
    <row r="2903" spans="1:19" hidden="1" x14ac:dyDescent="0.3">
      <c r="A2903">
        <v>150</v>
      </c>
      <c r="B2903" t="s">
        <v>4361</v>
      </c>
      <c r="C2903" t="s">
        <v>3898</v>
      </c>
      <c r="D2903" s="2" t="s">
        <v>3899</v>
      </c>
      <c r="E2903" t="s">
        <v>2741</v>
      </c>
      <c r="F2903" t="s">
        <v>20</v>
      </c>
      <c r="G2903" t="s">
        <v>21</v>
      </c>
      <c r="H2903" t="s">
        <v>2494</v>
      </c>
      <c r="I2903" t="s">
        <v>23</v>
      </c>
      <c r="J2903" t="s">
        <v>40</v>
      </c>
      <c r="K2903" s="2" t="s">
        <v>1525</v>
      </c>
      <c r="L2903" t="s">
        <v>26</v>
      </c>
      <c r="M2903">
        <v>358348</v>
      </c>
      <c r="N2903">
        <v>1</v>
      </c>
      <c r="O2903" s="3">
        <v>69950</v>
      </c>
      <c r="P2903" s="3">
        <v>23470</v>
      </c>
      <c r="Q2903" s="5">
        <f t="shared" si="135"/>
        <v>58781.512605042022</v>
      </c>
      <c r="R2903" s="5">
        <f t="shared" si="136"/>
        <v>23470</v>
      </c>
      <c r="S2903" s="5">
        <f t="shared" si="137"/>
        <v>35311.512605042022</v>
      </c>
    </row>
    <row r="2904" spans="1:19" hidden="1" x14ac:dyDescent="0.3">
      <c r="A2904">
        <v>150</v>
      </c>
      <c r="B2904" t="s">
        <v>4361</v>
      </c>
      <c r="C2904" t="s">
        <v>2049</v>
      </c>
      <c r="D2904" s="2" t="s">
        <v>2050</v>
      </c>
      <c r="E2904" t="s">
        <v>1913</v>
      </c>
      <c r="F2904" t="s">
        <v>20</v>
      </c>
      <c r="G2904" t="s">
        <v>21</v>
      </c>
      <c r="H2904" t="s">
        <v>1914</v>
      </c>
      <c r="I2904" t="s">
        <v>23</v>
      </c>
      <c r="J2904" t="s">
        <v>35</v>
      </c>
      <c r="K2904" s="2" t="s">
        <v>1525</v>
      </c>
      <c r="L2904" t="s">
        <v>26</v>
      </c>
      <c r="M2904">
        <v>358349</v>
      </c>
      <c r="N2904">
        <v>1</v>
      </c>
      <c r="O2904" s="3">
        <v>89951</v>
      </c>
      <c r="P2904" s="3">
        <v>28298</v>
      </c>
      <c r="Q2904" s="5">
        <f t="shared" si="135"/>
        <v>75589.075630252104</v>
      </c>
      <c r="R2904" s="5">
        <f t="shared" si="136"/>
        <v>28298</v>
      </c>
      <c r="S2904" s="5">
        <f t="shared" si="137"/>
        <v>47291.075630252104</v>
      </c>
    </row>
    <row r="2905" spans="1:19" hidden="1" x14ac:dyDescent="0.3">
      <c r="A2905">
        <v>150</v>
      </c>
      <c r="B2905" t="s">
        <v>4361</v>
      </c>
      <c r="C2905" t="s">
        <v>2880</v>
      </c>
      <c r="D2905" s="2" t="s">
        <v>2881</v>
      </c>
      <c r="E2905" t="s">
        <v>1913</v>
      </c>
      <c r="F2905" t="s">
        <v>20</v>
      </c>
      <c r="G2905" t="s">
        <v>21</v>
      </c>
      <c r="H2905" t="s">
        <v>1914</v>
      </c>
      <c r="I2905" t="s">
        <v>23</v>
      </c>
      <c r="J2905" t="s">
        <v>35</v>
      </c>
      <c r="K2905" s="2" t="s">
        <v>1525</v>
      </c>
      <c r="L2905" t="s">
        <v>26</v>
      </c>
      <c r="M2905">
        <v>358349</v>
      </c>
      <c r="N2905">
        <v>-1</v>
      </c>
      <c r="O2905" s="3">
        <v>-89950</v>
      </c>
      <c r="P2905" s="3">
        <v>28298</v>
      </c>
      <c r="Q2905" s="5">
        <f t="shared" si="135"/>
        <v>-75588.23529411765</v>
      </c>
      <c r="R2905" s="5">
        <f t="shared" si="136"/>
        <v>-28298</v>
      </c>
      <c r="S2905" s="5">
        <f t="shared" si="137"/>
        <v>-47290.23529411765</v>
      </c>
    </row>
    <row r="2906" spans="1:19" hidden="1" x14ac:dyDescent="0.3">
      <c r="A2906">
        <v>150</v>
      </c>
      <c r="B2906" t="s">
        <v>4361</v>
      </c>
      <c r="C2906" t="s">
        <v>2746</v>
      </c>
      <c r="D2906" s="2" t="s">
        <v>2747</v>
      </c>
      <c r="E2906" t="s">
        <v>2748</v>
      </c>
      <c r="F2906" t="s">
        <v>20</v>
      </c>
      <c r="G2906" t="s">
        <v>338</v>
      </c>
      <c r="H2906">
        <v>26266</v>
      </c>
      <c r="I2906" t="s">
        <v>23</v>
      </c>
      <c r="J2906" t="s">
        <v>35</v>
      </c>
      <c r="K2906" s="2" t="s">
        <v>2983</v>
      </c>
      <c r="L2906" t="s">
        <v>4085</v>
      </c>
      <c r="M2906">
        <v>779</v>
      </c>
      <c r="N2906">
        <v>1</v>
      </c>
      <c r="O2906" s="3">
        <v>79950</v>
      </c>
      <c r="P2906" s="3">
        <v>25300</v>
      </c>
      <c r="Q2906" s="5">
        <f t="shared" si="135"/>
        <v>67184.873949579836</v>
      </c>
      <c r="R2906" s="5">
        <f t="shared" si="136"/>
        <v>25300</v>
      </c>
      <c r="S2906" s="5">
        <f t="shared" si="137"/>
        <v>41884.873949579836</v>
      </c>
    </row>
    <row r="2907" spans="1:19" hidden="1" x14ac:dyDescent="0.3">
      <c r="A2907">
        <v>150</v>
      </c>
      <c r="B2907" t="s">
        <v>4361</v>
      </c>
      <c r="C2907" t="s">
        <v>4389</v>
      </c>
      <c r="D2907" s="2" t="s">
        <v>4390</v>
      </c>
      <c r="E2907" t="s">
        <v>4391</v>
      </c>
      <c r="F2907" t="s">
        <v>20</v>
      </c>
      <c r="G2907" t="s">
        <v>21</v>
      </c>
      <c r="H2907" t="s">
        <v>295</v>
      </c>
      <c r="I2907" t="s">
        <v>23</v>
      </c>
      <c r="J2907" t="s">
        <v>40</v>
      </c>
      <c r="K2907" s="2" t="s">
        <v>2983</v>
      </c>
      <c r="L2907" t="s">
        <v>26</v>
      </c>
      <c r="M2907">
        <v>358350</v>
      </c>
      <c r="N2907">
        <v>-1</v>
      </c>
      <c r="O2907" s="3">
        <v>-79950</v>
      </c>
      <c r="P2907" s="3">
        <v>26951</v>
      </c>
      <c r="Q2907" s="5">
        <f t="shared" si="135"/>
        <v>-67184.873949579836</v>
      </c>
      <c r="R2907" s="5">
        <f t="shared" si="136"/>
        <v>-26951</v>
      </c>
      <c r="S2907" s="5">
        <f t="shared" si="137"/>
        <v>-40233.873949579836</v>
      </c>
    </row>
    <row r="2908" spans="1:19" hidden="1" x14ac:dyDescent="0.3">
      <c r="A2908">
        <v>150</v>
      </c>
      <c r="B2908" t="s">
        <v>4361</v>
      </c>
      <c r="C2908" t="s">
        <v>4648</v>
      </c>
      <c r="D2908" s="2" t="s">
        <v>4649</v>
      </c>
      <c r="E2908" t="s">
        <v>4391</v>
      </c>
      <c r="F2908" t="s">
        <v>20</v>
      </c>
      <c r="G2908" t="s">
        <v>21</v>
      </c>
      <c r="H2908" t="s">
        <v>295</v>
      </c>
      <c r="I2908" t="s">
        <v>23</v>
      </c>
      <c r="J2908" t="s">
        <v>40</v>
      </c>
      <c r="K2908" s="2" t="s">
        <v>2983</v>
      </c>
      <c r="L2908" t="s">
        <v>26</v>
      </c>
      <c r="M2908">
        <v>358350</v>
      </c>
      <c r="N2908">
        <v>1</v>
      </c>
      <c r="O2908" s="3">
        <v>79951</v>
      </c>
      <c r="P2908" s="3">
        <v>26951</v>
      </c>
      <c r="Q2908" s="5">
        <f t="shared" si="135"/>
        <v>67185.71428571429</v>
      </c>
      <c r="R2908" s="5">
        <f t="shared" si="136"/>
        <v>26951</v>
      </c>
      <c r="S2908" s="5">
        <f t="shared" si="137"/>
        <v>40234.71428571429</v>
      </c>
    </row>
    <row r="2909" spans="1:19" hidden="1" x14ac:dyDescent="0.3">
      <c r="A2909">
        <v>150</v>
      </c>
      <c r="B2909" t="s">
        <v>4361</v>
      </c>
      <c r="C2909" t="s">
        <v>2000</v>
      </c>
      <c r="D2909" s="2" t="s">
        <v>2001</v>
      </c>
      <c r="E2909" t="s">
        <v>2002</v>
      </c>
      <c r="F2909" t="s">
        <v>20</v>
      </c>
      <c r="G2909" t="s">
        <v>338</v>
      </c>
      <c r="H2909">
        <v>25026</v>
      </c>
      <c r="I2909" t="s">
        <v>23</v>
      </c>
      <c r="J2909" t="s">
        <v>35</v>
      </c>
      <c r="K2909" s="2" t="s">
        <v>2983</v>
      </c>
      <c r="L2909" t="s">
        <v>26</v>
      </c>
      <c r="M2909">
        <v>358351</v>
      </c>
      <c r="N2909">
        <v>1</v>
      </c>
      <c r="O2909" s="3">
        <v>89950</v>
      </c>
      <c r="P2909" s="3">
        <v>28454</v>
      </c>
      <c r="Q2909" s="5">
        <f t="shared" si="135"/>
        <v>75588.23529411765</v>
      </c>
      <c r="R2909" s="5">
        <f t="shared" si="136"/>
        <v>28454</v>
      </c>
      <c r="S2909" s="5">
        <f t="shared" si="137"/>
        <v>47134.23529411765</v>
      </c>
    </row>
    <row r="2910" spans="1:19" hidden="1" x14ac:dyDescent="0.3">
      <c r="A2910">
        <v>150</v>
      </c>
      <c r="B2910" t="s">
        <v>4361</v>
      </c>
      <c r="C2910" t="s">
        <v>2485</v>
      </c>
      <c r="D2910" s="2" t="s">
        <v>2486</v>
      </c>
      <c r="E2910" t="s">
        <v>2487</v>
      </c>
      <c r="F2910" t="s">
        <v>377</v>
      </c>
      <c r="G2910" t="s">
        <v>21</v>
      </c>
      <c r="H2910" t="s">
        <v>378</v>
      </c>
      <c r="I2910" t="s">
        <v>23</v>
      </c>
      <c r="J2910" t="s">
        <v>379</v>
      </c>
      <c r="K2910" s="2" t="s">
        <v>2983</v>
      </c>
      <c r="L2910" t="s">
        <v>26</v>
      </c>
      <c r="M2910">
        <v>358351</v>
      </c>
      <c r="N2910">
        <v>1</v>
      </c>
      <c r="O2910" s="3">
        <v>5950</v>
      </c>
      <c r="P2910" s="3">
        <v>2243</v>
      </c>
      <c r="Q2910" s="5">
        <f t="shared" si="135"/>
        <v>5000</v>
      </c>
      <c r="R2910" s="5">
        <f t="shared" si="136"/>
        <v>2243</v>
      </c>
      <c r="S2910" s="5">
        <f t="shared" si="137"/>
        <v>2757</v>
      </c>
    </row>
    <row r="2911" spans="1:19" hidden="1" x14ac:dyDescent="0.3">
      <c r="A2911">
        <v>150</v>
      </c>
      <c r="B2911" t="s">
        <v>4361</v>
      </c>
      <c r="C2911" t="s">
        <v>4650</v>
      </c>
      <c r="D2911" s="2" t="s">
        <v>4651</v>
      </c>
      <c r="E2911" t="s">
        <v>3406</v>
      </c>
      <c r="F2911" t="s">
        <v>20</v>
      </c>
      <c r="G2911" t="s">
        <v>338</v>
      </c>
      <c r="H2911">
        <v>26825</v>
      </c>
      <c r="I2911" t="s">
        <v>23</v>
      </c>
      <c r="J2911" t="s">
        <v>35</v>
      </c>
      <c r="K2911" s="2" t="s">
        <v>2983</v>
      </c>
      <c r="L2911" t="s">
        <v>26</v>
      </c>
      <c r="M2911">
        <v>358352</v>
      </c>
      <c r="N2911">
        <v>1</v>
      </c>
      <c r="O2911" s="3">
        <v>79950</v>
      </c>
      <c r="P2911" s="3">
        <v>23119</v>
      </c>
      <c r="Q2911" s="5">
        <f t="shared" si="135"/>
        <v>67184.873949579836</v>
      </c>
      <c r="R2911" s="5">
        <f t="shared" si="136"/>
        <v>23119</v>
      </c>
      <c r="S2911" s="5">
        <f t="shared" si="137"/>
        <v>44065.873949579836</v>
      </c>
    </row>
    <row r="2912" spans="1:19" hidden="1" x14ac:dyDescent="0.3">
      <c r="A2912">
        <v>150</v>
      </c>
      <c r="B2912" t="s">
        <v>4361</v>
      </c>
      <c r="C2912" t="s">
        <v>3805</v>
      </c>
      <c r="D2912" s="2" t="s">
        <v>3806</v>
      </c>
      <c r="E2912" t="s">
        <v>3807</v>
      </c>
      <c r="F2912" t="s">
        <v>20</v>
      </c>
      <c r="G2912" t="s">
        <v>21</v>
      </c>
      <c r="H2912" t="s">
        <v>2782</v>
      </c>
      <c r="I2912" t="s">
        <v>23</v>
      </c>
      <c r="J2912" t="s">
        <v>40</v>
      </c>
      <c r="K2912" s="2" t="s">
        <v>2983</v>
      </c>
      <c r="L2912" t="s">
        <v>26</v>
      </c>
      <c r="M2912">
        <v>358353</v>
      </c>
      <c r="N2912">
        <v>1</v>
      </c>
      <c r="O2912" s="3">
        <v>69950</v>
      </c>
      <c r="P2912" s="3">
        <v>23697</v>
      </c>
      <c r="Q2912" s="5">
        <f t="shared" si="135"/>
        <v>58781.512605042022</v>
      </c>
      <c r="R2912" s="5">
        <f t="shared" si="136"/>
        <v>23697</v>
      </c>
      <c r="S2912" s="5">
        <f t="shared" si="137"/>
        <v>35084.512605042022</v>
      </c>
    </row>
    <row r="2913" spans="1:19" hidden="1" x14ac:dyDescent="0.3">
      <c r="A2913">
        <v>150</v>
      </c>
      <c r="B2913" t="s">
        <v>4361</v>
      </c>
      <c r="C2913" t="s">
        <v>2830</v>
      </c>
      <c r="D2913" s="2" t="s">
        <v>2831</v>
      </c>
      <c r="E2913" t="s">
        <v>1330</v>
      </c>
      <c r="F2913" t="s">
        <v>20</v>
      </c>
      <c r="G2913" t="s">
        <v>338</v>
      </c>
      <c r="H2913">
        <v>25133</v>
      </c>
      <c r="I2913" t="s">
        <v>23</v>
      </c>
      <c r="J2913" t="s">
        <v>35</v>
      </c>
      <c r="K2913" s="2" t="s">
        <v>2983</v>
      </c>
      <c r="L2913" t="s">
        <v>26</v>
      </c>
      <c r="M2913">
        <v>358354</v>
      </c>
      <c r="N2913">
        <v>1</v>
      </c>
      <c r="O2913" s="3">
        <v>63700</v>
      </c>
      <c r="P2913" s="3">
        <v>21167</v>
      </c>
      <c r="Q2913" s="5">
        <f t="shared" si="135"/>
        <v>53529.411764705888</v>
      </c>
      <c r="R2913" s="5">
        <f t="shared" si="136"/>
        <v>21167</v>
      </c>
      <c r="S2913" s="5">
        <f t="shared" si="137"/>
        <v>32362.411764705888</v>
      </c>
    </row>
    <row r="2914" spans="1:19" hidden="1" x14ac:dyDescent="0.3">
      <c r="A2914">
        <v>150</v>
      </c>
      <c r="B2914" t="s">
        <v>4361</v>
      </c>
      <c r="C2914" t="s">
        <v>3200</v>
      </c>
      <c r="D2914" s="2" t="s">
        <v>3201</v>
      </c>
      <c r="E2914" t="s">
        <v>3202</v>
      </c>
      <c r="F2914" t="s">
        <v>20</v>
      </c>
      <c r="G2914" t="s">
        <v>338</v>
      </c>
      <c r="H2914">
        <v>25702</v>
      </c>
      <c r="I2914" t="s">
        <v>23</v>
      </c>
      <c r="J2914" t="s">
        <v>35</v>
      </c>
      <c r="K2914" s="2" t="s">
        <v>2983</v>
      </c>
      <c r="L2914" t="s">
        <v>26</v>
      </c>
      <c r="M2914">
        <v>358354</v>
      </c>
      <c r="N2914">
        <v>1</v>
      </c>
      <c r="O2914" s="3">
        <v>109950</v>
      </c>
      <c r="P2914" s="3">
        <v>34974</v>
      </c>
      <c r="Q2914" s="5">
        <f t="shared" si="135"/>
        <v>92394.957983193279</v>
      </c>
      <c r="R2914" s="5">
        <f t="shared" si="136"/>
        <v>34974</v>
      </c>
      <c r="S2914" s="5">
        <f t="shared" si="137"/>
        <v>57420.957983193279</v>
      </c>
    </row>
    <row r="2915" spans="1:19" hidden="1" x14ac:dyDescent="0.3">
      <c r="A2915">
        <v>150</v>
      </c>
      <c r="B2915" t="s">
        <v>4361</v>
      </c>
      <c r="C2915" t="s">
        <v>4652</v>
      </c>
      <c r="D2915" s="2" t="s">
        <v>4653</v>
      </c>
      <c r="E2915" t="s">
        <v>2787</v>
      </c>
      <c r="F2915" t="s">
        <v>20</v>
      </c>
      <c r="G2915" t="s">
        <v>21</v>
      </c>
      <c r="H2915" t="s">
        <v>1286</v>
      </c>
      <c r="I2915" t="s">
        <v>23</v>
      </c>
      <c r="J2915" t="s">
        <v>40</v>
      </c>
      <c r="K2915" s="2" t="s">
        <v>2983</v>
      </c>
      <c r="L2915" t="s">
        <v>26</v>
      </c>
      <c r="M2915">
        <v>358355</v>
      </c>
      <c r="N2915">
        <v>1</v>
      </c>
      <c r="O2915" s="3">
        <v>49990</v>
      </c>
      <c r="P2915" s="3">
        <v>24783</v>
      </c>
      <c r="Q2915" s="5">
        <f t="shared" si="135"/>
        <v>42008.403361344543</v>
      </c>
      <c r="R2915" s="5">
        <f t="shared" si="136"/>
        <v>24783</v>
      </c>
      <c r="S2915" s="5">
        <f t="shared" si="137"/>
        <v>17225.403361344543</v>
      </c>
    </row>
    <row r="2916" spans="1:19" hidden="1" x14ac:dyDescent="0.3">
      <c r="A2916">
        <v>150</v>
      </c>
      <c r="B2916" t="s">
        <v>4361</v>
      </c>
      <c r="C2916" t="s">
        <v>4545</v>
      </c>
      <c r="D2916" s="2" t="s">
        <v>4546</v>
      </c>
      <c r="E2916" t="s">
        <v>4547</v>
      </c>
      <c r="F2916" t="s">
        <v>20</v>
      </c>
      <c r="G2916" t="s">
        <v>21</v>
      </c>
      <c r="H2916" t="s">
        <v>285</v>
      </c>
      <c r="I2916" t="s">
        <v>23</v>
      </c>
      <c r="J2916" t="s">
        <v>49</v>
      </c>
      <c r="K2916" s="2" t="s">
        <v>2983</v>
      </c>
      <c r="L2916" t="s">
        <v>26</v>
      </c>
      <c r="M2916">
        <v>358356</v>
      </c>
      <c r="N2916">
        <v>1</v>
      </c>
      <c r="O2916" s="3">
        <v>59990</v>
      </c>
      <c r="P2916" s="3">
        <v>29464</v>
      </c>
      <c r="Q2916" s="5">
        <f t="shared" si="135"/>
        <v>50411.764705882357</v>
      </c>
      <c r="R2916" s="5">
        <f t="shared" si="136"/>
        <v>29464</v>
      </c>
      <c r="S2916" s="5">
        <f t="shared" si="137"/>
        <v>20947.764705882357</v>
      </c>
    </row>
    <row r="2917" spans="1:19" hidden="1" x14ac:dyDescent="0.3">
      <c r="A2917">
        <v>150</v>
      </c>
      <c r="B2917" t="s">
        <v>4361</v>
      </c>
      <c r="C2917" t="s">
        <v>4654</v>
      </c>
      <c r="D2917" s="2" t="s">
        <v>4655</v>
      </c>
      <c r="E2917" t="s">
        <v>2110</v>
      </c>
      <c r="F2917" t="s">
        <v>20</v>
      </c>
      <c r="G2917" t="s">
        <v>21</v>
      </c>
      <c r="H2917" t="s">
        <v>22</v>
      </c>
      <c r="I2917" t="s">
        <v>23</v>
      </c>
      <c r="J2917" t="s">
        <v>24</v>
      </c>
      <c r="K2917" s="2" t="s">
        <v>2983</v>
      </c>
      <c r="L2917" t="s">
        <v>26</v>
      </c>
      <c r="M2917">
        <v>358357</v>
      </c>
      <c r="N2917">
        <v>1</v>
      </c>
      <c r="O2917" s="3">
        <v>79950</v>
      </c>
      <c r="P2917" s="3">
        <v>27748</v>
      </c>
      <c r="Q2917" s="5">
        <f t="shared" si="135"/>
        <v>67184.873949579836</v>
      </c>
      <c r="R2917" s="5">
        <f t="shared" si="136"/>
        <v>27748</v>
      </c>
      <c r="S2917" s="5">
        <f t="shared" si="137"/>
        <v>39436.873949579836</v>
      </c>
    </row>
    <row r="2918" spans="1:19" hidden="1" x14ac:dyDescent="0.3">
      <c r="A2918">
        <v>150</v>
      </c>
      <c r="B2918" t="s">
        <v>4361</v>
      </c>
      <c r="C2918" t="s">
        <v>2341</v>
      </c>
      <c r="D2918" s="2" t="s">
        <v>2342</v>
      </c>
      <c r="E2918" t="s">
        <v>2343</v>
      </c>
      <c r="F2918" t="s">
        <v>20</v>
      </c>
      <c r="G2918" t="s">
        <v>338</v>
      </c>
      <c r="H2918">
        <v>23723</v>
      </c>
      <c r="I2918" t="s">
        <v>23</v>
      </c>
      <c r="J2918" t="s">
        <v>40</v>
      </c>
      <c r="K2918" s="2" t="s">
        <v>2983</v>
      </c>
      <c r="L2918" t="s">
        <v>26</v>
      </c>
      <c r="M2918">
        <v>358358</v>
      </c>
      <c r="N2918">
        <v>1</v>
      </c>
      <c r="O2918" s="3">
        <v>79990</v>
      </c>
      <c r="P2918" s="3">
        <v>35178</v>
      </c>
      <c r="Q2918" s="5">
        <f t="shared" si="135"/>
        <v>67218.487394957992</v>
      </c>
      <c r="R2918" s="5">
        <f t="shared" si="136"/>
        <v>35178</v>
      </c>
      <c r="S2918" s="5">
        <f t="shared" si="137"/>
        <v>32040.487394957992</v>
      </c>
    </row>
    <row r="2919" spans="1:19" hidden="1" x14ac:dyDescent="0.3">
      <c r="A2919">
        <v>150</v>
      </c>
      <c r="B2919" t="s">
        <v>4361</v>
      </c>
      <c r="C2919" t="s">
        <v>2193</v>
      </c>
      <c r="D2919" s="2" t="s">
        <v>2194</v>
      </c>
      <c r="E2919" t="s">
        <v>2195</v>
      </c>
      <c r="F2919" t="s">
        <v>20</v>
      </c>
      <c r="G2919" t="s">
        <v>338</v>
      </c>
      <c r="H2919">
        <v>24722</v>
      </c>
      <c r="I2919" t="s">
        <v>23</v>
      </c>
      <c r="J2919" t="s">
        <v>95</v>
      </c>
      <c r="K2919" s="2" t="s">
        <v>2983</v>
      </c>
      <c r="L2919" t="s">
        <v>26</v>
      </c>
      <c r="M2919">
        <v>358358</v>
      </c>
      <c r="N2919">
        <v>1</v>
      </c>
      <c r="O2919" s="3">
        <v>89950</v>
      </c>
      <c r="P2919" s="3">
        <v>30987</v>
      </c>
      <c r="Q2919" s="5">
        <f t="shared" si="135"/>
        <v>75588.23529411765</v>
      </c>
      <c r="R2919" s="5">
        <f t="shared" si="136"/>
        <v>30987</v>
      </c>
      <c r="S2919" s="5">
        <f t="shared" si="137"/>
        <v>44601.23529411765</v>
      </c>
    </row>
    <row r="2920" spans="1:19" hidden="1" x14ac:dyDescent="0.3">
      <c r="A2920">
        <v>150</v>
      </c>
      <c r="B2920" t="s">
        <v>4361</v>
      </c>
      <c r="C2920" t="s">
        <v>3166</v>
      </c>
      <c r="D2920" s="2" t="s">
        <v>3167</v>
      </c>
      <c r="E2920" t="s">
        <v>3168</v>
      </c>
      <c r="F2920" t="s">
        <v>20</v>
      </c>
      <c r="G2920" t="s">
        <v>338</v>
      </c>
      <c r="H2920">
        <v>23731</v>
      </c>
      <c r="I2920" t="s">
        <v>23</v>
      </c>
      <c r="J2920" t="s">
        <v>40</v>
      </c>
      <c r="K2920" s="2" t="s">
        <v>2983</v>
      </c>
      <c r="L2920" t="s">
        <v>26</v>
      </c>
      <c r="M2920">
        <v>358359</v>
      </c>
      <c r="N2920">
        <v>1</v>
      </c>
      <c r="O2920" s="3">
        <v>69950</v>
      </c>
      <c r="P2920" s="3">
        <v>23119</v>
      </c>
      <c r="Q2920" s="5">
        <f t="shared" si="135"/>
        <v>58781.512605042022</v>
      </c>
      <c r="R2920" s="5">
        <f t="shared" si="136"/>
        <v>23119</v>
      </c>
      <c r="S2920" s="5">
        <f t="shared" si="137"/>
        <v>35662.512605042022</v>
      </c>
    </row>
    <row r="2921" spans="1:19" hidden="1" x14ac:dyDescent="0.3">
      <c r="A2921">
        <v>150</v>
      </c>
      <c r="B2921" t="s">
        <v>4361</v>
      </c>
      <c r="C2921" t="s">
        <v>4067</v>
      </c>
      <c r="D2921" s="2" t="s">
        <v>4068</v>
      </c>
      <c r="E2921" t="s">
        <v>3323</v>
      </c>
      <c r="F2921" t="s">
        <v>20</v>
      </c>
      <c r="G2921" t="s">
        <v>21</v>
      </c>
      <c r="H2921" t="s">
        <v>625</v>
      </c>
      <c r="I2921" t="s">
        <v>23</v>
      </c>
      <c r="J2921" t="s">
        <v>35</v>
      </c>
      <c r="K2921" s="2" t="s">
        <v>2983</v>
      </c>
      <c r="L2921" t="s">
        <v>26</v>
      </c>
      <c r="M2921">
        <v>358360</v>
      </c>
      <c r="N2921">
        <v>1</v>
      </c>
      <c r="O2921" s="3">
        <v>49990</v>
      </c>
      <c r="P2921" s="3">
        <v>24956</v>
      </c>
      <c r="Q2921" s="5">
        <f t="shared" si="135"/>
        <v>42008.403361344543</v>
      </c>
      <c r="R2921" s="5">
        <f t="shared" si="136"/>
        <v>24956</v>
      </c>
      <c r="S2921" s="5">
        <f t="shared" si="137"/>
        <v>17052.403361344543</v>
      </c>
    </row>
    <row r="2922" spans="1:19" hidden="1" x14ac:dyDescent="0.3">
      <c r="A2922">
        <v>150</v>
      </c>
      <c r="B2922" t="s">
        <v>4361</v>
      </c>
      <c r="C2922" t="s">
        <v>4656</v>
      </c>
      <c r="D2922" s="2" t="s">
        <v>4657</v>
      </c>
      <c r="E2922" t="s">
        <v>4484</v>
      </c>
      <c r="F2922" t="s">
        <v>20</v>
      </c>
      <c r="G2922" t="s">
        <v>21</v>
      </c>
      <c r="H2922" t="s">
        <v>958</v>
      </c>
      <c r="I2922" t="s">
        <v>23</v>
      </c>
      <c r="J2922" t="s">
        <v>40</v>
      </c>
      <c r="K2922" s="2" t="s">
        <v>2983</v>
      </c>
      <c r="L2922" t="s">
        <v>26</v>
      </c>
      <c r="M2922">
        <v>358361</v>
      </c>
      <c r="N2922">
        <v>1</v>
      </c>
      <c r="O2922" s="3">
        <v>34990</v>
      </c>
      <c r="P2922" s="3">
        <v>15744</v>
      </c>
      <c r="Q2922" s="5">
        <f t="shared" si="135"/>
        <v>29403.361344537818</v>
      </c>
      <c r="R2922" s="5">
        <f t="shared" si="136"/>
        <v>15744</v>
      </c>
      <c r="S2922" s="5">
        <f t="shared" si="137"/>
        <v>13659.361344537818</v>
      </c>
    </row>
    <row r="2923" spans="1:19" hidden="1" x14ac:dyDescent="0.3">
      <c r="A2923">
        <v>150</v>
      </c>
      <c r="B2923" t="s">
        <v>4361</v>
      </c>
      <c r="C2923" t="s">
        <v>2365</v>
      </c>
      <c r="D2923" s="2" t="s">
        <v>2366</v>
      </c>
      <c r="E2923" t="s">
        <v>2367</v>
      </c>
      <c r="F2923" t="s">
        <v>377</v>
      </c>
      <c r="G2923" t="s">
        <v>21</v>
      </c>
      <c r="H2923" t="s">
        <v>378</v>
      </c>
      <c r="I2923" t="s">
        <v>23</v>
      </c>
      <c r="J2923" t="s">
        <v>379</v>
      </c>
      <c r="K2923" s="2" t="s">
        <v>2983</v>
      </c>
      <c r="L2923" t="s">
        <v>26</v>
      </c>
      <c r="M2923">
        <v>358361</v>
      </c>
      <c r="N2923">
        <v>1</v>
      </c>
      <c r="O2923" s="3">
        <v>6950</v>
      </c>
      <c r="P2923" s="3">
        <v>3759</v>
      </c>
      <c r="Q2923" s="5">
        <f t="shared" si="135"/>
        <v>5840.3361344537816</v>
      </c>
      <c r="R2923" s="5">
        <f t="shared" si="136"/>
        <v>3759</v>
      </c>
      <c r="S2923" s="5">
        <f t="shared" si="137"/>
        <v>2081.3361344537816</v>
      </c>
    </row>
    <row r="2924" spans="1:19" hidden="1" x14ac:dyDescent="0.3">
      <c r="A2924">
        <v>150</v>
      </c>
      <c r="B2924" t="s">
        <v>4361</v>
      </c>
      <c r="C2924" t="s">
        <v>4658</v>
      </c>
      <c r="D2924" s="2" t="s">
        <v>4659</v>
      </c>
      <c r="E2924" t="s">
        <v>3518</v>
      </c>
      <c r="F2924" t="s">
        <v>20</v>
      </c>
      <c r="G2924" t="s">
        <v>21</v>
      </c>
      <c r="H2924" t="s">
        <v>1124</v>
      </c>
      <c r="I2924" t="s">
        <v>23</v>
      </c>
      <c r="J2924" t="s">
        <v>35</v>
      </c>
      <c r="K2924" s="2" t="s">
        <v>2983</v>
      </c>
      <c r="L2924" t="s">
        <v>26</v>
      </c>
      <c r="M2924">
        <v>358362</v>
      </c>
      <c r="N2924">
        <v>1</v>
      </c>
      <c r="O2924" s="3">
        <v>56210</v>
      </c>
      <c r="P2924" s="3">
        <v>28478</v>
      </c>
      <c r="Q2924" s="5">
        <f t="shared" si="135"/>
        <v>47235.294117647063</v>
      </c>
      <c r="R2924" s="5">
        <f t="shared" si="136"/>
        <v>28478</v>
      </c>
      <c r="S2924" s="5">
        <f t="shared" si="137"/>
        <v>18757.294117647063</v>
      </c>
    </row>
    <row r="2925" spans="1:19" hidden="1" x14ac:dyDescent="0.3">
      <c r="A2925">
        <v>150</v>
      </c>
      <c r="B2925" t="s">
        <v>4361</v>
      </c>
      <c r="C2925">
        <v>1687976791</v>
      </c>
      <c r="D2925" s="2" t="s">
        <v>200</v>
      </c>
      <c r="E2925" t="s">
        <v>201</v>
      </c>
      <c r="F2925" t="s">
        <v>201</v>
      </c>
      <c r="G2925" t="s">
        <v>202</v>
      </c>
      <c r="H2925" t="s">
        <v>202</v>
      </c>
      <c r="I2925" t="s">
        <v>23</v>
      </c>
      <c r="J2925" t="s">
        <v>202</v>
      </c>
      <c r="K2925" s="2" t="s">
        <v>3074</v>
      </c>
      <c r="L2925" t="s">
        <v>26</v>
      </c>
      <c r="M2925">
        <v>358363</v>
      </c>
      <c r="N2925">
        <v>1</v>
      </c>
      <c r="O2925" s="3">
        <v>5691</v>
      </c>
      <c r="P2925">
        <v>1</v>
      </c>
      <c r="Q2925" s="5">
        <f t="shared" si="135"/>
        <v>4782.3529411764712</v>
      </c>
      <c r="R2925" s="5">
        <f t="shared" si="136"/>
        <v>1</v>
      </c>
      <c r="S2925" s="5">
        <f t="shared" si="137"/>
        <v>4781.3529411764712</v>
      </c>
    </row>
    <row r="2926" spans="1:19" hidden="1" x14ac:dyDescent="0.3">
      <c r="A2926">
        <v>150</v>
      </c>
      <c r="B2926" t="s">
        <v>4361</v>
      </c>
      <c r="C2926" t="s">
        <v>2674</v>
      </c>
      <c r="D2926" s="2" t="s">
        <v>2675</v>
      </c>
      <c r="E2926" t="s">
        <v>2143</v>
      </c>
      <c r="F2926" t="s">
        <v>20</v>
      </c>
      <c r="G2926" t="s">
        <v>338</v>
      </c>
      <c r="H2926">
        <v>23732</v>
      </c>
      <c r="I2926" t="s">
        <v>23</v>
      </c>
      <c r="J2926" t="s">
        <v>40</v>
      </c>
      <c r="K2926" s="2" t="s">
        <v>3074</v>
      </c>
      <c r="L2926" t="s">
        <v>26</v>
      </c>
      <c r="M2926">
        <v>358363</v>
      </c>
      <c r="N2926">
        <v>1</v>
      </c>
      <c r="O2926" s="3">
        <v>59990</v>
      </c>
      <c r="P2926" s="3">
        <v>26539</v>
      </c>
      <c r="Q2926" s="5">
        <f t="shared" si="135"/>
        <v>50411.764705882357</v>
      </c>
      <c r="R2926" s="5">
        <f t="shared" si="136"/>
        <v>26539</v>
      </c>
      <c r="S2926" s="5">
        <f t="shared" si="137"/>
        <v>23872.764705882357</v>
      </c>
    </row>
    <row r="2927" spans="1:19" hidden="1" x14ac:dyDescent="0.3">
      <c r="A2927">
        <v>150</v>
      </c>
      <c r="B2927" t="s">
        <v>4361</v>
      </c>
      <c r="C2927" t="s">
        <v>4530</v>
      </c>
      <c r="D2927" s="2" t="s">
        <v>4531</v>
      </c>
      <c r="E2927" t="s">
        <v>467</v>
      </c>
      <c r="F2927" t="s">
        <v>20</v>
      </c>
      <c r="G2927" t="s">
        <v>21</v>
      </c>
      <c r="H2927" t="s">
        <v>171</v>
      </c>
      <c r="I2927" t="s">
        <v>23</v>
      </c>
      <c r="J2927" t="s">
        <v>40</v>
      </c>
      <c r="K2927" s="2" t="s">
        <v>3074</v>
      </c>
      <c r="L2927" t="s">
        <v>26</v>
      </c>
      <c r="M2927">
        <v>358364</v>
      </c>
      <c r="N2927">
        <v>1</v>
      </c>
      <c r="O2927" s="3">
        <v>59990</v>
      </c>
      <c r="P2927" s="3">
        <v>29948</v>
      </c>
      <c r="Q2927" s="5">
        <f t="shared" si="135"/>
        <v>50411.764705882357</v>
      </c>
      <c r="R2927" s="5">
        <f t="shared" si="136"/>
        <v>29948</v>
      </c>
      <c r="S2927" s="5">
        <f t="shared" si="137"/>
        <v>20463.764705882357</v>
      </c>
    </row>
    <row r="2928" spans="1:19" hidden="1" x14ac:dyDescent="0.3">
      <c r="A2928">
        <v>150</v>
      </c>
      <c r="B2928" t="s">
        <v>4361</v>
      </c>
      <c r="C2928" t="s">
        <v>1037</v>
      </c>
      <c r="D2928" s="2" t="s">
        <v>1038</v>
      </c>
      <c r="E2928" t="s">
        <v>1039</v>
      </c>
      <c r="F2928" t="s">
        <v>377</v>
      </c>
      <c r="G2928" t="s">
        <v>21</v>
      </c>
      <c r="H2928" t="s">
        <v>378</v>
      </c>
      <c r="I2928" t="s">
        <v>23</v>
      </c>
      <c r="J2928" t="s">
        <v>379</v>
      </c>
      <c r="K2928" s="2" t="s">
        <v>3074</v>
      </c>
      <c r="L2928" t="s">
        <v>26</v>
      </c>
      <c r="M2928">
        <v>358365</v>
      </c>
      <c r="N2928">
        <v>1</v>
      </c>
      <c r="O2928" s="3">
        <v>5950</v>
      </c>
      <c r="P2928" s="3">
        <v>3257</v>
      </c>
      <c r="Q2928" s="5">
        <f t="shared" si="135"/>
        <v>5000</v>
      </c>
      <c r="R2928" s="5">
        <f t="shared" si="136"/>
        <v>3257</v>
      </c>
      <c r="S2928" s="5">
        <f t="shared" si="137"/>
        <v>1743</v>
      </c>
    </row>
    <row r="2929" spans="1:19" hidden="1" x14ac:dyDescent="0.3">
      <c r="A2929">
        <v>150</v>
      </c>
      <c r="B2929" t="s">
        <v>4361</v>
      </c>
      <c r="C2929" t="s">
        <v>3547</v>
      </c>
      <c r="D2929" s="2" t="s">
        <v>3548</v>
      </c>
      <c r="E2929" t="s">
        <v>3549</v>
      </c>
      <c r="F2929" t="s">
        <v>377</v>
      </c>
      <c r="G2929" t="s">
        <v>21</v>
      </c>
      <c r="H2929" t="s">
        <v>378</v>
      </c>
      <c r="I2929" t="s">
        <v>23</v>
      </c>
      <c r="J2929" t="s">
        <v>379</v>
      </c>
      <c r="K2929" s="2" t="s">
        <v>3074</v>
      </c>
      <c r="L2929" t="s">
        <v>26</v>
      </c>
      <c r="M2929">
        <v>358366</v>
      </c>
      <c r="N2929">
        <v>1</v>
      </c>
      <c r="O2929" s="3">
        <v>5950</v>
      </c>
      <c r="P2929" s="3">
        <v>3184</v>
      </c>
      <c r="Q2929" s="5">
        <f t="shared" si="135"/>
        <v>5000</v>
      </c>
      <c r="R2929" s="5">
        <f t="shared" si="136"/>
        <v>3184</v>
      </c>
      <c r="S2929" s="5">
        <f t="shared" si="137"/>
        <v>1816</v>
      </c>
    </row>
    <row r="2930" spans="1:19" hidden="1" x14ac:dyDescent="0.3">
      <c r="A2930">
        <v>150</v>
      </c>
      <c r="B2930" t="s">
        <v>4361</v>
      </c>
      <c r="C2930" t="s">
        <v>3273</v>
      </c>
      <c r="D2930" s="2" t="s">
        <v>3274</v>
      </c>
      <c r="E2930" t="s">
        <v>499</v>
      </c>
      <c r="F2930" t="s">
        <v>20</v>
      </c>
      <c r="G2930" t="s">
        <v>21</v>
      </c>
      <c r="H2930" t="s">
        <v>500</v>
      </c>
      <c r="I2930" t="s">
        <v>23</v>
      </c>
      <c r="J2930" t="s">
        <v>40</v>
      </c>
      <c r="K2930" s="2" t="s">
        <v>3074</v>
      </c>
      <c r="L2930" t="s">
        <v>26</v>
      </c>
      <c r="M2930">
        <v>358367</v>
      </c>
      <c r="N2930">
        <v>1</v>
      </c>
      <c r="O2930" s="3">
        <v>59950</v>
      </c>
      <c r="P2930" s="3">
        <v>17416</v>
      </c>
      <c r="Q2930" s="5">
        <f t="shared" si="135"/>
        <v>50378.151260504201</v>
      </c>
      <c r="R2930" s="5">
        <f t="shared" si="136"/>
        <v>17416</v>
      </c>
      <c r="S2930" s="5">
        <f t="shared" si="137"/>
        <v>32962.151260504201</v>
      </c>
    </row>
    <row r="2931" spans="1:19" hidden="1" x14ac:dyDescent="0.3">
      <c r="A2931">
        <v>150</v>
      </c>
      <c r="B2931" t="s">
        <v>4361</v>
      </c>
      <c r="C2931" t="s">
        <v>3007</v>
      </c>
      <c r="D2931" s="2" t="s">
        <v>3008</v>
      </c>
      <c r="E2931" t="s">
        <v>2986</v>
      </c>
      <c r="F2931" t="s">
        <v>20</v>
      </c>
      <c r="G2931" t="s">
        <v>21</v>
      </c>
      <c r="H2931" t="s">
        <v>267</v>
      </c>
      <c r="I2931" t="s">
        <v>23</v>
      </c>
      <c r="J2931" t="s">
        <v>35</v>
      </c>
      <c r="K2931" s="2" t="s">
        <v>3074</v>
      </c>
      <c r="L2931" t="s">
        <v>26</v>
      </c>
      <c r="M2931">
        <v>358368</v>
      </c>
      <c r="N2931">
        <v>1</v>
      </c>
      <c r="O2931" s="3">
        <v>59990</v>
      </c>
      <c r="P2931" s="3">
        <v>24733</v>
      </c>
      <c r="Q2931" s="5">
        <f t="shared" si="135"/>
        <v>50411.764705882357</v>
      </c>
      <c r="R2931" s="5">
        <f t="shared" si="136"/>
        <v>24733</v>
      </c>
      <c r="S2931" s="5">
        <f t="shared" si="137"/>
        <v>25678.764705882357</v>
      </c>
    </row>
    <row r="2932" spans="1:19" hidden="1" x14ac:dyDescent="0.3">
      <c r="A2932">
        <v>150</v>
      </c>
      <c r="B2932" t="s">
        <v>4361</v>
      </c>
      <c r="C2932" t="s">
        <v>4067</v>
      </c>
      <c r="D2932" s="2" t="s">
        <v>4068</v>
      </c>
      <c r="E2932" t="s">
        <v>3323</v>
      </c>
      <c r="F2932" t="s">
        <v>20</v>
      </c>
      <c r="G2932" t="s">
        <v>21</v>
      </c>
      <c r="H2932" t="s">
        <v>625</v>
      </c>
      <c r="I2932" t="s">
        <v>23</v>
      </c>
      <c r="J2932" t="s">
        <v>35</v>
      </c>
      <c r="K2932" s="2" t="s">
        <v>3074</v>
      </c>
      <c r="L2932" t="s">
        <v>26</v>
      </c>
      <c r="M2932">
        <v>358368</v>
      </c>
      <c r="N2932">
        <v>-1</v>
      </c>
      <c r="O2932" s="3">
        <v>-49990</v>
      </c>
      <c r="P2932" s="3">
        <v>24956</v>
      </c>
      <c r="Q2932" s="5">
        <f t="shared" si="135"/>
        <v>-42008.403361344543</v>
      </c>
      <c r="R2932" s="5">
        <f t="shared" si="136"/>
        <v>-24956</v>
      </c>
      <c r="S2932" s="5">
        <f t="shared" si="137"/>
        <v>-17052.403361344543</v>
      </c>
    </row>
    <row r="2933" spans="1:19" hidden="1" x14ac:dyDescent="0.3">
      <c r="A2933">
        <v>150</v>
      </c>
      <c r="B2933" t="s">
        <v>4361</v>
      </c>
      <c r="C2933" t="s">
        <v>2525</v>
      </c>
      <c r="D2933" s="2" t="s">
        <v>2526</v>
      </c>
      <c r="E2933" t="s">
        <v>2527</v>
      </c>
      <c r="F2933" t="s">
        <v>377</v>
      </c>
      <c r="G2933" t="s">
        <v>21</v>
      </c>
      <c r="H2933" t="s">
        <v>378</v>
      </c>
      <c r="I2933" t="s">
        <v>23</v>
      </c>
      <c r="J2933" t="s">
        <v>2459</v>
      </c>
      <c r="K2933" s="2" t="s">
        <v>3074</v>
      </c>
      <c r="L2933" t="s">
        <v>26</v>
      </c>
      <c r="M2933">
        <v>358369</v>
      </c>
      <c r="N2933">
        <v>1</v>
      </c>
      <c r="O2933" s="3">
        <v>6950</v>
      </c>
      <c r="P2933" s="3">
        <v>2964</v>
      </c>
      <c r="Q2933" s="5">
        <f t="shared" si="135"/>
        <v>5840.3361344537816</v>
      </c>
      <c r="R2933" s="5">
        <f t="shared" si="136"/>
        <v>2964</v>
      </c>
      <c r="S2933" s="5">
        <f t="shared" si="137"/>
        <v>2876.3361344537816</v>
      </c>
    </row>
    <row r="2934" spans="1:19" hidden="1" x14ac:dyDescent="0.3">
      <c r="A2934">
        <v>150</v>
      </c>
      <c r="B2934" t="s">
        <v>4361</v>
      </c>
      <c r="C2934" t="s">
        <v>4660</v>
      </c>
      <c r="D2934" s="2" t="s">
        <v>4661</v>
      </c>
      <c r="E2934" t="s">
        <v>4662</v>
      </c>
      <c r="F2934" t="s">
        <v>20</v>
      </c>
      <c r="G2934" t="s">
        <v>21</v>
      </c>
      <c r="H2934" t="s">
        <v>2745</v>
      </c>
      <c r="I2934" t="s">
        <v>23</v>
      </c>
      <c r="J2934" t="s">
        <v>35</v>
      </c>
      <c r="K2934" s="2" t="s">
        <v>3074</v>
      </c>
      <c r="L2934" t="s">
        <v>26</v>
      </c>
      <c r="M2934">
        <v>358370</v>
      </c>
      <c r="N2934">
        <v>1</v>
      </c>
      <c r="O2934" s="3">
        <v>99950</v>
      </c>
      <c r="P2934" s="3">
        <v>33200</v>
      </c>
      <c r="Q2934" s="5">
        <f t="shared" si="135"/>
        <v>83991.596638655465</v>
      </c>
      <c r="R2934" s="5">
        <f t="shared" si="136"/>
        <v>33200</v>
      </c>
      <c r="S2934" s="5">
        <f t="shared" si="137"/>
        <v>50791.596638655465</v>
      </c>
    </row>
    <row r="2935" spans="1:19" hidden="1" x14ac:dyDescent="0.3">
      <c r="A2935">
        <v>150</v>
      </c>
      <c r="B2935" t="s">
        <v>4361</v>
      </c>
      <c r="C2935" t="s">
        <v>3333</v>
      </c>
      <c r="D2935" s="2" t="s">
        <v>3334</v>
      </c>
      <c r="E2935" t="s">
        <v>3335</v>
      </c>
      <c r="F2935" t="s">
        <v>20</v>
      </c>
      <c r="G2935" t="s">
        <v>338</v>
      </c>
      <c r="H2935">
        <v>25273</v>
      </c>
      <c r="I2935" t="s">
        <v>23</v>
      </c>
      <c r="J2935" t="s">
        <v>35</v>
      </c>
      <c r="K2935" s="2" t="s">
        <v>3074</v>
      </c>
      <c r="L2935" t="s">
        <v>26</v>
      </c>
      <c r="M2935">
        <v>358371</v>
      </c>
      <c r="N2935">
        <v>1</v>
      </c>
      <c r="O2935" s="3">
        <v>99950</v>
      </c>
      <c r="P2935" s="3">
        <v>32658</v>
      </c>
      <c r="Q2935" s="5">
        <f t="shared" si="135"/>
        <v>83991.596638655465</v>
      </c>
      <c r="R2935" s="5">
        <f t="shared" si="136"/>
        <v>32658</v>
      </c>
      <c r="S2935" s="5">
        <f t="shared" si="137"/>
        <v>51333.596638655465</v>
      </c>
    </row>
    <row r="2936" spans="1:19" hidden="1" x14ac:dyDescent="0.3">
      <c r="A2936">
        <v>150</v>
      </c>
      <c r="B2936" t="s">
        <v>4361</v>
      </c>
      <c r="C2936" t="s">
        <v>2957</v>
      </c>
      <c r="D2936" s="2" t="s">
        <v>2958</v>
      </c>
      <c r="E2936" t="s">
        <v>2959</v>
      </c>
      <c r="F2936" t="s">
        <v>20</v>
      </c>
      <c r="G2936" t="s">
        <v>338</v>
      </c>
      <c r="H2936">
        <v>25529</v>
      </c>
      <c r="I2936" t="s">
        <v>23</v>
      </c>
      <c r="J2936" t="s">
        <v>31</v>
      </c>
      <c r="K2936" s="2" t="s">
        <v>3074</v>
      </c>
      <c r="L2936" t="s">
        <v>26</v>
      </c>
      <c r="M2936">
        <v>358372</v>
      </c>
      <c r="N2936">
        <v>1</v>
      </c>
      <c r="O2936" s="3">
        <v>149950</v>
      </c>
      <c r="P2936" s="3">
        <v>50690</v>
      </c>
      <c r="Q2936" s="5">
        <f t="shared" si="135"/>
        <v>126008.40336134455</v>
      </c>
      <c r="R2936" s="5">
        <f t="shared" si="136"/>
        <v>50690</v>
      </c>
      <c r="S2936" s="5">
        <f t="shared" si="137"/>
        <v>75318.40336134455</v>
      </c>
    </row>
    <row r="2937" spans="1:19" hidden="1" x14ac:dyDescent="0.3">
      <c r="A2937">
        <v>150</v>
      </c>
      <c r="B2937" t="s">
        <v>4361</v>
      </c>
      <c r="C2937" t="s">
        <v>4663</v>
      </c>
      <c r="D2937" s="2" t="s">
        <v>4664</v>
      </c>
      <c r="E2937" t="s">
        <v>4280</v>
      </c>
      <c r="F2937" t="s">
        <v>20</v>
      </c>
      <c r="G2937" t="s">
        <v>21</v>
      </c>
      <c r="H2937" t="s">
        <v>3128</v>
      </c>
      <c r="I2937" t="s">
        <v>23</v>
      </c>
      <c r="J2937" t="s">
        <v>35</v>
      </c>
      <c r="K2937" s="2" t="s">
        <v>3074</v>
      </c>
      <c r="L2937" t="s">
        <v>26</v>
      </c>
      <c r="M2937">
        <v>358373</v>
      </c>
      <c r="N2937">
        <v>1</v>
      </c>
      <c r="O2937" s="3">
        <v>84950</v>
      </c>
      <c r="P2937" s="3">
        <v>29189</v>
      </c>
      <c r="Q2937" s="5">
        <f t="shared" si="135"/>
        <v>71386.554621848743</v>
      </c>
      <c r="R2937" s="5">
        <f t="shared" si="136"/>
        <v>29189</v>
      </c>
      <c r="S2937" s="5">
        <f t="shared" si="137"/>
        <v>42197.554621848743</v>
      </c>
    </row>
    <row r="2938" spans="1:19" hidden="1" x14ac:dyDescent="0.3">
      <c r="A2938">
        <v>150</v>
      </c>
      <c r="B2938" t="s">
        <v>4361</v>
      </c>
      <c r="C2938" t="s">
        <v>2760</v>
      </c>
      <c r="D2938" s="2" t="s">
        <v>2761</v>
      </c>
      <c r="E2938" t="s">
        <v>1443</v>
      </c>
      <c r="F2938" t="s">
        <v>20</v>
      </c>
      <c r="G2938" t="s">
        <v>338</v>
      </c>
      <c r="H2938">
        <v>25301</v>
      </c>
      <c r="I2938" t="s">
        <v>23</v>
      </c>
      <c r="J2938" t="s">
        <v>35</v>
      </c>
      <c r="K2938" s="2" t="s">
        <v>3074</v>
      </c>
      <c r="L2938" t="s">
        <v>26</v>
      </c>
      <c r="M2938">
        <v>358374</v>
      </c>
      <c r="N2938">
        <v>1</v>
      </c>
      <c r="O2938" s="3">
        <v>99950</v>
      </c>
      <c r="P2938" s="3">
        <v>34157</v>
      </c>
      <c r="Q2938" s="5">
        <f t="shared" si="135"/>
        <v>83991.596638655465</v>
      </c>
      <c r="R2938" s="5">
        <f t="shared" si="136"/>
        <v>34157</v>
      </c>
      <c r="S2938" s="5">
        <f t="shared" si="137"/>
        <v>49834.596638655465</v>
      </c>
    </row>
    <row r="2939" spans="1:19" hidden="1" x14ac:dyDescent="0.3">
      <c r="A2939">
        <v>150</v>
      </c>
      <c r="B2939" t="s">
        <v>4361</v>
      </c>
      <c r="C2939" t="s">
        <v>1037</v>
      </c>
      <c r="D2939" s="2" t="s">
        <v>1038</v>
      </c>
      <c r="E2939" t="s">
        <v>1039</v>
      </c>
      <c r="F2939" t="s">
        <v>377</v>
      </c>
      <c r="G2939" t="s">
        <v>21</v>
      </c>
      <c r="H2939" t="s">
        <v>378</v>
      </c>
      <c r="I2939" t="s">
        <v>23</v>
      </c>
      <c r="J2939" t="s">
        <v>379</v>
      </c>
      <c r="K2939" s="2" t="s">
        <v>3074</v>
      </c>
      <c r="L2939" t="s">
        <v>26</v>
      </c>
      <c r="M2939">
        <v>358375</v>
      </c>
      <c r="N2939">
        <v>1</v>
      </c>
      <c r="O2939" s="3">
        <v>5950</v>
      </c>
      <c r="P2939" s="3">
        <v>3257</v>
      </c>
      <c r="Q2939" s="5">
        <f t="shared" si="135"/>
        <v>5000</v>
      </c>
      <c r="R2939" s="5">
        <f t="shared" si="136"/>
        <v>3257</v>
      </c>
      <c r="S2939" s="5">
        <f t="shared" si="137"/>
        <v>1743</v>
      </c>
    </row>
    <row r="2940" spans="1:19" hidden="1" x14ac:dyDescent="0.3">
      <c r="A2940">
        <v>150</v>
      </c>
      <c r="B2940" t="s">
        <v>4361</v>
      </c>
      <c r="C2940" t="s">
        <v>4665</v>
      </c>
      <c r="D2940" s="2" t="s">
        <v>4666</v>
      </c>
      <c r="E2940" t="s">
        <v>4132</v>
      </c>
      <c r="F2940" t="s">
        <v>20</v>
      </c>
      <c r="G2940" t="s">
        <v>21</v>
      </c>
      <c r="H2940" t="s">
        <v>1914</v>
      </c>
      <c r="I2940" t="s">
        <v>23</v>
      </c>
      <c r="J2940" t="s">
        <v>49</v>
      </c>
      <c r="K2940" s="2" t="s">
        <v>3074</v>
      </c>
      <c r="L2940" t="s">
        <v>26</v>
      </c>
      <c r="M2940">
        <v>358376</v>
      </c>
      <c r="N2940">
        <v>1</v>
      </c>
      <c r="O2940" s="3">
        <v>74950</v>
      </c>
      <c r="P2940" s="3">
        <v>24732</v>
      </c>
      <c r="Q2940" s="5">
        <f t="shared" si="135"/>
        <v>62983.193277310929</v>
      </c>
      <c r="R2940" s="5">
        <f t="shared" si="136"/>
        <v>24732</v>
      </c>
      <c r="S2940" s="5">
        <f t="shared" si="137"/>
        <v>38251.193277310929</v>
      </c>
    </row>
    <row r="2941" spans="1:19" hidden="1" x14ac:dyDescent="0.3">
      <c r="A2941">
        <v>150</v>
      </c>
      <c r="B2941" t="s">
        <v>4361</v>
      </c>
      <c r="C2941" t="s">
        <v>4235</v>
      </c>
      <c r="D2941" s="2" t="s">
        <v>4236</v>
      </c>
      <c r="E2941" t="s">
        <v>2810</v>
      </c>
      <c r="F2941" t="s">
        <v>20</v>
      </c>
      <c r="G2941" t="s">
        <v>21</v>
      </c>
      <c r="H2941" t="s">
        <v>1987</v>
      </c>
      <c r="I2941" t="s">
        <v>23</v>
      </c>
      <c r="J2941" t="s">
        <v>35</v>
      </c>
      <c r="K2941" s="2" t="s">
        <v>3074</v>
      </c>
      <c r="L2941" t="s">
        <v>26</v>
      </c>
      <c r="M2941">
        <v>358377</v>
      </c>
      <c r="N2941">
        <v>1</v>
      </c>
      <c r="O2941" s="3">
        <v>89950</v>
      </c>
      <c r="P2941" s="3">
        <v>29858</v>
      </c>
      <c r="Q2941" s="5">
        <f t="shared" si="135"/>
        <v>75588.23529411765</v>
      </c>
      <c r="R2941" s="5">
        <f t="shared" si="136"/>
        <v>29858</v>
      </c>
      <c r="S2941" s="5">
        <f t="shared" si="137"/>
        <v>45730.23529411765</v>
      </c>
    </row>
    <row r="2942" spans="1:19" hidden="1" x14ac:dyDescent="0.3">
      <c r="A2942">
        <v>150</v>
      </c>
      <c r="B2942" t="s">
        <v>4361</v>
      </c>
      <c r="C2942" t="s">
        <v>2276</v>
      </c>
      <c r="D2942" s="2" t="s">
        <v>2277</v>
      </c>
      <c r="E2942" t="s">
        <v>2278</v>
      </c>
      <c r="F2942" t="s">
        <v>20</v>
      </c>
      <c r="G2942" t="s">
        <v>21</v>
      </c>
      <c r="H2942" t="s">
        <v>346</v>
      </c>
      <c r="I2942" t="s">
        <v>23</v>
      </c>
      <c r="J2942" t="s">
        <v>49</v>
      </c>
      <c r="K2942" s="2" t="s">
        <v>3074</v>
      </c>
      <c r="L2942" t="s">
        <v>26</v>
      </c>
      <c r="M2942">
        <v>358378</v>
      </c>
      <c r="N2942">
        <v>-1</v>
      </c>
      <c r="O2942" s="3">
        <v>-49990</v>
      </c>
      <c r="P2942" s="3">
        <v>23224</v>
      </c>
      <c r="Q2942" s="5">
        <f t="shared" si="135"/>
        <v>-42008.403361344543</v>
      </c>
      <c r="R2942" s="5">
        <f t="shared" si="136"/>
        <v>-23224</v>
      </c>
      <c r="S2942" s="5">
        <f t="shared" si="137"/>
        <v>-18784.403361344543</v>
      </c>
    </row>
    <row r="2943" spans="1:19" hidden="1" x14ac:dyDescent="0.3">
      <c r="A2943">
        <v>150</v>
      </c>
      <c r="B2943" t="s">
        <v>4361</v>
      </c>
      <c r="C2943" t="s">
        <v>4667</v>
      </c>
      <c r="D2943" s="2" t="s">
        <v>4668</v>
      </c>
      <c r="E2943" t="s">
        <v>4358</v>
      </c>
      <c r="F2943" t="s">
        <v>20</v>
      </c>
      <c r="G2943" t="s">
        <v>21</v>
      </c>
      <c r="H2943" t="s">
        <v>346</v>
      </c>
      <c r="I2943" t="s">
        <v>23</v>
      </c>
      <c r="J2943" t="s">
        <v>49</v>
      </c>
      <c r="K2943" s="2" t="s">
        <v>3074</v>
      </c>
      <c r="L2943" t="s">
        <v>26</v>
      </c>
      <c r="M2943">
        <v>358378</v>
      </c>
      <c r="N2943">
        <v>1</v>
      </c>
      <c r="O2943" s="3">
        <v>49991</v>
      </c>
      <c r="P2943" s="3">
        <v>23225</v>
      </c>
      <c r="Q2943" s="5">
        <f t="shared" si="135"/>
        <v>42009.243697478996</v>
      </c>
      <c r="R2943" s="5">
        <f t="shared" si="136"/>
        <v>23225</v>
      </c>
      <c r="S2943" s="5">
        <f t="shared" si="137"/>
        <v>18784.243697478996</v>
      </c>
    </row>
    <row r="2944" spans="1:19" hidden="1" x14ac:dyDescent="0.3">
      <c r="A2944">
        <v>150</v>
      </c>
      <c r="B2944" t="s">
        <v>4361</v>
      </c>
      <c r="C2944" t="s">
        <v>1037</v>
      </c>
      <c r="D2944" s="2" t="s">
        <v>1038</v>
      </c>
      <c r="E2944" t="s">
        <v>1039</v>
      </c>
      <c r="F2944" t="s">
        <v>377</v>
      </c>
      <c r="G2944" t="s">
        <v>21</v>
      </c>
      <c r="H2944" t="s">
        <v>378</v>
      </c>
      <c r="I2944" t="s">
        <v>23</v>
      </c>
      <c r="J2944" t="s">
        <v>379</v>
      </c>
      <c r="K2944" s="2" t="s">
        <v>3074</v>
      </c>
      <c r="L2944" t="s">
        <v>26</v>
      </c>
      <c r="M2944">
        <v>358379</v>
      </c>
      <c r="N2944">
        <v>1</v>
      </c>
      <c r="O2944" s="3">
        <v>5951</v>
      </c>
      <c r="P2944" s="3">
        <v>3257</v>
      </c>
      <c r="Q2944" s="5">
        <f t="shared" si="135"/>
        <v>5000.8403361344544</v>
      </c>
      <c r="R2944" s="5">
        <f t="shared" si="136"/>
        <v>3257</v>
      </c>
      <c r="S2944" s="5">
        <f t="shared" si="137"/>
        <v>1743.8403361344544</v>
      </c>
    </row>
    <row r="2945" spans="1:19" hidden="1" x14ac:dyDescent="0.3">
      <c r="A2945">
        <v>150</v>
      </c>
      <c r="B2945" t="s">
        <v>4361</v>
      </c>
      <c r="C2945" t="s">
        <v>2575</v>
      </c>
      <c r="D2945" s="2" t="s">
        <v>2576</v>
      </c>
      <c r="E2945" t="s">
        <v>2577</v>
      </c>
      <c r="F2945" t="s">
        <v>377</v>
      </c>
      <c r="G2945" t="s">
        <v>21</v>
      </c>
      <c r="H2945" t="s">
        <v>378</v>
      </c>
      <c r="I2945" t="s">
        <v>23</v>
      </c>
      <c r="J2945" t="s">
        <v>379</v>
      </c>
      <c r="K2945" s="2" t="s">
        <v>3074</v>
      </c>
      <c r="L2945" t="s">
        <v>26</v>
      </c>
      <c r="M2945">
        <v>358379</v>
      </c>
      <c r="N2945">
        <v>-1</v>
      </c>
      <c r="O2945" s="3">
        <v>-5950</v>
      </c>
      <c r="P2945" s="3">
        <v>3307</v>
      </c>
      <c r="Q2945" s="5">
        <f t="shared" si="135"/>
        <v>-5000</v>
      </c>
      <c r="R2945" s="5">
        <f t="shared" si="136"/>
        <v>-3307</v>
      </c>
      <c r="S2945" s="5">
        <f t="shared" si="137"/>
        <v>-1693</v>
      </c>
    </row>
    <row r="2946" spans="1:19" hidden="1" x14ac:dyDescent="0.3">
      <c r="A2946">
        <v>150</v>
      </c>
      <c r="B2946" t="s">
        <v>4361</v>
      </c>
      <c r="C2946" t="s">
        <v>4669</v>
      </c>
      <c r="D2946" s="2" t="s">
        <v>4670</v>
      </c>
      <c r="E2946" t="s">
        <v>2449</v>
      </c>
      <c r="F2946" t="s">
        <v>20</v>
      </c>
      <c r="G2946" t="s">
        <v>21</v>
      </c>
      <c r="H2946" t="s">
        <v>1703</v>
      </c>
      <c r="I2946" t="s">
        <v>23</v>
      </c>
      <c r="J2946" t="s">
        <v>49</v>
      </c>
      <c r="K2946" s="2" t="s">
        <v>3074</v>
      </c>
      <c r="L2946" t="s">
        <v>26</v>
      </c>
      <c r="M2946">
        <v>358380</v>
      </c>
      <c r="N2946">
        <v>1</v>
      </c>
      <c r="O2946" s="3">
        <v>74950</v>
      </c>
      <c r="P2946" s="3">
        <v>26457</v>
      </c>
      <c r="Q2946" s="5">
        <f t="shared" si="135"/>
        <v>62983.193277310929</v>
      </c>
      <c r="R2946" s="5">
        <f t="shared" si="136"/>
        <v>26457</v>
      </c>
      <c r="S2946" s="5">
        <f t="shared" si="137"/>
        <v>36526.193277310929</v>
      </c>
    </row>
    <row r="2947" spans="1:19" hidden="1" x14ac:dyDescent="0.3">
      <c r="A2947">
        <v>150</v>
      </c>
      <c r="B2947" t="s">
        <v>4361</v>
      </c>
      <c r="C2947" t="s">
        <v>3375</v>
      </c>
      <c r="D2947" s="2" t="s">
        <v>3376</v>
      </c>
      <c r="E2947" t="s">
        <v>3377</v>
      </c>
      <c r="F2947" t="s">
        <v>377</v>
      </c>
      <c r="G2947" t="s">
        <v>21</v>
      </c>
      <c r="H2947" t="s">
        <v>378</v>
      </c>
      <c r="I2947" t="s">
        <v>23</v>
      </c>
      <c r="J2947" t="s">
        <v>379</v>
      </c>
      <c r="K2947" s="2" t="s">
        <v>3074</v>
      </c>
      <c r="L2947" t="s">
        <v>26</v>
      </c>
      <c r="M2947">
        <v>358381</v>
      </c>
      <c r="N2947">
        <v>1</v>
      </c>
      <c r="O2947" s="3">
        <v>3950</v>
      </c>
      <c r="P2947" s="3">
        <v>1410</v>
      </c>
      <c r="Q2947" s="5">
        <f t="shared" si="135"/>
        <v>3319.3277310924373</v>
      </c>
      <c r="R2947" s="5">
        <f t="shared" si="136"/>
        <v>1410</v>
      </c>
      <c r="S2947" s="5">
        <f t="shared" si="137"/>
        <v>1909.3277310924373</v>
      </c>
    </row>
    <row r="2948" spans="1:19" hidden="1" x14ac:dyDescent="0.3">
      <c r="A2948">
        <v>150</v>
      </c>
      <c r="B2948" t="s">
        <v>4361</v>
      </c>
      <c r="C2948" t="s">
        <v>4671</v>
      </c>
      <c r="D2948" s="2" t="s">
        <v>4672</v>
      </c>
      <c r="E2948" t="s">
        <v>4673</v>
      </c>
      <c r="F2948" t="s">
        <v>377</v>
      </c>
      <c r="G2948" t="s">
        <v>21</v>
      </c>
      <c r="H2948" t="s">
        <v>378</v>
      </c>
      <c r="I2948" t="s">
        <v>23</v>
      </c>
      <c r="J2948" t="s">
        <v>379</v>
      </c>
      <c r="K2948" s="2" t="s">
        <v>3074</v>
      </c>
      <c r="L2948" t="s">
        <v>26</v>
      </c>
      <c r="M2948">
        <v>358381</v>
      </c>
      <c r="N2948">
        <v>1</v>
      </c>
      <c r="O2948" s="3">
        <v>6950</v>
      </c>
      <c r="P2948" s="3">
        <v>3551</v>
      </c>
      <c r="Q2948" s="5">
        <f t="shared" si="135"/>
        <v>5840.3361344537816</v>
      </c>
      <c r="R2948" s="5">
        <f t="shared" si="136"/>
        <v>3551</v>
      </c>
      <c r="S2948" s="5">
        <f t="shared" si="137"/>
        <v>2289.3361344537816</v>
      </c>
    </row>
    <row r="2949" spans="1:19" hidden="1" x14ac:dyDescent="0.3">
      <c r="A2949">
        <v>150</v>
      </c>
      <c r="B2949" t="s">
        <v>4361</v>
      </c>
      <c r="C2949" t="s">
        <v>3787</v>
      </c>
      <c r="D2949" s="2" t="s">
        <v>3788</v>
      </c>
      <c r="E2949" t="s">
        <v>2748</v>
      </c>
      <c r="F2949" t="s">
        <v>20</v>
      </c>
      <c r="G2949" t="s">
        <v>338</v>
      </c>
      <c r="H2949">
        <v>26266</v>
      </c>
      <c r="I2949" t="s">
        <v>23</v>
      </c>
      <c r="J2949" t="s">
        <v>35</v>
      </c>
      <c r="K2949" s="2" t="s">
        <v>3074</v>
      </c>
      <c r="L2949" t="s">
        <v>26</v>
      </c>
      <c r="M2949">
        <v>358382</v>
      </c>
      <c r="N2949">
        <v>1</v>
      </c>
      <c r="O2949" s="3">
        <v>79950</v>
      </c>
      <c r="P2949" s="3">
        <v>25300</v>
      </c>
      <c r="Q2949" s="5">
        <f t="shared" si="135"/>
        <v>67184.873949579836</v>
      </c>
      <c r="R2949" s="5">
        <f t="shared" si="136"/>
        <v>25300</v>
      </c>
      <c r="S2949" s="5">
        <f t="shared" si="137"/>
        <v>41884.873949579836</v>
      </c>
    </row>
    <row r="2950" spans="1:19" hidden="1" x14ac:dyDescent="0.3">
      <c r="A2950">
        <v>150</v>
      </c>
      <c r="B2950" t="s">
        <v>4361</v>
      </c>
      <c r="C2950" t="s">
        <v>3739</v>
      </c>
      <c r="D2950" s="2" t="s">
        <v>3740</v>
      </c>
      <c r="E2950" t="s">
        <v>1736</v>
      </c>
      <c r="F2950" t="s">
        <v>20</v>
      </c>
      <c r="G2950" t="s">
        <v>21</v>
      </c>
      <c r="H2950" t="s">
        <v>783</v>
      </c>
      <c r="I2950" t="s">
        <v>23</v>
      </c>
      <c r="J2950" t="s">
        <v>40</v>
      </c>
      <c r="K2950" s="2" t="s">
        <v>1569</v>
      </c>
      <c r="L2950" t="s">
        <v>26</v>
      </c>
      <c r="M2950">
        <v>358383</v>
      </c>
      <c r="N2950">
        <v>1</v>
      </c>
      <c r="O2950" s="3">
        <v>34990</v>
      </c>
      <c r="P2950" s="3">
        <v>17194</v>
      </c>
      <c r="Q2950" s="5">
        <f t="shared" ref="Q2950:Q3013" si="138">O2950/1.19</f>
        <v>29403.361344537818</v>
      </c>
      <c r="R2950" s="5">
        <f t="shared" ref="R2950:R3013" si="139">N2950*P2950</f>
        <v>17194</v>
      </c>
      <c r="S2950" s="5">
        <f t="shared" ref="S2950:S3013" si="140">Q2950-R2950</f>
        <v>12209.361344537818</v>
      </c>
    </row>
    <row r="2951" spans="1:19" hidden="1" x14ac:dyDescent="0.3">
      <c r="A2951">
        <v>150</v>
      </c>
      <c r="B2951" t="s">
        <v>4361</v>
      </c>
      <c r="C2951" t="s">
        <v>4095</v>
      </c>
      <c r="D2951" s="2" t="s">
        <v>4096</v>
      </c>
      <c r="E2951" t="s">
        <v>1632</v>
      </c>
      <c r="F2951" t="s">
        <v>20</v>
      </c>
      <c r="G2951" t="s">
        <v>21</v>
      </c>
      <c r="H2951" t="s">
        <v>1124</v>
      </c>
      <c r="I2951" t="s">
        <v>23</v>
      </c>
      <c r="J2951" t="s">
        <v>35</v>
      </c>
      <c r="K2951" s="2" t="s">
        <v>1569</v>
      </c>
      <c r="L2951" t="s">
        <v>26</v>
      </c>
      <c r="M2951">
        <v>358384</v>
      </c>
      <c r="N2951">
        <v>1</v>
      </c>
      <c r="O2951" s="3">
        <v>74950</v>
      </c>
      <c r="P2951" s="3">
        <v>28430</v>
      </c>
      <c r="Q2951" s="5">
        <f t="shared" si="138"/>
        <v>62983.193277310929</v>
      </c>
      <c r="R2951" s="5">
        <f t="shared" si="139"/>
        <v>28430</v>
      </c>
      <c r="S2951" s="5">
        <f t="shared" si="140"/>
        <v>34553.193277310929</v>
      </c>
    </row>
    <row r="2952" spans="1:19" hidden="1" x14ac:dyDescent="0.3">
      <c r="A2952">
        <v>150</v>
      </c>
      <c r="B2952" t="s">
        <v>4361</v>
      </c>
      <c r="C2952" t="s">
        <v>4674</v>
      </c>
      <c r="D2952" s="2" t="s">
        <v>4675</v>
      </c>
      <c r="E2952" t="s">
        <v>4676</v>
      </c>
      <c r="F2952" t="s">
        <v>20</v>
      </c>
      <c r="G2952" t="s">
        <v>21</v>
      </c>
      <c r="H2952" t="s">
        <v>4647</v>
      </c>
      <c r="I2952" t="s">
        <v>23</v>
      </c>
      <c r="J2952" t="s">
        <v>49</v>
      </c>
      <c r="K2952" s="2" t="s">
        <v>1569</v>
      </c>
      <c r="L2952" t="s">
        <v>26</v>
      </c>
      <c r="M2952">
        <v>358384</v>
      </c>
      <c r="N2952">
        <v>1</v>
      </c>
      <c r="O2952" s="3">
        <v>74950</v>
      </c>
      <c r="P2952" s="3">
        <v>28883</v>
      </c>
      <c r="Q2952" s="5">
        <f t="shared" si="138"/>
        <v>62983.193277310929</v>
      </c>
      <c r="R2952" s="5">
        <f t="shared" si="139"/>
        <v>28883</v>
      </c>
      <c r="S2952" s="5">
        <f t="shared" si="140"/>
        <v>34100.193277310929</v>
      </c>
    </row>
    <row r="2953" spans="1:19" hidden="1" x14ac:dyDescent="0.3">
      <c r="A2953">
        <v>150</v>
      </c>
      <c r="B2953" t="s">
        <v>4361</v>
      </c>
      <c r="C2953" t="s">
        <v>4677</v>
      </c>
      <c r="D2953" s="2" t="s">
        <v>4678</v>
      </c>
      <c r="E2953" t="s">
        <v>266</v>
      </c>
      <c r="F2953" t="s">
        <v>20</v>
      </c>
      <c r="G2953" t="s">
        <v>21</v>
      </c>
      <c r="H2953" t="s">
        <v>267</v>
      </c>
      <c r="I2953" t="s">
        <v>23</v>
      </c>
      <c r="J2953" t="s">
        <v>49</v>
      </c>
      <c r="K2953" s="2" t="s">
        <v>1569</v>
      </c>
      <c r="L2953" t="s">
        <v>26</v>
      </c>
      <c r="M2953">
        <v>358385</v>
      </c>
      <c r="N2953">
        <v>1</v>
      </c>
      <c r="O2953" s="3">
        <v>64950</v>
      </c>
      <c r="P2953" s="3">
        <v>24504</v>
      </c>
      <c r="Q2953" s="5">
        <f t="shared" si="138"/>
        <v>54579.831932773115</v>
      </c>
      <c r="R2953" s="5">
        <f t="shared" si="139"/>
        <v>24504</v>
      </c>
      <c r="S2953" s="5">
        <f t="shared" si="140"/>
        <v>30075.831932773115</v>
      </c>
    </row>
    <row r="2954" spans="1:19" hidden="1" x14ac:dyDescent="0.3">
      <c r="A2954">
        <v>150</v>
      </c>
      <c r="B2954" t="s">
        <v>4361</v>
      </c>
      <c r="C2954" t="s">
        <v>4552</v>
      </c>
      <c r="D2954" s="2" t="s">
        <v>4553</v>
      </c>
      <c r="E2954" t="s">
        <v>4291</v>
      </c>
      <c r="F2954" t="s">
        <v>20</v>
      </c>
      <c r="G2954" t="s">
        <v>21</v>
      </c>
      <c r="H2954" t="s">
        <v>285</v>
      </c>
      <c r="I2954" t="s">
        <v>23</v>
      </c>
      <c r="J2954" t="s">
        <v>35</v>
      </c>
      <c r="K2954" s="2" t="s">
        <v>1569</v>
      </c>
      <c r="L2954" t="s">
        <v>26</v>
      </c>
      <c r="M2954">
        <v>358386</v>
      </c>
      <c r="N2954">
        <v>1</v>
      </c>
      <c r="O2954" s="3">
        <v>79950</v>
      </c>
      <c r="P2954" s="3">
        <v>31402</v>
      </c>
      <c r="Q2954" s="5">
        <f t="shared" si="138"/>
        <v>67184.873949579836</v>
      </c>
      <c r="R2954" s="5">
        <f t="shared" si="139"/>
        <v>31402</v>
      </c>
      <c r="S2954" s="5">
        <f t="shared" si="140"/>
        <v>35782.873949579836</v>
      </c>
    </row>
    <row r="2955" spans="1:19" hidden="1" x14ac:dyDescent="0.3">
      <c r="A2955">
        <v>150</v>
      </c>
      <c r="B2955" t="s">
        <v>4361</v>
      </c>
      <c r="C2955" t="s">
        <v>4679</v>
      </c>
      <c r="D2955" s="2" t="s">
        <v>4680</v>
      </c>
      <c r="E2955" t="s">
        <v>3165</v>
      </c>
      <c r="F2955" t="s">
        <v>20</v>
      </c>
      <c r="G2955" t="s">
        <v>338</v>
      </c>
      <c r="H2955">
        <v>83707</v>
      </c>
      <c r="I2955" t="s">
        <v>23</v>
      </c>
      <c r="J2955" t="s">
        <v>40</v>
      </c>
      <c r="K2955" s="2" t="s">
        <v>1569</v>
      </c>
      <c r="L2955" t="s">
        <v>26</v>
      </c>
      <c r="M2955">
        <v>358387</v>
      </c>
      <c r="N2955">
        <v>1</v>
      </c>
      <c r="O2955" s="3">
        <v>89950</v>
      </c>
      <c r="P2955" s="3">
        <v>30263</v>
      </c>
      <c r="Q2955" s="5">
        <f t="shared" si="138"/>
        <v>75588.23529411765</v>
      </c>
      <c r="R2955" s="5">
        <f t="shared" si="139"/>
        <v>30263</v>
      </c>
      <c r="S2955" s="5">
        <f t="shared" si="140"/>
        <v>45325.23529411765</v>
      </c>
    </row>
    <row r="2956" spans="1:19" hidden="1" x14ac:dyDescent="0.3">
      <c r="A2956">
        <v>150</v>
      </c>
      <c r="B2956" t="s">
        <v>4361</v>
      </c>
      <c r="C2956" t="s">
        <v>4050</v>
      </c>
      <c r="D2956" s="2" t="s">
        <v>4051</v>
      </c>
      <c r="E2956" t="s">
        <v>3175</v>
      </c>
      <c r="F2956" t="s">
        <v>20</v>
      </c>
      <c r="G2956" t="s">
        <v>21</v>
      </c>
      <c r="H2956" t="s">
        <v>625</v>
      </c>
      <c r="I2956" t="s">
        <v>23</v>
      </c>
      <c r="J2956" t="s">
        <v>35</v>
      </c>
      <c r="K2956" s="2" t="s">
        <v>1569</v>
      </c>
      <c r="L2956" t="s">
        <v>26</v>
      </c>
      <c r="M2956">
        <v>358388</v>
      </c>
      <c r="N2956">
        <v>1</v>
      </c>
      <c r="O2956" s="3">
        <v>49990</v>
      </c>
      <c r="P2956" s="3">
        <v>24956</v>
      </c>
      <c r="Q2956" s="5">
        <f t="shared" si="138"/>
        <v>42008.403361344543</v>
      </c>
      <c r="R2956" s="5">
        <f t="shared" si="139"/>
        <v>24956</v>
      </c>
      <c r="S2956" s="5">
        <f t="shared" si="140"/>
        <v>17052.403361344543</v>
      </c>
    </row>
    <row r="2957" spans="1:19" hidden="1" x14ac:dyDescent="0.3">
      <c r="A2957">
        <v>150</v>
      </c>
      <c r="B2957" t="s">
        <v>4361</v>
      </c>
      <c r="C2957" t="s">
        <v>4681</v>
      </c>
      <c r="D2957" s="2" t="s">
        <v>4682</v>
      </c>
      <c r="E2957" t="s">
        <v>3518</v>
      </c>
      <c r="F2957" t="s">
        <v>20</v>
      </c>
      <c r="G2957" t="s">
        <v>21</v>
      </c>
      <c r="H2957" t="s">
        <v>1124</v>
      </c>
      <c r="I2957" t="s">
        <v>23</v>
      </c>
      <c r="J2957" t="s">
        <v>35</v>
      </c>
      <c r="K2957" s="2" t="s">
        <v>1569</v>
      </c>
      <c r="L2957" t="s">
        <v>26</v>
      </c>
      <c r="M2957">
        <v>358389</v>
      </c>
      <c r="N2957">
        <v>1</v>
      </c>
      <c r="O2957" s="3">
        <v>74950</v>
      </c>
      <c r="P2957" s="3">
        <v>28478</v>
      </c>
      <c r="Q2957" s="5">
        <f t="shared" si="138"/>
        <v>62983.193277310929</v>
      </c>
      <c r="R2957" s="5">
        <f t="shared" si="139"/>
        <v>28478</v>
      </c>
      <c r="S2957" s="5">
        <f t="shared" si="140"/>
        <v>34505.193277310929</v>
      </c>
    </row>
    <row r="2958" spans="1:19" hidden="1" x14ac:dyDescent="0.3">
      <c r="A2958">
        <v>150</v>
      </c>
      <c r="B2958" t="s">
        <v>4361</v>
      </c>
      <c r="C2958" t="s">
        <v>864</v>
      </c>
      <c r="D2958" s="2" t="s">
        <v>865</v>
      </c>
      <c r="E2958" t="s">
        <v>866</v>
      </c>
      <c r="F2958" t="s">
        <v>20</v>
      </c>
      <c r="G2958" t="s">
        <v>21</v>
      </c>
      <c r="H2958" t="s">
        <v>90</v>
      </c>
      <c r="I2958" t="s">
        <v>23</v>
      </c>
      <c r="J2958" t="s">
        <v>35</v>
      </c>
      <c r="K2958" s="2" t="s">
        <v>1569</v>
      </c>
      <c r="L2958" t="s">
        <v>26</v>
      </c>
      <c r="M2958">
        <v>358390</v>
      </c>
      <c r="N2958">
        <v>1</v>
      </c>
      <c r="O2958" s="3">
        <v>84950</v>
      </c>
      <c r="P2958" s="3">
        <v>35325</v>
      </c>
      <c r="Q2958" s="5">
        <f t="shared" si="138"/>
        <v>71386.554621848743</v>
      </c>
      <c r="R2958" s="5">
        <f t="shared" si="139"/>
        <v>35325</v>
      </c>
      <c r="S2958" s="5">
        <f t="shared" si="140"/>
        <v>36061.554621848743</v>
      </c>
    </row>
    <row r="2959" spans="1:19" hidden="1" x14ac:dyDescent="0.3">
      <c r="A2959">
        <v>150</v>
      </c>
      <c r="B2959" t="s">
        <v>4361</v>
      </c>
      <c r="C2959" t="s">
        <v>2097</v>
      </c>
      <c r="D2959" s="2" t="s">
        <v>2098</v>
      </c>
      <c r="E2959" t="s">
        <v>494</v>
      </c>
      <c r="F2959" t="s">
        <v>20</v>
      </c>
      <c r="G2959" t="s">
        <v>21</v>
      </c>
      <c r="H2959" t="s">
        <v>317</v>
      </c>
      <c r="I2959" t="s">
        <v>23</v>
      </c>
      <c r="J2959" t="s">
        <v>35</v>
      </c>
      <c r="K2959" s="2" t="s">
        <v>1744</v>
      </c>
      <c r="L2959" t="s">
        <v>26</v>
      </c>
      <c r="M2959">
        <v>358391</v>
      </c>
      <c r="N2959">
        <v>1</v>
      </c>
      <c r="O2959" s="3">
        <v>69950</v>
      </c>
      <c r="P2959" s="3">
        <v>23619</v>
      </c>
      <c r="Q2959" s="5">
        <f t="shared" si="138"/>
        <v>58781.512605042022</v>
      </c>
      <c r="R2959" s="5">
        <f t="shared" si="139"/>
        <v>23619</v>
      </c>
      <c r="S2959" s="5">
        <f t="shared" si="140"/>
        <v>35162.512605042022</v>
      </c>
    </row>
    <row r="2960" spans="1:19" hidden="1" x14ac:dyDescent="0.3">
      <c r="A2960">
        <v>150</v>
      </c>
      <c r="B2960" t="s">
        <v>4361</v>
      </c>
      <c r="C2960" t="s">
        <v>2835</v>
      </c>
      <c r="D2960" s="2" t="s">
        <v>2836</v>
      </c>
      <c r="E2960" t="s">
        <v>2837</v>
      </c>
      <c r="F2960" t="s">
        <v>20</v>
      </c>
      <c r="G2960" t="s">
        <v>21</v>
      </c>
      <c r="H2960" t="s">
        <v>272</v>
      </c>
      <c r="I2960" t="s">
        <v>23</v>
      </c>
      <c r="J2960" t="s">
        <v>40</v>
      </c>
      <c r="K2960" s="2" t="s">
        <v>1744</v>
      </c>
      <c r="L2960" t="s">
        <v>26</v>
      </c>
      <c r="M2960">
        <v>358392</v>
      </c>
      <c r="N2960">
        <v>1</v>
      </c>
      <c r="O2960" s="3">
        <v>59990</v>
      </c>
      <c r="P2960" s="3">
        <v>26157</v>
      </c>
      <c r="Q2960" s="5">
        <f t="shared" si="138"/>
        <v>50411.764705882357</v>
      </c>
      <c r="R2960" s="5">
        <f t="shared" si="139"/>
        <v>26157</v>
      </c>
      <c r="S2960" s="5">
        <f t="shared" si="140"/>
        <v>24254.764705882357</v>
      </c>
    </row>
    <row r="2961" spans="1:19" hidden="1" x14ac:dyDescent="0.3">
      <c r="A2961">
        <v>150</v>
      </c>
      <c r="B2961" t="s">
        <v>4361</v>
      </c>
      <c r="C2961" t="s">
        <v>4399</v>
      </c>
      <c r="D2961" s="2" t="s">
        <v>4400</v>
      </c>
      <c r="E2961" t="s">
        <v>3268</v>
      </c>
      <c r="F2961" t="s">
        <v>20</v>
      </c>
      <c r="G2961" t="s">
        <v>21</v>
      </c>
      <c r="H2961" t="s">
        <v>2189</v>
      </c>
      <c r="I2961" t="s">
        <v>23</v>
      </c>
      <c r="J2961" t="s">
        <v>40</v>
      </c>
      <c r="K2961" s="2" t="s">
        <v>1744</v>
      </c>
      <c r="L2961" t="s">
        <v>26</v>
      </c>
      <c r="M2961">
        <v>358392</v>
      </c>
      <c r="N2961">
        <v>1</v>
      </c>
      <c r="O2961" s="3">
        <v>74950</v>
      </c>
      <c r="P2961" s="3">
        <v>27727</v>
      </c>
      <c r="Q2961" s="5">
        <f t="shared" si="138"/>
        <v>62983.193277310929</v>
      </c>
      <c r="R2961" s="5">
        <f t="shared" si="139"/>
        <v>27727</v>
      </c>
      <c r="S2961" s="5">
        <f t="shared" si="140"/>
        <v>35256.193277310929</v>
      </c>
    </row>
    <row r="2962" spans="1:19" hidden="1" x14ac:dyDescent="0.3">
      <c r="A2962">
        <v>150</v>
      </c>
      <c r="B2962" t="s">
        <v>4361</v>
      </c>
      <c r="C2962" t="s">
        <v>4683</v>
      </c>
      <c r="D2962" s="2" t="s">
        <v>4684</v>
      </c>
      <c r="E2962" t="s">
        <v>2959</v>
      </c>
      <c r="F2962" t="s">
        <v>20</v>
      </c>
      <c r="G2962" t="s">
        <v>338</v>
      </c>
      <c r="H2962">
        <v>25529</v>
      </c>
      <c r="I2962" t="s">
        <v>23</v>
      </c>
      <c r="J2962" t="s">
        <v>31</v>
      </c>
      <c r="K2962" s="2" t="s">
        <v>1744</v>
      </c>
      <c r="L2962" t="s">
        <v>26</v>
      </c>
      <c r="M2962">
        <v>358392</v>
      </c>
      <c r="N2962">
        <v>-1</v>
      </c>
      <c r="O2962" s="3">
        <v>-149950</v>
      </c>
      <c r="P2962" s="3">
        <v>50690</v>
      </c>
      <c r="Q2962" s="5">
        <f t="shared" si="138"/>
        <v>-126008.40336134455</v>
      </c>
      <c r="R2962" s="5">
        <f t="shared" si="139"/>
        <v>-50690</v>
      </c>
      <c r="S2962" s="5">
        <f t="shared" si="140"/>
        <v>-75318.40336134455</v>
      </c>
    </row>
    <row r="2963" spans="1:19" hidden="1" x14ac:dyDescent="0.3">
      <c r="A2963">
        <v>150</v>
      </c>
      <c r="B2963" t="s">
        <v>4361</v>
      </c>
      <c r="C2963" t="s">
        <v>4685</v>
      </c>
      <c r="D2963" s="2" t="s">
        <v>4686</v>
      </c>
      <c r="E2963" t="s">
        <v>4687</v>
      </c>
      <c r="F2963" t="s">
        <v>377</v>
      </c>
      <c r="G2963" t="s">
        <v>21</v>
      </c>
      <c r="H2963" t="s">
        <v>378</v>
      </c>
      <c r="I2963" t="s">
        <v>23</v>
      </c>
      <c r="J2963" t="s">
        <v>3262</v>
      </c>
      <c r="K2963" s="2" t="s">
        <v>1744</v>
      </c>
      <c r="L2963" t="s">
        <v>26</v>
      </c>
      <c r="M2963">
        <v>358392</v>
      </c>
      <c r="N2963">
        <v>1</v>
      </c>
      <c r="O2963" s="3">
        <v>19950</v>
      </c>
      <c r="P2963" s="3">
        <v>8412</v>
      </c>
      <c r="Q2963" s="5">
        <f t="shared" si="138"/>
        <v>16764.705882352941</v>
      </c>
      <c r="R2963" s="5">
        <f t="shared" si="139"/>
        <v>8412</v>
      </c>
      <c r="S2963" s="5">
        <f t="shared" si="140"/>
        <v>8352.7058823529405</v>
      </c>
    </row>
    <row r="2964" spans="1:19" hidden="1" x14ac:dyDescent="0.3">
      <c r="A2964">
        <v>150</v>
      </c>
      <c r="B2964" t="s">
        <v>4361</v>
      </c>
      <c r="C2964" t="s">
        <v>4297</v>
      </c>
      <c r="D2964" s="2" t="s">
        <v>4298</v>
      </c>
      <c r="E2964" t="s">
        <v>4280</v>
      </c>
      <c r="F2964" t="s">
        <v>20</v>
      </c>
      <c r="G2964" t="s">
        <v>21</v>
      </c>
      <c r="H2964" t="s">
        <v>3128</v>
      </c>
      <c r="I2964" t="s">
        <v>23</v>
      </c>
      <c r="J2964" t="s">
        <v>35</v>
      </c>
      <c r="K2964" s="2" t="s">
        <v>1744</v>
      </c>
      <c r="L2964" t="s">
        <v>26</v>
      </c>
      <c r="M2964">
        <v>358393</v>
      </c>
      <c r="N2964">
        <v>1</v>
      </c>
      <c r="O2964" s="3">
        <v>84950</v>
      </c>
      <c r="P2964" s="3">
        <v>29189</v>
      </c>
      <c r="Q2964" s="5">
        <f t="shared" si="138"/>
        <v>71386.554621848743</v>
      </c>
      <c r="R2964" s="5">
        <f t="shared" si="139"/>
        <v>29189</v>
      </c>
      <c r="S2964" s="5">
        <f t="shared" si="140"/>
        <v>42197.554621848743</v>
      </c>
    </row>
    <row r="2965" spans="1:19" hidden="1" x14ac:dyDescent="0.3">
      <c r="A2965">
        <v>150</v>
      </c>
      <c r="B2965" t="s">
        <v>4361</v>
      </c>
      <c r="C2965" t="s">
        <v>2886</v>
      </c>
      <c r="D2965" s="2" t="s">
        <v>2887</v>
      </c>
      <c r="E2965" t="s">
        <v>2888</v>
      </c>
      <c r="F2965" t="s">
        <v>20</v>
      </c>
      <c r="G2965" t="s">
        <v>21</v>
      </c>
      <c r="H2965" t="s">
        <v>2593</v>
      </c>
      <c r="I2965" t="s">
        <v>23</v>
      </c>
      <c r="J2965" t="s">
        <v>35</v>
      </c>
      <c r="K2965" s="2" t="s">
        <v>1744</v>
      </c>
      <c r="L2965" t="s">
        <v>26</v>
      </c>
      <c r="M2965">
        <v>358394</v>
      </c>
      <c r="N2965">
        <v>1</v>
      </c>
      <c r="O2965" s="3">
        <v>99951</v>
      </c>
      <c r="P2965" s="3">
        <v>38102</v>
      </c>
      <c r="Q2965" s="5">
        <f t="shared" si="138"/>
        <v>83992.436974789918</v>
      </c>
      <c r="R2965" s="5">
        <f t="shared" si="139"/>
        <v>38102</v>
      </c>
      <c r="S2965" s="5">
        <f t="shared" si="140"/>
        <v>45890.436974789918</v>
      </c>
    </row>
    <row r="2966" spans="1:19" hidden="1" x14ac:dyDescent="0.3">
      <c r="A2966">
        <v>150</v>
      </c>
      <c r="B2966" t="s">
        <v>4361</v>
      </c>
      <c r="C2966" t="s">
        <v>3670</v>
      </c>
      <c r="D2966" s="2" t="s">
        <v>3671</v>
      </c>
      <c r="E2966" t="s">
        <v>2888</v>
      </c>
      <c r="F2966" t="s">
        <v>20</v>
      </c>
      <c r="G2966" t="s">
        <v>21</v>
      </c>
      <c r="H2966" t="s">
        <v>2593</v>
      </c>
      <c r="I2966" t="s">
        <v>23</v>
      </c>
      <c r="J2966" t="s">
        <v>35</v>
      </c>
      <c r="K2966" s="2" t="s">
        <v>1744</v>
      </c>
      <c r="L2966" t="s">
        <v>26</v>
      </c>
      <c r="M2966">
        <v>358394</v>
      </c>
      <c r="N2966">
        <v>-1</v>
      </c>
      <c r="O2966" s="3">
        <v>-99950</v>
      </c>
      <c r="P2966" s="3">
        <v>38102</v>
      </c>
      <c r="Q2966" s="5">
        <f t="shared" si="138"/>
        <v>-83991.596638655465</v>
      </c>
      <c r="R2966" s="5">
        <f t="shared" si="139"/>
        <v>-38102</v>
      </c>
      <c r="S2966" s="5">
        <f t="shared" si="140"/>
        <v>-45889.596638655465</v>
      </c>
    </row>
    <row r="2967" spans="1:19" hidden="1" x14ac:dyDescent="0.3">
      <c r="A2967">
        <v>150</v>
      </c>
      <c r="B2967" t="s">
        <v>4361</v>
      </c>
      <c r="C2967" t="s">
        <v>4688</v>
      </c>
      <c r="D2967" s="2" t="s">
        <v>4689</v>
      </c>
      <c r="E2967" t="s">
        <v>4646</v>
      </c>
      <c r="F2967" t="s">
        <v>20</v>
      </c>
      <c r="G2967" t="s">
        <v>21</v>
      </c>
      <c r="H2967" t="s">
        <v>4647</v>
      </c>
      <c r="I2967" t="s">
        <v>23</v>
      </c>
      <c r="J2967" t="s">
        <v>49</v>
      </c>
      <c r="K2967" s="2" t="s">
        <v>1744</v>
      </c>
      <c r="L2967" t="s">
        <v>26</v>
      </c>
      <c r="M2967">
        <v>358395</v>
      </c>
      <c r="N2967">
        <v>1</v>
      </c>
      <c r="O2967" s="3">
        <v>74950</v>
      </c>
      <c r="P2967" s="3">
        <v>28861</v>
      </c>
      <c r="Q2967" s="5">
        <f t="shared" si="138"/>
        <v>62983.193277310929</v>
      </c>
      <c r="R2967" s="5">
        <f t="shared" si="139"/>
        <v>28861</v>
      </c>
      <c r="S2967" s="5">
        <f t="shared" si="140"/>
        <v>34122.193277310929</v>
      </c>
    </row>
    <row r="2968" spans="1:19" hidden="1" x14ac:dyDescent="0.3">
      <c r="A2968">
        <v>150</v>
      </c>
      <c r="B2968" t="s">
        <v>4361</v>
      </c>
      <c r="C2968" t="s">
        <v>3109</v>
      </c>
      <c r="D2968" s="2" t="s">
        <v>3110</v>
      </c>
      <c r="E2968" t="s">
        <v>2378</v>
      </c>
      <c r="F2968" t="s">
        <v>20</v>
      </c>
      <c r="G2968" t="s">
        <v>21</v>
      </c>
      <c r="H2968" t="s">
        <v>2379</v>
      </c>
      <c r="I2968" t="s">
        <v>23</v>
      </c>
      <c r="J2968" t="s">
        <v>40</v>
      </c>
      <c r="K2968" s="2" t="s">
        <v>1744</v>
      </c>
      <c r="L2968" t="s">
        <v>26</v>
      </c>
      <c r="M2968">
        <v>358396</v>
      </c>
      <c r="N2968">
        <v>1</v>
      </c>
      <c r="O2968" s="3">
        <v>39990</v>
      </c>
      <c r="P2968" s="3">
        <v>15732</v>
      </c>
      <c r="Q2968" s="5">
        <f t="shared" si="138"/>
        <v>33605.042016806721</v>
      </c>
      <c r="R2968" s="5">
        <f t="shared" si="139"/>
        <v>15732</v>
      </c>
      <c r="S2968" s="5">
        <f t="shared" si="140"/>
        <v>17873.042016806721</v>
      </c>
    </row>
    <row r="2969" spans="1:19" hidden="1" x14ac:dyDescent="0.3">
      <c r="A2969">
        <v>150</v>
      </c>
      <c r="B2969" t="s">
        <v>4361</v>
      </c>
      <c r="C2969" t="s">
        <v>4690</v>
      </c>
      <c r="D2969" s="2" t="s">
        <v>4691</v>
      </c>
      <c r="E2969" t="s">
        <v>1318</v>
      </c>
      <c r="F2969" t="s">
        <v>20</v>
      </c>
      <c r="G2969" t="s">
        <v>21</v>
      </c>
      <c r="H2969" t="s">
        <v>272</v>
      </c>
      <c r="I2969" t="s">
        <v>23</v>
      </c>
      <c r="J2969" t="s">
        <v>40</v>
      </c>
      <c r="K2969" s="2" t="s">
        <v>1744</v>
      </c>
      <c r="L2969" t="s">
        <v>26</v>
      </c>
      <c r="M2969">
        <v>358397</v>
      </c>
      <c r="N2969">
        <v>1</v>
      </c>
      <c r="O2969" s="3">
        <v>56210</v>
      </c>
      <c r="P2969" s="3">
        <v>26207</v>
      </c>
      <c r="Q2969" s="5">
        <f t="shared" si="138"/>
        <v>47235.294117647063</v>
      </c>
      <c r="R2969" s="5">
        <f t="shared" si="139"/>
        <v>26207</v>
      </c>
      <c r="S2969" s="5">
        <f t="shared" si="140"/>
        <v>21028.294117647063</v>
      </c>
    </row>
    <row r="2970" spans="1:19" hidden="1" x14ac:dyDescent="0.3">
      <c r="A2970">
        <v>150</v>
      </c>
      <c r="B2970" t="s">
        <v>4361</v>
      </c>
      <c r="C2970" t="s">
        <v>3109</v>
      </c>
      <c r="D2970" s="2" t="s">
        <v>3110</v>
      </c>
      <c r="E2970" t="s">
        <v>2378</v>
      </c>
      <c r="F2970" t="s">
        <v>20</v>
      </c>
      <c r="G2970" t="s">
        <v>21</v>
      </c>
      <c r="H2970" t="s">
        <v>2379</v>
      </c>
      <c r="I2970" t="s">
        <v>23</v>
      </c>
      <c r="J2970" t="s">
        <v>40</v>
      </c>
      <c r="K2970" s="2" t="s">
        <v>1744</v>
      </c>
      <c r="L2970" t="s">
        <v>26</v>
      </c>
      <c r="M2970">
        <v>358398</v>
      </c>
      <c r="N2970">
        <v>1</v>
      </c>
      <c r="O2970" s="3">
        <v>39990</v>
      </c>
      <c r="P2970" s="3">
        <v>15732</v>
      </c>
      <c r="Q2970" s="5">
        <f t="shared" si="138"/>
        <v>33605.042016806721</v>
      </c>
      <c r="R2970" s="5">
        <f t="shared" si="139"/>
        <v>15732</v>
      </c>
      <c r="S2970" s="5">
        <f t="shared" si="140"/>
        <v>17873.042016806721</v>
      </c>
    </row>
    <row r="2971" spans="1:19" hidden="1" x14ac:dyDescent="0.3">
      <c r="A2971">
        <v>150</v>
      </c>
      <c r="B2971" t="s">
        <v>4361</v>
      </c>
      <c r="C2971" t="s">
        <v>2830</v>
      </c>
      <c r="D2971" s="2" t="s">
        <v>2831</v>
      </c>
      <c r="E2971" t="s">
        <v>1330</v>
      </c>
      <c r="F2971" t="s">
        <v>20</v>
      </c>
      <c r="G2971" t="s">
        <v>338</v>
      </c>
      <c r="H2971">
        <v>25133</v>
      </c>
      <c r="I2971" t="s">
        <v>23</v>
      </c>
      <c r="J2971" t="s">
        <v>35</v>
      </c>
      <c r="K2971" s="2" t="s">
        <v>1744</v>
      </c>
      <c r="L2971" t="s">
        <v>26</v>
      </c>
      <c r="M2971">
        <v>358399</v>
      </c>
      <c r="N2971">
        <v>1</v>
      </c>
      <c r="O2971" s="3">
        <v>74950</v>
      </c>
      <c r="P2971" s="3">
        <v>21167</v>
      </c>
      <c r="Q2971" s="5">
        <f t="shared" si="138"/>
        <v>62983.193277310929</v>
      </c>
      <c r="R2971" s="5">
        <f t="shared" si="139"/>
        <v>21167</v>
      </c>
      <c r="S2971" s="5">
        <f t="shared" si="140"/>
        <v>41816.193277310929</v>
      </c>
    </row>
    <row r="2972" spans="1:19" hidden="1" x14ac:dyDescent="0.3">
      <c r="A2972">
        <v>150</v>
      </c>
      <c r="B2972" t="s">
        <v>4361</v>
      </c>
      <c r="C2972" t="s">
        <v>4692</v>
      </c>
      <c r="D2972" s="2" t="s">
        <v>4693</v>
      </c>
      <c r="E2972" t="s">
        <v>3202</v>
      </c>
      <c r="F2972" t="s">
        <v>20</v>
      </c>
      <c r="G2972" t="s">
        <v>338</v>
      </c>
      <c r="H2972">
        <v>25702</v>
      </c>
      <c r="I2972" t="s">
        <v>23</v>
      </c>
      <c r="J2972" t="s">
        <v>35</v>
      </c>
      <c r="K2972" s="2" t="s">
        <v>1797</v>
      </c>
      <c r="L2972" t="s">
        <v>26</v>
      </c>
      <c r="M2972">
        <v>358400</v>
      </c>
      <c r="N2972">
        <v>1</v>
      </c>
      <c r="O2972" s="3">
        <v>109950</v>
      </c>
      <c r="P2972" s="3">
        <v>34974</v>
      </c>
      <c r="Q2972" s="5">
        <f t="shared" si="138"/>
        <v>92394.957983193279</v>
      </c>
      <c r="R2972" s="5">
        <f t="shared" si="139"/>
        <v>34974</v>
      </c>
      <c r="S2972" s="5">
        <f t="shared" si="140"/>
        <v>57420.957983193279</v>
      </c>
    </row>
    <row r="2973" spans="1:19" hidden="1" x14ac:dyDescent="0.3">
      <c r="A2973">
        <v>150</v>
      </c>
      <c r="B2973" t="s">
        <v>4361</v>
      </c>
      <c r="C2973" t="s">
        <v>2365</v>
      </c>
      <c r="D2973" s="2" t="s">
        <v>2366</v>
      </c>
      <c r="E2973" t="s">
        <v>2367</v>
      </c>
      <c r="F2973" t="s">
        <v>377</v>
      </c>
      <c r="G2973" t="s">
        <v>21</v>
      </c>
      <c r="H2973" t="s">
        <v>378</v>
      </c>
      <c r="I2973" t="s">
        <v>23</v>
      </c>
      <c r="J2973" t="s">
        <v>379</v>
      </c>
      <c r="K2973" s="2" t="s">
        <v>1797</v>
      </c>
      <c r="L2973" t="s">
        <v>26</v>
      </c>
      <c r="M2973">
        <v>358400</v>
      </c>
      <c r="N2973">
        <v>1</v>
      </c>
      <c r="O2973" s="3">
        <v>6950</v>
      </c>
      <c r="P2973" s="3">
        <v>3759</v>
      </c>
      <c r="Q2973" s="5">
        <f t="shared" si="138"/>
        <v>5840.3361344537816</v>
      </c>
      <c r="R2973" s="5">
        <f t="shared" si="139"/>
        <v>3759</v>
      </c>
      <c r="S2973" s="5">
        <f t="shared" si="140"/>
        <v>2081.3361344537816</v>
      </c>
    </row>
    <row r="2974" spans="1:19" hidden="1" x14ac:dyDescent="0.3">
      <c r="A2974">
        <v>150</v>
      </c>
      <c r="B2974" t="s">
        <v>4361</v>
      </c>
      <c r="C2974" t="s">
        <v>4694</v>
      </c>
      <c r="D2974" s="2" t="s">
        <v>4695</v>
      </c>
      <c r="E2974" t="s">
        <v>2555</v>
      </c>
      <c r="F2974" t="s">
        <v>20</v>
      </c>
      <c r="G2974" t="s">
        <v>21</v>
      </c>
      <c r="H2974" t="s">
        <v>152</v>
      </c>
      <c r="I2974" t="s">
        <v>23</v>
      </c>
      <c r="J2974" t="s">
        <v>40</v>
      </c>
      <c r="K2974" s="2" t="s">
        <v>1797</v>
      </c>
      <c r="L2974" t="s">
        <v>26</v>
      </c>
      <c r="M2974">
        <v>358401</v>
      </c>
      <c r="N2974">
        <v>-1</v>
      </c>
      <c r="O2974" s="3">
        <v>-29970</v>
      </c>
      <c r="P2974" s="3">
        <v>16861</v>
      </c>
      <c r="Q2974" s="5">
        <f t="shared" si="138"/>
        <v>-25184.873949579833</v>
      </c>
      <c r="R2974" s="5">
        <f t="shared" si="139"/>
        <v>-16861</v>
      </c>
      <c r="S2974" s="5">
        <f t="shared" si="140"/>
        <v>-8323.8739495798327</v>
      </c>
    </row>
    <row r="2975" spans="1:19" hidden="1" x14ac:dyDescent="0.3">
      <c r="A2975">
        <v>150</v>
      </c>
      <c r="B2975" t="s">
        <v>4361</v>
      </c>
      <c r="C2975" t="s">
        <v>4696</v>
      </c>
      <c r="D2975" s="2" t="s">
        <v>4697</v>
      </c>
      <c r="E2975" t="s">
        <v>3216</v>
      </c>
      <c r="F2975" t="s">
        <v>20</v>
      </c>
      <c r="G2975" t="s">
        <v>338</v>
      </c>
      <c r="H2975">
        <v>85603</v>
      </c>
      <c r="I2975" t="s">
        <v>23</v>
      </c>
      <c r="J2975" t="s">
        <v>31</v>
      </c>
      <c r="K2975" s="2" t="s">
        <v>1797</v>
      </c>
      <c r="L2975" t="s">
        <v>26</v>
      </c>
      <c r="M2975">
        <v>358401</v>
      </c>
      <c r="N2975">
        <v>1</v>
      </c>
      <c r="O2975" s="3">
        <v>149950</v>
      </c>
      <c r="P2975" s="3">
        <v>50145</v>
      </c>
      <c r="Q2975" s="5">
        <f t="shared" si="138"/>
        <v>126008.40336134455</v>
      </c>
      <c r="R2975" s="5">
        <f t="shared" si="139"/>
        <v>50145</v>
      </c>
      <c r="S2975" s="5">
        <f t="shared" si="140"/>
        <v>75863.40336134455</v>
      </c>
    </row>
    <row r="2976" spans="1:19" hidden="1" x14ac:dyDescent="0.3">
      <c r="A2976">
        <v>150</v>
      </c>
      <c r="B2976" t="s">
        <v>4361</v>
      </c>
      <c r="C2976" t="s">
        <v>4698</v>
      </c>
      <c r="D2976" s="2" t="s">
        <v>4699</v>
      </c>
      <c r="E2976" t="s">
        <v>3783</v>
      </c>
      <c r="F2976" t="s">
        <v>20</v>
      </c>
      <c r="G2976" t="s">
        <v>21</v>
      </c>
      <c r="H2976" t="s">
        <v>295</v>
      </c>
      <c r="I2976" t="s">
        <v>23</v>
      </c>
      <c r="J2976" t="s">
        <v>40</v>
      </c>
      <c r="K2976" s="2" t="s">
        <v>1797</v>
      </c>
      <c r="L2976" t="s">
        <v>26</v>
      </c>
      <c r="M2976">
        <v>358402</v>
      </c>
      <c r="N2976">
        <v>1</v>
      </c>
      <c r="O2976" s="3">
        <v>59990</v>
      </c>
      <c r="P2976" s="3">
        <v>25057</v>
      </c>
      <c r="Q2976" s="5">
        <f t="shared" si="138"/>
        <v>50411.764705882357</v>
      </c>
      <c r="R2976" s="5">
        <f t="shared" si="139"/>
        <v>25057</v>
      </c>
      <c r="S2976" s="5">
        <f t="shared" si="140"/>
        <v>25354.764705882357</v>
      </c>
    </row>
    <row r="2977" spans="1:19" hidden="1" x14ac:dyDescent="0.3">
      <c r="A2977">
        <v>150</v>
      </c>
      <c r="B2977" t="s">
        <v>4361</v>
      </c>
      <c r="C2977" t="s">
        <v>4700</v>
      </c>
      <c r="D2977" s="2" t="s">
        <v>4701</v>
      </c>
      <c r="E2977" t="s">
        <v>4702</v>
      </c>
      <c r="F2977" t="s">
        <v>20</v>
      </c>
      <c r="G2977" t="s">
        <v>21</v>
      </c>
      <c r="H2977" t="s">
        <v>295</v>
      </c>
      <c r="I2977" t="s">
        <v>23</v>
      </c>
      <c r="J2977" t="s">
        <v>40</v>
      </c>
      <c r="K2977" s="2" t="s">
        <v>1797</v>
      </c>
      <c r="L2977" t="s">
        <v>26</v>
      </c>
      <c r="M2977">
        <v>358402</v>
      </c>
      <c r="N2977">
        <v>1</v>
      </c>
      <c r="O2977" s="3">
        <v>79950</v>
      </c>
      <c r="P2977" s="3">
        <v>26951</v>
      </c>
      <c r="Q2977" s="5">
        <f t="shared" si="138"/>
        <v>67184.873949579836</v>
      </c>
      <c r="R2977" s="5">
        <f t="shared" si="139"/>
        <v>26951</v>
      </c>
      <c r="S2977" s="5">
        <f t="shared" si="140"/>
        <v>40233.873949579836</v>
      </c>
    </row>
    <row r="2978" spans="1:19" hidden="1" x14ac:dyDescent="0.3">
      <c r="A2978">
        <v>150</v>
      </c>
      <c r="B2978" t="s">
        <v>4361</v>
      </c>
      <c r="C2978" t="s">
        <v>4619</v>
      </c>
      <c r="D2978" s="2" t="s">
        <v>4620</v>
      </c>
      <c r="E2978" t="s">
        <v>4547</v>
      </c>
      <c r="F2978" t="s">
        <v>20</v>
      </c>
      <c r="G2978" t="s">
        <v>21</v>
      </c>
      <c r="H2978" t="s">
        <v>285</v>
      </c>
      <c r="I2978" t="s">
        <v>23</v>
      </c>
      <c r="J2978" t="s">
        <v>49</v>
      </c>
      <c r="K2978" s="2" t="s">
        <v>1797</v>
      </c>
      <c r="L2978" t="s">
        <v>26</v>
      </c>
      <c r="M2978">
        <v>358403</v>
      </c>
      <c r="N2978">
        <v>-1</v>
      </c>
      <c r="O2978" s="3">
        <v>-59990</v>
      </c>
      <c r="P2978" s="3">
        <v>29034</v>
      </c>
      <c r="Q2978" s="5">
        <f t="shared" si="138"/>
        <v>-50411.764705882357</v>
      </c>
      <c r="R2978" s="5">
        <f t="shared" si="139"/>
        <v>-29034</v>
      </c>
      <c r="S2978" s="5">
        <f t="shared" si="140"/>
        <v>-21377.764705882357</v>
      </c>
    </row>
    <row r="2979" spans="1:19" hidden="1" x14ac:dyDescent="0.3">
      <c r="A2979">
        <v>150</v>
      </c>
      <c r="B2979" t="s">
        <v>4361</v>
      </c>
      <c r="C2979" t="s">
        <v>4289</v>
      </c>
      <c r="D2979" s="2" t="s">
        <v>4290</v>
      </c>
      <c r="E2979" t="s">
        <v>4291</v>
      </c>
      <c r="F2979" t="s">
        <v>20</v>
      </c>
      <c r="G2979" t="s">
        <v>21</v>
      </c>
      <c r="H2979" t="s">
        <v>285</v>
      </c>
      <c r="I2979" t="s">
        <v>23</v>
      </c>
      <c r="J2979" t="s">
        <v>35</v>
      </c>
      <c r="K2979" s="2" t="s">
        <v>1797</v>
      </c>
      <c r="L2979" t="s">
        <v>26</v>
      </c>
      <c r="M2979">
        <v>358403</v>
      </c>
      <c r="N2979">
        <v>1</v>
      </c>
      <c r="O2979" s="3">
        <v>79950</v>
      </c>
      <c r="P2979" s="3">
        <v>31401</v>
      </c>
      <c r="Q2979" s="5">
        <f t="shared" si="138"/>
        <v>67184.873949579836</v>
      </c>
      <c r="R2979" s="5">
        <f t="shared" si="139"/>
        <v>31401</v>
      </c>
      <c r="S2979" s="5">
        <f t="shared" si="140"/>
        <v>35783.873949579836</v>
      </c>
    </row>
    <row r="2980" spans="1:19" hidden="1" x14ac:dyDescent="0.3">
      <c r="A2980">
        <v>150</v>
      </c>
      <c r="B2980" t="s">
        <v>4361</v>
      </c>
      <c r="C2980" t="s">
        <v>1547</v>
      </c>
      <c r="D2980" s="2" t="s">
        <v>1548</v>
      </c>
      <c r="E2980" t="s">
        <v>880</v>
      </c>
      <c r="F2980" t="s">
        <v>20</v>
      </c>
      <c r="G2980" t="s">
        <v>21</v>
      </c>
      <c r="H2980" t="s">
        <v>881</v>
      </c>
      <c r="I2980" t="s">
        <v>23</v>
      </c>
      <c r="J2980" t="s">
        <v>35</v>
      </c>
      <c r="K2980" s="2" t="s">
        <v>1797</v>
      </c>
      <c r="L2980" t="s">
        <v>26</v>
      </c>
      <c r="M2980">
        <v>358404</v>
      </c>
      <c r="N2980">
        <v>-1</v>
      </c>
      <c r="O2980" s="3">
        <v>-64990</v>
      </c>
      <c r="P2980" s="3">
        <v>33937</v>
      </c>
      <c r="Q2980" s="5">
        <f t="shared" si="138"/>
        <v>-54613.445378151264</v>
      </c>
      <c r="R2980" s="5">
        <f t="shared" si="139"/>
        <v>-33937</v>
      </c>
      <c r="S2980" s="5">
        <f t="shared" si="140"/>
        <v>-20676.445378151264</v>
      </c>
    </row>
    <row r="2981" spans="1:19" hidden="1" x14ac:dyDescent="0.3">
      <c r="A2981">
        <v>150</v>
      </c>
      <c r="B2981" t="s">
        <v>4361</v>
      </c>
      <c r="C2981" t="s">
        <v>4703</v>
      </c>
      <c r="D2981" s="2" t="s">
        <v>4704</v>
      </c>
      <c r="E2981" t="s">
        <v>2918</v>
      </c>
      <c r="F2981" t="s">
        <v>20</v>
      </c>
      <c r="G2981" t="s">
        <v>21</v>
      </c>
      <c r="H2981" t="s">
        <v>2715</v>
      </c>
      <c r="I2981" t="s">
        <v>23</v>
      </c>
      <c r="J2981" t="s">
        <v>49</v>
      </c>
      <c r="K2981" s="2" t="s">
        <v>1797</v>
      </c>
      <c r="L2981" t="s">
        <v>26</v>
      </c>
      <c r="M2981">
        <v>358404</v>
      </c>
      <c r="N2981">
        <v>1</v>
      </c>
      <c r="O2981" s="3">
        <v>74950</v>
      </c>
      <c r="P2981" s="3">
        <v>28206</v>
      </c>
      <c r="Q2981" s="5">
        <f t="shared" si="138"/>
        <v>62983.193277310929</v>
      </c>
      <c r="R2981" s="5">
        <f t="shared" si="139"/>
        <v>28206</v>
      </c>
      <c r="S2981" s="5">
        <f t="shared" si="140"/>
        <v>34777.193277310929</v>
      </c>
    </row>
    <row r="2982" spans="1:19" hidden="1" x14ac:dyDescent="0.3">
      <c r="A2982">
        <v>150</v>
      </c>
      <c r="B2982" t="s">
        <v>4361</v>
      </c>
      <c r="C2982" t="s">
        <v>4705</v>
      </c>
      <c r="D2982" s="2" t="s">
        <v>4706</v>
      </c>
      <c r="E2982" t="s">
        <v>2834</v>
      </c>
      <c r="F2982" t="s">
        <v>20</v>
      </c>
      <c r="G2982" t="s">
        <v>21</v>
      </c>
      <c r="H2982" t="s">
        <v>870</v>
      </c>
      <c r="I2982" t="s">
        <v>23</v>
      </c>
      <c r="J2982" t="s">
        <v>49</v>
      </c>
      <c r="K2982" s="2" t="s">
        <v>1797</v>
      </c>
      <c r="L2982" t="s">
        <v>26</v>
      </c>
      <c r="M2982">
        <v>358405</v>
      </c>
      <c r="N2982">
        <v>1</v>
      </c>
      <c r="O2982" s="3">
        <v>64950</v>
      </c>
      <c r="P2982" s="3">
        <v>23542</v>
      </c>
      <c r="Q2982" s="5">
        <f t="shared" si="138"/>
        <v>54579.831932773115</v>
      </c>
      <c r="R2982" s="5">
        <f t="shared" si="139"/>
        <v>23542</v>
      </c>
      <c r="S2982" s="5">
        <f t="shared" si="140"/>
        <v>31037.831932773115</v>
      </c>
    </row>
    <row r="2983" spans="1:19" hidden="1" x14ac:dyDescent="0.3">
      <c r="A2983">
        <v>150</v>
      </c>
      <c r="B2983" t="s">
        <v>4361</v>
      </c>
      <c r="C2983" t="s">
        <v>1037</v>
      </c>
      <c r="D2983" s="2" t="s">
        <v>1038</v>
      </c>
      <c r="E2983" t="s">
        <v>1039</v>
      </c>
      <c r="F2983" t="s">
        <v>377</v>
      </c>
      <c r="G2983" t="s">
        <v>21</v>
      </c>
      <c r="H2983" t="s">
        <v>378</v>
      </c>
      <c r="I2983" t="s">
        <v>23</v>
      </c>
      <c r="J2983" t="s">
        <v>379</v>
      </c>
      <c r="K2983" s="2" t="s">
        <v>1797</v>
      </c>
      <c r="L2983" t="s">
        <v>26</v>
      </c>
      <c r="M2983">
        <v>358406</v>
      </c>
      <c r="N2983">
        <v>1</v>
      </c>
      <c r="O2983" s="3">
        <v>5950</v>
      </c>
      <c r="P2983" s="3">
        <v>3257</v>
      </c>
      <c r="Q2983" s="5">
        <f t="shared" si="138"/>
        <v>5000</v>
      </c>
      <c r="R2983" s="5">
        <f t="shared" si="139"/>
        <v>3257</v>
      </c>
      <c r="S2983" s="5">
        <f t="shared" si="140"/>
        <v>1743</v>
      </c>
    </row>
    <row r="2984" spans="1:19" hidden="1" x14ac:dyDescent="0.3">
      <c r="A2984">
        <v>150</v>
      </c>
      <c r="B2984" t="s">
        <v>4361</v>
      </c>
      <c r="C2984" t="s">
        <v>4688</v>
      </c>
      <c r="D2984" s="2" t="s">
        <v>4689</v>
      </c>
      <c r="E2984" t="s">
        <v>4646</v>
      </c>
      <c r="F2984" t="s">
        <v>20</v>
      </c>
      <c r="G2984" t="s">
        <v>21</v>
      </c>
      <c r="H2984" t="s">
        <v>4647</v>
      </c>
      <c r="I2984" t="s">
        <v>23</v>
      </c>
      <c r="J2984" t="s">
        <v>49</v>
      </c>
      <c r="K2984" s="2" t="s">
        <v>1797</v>
      </c>
      <c r="L2984" t="s">
        <v>26</v>
      </c>
      <c r="M2984">
        <v>358407</v>
      </c>
      <c r="N2984">
        <v>1</v>
      </c>
      <c r="O2984" s="3">
        <v>74950</v>
      </c>
      <c r="P2984" s="3">
        <v>28861</v>
      </c>
      <c r="Q2984" s="5">
        <f t="shared" si="138"/>
        <v>62983.193277310929</v>
      </c>
      <c r="R2984" s="5">
        <f t="shared" si="139"/>
        <v>28861</v>
      </c>
      <c r="S2984" s="5">
        <f t="shared" si="140"/>
        <v>34122.193277310929</v>
      </c>
    </row>
    <row r="2985" spans="1:19" hidden="1" x14ac:dyDescent="0.3">
      <c r="A2985">
        <v>150</v>
      </c>
      <c r="B2985" t="s">
        <v>4361</v>
      </c>
      <c r="C2985" t="s">
        <v>2550</v>
      </c>
      <c r="D2985" s="2" t="s">
        <v>2551</v>
      </c>
      <c r="E2985" t="s">
        <v>2552</v>
      </c>
      <c r="F2985" t="s">
        <v>20</v>
      </c>
      <c r="G2985" t="s">
        <v>21</v>
      </c>
      <c r="H2985" t="s">
        <v>2353</v>
      </c>
      <c r="I2985" t="s">
        <v>23</v>
      </c>
      <c r="J2985" t="s">
        <v>40</v>
      </c>
      <c r="K2985" s="2" t="s">
        <v>1797</v>
      </c>
      <c r="L2985" t="s">
        <v>26</v>
      </c>
      <c r="M2985">
        <v>358407</v>
      </c>
      <c r="N2985">
        <v>1</v>
      </c>
      <c r="O2985" s="3">
        <v>69990</v>
      </c>
      <c r="P2985" s="3">
        <v>31436</v>
      </c>
      <c r="Q2985" s="5">
        <f t="shared" si="138"/>
        <v>58815.126050420171</v>
      </c>
      <c r="R2985" s="5">
        <f t="shared" si="139"/>
        <v>31436</v>
      </c>
      <c r="S2985" s="5">
        <f t="shared" si="140"/>
        <v>27379.126050420171</v>
      </c>
    </row>
    <row r="2986" spans="1:19" hidden="1" x14ac:dyDescent="0.3">
      <c r="A2986">
        <v>150</v>
      </c>
      <c r="B2986" t="s">
        <v>4361</v>
      </c>
      <c r="C2986" t="s">
        <v>2575</v>
      </c>
      <c r="D2986" s="2" t="s">
        <v>2576</v>
      </c>
      <c r="E2986" t="s">
        <v>2577</v>
      </c>
      <c r="F2986" t="s">
        <v>377</v>
      </c>
      <c r="G2986" t="s">
        <v>21</v>
      </c>
      <c r="H2986" t="s">
        <v>378</v>
      </c>
      <c r="I2986" t="s">
        <v>23</v>
      </c>
      <c r="J2986" t="s">
        <v>379</v>
      </c>
      <c r="K2986" s="2" t="s">
        <v>1797</v>
      </c>
      <c r="L2986" t="s">
        <v>26</v>
      </c>
      <c r="M2986">
        <v>358407</v>
      </c>
      <c r="N2986">
        <v>1</v>
      </c>
      <c r="O2986" s="3">
        <v>5950</v>
      </c>
      <c r="P2986" s="3">
        <v>3307</v>
      </c>
      <c r="Q2986" s="5">
        <f t="shared" si="138"/>
        <v>5000</v>
      </c>
      <c r="R2986" s="5">
        <f t="shared" si="139"/>
        <v>3307</v>
      </c>
      <c r="S2986" s="5">
        <f t="shared" si="140"/>
        <v>1693</v>
      </c>
    </row>
    <row r="2987" spans="1:19" hidden="1" x14ac:dyDescent="0.3">
      <c r="A2987">
        <v>150</v>
      </c>
      <c r="B2987" t="s">
        <v>4361</v>
      </c>
      <c r="C2987" t="s">
        <v>4707</v>
      </c>
      <c r="D2987" s="2" t="s">
        <v>4708</v>
      </c>
      <c r="E2987" t="s">
        <v>2566</v>
      </c>
      <c r="F2987" t="s">
        <v>20</v>
      </c>
      <c r="G2987" t="s">
        <v>21</v>
      </c>
      <c r="H2987" t="s">
        <v>1689</v>
      </c>
      <c r="I2987" t="s">
        <v>23</v>
      </c>
      <c r="J2987" t="s">
        <v>49</v>
      </c>
      <c r="K2987" s="2" t="s">
        <v>1797</v>
      </c>
      <c r="L2987" t="s">
        <v>26</v>
      </c>
      <c r="M2987">
        <v>358408</v>
      </c>
      <c r="N2987">
        <v>1</v>
      </c>
      <c r="O2987" s="3">
        <v>89950</v>
      </c>
      <c r="P2987" s="3">
        <v>37844</v>
      </c>
      <c r="Q2987" s="5">
        <f t="shared" si="138"/>
        <v>75588.23529411765</v>
      </c>
      <c r="R2987" s="5">
        <f t="shared" si="139"/>
        <v>37844</v>
      </c>
      <c r="S2987" s="5">
        <f t="shared" si="140"/>
        <v>37744.23529411765</v>
      </c>
    </row>
    <row r="2988" spans="1:19" hidden="1" x14ac:dyDescent="0.3">
      <c r="A2988">
        <v>150</v>
      </c>
      <c r="B2988" t="s">
        <v>4361</v>
      </c>
      <c r="C2988" t="s">
        <v>4674</v>
      </c>
      <c r="D2988" s="2" t="s">
        <v>4675</v>
      </c>
      <c r="E2988" t="s">
        <v>4676</v>
      </c>
      <c r="F2988" t="s">
        <v>20</v>
      </c>
      <c r="G2988" t="s">
        <v>21</v>
      </c>
      <c r="H2988" t="s">
        <v>4647</v>
      </c>
      <c r="I2988" t="s">
        <v>23</v>
      </c>
      <c r="J2988" t="s">
        <v>49</v>
      </c>
      <c r="K2988" s="2" t="s">
        <v>1797</v>
      </c>
      <c r="L2988" t="s">
        <v>26</v>
      </c>
      <c r="M2988">
        <v>358408</v>
      </c>
      <c r="N2988">
        <v>1</v>
      </c>
      <c r="O2988" s="3">
        <v>74950</v>
      </c>
      <c r="P2988" s="3">
        <v>28883</v>
      </c>
      <c r="Q2988" s="5">
        <f t="shared" si="138"/>
        <v>62983.193277310929</v>
      </c>
      <c r="R2988" s="5">
        <f t="shared" si="139"/>
        <v>28883</v>
      </c>
      <c r="S2988" s="5">
        <f t="shared" si="140"/>
        <v>34100.193277310929</v>
      </c>
    </row>
    <row r="2989" spans="1:19" hidden="1" x14ac:dyDescent="0.3">
      <c r="A2989">
        <v>150</v>
      </c>
      <c r="B2989" t="s">
        <v>4361</v>
      </c>
      <c r="C2989" t="s">
        <v>4152</v>
      </c>
      <c r="D2989" s="2" t="s">
        <v>4153</v>
      </c>
      <c r="E2989" t="s">
        <v>3491</v>
      </c>
      <c r="F2989" t="s">
        <v>20</v>
      </c>
      <c r="G2989" t="s">
        <v>338</v>
      </c>
      <c r="H2989">
        <v>85200</v>
      </c>
      <c r="I2989" t="s">
        <v>23</v>
      </c>
      <c r="J2989" t="s">
        <v>35</v>
      </c>
      <c r="K2989" s="2" t="s">
        <v>1797</v>
      </c>
      <c r="L2989" t="s">
        <v>26</v>
      </c>
      <c r="M2989">
        <v>358408</v>
      </c>
      <c r="N2989">
        <v>1</v>
      </c>
      <c r="O2989" s="3">
        <v>89950</v>
      </c>
      <c r="P2989" s="3">
        <v>27253</v>
      </c>
      <c r="Q2989" s="5">
        <f t="shared" si="138"/>
        <v>75588.23529411765</v>
      </c>
      <c r="R2989" s="5">
        <f t="shared" si="139"/>
        <v>27253</v>
      </c>
      <c r="S2989" s="5">
        <f t="shared" si="140"/>
        <v>48335.23529411765</v>
      </c>
    </row>
    <row r="2990" spans="1:19" hidden="1" x14ac:dyDescent="0.3">
      <c r="A2990">
        <v>150</v>
      </c>
      <c r="B2990" t="s">
        <v>4361</v>
      </c>
      <c r="C2990" t="s">
        <v>4194</v>
      </c>
      <c r="D2990" s="2" t="s">
        <v>4195</v>
      </c>
      <c r="E2990" t="s">
        <v>4196</v>
      </c>
      <c r="F2990" t="s">
        <v>377</v>
      </c>
      <c r="G2990" t="s">
        <v>21</v>
      </c>
      <c r="H2990" t="s">
        <v>378</v>
      </c>
      <c r="I2990" t="s">
        <v>23</v>
      </c>
      <c r="J2990" t="s">
        <v>379</v>
      </c>
      <c r="K2990" s="2" t="s">
        <v>1797</v>
      </c>
      <c r="L2990" t="s">
        <v>26</v>
      </c>
      <c r="M2990">
        <v>358409</v>
      </c>
      <c r="N2990">
        <v>1</v>
      </c>
      <c r="O2990" s="3">
        <v>6950</v>
      </c>
      <c r="P2990" s="3">
        <v>3541</v>
      </c>
      <c r="Q2990" s="5">
        <f t="shared" si="138"/>
        <v>5840.3361344537816</v>
      </c>
      <c r="R2990" s="5">
        <f t="shared" si="139"/>
        <v>3541</v>
      </c>
      <c r="S2990" s="5">
        <f t="shared" si="140"/>
        <v>2299.3361344537816</v>
      </c>
    </row>
    <row r="2991" spans="1:19" hidden="1" x14ac:dyDescent="0.3">
      <c r="A2991">
        <v>150</v>
      </c>
      <c r="B2991" t="s">
        <v>4361</v>
      </c>
      <c r="C2991" t="s">
        <v>4709</v>
      </c>
      <c r="D2991" s="2" t="s">
        <v>4710</v>
      </c>
      <c r="E2991" t="s">
        <v>316</v>
      </c>
      <c r="F2991" t="s">
        <v>20</v>
      </c>
      <c r="G2991" t="s">
        <v>21</v>
      </c>
      <c r="H2991" t="s">
        <v>317</v>
      </c>
      <c r="I2991" t="s">
        <v>23</v>
      </c>
      <c r="J2991" t="s">
        <v>35</v>
      </c>
      <c r="K2991" s="2" t="s">
        <v>1853</v>
      </c>
      <c r="L2991" t="s">
        <v>26</v>
      </c>
      <c r="M2991">
        <v>358410</v>
      </c>
      <c r="N2991">
        <v>1</v>
      </c>
      <c r="O2991" s="3">
        <v>69950</v>
      </c>
      <c r="P2991" s="3">
        <v>23763</v>
      </c>
      <c r="Q2991" s="5">
        <f t="shared" si="138"/>
        <v>58781.512605042022</v>
      </c>
      <c r="R2991" s="5">
        <f t="shared" si="139"/>
        <v>23763</v>
      </c>
      <c r="S2991" s="5">
        <f t="shared" si="140"/>
        <v>35018.512605042022</v>
      </c>
    </row>
    <row r="2992" spans="1:19" hidden="1" x14ac:dyDescent="0.3">
      <c r="A2992">
        <v>150</v>
      </c>
      <c r="B2992" t="s">
        <v>4361</v>
      </c>
      <c r="C2992" t="s">
        <v>4711</v>
      </c>
      <c r="D2992" s="2" t="s">
        <v>4712</v>
      </c>
      <c r="E2992" t="s">
        <v>2748</v>
      </c>
      <c r="F2992" t="s">
        <v>20</v>
      </c>
      <c r="G2992" t="s">
        <v>338</v>
      </c>
      <c r="H2992">
        <v>26266</v>
      </c>
      <c r="I2992" t="s">
        <v>23</v>
      </c>
      <c r="J2992" t="s">
        <v>35</v>
      </c>
      <c r="K2992" s="2" t="s">
        <v>1853</v>
      </c>
      <c r="L2992" t="s">
        <v>26</v>
      </c>
      <c r="M2992">
        <v>358411</v>
      </c>
      <c r="N2992">
        <v>1</v>
      </c>
      <c r="O2992" s="3">
        <v>79950</v>
      </c>
      <c r="P2992" s="3">
        <v>25300</v>
      </c>
      <c r="Q2992" s="5">
        <f t="shared" si="138"/>
        <v>67184.873949579836</v>
      </c>
      <c r="R2992" s="5">
        <f t="shared" si="139"/>
        <v>25300</v>
      </c>
      <c r="S2992" s="5">
        <f t="shared" si="140"/>
        <v>41884.873949579836</v>
      </c>
    </row>
    <row r="2993" spans="1:19" hidden="1" x14ac:dyDescent="0.3">
      <c r="A2993">
        <v>150</v>
      </c>
      <c r="B2993" t="s">
        <v>4361</v>
      </c>
      <c r="C2993" t="s">
        <v>2485</v>
      </c>
      <c r="D2993" s="2" t="s">
        <v>2486</v>
      </c>
      <c r="E2993" t="s">
        <v>2487</v>
      </c>
      <c r="F2993" t="s">
        <v>377</v>
      </c>
      <c r="G2993" t="s">
        <v>21</v>
      </c>
      <c r="H2993" t="s">
        <v>378</v>
      </c>
      <c r="I2993" t="s">
        <v>23</v>
      </c>
      <c r="J2993" t="s">
        <v>379</v>
      </c>
      <c r="K2993" s="2" t="s">
        <v>1853</v>
      </c>
      <c r="L2993" t="s">
        <v>26</v>
      </c>
      <c r="M2993">
        <v>358411</v>
      </c>
      <c r="N2993">
        <v>1</v>
      </c>
      <c r="O2993" s="3">
        <v>5950</v>
      </c>
      <c r="P2993" s="3">
        <v>2243</v>
      </c>
      <c r="Q2993" s="5">
        <f t="shared" si="138"/>
        <v>5000</v>
      </c>
      <c r="R2993" s="5">
        <f t="shared" si="139"/>
        <v>2243</v>
      </c>
      <c r="S2993" s="5">
        <f t="shared" si="140"/>
        <v>2757</v>
      </c>
    </row>
    <row r="2994" spans="1:19" hidden="1" x14ac:dyDescent="0.3">
      <c r="A2994">
        <v>150</v>
      </c>
      <c r="B2994" t="s">
        <v>4361</v>
      </c>
      <c r="C2994" t="s">
        <v>4713</v>
      </c>
      <c r="D2994" s="2" t="s">
        <v>4714</v>
      </c>
      <c r="E2994" t="s">
        <v>4715</v>
      </c>
      <c r="F2994" t="s">
        <v>377</v>
      </c>
      <c r="G2994" t="s">
        <v>21</v>
      </c>
      <c r="H2994" t="s">
        <v>378</v>
      </c>
      <c r="I2994" t="s">
        <v>23</v>
      </c>
      <c r="J2994" t="s">
        <v>379</v>
      </c>
      <c r="K2994" s="2" t="s">
        <v>1853</v>
      </c>
      <c r="L2994" t="s">
        <v>26</v>
      </c>
      <c r="M2994">
        <v>358411</v>
      </c>
      <c r="N2994">
        <v>1</v>
      </c>
      <c r="O2994" s="3">
        <v>5450</v>
      </c>
      <c r="P2994" s="3">
        <v>2204</v>
      </c>
      <c r="Q2994" s="5">
        <f t="shared" si="138"/>
        <v>4579.8319327731097</v>
      </c>
      <c r="R2994" s="5">
        <f t="shared" si="139"/>
        <v>2204</v>
      </c>
      <c r="S2994" s="5">
        <f t="shared" si="140"/>
        <v>2375.8319327731097</v>
      </c>
    </row>
    <row r="2995" spans="1:19" hidden="1" x14ac:dyDescent="0.3">
      <c r="A2995">
        <v>150</v>
      </c>
      <c r="B2995" t="s">
        <v>4361</v>
      </c>
      <c r="C2995" t="s">
        <v>3586</v>
      </c>
      <c r="D2995" s="2" t="s">
        <v>3587</v>
      </c>
      <c r="E2995" t="s">
        <v>3449</v>
      </c>
      <c r="F2995" t="s">
        <v>20</v>
      </c>
      <c r="G2995" t="s">
        <v>338</v>
      </c>
      <c r="H2995">
        <v>25366</v>
      </c>
      <c r="I2995" t="s">
        <v>23</v>
      </c>
      <c r="J2995" t="s">
        <v>35</v>
      </c>
      <c r="K2995" s="2" t="s">
        <v>1853</v>
      </c>
      <c r="L2995" t="s">
        <v>26</v>
      </c>
      <c r="M2995">
        <v>358412</v>
      </c>
      <c r="N2995">
        <v>1</v>
      </c>
      <c r="O2995" s="3">
        <v>99951</v>
      </c>
      <c r="P2995" s="3">
        <v>33157</v>
      </c>
      <c r="Q2995" s="5">
        <f t="shared" si="138"/>
        <v>83992.436974789918</v>
      </c>
      <c r="R2995" s="5">
        <f t="shared" si="139"/>
        <v>33157</v>
      </c>
      <c r="S2995" s="5">
        <f t="shared" si="140"/>
        <v>50835.436974789918</v>
      </c>
    </row>
    <row r="2996" spans="1:19" hidden="1" x14ac:dyDescent="0.3">
      <c r="A2996">
        <v>150</v>
      </c>
      <c r="B2996" t="s">
        <v>4361</v>
      </c>
      <c r="C2996" t="s">
        <v>3447</v>
      </c>
      <c r="D2996" s="2" t="s">
        <v>3448</v>
      </c>
      <c r="E2996" t="s">
        <v>3449</v>
      </c>
      <c r="F2996" t="s">
        <v>20</v>
      </c>
      <c r="G2996" t="s">
        <v>338</v>
      </c>
      <c r="H2996">
        <v>25366</v>
      </c>
      <c r="I2996" t="s">
        <v>23</v>
      </c>
      <c r="J2996" t="s">
        <v>35</v>
      </c>
      <c r="K2996" s="2" t="s">
        <v>1853</v>
      </c>
      <c r="L2996" t="s">
        <v>26</v>
      </c>
      <c r="M2996">
        <v>358412</v>
      </c>
      <c r="N2996">
        <v>-1</v>
      </c>
      <c r="O2996" s="3">
        <v>-99950</v>
      </c>
      <c r="P2996" s="3">
        <v>33157</v>
      </c>
      <c r="Q2996" s="5">
        <f t="shared" si="138"/>
        <v>-83991.596638655465</v>
      </c>
      <c r="R2996" s="5">
        <f t="shared" si="139"/>
        <v>-33157</v>
      </c>
      <c r="S2996" s="5">
        <f t="shared" si="140"/>
        <v>-50834.596638655465</v>
      </c>
    </row>
    <row r="2997" spans="1:19" hidden="1" x14ac:dyDescent="0.3">
      <c r="A2997">
        <v>150</v>
      </c>
      <c r="B2997" t="s">
        <v>4361</v>
      </c>
      <c r="C2997" t="s">
        <v>2981</v>
      </c>
      <c r="D2997" s="2" t="s">
        <v>2982</v>
      </c>
      <c r="E2997" t="s">
        <v>294</v>
      </c>
      <c r="F2997" t="s">
        <v>20</v>
      </c>
      <c r="G2997" t="s">
        <v>21</v>
      </c>
      <c r="H2997" t="s">
        <v>295</v>
      </c>
      <c r="I2997" t="s">
        <v>23</v>
      </c>
      <c r="J2997" t="s">
        <v>40</v>
      </c>
      <c r="K2997" s="2" t="s">
        <v>1853</v>
      </c>
      <c r="L2997" t="s">
        <v>26</v>
      </c>
      <c r="M2997">
        <v>358413</v>
      </c>
      <c r="N2997">
        <v>1</v>
      </c>
      <c r="O2997" s="3">
        <v>79950</v>
      </c>
      <c r="P2997" s="3">
        <v>26951</v>
      </c>
      <c r="Q2997" s="5">
        <f t="shared" si="138"/>
        <v>67184.873949579836</v>
      </c>
      <c r="R2997" s="5">
        <f t="shared" si="139"/>
        <v>26951</v>
      </c>
      <c r="S2997" s="5">
        <f t="shared" si="140"/>
        <v>40233.873949579836</v>
      </c>
    </row>
    <row r="2998" spans="1:19" hidden="1" x14ac:dyDescent="0.3">
      <c r="A2998">
        <v>150</v>
      </c>
      <c r="B2998" t="s">
        <v>4361</v>
      </c>
      <c r="C2998" t="s">
        <v>4502</v>
      </c>
      <c r="D2998" s="2" t="s">
        <v>4503</v>
      </c>
      <c r="E2998" t="s">
        <v>3914</v>
      </c>
      <c r="F2998" t="s">
        <v>20</v>
      </c>
      <c r="G2998" t="s">
        <v>338</v>
      </c>
      <c r="H2998">
        <v>24316</v>
      </c>
      <c r="I2998" t="s">
        <v>23</v>
      </c>
      <c r="J2998" t="s">
        <v>49</v>
      </c>
      <c r="K2998" s="2" t="s">
        <v>1853</v>
      </c>
      <c r="L2998" t="s">
        <v>26</v>
      </c>
      <c r="M2998">
        <v>358414</v>
      </c>
      <c r="N2998">
        <v>1</v>
      </c>
      <c r="O2998" s="3">
        <v>74950</v>
      </c>
      <c r="P2998" s="3">
        <v>23473</v>
      </c>
      <c r="Q2998" s="5">
        <f t="shared" si="138"/>
        <v>62983.193277310929</v>
      </c>
      <c r="R2998" s="5">
        <f t="shared" si="139"/>
        <v>23473</v>
      </c>
      <c r="S2998" s="5">
        <f t="shared" si="140"/>
        <v>39510.193277310929</v>
      </c>
    </row>
    <row r="2999" spans="1:19" hidden="1" x14ac:dyDescent="0.3">
      <c r="A2999">
        <v>150</v>
      </c>
      <c r="B2999" t="s">
        <v>4361</v>
      </c>
      <c r="C2999" t="s">
        <v>2984</v>
      </c>
      <c r="D2999" s="2" t="s">
        <v>2985</v>
      </c>
      <c r="E2999" t="s">
        <v>2986</v>
      </c>
      <c r="F2999" t="s">
        <v>20</v>
      </c>
      <c r="G2999" t="s">
        <v>21</v>
      </c>
      <c r="H2999" t="s">
        <v>267</v>
      </c>
      <c r="I2999" t="s">
        <v>23</v>
      </c>
      <c r="J2999" t="s">
        <v>35</v>
      </c>
      <c r="K2999" s="2" t="s">
        <v>1853</v>
      </c>
      <c r="L2999" t="s">
        <v>26</v>
      </c>
      <c r="M2999">
        <v>358415</v>
      </c>
      <c r="N2999">
        <v>1</v>
      </c>
      <c r="O2999" s="3">
        <v>59990</v>
      </c>
      <c r="P2999" s="3">
        <v>24733</v>
      </c>
      <c r="Q2999" s="5">
        <f t="shared" si="138"/>
        <v>50411.764705882357</v>
      </c>
      <c r="R2999" s="5">
        <f t="shared" si="139"/>
        <v>24733</v>
      </c>
      <c r="S2999" s="5">
        <f t="shared" si="140"/>
        <v>25678.764705882357</v>
      </c>
    </row>
    <row r="3000" spans="1:19" hidden="1" x14ac:dyDescent="0.3">
      <c r="A3000">
        <v>150</v>
      </c>
      <c r="B3000" t="s">
        <v>4361</v>
      </c>
      <c r="C3000" t="s">
        <v>2418</v>
      </c>
      <c r="D3000" s="2" t="s">
        <v>2419</v>
      </c>
      <c r="E3000" t="s">
        <v>1491</v>
      </c>
      <c r="F3000" t="s">
        <v>20</v>
      </c>
      <c r="G3000" t="s">
        <v>21</v>
      </c>
      <c r="H3000" t="s">
        <v>610</v>
      </c>
      <c r="I3000" t="s">
        <v>23</v>
      </c>
      <c r="J3000" t="s">
        <v>40</v>
      </c>
      <c r="K3000" s="2" t="s">
        <v>1853</v>
      </c>
      <c r="L3000" t="s">
        <v>26</v>
      </c>
      <c r="M3000">
        <v>358416</v>
      </c>
      <c r="N3000">
        <v>1</v>
      </c>
      <c r="O3000" s="3">
        <v>34990</v>
      </c>
      <c r="P3000" s="3">
        <v>14680</v>
      </c>
      <c r="Q3000" s="5">
        <f t="shared" si="138"/>
        <v>29403.361344537818</v>
      </c>
      <c r="R3000" s="5">
        <f t="shared" si="139"/>
        <v>14680</v>
      </c>
      <c r="S3000" s="5">
        <f t="shared" si="140"/>
        <v>14723.361344537818</v>
      </c>
    </row>
    <row r="3001" spans="1:19" hidden="1" x14ac:dyDescent="0.3">
      <c r="A3001">
        <v>150</v>
      </c>
      <c r="B3001" t="s">
        <v>4361</v>
      </c>
      <c r="C3001">
        <v>1687976791</v>
      </c>
      <c r="D3001" s="2" t="s">
        <v>200</v>
      </c>
      <c r="E3001" t="s">
        <v>201</v>
      </c>
      <c r="F3001" t="s">
        <v>201</v>
      </c>
      <c r="G3001" t="s">
        <v>202</v>
      </c>
      <c r="H3001" t="s">
        <v>202</v>
      </c>
      <c r="I3001" t="s">
        <v>23</v>
      </c>
      <c r="J3001" t="s">
        <v>202</v>
      </c>
      <c r="K3001" s="2" t="s">
        <v>1853</v>
      </c>
      <c r="L3001" t="s">
        <v>26</v>
      </c>
      <c r="M3001">
        <v>358416</v>
      </c>
      <c r="N3001">
        <v>1</v>
      </c>
      <c r="O3001" s="3">
        <v>6509</v>
      </c>
      <c r="P3001">
        <v>1</v>
      </c>
      <c r="Q3001" s="5">
        <f t="shared" si="138"/>
        <v>5469.7478991596645</v>
      </c>
      <c r="R3001" s="5">
        <f t="shared" si="139"/>
        <v>1</v>
      </c>
      <c r="S3001" s="5">
        <f t="shared" si="140"/>
        <v>5468.7478991596645</v>
      </c>
    </row>
    <row r="3002" spans="1:19" hidden="1" x14ac:dyDescent="0.3">
      <c r="A3002">
        <v>150</v>
      </c>
      <c r="B3002" t="s">
        <v>4361</v>
      </c>
      <c r="C3002" t="s">
        <v>4716</v>
      </c>
      <c r="D3002" s="2" t="s">
        <v>4717</v>
      </c>
      <c r="E3002" t="s">
        <v>3061</v>
      </c>
      <c r="F3002" t="s">
        <v>20</v>
      </c>
      <c r="G3002" t="s">
        <v>21</v>
      </c>
      <c r="H3002" t="s">
        <v>2315</v>
      </c>
      <c r="I3002" t="s">
        <v>23</v>
      </c>
      <c r="J3002" t="s">
        <v>49</v>
      </c>
      <c r="K3002" s="2" t="s">
        <v>1910</v>
      </c>
      <c r="L3002" t="s">
        <v>26</v>
      </c>
      <c r="M3002">
        <v>358417</v>
      </c>
      <c r="N3002">
        <v>1</v>
      </c>
      <c r="O3002" s="3">
        <v>74950</v>
      </c>
      <c r="P3002" s="3">
        <v>29090</v>
      </c>
      <c r="Q3002" s="5">
        <f t="shared" si="138"/>
        <v>62983.193277310929</v>
      </c>
      <c r="R3002" s="5">
        <f t="shared" si="139"/>
        <v>29090</v>
      </c>
      <c r="S3002" s="5">
        <f t="shared" si="140"/>
        <v>33893.193277310929</v>
      </c>
    </row>
    <row r="3003" spans="1:19" hidden="1" x14ac:dyDescent="0.3">
      <c r="A3003">
        <v>150</v>
      </c>
      <c r="B3003" t="s">
        <v>4361</v>
      </c>
      <c r="C3003" t="s">
        <v>2868</v>
      </c>
      <c r="D3003" s="2" t="s">
        <v>2869</v>
      </c>
      <c r="E3003" t="s">
        <v>2870</v>
      </c>
      <c r="F3003" t="s">
        <v>20</v>
      </c>
      <c r="G3003" t="s">
        <v>21</v>
      </c>
      <c r="H3003" t="s">
        <v>30</v>
      </c>
      <c r="I3003" t="s">
        <v>23</v>
      </c>
      <c r="J3003" t="s">
        <v>35</v>
      </c>
      <c r="K3003" s="2" t="s">
        <v>1910</v>
      </c>
      <c r="L3003" t="s">
        <v>26</v>
      </c>
      <c r="M3003">
        <v>358418</v>
      </c>
      <c r="N3003">
        <v>1</v>
      </c>
      <c r="O3003" s="3">
        <v>79950</v>
      </c>
      <c r="P3003" s="3">
        <v>30749</v>
      </c>
      <c r="Q3003" s="5">
        <f t="shared" si="138"/>
        <v>67184.873949579836</v>
      </c>
      <c r="R3003" s="5">
        <f t="shared" si="139"/>
        <v>30749</v>
      </c>
      <c r="S3003" s="5">
        <f t="shared" si="140"/>
        <v>36435.873949579836</v>
      </c>
    </row>
    <row r="3004" spans="1:19" hidden="1" x14ac:dyDescent="0.3">
      <c r="A3004">
        <v>150</v>
      </c>
      <c r="B3004" t="s">
        <v>4361</v>
      </c>
      <c r="C3004" t="s">
        <v>4690</v>
      </c>
      <c r="D3004" s="2" t="s">
        <v>4691</v>
      </c>
      <c r="E3004" t="s">
        <v>1318</v>
      </c>
      <c r="F3004" t="s">
        <v>20</v>
      </c>
      <c r="G3004" t="s">
        <v>21</v>
      </c>
      <c r="H3004" t="s">
        <v>272</v>
      </c>
      <c r="I3004" t="s">
        <v>23</v>
      </c>
      <c r="J3004" t="s">
        <v>40</v>
      </c>
      <c r="K3004" s="2" t="s">
        <v>1910</v>
      </c>
      <c r="L3004" t="s">
        <v>26</v>
      </c>
      <c r="M3004">
        <v>358418</v>
      </c>
      <c r="N3004">
        <v>-1</v>
      </c>
      <c r="O3004" s="3">
        <v>-56210</v>
      </c>
      <c r="P3004" s="3">
        <v>26207</v>
      </c>
      <c r="Q3004" s="5">
        <f t="shared" si="138"/>
        <v>-47235.294117647063</v>
      </c>
      <c r="R3004" s="5">
        <f t="shared" si="139"/>
        <v>-26207</v>
      </c>
      <c r="S3004" s="5">
        <f t="shared" si="140"/>
        <v>-21028.294117647063</v>
      </c>
    </row>
    <row r="3005" spans="1:19" hidden="1" x14ac:dyDescent="0.3">
      <c r="A3005">
        <v>150</v>
      </c>
      <c r="B3005" t="s">
        <v>4361</v>
      </c>
      <c r="C3005" t="s">
        <v>2049</v>
      </c>
      <c r="D3005" s="2" t="s">
        <v>2050</v>
      </c>
      <c r="E3005" t="s">
        <v>1913</v>
      </c>
      <c r="F3005" t="s">
        <v>20</v>
      </c>
      <c r="G3005" t="s">
        <v>21</v>
      </c>
      <c r="H3005" t="s">
        <v>1914</v>
      </c>
      <c r="I3005" t="s">
        <v>23</v>
      </c>
      <c r="J3005" t="s">
        <v>35</v>
      </c>
      <c r="K3005" s="2" t="s">
        <v>1910</v>
      </c>
      <c r="L3005" t="s">
        <v>26</v>
      </c>
      <c r="M3005">
        <v>358419</v>
      </c>
      <c r="N3005">
        <v>1</v>
      </c>
      <c r="O3005" s="3">
        <v>89950</v>
      </c>
      <c r="P3005" s="3">
        <v>28298</v>
      </c>
      <c r="Q3005" s="5">
        <f t="shared" si="138"/>
        <v>75588.23529411765</v>
      </c>
      <c r="R3005" s="5">
        <f t="shared" si="139"/>
        <v>28298</v>
      </c>
      <c r="S3005" s="5">
        <f t="shared" si="140"/>
        <v>47290.23529411765</v>
      </c>
    </row>
    <row r="3006" spans="1:19" hidden="1" x14ac:dyDescent="0.3">
      <c r="A3006">
        <v>150</v>
      </c>
      <c r="B3006" t="s">
        <v>4361</v>
      </c>
      <c r="C3006" t="s">
        <v>4718</v>
      </c>
      <c r="D3006" s="2" t="s">
        <v>4719</v>
      </c>
      <c r="E3006" t="s">
        <v>3764</v>
      </c>
      <c r="F3006" t="s">
        <v>20</v>
      </c>
      <c r="G3006" t="s">
        <v>21</v>
      </c>
      <c r="H3006" t="s">
        <v>1282</v>
      </c>
      <c r="I3006" t="s">
        <v>23</v>
      </c>
      <c r="J3006" t="s">
        <v>40</v>
      </c>
      <c r="K3006" s="2" t="s">
        <v>1910</v>
      </c>
      <c r="L3006" t="s">
        <v>26</v>
      </c>
      <c r="M3006">
        <v>358420</v>
      </c>
      <c r="N3006">
        <v>1</v>
      </c>
      <c r="O3006" s="3">
        <v>49950</v>
      </c>
      <c r="P3006" s="3">
        <v>13922</v>
      </c>
      <c r="Q3006" s="5">
        <f t="shared" si="138"/>
        <v>41974.789915966387</v>
      </c>
      <c r="R3006" s="5">
        <f t="shared" si="139"/>
        <v>13922</v>
      </c>
      <c r="S3006" s="5">
        <f t="shared" si="140"/>
        <v>28052.789915966387</v>
      </c>
    </row>
    <row r="3007" spans="1:19" hidden="1" x14ac:dyDescent="0.3">
      <c r="A3007">
        <v>150</v>
      </c>
      <c r="B3007" t="s">
        <v>4361</v>
      </c>
      <c r="C3007" t="s">
        <v>4720</v>
      </c>
      <c r="D3007" s="2" t="s">
        <v>4721</v>
      </c>
      <c r="E3007" t="s">
        <v>4722</v>
      </c>
      <c r="F3007" t="s">
        <v>20</v>
      </c>
      <c r="G3007" t="s">
        <v>215</v>
      </c>
      <c r="H3007" t="s">
        <v>4723</v>
      </c>
      <c r="I3007" t="s">
        <v>23</v>
      </c>
      <c r="J3007" t="s">
        <v>49</v>
      </c>
      <c r="K3007" s="2" t="s">
        <v>1910</v>
      </c>
      <c r="L3007" t="s">
        <v>26</v>
      </c>
      <c r="M3007">
        <v>358421</v>
      </c>
      <c r="N3007">
        <v>1</v>
      </c>
      <c r="O3007" s="3">
        <v>69990</v>
      </c>
      <c r="P3007" s="3">
        <v>39202</v>
      </c>
      <c r="Q3007" s="5">
        <f t="shared" si="138"/>
        <v>58815.126050420171</v>
      </c>
      <c r="R3007" s="5">
        <f t="shared" si="139"/>
        <v>39202</v>
      </c>
      <c r="S3007" s="5">
        <f t="shared" si="140"/>
        <v>19613.126050420171</v>
      </c>
    </row>
    <row r="3008" spans="1:19" hidden="1" x14ac:dyDescent="0.3">
      <c r="A3008">
        <v>150</v>
      </c>
      <c r="B3008" t="s">
        <v>4361</v>
      </c>
      <c r="C3008" t="s">
        <v>4724</v>
      </c>
      <c r="D3008" s="2" t="s">
        <v>4725</v>
      </c>
      <c r="E3008" t="s">
        <v>1244</v>
      </c>
      <c r="F3008" t="s">
        <v>20</v>
      </c>
      <c r="G3008" t="s">
        <v>338</v>
      </c>
      <c r="H3008">
        <v>83707</v>
      </c>
      <c r="I3008" t="s">
        <v>23</v>
      </c>
      <c r="J3008" t="s">
        <v>40</v>
      </c>
      <c r="K3008" s="2" t="s">
        <v>1910</v>
      </c>
      <c r="L3008" t="s">
        <v>26</v>
      </c>
      <c r="M3008">
        <v>358422</v>
      </c>
      <c r="N3008">
        <v>1</v>
      </c>
      <c r="O3008" s="3">
        <v>69990</v>
      </c>
      <c r="P3008" s="3">
        <v>30263</v>
      </c>
      <c r="Q3008" s="5">
        <f t="shared" si="138"/>
        <v>58815.126050420171</v>
      </c>
      <c r="R3008" s="5">
        <f t="shared" si="139"/>
        <v>30263</v>
      </c>
      <c r="S3008" s="5">
        <f t="shared" si="140"/>
        <v>28552.126050420171</v>
      </c>
    </row>
    <row r="3009" spans="1:19" hidden="1" x14ac:dyDescent="0.3">
      <c r="A3009">
        <v>150</v>
      </c>
      <c r="B3009" t="s">
        <v>4361</v>
      </c>
      <c r="C3009" t="s">
        <v>4162</v>
      </c>
      <c r="D3009" s="2" t="s">
        <v>4163</v>
      </c>
      <c r="E3009" t="s">
        <v>2311</v>
      </c>
      <c r="F3009" t="s">
        <v>20</v>
      </c>
      <c r="G3009" t="s">
        <v>338</v>
      </c>
      <c r="H3009">
        <v>83716</v>
      </c>
      <c r="I3009" t="s">
        <v>23</v>
      </c>
      <c r="J3009" t="s">
        <v>40</v>
      </c>
      <c r="K3009" s="2" t="s">
        <v>1910</v>
      </c>
      <c r="L3009" t="s">
        <v>26</v>
      </c>
      <c r="M3009">
        <v>358423</v>
      </c>
      <c r="N3009">
        <v>1</v>
      </c>
      <c r="O3009" s="3">
        <v>89950</v>
      </c>
      <c r="P3009" s="3">
        <v>30263</v>
      </c>
      <c r="Q3009" s="5">
        <f t="shared" si="138"/>
        <v>75588.23529411765</v>
      </c>
      <c r="R3009" s="5">
        <f t="shared" si="139"/>
        <v>30263</v>
      </c>
      <c r="S3009" s="5">
        <f t="shared" si="140"/>
        <v>45325.23529411765</v>
      </c>
    </row>
    <row r="3010" spans="1:19" hidden="1" x14ac:dyDescent="0.3">
      <c r="A3010">
        <v>150</v>
      </c>
      <c r="B3010" t="s">
        <v>4361</v>
      </c>
      <c r="C3010" t="s">
        <v>4726</v>
      </c>
      <c r="D3010" s="2" t="s">
        <v>4727</v>
      </c>
      <c r="E3010" t="s">
        <v>2311</v>
      </c>
      <c r="F3010" t="s">
        <v>20</v>
      </c>
      <c r="G3010" t="s">
        <v>338</v>
      </c>
      <c r="H3010">
        <v>83716</v>
      </c>
      <c r="I3010" t="s">
        <v>23</v>
      </c>
      <c r="J3010" t="s">
        <v>40</v>
      </c>
      <c r="K3010" s="2" t="s">
        <v>1910</v>
      </c>
      <c r="L3010" t="s">
        <v>26</v>
      </c>
      <c r="M3010">
        <v>358424</v>
      </c>
      <c r="N3010">
        <v>1</v>
      </c>
      <c r="O3010" s="3">
        <v>89950</v>
      </c>
      <c r="P3010" s="3">
        <v>30263</v>
      </c>
      <c r="Q3010" s="5">
        <f t="shared" si="138"/>
        <v>75588.23529411765</v>
      </c>
      <c r="R3010" s="5">
        <f t="shared" si="139"/>
        <v>30263</v>
      </c>
      <c r="S3010" s="5">
        <f t="shared" si="140"/>
        <v>45325.23529411765</v>
      </c>
    </row>
    <row r="3011" spans="1:19" hidden="1" x14ac:dyDescent="0.3">
      <c r="A3011">
        <v>150</v>
      </c>
      <c r="B3011" t="s">
        <v>4361</v>
      </c>
      <c r="C3011" t="s">
        <v>4500</v>
      </c>
      <c r="D3011" s="2" t="s">
        <v>4501</v>
      </c>
      <c r="E3011" t="s">
        <v>467</v>
      </c>
      <c r="F3011" t="s">
        <v>20</v>
      </c>
      <c r="G3011" t="s">
        <v>21</v>
      </c>
      <c r="H3011" t="s">
        <v>171</v>
      </c>
      <c r="I3011" t="s">
        <v>23</v>
      </c>
      <c r="J3011" t="s">
        <v>40</v>
      </c>
      <c r="K3011" s="2" t="s">
        <v>1910</v>
      </c>
      <c r="L3011" t="s">
        <v>26</v>
      </c>
      <c r="M3011">
        <v>358425</v>
      </c>
      <c r="N3011">
        <v>1</v>
      </c>
      <c r="O3011" s="3">
        <v>59990</v>
      </c>
      <c r="P3011" s="3">
        <v>29948</v>
      </c>
      <c r="Q3011" s="5">
        <f t="shared" si="138"/>
        <v>50411.764705882357</v>
      </c>
      <c r="R3011" s="5">
        <f t="shared" si="139"/>
        <v>29948</v>
      </c>
      <c r="S3011" s="5">
        <f t="shared" si="140"/>
        <v>20463.764705882357</v>
      </c>
    </row>
    <row r="3012" spans="1:19" hidden="1" x14ac:dyDescent="0.3">
      <c r="A3012">
        <v>150</v>
      </c>
      <c r="B3012" t="s">
        <v>4361</v>
      </c>
      <c r="C3012" t="s">
        <v>2395</v>
      </c>
      <c r="D3012" s="2" t="s">
        <v>2396</v>
      </c>
      <c r="E3012" t="s">
        <v>425</v>
      </c>
      <c r="F3012" t="s">
        <v>20</v>
      </c>
      <c r="G3012" t="s">
        <v>21</v>
      </c>
      <c r="H3012" t="s">
        <v>22</v>
      </c>
      <c r="I3012" t="s">
        <v>23</v>
      </c>
      <c r="J3012" t="s">
        <v>24</v>
      </c>
      <c r="K3012" s="2" t="s">
        <v>3310</v>
      </c>
      <c r="L3012" t="s">
        <v>26</v>
      </c>
      <c r="M3012">
        <v>358426</v>
      </c>
      <c r="N3012">
        <v>1</v>
      </c>
      <c r="O3012" s="3">
        <v>79950</v>
      </c>
      <c r="P3012" s="3">
        <v>27848</v>
      </c>
      <c r="Q3012" s="5">
        <f t="shared" si="138"/>
        <v>67184.873949579836</v>
      </c>
      <c r="R3012" s="5">
        <f t="shared" si="139"/>
        <v>27848</v>
      </c>
      <c r="S3012" s="5">
        <f t="shared" si="140"/>
        <v>39336.873949579836</v>
      </c>
    </row>
    <row r="3013" spans="1:19" hidden="1" x14ac:dyDescent="0.3">
      <c r="A3013">
        <v>150</v>
      </c>
      <c r="B3013" t="s">
        <v>4361</v>
      </c>
      <c r="C3013" t="s">
        <v>4617</v>
      </c>
      <c r="D3013" s="2" t="s">
        <v>4618</v>
      </c>
      <c r="E3013" t="s">
        <v>2870</v>
      </c>
      <c r="F3013" t="s">
        <v>20</v>
      </c>
      <c r="G3013" t="s">
        <v>21</v>
      </c>
      <c r="H3013" t="s">
        <v>30</v>
      </c>
      <c r="I3013" t="s">
        <v>23</v>
      </c>
      <c r="J3013" t="s">
        <v>35</v>
      </c>
      <c r="K3013" s="2" t="s">
        <v>3310</v>
      </c>
      <c r="L3013" t="s">
        <v>26</v>
      </c>
      <c r="M3013">
        <v>358427</v>
      </c>
      <c r="N3013">
        <v>1</v>
      </c>
      <c r="O3013" s="3">
        <v>79950</v>
      </c>
      <c r="P3013" s="3">
        <v>30749</v>
      </c>
      <c r="Q3013" s="5">
        <f t="shared" si="138"/>
        <v>67184.873949579836</v>
      </c>
      <c r="R3013" s="5">
        <f t="shared" si="139"/>
        <v>30749</v>
      </c>
      <c r="S3013" s="5">
        <f t="shared" si="140"/>
        <v>36435.873949579836</v>
      </c>
    </row>
    <row r="3014" spans="1:19" hidden="1" x14ac:dyDescent="0.3">
      <c r="A3014">
        <v>150</v>
      </c>
      <c r="B3014" t="s">
        <v>4361</v>
      </c>
      <c r="C3014" t="s">
        <v>3543</v>
      </c>
      <c r="D3014" s="2" t="s">
        <v>3544</v>
      </c>
      <c r="E3014" t="s">
        <v>3183</v>
      </c>
      <c r="F3014" t="s">
        <v>20</v>
      </c>
      <c r="G3014" t="s">
        <v>21</v>
      </c>
      <c r="H3014" t="s">
        <v>614</v>
      </c>
      <c r="I3014" t="s">
        <v>23</v>
      </c>
      <c r="J3014" t="s">
        <v>40</v>
      </c>
      <c r="K3014" s="2" t="s">
        <v>3310</v>
      </c>
      <c r="L3014" t="s">
        <v>26</v>
      </c>
      <c r="M3014">
        <v>358428</v>
      </c>
      <c r="N3014">
        <v>1</v>
      </c>
      <c r="O3014" s="3">
        <v>39990</v>
      </c>
      <c r="P3014" s="3">
        <v>17378</v>
      </c>
      <c r="Q3014" s="5">
        <f t="shared" ref="Q3014:Q3077" si="141">O3014/1.19</f>
        <v>33605.042016806721</v>
      </c>
      <c r="R3014" s="5">
        <f t="shared" ref="R3014:R3077" si="142">N3014*P3014</f>
        <v>17378</v>
      </c>
      <c r="S3014" s="5">
        <f t="shared" ref="S3014:S3077" si="143">Q3014-R3014</f>
        <v>16227.042016806721</v>
      </c>
    </row>
    <row r="3015" spans="1:19" hidden="1" x14ac:dyDescent="0.3">
      <c r="A3015">
        <v>150</v>
      </c>
      <c r="B3015" t="s">
        <v>4361</v>
      </c>
      <c r="C3015" t="s">
        <v>2491</v>
      </c>
      <c r="D3015" s="2" t="s">
        <v>2492</v>
      </c>
      <c r="E3015" t="s">
        <v>2493</v>
      </c>
      <c r="F3015" t="s">
        <v>20</v>
      </c>
      <c r="G3015" t="s">
        <v>21</v>
      </c>
      <c r="H3015" t="s">
        <v>2494</v>
      </c>
      <c r="I3015" t="s">
        <v>23</v>
      </c>
      <c r="J3015" t="s">
        <v>40</v>
      </c>
      <c r="K3015" s="2" t="s">
        <v>3310</v>
      </c>
      <c r="L3015" t="s">
        <v>26</v>
      </c>
      <c r="M3015">
        <v>358428</v>
      </c>
      <c r="N3015">
        <v>1</v>
      </c>
      <c r="O3015" s="3">
        <v>69950</v>
      </c>
      <c r="P3015" s="3">
        <v>22206</v>
      </c>
      <c r="Q3015" s="5">
        <f t="shared" si="141"/>
        <v>58781.512605042022</v>
      </c>
      <c r="R3015" s="5">
        <f t="shared" si="142"/>
        <v>22206</v>
      </c>
      <c r="S3015" s="5">
        <f t="shared" si="143"/>
        <v>36575.512605042022</v>
      </c>
    </row>
    <row r="3016" spans="1:19" hidden="1" x14ac:dyDescent="0.3">
      <c r="A3016">
        <v>150</v>
      </c>
      <c r="B3016" t="s">
        <v>4361</v>
      </c>
      <c r="C3016" t="s">
        <v>3507</v>
      </c>
      <c r="D3016" s="2" t="s">
        <v>3508</v>
      </c>
      <c r="E3016" t="s">
        <v>2323</v>
      </c>
      <c r="F3016" t="s">
        <v>20</v>
      </c>
      <c r="G3016" t="s">
        <v>21</v>
      </c>
      <c r="H3016" t="s">
        <v>1887</v>
      </c>
      <c r="I3016" t="s">
        <v>23</v>
      </c>
      <c r="J3016" t="s">
        <v>40</v>
      </c>
      <c r="K3016" s="2" t="s">
        <v>3310</v>
      </c>
      <c r="L3016" t="s">
        <v>26</v>
      </c>
      <c r="M3016">
        <v>358429</v>
      </c>
      <c r="N3016">
        <v>1</v>
      </c>
      <c r="O3016" s="3">
        <v>69950</v>
      </c>
      <c r="P3016" s="3">
        <v>21623</v>
      </c>
      <c r="Q3016" s="5">
        <f t="shared" si="141"/>
        <v>58781.512605042022</v>
      </c>
      <c r="R3016" s="5">
        <f t="shared" si="142"/>
        <v>21623</v>
      </c>
      <c r="S3016" s="5">
        <f t="shared" si="143"/>
        <v>37158.512605042022</v>
      </c>
    </row>
    <row r="3017" spans="1:19" hidden="1" x14ac:dyDescent="0.3">
      <c r="A3017">
        <v>150</v>
      </c>
      <c r="B3017" t="s">
        <v>4361</v>
      </c>
      <c r="C3017" t="s">
        <v>2940</v>
      </c>
      <c r="D3017" s="2" t="s">
        <v>2941</v>
      </c>
      <c r="E3017" t="s">
        <v>1986</v>
      </c>
      <c r="F3017" t="s">
        <v>20</v>
      </c>
      <c r="G3017" t="s">
        <v>21</v>
      </c>
      <c r="H3017" t="s">
        <v>1987</v>
      </c>
      <c r="I3017" t="s">
        <v>23</v>
      </c>
      <c r="J3017" t="s">
        <v>49</v>
      </c>
      <c r="K3017" s="2" t="s">
        <v>3310</v>
      </c>
      <c r="L3017" t="s">
        <v>26</v>
      </c>
      <c r="M3017">
        <v>358430</v>
      </c>
      <c r="N3017">
        <v>1</v>
      </c>
      <c r="O3017" s="3">
        <v>74950</v>
      </c>
      <c r="P3017" s="3">
        <v>25014</v>
      </c>
      <c r="Q3017" s="5">
        <f t="shared" si="141"/>
        <v>62983.193277310929</v>
      </c>
      <c r="R3017" s="5">
        <f t="shared" si="142"/>
        <v>25014</v>
      </c>
      <c r="S3017" s="5">
        <f t="shared" si="143"/>
        <v>37969.193277310929</v>
      </c>
    </row>
    <row r="3018" spans="1:19" hidden="1" x14ac:dyDescent="0.3">
      <c r="A3018">
        <v>150</v>
      </c>
      <c r="B3018" t="s">
        <v>4361</v>
      </c>
      <c r="C3018" t="s">
        <v>3931</v>
      </c>
      <c r="D3018" s="2" t="s">
        <v>3932</v>
      </c>
      <c r="E3018" t="s">
        <v>2877</v>
      </c>
      <c r="F3018" t="s">
        <v>20</v>
      </c>
      <c r="G3018" t="s">
        <v>21</v>
      </c>
      <c r="H3018" t="s">
        <v>30</v>
      </c>
      <c r="I3018" t="s">
        <v>23</v>
      </c>
      <c r="J3018" t="s">
        <v>49</v>
      </c>
      <c r="K3018" s="2" t="s">
        <v>3310</v>
      </c>
      <c r="L3018" t="s">
        <v>26</v>
      </c>
      <c r="M3018">
        <v>358431</v>
      </c>
      <c r="N3018">
        <v>1</v>
      </c>
      <c r="O3018" s="3">
        <v>69950</v>
      </c>
      <c r="P3018" s="3">
        <v>26131</v>
      </c>
      <c r="Q3018" s="5">
        <f t="shared" si="141"/>
        <v>58781.512605042022</v>
      </c>
      <c r="R3018" s="5">
        <f t="shared" si="142"/>
        <v>26131</v>
      </c>
      <c r="S3018" s="5">
        <f t="shared" si="143"/>
        <v>32650.512605042022</v>
      </c>
    </row>
    <row r="3019" spans="1:19" hidden="1" x14ac:dyDescent="0.3">
      <c r="A3019">
        <v>150</v>
      </c>
      <c r="B3019" t="s">
        <v>4361</v>
      </c>
      <c r="C3019" t="s">
        <v>492</v>
      </c>
      <c r="D3019" s="2" t="s">
        <v>493</v>
      </c>
      <c r="E3019" t="s">
        <v>494</v>
      </c>
      <c r="F3019" t="s">
        <v>20</v>
      </c>
      <c r="G3019" t="s">
        <v>21</v>
      </c>
      <c r="H3019" t="s">
        <v>317</v>
      </c>
      <c r="I3019" t="s">
        <v>23</v>
      </c>
      <c r="J3019" t="s">
        <v>35</v>
      </c>
      <c r="K3019" s="2" t="s">
        <v>3310</v>
      </c>
      <c r="L3019" t="s">
        <v>26</v>
      </c>
      <c r="M3019">
        <v>358432</v>
      </c>
      <c r="N3019">
        <v>1</v>
      </c>
      <c r="O3019" s="3">
        <v>69950</v>
      </c>
      <c r="P3019" s="3">
        <v>23619</v>
      </c>
      <c r="Q3019" s="5">
        <f t="shared" si="141"/>
        <v>58781.512605042022</v>
      </c>
      <c r="R3019" s="5">
        <f t="shared" si="142"/>
        <v>23619</v>
      </c>
      <c r="S3019" s="5">
        <f t="shared" si="143"/>
        <v>35162.512605042022</v>
      </c>
    </row>
    <row r="3020" spans="1:19" hidden="1" x14ac:dyDescent="0.3">
      <c r="A3020">
        <v>150</v>
      </c>
      <c r="B3020" t="s">
        <v>4361</v>
      </c>
      <c r="C3020" t="s">
        <v>1037</v>
      </c>
      <c r="D3020" s="2" t="s">
        <v>1038</v>
      </c>
      <c r="E3020" t="s">
        <v>1039</v>
      </c>
      <c r="F3020" t="s">
        <v>377</v>
      </c>
      <c r="G3020" t="s">
        <v>21</v>
      </c>
      <c r="H3020" t="s">
        <v>378</v>
      </c>
      <c r="I3020" t="s">
        <v>23</v>
      </c>
      <c r="J3020" t="s">
        <v>379</v>
      </c>
      <c r="K3020" s="2" t="s">
        <v>3310</v>
      </c>
      <c r="L3020" t="s">
        <v>26</v>
      </c>
      <c r="M3020">
        <v>358433</v>
      </c>
      <c r="N3020">
        <v>1</v>
      </c>
      <c r="O3020" s="3">
        <v>5950</v>
      </c>
      <c r="P3020" s="3">
        <v>3257</v>
      </c>
      <c r="Q3020" s="5">
        <f t="shared" si="141"/>
        <v>5000</v>
      </c>
      <c r="R3020" s="5">
        <f t="shared" si="142"/>
        <v>3257</v>
      </c>
      <c r="S3020" s="5">
        <f t="shared" si="143"/>
        <v>1743</v>
      </c>
    </row>
    <row r="3021" spans="1:19" hidden="1" x14ac:dyDescent="0.3">
      <c r="A3021">
        <v>150</v>
      </c>
      <c r="B3021" t="s">
        <v>4361</v>
      </c>
      <c r="C3021" t="s">
        <v>4728</v>
      </c>
      <c r="D3021" s="2" t="s">
        <v>4729</v>
      </c>
      <c r="E3021" t="s">
        <v>3795</v>
      </c>
      <c r="F3021" t="s">
        <v>20</v>
      </c>
      <c r="G3021" t="s">
        <v>338</v>
      </c>
      <c r="H3021">
        <v>25529</v>
      </c>
      <c r="I3021" t="s">
        <v>23</v>
      </c>
      <c r="J3021" t="s">
        <v>31</v>
      </c>
      <c r="K3021" s="2" t="s">
        <v>3310</v>
      </c>
      <c r="L3021" t="s">
        <v>26</v>
      </c>
      <c r="M3021">
        <v>358434</v>
      </c>
      <c r="N3021">
        <v>1</v>
      </c>
      <c r="O3021" s="3">
        <v>149950</v>
      </c>
      <c r="P3021" s="3">
        <v>50690</v>
      </c>
      <c r="Q3021" s="5">
        <f t="shared" si="141"/>
        <v>126008.40336134455</v>
      </c>
      <c r="R3021" s="5">
        <f t="shared" si="142"/>
        <v>50690</v>
      </c>
      <c r="S3021" s="5">
        <f t="shared" si="143"/>
        <v>75318.40336134455</v>
      </c>
    </row>
    <row r="3022" spans="1:19" hidden="1" x14ac:dyDescent="0.3">
      <c r="A3022">
        <v>150</v>
      </c>
      <c r="B3022" t="s">
        <v>4361</v>
      </c>
      <c r="C3022" t="s">
        <v>4730</v>
      </c>
      <c r="D3022" s="2" t="s">
        <v>4731</v>
      </c>
      <c r="E3022" t="s">
        <v>2748</v>
      </c>
      <c r="F3022" t="s">
        <v>20</v>
      </c>
      <c r="G3022" t="s">
        <v>338</v>
      </c>
      <c r="H3022">
        <v>26266</v>
      </c>
      <c r="I3022" t="s">
        <v>23</v>
      </c>
      <c r="J3022" t="s">
        <v>35</v>
      </c>
      <c r="K3022" s="2" t="s">
        <v>3310</v>
      </c>
      <c r="L3022" t="s">
        <v>26</v>
      </c>
      <c r="M3022">
        <v>358434</v>
      </c>
      <c r="N3022">
        <v>1</v>
      </c>
      <c r="O3022" s="3">
        <v>67950</v>
      </c>
      <c r="P3022" s="3">
        <v>25300</v>
      </c>
      <c r="Q3022" s="5">
        <f t="shared" si="141"/>
        <v>57100.840336134454</v>
      </c>
      <c r="R3022" s="5">
        <f t="shared" si="142"/>
        <v>25300</v>
      </c>
      <c r="S3022" s="5">
        <f t="shared" si="143"/>
        <v>31800.840336134454</v>
      </c>
    </row>
    <row r="3023" spans="1:19" hidden="1" x14ac:dyDescent="0.3">
      <c r="A3023">
        <v>150</v>
      </c>
      <c r="B3023" t="s">
        <v>4361</v>
      </c>
      <c r="C3023" t="s">
        <v>1037</v>
      </c>
      <c r="D3023" s="2" t="s">
        <v>1038</v>
      </c>
      <c r="E3023" t="s">
        <v>1039</v>
      </c>
      <c r="F3023" t="s">
        <v>377</v>
      </c>
      <c r="G3023" t="s">
        <v>21</v>
      </c>
      <c r="H3023" t="s">
        <v>378</v>
      </c>
      <c r="I3023" t="s">
        <v>23</v>
      </c>
      <c r="J3023" t="s">
        <v>379</v>
      </c>
      <c r="K3023" s="2" t="s">
        <v>3310</v>
      </c>
      <c r="L3023" t="s">
        <v>26</v>
      </c>
      <c r="M3023">
        <v>358434</v>
      </c>
      <c r="N3023">
        <v>1</v>
      </c>
      <c r="O3023" s="3">
        <v>5950</v>
      </c>
      <c r="P3023" s="3">
        <v>3257</v>
      </c>
      <c r="Q3023" s="5">
        <f t="shared" si="141"/>
        <v>5000</v>
      </c>
      <c r="R3023" s="5">
        <f t="shared" si="142"/>
        <v>3257</v>
      </c>
      <c r="S3023" s="5">
        <f t="shared" si="143"/>
        <v>1743</v>
      </c>
    </row>
    <row r="3024" spans="1:19" hidden="1" x14ac:dyDescent="0.3">
      <c r="A3024">
        <v>150</v>
      </c>
      <c r="B3024" t="s">
        <v>4361</v>
      </c>
      <c r="C3024" t="s">
        <v>1756</v>
      </c>
      <c r="D3024" s="2" t="s">
        <v>1757</v>
      </c>
      <c r="E3024" t="s">
        <v>1758</v>
      </c>
      <c r="F3024" t="s">
        <v>20</v>
      </c>
      <c r="G3024" t="s">
        <v>338</v>
      </c>
      <c r="H3024">
        <v>25133</v>
      </c>
      <c r="I3024" t="s">
        <v>23</v>
      </c>
      <c r="J3024" t="s">
        <v>35</v>
      </c>
      <c r="K3024" s="2" t="s">
        <v>3310</v>
      </c>
      <c r="L3024" t="s">
        <v>26</v>
      </c>
      <c r="M3024">
        <v>358435</v>
      </c>
      <c r="N3024">
        <v>1</v>
      </c>
      <c r="O3024" s="3">
        <v>74950</v>
      </c>
      <c r="P3024" s="3">
        <v>21167</v>
      </c>
      <c r="Q3024" s="5">
        <f t="shared" si="141"/>
        <v>62983.193277310929</v>
      </c>
      <c r="R3024" s="5">
        <f t="shared" si="142"/>
        <v>21167</v>
      </c>
      <c r="S3024" s="5">
        <f t="shared" si="143"/>
        <v>41816.193277310929</v>
      </c>
    </row>
    <row r="3025" spans="1:19" hidden="1" x14ac:dyDescent="0.3">
      <c r="A3025">
        <v>150</v>
      </c>
      <c r="B3025" t="s">
        <v>4361</v>
      </c>
      <c r="C3025" t="s">
        <v>4732</v>
      </c>
      <c r="D3025" s="2" t="s">
        <v>4733</v>
      </c>
      <c r="E3025" t="s">
        <v>1886</v>
      </c>
      <c r="F3025" t="s">
        <v>20</v>
      </c>
      <c r="G3025" t="s">
        <v>21</v>
      </c>
      <c r="H3025" t="s">
        <v>1887</v>
      </c>
      <c r="I3025" t="s">
        <v>23</v>
      </c>
      <c r="J3025" t="s">
        <v>40</v>
      </c>
      <c r="K3025" s="2" t="s">
        <v>3310</v>
      </c>
      <c r="L3025" t="s">
        <v>26</v>
      </c>
      <c r="M3025">
        <v>358436</v>
      </c>
      <c r="N3025">
        <v>1</v>
      </c>
      <c r="O3025" s="3">
        <v>69950</v>
      </c>
      <c r="P3025" s="3">
        <v>21623</v>
      </c>
      <c r="Q3025" s="5">
        <f t="shared" si="141"/>
        <v>58781.512605042022</v>
      </c>
      <c r="R3025" s="5">
        <f t="shared" si="142"/>
        <v>21623</v>
      </c>
      <c r="S3025" s="5">
        <f t="shared" si="143"/>
        <v>37158.512605042022</v>
      </c>
    </row>
    <row r="3026" spans="1:19" hidden="1" x14ac:dyDescent="0.3">
      <c r="A3026">
        <v>150</v>
      </c>
      <c r="B3026" t="s">
        <v>4361</v>
      </c>
      <c r="C3026" t="s">
        <v>3321</v>
      </c>
      <c r="D3026" s="2" t="s">
        <v>3322</v>
      </c>
      <c r="E3026" t="s">
        <v>3323</v>
      </c>
      <c r="F3026" t="s">
        <v>20</v>
      </c>
      <c r="G3026" t="s">
        <v>21</v>
      </c>
      <c r="H3026" t="s">
        <v>625</v>
      </c>
      <c r="I3026" t="s">
        <v>23</v>
      </c>
      <c r="J3026" t="s">
        <v>35</v>
      </c>
      <c r="K3026" s="2" t="s">
        <v>3310</v>
      </c>
      <c r="L3026" t="s">
        <v>26</v>
      </c>
      <c r="M3026">
        <v>358437</v>
      </c>
      <c r="N3026">
        <v>1</v>
      </c>
      <c r="O3026" s="3">
        <v>49990</v>
      </c>
      <c r="P3026" s="3">
        <v>24956</v>
      </c>
      <c r="Q3026" s="5">
        <f t="shared" si="141"/>
        <v>42008.403361344543</v>
      </c>
      <c r="R3026" s="5">
        <f t="shared" si="142"/>
        <v>24956</v>
      </c>
      <c r="S3026" s="5">
        <f t="shared" si="143"/>
        <v>17052.403361344543</v>
      </c>
    </row>
    <row r="3027" spans="1:19" hidden="1" x14ac:dyDescent="0.3">
      <c r="A3027">
        <v>150</v>
      </c>
      <c r="B3027" t="s">
        <v>4361</v>
      </c>
      <c r="C3027" t="s">
        <v>4734</v>
      </c>
      <c r="D3027" s="2" t="s">
        <v>4735</v>
      </c>
      <c r="E3027" t="s">
        <v>4736</v>
      </c>
      <c r="F3027" t="s">
        <v>20</v>
      </c>
      <c r="G3027" t="s">
        <v>21</v>
      </c>
      <c r="H3027" t="s">
        <v>1914</v>
      </c>
      <c r="I3027" t="s">
        <v>23</v>
      </c>
      <c r="J3027" t="s">
        <v>49</v>
      </c>
      <c r="K3027" s="2" t="s">
        <v>3310</v>
      </c>
      <c r="L3027" t="s">
        <v>26</v>
      </c>
      <c r="M3027">
        <v>358438</v>
      </c>
      <c r="N3027">
        <v>1</v>
      </c>
      <c r="O3027" s="3">
        <v>74950</v>
      </c>
      <c r="P3027" s="3">
        <v>24726</v>
      </c>
      <c r="Q3027" s="5">
        <f t="shared" si="141"/>
        <v>62983.193277310929</v>
      </c>
      <c r="R3027" s="5">
        <f t="shared" si="142"/>
        <v>24726</v>
      </c>
      <c r="S3027" s="5">
        <f t="shared" si="143"/>
        <v>38257.193277310929</v>
      </c>
    </row>
    <row r="3028" spans="1:19" hidden="1" x14ac:dyDescent="0.3">
      <c r="A3028">
        <v>150</v>
      </c>
      <c r="B3028" t="s">
        <v>4361</v>
      </c>
      <c r="C3028" t="s">
        <v>4737</v>
      </c>
      <c r="D3028" s="2" t="s">
        <v>4738</v>
      </c>
      <c r="E3028" t="s">
        <v>4739</v>
      </c>
      <c r="F3028" t="s">
        <v>20</v>
      </c>
      <c r="G3028" t="s">
        <v>338</v>
      </c>
      <c r="H3028">
        <v>83716</v>
      </c>
      <c r="I3028" t="s">
        <v>23</v>
      </c>
      <c r="J3028" t="s">
        <v>40</v>
      </c>
      <c r="K3028" s="2" t="s">
        <v>3310</v>
      </c>
      <c r="L3028" t="s">
        <v>26</v>
      </c>
      <c r="M3028">
        <v>358439</v>
      </c>
      <c r="N3028">
        <v>1</v>
      </c>
      <c r="O3028" s="3">
        <v>89950</v>
      </c>
      <c r="P3028" s="3">
        <v>30263</v>
      </c>
      <c r="Q3028" s="5">
        <f t="shared" si="141"/>
        <v>75588.23529411765</v>
      </c>
      <c r="R3028" s="5">
        <f t="shared" si="142"/>
        <v>30263</v>
      </c>
      <c r="S3028" s="5">
        <f t="shared" si="143"/>
        <v>45325.23529411765</v>
      </c>
    </row>
    <row r="3029" spans="1:19" hidden="1" x14ac:dyDescent="0.3">
      <c r="A3029">
        <v>150</v>
      </c>
      <c r="B3029" t="s">
        <v>4361</v>
      </c>
      <c r="C3029" t="s">
        <v>3441</v>
      </c>
      <c r="D3029" s="2" t="s">
        <v>3442</v>
      </c>
      <c r="E3029" t="s">
        <v>3283</v>
      </c>
      <c r="F3029" t="s">
        <v>20</v>
      </c>
      <c r="G3029" t="s">
        <v>21</v>
      </c>
      <c r="H3029" t="s">
        <v>2494</v>
      </c>
      <c r="I3029" t="s">
        <v>23</v>
      </c>
      <c r="J3029" t="s">
        <v>40</v>
      </c>
      <c r="K3029" s="2" t="s">
        <v>3310</v>
      </c>
      <c r="L3029" t="s">
        <v>26</v>
      </c>
      <c r="M3029">
        <v>358440</v>
      </c>
      <c r="N3029">
        <v>1</v>
      </c>
      <c r="O3029" s="3">
        <v>69950</v>
      </c>
      <c r="P3029" s="3">
        <v>23470</v>
      </c>
      <c r="Q3029" s="5">
        <f t="shared" si="141"/>
        <v>58781.512605042022</v>
      </c>
      <c r="R3029" s="5">
        <f t="shared" si="142"/>
        <v>23470</v>
      </c>
      <c r="S3029" s="5">
        <f t="shared" si="143"/>
        <v>35311.512605042022</v>
      </c>
    </row>
    <row r="3030" spans="1:19" hidden="1" x14ac:dyDescent="0.3">
      <c r="A3030">
        <v>150</v>
      </c>
      <c r="B3030" t="s">
        <v>4361</v>
      </c>
      <c r="C3030" t="s">
        <v>4740</v>
      </c>
      <c r="D3030" s="2" t="s">
        <v>4741</v>
      </c>
      <c r="E3030" t="s">
        <v>1439</v>
      </c>
      <c r="F3030" t="s">
        <v>20</v>
      </c>
      <c r="G3030" t="s">
        <v>21</v>
      </c>
      <c r="H3030" t="s">
        <v>1440</v>
      </c>
      <c r="I3030" t="s">
        <v>23</v>
      </c>
      <c r="J3030" t="s">
        <v>40</v>
      </c>
      <c r="K3030" s="2" t="s">
        <v>3310</v>
      </c>
      <c r="L3030" t="s">
        <v>26</v>
      </c>
      <c r="M3030">
        <v>358441</v>
      </c>
      <c r="N3030">
        <v>1</v>
      </c>
      <c r="O3030" s="3">
        <v>64950</v>
      </c>
      <c r="P3030" s="3">
        <v>17328</v>
      </c>
      <c r="Q3030" s="5">
        <f t="shared" si="141"/>
        <v>54579.831932773115</v>
      </c>
      <c r="R3030" s="5">
        <f t="shared" si="142"/>
        <v>17328</v>
      </c>
      <c r="S3030" s="5">
        <f t="shared" si="143"/>
        <v>37251.831932773115</v>
      </c>
    </row>
    <row r="3031" spans="1:19" hidden="1" x14ac:dyDescent="0.3">
      <c r="A3031">
        <v>150</v>
      </c>
      <c r="B3031" t="s">
        <v>4361</v>
      </c>
      <c r="C3031" t="s">
        <v>3545</v>
      </c>
      <c r="D3031" s="2" t="s">
        <v>3546</v>
      </c>
      <c r="E3031" t="s">
        <v>938</v>
      </c>
      <c r="F3031" t="s">
        <v>20</v>
      </c>
      <c r="G3031" t="s">
        <v>21</v>
      </c>
      <c r="H3031" t="s">
        <v>317</v>
      </c>
      <c r="I3031" t="s">
        <v>23</v>
      </c>
      <c r="J3031" t="s">
        <v>35</v>
      </c>
      <c r="K3031" s="2" t="s">
        <v>3310</v>
      </c>
      <c r="L3031" t="s">
        <v>26</v>
      </c>
      <c r="M3031">
        <v>358441</v>
      </c>
      <c r="N3031">
        <v>1</v>
      </c>
      <c r="O3031" s="3">
        <v>69950</v>
      </c>
      <c r="P3031" s="3">
        <v>26745</v>
      </c>
      <c r="Q3031" s="5">
        <f t="shared" si="141"/>
        <v>58781.512605042022</v>
      </c>
      <c r="R3031" s="5">
        <f t="shared" si="142"/>
        <v>26745</v>
      </c>
      <c r="S3031" s="5">
        <f t="shared" si="143"/>
        <v>32036.512605042022</v>
      </c>
    </row>
    <row r="3032" spans="1:19" hidden="1" x14ac:dyDescent="0.3">
      <c r="A3032">
        <v>150</v>
      </c>
      <c r="B3032" t="s">
        <v>4361</v>
      </c>
      <c r="C3032" t="s">
        <v>3294</v>
      </c>
      <c r="D3032" s="2" t="s">
        <v>3295</v>
      </c>
      <c r="E3032" t="s">
        <v>3296</v>
      </c>
      <c r="F3032" t="s">
        <v>377</v>
      </c>
      <c r="G3032" t="s">
        <v>21</v>
      </c>
      <c r="H3032" t="s">
        <v>378</v>
      </c>
      <c r="I3032" t="s">
        <v>23</v>
      </c>
      <c r="J3032" t="s">
        <v>3297</v>
      </c>
      <c r="K3032" s="2" t="s">
        <v>3310</v>
      </c>
      <c r="L3032" t="s">
        <v>26</v>
      </c>
      <c r="M3032">
        <v>358441</v>
      </c>
      <c r="N3032">
        <v>1</v>
      </c>
      <c r="O3032">
        <v>500</v>
      </c>
      <c r="P3032">
        <v>358</v>
      </c>
      <c r="Q3032" s="5">
        <f t="shared" si="141"/>
        <v>420.1680672268908</v>
      </c>
      <c r="R3032" s="5">
        <f t="shared" si="142"/>
        <v>358</v>
      </c>
      <c r="S3032" s="5">
        <f t="shared" si="143"/>
        <v>62.168067226890798</v>
      </c>
    </row>
    <row r="3033" spans="1:19" hidden="1" x14ac:dyDescent="0.3">
      <c r="A3033">
        <v>150</v>
      </c>
      <c r="B3033" t="s">
        <v>4361</v>
      </c>
      <c r="C3033" t="s">
        <v>2698</v>
      </c>
      <c r="D3033" s="2" t="s">
        <v>2699</v>
      </c>
      <c r="E3033" t="s">
        <v>1758</v>
      </c>
      <c r="F3033" t="s">
        <v>20</v>
      </c>
      <c r="G3033" t="s">
        <v>338</v>
      </c>
      <c r="H3033">
        <v>25133</v>
      </c>
      <c r="I3033" t="s">
        <v>23</v>
      </c>
      <c r="J3033" t="s">
        <v>35</v>
      </c>
      <c r="K3033" s="2" t="s">
        <v>3310</v>
      </c>
      <c r="L3033" t="s">
        <v>26</v>
      </c>
      <c r="M3033">
        <v>358442</v>
      </c>
      <c r="N3033">
        <v>1</v>
      </c>
      <c r="O3033" s="3">
        <v>74950</v>
      </c>
      <c r="P3033" s="3">
        <v>21167</v>
      </c>
      <c r="Q3033" s="5">
        <f t="shared" si="141"/>
        <v>62983.193277310929</v>
      </c>
      <c r="R3033" s="5">
        <f t="shared" si="142"/>
        <v>21167</v>
      </c>
      <c r="S3033" s="5">
        <f t="shared" si="143"/>
        <v>41816.193277310929</v>
      </c>
    </row>
    <row r="3034" spans="1:19" hidden="1" x14ac:dyDescent="0.3">
      <c r="A3034">
        <v>150</v>
      </c>
      <c r="B3034" t="s">
        <v>4361</v>
      </c>
      <c r="C3034" t="s">
        <v>3294</v>
      </c>
      <c r="D3034" s="2" t="s">
        <v>3295</v>
      </c>
      <c r="E3034" t="s">
        <v>3296</v>
      </c>
      <c r="F3034" t="s">
        <v>377</v>
      </c>
      <c r="G3034" t="s">
        <v>21</v>
      </c>
      <c r="H3034" t="s">
        <v>378</v>
      </c>
      <c r="I3034" t="s">
        <v>23</v>
      </c>
      <c r="J3034" t="s">
        <v>3297</v>
      </c>
      <c r="K3034" s="2" t="s">
        <v>3310</v>
      </c>
      <c r="L3034" t="s">
        <v>26</v>
      </c>
      <c r="M3034">
        <v>358443</v>
      </c>
      <c r="N3034">
        <v>1</v>
      </c>
      <c r="O3034">
        <v>500</v>
      </c>
      <c r="P3034">
        <v>358</v>
      </c>
      <c r="Q3034" s="5">
        <f t="shared" si="141"/>
        <v>420.1680672268908</v>
      </c>
      <c r="R3034" s="5">
        <f t="shared" si="142"/>
        <v>358</v>
      </c>
      <c r="S3034" s="5">
        <f t="shared" si="143"/>
        <v>62.168067226890798</v>
      </c>
    </row>
    <row r="3035" spans="1:19" hidden="1" x14ac:dyDescent="0.3">
      <c r="A3035">
        <v>150</v>
      </c>
      <c r="B3035" t="s">
        <v>4361</v>
      </c>
      <c r="C3035" t="s">
        <v>4742</v>
      </c>
      <c r="D3035" s="2" t="s">
        <v>4743</v>
      </c>
      <c r="E3035" t="s">
        <v>4744</v>
      </c>
      <c r="F3035" t="s">
        <v>20</v>
      </c>
      <c r="G3035" t="s">
        <v>338</v>
      </c>
      <c r="H3035">
        <v>85101</v>
      </c>
      <c r="I3035" t="s">
        <v>23</v>
      </c>
      <c r="J3035" t="s">
        <v>35</v>
      </c>
      <c r="K3035" s="2" t="s">
        <v>3310</v>
      </c>
      <c r="L3035" t="s">
        <v>26</v>
      </c>
      <c r="M3035">
        <v>358444</v>
      </c>
      <c r="N3035">
        <v>1</v>
      </c>
      <c r="O3035" s="3">
        <v>74960</v>
      </c>
      <c r="P3035" s="3">
        <v>33793</v>
      </c>
      <c r="Q3035" s="5">
        <f t="shared" si="141"/>
        <v>62991.596638655465</v>
      </c>
      <c r="R3035" s="5">
        <f t="shared" si="142"/>
        <v>33793</v>
      </c>
      <c r="S3035" s="5">
        <f t="shared" si="143"/>
        <v>29198.596638655465</v>
      </c>
    </row>
    <row r="3036" spans="1:19" hidden="1" x14ac:dyDescent="0.3">
      <c r="A3036">
        <v>150</v>
      </c>
      <c r="B3036" t="s">
        <v>4361</v>
      </c>
      <c r="C3036" t="s">
        <v>4745</v>
      </c>
      <c r="D3036" s="2" t="s">
        <v>4746</v>
      </c>
      <c r="E3036" t="s">
        <v>3091</v>
      </c>
      <c r="F3036" t="s">
        <v>20</v>
      </c>
      <c r="G3036" t="s">
        <v>338</v>
      </c>
      <c r="H3036">
        <v>26266</v>
      </c>
      <c r="I3036" t="s">
        <v>23</v>
      </c>
      <c r="J3036" t="s">
        <v>35</v>
      </c>
      <c r="K3036" s="2" t="s">
        <v>3310</v>
      </c>
      <c r="L3036" t="s">
        <v>26</v>
      </c>
      <c r="M3036">
        <v>358445</v>
      </c>
      <c r="N3036">
        <v>1</v>
      </c>
      <c r="O3036" s="3">
        <v>79950</v>
      </c>
      <c r="P3036" s="3">
        <v>25300</v>
      </c>
      <c r="Q3036" s="5">
        <f t="shared" si="141"/>
        <v>67184.873949579836</v>
      </c>
      <c r="R3036" s="5">
        <f t="shared" si="142"/>
        <v>25300</v>
      </c>
      <c r="S3036" s="5">
        <f t="shared" si="143"/>
        <v>41884.873949579836</v>
      </c>
    </row>
    <row r="3037" spans="1:19" hidden="1" x14ac:dyDescent="0.3">
      <c r="A3037">
        <v>150</v>
      </c>
      <c r="B3037" t="s">
        <v>4361</v>
      </c>
      <c r="C3037">
        <v>1687976791</v>
      </c>
      <c r="D3037" s="2" t="s">
        <v>200</v>
      </c>
      <c r="E3037" t="s">
        <v>201</v>
      </c>
      <c r="F3037" t="s">
        <v>201</v>
      </c>
      <c r="G3037" t="s">
        <v>202</v>
      </c>
      <c r="H3037" t="s">
        <v>202</v>
      </c>
      <c r="I3037" t="s">
        <v>23</v>
      </c>
      <c r="J3037" t="s">
        <v>202</v>
      </c>
      <c r="K3037" s="2" t="s">
        <v>3366</v>
      </c>
      <c r="L3037" t="s">
        <v>26</v>
      </c>
      <c r="M3037">
        <v>358446</v>
      </c>
      <c r="N3037">
        <v>1</v>
      </c>
      <c r="O3037" s="3">
        <v>6509</v>
      </c>
      <c r="P3037">
        <v>1</v>
      </c>
      <c r="Q3037" s="5">
        <f t="shared" si="141"/>
        <v>5469.7478991596645</v>
      </c>
      <c r="R3037" s="5">
        <f t="shared" si="142"/>
        <v>1</v>
      </c>
      <c r="S3037" s="5">
        <f t="shared" si="143"/>
        <v>5468.7478991596645</v>
      </c>
    </row>
    <row r="3038" spans="1:19" hidden="1" x14ac:dyDescent="0.3">
      <c r="A3038">
        <v>150</v>
      </c>
      <c r="B3038" t="s">
        <v>4361</v>
      </c>
      <c r="C3038" t="s">
        <v>2245</v>
      </c>
      <c r="D3038" s="2" t="s">
        <v>2246</v>
      </c>
      <c r="E3038" t="s">
        <v>2247</v>
      </c>
      <c r="F3038" t="s">
        <v>20</v>
      </c>
      <c r="G3038" t="s">
        <v>21</v>
      </c>
      <c r="H3038" t="s">
        <v>2248</v>
      </c>
      <c r="I3038" t="s">
        <v>23</v>
      </c>
      <c r="J3038" t="s">
        <v>49</v>
      </c>
      <c r="K3038" s="2" t="s">
        <v>3366</v>
      </c>
      <c r="L3038" t="s">
        <v>26</v>
      </c>
      <c r="M3038">
        <v>358446</v>
      </c>
      <c r="N3038">
        <v>1</v>
      </c>
      <c r="O3038" s="3">
        <v>39990</v>
      </c>
      <c r="P3038" s="3">
        <v>21850</v>
      </c>
      <c r="Q3038" s="5">
        <f t="shared" si="141"/>
        <v>33605.042016806721</v>
      </c>
      <c r="R3038" s="5">
        <f t="shared" si="142"/>
        <v>21850</v>
      </c>
      <c r="S3038" s="5">
        <f t="shared" si="143"/>
        <v>11755.042016806721</v>
      </c>
    </row>
    <row r="3039" spans="1:19" hidden="1" x14ac:dyDescent="0.3">
      <c r="A3039">
        <v>150</v>
      </c>
      <c r="B3039" t="s">
        <v>4361</v>
      </c>
      <c r="C3039" t="s">
        <v>4747</v>
      </c>
      <c r="D3039" s="2" t="s">
        <v>4748</v>
      </c>
      <c r="E3039" t="s">
        <v>4021</v>
      </c>
      <c r="F3039" t="s">
        <v>20</v>
      </c>
      <c r="G3039" t="s">
        <v>21</v>
      </c>
      <c r="H3039" t="s">
        <v>2364</v>
      </c>
      <c r="I3039" t="s">
        <v>23</v>
      </c>
      <c r="J3039" t="s">
        <v>40</v>
      </c>
      <c r="K3039" s="2" t="s">
        <v>3366</v>
      </c>
      <c r="L3039" t="s">
        <v>26</v>
      </c>
      <c r="M3039">
        <v>358447</v>
      </c>
      <c r="N3039">
        <v>1</v>
      </c>
      <c r="O3039" s="3">
        <v>39990</v>
      </c>
      <c r="P3039" s="3">
        <v>30446</v>
      </c>
      <c r="Q3039" s="5">
        <f t="shared" si="141"/>
        <v>33605.042016806721</v>
      </c>
      <c r="R3039" s="5">
        <f t="shared" si="142"/>
        <v>30446</v>
      </c>
      <c r="S3039" s="5">
        <f t="shared" si="143"/>
        <v>3159.0420168067212</v>
      </c>
    </row>
    <row r="3040" spans="1:19" hidden="1" x14ac:dyDescent="0.3">
      <c r="A3040">
        <v>150</v>
      </c>
      <c r="B3040" t="s">
        <v>4361</v>
      </c>
      <c r="C3040" t="s">
        <v>3294</v>
      </c>
      <c r="D3040" s="2" t="s">
        <v>3295</v>
      </c>
      <c r="E3040" t="s">
        <v>3296</v>
      </c>
      <c r="F3040" t="s">
        <v>377</v>
      </c>
      <c r="G3040" t="s">
        <v>21</v>
      </c>
      <c r="H3040" t="s">
        <v>378</v>
      </c>
      <c r="I3040" t="s">
        <v>23</v>
      </c>
      <c r="J3040" t="s">
        <v>3297</v>
      </c>
      <c r="K3040" s="2" t="s">
        <v>3366</v>
      </c>
      <c r="L3040" t="s">
        <v>26</v>
      </c>
      <c r="M3040">
        <v>358447</v>
      </c>
      <c r="N3040">
        <v>1</v>
      </c>
      <c r="O3040">
        <v>500</v>
      </c>
      <c r="P3040">
        <v>358</v>
      </c>
      <c r="Q3040" s="5">
        <f t="shared" si="141"/>
        <v>420.1680672268908</v>
      </c>
      <c r="R3040" s="5">
        <f t="shared" si="142"/>
        <v>358</v>
      </c>
      <c r="S3040" s="5">
        <f t="shared" si="143"/>
        <v>62.168067226890798</v>
      </c>
    </row>
    <row r="3041" spans="1:19" hidden="1" x14ac:dyDescent="0.3">
      <c r="A3041">
        <v>150</v>
      </c>
      <c r="B3041" t="s">
        <v>4361</v>
      </c>
      <c r="C3041" t="s">
        <v>4749</v>
      </c>
      <c r="D3041" s="2" t="s">
        <v>4750</v>
      </c>
      <c r="E3041" t="s">
        <v>2888</v>
      </c>
      <c r="F3041" t="s">
        <v>20</v>
      </c>
      <c r="G3041" t="s">
        <v>21</v>
      </c>
      <c r="H3041" t="s">
        <v>2593</v>
      </c>
      <c r="I3041" t="s">
        <v>23</v>
      </c>
      <c r="J3041" t="s">
        <v>35</v>
      </c>
      <c r="K3041" s="2" t="s">
        <v>3366</v>
      </c>
      <c r="L3041" t="s">
        <v>26</v>
      </c>
      <c r="M3041">
        <v>358448</v>
      </c>
      <c r="N3041">
        <v>1</v>
      </c>
      <c r="O3041" s="3">
        <v>84950</v>
      </c>
      <c r="P3041" s="3">
        <v>38102</v>
      </c>
      <c r="Q3041" s="5">
        <f t="shared" si="141"/>
        <v>71386.554621848743</v>
      </c>
      <c r="R3041" s="5">
        <f t="shared" si="142"/>
        <v>38102</v>
      </c>
      <c r="S3041" s="5">
        <f t="shared" si="143"/>
        <v>33284.554621848743</v>
      </c>
    </row>
    <row r="3042" spans="1:19" hidden="1" x14ac:dyDescent="0.3">
      <c r="A3042">
        <v>150</v>
      </c>
      <c r="B3042" t="s">
        <v>4361</v>
      </c>
      <c r="C3042" t="s">
        <v>4751</v>
      </c>
      <c r="D3042" s="2" t="s">
        <v>4752</v>
      </c>
      <c r="E3042" t="s">
        <v>4753</v>
      </c>
      <c r="F3042" t="s">
        <v>20</v>
      </c>
      <c r="G3042" t="s">
        <v>338</v>
      </c>
      <c r="H3042">
        <v>23313</v>
      </c>
      <c r="I3042" t="s">
        <v>23</v>
      </c>
      <c r="J3042" t="s">
        <v>40</v>
      </c>
      <c r="K3042" s="2" t="s">
        <v>3366</v>
      </c>
      <c r="L3042" t="s">
        <v>26</v>
      </c>
      <c r="M3042">
        <v>358449</v>
      </c>
      <c r="N3042">
        <v>1</v>
      </c>
      <c r="O3042" s="3">
        <v>69950</v>
      </c>
      <c r="P3042" s="3">
        <v>22704</v>
      </c>
      <c r="Q3042" s="5">
        <f t="shared" si="141"/>
        <v>58781.512605042022</v>
      </c>
      <c r="R3042" s="5">
        <f t="shared" si="142"/>
        <v>22704</v>
      </c>
      <c r="S3042" s="5">
        <f t="shared" si="143"/>
        <v>36077.512605042022</v>
      </c>
    </row>
    <row r="3043" spans="1:19" hidden="1" x14ac:dyDescent="0.3">
      <c r="A3043">
        <v>150</v>
      </c>
      <c r="B3043" t="s">
        <v>4361</v>
      </c>
      <c r="C3043" t="s">
        <v>264</v>
      </c>
      <c r="D3043" s="2" t="s">
        <v>265</v>
      </c>
      <c r="E3043" t="s">
        <v>266</v>
      </c>
      <c r="F3043" t="s">
        <v>20</v>
      </c>
      <c r="G3043" t="s">
        <v>21</v>
      </c>
      <c r="H3043" t="s">
        <v>267</v>
      </c>
      <c r="I3043" t="s">
        <v>23</v>
      </c>
      <c r="J3043" t="s">
        <v>49</v>
      </c>
      <c r="K3043" s="2" t="s">
        <v>3366</v>
      </c>
      <c r="L3043" t="s">
        <v>26</v>
      </c>
      <c r="M3043">
        <v>358450</v>
      </c>
      <c r="N3043">
        <v>1</v>
      </c>
      <c r="O3043" s="3">
        <v>64950</v>
      </c>
      <c r="P3043" s="3">
        <v>24504</v>
      </c>
      <c r="Q3043" s="5">
        <f t="shared" si="141"/>
        <v>54579.831932773115</v>
      </c>
      <c r="R3043" s="5">
        <f t="shared" si="142"/>
        <v>24504</v>
      </c>
      <c r="S3043" s="5">
        <f t="shared" si="143"/>
        <v>30075.831932773115</v>
      </c>
    </row>
    <row r="3044" spans="1:19" hidden="1" x14ac:dyDescent="0.3">
      <c r="A3044">
        <v>150</v>
      </c>
      <c r="B3044" t="s">
        <v>4361</v>
      </c>
      <c r="C3044" t="s">
        <v>2097</v>
      </c>
      <c r="D3044" s="2" t="s">
        <v>2098</v>
      </c>
      <c r="E3044" t="s">
        <v>494</v>
      </c>
      <c r="F3044" t="s">
        <v>20</v>
      </c>
      <c r="G3044" t="s">
        <v>21</v>
      </c>
      <c r="H3044" t="s">
        <v>317</v>
      </c>
      <c r="I3044" t="s">
        <v>23</v>
      </c>
      <c r="J3044" t="s">
        <v>35</v>
      </c>
      <c r="K3044" s="2" t="s">
        <v>3366</v>
      </c>
      <c r="L3044" t="s">
        <v>26</v>
      </c>
      <c r="M3044">
        <v>358450</v>
      </c>
      <c r="N3044">
        <v>1</v>
      </c>
      <c r="O3044" s="3">
        <v>69950</v>
      </c>
      <c r="P3044" s="3">
        <v>23619</v>
      </c>
      <c r="Q3044" s="5">
        <f t="shared" si="141"/>
        <v>58781.512605042022</v>
      </c>
      <c r="R3044" s="5">
        <f t="shared" si="142"/>
        <v>23619</v>
      </c>
      <c r="S3044" s="5">
        <f t="shared" si="143"/>
        <v>35162.512605042022</v>
      </c>
    </row>
    <row r="3045" spans="1:19" hidden="1" x14ac:dyDescent="0.3">
      <c r="A3045">
        <v>150</v>
      </c>
      <c r="B3045" t="s">
        <v>4361</v>
      </c>
      <c r="C3045" t="s">
        <v>4665</v>
      </c>
      <c r="D3045" s="2" t="s">
        <v>4666</v>
      </c>
      <c r="E3045" t="s">
        <v>4132</v>
      </c>
      <c r="F3045" t="s">
        <v>20</v>
      </c>
      <c r="G3045" t="s">
        <v>21</v>
      </c>
      <c r="H3045" t="s">
        <v>1914</v>
      </c>
      <c r="I3045" t="s">
        <v>23</v>
      </c>
      <c r="J3045" t="s">
        <v>49</v>
      </c>
      <c r="K3045" s="2" t="s">
        <v>3366</v>
      </c>
      <c r="L3045" t="s">
        <v>26</v>
      </c>
      <c r="M3045">
        <v>358451</v>
      </c>
      <c r="N3045">
        <v>-1</v>
      </c>
      <c r="O3045" s="3">
        <v>-74950</v>
      </c>
      <c r="P3045" s="3">
        <v>24732</v>
      </c>
      <c r="Q3045" s="5">
        <f t="shared" si="141"/>
        <v>-62983.193277310929</v>
      </c>
      <c r="R3045" s="5">
        <f t="shared" si="142"/>
        <v>-24732</v>
      </c>
      <c r="S3045" s="5">
        <f t="shared" si="143"/>
        <v>-38251.193277310929</v>
      </c>
    </row>
    <row r="3046" spans="1:19" hidden="1" x14ac:dyDescent="0.3">
      <c r="A3046">
        <v>150</v>
      </c>
      <c r="B3046" t="s">
        <v>4361</v>
      </c>
      <c r="C3046" t="s">
        <v>4061</v>
      </c>
      <c r="D3046" s="2" t="s">
        <v>4062</v>
      </c>
      <c r="E3046" t="s">
        <v>2208</v>
      </c>
      <c r="F3046" t="s">
        <v>20</v>
      </c>
      <c r="G3046" t="s">
        <v>338</v>
      </c>
      <c r="H3046">
        <v>25823</v>
      </c>
      <c r="I3046" t="s">
        <v>23</v>
      </c>
      <c r="J3046" t="s">
        <v>35</v>
      </c>
      <c r="K3046" s="2" t="s">
        <v>3366</v>
      </c>
      <c r="L3046" t="s">
        <v>26</v>
      </c>
      <c r="M3046">
        <v>358451</v>
      </c>
      <c r="N3046">
        <v>1</v>
      </c>
      <c r="O3046" s="3">
        <v>99950</v>
      </c>
      <c r="P3046" s="3">
        <v>33748</v>
      </c>
      <c r="Q3046" s="5">
        <f t="shared" si="141"/>
        <v>83991.596638655465</v>
      </c>
      <c r="R3046" s="5">
        <f t="shared" si="142"/>
        <v>33748</v>
      </c>
      <c r="S3046" s="5">
        <f t="shared" si="143"/>
        <v>50243.596638655465</v>
      </c>
    </row>
    <row r="3047" spans="1:19" hidden="1" x14ac:dyDescent="0.3">
      <c r="A3047">
        <v>150</v>
      </c>
      <c r="B3047" t="s">
        <v>4361</v>
      </c>
      <c r="C3047" t="s">
        <v>3007</v>
      </c>
      <c r="D3047" s="2" t="s">
        <v>3008</v>
      </c>
      <c r="E3047" t="s">
        <v>2986</v>
      </c>
      <c r="F3047" t="s">
        <v>20</v>
      </c>
      <c r="G3047" t="s">
        <v>21</v>
      </c>
      <c r="H3047" t="s">
        <v>267</v>
      </c>
      <c r="I3047" t="s">
        <v>23</v>
      </c>
      <c r="J3047" t="s">
        <v>35</v>
      </c>
      <c r="K3047" s="2" t="s">
        <v>3366</v>
      </c>
      <c r="L3047" t="s">
        <v>26</v>
      </c>
      <c r="M3047">
        <v>358452</v>
      </c>
      <c r="N3047">
        <v>0</v>
      </c>
      <c r="O3047">
        <v>1</v>
      </c>
      <c r="P3047" s="3">
        <v>24733</v>
      </c>
      <c r="Q3047" s="5">
        <f t="shared" si="141"/>
        <v>0.84033613445378152</v>
      </c>
      <c r="R3047" s="5">
        <f t="shared" si="142"/>
        <v>0</v>
      </c>
      <c r="S3047" s="5">
        <f t="shared" si="143"/>
        <v>0.84033613445378152</v>
      </c>
    </row>
    <row r="3048" spans="1:19" hidden="1" x14ac:dyDescent="0.3">
      <c r="A3048">
        <v>150</v>
      </c>
      <c r="B3048" t="s">
        <v>4361</v>
      </c>
      <c r="C3048" t="s">
        <v>3536</v>
      </c>
      <c r="D3048" s="2" t="s">
        <v>3537</v>
      </c>
      <c r="E3048" t="s">
        <v>2360</v>
      </c>
      <c r="F3048" t="s">
        <v>20</v>
      </c>
      <c r="G3048" t="s">
        <v>21</v>
      </c>
      <c r="H3048" t="s">
        <v>1286</v>
      </c>
      <c r="I3048" t="s">
        <v>23</v>
      </c>
      <c r="J3048" t="s">
        <v>40</v>
      </c>
      <c r="K3048" s="2" t="s">
        <v>3366</v>
      </c>
      <c r="L3048" t="s">
        <v>26</v>
      </c>
      <c r="M3048">
        <v>358453</v>
      </c>
      <c r="N3048">
        <v>1</v>
      </c>
      <c r="O3048" s="3">
        <v>49990</v>
      </c>
      <c r="P3048" s="3">
        <v>24783</v>
      </c>
      <c r="Q3048" s="5">
        <f t="shared" si="141"/>
        <v>42008.403361344543</v>
      </c>
      <c r="R3048" s="5">
        <f t="shared" si="142"/>
        <v>24783</v>
      </c>
      <c r="S3048" s="5">
        <f t="shared" si="143"/>
        <v>17225.403361344543</v>
      </c>
    </row>
    <row r="3049" spans="1:19" hidden="1" x14ac:dyDescent="0.3">
      <c r="A3049">
        <v>150</v>
      </c>
      <c r="B3049" t="s">
        <v>4361</v>
      </c>
      <c r="C3049" t="s">
        <v>2840</v>
      </c>
      <c r="D3049" s="2" t="s">
        <v>2841</v>
      </c>
      <c r="E3049" t="s">
        <v>2110</v>
      </c>
      <c r="F3049" t="s">
        <v>20</v>
      </c>
      <c r="G3049" t="s">
        <v>21</v>
      </c>
      <c r="H3049" t="s">
        <v>22</v>
      </c>
      <c r="I3049" t="s">
        <v>23</v>
      </c>
      <c r="J3049" t="s">
        <v>24</v>
      </c>
      <c r="K3049" s="2" t="s">
        <v>3366</v>
      </c>
      <c r="L3049" t="s">
        <v>26</v>
      </c>
      <c r="M3049">
        <v>358454</v>
      </c>
      <c r="N3049">
        <v>1</v>
      </c>
      <c r="O3049" s="3">
        <v>79950</v>
      </c>
      <c r="P3049" s="3">
        <v>27760</v>
      </c>
      <c r="Q3049" s="5">
        <f t="shared" si="141"/>
        <v>67184.873949579836</v>
      </c>
      <c r="R3049" s="5">
        <f t="shared" si="142"/>
        <v>27760</v>
      </c>
      <c r="S3049" s="5">
        <f t="shared" si="143"/>
        <v>39424.873949579836</v>
      </c>
    </row>
    <row r="3050" spans="1:19" hidden="1" x14ac:dyDescent="0.3">
      <c r="A3050">
        <v>150</v>
      </c>
      <c r="B3050" t="s">
        <v>4361</v>
      </c>
      <c r="C3050" t="s">
        <v>3014</v>
      </c>
      <c r="D3050" s="2" t="s">
        <v>3015</v>
      </c>
      <c r="E3050" t="s">
        <v>3016</v>
      </c>
      <c r="F3050" t="s">
        <v>20</v>
      </c>
      <c r="G3050" t="s">
        <v>338</v>
      </c>
      <c r="H3050">
        <v>25301</v>
      </c>
      <c r="I3050" t="s">
        <v>23</v>
      </c>
      <c r="J3050" t="s">
        <v>35</v>
      </c>
      <c r="K3050" s="2" t="s">
        <v>3366</v>
      </c>
      <c r="L3050" t="s">
        <v>26</v>
      </c>
      <c r="M3050">
        <v>358455</v>
      </c>
      <c r="N3050">
        <v>1</v>
      </c>
      <c r="O3050" s="3">
        <v>99950</v>
      </c>
      <c r="P3050" s="3">
        <v>34679</v>
      </c>
      <c r="Q3050" s="5">
        <f t="shared" si="141"/>
        <v>83991.596638655465</v>
      </c>
      <c r="R3050" s="5">
        <f t="shared" si="142"/>
        <v>34679</v>
      </c>
      <c r="S3050" s="5">
        <f t="shared" si="143"/>
        <v>49312.596638655465</v>
      </c>
    </row>
    <row r="3051" spans="1:19" hidden="1" x14ac:dyDescent="0.3">
      <c r="A3051">
        <v>150</v>
      </c>
      <c r="B3051" t="s">
        <v>4361</v>
      </c>
      <c r="C3051" t="s">
        <v>864</v>
      </c>
      <c r="D3051" s="2" t="s">
        <v>865</v>
      </c>
      <c r="E3051" t="s">
        <v>866</v>
      </c>
      <c r="F3051" t="s">
        <v>20</v>
      </c>
      <c r="G3051" t="s">
        <v>21</v>
      </c>
      <c r="H3051" t="s">
        <v>90</v>
      </c>
      <c r="I3051" t="s">
        <v>23</v>
      </c>
      <c r="J3051" t="s">
        <v>35</v>
      </c>
      <c r="K3051" s="2" t="s">
        <v>3366</v>
      </c>
      <c r="L3051" t="s">
        <v>26</v>
      </c>
      <c r="M3051">
        <v>358455</v>
      </c>
      <c r="N3051">
        <v>1</v>
      </c>
      <c r="O3051" s="3">
        <v>72200</v>
      </c>
      <c r="P3051" s="3">
        <v>35325</v>
      </c>
      <c r="Q3051" s="5">
        <f t="shared" si="141"/>
        <v>60672.268907563026</v>
      </c>
      <c r="R3051" s="5">
        <f t="shared" si="142"/>
        <v>35325</v>
      </c>
      <c r="S3051" s="5">
        <f t="shared" si="143"/>
        <v>25347.268907563026</v>
      </c>
    </row>
    <row r="3052" spans="1:19" hidden="1" x14ac:dyDescent="0.3">
      <c r="A3052">
        <v>150</v>
      </c>
      <c r="B3052" t="s">
        <v>4361</v>
      </c>
      <c r="C3052" t="s">
        <v>4754</v>
      </c>
      <c r="D3052" s="2" t="s">
        <v>4755</v>
      </c>
      <c r="E3052" t="s">
        <v>631</v>
      </c>
      <c r="F3052" t="s">
        <v>20</v>
      </c>
      <c r="G3052" t="s">
        <v>21</v>
      </c>
      <c r="H3052" t="s">
        <v>632</v>
      </c>
      <c r="I3052" t="s">
        <v>23</v>
      </c>
      <c r="J3052" t="s">
        <v>40</v>
      </c>
      <c r="K3052" s="2" t="s">
        <v>3366</v>
      </c>
      <c r="L3052" t="s">
        <v>26</v>
      </c>
      <c r="M3052">
        <v>358456</v>
      </c>
      <c r="N3052">
        <v>1</v>
      </c>
      <c r="O3052" s="3">
        <v>49950</v>
      </c>
      <c r="P3052" s="3">
        <v>19155</v>
      </c>
      <c r="Q3052" s="5">
        <f t="shared" si="141"/>
        <v>41974.789915966387</v>
      </c>
      <c r="R3052" s="5">
        <f t="shared" si="142"/>
        <v>19155</v>
      </c>
      <c r="S3052" s="5">
        <f t="shared" si="143"/>
        <v>22819.789915966387</v>
      </c>
    </row>
    <row r="3053" spans="1:19" hidden="1" x14ac:dyDescent="0.3">
      <c r="A3053">
        <v>150</v>
      </c>
      <c r="B3053" t="s">
        <v>4361</v>
      </c>
      <c r="C3053" t="s">
        <v>4526</v>
      </c>
      <c r="D3053" s="2" t="s">
        <v>4527</v>
      </c>
      <c r="E3053" t="s">
        <v>2800</v>
      </c>
      <c r="F3053" t="s">
        <v>20</v>
      </c>
      <c r="G3053" t="s">
        <v>21</v>
      </c>
      <c r="H3053" t="s">
        <v>600</v>
      </c>
      <c r="I3053" t="s">
        <v>23</v>
      </c>
      <c r="J3053" t="s">
        <v>40</v>
      </c>
      <c r="K3053" s="2" t="s">
        <v>3366</v>
      </c>
      <c r="L3053" t="s">
        <v>26</v>
      </c>
      <c r="M3053">
        <v>358457</v>
      </c>
      <c r="N3053">
        <v>1</v>
      </c>
      <c r="O3053" s="3">
        <v>49990</v>
      </c>
      <c r="P3053" s="3">
        <v>21327</v>
      </c>
      <c r="Q3053" s="5">
        <f t="shared" si="141"/>
        <v>42008.403361344543</v>
      </c>
      <c r="R3053" s="5">
        <f t="shared" si="142"/>
        <v>21327</v>
      </c>
      <c r="S3053" s="5">
        <f t="shared" si="143"/>
        <v>20681.403361344543</v>
      </c>
    </row>
    <row r="3054" spans="1:19" hidden="1" x14ac:dyDescent="0.3">
      <c r="A3054">
        <v>150</v>
      </c>
      <c r="B3054" t="s">
        <v>4361</v>
      </c>
      <c r="C3054" t="s">
        <v>2649</v>
      </c>
      <c r="D3054" s="2" t="s">
        <v>2650</v>
      </c>
      <c r="E3054" t="s">
        <v>266</v>
      </c>
      <c r="F3054" t="s">
        <v>20</v>
      </c>
      <c r="G3054" t="s">
        <v>21</v>
      </c>
      <c r="H3054" t="s">
        <v>267</v>
      </c>
      <c r="I3054" t="s">
        <v>23</v>
      </c>
      <c r="J3054" t="s">
        <v>49</v>
      </c>
      <c r="K3054" s="2" t="s">
        <v>3366</v>
      </c>
      <c r="L3054" t="s">
        <v>26</v>
      </c>
      <c r="M3054">
        <v>358458</v>
      </c>
      <c r="N3054">
        <v>1</v>
      </c>
      <c r="O3054" s="3">
        <v>64950</v>
      </c>
      <c r="P3054" s="3">
        <v>24504</v>
      </c>
      <c r="Q3054" s="5">
        <f t="shared" si="141"/>
        <v>54579.831932773115</v>
      </c>
      <c r="R3054" s="5">
        <f t="shared" si="142"/>
        <v>24504</v>
      </c>
      <c r="S3054" s="5">
        <f t="shared" si="143"/>
        <v>30075.831932773115</v>
      </c>
    </row>
    <row r="3055" spans="1:19" hidden="1" x14ac:dyDescent="0.3">
      <c r="A3055">
        <v>150</v>
      </c>
      <c r="B3055" t="s">
        <v>4361</v>
      </c>
      <c r="C3055" t="s">
        <v>4756</v>
      </c>
      <c r="D3055" s="2" t="s">
        <v>4757</v>
      </c>
      <c r="E3055" t="s">
        <v>4540</v>
      </c>
      <c r="F3055" t="s">
        <v>20</v>
      </c>
      <c r="G3055" t="s">
        <v>338</v>
      </c>
      <c r="H3055">
        <v>25623</v>
      </c>
      <c r="I3055" t="s">
        <v>23</v>
      </c>
      <c r="J3055" t="s">
        <v>31</v>
      </c>
      <c r="K3055" s="2" t="s">
        <v>3366</v>
      </c>
      <c r="L3055" t="s">
        <v>26</v>
      </c>
      <c r="M3055">
        <v>358459</v>
      </c>
      <c r="N3055">
        <v>1</v>
      </c>
      <c r="O3055" s="3">
        <v>74960</v>
      </c>
      <c r="P3055" s="3">
        <v>33748</v>
      </c>
      <c r="Q3055" s="5">
        <f t="shared" si="141"/>
        <v>62991.596638655465</v>
      </c>
      <c r="R3055" s="5">
        <f t="shared" si="142"/>
        <v>33748</v>
      </c>
      <c r="S3055" s="5">
        <f t="shared" si="143"/>
        <v>29243.596638655465</v>
      </c>
    </row>
    <row r="3056" spans="1:19" hidden="1" x14ac:dyDescent="0.3">
      <c r="A3056">
        <v>150</v>
      </c>
      <c r="B3056" t="s">
        <v>4361</v>
      </c>
      <c r="C3056" t="s">
        <v>4758</v>
      </c>
      <c r="D3056" s="2" t="s">
        <v>4759</v>
      </c>
      <c r="E3056" t="s">
        <v>3491</v>
      </c>
      <c r="F3056" t="s">
        <v>20</v>
      </c>
      <c r="G3056" t="s">
        <v>338</v>
      </c>
      <c r="H3056">
        <v>85200</v>
      </c>
      <c r="I3056" t="s">
        <v>23</v>
      </c>
      <c r="J3056" t="s">
        <v>35</v>
      </c>
      <c r="K3056" s="2" t="s">
        <v>3366</v>
      </c>
      <c r="L3056" t="s">
        <v>26</v>
      </c>
      <c r="M3056">
        <v>358460</v>
      </c>
      <c r="N3056">
        <v>1</v>
      </c>
      <c r="O3056" s="3">
        <v>89950</v>
      </c>
      <c r="P3056" s="3">
        <v>27253</v>
      </c>
      <c r="Q3056" s="5">
        <f t="shared" si="141"/>
        <v>75588.23529411765</v>
      </c>
      <c r="R3056" s="5">
        <f t="shared" si="142"/>
        <v>27253</v>
      </c>
      <c r="S3056" s="5">
        <f t="shared" si="143"/>
        <v>48335.23529411765</v>
      </c>
    </row>
    <row r="3057" spans="1:19" hidden="1" x14ac:dyDescent="0.3">
      <c r="A3057">
        <v>150</v>
      </c>
      <c r="B3057" t="s">
        <v>4361</v>
      </c>
      <c r="C3057" t="s">
        <v>1037</v>
      </c>
      <c r="D3057" s="2" t="s">
        <v>1038</v>
      </c>
      <c r="E3057" t="s">
        <v>1039</v>
      </c>
      <c r="F3057" t="s">
        <v>377</v>
      </c>
      <c r="G3057" t="s">
        <v>21</v>
      </c>
      <c r="H3057" t="s">
        <v>378</v>
      </c>
      <c r="I3057" t="s">
        <v>23</v>
      </c>
      <c r="J3057" t="s">
        <v>379</v>
      </c>
      <c r="K3057" s="2" t="s">
        <v>3366</v>
      </c>
      <c r="L3057" t="s">
        <v>26</v>
      </c>
      <c r="M3057">
        <v>358460</v>
      </c>
      <c r="N3057">
        <v>1</v>
      </c>
      <c r="O3057" s="3">
        <v>5950</v>
      </c>
      <c r="P3057" s="3">
        <v>3257</v>
      </c>
      <c r="Q3057" s="5">
        <f t="shared" si="141"/>
        <v>5000</v>
      </c>
      <c r="R3057" s="5">
        <f t="shared" si="142"/>
        <v>3257</v>
      </c>
      <c r="S3057" s="5">
        <f t="shared" si="143"/>
        <v>1743</v>
      </c>
    </row>
    <row r="3058" spans="1:19" hidden="1" x14ac:dyDescent="0.3">
      <c r="A3058">
        <v>150</v>
      </c>
      <c r="B3058" t="s">
        <v>4361</v>
      </c>
      <c r="C3058" t="s">
        <v>4760</v>
      </c>
      <c r="D3058" s="2" t="s">
        <v>4761</v>
      </c>
      <c r="E3058" t="s">
        <v>2561</v>
      </c>
      <c r="F3058" t="s">
        <v>20</v>
      </c>
      <c r="G3058" t="s">
        <v>21</v>
      </c>
      <c r="H3058" t="s">
        <v>1914</v>
      </c>
      <c r="I3058" t="s">
        <v>23</v>
      </c>
      <c r="J3058" t="s">
        <v>35</v>
      </c>
      <c r="K3058" s="2" t="s">
        <v>3366</v>
      </c>
      <c r="L3058" t="s">
        <v>26</v>
      </c>
      <c r="M3058">
        <v>358461</v>
      </c>
      <c r="N3058">
        <v>1</v>
      </c>
      <c r="O3058" s="3">
        <v>69990</v>
      </c>
      <c r="P3058" s="3">
        <v>28298</v>
      </c>
      <c r="Q3058" s="5">
        <f t="shared" si="141"/>
        <v>58815.126050420171</v>
      </c>
      <c r="R3058" s="5">
        <f t="shared" si="142"/>
        <v>28298</v>
      </c>
      <c r="S3058" s="5">
        <f t="shared" si="143"/>
        <v>30517.126050420171</v>
      </c>
    </row>
    <row r="3059" spans="1:19" hidden="1" x14ac:dyDescent="0.3">
      <c r="A3059">
        <v>150</v>
      </c>
      <c r="B3059" t="s">
        <v>4361</v>
      </c>
      <c r="C3059" t="s">
        <v>3294</v>
      </c>
      <c r="D3059" s="2" t="s">
        <v>3295</v>
      </c>
      <c r="E3059" t="s">
        <v>3296</v>
      </c>
      <c r="F3059" t="s">
        <v>377</v>
      </c>
      <c r="G3059" t="s">
        <v>21</v>
      </c>
      <c r="H3059" t="s">
        <v>378</v>
      </c>
      <c r="I3059" t="s">
        <v>23</v>
      </c>
      <c r="J3059" t="s">
        <v>3297</v>
      </c>
      <c r="K3059" s="2" t="s">
        <v>3366</v>
      </c>
      <c r="L3059" t="s">
        <v>26</v>
      </c>
      <c r="M3059">
        <v>358461</v>
      </c>
      <c r="N3059">
        <v>1</v>
      </c>
      <c r="O3059">
        <v>500</v>
      </c>
      <c r="P3059">
        <v>358</v>
      </c>
      <c r="Q3059" s="5">
        <f t="shared" si="141"/>
        <v>420.1680672268908</v>
      </c>
      <c r="R3059" s="5">
        <f t="shared" si="142"/>
        <v>358</v>
      </c>
      <c r="S3059" s="5">
        <f t="shared" si="143"/>
        <v>62.168067226890798</v>
      </c>
    </row>
    <row r="3060" spans="1:19" hidden="1" x14ac:dyDescent="0.3">
      <c r="A3060">
        <v>150</v>
      </c>
      <c r="B3060" t="s">
        <v>4361</v>
      </c>
      <c r="C3060" t="s">
        <v>3133</v>
      </c>
      <c r="D3060" s="2" t="s">
        <v>3134</v>
      </c>
      <c r="E3060" t="s">
        <v>3135</v>
      </c>
      <c r="F3060" t="s">
        <v>377</v>
      </c>
      <c r="G3060" t="s">
        <v>21</v>
      </c>
      <c r="H3060" t="s">
        <v>378</v>
      </c>
      <c r="I3060" t="s">
        <v>23</v>
      </c>
      <c r="J3060" t="s">
        <v>2638</v>
      </c>
      <c r="K3060" s="2" t="s">
        <v>3366</v>
      </c>
      <c r="L3060" t="s">
        <v>26</v>
      </c>
      <c r="M3060">
        <v>358462</v>
      </c>
      <c r="N3060">
        <v>1</v>
      </c>
      <c r="O3060" s="3">
        <v>3450</v>
      </c>
      <c r="P3060" s="3">
        <v>1410</v>
      </c>
      <c r="Q3060" s="5">
        <f t="shared" si="141"/>
        <v>2899.1596638655465</v>
      </c>
      <c r="R3060" s="5">
        <f t="shared" si="142"/>
        <v>1410</v>
      </c>
      <c r="S3060" s="5">
        <f t="shared" si="143"/>
        <v>1489.1596638655465</v>
      </c>
    </row>
    <row r="3061" spans="1:19" hidden="1" x14ac:dyDescent="0.3">
      <c r="A3061">
        <v>150</v>
      </c>
      <c r="B3061" t="s">
        <v>4361</v>
      </c>
      <c r="C3061" t="s">
        <v>4762</v>
      </c>
      <c r="D3061" s="2" t="s">
        <v>4763</v>
      </c>
      <c r="E3061" t="s">
        <v>1330</v>
      </c>
      <c r="F3061" t="s">
        <v>20</v>
      </c>
      <c r="G3061" t="s">
        <v>338</v>
      </c>
      <c r="H3061">
        <v>25133</v>
      </c>
      <c r="I3061" t="s">
        <v>23</v>
      </c>
      <c r="J3061" t="s">
        <v>35</v>
      </c>
      <c r="K3061" s="2" t="s">
        <v>1958</v>
      </c>
      <c r="L3061" t="s">
        <v>26</v>
      </c>
      <c r="M3061">
        <v>358463</v>
      </c>
      <c r="N3061">
        <v>1</v>
      </c>
      <c r="O3061" s="3">
        <v>74950</v>
      </c>
      <c r="P3061" s="3">
        <v>21167</v>
      </c>
      <c r="Q3061" s="5">
        <f t="shared" si="141"/>
        <v>62983.193277310929</v>
      </c>
      <c r="R3061" s="5">
        <f t="shared" si="142"/>
        <v>21167</v>
      </c>
      <c r="S3061" s="5">
        <f t="shared" si="143"/>
        <v>41816.193277310929</v>
      </c>
    </row>
    <row r="3062" spans="1:19" hidden="1" x14ac:dyDescent="0.3">
      <c r="A3062">
        <v>150</v>
      </c>
      <c r="B3062" t="s">
        <v>4361</v>
      </c>
      <c r="C3062" t="s">
        <v>4239</v>
      </c>
      <c r="D3062" s="2" t="s">
        <v>4240</v>
      </c>
      <c r="E3062" t="s">
        <v>2539</v>
      </c>
      <c r="F3062" t="s">
        <v>20</v>
      </c>
      <c r="G3062" t="s">
        <v>21</v>
      </c>
      <c r="H3062" t="s">
        <v>966</v>
      </c>
      <c r="I3062" t="s">
        <v>23</v>
      </c>
      <c r="J3062" t="s">
        <v>35</v>
      </c>
      <c r="K3062" s="2" t="s">
        <v>1958</v>
      </c>
      <c r="L3062" t="s">
        <v>26</v>
      </c>
      <c r="M3062">
        <v>358464</v>
      </c>
      <c r="N3062">
        <v>1</v>
      </c>
      <c r="O3062" s="3">
        <v>74950</v>
      </c>
      <c r="P3062" s="3">
        <v>26729</v>
      </c>
      <c r="Q3062" s="5">
        <f t="shared" si="141"/>
        <v>62983.193277310929</v>
      </c>
      <c r="R3062" s="5">
        <f t="shared" si="142"/>
        <v>26729</v>
      </c>
      <c r="S3062" s="5">
        <f t="shared" si="143"/>
        <v>36254.193277310929</v>
      </c>
    </row>
    <row r="3063" spans="1:19" hidden="1" x14ac:dyDescent="0.3">
      <c r="A3063">
        <v>150</v>
      </c>
      <c r="B3063" t="s">
        <v>4361</v>
      </c>
      <c r="C3063" t="s">
        <v>3294</v>
      </c>
      <c r="D3063" s="2" t="s">
        <v>3295</v>
      </c>
      <c r="E3063" t="s">
        <v>3296</v>
      </c>
      <c r="F3063" t="s">
        <v>377</v>
      </c>
      <c r="G3063" t="s">
        <v>21</v>
      </c>
      <c r="H3063" t="s">
        <v>378</v>
      </c>
      <c r="I3063" t="s">
        <v>23</v>
      </c>
      <c r="J3063" t="s">
        <v>3297</v>
      </c>
      <c r="K3063" s="2" t="s">
        <v>1958</v>
      </c>
      <c r="L3063" t="s">
        <v>26</v>
      </c>
      <c r="M3063">
        <v>358464</v>
      </c>
      <c r="N3063">
        <v>1</v>
      </c>
      <c r="O3063">
        <v>500</v>
      </c>
      <c r="P3063">
        <v>358</v>
      </c>
      <c r="Q3063" s="5">
        <f t="shared" si="141"/>
        <v>420.1680672268908</v>
      </c>
      <c r="R3063" s="5">
        <f t="shared" si="142"/>
        <v>358</v>
      </c>
      <c r="S3063" s="5">
        <f t="shared" si="143"/>
        <v>62.168067226890798</v>
      </c>
    </row>
    <row r="3064" spans="1:19" hidden="1" x14ac:dyDescent="0.3">
      <c r="A3064">
        <v>150</v>
      </c>
      <c r="B3064" t="s">
        <v>4361</v>
      </c>
      <c r="C3064" t="s">
        <v>4545</v>
      </c>
      <c r="D3064" s="2" t="s">
        <v>4546</v>
      </c>
      <c r="E3064" t="s">
        <v>4547</v>
      </c>
      <c r="F3064" t="s">
        <v>20</v>
      </c>
      <c r="G3064" t="s">
        <v>21</v>
      </c>
      <c r="H3064" t="s">
        <v>285</v>
      </c>
      <c r="I3064" t="s">
        <v>23</v>
      </c>
      <c r="J3064" t="s">
        <v>49</v>
      </c>
      <c r="K3064" s="2" t="s">
        <v>1958</v>
      </c>
      <c r="L3064" t="s">
        <v>26</v>
      </c>
      <c r="M3064">
        <v>358465</v>
      </c>
      <c r="N3064">
        <v>-1</v>
      </c>
      <c r="O3064" s="3">
        <v>-59990</v>
      </c>
      <c r="P3064" s="3">
        <v>29464</v>
      </c>
      <c r="Q3064" s="5">
        <f t="shared" si="141"/>
        <v>-50411.764705882357</v>
      </c>
      <c r="R3064" s="5">
        <f t="shared" si="142"/>
        <v>-29464</v>
      </c>
      <c r="S3064" s="5">
        <f t="shared" si="143"/>
        <v>-20947.764705882357</v>
      </c>
    </row>
    <row r="3065" spans="1:19" hidden="1" x14ac:dyDescent="0.3">
      <c r="A3065">
        <v>150</v>
      </c>
      <c r="B3065" t="s">
        <v>4361</v>
      </c>
      <c r="C3065" t="s">
        <v>2940</v>
      </c>
      <c r="D3065" s="2" t="s">
        <v>2941</v>
      </c>
      <c r="E3065" t="s">
        <v>1986</v>
      </c>
      <c r="F3065" t="s">
        <v>20</v>
      </c>
      <c r="G3065" t="s">
        <v>21</v>
      </c>
      <c r="H3065" t="s">
        <v>1987</v>
      </c>
      <c r="I3065" t="s">
        <v>23</v>
      </c>
      <c r="J3065" t="s">
        <v>49</v>
      </c>
      <c r="K3065" s="2" t="s">
        <v>1958</v>
      </c>
      <c r="L3065" t="s">
        <v>26</v>
      </c>
      <c r="M3065">
        <v>358465</v>
      </c>
      <c r="N3065">
        <v>1</v>
      </c>
      <c r="O3065" s="3">
        <v>74950</v>
      </c>
      <c r="P3065" s="3">
        <v>25014</v>
      </c>
      <c r="Q3065" s="5">
        <f t="shared" si="141"/>
        <v>62983.193277310929</v>
      </c>
      <c r="R3065" s="5">
        <f t="shared" si="142"/>
        <v>25014</v>
      </c>
      <c r="S3065" s="5">
        <f t="shared" si="143"/>
        <v>37969.193277310929</v>
      </c>
    </row>
    <row r="3066" spans="1:19" hidden="1" x14ac:dyDescent="0.3">
      <c r="A3066">
        <v>150</v>
      </c>
      <c r="B3066" t="s">
        <v>4361</v>
      </c>
      <c r="C3066" t="s">
        <v>3125</v>
      </c>
      <c r="D3066" s="2" t="s">
        <v>3126</v>
      </c>
      <c r="E3066" t="s">
        <v>3127</v>
      </c>
      <c r="F3066" t="s">
        <v>20</v>
      </c>
      <c r="G3066" t="s">
        <v>21</v>
      </c>
      <c r="H3066" t="s">
        <v>3128</v>
      </c>
      <c r="I3066" t="s">
        <v>23</v>
      </c>
      <c r="J3066" t="s">
        <v>35</v>
      </c>
      <c r="K3066" s="2" t="s">
        <v>1958</v>
      </c>
      <c r="L3066" t="s">
        <v>26</v>
      </c>
      <c r="M3066">
        <v>358466</v>
      </c>
      <c r="N3066">
        <v>1</v>
      </c>
      <c r="O3066" s="3">
        <v>84950</v>
      </c>
      <c r="P3066" s="3">
        <v>29189</v>
      </c>
      <c r="Q3066" s="5">
        <f t="shared" si="141"/>
        <v>71386.554621848743</v>
      </c>
      <c r="R3066" s="5">
        <f t="shared" si="142"/>
        <v>29189</v>
      </c>
      <c r="S3066" s="5">
        <f t="shared" si="143"/>
        <v>42197.554621848743</v>
      </c>
    </row>
    <row r="3067" spans="1:19" hidden="1" x14ac:dyDescent="0.3">
      <c r="A3067">
        <v>150</v>
      </c>
      <c r="B3067" t="s">
        <v>4361</v>
      </c>
      <c r="C3067" t="s">
        <v>3294</v>
      </c>
      <c r="D3067" s="2" t="s">
        <v>3295</v>
      </c>
      <c r="E3067" t="s">
        <v>3296</v>
      </c>
      <c r="F3067" t="s">
        <v>377</v>
      </c>
      <c r="G3067" t="s">
        <v>21</v>
      </c>
      <c r="H3067" t="s">
        <v>378</v>
      </c>
      <c r="I3067" t="s">
        <v>23</v>
      </c>
      <c r="J3067" t="s">
        <v>3297</v>
      </c>
      <c r="K3067" s="2" t="s">
        <v>1958</v>
      </c>
      <c r="L3067" t="s">
        <v>26</v>
      </c>
      <c r="M3067">
        <v>358466</v>
      </c>
      <c r="N3067">
        <v>1</v>
      </c>
      <c r="O3067">
        <v>500</v>
      </c>
      <c r="P3067">
        <v>358</v>
      </c>
      <c r="Q3067" s="5">
        <f t="shared" si="141"/>
        <v>420.1680672268908</v>
      </c>
      <c r="R3067" s="5">
        <f t="shared" si="142"/>
        <v>358</v>
      </c>
      <c r="S3067" s="5">
        <f t="shared" si="143"/>
        <v>62.168067226890798</v>
      </c>
    </row>
    <row r="3068" spans="1:19" hidden="1" x14ac:dyDescent="0.3">
      <c r="A3068">
        <v>150</v>
      </c>
      <c r="B3068" t="s">
        <v>4361</v>
      </c>
      <c r="C3068" t="s">
        <v>4764</v>
      </c>
      <c r="D3068" s="2" t="s">
        <v>4765</v>
      </c>
      <c r="E3068" t="s">
        <v>2441</v>
      </c>
      <c r="F3068" t="s">
        <v>20</v>
      </c>
      <c r="G3068" t="s">
        <v>21</v>
      </c>
      <c r="H3068" t="s">
        <v>243</v>
      </c>
      <c r="I3068" t="s">
        <v>23</v>
      </c>
      <c r="J3068" t="s">
        <v>35</v>
      </c>
      <c r="K3068" s="2" t="s">
        <v>1958</v>
      </c>
      <c r="L3068" t="s">
        <v>26</v>
      </c>
      <c r="M3068">
        <v>358467</v>
      </c>
      <c r="N3068">
        <v>1</v>
      </c>
      <c r="O3068" s="3">
        <v>99950</v>
      </c>
      <c r="P3068" s="3">
        <v>53269</v>
      </c>
      <c r="Q3068" s="5">
        <f t="shared" si="141"/>
        <v>83991.596638655465</v>
      </c>
      <c r="R3068" s="5">
        <f t="shared" si="142"/>
        <v>53269</v>
      </c>
      <c r="S3068" s="5">
        <f t="shared" si="143"/>
        <v>30722.596638655465</v>
      </c>
    </row>
    <row r="3069" spans="1:19" hidden="1" x14ac:dyDescent="0.3">
      <c r="A3069">
        <v>150</v>
      </c>
      <c r="B3069" t="s">
        <v>4361</v>
      </c>
      <c r="C3069" t="s">
        <v>3294</v>
      </c>
      <c r="D3069" s="2" t="s">
        <v>3295</v>
      </c>
      <c r="E3069" t="s">
        <v>3296</v>
      </c>
      <c r="F3069" t="s">
        <v>377</v>
      </c>
      <c r="G3069" t="s">
        <v>21</v>
      </c>
      <c r="H3069" t="s">
        <v>378</v>
      </c>
      <c r="I3069" t="s">
        <v>23</v>
      </c>
      <c r="J3069" t="s">
        <v>3297</v>
      </c>
      <c r="K3069" s="2" t="s">
        <v>1958</v>
      </c>
      <c r="L3069" t="s">
        <v>26</v>
      </c>
      <c r="M3069">
        <v>358467</v>
      </c>
      <c r="N3069">
        <v>1</v>
      </c>
      <c r="O3069">
        <v>500</v>
      </c>
      <c r="P3069">
        <v>358</v>
      </c>
      <c r="Q3069" s="5">
        <f t="shared" si="141"/>
        <v>420.1680672268908</v>
      </c>
      <c r="R3069" s="5">
        <f t="shared" si="142"/>
        <v>358</v>
      </c>
      <c r="S3069" s="5">
        <f t="shared" si="143"/>
        <v>62.168067226890798</v>
      </c>
    </row>
    <row r="3070" spans="1:19" hidden="1" x14ac:dyDescent="0.3">
      <c r="A3070">
        <v>150</v>
      </c>
      <c r="B3070" t="s">
        <v>4361</v>
      </c>
      <c r="C3070" t="s">
        <v>1451</v>
      </c>
      <c r="D3070" s="2" t="s">
        <v>1452</v>
      </c>
      <c r="E3070" t="s">
        <v>1453</v>
      </c>
      <c r="F3070" t="s">
        <v>20</v>
      </c>
      <c r="G3070" t="s">
        <v>338</v>
      </c>
      <c r="H3070">
        <v>22410</v>
      </c>
      <c r="I3070" t="s">
        <v>23</v>
      </c>
      <c r="J3070" t="s">
        <v>49</v>
      </c>
      <c r="K3070" s="2" t="s">
        <v>1958</v>
      </c>
      <c r="L3070" t="s">
        <v>26</v>
      </c>
      <c r="M3070">
        <v>358468</v>
      </c>
      <c r="N3070">
        <v>1</v>
      </c>
      <c r="O3070" s="3">
        <v>69950</v>
      </c>
      <c r="P3070" s="3">
        <v>20848</v>
      </c>
      <c r="Q3070" s="5">
        <f t="shared" si="141"/>
        <v>58781.512605042022</v>
      </c>
      <c r="R3070" s="5">
        <f t="shared" si="142"/>
        <v>20848</v>
      </c>
      <c r="S3070" s="5">
        <f t="shared" si="143"/>
        <v>37933.512605042022</v>
      </c>
    </row>
    <row r="3071" spans="1:19" hidden="1" x14ac:dyDescent="0.3">
      <c r="A3071">
        <v>150</v>
      </c>
      <c r="B3071" t="s">
        <v>4361</v>
      </c>
      <c r="C3071" t="s">
        <v>4766</v>
      </c>
      <c r="D3071" s="2" t="s">
        <v>4767</v>
      </c>
      <c r="E3071" t="s">
        <v>4768</v>
      </c>
      <c r="F3071" t="s">
        <v>20</v>
      </c>
      <c r="G3071" t="s">
        <v>21</v>
      </c>
      <c r="H3071" t="s">
        <v>2782</v>
      </c>
      <c r="I3071" t="s">
        <v>23</v>
      </c>
      <c r="J3071" t="s">
        <v>40</v>
      </c>
      <c r="K3071" s="2" t="s">
        <v>1958</v>
      </c>
      <c r="L3071" t="s">
        <v>26</v>
      </c>
      <c r="M3071">
        <v>358469</v>
      </c>
      <c r="N3071">
        <v>1</v>
      </c>
      <c r="O3071" s="3">
        <v>69950</v>
      </c>
      <c r="P3071" s="3">
        <v>23697</v>
      </c>
      <c r="Q3071" s="5">
        <f t="shared" si="141"/>
        <v>58781.512605042022</v>
      </c>
      <c r="R3071" s="5">
        <f t="shared" si="142"/>
        <v>23697</v>
      </c>
      <c r="S3071" s="5">
        <f t="shared" si="143"/>
        <v>35084.512605042022</v>
      </c>
    </row>
    <row r="3072" spans="1:19" hidden="1" x14ac:dyDescent="0.3">
      <c r="A3072">
        <v>150</v>
      </c>
      <c r="B3072" t="s">
        <v>4361</v>
      </c>
      <c r="C3072" t="s">
        <v>3116</v>
      </c>
      <c r="D3072" s="2" t="s">
        <v>3117</v>
      </c>
      <c r="E3072" t="s">
        <v>2185</v>
      </c>
      <c r="F3072" t="s">
        <v>20</v>
      </c>
      <c r="G3072" t="s">
        <v>21</v>
      </c>
      <c r="H3072" t="s">
        <v>614</v>
      </c>
      <c r="I3072" t="s">
        <v>23</v>
      </c>
      <c r="J3072" t="s">
        <v>40</v>
      </c>
      <c r="K3072" s="2" t="s">
        <v>1958</v>
      </c>
      <c r="L3072" t="s">
        <v>26</v>
      </c>
      <c r="M3072">
        <v>358470</v>
      </c>
      <c r="N3072">
        <v>1</v>
      </c>
      <c r="O3072" s="3">
        <v>44990</v>
      </c>
      <c r="P3072" s="3">
        <v>17389</v>
      </c>
      <c r="Q3072" s="5">
        <f t="shared" si="141"/>
        <v>37806.722689075636</v>
      </c>
      <c r="R3072" s="5">
        <f t="shared" si="142"/>
        <v>17389</v>
      </c>
      <c r="S3072" s="5">
        <f t="shared" si="143"/>
        <v>20417.722689075636</v>
      </c>
    </row>
    <row r="3073" spans="1:19" hidden="1" x14ac:dyDescent="0.3">
      <c r="A3073">
        <v>150</v>
      </c>
      <c r="B3073" t="s">
        <v>4361</v>
      </c>
      <c r="C3073" t="s">
        <v>3294</v>
      </c>
      <c r="D3073" s="2" t="s">
        <v>3295</v>
      </c>
      <c r="E3073" t="s">
        <v>3296</v>
      </c>
      <c r="F3073" t="s">
        <v>377</v>
      </c>
      <c r="G3073" t="s">
        <v>21</v>
      </c>
      <c r="H3073" t="s">
        <v>378</v>
      </c>
      <c r="I3073" t="s">
        <v>23</v>
      </c>
      <c r="J3073" t="s">
        <v>3297</v>
      </c>
      <c r="K3073" s="2" t="s">
        <v>1958</v>
      </c>
      <c r="L3073" t="s">
        <v>26</v>
      </c>
      <c r="M3073">
        <v>358470</v>
      </c>
      <c r="N3073">
        <v>1</v>
      </c>
      <c r="O3073">
        <v>500</v>
      </c>
      <c r="P3073">
        <v>358</v>
      </c>
      <c r="Q3073" s="5">
        <f t="shared" si="141"/>
        <v>420.1680672268908</v>
      </c>
      <c r="R3073" s="5">
        <f t="shared" si="142"/>
        <v>358</v>
      </c>
      <c r="S3073" s="5">
        <f t="shared" si="143"/>
        <v>62.168067226890798</v>
      </c>
    </row>
    <row r="3074" spans="1:19" hidden="1" x14ac:dyDescent="0.3">
      <c r="A3074">
        <v>150</v>
      </c>
      <c r="B3074" t="s">
        <v>4361</v>
      </c>
      <c r="C3074" t="s">
        <v>2756</v>
      </c>
      <c r="D3074" s="2" t="s">
        <v>2757</v>
      </c>
      <c r="E3074" t="s">
        <v>2758</v>
      </c>
      <c r="F3074" t="s">
        <v>20</v>
      </c>
      <c r="G3074" t="s">
        <v>21</v>
      </c>
      <c r="H3074" t="s">
        <v>2759</v>
      </c>
      <c r="I3074" t="s">
        <v>23</v>
      </c>
      <c r="J3074" t="s">
        <v>49</v>
      </c>
      <c r="K3074" s="2" t="s">
        <v>1958</v>
      </c>
      <c r="L3074" t="s">
        <v>26</v>
      </c>
      <c r="M3074">
        <v>358471</v>
      </c>
      <c r="N3074">
        <v>1</v>
      </c>
      <c r="O3074" s="3">
        <v>79950</v>
      </c>
      <c r="P3074" s="3">
        <v>33469</v>
      </c>
      <c r="Q3074" s="5">
        <f t="shared" si="141"/>
        <v>67184.873949579836</v>
      </c>
      <c r="R3074" s="5">
        <f t="shared" si="142"/>
        <v>33469</v>
      </c>
      <c r="S3074" s="5">
        <f t="shared" si="143"/>
        <v>33715.873949579836</v>
      </c>
    </row>
    <row r="3075" spans="1:19" hidden="1" x14ac:dyDescent="0.3">
      <c r="A3075">
        <v>150</v>
      </c>
      <c r="B3075" t="s">
        <v>4361</v>
      </c>
      <c r="C3075" t="s">
        <v>4769</v>
      </c>
      <c r="D3075" s="2" t="s">
        <v>4770</v>
      </c>
      <c r="E3075" t="s">
        <v>4771</v>
      </c>
      <c r="F3075" t="s">
        <v>20</v>
      </c>
      <c r="G3075" t="s">
        <v>338</v>
      </c>
      <c r="H3075">
        <v>85200</v>
      </c>
      <c r="I3075" t="s">
        <v>23</v>
      </c>
      <c r="J3075" t="s">
        <v>35</v>
      </c>
      <c r="K3075" s="2" t="s">
        <v>1958</v>
      </c>
      <c r="L3075" t="s">
        <v>26</v>
      </c>
      <c r="M3075">
        <v>358472</v>
      </c>
      <c r="N3075">
        <v>1</v>
      </c>
      <c r="O3075" s="3">
        <v>89950</v>
      </c>
      <c r="P3075" s="3">
        <v>27253</v>
      </c>
      <c r="Q3075" s="5">
        <f t="shared" si="141"/>
        <v>75588.23529411765</v>
      </c>
      <c r="R3075" s="5">
        <f t="shared" si="142"/>
        <v>27253</v>
      </c>
      <c r="S3075" s="5">
        <f t="shared" si="143"/>
        <v>48335.23529411765</v>
      </c>
    </row>
    <row r="3076" spans="1:19" hidden="1" x14ac:dyDescent="0.3">
      <c r="A3076">
        <v>150</v>
      </c>
      <c r="B3076" t="s">
        <v>4361</v>
      </c>
      <c r="C3076" t="s">
        <v>3023</v>
      </c>
      <c r="D3076" s="2" t="s">
        <v>3024</v>
      </c>
      <c r="E3076" t="s">
        <v>938</v>
      </c>
      <c r="F3076" t="s">
        <v>20</v>
      </c>
      <c r="G3076" t="s">
        <v>21</v>
      </c>
      <c r="H3076" t="s">
        <v>317</v>
      </c>
      <c r="I3076" t="s">
        <v>23</v>
      </c>
      <c r="J3076" t="s">
        <v>35</v>
      </c>
      <c r="K3076" s="2" t="s">
        <v>2093</v>
      </c>
      <c r="L3076" t="s">
        <v>26</v>
      </c>
      <c r="M3076">
        <v>358473</v>
      </c>
      <c r="N3076">
        <v>1</v>
      </c>
      <c r="O3076" s="3">
        <v>69950</v>
      </c>
      <c r="P3076" s="3">
        <v>26455</v>
      </c>
      <c r="Q3076" s="5">
        <f t="shared" si="141"/>
        <v>58781.512605042022</v>
      </c>
      <c r="R3076" s="5">
        <f t="shared" si="142"/>
        <v>26455</v>
      </c>
      <c r="S3076" s="5">
        <f t="shared" si="143"/>
        <v>32326.512605042022</v>
      </c>
    </row>
    <row r="3077" spans="1:19" hidden="1" x14ac:dyDescent="0.3">
      <c r="A3077">
        <v>150</v>
      </c>
      <c r="B3077" t="s">
        <v>4361</v>
      </c>
      <c r="C3077" t="s">
        <v>3294</v>
      </c>
      <c r="D3077" s="2" t="s">
        <v>3295</v>
      </c>
      <c r="E3077" t="s">
        <v>3296</v>
      </c>
      <c r="F3077" t="s">
        <v>377</v>
      </c>
      <c r="G3077" t="s">
        <v>21</v>
      </c>
      <c r="H3077" t="s">
        <v>378</v>
      </c>
      <c r="I3077" t="s">
        <v>23</v>
      </c>
      <c r="J3077" t="s">
        <v>3297</v>
      </c>
      <c r="K3077" s="2" t="s">
        <v>2093</v>
      </c>
      <c r="L3077" t="s">
        <v>26</v>
      </c>
      <c r="M3077">
        <v>358473</v>
      </c>
      <c r="N3077">
        <v>1</v>
      </c>
      <c r="O3077">
        <v>500</v>
      </c>
      <c r="P3077">
        <v>358</v>
      </c>
      <c r="Q3077" s="5">
        <f t="shared" si="141"/>
        <v>420.1680672268908</v>
      </c>
      <c r="R3077" s="5">
        <f t="shared" si="142"/>
        <v>358</v>
      </c>
      <c r="S3077" s="5">
        <f t="shared" si="143"/>
        <v>62.168067226890798</v>
      </c>
    </row>
    <row r="3078" spans="1:19" hidden="1" x14ac:dyDescent="0.3">
      <c r="A3078">
        <v>150</v>
      </c>
      <c r="B3078" t="s">
        <v>4361</v>
      </c>
      <c r="C3078" t="s">
        <v>2689</v>
      </c>
      <c r="D3078" s="2" t="s">
        <v>2690</v>
      </c>
      <c r="E3078" t="s">
        <v>2195</v>
      </c>
      <c r="F3078" t="s">
        <v>20</v>
      </c>
      <c r="G3078" t="s">
        <v>338</v>
      </c>
      <c r="H3078">
        <v>24722</v>
      </c>
      <c r="I3078" t="s">
        <v>23</v>
      </c>
      <c r="J3078" t="s">
        <v>95</v>
      </c>
      <c r="K3078" s="2" t="s">
        <v>2093</v>
      </c>
      <c r="L3078" t="s">
        <v>26</v>
      </c>
      <c r="M3078">
        <v>358474</v>
      </c>
      <c r="N3078">
        <v>1</v>
      </c>
      <c r="O3078" s="3">
        <v>89950</v>
      </c>
      <c r="P3078" s="3">
        <v>30987</v>
      </c>
      <c r="Q3078" s="5">
        <f t="shared" ref="Q3078:Q3141" si="144">O3078/1.19</f>
        <v>75588.23529411765</v>
      </c>
      <c r="R3078" s="5">
        <f t="shared" ref="R3078:R3141" si="145">N3078*P3078</f>
        <v>30987</v>
      </c>
      <c r="S3078" s="5">
        <f t="shared" ref="S3078:S3141" si="146">Q3078-R3078</f>
        <v>44601.23529411765</v>
      </c>
    </row>
    <row r="3079" spans="1:19" hidden="1" x14ac:dyDescent="0.3">
      <c r="A3079">
        <v>150</v>
      </c>
      <c r="B3079" t="s">
        <v>4361</v>
      </c>
      <c r="C3079" t="s">
        <v>4772</v>
      </c>
      <c r="D3079" s="2" t="s">
        <v>4773</v>
      </c>
      <c r="E3079" t="s">
        <v>2601</v>
      </c>
      <c r="F3079" t="s">
        <v>20</v>
      </c>
      <c r="G3079" t="s">
        <v>21</v>
      </c>
      <c r="H3079" t="s">
        <v>783</v>
      </c>
      <c r="I3079" t="s">
        <v>23</v>
      </c>
      <c r="J3079" t="s">
        <v>40</v>
      </c>
      <c r="K3079" s="2" t="s">
        <v>2093</v>
      </c>
      <c r="L3079" t="s">
        <v>26</v>
      </c>
      <c r="M3079">
        <v>358475</v>
      </c>
      <c r="N3079">
        <v>1</v>
      </c>
      <c r="O3079" s="3">
        <v>54950</v>
      </c>
      <c r="P3079" s="3">
        <v>19451</v>
      </c>
      <c r="Q3079" s="5">
        <f t="shared" si="144"/>
        <v>46176.470588235294</v>
      </c>
      <c r="R3079" s="5">
        <f t="shared" si="145"/>
        <v>19451</v>
      </c>
      <c r="S3079" s="5">
        <f t="shared" si="146"/>
        <v>26725.470588235294</v>
      </c>
    </row>
    <row r="3080" spans="1:19" hidden="1" x14ac:dyDescent="0.3">
      <c r="A3080">
        <v>150</v>
      </c>
      <c r="B3080" t="s">
        <v>4361</v>
      </c>
      <c r="C3080">
        <v>1687976791</v>
      </c>
      <c r="D3080" s="2" t="s">
        <v>200</v>
      </c>
      <c r="E3080" t="s">
        <v>201</v>
      </c>
      <c r="F3080" t="s">
        <v>201</v>
      </c>
      <c r="G3080" t="s">
        <v>202</v>
      </c>
      <c r="H3080" t="s">
        <v>202</v>
      </c>
      <c r="I3080" t="s">
        <v>23</v>
      </c>
      <c r="J3080" t="s">
        <v>202</v>
      </c>
      <c r="K3080" s="2" t="s">
        <v>2093</v>
      </c>
      <c r="L3080" t="s">
        <v>26</v>
      </c>
      <c r="M3080">
        <v>358475</v>
      </c>
      <c r="N3080">
        <v>1</v>
      </c>
      <c r="O3080" s="3">
        <v>6509</v>
      </c>
      <c r="P3080">
        <v>1</v>
      </c>
      <c r="Q3080" s="5">
        <f t="shared" si="144"/>
        <v>5469.7478991596645</v>
      </c>
      <c r="R3080" s="5">
        <f t="shared" si="145"/>
        <v>1</v>
      </c>
      <c r="S3080" s="5">
        <f t="shared" si="146"/>
        <v>5468.7478991596645</v>
      </c>
    </row>
    <row r="3081" spans="1:19" hidden="1" x14ac:dyDescent="0.3">
      <c r="A3081">
        <v>150</v>
      </c>
      <c r="B3081" t="s">
        <v>4361</v>
      </c>
      <c r="C3081" t="s">
        <v>2161</v>
      </c>
      <c r="D3081" s="2" t="s">
        <v>2162</v>
      </c>
      <c r="E3081" t="s">
        <v>2163</v>
      </c>
      <c r="F3081" t="s">
        <v>20</v>
      </c>
      <c r="G3081" t="s">
        <v>21</v>
      </c>
      <c r="H3081" t="s">
        <v>970</v>
      </c>
      <c r="I3081" t="s">
        <v>23</v>
      </c>
      <c r="J3081" t="s">
        <v>40</v>
      </c>
      <c r="K3081" s="2" t="s">
        <v>2093</v>
      </c>
      <c r="L3081" t="s">
        <v>26</v>
      </c>
      <c r="M3081">
        <v>358476</v>
      </c>
      <c r="N3081">
        <v>1</v>
      </c>
      <c r="O3081" s="3">
        <v>59950</v>
      </c>
      <c r="P3081" s="3">
        <v>19352</v>
      </c>
      <c r="Q3081" s="5">
        <f t="shared" si="144"/>
        <v>50378.151260504201</v>
      </c>
      <c r="R3081" s="5">
        <f t="shared" si="145"/>
        <v>19352</v>
      </c>
      <c r="S3081" s="5">
        <f t="shared" si="146"/>
        <v>31026.151260504201</v>
      </c>
    </row>
    <row r="3082" spans="1:19" hidden="1" x14ac:dyDescent="0.3">
      <c r="A3082">
        <v>150</v>
      </c>
      <c r="B3082" t="s">
        <v>4361</v>
      </c>
      <c r="C3082" t="s">
        <v>4774</v>
      </c>
      <c r="D3082" s="2" t="s">
        <v>4775</v>
      </c>
      <c r="E3082" t="s">
        <v>4722</v>
      </c>
      <c r="F3082" t="s">
        <v>20</v>
      </c>
      <c r="G3082" t="s">
        <v>215</v>
      </c>
      <c r="H3082" t="s">
        <v>4723</v>
      </c>
      <c r="I3082" t="s">
        <v>23</v>
      </c>
      <c r="J3082" t="s">
        <v>49</v>
      </c>
      <c r="K3082" s="2" t="s">
        <v>2093</v>
      </c>
      <c r="L3082" t="s">
        <v>26</v>
      </c>
      <c r="M3082">
        <v>358477</v>
      </c>
      <c r="N3082">
        <v>1</v>
      </c>
      <c r="O3082" s="3">
        <v>69991</v>
      </c>
      <c r="P3082" s="3">
        <v>39202</v>
      </c>
      <c r="Q3082" s="5">
        <f t="shared" si="144"/>
        <v>58815.966386554624</v>
      </c>
      <c r="R3082" s="5">
        <f t="shared" si="145"/>
        <v>39202</v>
      </c>
      <c r="S3082" s="5">
        <f t="shared" si="146"/>
        <v>19613.966386554624</v>
      </c>
    </row>
    <row r="3083" spans="1:19" hidden="1" x14ac:dyDescent="0.3">
      <c r="A3083">
        <v>150</v>
      </c>
      <c r="B3083" t="s">
        <v>4361</v>
      </c>
      <c r="C3083" t="s">
        <v>4720</v>
      </c>
      <c r="D3083" s="2" t="s">
        <v>4721</v>
      </c>
      <c r="E3083" t="s">
        <v>4722</v>
      </c>
      <c r="F3083" t="s">
        <v>20</v>
      </c>
      <c r="G3083" t="s">
        <v>215</v>
      </c>
      <c r="H3083" t="s">
        <v>4723</v>
      </c>
      <c r="I3083" t="s">
        <v>23</v>
      </c>
      <c r="J3083" t="s">
        <v>49</v>
      </c>
      <c r="K3083" s="2" t="s">
        <v>2093</v>
      </c>
      <c r="L3083" t="s">
        <v>26</v>
      </c>
      <c r="M3083">
        <v>358477</v>
      </c>
      <c r="N3083">
        <v>-1</v>
      </c>
      <c r="O3083" s="3">
        <v>-69990</v>
      </c>
      <c r="P3083" s="3">
        <v>39202</v>
      </c>
      <c r="Q3083" s="5">
        <f t="shared" si="144"/>
        <v>-58815.126050420171</v>
      </c>
      <c r="R3083" s="5">
        <f t="shared" si="145"/>
        <v>-39202</v>
      </c>
      <c r="S3083" s="5">
        <f t="shared" si="146"/>
        <v>-19613.126050420171</v>
      </c>
    </row>
    <row r="3084" spans="1:19" hidden="1" x14ac:dyDescent="0.3">
      <c r="A3084">
        <v>150</v>
      </c>
      <c r="B3084" t="s">
        <v>4361</v>
      </c>
      <c r="C3084" t="s">
        <v>4189</v>
      </c>
      <c r="D3084" s="2" t="s">
        <v>4190</v>
      </c>
      <c r="E3084" t="s">
        <v>3472</v>
      </c>
      <c r="F3084" t="s">
        <v>20</v>
      </c>
      <c r="G3084" t="s">
        <v>338</v>
      </c>
      <c r="H3084">
        <v>25336</v>
      </c>
      <c r="I3084" t="s">
        <v>23</v>
      </c>
      <c r="J3084" t="s">
        <v>35</v>
      </c>
      <c r="K3084" s="2" t="s">
        <v>2093</v>
      </c>
      <c r="L3084" t="s">
        <v>26</v>
      </c>
      <c r="M3084">
        <v>358478</v>
      </c>
      <c r="N3084">
        <v>1</v>
      </c>
      <c r="O3084" s="3">
        <v>99950</v>
      </c>
      <c r="P3084" s="3">
        <v>31886</v>
      </c>
      <c r="Q3084" s="5">
        <f t="shared" si="144"/>
        <v>83991.596638655465</v>
      </c>
      <c r="R3084" s="5">
        <f t="shared" si="145"/>
        <v>31886</v>
      </c>
      <c r="S3084" s="5">
        <f t="shared" si="146"/>
        <v>52105.596638655465</v>
      </c>
    </row>
    <row r="3085" spans="1:19" hidden="1" x14ac:dyDescent="0.3">
      <c r="A3085">
        <v>150</v>
      </c>
      <c r="B3085" t="s">
        <v>4361</v>
      </c>
      <c r="C3085" t="s">
        <v>1037</v>
      </c>
      <c r="D3085" s="2" t="s">
        <v>1038</v>
      </c>
      <c r="E3085" t="s">
        <v>1039</v>
      </c>
      <c r="F3085" t="s">
        <v>377</v>
      </c>
      <c r="G3085" t="s">
        <v>21</v>
      </c>
      <c r="H3085" t="s">
        <v>378</v>
      </c>
      <c r="I3085" t="s">
        <v>23</v>
      </c>
      <c r="J3085" t="s">
        <v>379</v>
      </c>
      <c r="K3085" s="2" t="s">
        <v>2093</v>
      </c>
      <c r="L3085" t="s">
        <v>26</v>
      </c>
      <c r="M3085">
        <v>358479</v>
      </c>
      <c r="N3085">
        <v>1</v>
      </c>
      <c r="O3085" s="3">
        <v>5950</v>
      </c>
      <c r="P3085" s="3">
        <v>3257</v>
      </c>
      <c r="Q3085" s="5">
        <f t="shared" si="144"/>
        <v>5000</v>
      </c>
      <c r="R3085" s="5">
        <f t="shared" si="145"/>
        <v>3257</v>
      </c>
      <c r="S3085" s="5">
        <f t="shared" si="146"/>
        <v>1743</v>
      </c>
    </row>
    <row r="3086" spans="1:19" hidden="1" x14ac:dyDescent="0.3">
      <c r="A3086">
        <v>150</v>
      </c>
      <c r="B3086" t="s">
        <v>4361</v>
      </c>
      <c r="C3086" t="s">
        <v>3263</v>
      </c>
      <c r="D3086" s="2" t="s">
        <v>3264</v>
      </c>
      <c r="E3086" t="s">
        <v>3265</v>
      </c>
      <c r="F3086" t="s">
        <v>377</v>
      </c>
      <c r="G3086" t="s">
        <v>21</v>
      </c>
      <c r="H3086" t="s">
        <v>378</v>
      </c>
      <c r="I3086" t="s">
        <v>23</v>
      </c>
      <c r="J3086" t="s">
        <v>379</v>
      </c>
      <c r="K3086" s="2" t="s">
        <v>2093</v>
      </c>
      <c r="L3086" t="s">
        <v>26</v>
      </c>
      <c r="M3086">
        <v>358479</v>
      </c>
      <c r="N3086">
        <v>1</v>
      </c>
      <c r="O3086" s="3">
        <v>4950</v>
      </c>
      <c r="P3086" s="3">
        <v>2701</v>
      </c>
      <c r="Q3086" s="5">
        <f t="shared" si="144"/>
        <v>4159.6638655462184</v>
      </c>
      <c r="R3086" s="5">
        <f t="shared" si="145"/>
        <v>2701</v>
      </c>
      <c r="S3086" s="5">
        <f t="shared" si="146"/>
        <v>1458.6638655462184</v>
      </c>
    </row>
    <row r="3087" spans="1:19" hidden="1" x14ac:dyDescent="0.3">
      <c r="A3087">
        <v>150</v>
      </c>
      <c r="B3087" t="s">
        <v>4361</v>
      </c>
      <c r="C3087" t="s">
        <v>4776</v>
      </c>
      <c r="D3087" s="2" t="s">
        <v>4777</v>
      </c>
      <c r="E3087" t="s">
        <v>4722</v>
      </c>
      <c r="F3087" t="s">
        <v>20</v>
      </c>
      <c r="G3087" t="s">
        <v>215</v>
      </c>
      <c r="H3087" t="s">
        <v>4723</v>
      </c>
      <c r="I3087" t="s">
        <v>23</v>
      </c>
      <c r="J3087" t="s">
        <v>49</v>
      </c>
      <c r="K3087" s="2" t="s">
        <v>2093</v>
      </c>
      <c r="L3087" t="s">
        <v>26</v>
      </c>
      <c r="M3087">
        <v>358480</v>
      </c>
      <c r="N3087">
        <v>1</v>
      </c>
      <c r="O3087" s="3">
        <v>69990</v>
      </c>
      <c r="P3087" s="3">
        <v>39202</v>
      </c>
      <c r="Q3087" s="5">
        <f t="shared" si="144"/>
        <v>58815.126050420171</v>
      </c>
      <c r="R3087" s="5">
        <f t="shared" si="145"/>
        <v>39202</v>
      </c>
      <c r="S3087" s="5">
        <f t="shared" si="146"/>
        <v>19613.126050420171</v>
      </c>
    </row>
    <row r="3088" spans="1:19" hidden="1" x14ac:dyDescent="0.3">
      <c r="A3088">
        <v>150</v>
      </c>
      <c r="B3088" t="s">
        <v>4361</v>
      </c>
      <c r="C3088" t="s">
        <v>3294</v>
      </c>
      <c r="D3088" s="2" t="s">
        <v>3295</v>
      </c>
      <c r="E3088" t="s">
        <v>3296</v>
      </c>
      <c r="F3088" t="s">
        <v>377</v>
      </c>
      <c r="G3088" t="s">
        <v>21</v>
      </c>
      <c r="H3088" t="s">
        <v>378</v>
      </c>
      <c r="I3088" t="s">
        <v>23</v>
      </c>
      <c r="J3088" t="s">
        <v>3297</v>
      </c>
      <c r="K3088" s="2" t="s">
        <v>2093</v>
      </c>
      <c r="L3088" t="s">
        <v>26</v>
      </c>
      <c r="M3088">
        <v>358480</v>
      </c>
      <c r="N3088">
        <v>1</v>
      </c>
      <c r="O3088">
        <v>500</v>
      </c>
      <c r="P3088">
        <v>358</v>
      </c>
      <c r="Q3088" s="5">
        <f t="shared" si="144"/>
        <v>420.1680672268908</v>
      </c>
      <c r="R3088" s="5">
        <f t="shared" si="145"/>
        <v>358</v>
      </c>
      <c r="S3088" s="5">
        <f t="shared" si="146"/>
        <v>62.168067226890798</v>
      </c>
    </row>
    <row r="3089" spans="1:19" hidden="1" x14ac:dyDescent="0.3">
      <c r="A3089">
        <v>150</v>
      </c>
      <c r="B3089" t="s">
        <v>4361</v>
      </c>
      <c r="C3089" t="s">
        <v>4778</v>
      </c>
      <c r="D3089" s="2" t="s">
        <v>4779</v>
      </c>
      <c r="E3089" t="s">
        <v>866</v>
      </c>
      <c r="F3089" t="s">
        <v>20</v>
      </c>
      <c r="G3089" t="s">
        <v>21</v>
      </c>
      <c r="H3089" t="s">
        <v>90</v>
      </c>
      <c r="I3089" t="s">
        <v>23</v>
      </c>
      <c r="J3089" t="s">
        <v>35</v>
      </c>
      <c r="K3089" s="2" t="s">
        <v>2093</v>
      </c>
      <c r="L3089" t="s">
        <v>26</v>
      </c>
      <c r="M3089">
        <v>358481</v>
      </c>
      <c r="N3089">
        <v>1</v>
      </c>
      <c r="O3089" s="3">
        <v>84950</v>
      </c>
      <c r="P3089" s="3">
        <v>35272</v>
      </c>
      <c r="Q3089" s="5">
        <f t="shared" si="144"/>
        <v>71386.554621848743</v>
      </c>
      <c r="R3089" s="5">
        <f t="shared" si="145"/>
        <v>35272</v>
      </c>
      <c r="S3089" s="5">
        <f t="shared" si="146"/>
        <v>36114.554621848743</v>
      </c>
    </row>
    <row r="3090" spans="1:19" hidden="1" x14ac:dyDescent="0.3">
      <c r="A3090">
        <v>150</v>
      </c>
      <c r="B3090" t="s">
        <v>4361</v>
      </c>
      <c r="C3090" t="s">
        <v>4780</v>
      </c>
      <c r="D3090" s="2" t="s">
        <v>4781</v>
      </c>
      <c r="E3090" t="s">
        <v>2295</v>
      </c>
      <c r="F3090" t="s">
        <v>20</v>
      </c>
      <c r="G3090" t="s">
        <v>338</v>
      </c>
      <c r="H3090">
        <v>25026</v>
      </c>
      <c r="I3090" t="s">
        <v>23</v>
      </c>
      <c r="J3090" t="s">
        <v>35</v>
      </c>
      <c r="K3090" s="2" t="s">
        <v>2093</v>
      </c>
      <c r="L3090" t="s">
        <v>26</v>
      </c>
      <c r="M3090">
        <v>358482</v>
      </c>
      <c r="N3090">
        <v>1</v>
      </c>
      <c r="O3090" s="3">
        <v>69990</v>
      </c>
      <c r="P3090" s="3">
        <v>28454</v>
      </c>
      <c r="Q3090" s="5">
        <f t="shared" si="144"/>
        <v>58815.126050420171</v>
      </c>
      <c r="R3090" s="5">
        <f t="shared" si="145"/>
        <v>28454</v>
      </c>
      <c r="S3090" s="5">
        <f t="shared" si="146"/>
        <v>30361.126050420171</v>
      </c>
    </row>
    <row r="3091" spans="1:19" hidden="1" x14ac:dyDescent="0.3">
      <c r="A3091">
        <v>150</v>
      </c>
      <c r="B3091" t="s">
        <v>4361</v>
      </c>
      <c r="C3091" t="s">
        <v>4782</v>
      </c>
      <c r="D3091" s="2" t="s">
        <v>4783</v>
      </c>
      <c r="E3091" t="s">
        <v>3016</v>
      </c>
      <c r="F3091" t="s">
        <v>20</v>
      </c>
      <c r="G3091" t="s">
        <v>338</v>
      </c>
      <c r="H3091">
        <v>25301</v>
      </c>
      <c r="I3091" t="s">
        <v>23</v>
      </c>
      <c r="J3091" t="s">
        <v>35</v>
      </c>
      <c r="K3091" s="2" t="s">
        <v>2093</v>
      </c>
      <c r="L3091" t="s">
        <v>26</v>
      </c>
      <c r="M3091">
        <v>358482</v>
      </c>
      <c r="N3091">
        <v>1</v>
      </c>
      <c r="O3091" s="3">
        <v>99950</v>
      </c>
      <c r="P3091" s="3">
        <v>34679</v>
      </c>
      <c r="Q3091" s="5">
        <f t="shared" si="144"/>
        <v>83991.596638655465</v>
      </c>
      <c r="R3091" s="5">
        <f t="shared" si="145"/>
        <v>34679</v>
      </c>
      <c r="S3091" s="5">
        <f t="shared" si="146"/>
        <v>49312.596638655465</v>
      </c>
    </row>
    <row r="3092" spans="1:19" hidden="1" x14ac:dyDescent="0.3">
      <c r="A3092">
        <v>150</v>
      </c>
      <c r="B3092" t="s">
        <v>4361</v>
      </c>
      <c r="C3092" t="s">
        <v>4784</v>
      </c>
      <c r="D3092" s="2" t="s">
        <v>4785</v>
      </c>
      <c r="E3092" t="s">
        <v>2865</v>
      </c>
      <c r="F3092" t="s">
        <v>20</v>
      </c>
      <c r="G3092" t="s">
        <v>21</v>
      </c>
      <c r="H3092" t="s">
        <v>57</v>
      </c>
      <c r="I3092" t="s">
        <v>23</v>
      </c>
      <c r="J3092" t="s">
        <v>35</v>
      </c>
      <c r="K3092" s="2" t="s">
        <v>2093</v>
      </c>
      <c r="L3092" t="s">
        <v>26</v>
      </c>
      <c r="M3092">
        <v>358482</v>
      </c>
      <c r="N3092">
        <v>1</v>
      </c>
      <c r="O3092" s="3">
        <v>79990</v>
      </c>
      <c r="P3092" s="3">
        <v>29189</v>
      </c>
      <c r="Q3092" s="5">
        <f t="shared" si="144"/>
        <v>67218.487394957992</v>
      </c>
      <c r="R3092" s="5">
        <f t="shared" si="145"/>
        <v>29189</v>
      </c>
      <c r="S3092" s="5">
        <f t="shared" si="146"/>
        <v>38029.487394957992</v>
      </c>
    </row>
    <row r="3093" spans="1:19" hidden="1" x14ac:dyDescent="0.3">
      <c r="A3093">
        <v>150</v>
      </c>
      <c r="B3093" t="s">
        <v>4361</v>
      </c>
      <c r="C3093" t="s">
        <v>3294</v>
      </c>
      <c r="D3093" s="2" t="s">
        <v>3295</v>
      </c>
      <c r="E3093" t="s">
        <v>3296</v>
      </c>
      <c r="F3093" t="s">
        <v>377</v>
      </c>
      <c r="G3093" t="s">
        <v>21</v>
      </c>
      <c r="H3093" t="s">
        <v>378</v>
      </c>
      <c r="I3093" t="s">
        <v>23</v>
      </c>
      <c r="J3093" t="s">
        <v>3297</v>
      </c>
      <c r="K3093" s="2" t="s">
        <v>2093</v>
      </c>
      <c r="L3093" t="s">
        <v>26</v>
      </c>
      <c r="M3093">
        <v>358482</v>
      </c>
      <c r="N3093">
        <v>1</v>
      </c>
      <c r="O3093">
        <v>500</v>
      </c>
      <c r="P3093">
        <v>358</v>
      </c>
      <c r="Q3093" s="5">
        <f t="shared" si="144"/>
        <v>420.1680672268908</v>
      </c>
      <c r="R3093" s="5">
        <f t="shared" si="145"/>
        <v>358</v>
      </c>
      <c r="S3093" s="5">
        <f t="shared" si="146"/>
        <v>62.168067226890798</v>
      </c>
    </row>
    <row r="3094" spans="1:19" hidden="1" x14ac:dyDescent="0.3">
      <c r="A3094">
        <v>150</v>
      </c>
      <c r="B3094" t="s">
        <v>4361</v>
      </c>
      <c r="C3094" t="s">
        <v>3084</v>
      </c>
      <c r="D3094" s="2" t="s">
        <v>3085</v>
      </c>
      <c r="E3094" t="s">
        <v>3086</v>
      </c>
      <c r="F3094" t="s">
        <v>20</v>
      </c>
      <c r="G3094" t="s">
        <v>21</v>
      </c>
      <c r="H3094" t="s">
        <v>1418</v>
      </c>
      <c r="I3094" t="s">
        <v>23</v>
      </c>
      <c r="J3094" t="s">
        <v>35</v>
      </c>
      <c r="K3094" s="2" t="s">
        <v>2093</v>
      </c>
      <c r="L3094" t="s">
        <v>26</v>
      </c>
      <c r="M3094">
        <v>358483</v>
      </c>
      <c r="N3094">
        <v>1</v>
      </c>
      <c r="O3094" s="3">
        <v>64990</v>
      </c>
      <c r="P3094" s="3">
        <v>29189</v>
      </c>
      <c r="Q3094" s="5">
        <f t="shared" si="144"/>
        <v>54613.445378151264</v>
      </c>
      <c r="R3094" s="5">
        <f t="shared" si="145"/>
        <v>29189</v>
      </c>
      <c r="S3094" s="5">
        <f t="shared" si="146"/>
        <v>25424.445378151264</v>
      </c>
    </row>
    <row r="3095" spans="1:19" hidden="1" x14ac:dyDescent="0.3">
      <c r="A3095">
        <v>150</v>
      </c>
      <c r="B3095" t="s">
        <v>4361</v>
      </c>
      <c r="C3095" t="s">
        <v>3511</v>
      </c>
      <c r="D3095" s="2" t="s">
        <v>3512</v>
      </c>
      <c r="E3095" t="s">
        <v>1417</v>
      </c>
      <c r="F3095" t="s">
        <v>20</v>
      </c>
      <c r="G3095" t="s">
        <v>21</v>
      </c>
      <c r="H3095" t="s">
        <v>1418</v>
      </c>
      <c r="I3095" t="s">
        <v>23</v>
      </c>
      <c r="J3095" t="s">
        <v>35</v>
      </c>
      <c r="K3095" s="2" t="s">
        <v>2093</v>
      </c>
      <c r="L3095" t="s">
        <v>26</v>
      </c>
      <c r="M3095">
        <v>358483</v>
      </c>
      <c r="N3095">
        <v>1</v>
      </c>
      <c r="O3095" s="3">
        <v>64990</v>
      </c>
      <c r="P3095" s="3">
        <v>29189</v>
      </c>
      <c r="Q3095" s="5">
        <f t="shared" si="144"/>
        <v>54613.445378151264</v>
      </c>
      <c r="R3095" s="5">
        <f t="shared" si="145"/>
        <v>29189</v>
      </c>
      <c r="S3095" s="5">
        <f t="shared" si="146"/>
        <v>25424.445378151264</v>
      </c>
    </row>
    <row r="3096" spans="1:19" hidden="1" x14ac:dyDescent="0.3">
      <c r="A3096">
        <v>150</v>
      </c>
      <c r="B3096" t="s">
        <v>4361</v>
      </c>
      <c r="C3096" t="s">
        <v>3294</v>
      </c>
      <c r="D3096" s="2" t="s">
        <v>3295</v>
      </c>
      <c r="E3096" t="s">
        <v>3296</v>
      </c>
      <c r="F3096" t="s">
        <v>377</v>
      </c>
      <c r="G3096" t="s">
        <v>21</v>
      </c>
      <c r="H3096" t="s">
        <v>378</v>
      </c>
      <c r="I3096" t="s">
        <v>23</v>
      </c>
      <c r="J3096" t="s">
        <v>3297</v>
      </c>
      <c r="K3096" s="2" t="s">
        <v>2093</v>
      </c>
      <c r="L3096" t="s">
        <v>26</v>
      </c>
      <c r="M3096">
        <v>358483</v>
      </c>
      <c r="N3096">
        <v>1</v>
      </c>
      <c r="O3096">
        <v>500</v>
      </c>
      <c r="P3096">
        <v>358</v>
      </c>
      <c r="Q3096" s="5">
        <f t="shared" si="144"/>
        <v>420.1680672268908</v>
      </c>
      <c r="R3096" s="5">
        <f t="shared" si="145"/>
        <v>358</v>
      </c>
      <c r="S3096" s="5">
        <f t="shared" si="146"/>
        <v>62.168067226890798</v>
      </c>
    </row>
    <row r="3097" spans="1:19" hidden="1" x14ac:dyDescent="0.3">
      <c r="A3097">
        <v>150</v>
      </c>
      <c r="B3097" t="s">
        <v>4361</v>
      </c>
      <c r="C3097" t="s">
        <v>4786</v>
      </c>
      <c r="D3097" s="2" t="s">
        <v>4787</v>
      </c>
      <c r="E3097" t="s">
        <v>4788</v>
      </c>
      <c r="F3097" t="s">
        <v>377</v>
      </c>
      <c r="G3097" t="s">
        <v>21</v>
      </c>
      <c r="H3097" t="s">
        <v>378</v>
      </c>
      <c r="I3097" t="s">
        <v>23</v>
      </c>
      <c r="J3097" t="s">
        <v>379</v>
      </c>
      <c r="K3097" s="2" t="s">
        <v>2093</v>
      </c>
      <c r="L3097" t="s">
        <v>26</v>
      </c>
      <c r="M3097">
        <v>358484</v>
      </c>
      <c r="N3097">
        <v>1</v>
      </c>
      <c r="O3097" s="3">
        <v>4950</v>
      </c>
      <c r="P3097" s="3">
        <v>2022</v>
      </c>
      <c r="Q3097" s="5">
        <f t="shared" si="144"/>
        <v>4159.6638655462184</v>
      </c>
      <c r="R3097" s="5">
        <f t="shared" si="145"/>
        <v>2022</v>
      </c>
      <c r="S3097" s="5">
        <f t="shared" si="146"/>
        <v>2137.6638655462184</v>
      </c>
    </row>
    <row r="3098" spans="1:19" hidden="1" x14ac:dyDescent="0.3">
      <c r="A3098">
        <v>150</v>
      </c>
      <c r="B3098" t="s">
        <v>4361</v>
      </c>
      <c r="C3098" t="s">
        <v>2525</v>
      </c>
      <c r="D3098" s="2" t="s">
        <v>2526</v>
      </c>
      <c r="E3098" t="s">
        <v>2527</v>
      </c>
      <c r="F3098" t="s">
        <v>377</v>
      </c>
      <c r="G3098" t="s">
        <v>21</v>
      </c>
      <c r="H3098" t="s">
        <v>378</v>
      </c>
      <c r="I3098" t="s">
        <v>23</v>
      </c>
      <c r="J3098" t="s">
        <v>2459</v>
      </c>
      <c r="K3098" s="2" t="s">
        <v>2093</v>
      </c>
      <c r="L3098" t="s">
        <v>26</v>
      </c>
      <c r="M3098">
        <v>358484</v>
      </c>
      <c r="N3098">
        <v>1</v>
      </c>
      <c r="O3098" s="3">
        <v>6950</v>
      </c>
      <c r="P3098" s="3">
        <v>2964</v>
      </c>
      <c r="Q3098" s="5">
        <f t="shared" si="144"/>
        <v>5840.3361344537816</v>
      </c>
      <c r="R3098" s="5">
        <f t="shared" si="145"/>
        <v>2964</v>
      </c>
      <c r="S3098" s="5">
        <f t="shared" si="146"/>
        <v>2876.3361344537816</v>
      </c>
    </row>
    <row r="3099" spans="1:19" hidden="1" x14ac:dyDescent="0.3">
      <c r="A3099">
        <v>150</v>
      </c>
      <c r="B3099" t="s">
        <v>4361</v>
      </c>
      <c r="C3099" t="s">
        <v>4491</v>
      </c>
      <c r="D3099" s="2" t="s">
        <v>4492</v>
      </c>
      <c r="E3099" t="s">
        <v>3449</v>
      </c>
      <c r="F3099" t="s">
        <v>20</v>
      </c>
      <c r="G3099" t="s">
        <v>338</v>
      </c>
      <c r="H3099">
        <v>25366</v>
      </c>
      <c r="I3099" t="s">
        <v>23</v>
      </c>
      <c r="J3099" t="s">
        <v>35</v>
      </c>
      <c r="K3099" s="2" t="s">
        <v>2149</v>
      </c>
      <c r="L3099" t="s">
        <v>26</v>
      </c>
      <c r="M3099">
        <v>358485</v>
      </c>
      <c r="N3099">
        <v>1</v>
      </c>
      <c r="O3099" s="3">
        <v>99950</v>
      </c>
      <c r="P3099" s="3">
        <v>33157</v>
      </c>
      <c r="Q3099" s="5">
        <f t="shared" si="144"/>
        <v>83991.596638655465</v>
      </c>
      <c r="R3099" s="5">
        <f t="shared" si="145"/>
        <v>33157</v>
      </c>
      <c r="S3099" s="5">
        <f t="shared" si="146"/>
        <v>50834.596638655465</v>
      </c>
    </row>
    <row r="3100" spans="1:19" hidden="1" x14ac:dyDescent="0.3">
      <c r="A3100">
        <v>150</v>
      </c>
      <c r="B3100" t="s">
        <v>4361</v>
      </c>
      <c r="C3100" t="s">
        <v>3294</v>
      </c>
      <c r="D3100" s="2" t="s">
        <v>3295</v>
      </c>
      <c r="E3100" t="s">
        <v>3296</v>
      </c>
      <c r="F3100" t="s">
        <v>377</v>
      </c>
      <c r="G3100" t="s">
        <v>21</v>
      </c>
      <c r="H3100" t="s">
        <v>378</v>
      </c>
      <c r="I3100" t="s">
        <v>23</v>
      </c>
      <c r="J3100" t="s">
        <v>3297</v>
      </c>
      <c r="K3100" s="2" t="s">
        <v>2149</v>
      </c>
      <c r="L3100" t="s">
        <v>26</v>
      </c>
      <c r="M3100">
        <v>358485</v>
      </c>
      <c r="N3100">
        <v>1</v>
      </c>
      <c r="O3100">
        <v>500</v>
      </c>
      <c r="P3100">
        <v>358</v>
      </c>
      <c r="Q3100" s="5">
        <f t="shared" si="144"/>
        <v>420.1680672268908</v>
      </c>
      <c r="R3100" s="5">
        <f t="shared" si="145"/>
        <v>358</v>
      </c>
      <c r="S3100" s="5">
        <f t="shared" si="146"/>
        <v>62.168067226890798</v>
      </c>
    </row>
    <row r="3101" spans="1:19" hidden="1" x14ac:dyDescent="0.3">
      <c r="A3101">
        <v>150</v>
      </c>
      <c r="B3101" t="s">
        <v>4361</v>
      </c>
      <c r="C3101" t="s">
        <v>1172</v>
      </c>
      <c r="D3101" s="2" t="s">
        <v>1173</v>
      </c>
      <c r="E3101" t="s">
        <v>1174</v>
      </c>
      <c r="F3101" t="s">
        <v>20</v>
      </c>
      <c r="G3101" t="s">
        <v>21</v>
      </c>
      <c r="H3101" t="s">
        <v>272</v>
      </c>
      <c r="I3101" t="s">
        <v>23</v>
      </c>
      <c r="J3101" t="s">
        <v>40</v>
      </c>
      <c r="K3101" s="2" t="s">
        <v>2149</v>
      </c>
      <c r="L3101" t="s">
        <v>26</v>
      </c>
      <c r="M3101">
        <v>358486</v>
      </c>
      <c r="N3101">
        <v>1</v>
      </c>
      <c r="O3101" s="3">
        <v>59990</v>
      </c>
      <c r="P3101" s="3">
        <v>25136</v>
      </c>
      <c r="Q3101" s="5">
        <f t="shared" si="144"/>
        <v>50411.764705882357</v>
      </c>
      <c r="R3101" s="5">
        <f t="shared" si="145"/>
        <v>25136</v>
      </c>
      <c r="S3101" s="5">
        <f t="shared" si="146"/>
        <v>25275.764705882357</v>
      </c>
    </row>
    <row r="3102" spans="1:19" hidden="1" x14ac:dyDescent="0.3">
      <c r="A3102">
        <v>150</v>
      </c>
      <c r="B3102" t="s">
        <v>4361</v>
      </c>
      <c r="C3102" t="s">
        <v>3294</v>
      </c>
      <c r="D3102" s="2" t="s">
        <v>3295</v>
      </c>
      <c r="E3102" t="s">
        <v>3296</v>
      </c>
      <c r="F3102" t="s">
        <v>377</v>
      </c>
      <c r="G3102" t="s">
        <v>21</v>
      </c>
      <c r="H3102" t="s">
        <v>378</v>
      </c>
      <c r="I3102" t="s">
        <v>23</v>
      </c>
      <c r="J3102" t="s">
        <v>3297</v>
      </c>
      <c r="K3102" s="2" t="s">
        <v>2149</v>
      </c>
      <c r="L3102" t="s">
        <v>26</v>
      </c>
      <c r="M3102">
        <v>358486</v>
      </c>
      <c r="N3102">
        <v>1</v>
      </c>
      <c r="O3102">
        <v>500</v>
      </c>
      <c r="P3102">
        <v>358</v>
      </c>
      <c r="Q3102" s="5">
        <f t="shared" si="144"/>
        <v>420.1680672268908</v>
      </c>
      <c r="R3102" s="5">
        <f t="shared" si="145"/>
        <v>358</v>
      </c>
      <c r="S3102" s="5">
        <f t="shared" si="146"/>
        <v>62.168067226890798</v>
      </c>
    </row>
    <row r="3103" spans="1:19" hidden="1" x14ac:dyDescent="0.3">
      <c r="A3103">
        <v>150</v>
      </c>
      <c r="B3103" t="s">
        <v>4361</v>
      </c>
      <c r="C3103" t="s">
        <v>4789</v>
      </c>
      <c r="D3103" s="2" t="s">
        <v>4790</v>
      </c>
      <c r="E3103" t="s">
        <v>4132</v>
      </c>
      <c r="F3103" t="s">
        <v>20</v>
      </c>
      <c r="G3103" t="s">
        <v>21</v>
      </c>
      <c r="H3103" t="s">
        <v>1914</v>
      </c>
      <c r="I3103" t="s">
        <v>23</v>
      </c>
      <c r="J3103" t="s">
        <v>49</v>
      </c>
      <c r="K3103" s="2" t="s">
        <v>2149</v>
      </c>
      <c r="L3103" t="s">
        <v>26</v>
      </c>
      <c r="M3103">
        <v>358487</v>
      </c>
      <c r="N3103">
        <v>1</v>
      </c>
      <c r="O3103" s="3">
        <v>74950</v>
      </c>
      <c r="P3103" s="3">
        <v>24732</v>
      </c>
      <c r="Q3103" s="5">
        <f t="shared" si="144"/>
        <v>62983.193277310929</v>
      </c>
      <c r="R3103" s="5">
        <f t="shared" si="145"/>
        <v>24732</v>
      </c>
      <c r="S3103" s="5">
        <f t="shared" si="146"/>
        <v>38251.193277310929</v>
      </c>
    </row>
    <row r="3104" spans="1:19" hidden="1" x14ac:dyDescent="0.3">
      <c r="A3104">
        <v>150</v>
      </c>
      <c r="B3104" t="s">
        <v>4361</v>
      </c>
      <c r="C3104" t="s">
        <v>3866</v>
      </c>
      <c r="D3104" s="2" t="s">
        <v>3867</v>
      </c>
      <c r="E3104" t="s">
        <v>3698</v>
      </c>
      <c r="F3104" t="s">
        <v>20</v>
      </c>
      <c r="G3104" t="s">
        <v>21</v>
      </c>
      <c r="H3104" t="s">
        <v>966</v>
      </c>
      <c r="I3104" t="s">
        <v>23</v>
      </c>
      <c r="J3104" t="s">
        <v>40</v>
      </c>
      <c r="K3104" s="2" t="s">
        <v>2149</v>
      </c>
      <c r="L3104" t="s">
        <v>26</v>
      </c>
      <c r="M3104">
        <v>358488</v>
      </c>
      <c r="N3104">
        <v>1</v>
      </c>
      <c r="O3104" s="3">
        <v>74950</v>
      </c>
      <c r="P3104" s="3">
        <v>27462</v>
      </c>
      <c r="Q3104" s="5">
        <f t="shared" si="144"/>
        <v>62983.193277310929</v>
      </c>
      <c r="R3104" s="5">
        <f t="shared" si="145"/>
        <v>27462</v>
      </c>
      <c r="S3104" s="5">
        <f t="shared" si="146"/>
        <v>35521.193277310929</v>
      </c>
    </row>
    <row r="3105" spans="1:19" hidden="1" x14ac:dyDescent="0.3">
      <c r="A3105">
        <v>150</v>
      </c>
      <c r="B3105" t="s">
        <v>4361</v>
      </c>
      <c r="C3105" t="s">
        <v>3294</v>
      </c>
      <c r="D3105" s="2" t="s">
        <v>3295</v>
      </c>
      <c r="E3105" t="s">
        <v>3296</v>
      </c>
      <c r="F3105" t="s">
        <v>377</v>
      </c>
      <c r="G3105" t="s">
        <v>21</v>
      </c>
      <c r="H3105" t="s">
        <v>378</v>
      </c>
      <c r="I3105" t="s">
        <v>23</v>
      </c>
      <c r="J3105" t="s">
        <v>3297</v>
      </c>
      <c r="K3105" s="2" t="s">
        <v>2149</v>
      </c>
      <c r="L3105" t="s">
        <v>26</v>
      </c>
      <c r="M3105">
        <v>358488</v>
      </c>
      <c r="N3105">
        <v>1</v>
      </c>
      <c r="O3105">
        <v>500</v>
      </c>
      <c r="P3105">
        <v>358</v>
      </c>
      <c r="Q3105" s="5">
        <f t="shared" si="144"/>
        <v>420.1680672268908</v>
      </c>
      <c r="R3105" s="5">
        <f t="shared" si="145"/>
        <v>358</v>
      </c>
      <c r="S3105" s="5">
        <f t="shared" si="146"/>
        <v>62.168067226890798</v>
      </c>
    </row>
    <row r="3106" spans="1:19" hidden="1" x14ac:dyDescent="0.3">
      <c r="A3106">
        <v>150</v>
      </c>
      <c r="B3106" t="s">
        <v>4361</v>
      </c>
      <c r="C3106" t="s">
        <v>4130</v>
      </c>
      <c r="D3106" s="2" t="s">
        <v>4131</v>
      </c>
      <c r="E3106" t="s">
        <v>4132</v>
      </c>
      <c r="F3106" t="s">
        <v>20</v>
      </c>
      <c r="G3106" t="s">
        <v>21</v>
      </c>
      <c r="H3106" t="s">
        <v>1914</v>
      </c>
      <c r="I3106" t="s">
        <v>23</v>
      </c>
      <c r="J3106" t="s">
        <v>49</v>
      </c>
      <c r="K3106" s="2" t="s">
        <v>2149</v>
      </c>
      <c r="L3106" t="s">
        <v>26</v>
      </c>
      <c r="M3106">
        <v>358489</v>
      </c>
      <c r="N3106">
        <v>1</v>
      </c>
      <c r="O3106" s="3">
        <v>74950</v>
      </c>
      <c r="P3106" s="3">
        <v>24732</v>
      </c>
      <c r="Q3106" s="5">
        <f t="shared" si="144"/>
        <v>62983.193277310929</v>
      </c>
      <c r="R3106" s="5">
        <f t="shared" si="145"/>
        <v>24732</v>
      </c>
      <c r="S3106" s="5">
        <f t="shared" si="146"/>
        <v>38251.193277310929</v>
      </c>
    </row>
    <row r="3107" spans="1:19" hidden="1" x14ac:dyDescent="0.3">
      <c r="A3107">
        <v>150</v>
      </c>
      <c r="B3107" t="s">
        <v>4361</v>
      </c>
      <c r="C3107" t="s">
        <v>3246</v>
      </c>
      <c r="D3107" s="2" t="s">
        <v>3247</v>
      </c>
      <c r="E3107" t="s">
        <v>3248</v>
      </c>
      <c r="F3107" t="s">
        <v>20</v>
      </c>
      <c r="G3107" t="s">
        <v>338</v>
      </c>
      <c r="H3107">
        <v>23201</v>
      </c>
      <c r="I3107" t="s">
        <v>23</v>
      </c>
      <c r="J3107" t="s">
        <v>49</v>
      </c>
      <c r="K3107" s="2" t="s">
        <v>2149</v>
      </c>
      <c r="L3107" t="s">
        <v>26</v>
      </c>
      <c r="M3107">
        <v>358490</v>
      </c>
      <c r="N3107">
        <v>1</v>
      </c>
      <c r="O3107" s="3">
        <v>84950</v>
      </c>
      <c r="P3107" s="3">
        <v>26390</v>
      </c>
      <c r="Q3107" s="5">
        <f t="shared" si="144"/>
        <v>71386.554621848743</v>
      </c>
      <c r="R3107" s="5">
        <f t="shared" si="145"/>
        <v>26390</v>
      </c>
      <c r="S3107" s="5">
        <f t="shared" si="146"/>
        <v>44996.554621848743</v>
      </c>
    </row>
    <row r="3108" spans="1:19" hidden="1" x14ac:dyDescent="0.3">
      <c r="A3108">
        <v>150</v>
      </c>
      <c r="B3108" t="s">
        <v>4361</v>
      </c>
      <c r="C3108" t="s">
        <v>3294</v>
      </c>
      <c r="D3108" s="2" t="s">
        <v>3295</v>
      </c>
      <c r="E3108" t="s">
        <v>3296</v>
      </c>
      <c r="F3108" t="s">
        <v>377</v>
      </c>
      <c r="G3108" t="s">
        <v>21</v>
      </c>
      <c r="H3108" t="s">
        <v>378</v>
      </c>
      <c r="I3108" t="s">
        <v>23</v>
      </c>
      <c r="J3108" t="s">
        <v>3297</v>
      </c>
      <c r="K3108" s="2" t="s">
        <v>2149</v>
      </c>
      <c r="L3108" t="s">
        <v>26</v>
      </c>
      <c r="M3108">
        <v>358490</v>
      </c>
      <c r="N3108">
        <v>1</v>
      </c>
      <c r="O3108">
        <v>500</v>
      </c>
      <c r="P3108">
        <v>358</v>
      </c>
      <c r="Q3108" s="5">
        <f t="shared" si="144"/>
        <v>420.1680672268908</v>
      </c>
      <c r="R3108" s="5">
        <f t="shared" si="145"/>
        <v>358</v>
      </c>
      <c r="S3108" s="5">
        <f t="shared" si="146"/>
        <v>62.168067226890798</v>
      </c>
    </row>
    <row r="3109" spans="1:19" hidden="1" x14ac:dyDescent="0.3">
      <c r="A3109">
        <v>150</v>
      </c>
      <c r="B3109" t="s">
        <v>4361</v>
      </c>
      <c r="C3109" t="s">
        <v>3173</v>
      </c>
      <c r="D3109" s="2" t="s">
        <v>3174</v>
      </c>
      <c r="E3109" t="s">
        <v>3175</v>
      </c>
      <c r="F3109" t="s">
        <v>20</v>
      </c>
      <c r="G3109" t="s">
        <v>21</v>
      </c>
      <c r="H3109" t="s">
        <v>625</v>
      </c>
      <c r="I3109" t="s">
        <v>23</v>
      </c>
      <c r="J3109" t="s">
        <v>35</v>
      </c>
      <c r="K3109" s="2" t="s">
        <v>2149</v>
      </c>
      <c r="L3109" t="s">
        <v>26</v>
      </c>
      <c r="M3109">
        <v>358491</v>
      </c>
      <c r="N3109">
        <v>1</v>
      </c>
      <c r="O3109" s="3">
        <v>49990</v>
      </c>
      <c r="P3109" s="3">
        <v>24956</v>
      </c>
      <c r="Q3109" s="5">
        <f t="shared" si="144"/>
        <v>42008.403361344543</v>
      </c>
      <c r="R3109" s="5">
        <f t="shared" si="145"/>
        <v>24956</v>
      </c>
      <c r="S3109" s="5">
        <f t="shared" si="146"/>
        <v>17052.403361344543</v>
      </c>
    </row>
    <row r="3110" spans="1:19" hidden="1" x14ac:dyDescent="0.3">
      <c r="A3110">
        <v>150</v>
      </c>
      <c r="B3110" t="s">
        <v>4361</v>
      </c>
      <c r="C3110" t="s">
        <v>3294</v>
      </c>
      <c r="D3110" s="2" t="s">
        <v>3295</v>
      </c>
      <c r="E3110" t="s">
        <v>3296</v>
      </c>
      <c r="F3110" t="s">
        <v>377</v>
      </c>
      <c r="G3110" t="s">
        <v>21</v>
      </c>
      <c r="H3110" t="s">
        <v>378</v>
      </c>
      <c r="I3110" t="s">
        <v>23</v>
      </c>
      <c r="J3110" t="s">
        <v>3297</v>
      </c>
      <c r="K3110" s="2" t="s">
        <v>2149</v>
      </c>
      <c r="L3110" t="s">
        <v>26</v>
      </c>
      <c r="M3110">
        <v>358491</v>
      </c>
      <c r="N3110">
        <v>1</v>
      </c>
      <c r="O3110">
        <v>500</v>
      </c>
      <c r="P3110">
        <v>358</v>
      </c>
      <c r="Q3110" s="5">
        <f t="shared" si="144"/>
        <v>420.1680672268908</v>
      </c>
      <c r="R3110" s="5">
        <f t="shared" si="145"/>
        <v>358</v>
      </c>
      <c r="S3110" s="5">
        <f t="shared" si="146"/>
        <v>62.168067226890798</v>
      </c>
    </row>
    <row r="3111" spans="1:19" hidden="1" x14ac:dyDescent="0.3">
      <c r="A3111">
        <v>150</v>
      </c>
      <c r="B3111" t="s">
        <v>4361</v>
      </c>
      <c r="C3111" t="s">
        <v>4791</v>
      </c>
      <c r="D3111" s="2" t="s">
        <v>4792</v>
      </c>
      <c r="E3111" t="s">
        <v>4793</v>
      </c>
      <c r="F3111" t="s">
        <v>377</v>
      </c>
      <c r="G3111" t="s">
        <v>21</v>
      </c>
      <c r="H3111" t="s">
        <v>378</v>
      </c>
      <c r="I3111" t="s">
        <v>23</v>
      </c>
      <c r="J3111" t="s">
        <v>2620</v>
      </c>
      <c r="K3111" s="2" t="s">
        <v>2149</v>
      </c>
      <c r="L3111" t="s">
        <v>26</v>
      </c>
      <c r="M3111">
        <v>358491</v>
      </c>
      <c r="N3111">
        <v>1</v>
      </c>
      <c r="O3111" s="3">
        <v>26950</v>
      </c>
      <c r="P3111" s="3">
        <v>11734</v>
      </c>
      <c r="Q3111" s="5">
        <f t="shared" si="144"/>
        <v>22647.058823529413</v>
      </c>
      <c r="R3111" s="5">
        <f t="shared" si="145"/>
        <v>11734</v>
      </c>
      <c r="S3111" s="5">
        <f t="shared" si="146"/>
        <v>10913.058823529413</v>
      </c>
    </row>
    <row r="3112" spans="1:19" hidden="1" x14ac:dyDescent="0.3">
      <c r="A3112">
        <v>150</v>
      </c>
      <c r="B3112" t="s">
        <v>4361</v>
      </c>
      <c r="C3112" t="s">
        <v>4194</v>
      </c>
      <c r="D3112" s="2" t="s">
        <v>4195</v>
      </c>
      <c r="E3112" t="s">
        <v>4196</v>
      </c>
      <c r="F3112" t="s">
        <v>377</v>
      </c>
      <c r="G3112" t="s">
        <v>21</v>
      </c>
      <c r="H3112" t="s">
        <v>378</v>
      </c>
      <c r="I3112" t="s">
        <v>23</v>
      </c>
      <c r="J3112" t="s">
        <v>379</v>
      </c>
      <c r="K3112" s="2" t="s">
        <v>2149</v>
      </c>
      <c r="L3112" t="s">
        <v>26</v>
      </c>
      <c r="M3112">
        <v>358492</v>
      </c>
      <c r="N3112">
        <v>1</v>
      </c>
      <c r="O3112" s="3">
        <v>6950</v>
      </c>
      <c r="P3112" s="3">
        <v>3541</v>
      </c>
      <c r="Q3112" s="5">
        <f t="shared" si="144"/>
        <v>5840.3361344537816</v>
      </c>
      <c r="R3112" s="5">
        <f t="shared" si="145"/>
        <v>3541</v>
      </c>
      <c r="S3112" s="5">
        <f t="shared" si="146"/>
        <v>2299.3361344537816</v>
      </c>
    </row>
    <row r="3113" spans="1:19" hidden="1" x14ac:dyDescent="0.3">
      <c r="A3113">
        <v>150</v>
      </c>
      <c r="B3113" t="s">
        <v>4361</v>
      </c>
      <c r="C3113" t="s">
        <v>2968</v>
      </c>
      <c r="D3113" s="2" t="s">
        <v>2969</v>
      </c>
      <c r="E3113" t="s">
        <v>2970</v>
      </c>
      <c r="F3113" t="s">
        <v>20</v>
      </c>
      <c r="G3113" t="s">
        <v>21</v>
      </c>
      <c r="H3113" t="s">
        <v>171</v>
      </c>
      <c r="I3113" t="s">
        <v>23</v>
      </c>
      <c r="J3113" t="s">
        <v>40</v>
      </c>
      <c r="K3113" s="2" t="s">
        <v>2149</v>
      </c>
      <c r="L3113" t="s">
        <v>26</v>
      </c>
      <c r="M3113">
        <v>358493</v>
      </c>
      <c r="N3113">
        <v>1</v>
      </c>
      <c r="O3113" s="3">
        <v>59990</v>
      </c>
      <c r="P3113" s="3">
        <v>29949</v>
      </c>
      <c r="Q3113" s="5">
        <f t="shared" si="144"/>
        <v>50411.764705882357</v>
      </c>
      <c r="R3113" s="5">
        <f t="shared" si="145"/>
        <v>29949</v>
      </c>
      <c r="S3113" s="5">
        <f t="shared" si="146"/>
        <v>20462.764705882357</v>
      </c>
    </row>
    <row r="3114" spans="1:19" hidden="1" x14ac:dyDescent="0.3">
      <c r="A3114">
        <v>150</v>
      </c>
      <c r="B3114" t="s">
        <v>4361</v>
      </c>
      <c r="C3114" t="s">
        <v>3116</v>
      </c>
      <c r="D3114" s="2" t="s">
        <v>3117</v>
      </c>
      <c r="E3114" t="s">
        <v>2185</v>
      </c>
      <c r="F3114" t="s">
        <v>20</v>
      </c>
      <c r="G3114" t="s">
        <v>21</v>
      </c>
      <c r="H3114" t="s">
        <v>614</v>
      </c>
      <c r="I3114" t="s">
        <v>23</v>
      </c>
      <c r="J3114" t="s">
        <v>40</v>
      </c>
      <c r="K3114" s="2" t="s">
        <v>2149</v>
      </c>
      <c r="L3114" t="s">
        <v>26</v>
      </c>
      <c r="M3114">
        <v>358493</v>
      </c>
      <c r="N3114">
        <v>-1</v>
      </c>
      <c r="O3114" s="3">
        <v>-44990</v>
      </c>
      <c r="P3114" s="3">
        <v>17389</v>
      </c>
      <c r="Q3114" s="5">
        <f t="shared" si="144"/>
        <v>-37806.722689075636</v>
      </c>
      <c r="R3114" s="5">
        <f t="shared" si="145"/>
        <v>-17389</v>
      </c>
      <c r="S3114" s="5">
        <f t="shared" si="146"/>
        <v>-20417.722689075636</v>
      </c>
    </row>
    <row r="3115" spans="1:19" hidden="1" x14ac:dyDescent="0.3">
      <c r="A3115">
        <v>150</v>
      </c>
      <c r="B3115" t="s">
        <v>4361</v>
      </c>
      <c r="C3115" t="s">
        <v>4794</v>
      </c>
      <c r="D3115" s="2" t="s">
        <v>4795</v>
      </c>
      <c r="E3115" t="s">
        <v>4796</v>
      </c>
      <c r="F3115" t="s">
        <v>20</v>
      </c>
      <c r="G3115" t="s">
        <v>338</v>
      </c>
      <c r="H3115">
        <v>85411</v>
      </c>
      <c r="I3115" t="s">
        <v>23</v>
      </c>
      <c r="J3115" t="s">
        <v>35</v>
      </c>
      <c r="K3115" s="2" t="s">
        <v>2149</v>
      </c>
      <c r="L3115" t="s">
        <v>26</v>
      </c>
      <c r="M3115">
        <v>358494</v>
      </c>
      <c r="N3115">
        <v>1</v>
      </c>
      <c r="O3115" s="3">
        <v>119950</v>
      </c>
      <c r="P3115" s="3">
        <v>36428</v>
      </c>
      <c r="Q3115" s="5">
        <f t="shared" si="144"/>
        <v>100798.31932773109</v>
      </c>
      <c r="R3115" s="5">
        <f t="shared" si="145"/>
        <v>36428</v>
      </c>
      <c r="S3115" s="5">
        <f t="shared" si="146"/>
        <v>64370.319327731093</v>
      </c>
    </row>
    <row r="3116" spans="1:19" hidden="1" x14ac:dyDescent="0.3">
      <c r="A3116">
        <v>150</v>
      </c>
      <c r="B3116" t="s">
        <v>4361</v>
      </c>
      <c r="C3116" t="s">
        <v>2453</v>
      </c>
      <c r="D3116" s="2" t="s">
        <v>2454</v>
      </c>
      <c r="E3116" t="s">
        <v>2455</v>
      </c>
      <c r="F3116" t="s">
        <v>20</v>
      </c>
      <c r="G3116" t="s">
        <v>21</v>
      </c>
      <c r="H3116" t="s">
        <v>742</v>
      </c>
      <c r="I3116" t="s">
        <v>23</v>
      </c>
      <c r="J3116" t="s">
        <v>40</v>
      </c>
      <c r="K3116" s="2" t="s">
        <v>2149</v>
      </c>
      <c r="L3116" t="s">
        <v>26</v>
      </c>
      <c r="M3116">
        <v>358495</v>
      </c>
      <c r="N3116">
        <v>1</v>
      </c>
      <c r="O3116" s="3">
        <v>79950</v>
      </c>
      <c r="P3116" s="3">
        <v>28467</v>
      </c>
      <c r="Q3116" s="5">
        <f t="shared" si="144"/>
        <v>67184.873949579836</v>
      </c>
      <c r="R3116" s="5">
        <f t="shared" si="145"/>
        <v>28467</v>
      </c>
      <c r="S3116" s="5">
        <f t="shared" si="146"/>
        <v>38717.873949579836</v>
      </c>
    </row>
    <row r="3117" spans="1:19" hidden="1" x14ac:dyDescent="0.3">
      <c r="A3117">
        <v>150</v>
      </c>
      <c r="B3117" t="s">
        <v>4361</v>
      </c>
      <c r="C3117" t="s">
        <v>4347</v>
      </c>
      <c r="D3117" s="2" t="s">
        <v>4348</v>
      </c>
      <c r="E3117" t="s">
        <v>4349</v>
      </c>
      <c r="F3117" t="s">
        <v>20</v>
      </c>
      <c r="G3117" t="s">
        <v>21</v>
      </c>
      <c r="H3117" t="s">
        <v>30</v>
      </c>
      <c r="I3117" t="s">
        <v>23</v>
      </c>
      <c r="J3117" t="s">
        <v>35</v>
      </c>
      <c r="K3117" s="2" t="s">
        <v>2149</v>
      </c>
      <c r="L3117" t="s">
        <v>26</v>
      </c>
      <c r="M3117">
        <v>358496</v>
      </c>
      <c r="N3117">
        <v>1</v>
      </c>
      <c r="O3117" s="3">
        <v>64990</v>
      </c>
      <c r="P3117" s="3">
        <v>29988</v>
      </c>
      <c r="Q3117" s="5">
        <f t="shared" si="144"/>
        <v>54613.445378151264</v>
      </c>
      <c r="R3117" s="5">
        <f t="shared" si="145"/>
        <v>29988</v>
      </c>
      <c r="S3117" s="5">
        <f t="shared" si="146"/>
        <v>24625.445378151264</v>
      </c>
    </row>
    <row r="3118" spans="1:19" hidden="1" x14ac:dyDescent="0.3">
      <c r="A3118">
        <v>150</v>
      </c>
      <c r="B3118" t="s">
        <v>4361</v>
      </c>
      <c r="C3118" t="s">
        <v>4726</v>
      </c>
      <c r="D3118" s="2" t="s">
        <v>4727</v>
      </c>
      <c r="E3118" t="s">
        <v>2311</v>
      </c>
      <c r="F3118" t="s">
        <v>20</v>
      </c>
      <c r="G3118" t="s">
        <v>338</v>
      </c>
      <c r="H3118">
        <v>83716</v>
      </c>
      <c r="I3118" t="s">
        <v>23</v>
      </c>
      <c r="J3118" t="s">
        <v>40</v>
      </c>
      <c r="K3118" s="2" t="s">
        <v>2149</v>
      </c>
      <c r="L3118" t="s">
        <v>26</v>
      </c>
      <c r="M3118">
        <v>358496</v>
      </c>
      <c r="N3118">
        <v>-1</v>
      </c>
      <c r="O3118" s="3">
        <v>-76450</v>
      </c>
      <c r="P3118" s="3">
        <v>30263</v>
      </c>
      <c r="Q3118" s="5">
        <f t="shared" si="144"/>
        <v>-64243.697478991598</v>
      </c>
      <c r="R3118" s="5">
        <f t="shared" si="145"/>
        <v>-30263</v>
      </c>
      <c r="S3118" s="5">
        <f t="shared" si="146"/>
        <v>-33980.697478991598</v>
      </c>
    </row>
    <row r="3119" spans="1:19" hidden="1" x14ac:dyDescent="0.3">
      <c r="A3119">
        <v>150</v>
      </c>
      <c r="B3119" t="s">
        <v>4361</v>
      </c>
      <c r="C3119" t="s">
        <v>2575</v>
      </c>
      <c r="D3119" s="2" t="s">
        <v>2576</v>
      </c>
      <c r="E3119" t="s">
        <v>2577</v>
      </c>
      <c r="F3119" t="s">
        <v>377</v>
      </c>
      <c r="G3119" t="s">
        <v>21</v>
      </c>
      <c r="H3119" t="s">
        <v>378</v>
      </c>
      <c r="I3119" t="s">
        <v>23</v>
      </c>
      <c r="J3119" t="s">
        <v>379</v>
      </c>
      <c r="K3119" s="2" t="s">
        <v>2149</v>
      </c>
      <c r="L3119" t="s">
        <v>26</v>
      </c>
      <c r="M3119">
        <v>358496</v>
      </c>
      <c r="N3119">
        <v>1</v>
      </c>
      <c r="O3119" s="3">
        <v>5950</v>
      </c>
      <c r="P3119" s="3">
        <v>3307</v>
      </c>
      <c r="Q3119" s="5">
        <f t="shared" si="144"/>
        <v>5000</v>
      </c>
      <c r="R3119" s="5">
        <f t="shared" si="145"/>
        <v>3307</v>
      </c>
      <c r="S3119" s="5">
        <f t="shared" si="146"/>
        <v>1693</v>
      </c>
    </row>
    <row r="3120" spans="1:19" hidden="1" x14ac:dyDescent="0.3">
      <c r="A3120">
        <v>150</v>
      </c>
      <c r="B3120" t="s">
        <v>4361</v>
      </c>
      <c r="C3120" t="s">
        <v>2485</v>
      </c>
      <c r="D3120" s="2" t="s">
        <v>2486</v>
      </c>
      <c r="E3120" t="s">
        <v>2487</v>
      </c>
      <c r="F3120" t="s">
        <v>377</v>
      </c>
      <c r="G3120" t="s">
        <v>21</v>
      </c>
      <c r="H3120" t="s">
        <v>378</v>
      </c>
      <c r="I3120" t="s">
        <v>23</v>
      </c>
      <c r="J3120" t="s">
        <v>379</v>
      </c>
      <c r="K3120" s="2" t="s">
        <v>2149</v>
      </c>
      <c r="L3120" t="s">
        <v>26</v>
      </c>
      <c r="M3120">
        <v>358496</v>
      </c>
      <c r="N3120">
        <v>1</v>
      </c>
      <c r="O3120" s="3">
        <v>5950</v>
      </c>
      <c r="P3120" s="3">
        <v>2243</v>
      </c>
      <c r="Q3120" s="5">
        <f t="shared" si="144"/>
        <v>5000</v>
      </c>
      <c r="R3120" s="5">
        <f t="shared" si="145"/>
        <v>2243</v>
      </c>
      <c r="S3120" s="5">
        <f t="shared" si="146"/>
        <v>2757</v>
      </c>
    </row>
    <row r="3121" spans="1:19" hidden="1" x14ac:dyDescent="0.3">
      <c r="A3121">
        <v>150</v>
      </c>
      <c r="B3121" t="s">
        <v>4361</v>
      </c>
      <c r="C3121" t="s">
        <v>4797</v>
      </c>
      <c r="D3121" s="2" t="s">
        <v>4798</v>
      </c>
      <c r="E3121" t="s">
        <v>3168</v>
      </c>
      <c r="F3121" t="s">
        <v>20</v>
      </c>
      <c r="G3121" t="s">
        <v>338</v>
      </c>
      <c r="H3121">
        <v>23731</v>
      </c>
      <c r="I3121" t="s">
        <v>23</v>
      </c>
      <c r="J3121" t="s">
        <v>40</v>
      </c>
      <c r="K3121" s="2" t="s">
        <v>2192</v>
      </c>
      <c r="L3121" t="s">
        <v>26</v>
      </c>
      <c r="M3121">
        <v>358497</v>
      </c>
      <c r="N3121">
        <v>1</v>
      </c>
      <c r="O3121" s="3">
        <v>69950</v>
      </c>
      <c r="P3121" s="3">
        <v>23119</v>
      </c>
      <c r="Q3121" s="5">
        <f t="shared" si="144"/>
        <v>58781.512605042022</v>
      </c>
      <c r="R3121" s="5">
        <f t="shared" si="145"/>
        <v>23119</v>
      </c>
      <c r="S3121" s="5">
        <f t="shared" si="146"/>
        <v>35662.512605042022</v>
      </c>
    </row>
    <row r="3122" spans="1:19" hidden="1" x14ac:dyDescent="0.3">
      <c r="A3122">
        <v>150</v>
      </c>
      <c r="B3122" t="s">
        <v>4361</v>
      </c>
      <c r="C3122" t="s">
        <v>4799</v>
      </c>
      <c r="D3122" s="2" t="s">
        <v>4800</v>
      </c>
      <c r="E3122" t="s">
        <v>3542</v>
      </c>
      <c r="F3122" t="s">
        <v>20</v>
      </c>
      <c r="G3122" t="s">
        <v>338</v>
      </c>
      <c r="H3122">
        <v>83717</v>
      </c>
      <c r="I3122" t="s">
        <v>23</v>
      </c>
      <c r="J3122" t="s">
        <v>40</v>
      </c>
      <c r="K3122" s="2" t="s">
        <v>2192</v>
      </c>
      <c r="L3122" t="s">
        <v>26</v>
      </c>
      <c r="M3122">
        <v>358498</v>
      </c>
      <c r="N3122">
        <v>1</v>
      </c>
      <c r="O3122" s="3">
        <v>89950</v>
      </c>
      <c r="P3122" s="3">
        <v>30263</v>
      </c>
      <c r="Q3122" s="5">
        <f t="shared" si="144"/>
        <v>75588.23529411765</v>
      </c>
      <c r="R3122" s="5">
        <f t="shared" si="145"/>
        <v>30263</v>
      </c>
      <c r="S3122" s="5">
        <f t="shared" si="146"/>
        <v>45325.23529411765</v>
      </c>
    </row>
    <row r="3123" spans="1:19" hidden="1" x14ac:dyDescent="0.3">
      <c r="A3123">
        <v>150</v>
      </c>
      <c r="B3123" t="s">
        <v>4361</v>
      </c>
      <c r="C3123" t="s">
        <v>1037</v>
      </c>
      <c r="D3123" s="2" t="s">
        <v>1038</v>
      </c>
      <c r="E3123" t="s">
        <v>1039</v>
      </c>
      <c r="F3123" t="s">
        <v>377</v>
      </c>
      <c r="G3123" t="s">
        <v>21</v>
      </c>
      <c r="H3123" t="s">
        <v>378</v>
      </c>
      <c r="I3123" t="s">
        <v>23</v>
      </c>
      <c r="J3123" t="s">
        <v>379</v>
      </c>
      <c r="K3123" s="2" t="s">
        <v>2192</v>
      </c>
      <c r="L3123" t="s">
        <v>26</v>
      </c>
      <c r="M3123">
        <v>358498</v>
      </c>
      <c r="N3123">
        <v>1</v>
      </c>
      <c r="O3123" s="3">
        <v>5950</v>
      </c>
      <c r="P3123" s="3">
        <v>3257</v>
      </c>
      <c r="Q3123" s="5">
        <f t="shared" si="144"/>
        <v>5000</v>
      </c>
      <c r="R3123" s="5">
        <f t="shared" si="145"/>
        <v>3257</v>
      </c>
      <c r="S3123" s="5">
        <f t="shared" si="146"/>
        <v>1743</v>
      </c>
    </row>
    <row r="3124" spans="1:19" hidden="1" x14ac:dyDescent="0.3">
      <c r="A3124">
        <v>150</v>
      </c>
      <c r="B3124" t="s">
        <v>4361</v>
      </c>
      <c r="C3124" t="s">
        <v>4801</v>
      </c>
      <c r="D3124" s="2" t="s">
        <v>4802</v>
      </c>
      <c r="E3124" t="s">
        <v>4132</v>
      </c>
      <c r="F3124" t="s">
        <v>20</v>
      </c>
      <c r="G3124" t="s">
        <v>21</v>
      </c>
      <c r="H3124" t="s">
        <v>1914</v>
      </c>
      <c r="I3124" t="s">
        <v>23</v>
      </c>
      <c r="J3124" t="s">
        <v>49</v>
      </c>
      <c r="K3124" s="2" t="s">
        <v>2192</v>
      </c>
      <c r="L3124" t="s">
        <v>26</v>
      </c>
      <c r="M3124">
        <v>358499</v>
      </c>
      <c r="N3124">
        <v>1</v>
      </c>
      <c r="O3124" s="3">
        <v>74950</v>
      </c>
      <c r="P3124" s="3">
        <v>24732</v>
      </c>
      <c r="Q3124" s="5">
        <f t="shared" si="144"/>
        <v>62983.193277310929</v>
      </c>
      <c r="R3124" s="5">
        <f t="shared" si="145"/>
        <v>24732</v>
      </c>
      <c r="S3124" s="5">
        <f t="shared" si="146"/>
        <v>38251.193277310929</v>
      </c>
    </row>
    <row r="3125" spans="1:19" hidden="1" x14ac:dyDescent="0.3">
      <c r="A3125">
        <v>150</v>
      </c>
      <c r="B3125" t="s">
        <v>4361</v>
      </c>
      <c r="C3125" t="s">
        <v>3294</v>
      </c>
      <c r="D3125" s="2" t="s">
        <v>3295</v>
      </c>
      <c r="E3125" t="s">
        <v>3296</v>
      </c>
      <c r="F3125" t="s">
        <v>377</v>
      </c>
      <c r="G3125" t="s">
        <v>21</v>
      </c>
      <c r="H3125" t="s">
        <v>378</v>
      </c>
      <c r="I3125" t="s">
        <v>23</v>
      </c>
      <c r="J3125" t="s">
        <v>3297</v>
      </c>
      <c r="K3125" s="2" t="s">
        <v>2192</v>
      </c>
      <c r="L3125" t="s">
        <v>26</v>
      </c>
      <c r="M3125">
        <v>358499</v>
      </c>
      <c r="N3125">
        <v>1</v>
      </c>
      <c r="O3125">
        <v>500</v>
      </c>
      <c r="P3125">
        <v>358</v>
      </c>
      <c r="Q3125" s="5">
        <f t="shared" si="144"/>
        <v>420.1680672268908</v>
      </c>
      <c r="R3125" s="5">
        <f t="shared" si="145"/>
        <v>358</v>
      </c>
      <c r="S3125" s="5">
        <f t="shared" si="146"/>
        <v>62.168067226890798</v>
      </c>
    </row>
    <row r="3126" spans="1:19" hidden="1" x14ac:dyDescent="0.3">
      <c r="A3126">
        <v>150</v>
      </c>
      <c r="B3126" t="s">
        <v>4361</v>
      </c>
      <c r="C3126" t="s">
        <v>1037</v>
      </c>
      <c r="D3126" s="2" t="s">
        <v>1038</v>
      </c>
      <c r="E3126" t="s">
        <v>1039</v>
      </c>
      <c r="F3126" t="s">
        <v>377</v>
      </c>
      <c r="G3126" t="s">
        <v>21</v>
      </c>
      <c r="H3126" t="s">
        <v>378</v>
      </c>
      <c r="I3126" t="s">
        <v>23</v>
      </c>
      <c r="J3126" t="s">
        <v>379</v>
      </c>
      <c r="K3126" s="2" t="s">
        <v>2192</v>
      </c>
      <c r="L3126" t="s">
        <v>26</v>
      </c>
      <c r="M3126">
        <v>358499</v>
      </c>
      <c r="N3126">
        <v>1</v>
      </c>
      <c r="O3126" s="3">
        <v>5950</v>
      </c>
      <c r="P3126" s="3">
        <v>3257</v>
      </c>
      <c r="Q3126" s="5">
        <f t="shared" si="144"/>
        <v>5000</v>
      </c>
      <c r="R3126" s="5">
        <f t="shared" si="145"/>
        <v>3257</v>
      </c>
      <c r="S3126" s="5">
        <f t="shared" si="146"/>
        <v>1743</v>
      </c>
    </row>
    <row r="3127" spans="1:19" hidden="1" x14ac:dyDescent="0.3">
      <c r="A3127">
        <v>150</v>
      </c>
      <c r="B3127" t="s">
        <v>4361</v>
      </c>
      <c r="C3127" t="s">
        <v>4803</v>
      </c>
      <c r="D3127" s="2" t="s">
        <v>4804</v>
      </c>
      <c r="E3127" t="s">
        <v>3486</v>
      </c>
      <c r="F3127" t="s">
        <v>20</v>
      </c>
      <c r="G3127" t="s">
        <v>21</v>
      </c>
      <c r="H3127" t="s">
        <v>247</v>
      </c>
      <c r="I3127" t="s">
        <v>23</v>
      </c>
      <c r="J3127" t="s">
        <v>40</v>
      </c>
      <c r="K3127" s="2" t="s">
        <v>2192</v>
      </c>
      <c r="L3127" t="s">
        <v>26</v>
      </c>
      <c r="M3127">
        <v>358500</v>
      </c>
      <c r="N3127">
        <v>1</v>
      </c>
      <c r="O3127" s="3">
        <v>59950</v>
      </c>
      <c r="P3127" s="3">
        <v>16103</v>
      </c>
      <c r="Q3127" s="5">
        <f t="shared" si="144"/>
        <v>50378.151260504201</v>
      </c>
      <c r="R3127" s="5">
        <f t="shared" si="145"/>
        <v>16103</v>
      </c>
      <c r="S3127" s="5">
        <f t="shared" si="146"/>
        <v>34275.151260504201</v>
      </c>
    </row>
    <row r="3128" spans="1:19" hidden="1" x14ac:dyDescent="0.3">
      <c r="A3128">
        <v>150</v>
      </c>
      <c r="B3128" t="s">
        <v>4361</v>
      </c>
      <c r="C3128" t="s">
        <v>3294</v>
      </c>
      <c r="D3128" s="2" t="s">
        <v>3295</v>
      </c>
      <c r="E3128" t="s">
        <v>3296</v>
      </c>
      <c r="F3128" t="s">
        <v>377</v>
      </c>
      <c r="G3128" t="s">
        <v>21</v>
      </c>
      <c r="H3128" t="s">
        <v>378</v>
      </c>
      <c r="I3128" t="s">
        <v>23</v>
      </c>
      <c r="J3128" t="s">
        <v>3297</v>
      </c>
      <c r="K3128" s="2" t="s">
        <v>2192</v>
      </c>
      <c r="L3128" t="s">
        <v>26</v>
      </c>
      <c r="M3128">
        <v>358500</v>
      </c>
      <c r="N3128">
        <v>1</v>
      </c>
      <c r="O3128">
        <v>500</v>
      </c>
      <c r="P3128">
        <v>358</v>
      </c>
      <c r="Q3128" s="5">
        <f t="shared" si="144"/>
        <v>420.1680672268908</v>
      </c>
      <c r="R3128" s="5">
        <f t="shared" si="145"/>
        <v>358</v>
      </c>
      <c r="S3128" s="5">
        <f t="shared" si="146"/>
        <v>62.168067226890798</v>
      </c>
    </row>
    <row r="3129" spans="1:19" hidden="1" x14ac:dyDescent="0.3">
      <c r="A3129">
        <v>150</v>
      </c>
      <c r="B3129" t="s">
        <v>4361</v>
      </c>
      <c r="C3129" t="s">
        <v>4334</v>
      </c>
      <c r="D3129" s="2" t="s">
        <v>4335</v>
      </c>
      <c r="E3129" t="s">
        <v>4291</v>
      </c>
      <c r="F3129" t="s">
        <v>20</v>
      </c>
      <c r="G3129" t="s">
        <v>21</v>
      </c>
      <c r="H3129" t="s">
        <v>285</v>
      </c>
      <c r="I3129" t="s">
        <v>23</v>
      </c>
      <c r="J3129" t="s">
        <v>35</v>
      </c>
      <c r="K3129" s="2" t="s">
        <v>2192</v>
      </c>
      <c r="L3129" t="s">
        <v>26</v>
      </c>
      <c r="M3129">
        <v>358501</v>
      </c>
      <c r="N3129">
        <v>1</v>
      </c>
      <c r="O3129" s="3">
        <v>79950</v>
      </c>
      <c r="P3129" s="3">
        <v>31481</v>
      </c>
      <c r="Q3129" s="5">
        <f t="shared" si="144"/>
        <v>67184.873949579836</v>
      </c>
      <c r="R3129" s="5">
        <f t="shared" si="145"/>
        <v>31481</v>
      </c>
      <c r="S3129" s="5">
        <f t="shared" si="146"/>
        <v>35703.873949579836</v>
      </c>
    </row>
    <row r="3130" spans="1:19" hidden="1" x14ac:dyDescent="0.3">
      <c r="A3130">
        <v>150</v>
      </c>
      <c r="B3130" t="s">
        <v>4361</v>
      </c>
      <c r="C3130" t="s">
        <v>4805</v>
      </c>
      <c r="D3130" s="2" t="s">
        <v>4806</v>
      </c>
      <c r="E3130" t="s">
        <v>516</v>
      </c>
      <c r="F3130" t="s">
        <v>20</v>
      </c>
      <c r="G3130" t="s">
        <v>338</v>
      </c>
      <c r="H3130">
        <v>23763</v>
      </c>
      <c r="I3130" t="s">
        <v>23</v>
      </c>
      <c r="J3130" t="s">
        <v>40</v>
      </c>
      <c r="K3130" s="2" t="s">
        <v>2192</v>
      </c>
      <c r="L3130" t="s">
        <v>26</v>
      </c>
      <c r="M3130">
        <v>358502</v>
      </c>
      <c r="N3130">
        <v>1</v>
      </c>
      <c r="O3130" s="3">
        <v>59950</v>
      </c>
      <c r="P3130" s="3">
        <v>19813</v>
      </c>
      <c r="Q3130" s="5">
        <f t="shared" si="144"/>
        <v>50378.151260504201</v>
      </c>
      <c r="R3130" s="5">
        <f t="shared" si="145"/>
        <v>19813</v>
      </c>
      <c r="S3130" s="5">
        <f t="shared" si="146"/>
        <v>30565.151260504201</v>
      </c>
    </row>
    <row r="3131" spans="1:19" hidden="1" x14ac:dyDescent="0.3">
      <c r="A3131">
        <v>150</v>
      </c>
      <c r="B3131" t="s">
        <v>4361</v>
      </c>
      <c r="C3131" t="s">
        <v>3294</v>
      </c>
      <c r="D3131" s="2" t="s">
        <v>3295</v>
      </c>
      <c r="E3131" t="s">
        <v>3296</v>
      </c>
      <c r="F3131" t="s">
        <v>377</v>
      </c>
      <c r="G3131" t="s">
        <v>21</v>
      </c>
      <c r="H3131" t="s">
        <v>378</v>
      </c>
      <c r="I3131" t="s">
        <v>23</v>
      </c>
      <c r="J3131" t="s">
        <v>3297</v>
      </c>
      <c r="K3131" s="2" t="s">
        <v>2192</v>
      </c>
      <c r="L3131" t="s">
        <v>26</v>
      </c>
      <c r="M3131">
        <v>358503</v>
      </c>
      <c r="N3131">
        <v>1</v>
      </c>
      <c r="O3131">
        <v>500</v>
      </c>
      <c r="P3131">
        <v>358</v>
      </c>
      <c r="Q3131" s="5">
        <f t="shared" si="144"/>
        <v>420.1680672268908</v>
      </c>
      <c r="R3131" s="5">
        <f t="shared" si="145"/>
        <v>358</v>
      </c>
      <c r="S3131" s="5">
        <f t="shared" si="146"/>
        <v>62.168067226890798</v>
      </c>
    </row>
    <row r="3132" spans="1:19" hidden="1" x14ac:dyDescent="0.3">
      <c r="A3132">
        <v>150</v>
      </c>
      <c r="B3132" t="s">
        <v>4361</v>
      </c>
      <c r="C3132" t="s">
        <v>4133</v>
      </c>
      <c r="D3132" s="2" t="s">
        <v>4134</v>
      </c>
      <c r="E3132" t="s">
        <v>2800</v>
      </c>
      <c r="F3132" t="s">
        <v>20</v>
      </c>
      <c r="G3132" t="s">
        <v>21</v>
      </c>
      <c r="H3132" t="s">
        <v>600</v>
      </c>
      <c r="I3132" t="s">
        <v>23</v>
      </c>
      <c r="J3132" t="s">
        <v>40</v>
      </c>
      <c r="K3132" s="2" t="s">
        <v>2192</v>
      </c>
      <c r="L3132" t="s">
        <v>26</v>
      </c>
      <c r="M3132">
        <v>358504</v>
      </c>
      <c r="N3132">
        <v>1</v>
      </c>
      <c r="O3132" s="3">
        <v>49990</v>
      </c>
      <c r="P3132" s="3">
        <v>21327</v>
      </c>
      <c r="Q3132" s="5">
        <f t="shared" si="144"/>
        <v>42008.403361344543</v>
      </c>
      <c r="R3132" s="5">
        <f t="shared" si="145"/>
        <v>21327</v>
      </c>
      <c r="S3132" s="5">
        <f t="shared" si="146"/>
        <v>20681.403361344543</v>
      </c>
    </row>
    <row r="3133" spans="1:19" hidden="1" x14ac:dyDescent="0.3">
      <c r="A3133">
        <v>150</v>
      </c>
      <c r="B3133" t="s">
        <v>4361</v>
      </c>
      <c r="C3133" t="s">
        <v>4039</v>
      </c>
      <c r="D3133" s="2" t="s">
        <v>4040</v>
      </c>
      <c r="E3133" t="s">
        <v>266</v>
      </c>
      <c r="F3133" t="s">
        <v>20</v>
      </c>
      <c r="G3133" t="s">
        <v>21</v>
      </c>
      <c r="H3133" t="s">
        <v>267</v>
      </c>
      <c r="I3133" t="s">
        <v>23</v>
      </c>
      <c r="J3133" t="s">
        <v>49</v>
      </c>
      <c r="K3133" s="2" t="s">
        <v>2192</v>
      </c>
      <c r="L3133" t="s">
        <v>26</v>
      </c>
      <c r="M3133">
        <v>358505</v>
      </c>
      <c r="N3133">
        <v>1</v>
      </c>
      <c r="O3133" s="3">
        <v>64950</v>
      </c>
      <c r="P3133" s="3">
        <v>24504</v>
      </c>
      <c r="Q3133" s="5">
        <f t="shared" si="144"/>
        <v>54579.831932773115</v>
      </c>
      <c r="R3133" s="5">
        <f t="shared" si="145"/>
        <v>24504</v>
      </c>
      <c r="S3133" s="5">
        <f t="shared" si="146"/>
        <v>30075.831932773115</v>
      </c>
    </row>
    <row r="3134" spans="1:19" hidden="1" x14ac:dyDescent="0.3">
      <c r="A3134">
        <v>150</v>
      </c>
      <c r="B3134" t="s">
        <v>4361</v>
      </c>
      <c r="C3134" t="s">
        <v>4807</v>
      </c>
      <c r="D3134" s="2" t="s">
        <v>4808</v>
      </c>
      <c r="E3134" t="s">
        <v>3531</v>
      </c>
      <c r="F3134" t="s">
        <v>20</v>
      </c>
      <c r="G3134" t="s">
        <v>338</v>
      </c>
      <c r="H3134">
        <v>84316</v>
      </c>
      <c r="I3134" t="s">
        <v>23</v>
      </c>
      <c r="J3134" t="s">
        <v>49</v>
      </c>
      <c r="K3134" s="2" t="s">
        <v>2192</v>
      </c>
      <c r="L3134" t="s">
        <v>26</v>
      </c>
      <c r="M3134">
        <v>358505</v>
      </c>
      <c r="N3134">
        <v>1</v>
      </c>
      <c r="O3134" s="3">
        <v>89950</v>
      </c>
      <c r="P3134" s="3">
        <v>31128</v>
      </c>
      <c r="Q3134" s="5">
        <f t="shared" si="144"/>
        <v>75588.23529411765</v>
      </c>
      <c r="R3134" s="5">
        <f t="shared" si="145"/>
        <v>31128</v>
      </c>
      <c r="S3134" s="5">
        <f t="shared" si="146"/>
        <v>44460.23529411765</v>
      </c>
    </row>
    <row r="3135" spans="1:19" hidden="1" x14ac:dyDescent="0.3">
      <c r="A3135">
        <v>150</v>
      </c>
      <c r="B3135" t="s">
        <v>4361</v>
      </c>
      <c r="C3135" t="s">
        <v>3294</v>
      </c>
      <c r="D3135" s="2" t="s">
        <v>3295</v>
      </c>
      <c r="E3135" t="s">
        <v>3296</v>
      </c>
      <c r="F3135" t="s">
        <v>377</v>
      </c>
      <c r="G3135" t="s">
        <v>21</v>
      </c>
      <c r="H3135" t="s">
        <v>378</v>
      </c>
      <c r="I3135" t="s">
        <v>23</v>
      </c>
      <c r="J3135" t="s">
        <v>3297</v>
      </c>
      <c r="K3135" s="2" t="s">
        <v>2192</v>
      </c>
      <c r="L3135" t="s">
        <v>26</v>
      </c>
      <c r="M3135">
        <v>358505</v>
      </c>
      <c r="N3135">
        <v>2</v>
      </c>
      <c r="O3135" s="3">
        <v>1000</v>
      </c>
      <c r="P3135">
        <v>358</v>
      </c>
      <c r="Q3135" s="5">
        <f t="shared" si="144"/>
        <v>840.3361344537816</v>
      </c>
      <c r="R3135" s="5">
        <f t="shared" si="145"/>
        <v>716</v>
      </c>
      <c r="S3135" s="5">
        <f t="shared" si="146"/>
        <v>124.3361344537816</v>
      </c>
    </row>
    <row r="3136" spans="1:19" hidden="1" x14ac:dyDescent="0.3">
      <c r="A3136">
        <v>150</v>
      </c>
      <c r="B3136" t="s">
        <v>4361</v>
      </c>
      <c r="C3136" t="s">
        <v>3547</v>
      </c>
      <c r="D3136" s="2" t="s">
        <v>3548</v>
      </c>
      <c r="E3136" t="s">
        <v>3549</v>
      </c>
      <c r="F3136" t="s">
        <v>377</v>
      </c>
      <c r="G3136" t="s">
        <v>21</v>
      </c>
      <c r="H3136" t="s">
        <v>378</v>
      </c>
      <c r="I3136" t="s">
        <v>23</v>
      </c>
      <c r="J3136" t="s">
        <v>379</v>
      </c>
      <c r="K3136" s="2" t="s">
        <v>2192</v>
      </c>
      <c r="L3136" t="s">
        <v>26</v>
      </c>
      <c r="M3136">
        <v>358505</v>
      </c>
      <c r="N3136">
        <v>1</v>
      </c>
      <c r="O3136" s="3">
        <v>5950</v>
      </c>
      <c r="P3136" s="3">
        <v>3184</v>
      </c>
      <c r="Q3136" s="5">
        <f t="shared" si="144"/>
        <v>5000</v>
      </c>
      <c r="R3136" s="5">
        <f t="shared" si="145"/>
        <v>3184</v>
      </c>
      <c r="S3136" s="5">
        <f t="shared" si="146"/>
        <v>1816</v>
      </c>
    </row>
    <row r="3137" spans="1:19" hidden="1" x14ac:dyDescent="0.3">
      <c r="A3137">
        <v>170</v>
      </c>
      <c r="B3137" t="s">
        <v>4809</v>
      </c>
      <c r="C3137" t="s">
        <v>4810</v>
      </c>
      <c r="D3137" s="2" t="s">
        <v>4811</v>
      </c>
      <c r="E3137" t="s">
        <v>4077</v>
      </c>
      <c r="F3137" t="s">
        <v>20</v>
      </c>
      <c r="G3137" t="s">
        <v>338</v>
      </c>
      <c r="H3137">
        <v>84316</v>
      </c>
      <c r="I3137" t="s">
        <v>23</v>
      </c>
      <c r="J3137" t="s">
        <v>49</v>
      </c>
      <c r="K3137" s="2" t="s">
        <v>25</v>
      </c>
      <c r="L3137" t="s">
        <v>2249</v>
      </c>
      <c r="M3137">
        <v>25318</v>
      </c>
      <c r="N3137">
        <v>-1</v>
      </c>
      <c r="O3137" s="3">
        <v>-89950</v>
      </c>
      <c r="P3137" s="3">
        <v>31128</v>
      </c>
      <c r="Q3137" s="5">
        <f t="shared" si="144"/>
        <v>-75588.23529411765</v>
      </c>
      <c r="R3137" s="5">
        <f t="shared" si="145"/>
        <v>-31128</v>
      </c>
      <c r="S3137" s="5">
        <f t="shared" si="146"/>
        <v>-44460.23529411765</v>
      </c>
    </row>
    <row r="3138" spans="1:19" hidden="1" x14ac:dyDescent="0.3">
      <c r="A3138">
        <v>170</v>
      </c>
      <c r="B3138" t="s">
        <v>4809</v>
      </c>
      <c r="C3138" t="s">
        <v>4812</v>
      </c>
      <c r="D3138" s="2" t="s">
        <v>4813</v>
      </c>
      <c r="E3138" t="s">
        <v>2549</v>
      </c>
      <c r="F3138" t="s">
        <v>20</v>
      </c>
      <c r="G3138" t="s">
        <v>338</v>
      </c>
      <c r="H3138">
        <v>23755</v>
      </c>
      <c r="I3138" t="s">
        <v>23</v>
      </c>
      <c r="J3138" t="s">
        <v>40</v>
      </c>
      <c r="K3138" s="2" t="s">
        <v>25</v>
      </c>
      <c r="L3138" t="s">
        <v>26</v>
      </c>
      <c r="M3138">
        <v>336272</v>
      </c>
      <c r="N3138">
        <v>1</v>
      </c>
      <c r="O3138" s="3">
        <v>74950</v>
      </c>
      <c r="P3138" s="3">
        <v>24718</v>
      </c>
      <c r="Q3138" s="5">
        <f t="shared" si="144"/>
        <v>62983.193277310929</v>
      </c>
      <c r="R3138" s="5">
        <f t="shared" si="145"/>
        <v>24718</v>
      </c>
      <c r="S3138" s="5">
        <f t="shared" si="146"/>
        <v>38265.193277310929</v>
      </c>
    </row>
    <row r="3139" spans="1:19" hidden="1" x14ac:dyDescent="0.3">
      <c r="A3139">
        <v>170</v>
      </c>
      <c r="B3139" t="s">
        <v>4809</v>
      </c>
      <c r="C3139" t="s">
        <v>2754</v>
      </c>
      <c r="D3139" s="2" t="s">
        <v>2755</v>
      </c>
      <c r="E3139" t="s">
        <v>506</v>
      </c>
      <c r="F3139" t="s">
        <v>20</v>
      </c>
      <c r="G3139" t="s">
        <v>21</v>
      </c>
      <c r="H3139" t="s">
        <v>357</v>
      </c>
      <c r="I3139" t="s">
        <v>23</v>
      </c>
      <c r="J3139" t="s">
        <v>49</v>
      </c>
      <c r="K3139" s="2" t="s">
        <v>25</v>
      </c>
      <c r="L3139" t="s">
        <v>26</v>
      </c>
      <c r="M3139">
        <v>336273</v>
      </c>
      <c r="N3139">
        <v>1</v>
      </c>
      <c r="O3139" s="3">
        <v>44990</v>
      </c>
      <c r="P3139" s="3">
        <v>26615</v>
      </c>
      <c r="Q3139" s="5">
        <f t="shared" si="144"/>
        <v>37806.722689075636</v>
      </c>
      <c r="R3139" s="5">
        <f t="shared" si="145"/>
        <v>26615</v>
      </c>
      <c r="S3139" s="5">
        <f t="shared" si="146"/>
        <v>11191.722689075636</v>
      </c>
    </row>
    <row r="3140" spans="1:19" hidden="1" x14ac:dyDescent="0.3">
      <c r="A3140">
        <v>170</v>
      </c>
      <c r="B3140" t="s">
        <v>4809</v>
      </c>
      <c r="C3140" t="s">
        <v>4814</v>
      </c>
      <c r="D3140" s="2" t="s">
        <v>4815</v>
      </c>
      <c r="E3140" t="s">
        <v>4346</v>
      </c>
      <c r="F3140" t="s">
        <v>20</v>
      </c>
      <c r="G3140" t="s">
        <v>21</v>
      </c>
      <c r="H3140" t="s">
        <v>1755</v>
      </c>
      <c r="I3140" t="s">
        <v>23</v>
      </c>
      <c r="J3140" t="s">
        <v>35</v>
      </c>
      <c r="K3140" s="2" t="s">
        <v>25</v>
      </c>
      <c r="L3140" t="s">
        <v>26</v>
      </c>
      <c r="M3140">
        <v>336274</v>
      </c>
      <c r="N3140">
        <v>1</v>
      </c>
      <c r="O3140" s="3">
        <v>84950</v>
      </c>
      <c r="P3140" s="3">
        <v>28298</v>
      </c>
      <c r="Q3140" s="5">
        <f t="shared" si="144"/>
        <v>71386.554621848743</v>
      </c>
      <c r="R3140" s="5">
        <f t="shared" si="145"/>
        <v>28298</v>
      </c>
      <c r="S3140" s="5">
        <f t="shared" si="146"/>
        <v>43088.554621848743</v>
      </c>
    </row>
    <row r="3141" spans="1:19" hidden="1" x14ac:dyDescent="0.3">
      <c r="A3141">
        <v>170</v>
      </c>
      <c r="B3141" t="s">
        <v>4809</v>
      </c>
      <c r="C3141" t="s">
        <v>4816</v>
      </c>
      <c r="D3141" s="2" t="s">
        <v>4817</v>
      </c>
      <c r="E3141" t="s">
        <v>957</v>
      </c>
      <c r="F3141" t="s">
        <v>20</v>
      </c>
      <c r="G3141" t="s">
        <v>21</v>
      </c>
      <c r="H3141" t="s">
        <v>958</v>
      </c>
      <c r="I3141" t="s">
        <v>23</v>
      </c>
      <c r="J3141" t="s">
        <v>40</v>
      </c>
      <c r="K3141" s="2" t="s">
        <v>25</v>
      </c>
      <c r="L3141" t="s">
        <v>26</v>
      </c>
      <c r="M3141">
        <v>336274</v>
      </c>
      <c r="N3141">
        <v>-1</v>
      </c>
      <c r="O3141" s="3">
        <v>-39990</v>
      </c>
      <c r="P3141" s="3">
        <v>15744</v>
      </c>
      <c r="Q3141" s="5">
        <f t="shared" si="144"/>
        <v>-33605.042016806721</v>
      </c>
      <c r="R3141" s="5">
        <f t="shared" si="145"/>
        <v>-15744</v>
      </c>
      <c r="S3141" s="5">
        <f t="shared" si="146"/>
        <v>-17861.042016806721</v>
      </c>
    </row>
    <row r="3142" spans="1:19" hidden="1" x14ac:dyDescent="0.3">
      <c r="A3142">
        <v>170</v>
      </c>
      <c r="B3142" t="s">
        <v>4809</v>
      </c>
      <c r="C3142" t="s">
        <v>4818</v>
      </c>
      <c r="D3142" s="2" t="s">
        <v>4819</v>
      </c>
      <c r="E3142" t="s">
        <v>4820</v>
      </c>
      <c r="F3142" t="s">
        <v>20</v>
      </c>
      <c r="G3142" t="s">
        <v>21</v>
      </c>
      <c r="H3142" t="s">
        <v>61</v>
      </c>
      <c r="I3142" t="s">
        <v>23</v>
      </c>
      <c r="J3142" t="s">
        <v>40</v>
      </c>
      <c r="K3142" s="2" t="s">
        <v>25</v>
      </c>
      <c r="L3142" t="s">
        <v>26</v>
      </c>
      <c r="M3142">
        <v>336275</v>
      </c>
      <c r="N3142">
        <v>-1</v>
      </c>
      <c r="O3142" s="3">
        <v>-39990</v>
      </c>
      <c r="P3142" s="3">
        <v>24534</v>
      </c>
      <c r="Q3142" s="5">
        <f t="shared" ref="Q3142:Q3205" si="147">O3142/1.19</f>
        <v>-33605.042016806721</v>
      </c>
      <c r="R3142" s="5">
        <f t="shared" ref="R3142:R3205" si="148">N3142*P3142</f>
        <v>-24534</v>
      </c>
      <c r="S3142" s="5">
        <f t="shared" ref="S3142:S3205" si="149">Q3142-R3142</f>
        <v>-9071.0420168067212</v>
      </c>
    </row>
    <row r="3143" spans="1:19" hidden="1" x14ac:dyDescent="0.3">
      <c r="A3143">
        <v>170</v>
      </c>
      <c r="B3143" t="s">
        <v>4809</v>
      </c>
      <c r="C3143" t="s">
        <v>4821</v>
      </c>
      <c r="D3143" s="2" t="s">
        <v>4822</v>
      </c>
      <c r="E3143" t="s">
        <v>4820</v>
      </c>
      <c r="F3143" t="s">
        <v>20</v>
      </c>
      <c r="G3143" t="s">
        <v>21</v>
      </c>
      <c r="H3143" t="s">
        <v>61</v>
      </c>
      <c r="I3143" t="s">
        <v>23</v>
      </c>
      <c r="J3143" t="s">
        <v>40</v>
      </c>
      <c r="K3143" s="2" t="s">
        <v>25</v>
      </c>
      <c r="L3143" t="s">
        <v>26</v>
      </c>
      <c r="M3143">
        <v>336275</v>
      </c>
      <c r="N3143">
        <v>1</v>
      </c>
      <c r="O3143" s="3">
        <v>39991</v>
      </c>
      <c r="P3143" s="3">
        <v>25181</v>
      </c>
      <c r="Q3143" s="5">
        <f t="shared" si="147"/>
        <v>33605.882352941175</v>
      </c>
      <c r="R3143" s="5">
        <f t="shared" si="148"/>
        <v>25181</v>
      </c>
      <c r="S3143" s="5">
        <f t="shared" si="149"/>
        <v>8424.8823529411748</v>
      </c>
    </row>
    <row r="3144" spans="1:19" hidden="1" x14ac:dyDescent="0.3">
      <c r="A3144">
        <v>170</v>
      </c>
      <c r="B3144" t="s">
        <v>4809</v>
      </c>
      <c r="C3144" t="s">
        <v>3775</v>
      </c>
      <c r="D3144" s="2" t="s">
        <v>3776</v>
      </c>
      <c r="E3144" t="s">
        <v>3777</v>
      </c>
      <c r="F3144" t="s">
        <v>20</v>
      </c>
      <c r="G3144" t="s">
        <v>21</v>
      </c>
      <c r="H3144" t="s">
        <v>794</v>
      </c>
      <c r="I3144" t="s">
        <v>23</v>
      </c>
      <c r="J3144" t="s">
        <v>40</v>
      </c>
      <c r="K3144" s="2" t="s">
        <v>25</v>
      </c>
      <c r="L3144" t="s">
        <v>26</v>
      </c>
      <c r="M3144">
        <v>336276</v>
      </c>
      <c r="N3144">
        <v>1</v>
      </c>
      <c r="O3144" s="3">
        <v>49991</v>
      </c>
      <c r="P3144" s="3">
        <v>21475</v>
      </c>
      <c r="Q3144" s="5">
        <f t="shared" si="147"/>
        <v>42009.243697478996</v>
      </c>
      <c r="R3144" s="5">
        <f t="shared" si="148"/>
        <v>21475</v>
      </c>
      <c r="S3144" s="5">
        <f t="shared" si="149"/>
        <v>20534.243697478996</v>
      </c>
    </row>
    <row r="3145" spans="1:19" hidden="1" x14ac:dyDescent="0.3">
      <c r="A3145">
        <v>170</v>
      </c>
      <c r="B3145" t="s">
        <v>4809</v>
      </c>
      <c r="C3145" t="s">
        <v>4823</v>
      </c>
      <c r="D3145" s="2" t="s">
        <v>4824</v>
      </c>
      <c r="E3145" t="s">
        <v>793</v>
      </c>
      <c r="F3145" t="s">
        <v>20</v>
      </c>
      <c r="G3145" t="s">
        <v>21</v>
      </c>
      <c r="H3145" t="s">
        <v>794</v>
      </c>
      <c r="I3145" t="s">
        <v>23</v>
      </c>
      <c r="J3145" t="s">
        <v>40</v>
      </c>
      <c r="K3145" s="2" t="s">
        <v>25</v>
      </c>
      <c r="L3145" t="s">
        <v>26</v>
      </c>
      <c r="M3145">
        <v>336276</v>
      </c>
      <c r="N3145">
        <v>-1</v>
      </c>
      <c r="O3145" s="3">
        <v>-49990</v>
      </c>
      <c r="P3145" s="3">
        <v>21475</v>
      </c>
      <c r="Q3145" s="5">
        <f t="shared" si="147"/>
        <v>-42008.403361344543</v>
      </c>
      <c r="R3145" s="5">
        <f t="shared" si="148"/>
        <v>-21475</v>
      </c>
      <c r="S3145" s="5">
        <f t="shared" si="149"/>
        <v>-20533.403361344543</v>
      </c>
    </row>
    <row r="3146" spans="1:19" hidden="1" x14ac:dyDescent="0.3">
      <c r="A3146">
        <v>170</v>
      </c>
      <c r="B3146" t="s">
        <v>4809</v>
      </c>
      <c r="C3146" t="s">
        <v>4825</v>
      </c>
      <c r="D3146" s="2" t="s">
        <v>4826</v>
      </c>
      <c r="E3146" t="s">
        <v>4827</v>
      </c>
      <c r="F3146" t="s">
        <v>20</v>
      </c>
      <c r="G3146" t="s">
        <v>21</v>
      </c>
      <c r="H3146" t="s">
        <v>272</v>
      </c>
      <c r="I3146" t="s">
        <v>23</v>
      </c>
      <c r="J3146" t="s">
        <v>40</v>
      </c>
      <c r="K3146" s="2" t="s">
        <v>25</v>
      </c>
      <c r="L3146" t="s">
        <v>26</v>
      </c>
      <c r="M3146">
        <v>336277</v>
      </c>
      <c r="N3146">
        <v>1</v>
      </c>
      <c r="O3146" s="3">
        <v>39990</v>
      </c>
      <c r="P3146" s="3">
        <v>24394</v>
      </c>
      <c r="Q3146" s="5">
        <f t="shared" si="147"/>
        <v>33605.042016806721</v>
      </c>
      <c r="R3146" s="5">
        <f t="shared" si="148"/>
        <v>24394</v>
      </c>
      <c r="S3146" s="5">
        <f t="shared" si="149"/>
        <v>9211.0420168067212</v>
      </c>
    </row>
    <row r="3147" spans="1:19" hidden="1" x14ac:dyDescent="0.3">
      <c r="A3147">
        <v>170</v>
      </c>
      <c r="B3147" t="s">
        <v>4809</v>
      </c>
      <c r="C3147">
        <v>1687976791</v>
      </c>
      <c r="D3147" s="2" t="s">
        <v>200</v>
      </c>
      <c r="E3147" t="s">
        <v>201</v>
      </c>
      <c r="F3147" t="s">
        <v>201</v>
      </c>
      <c r="G3147" t="s">
        <v>202</v>
      </c>
      <c r="H3147" t="s">
        <v>202</v>
      </c>
      <c r="I3147" t="s">
        <v>23</v>
      </c>
      <c r="J3147" t="s">
        <v>202</v>
      </c>
      <c r="K3147" s="2" t="s">
        <v>25</v>
      </c>
      <c r="L3147" t="s">
        <v>26</v>
      </c>
      <c r="M3147">
        <v>336277</v>
      </c>
      <c r="N3147">
        <v>1</v>
      </c>
      <c r="O3147" s="3">
        <v>3200</v>
      </c>
      <c r="P3147">
        <v>1</v>
      </c>
      <c r="Q3147" s="5">
        <f t="shared" si="147"/>
        <v>2689.0756302521008</v>
      </c>
      <c r="R3147" s="5">
        <f t="shared" si="148"/>
        <v>1</v>
      </c>
      <c r="S3147" s="5">
        <f t="shared" si="149"/>
        <v>2688.0756302521008</v>
      </c>
    </row>
    <row r="3148" spans="1:19" hidden="1" x14ac:dyDescent="0.3">
      <c r="A3148">
        <v>170</v>
      </c>
      <c r="B3148" t="s">
        <v>4809</v>
      </c>
      <c r="C3148" t="s">
        <v>4828</v>
      </c>
      <c r="D3148" s="2" t="s">
        <v>4829</v>
      </c>
      <c r="E3148" t="s">
        <v>4830</v>
      </c>
      <c r="F3148" t="s">
        <v>20</v>
      </c>
      <c r="G3148" t="s">
        <v>338</v>
      </c>
      <c r="H3148">
        <v>24239</v>
      </c>
      <c r="I3148" t="s">
        <v>23</v>
      </c>
      <c r="J3148" t="s">
        <v>95</v>
      </c>
      <c r="K3148" s="2" t="s">
        <v>25</v>
      </c>
      <c r="L3148" t="s">
        <v>26</v>
      </c>
      <c r="M3148">
        <v>336278</v>
      </c>
      <c r="N3148">
        <v>1</v>
      </c>
      <c r="O3148" s="3">
        <v>59950</v>
      </c>
      <c r="P3148" s="3">
        <v>18677</v>
      </c>
      <c r="Q3148" s="5">
        <f t="shared" si="147"/>
        <v>50378.151260504201</v>
      </c>
      <c r="R3148" s="5">
        <f t="shared" si="148"/>
        <v>18677</v>
      </c>
      <c r="S3148" s="5">
        <f t="shared" si="149"/>
        <v>31701.151260504201</v>
      </c>
    </row>
    <row r="3149" spans="1:19" hidden="1" x14ac:dyDescent="0.3">
      <c r="A3149">
        <v>170</v>
      </c>
      <c r="B3149" t="s">
        <v>4809</v>
      </c>
      <c r="C3149" t="s">
        <v>3075</v>
      </c>
      <c r="D3149" s="2" t="s">
        <v>3076</v>
      </c>
      <c r="E3149" t="s">
        <v>2433</v>
      </c>
      <c r="F3149" t="s">
        <v>20</v>
      </c>
      <c r="G3149" t="s">
        <v>338</v>
      </c>
      <c r="H3149">
        <v>24722</v>
      </c>
      <c r="I3149" t="s">
        <v>23</v>
      </c>
      <c r="J3149" t="s">
        <v>95</v>
      </c>
      <c r="K3149" s="2" t="s">
        <v>25</v>
      </c>
      <c r="L3149" t="s">
        <v>26</v>
      </c>
      <c r="M3149">
        <v>336278</v>
      </c>
      <c r="N3149">
        <v>1</v>
      </c>
      <c r="O3149" s="3">
        <v>76450</v>
      </c>
      <c r="P3149" s="3">
        <v>30987</v>
      </c>
      <c r="Q3149" s="5">
        <f t="shared" si="147"/>
        <v>64243.697478991598</v>
      </c>
      <c r="R3149" s="5">
        <f t="shared" si="148"/>
        <v>30987</v>
      </c>
      <c r="S3149" s="5">
        <f t="shared" si="149"/>
        <v>33256.697478991598</v>
      </c>
    </row>
    <row r="3150" spans="1:19" hidden="1" x14ac:dyDescent="0.3">
      <c r="A3150">
        <v>170</v>
      </c>
      <c r="B3150" t="s">
        <v>4809</v>
      </c>
      <c r="C3150" t="s">
        <v>4831</v>
      </c>
      <c r="D3150" s="2" t="s">
        <v>4832</v>
      </c>
      <c r="E3150" t="s">
        <v>3122</v>
      </c>
      <c r="F3150" t="s">
        <v>20</v>
      </c>
      <c r="G3150" t="s">
        <v>21</v>
      </c>
      <c r="H3150" t="s">
        <v>718</v>
      </c>
      <c r="I3150" t="s">
        <v>23</v>
      </c>
      <c r="J3150" t="s">
        <v>49</v>
      </c>
      <c r="K3150" s="2" t="s">
        <v>25</v>
      </c>
      <c r="L3150" t="s">
        <v>26</v>
      </c>
      <c r="M3150">
        <v>336279</v>
      </c>
      <c r="N3150">
        <v>1</v>
      </c>
      <c r="O3150" s="3">
        <v>39990</v>
      </c>
      <c r="P3150" s="3">
        <v>26649</v>
      </c>
      <c r="Q3150" s="5">
        <f t="shared" si="147"/>
        <v>33605.042016806721</v>
      </c>
      <c r="R3150" s="5">
        <f t="shared" si="148"/>
        <v>26649</v>
      </c>
      <c r="S3150" s="5">
        <f t="shared" si="149"/>
        <v>6956.0420168067212</v>
      </c>
    </row>
    <row r="3151" spans="1:19" hidden="1" x14ac:dyDescent="0.3">
      <c r="A3151">
        <v>170</v>
      </c>
      <c r="B3151" t="s">
        <v>4809</v>
      </c>
      <c r="C3151" t="s">
        <v>4833</v>
      </c>
      <c r="D3151" s="2" t="s">
        <v>4834</v>
      </c>
      <c r="E3151" t="s">
        <v>3003</v>
      </c>
      <c r="F3151" t="s">
        <v>20</v>
      </c>
      <c r="G3151" t="s">
        <v>338</v>
      </c>
      <c r="H3151">
        <v>25312</v>
      </c>
      <c r="I3151" t="s">
        <v>23</v>
      </c>
      <c r="J3151" t="s">
        <v>35</v>
      </c>
      <c r="K3151" s="2" t="s">
        <v>25</v>
      </c>
      <c r="L3151" t="s">
        <v>26</v>
      </c>
      <c r="M3151">
        <v>336279</v>
      </c>
      <c r="N3151">
        <v>1</v>
      </c>
      <c r="O3151" s="3">
        <v>59450</v>
      </c>
      <c r="P3151" s="3">
        <v>21167</v>
      </c>
      <c r="Q3151" s="5">
        <f t="shared" si="147"/>
        <v>49957.983193277316</v>
      </c>
      <c r="R3151" s="5">
        <f t="shared" si="148"/>
        <v>21167</v>
      </c>
      <c r="S3151" s="5">
        <f t="shared" si="149"/>
        <v>28790.983193277316</v>
      </c>
    </row>
    <row r="3152" spans="1:19" hidden="1" x14ac:dyDescent="0.3">
      <c r="A3152">
        <v>170</v>
      </c>
      <c r="B3152" t="s">
        <v>4809</v>
      </c>
      <c r="C3152" t="s">
        <v>2534</v>
      </c>
      <c r="D3152" s="2" t="s">
        <v>2535</v>
      </c>
      <c r="E3152" t="s">
        <v>2536</v>
      </c>
      <c r="F3152" t="s">
        <v>20</v>
      </c>
      <c r="G3152" t="s">
        <v>21</v>
      </c>
      <c r="H3152" t="s">
        <v>454</v>
      </c>
      <c r="I3152" t="s">
        <v>23</v>
      </c>
      <c r="J3152" t="s">
        <v>407</v>
      </c>
      <c r="K3152" s="2" t="s">
        <v>25</v>
      </c>
      <c r="L3152" t="s">
        <v>26</v>
      </c>
      <c r="M3152">
        <v>336280</v>
      </c>
      <c r="N3152">
        <v>1</v>
      </c>
      <c r="O3152" s="3">
        <v>39990</v>
      </c>
      <c r="P3152" s="3">
        <v>21038</v>
      </c>
      <c r="Q3152" s="5">
        <f t="shared" si="147"/>
        <v>33605.042016806721</v>
      </c>
      <c r="R3152" s="5">
        <f t="shared" si="148"/>
        <v>21038</v>
      </c>
      <c r="S3152" s="5">
        <f t="shared" si="149"/>
        <v>12567.042016806721</v>
      </c>
    </row>
    <row r="3153" spans="1:19" hidden="1" x14ac:dyDescent="0.3">
      <c r="A3153">
        <v>170</v>
      </c>
      <c r="B3153" t="s">
        <v>4809</v>
      </c>
      <c r="C3153" t="s">
        <v>762</v>
      </c>
      <c r="D3153" s="2" t="s">
        <v>763</v>
      </c>
      <c r="E3153" t="s">
        <v>183</v>
      </c>
      <c r="F3153" t="s">
        <v>20</v>
      </c>
      <c r="G3153" t="s">
        <v>21</v>
      </c>
      <c r="H3153" t="s">
        <v>61</v>
      </c>
      <c r="I3153" t="s">
        <v>23</v>
      </c>
      <c r="J3153" t="s">
        <v>40</v>
      </c>
      <c r="K3153" s="2" t="s">
        <v>25</v>
      </c>
      <c r="L3153" t="s">
        <v>26</v>
      </c>
      <c r="M3153">
        <v>336281</v>
      </c>
      <c r="N3153">
        <v>-1</v>
      </c>
      <c r="O3153" s="3">
        <v>-39990</v>
      </c>
      <c r="P3153" s="3">
        <v>23582</v>
      </c>
      <c r="Q3153" s="5">
        <f t="shared" si="147"/>
        <v>-33605.042016806721</v>
      </c>
      <c r="R3153" s="5">
        <f t="shared" si="148"/>
        <v>-23582</v>
      </c>
      <c r="S3153" s="5">
        <f t="shared" si="149"/>
        <v>-10023.042016806721</v>
      </c>
    </row>
    <row r="3154" spans="1:19" hidden="1" x14ac:dyDescent="0.3">
      <c r="A3154">
        <v>170</v>
      </c>
      <c r="B3154" t="s">
        <v>4809</v>
      </c>
      <c r="C3154" t="s">
        <v>4332</v>
      </c>
      <c r="D3154" s="2" t="s">
        <v>4333</v>
      </c>
      <c r="E3154" t="s">
        <v>3122</v>
      </c>
      <c r="F3154" t="s">
        <v>20</v>
      </c>
      <c r="G3154" t="s">
        <v>21</v>
      </c>
      <c r="H3154" t="s">
        <v>718</v>
      </c>
      <c r="I3154" t="s">
        <v>23</v>
      </c>
      <c r="J3154" t="s">
        <v>49</v>
      </c>
      <c r="K3154" s="2" t="s">
        <v>25</v>
      </c>
      <c r="L3154" t="s">
        <v>26</v>
      </c>
      <c r="M3154">
        <v>336281</v>
      </c>
      <c r="N3154">
        <v>1</v>
      </c>
      <c r="O3154" s="3">
        <v>39991</v>
      </c>
      <c r="P3154" s="3">
        <v>26646</v>
      </c>
      <c r="Q3154" s="5">
        <f t="shared" si="147"/>
        <v>33605.882352941175</v>
      </c>
      <c r="R3154" s="5">
        <f t="shared" si="148"/>
        <v>26646</v>
      </c>
      <c r="S3154" s="5">
        <f t="shared" si="149"/>
        <v>6959.8823529411748</v>
      </c>
    </row>
    <row r="3155" spans="1:19" hidden="1" x14ac:dyDescent="0.3">
      <c r="A3155">
        <v>170</v>
      </c>
      <c r="B3155" t="s">
        <v>4809</v>
      </c>
      <c r="C3155" t="s">
        <v>4835</v>
      </c>
      <c r="D3155" s="2" t="s">
        <v>4836</v>
      </c>
      <c r="E3155" t="s">
        <v>2705</v>
      </c>
      <c r="F3155" t="s">
        <v>20</v>
      </c>
      <c r="G3155" t="s">
        <v>21</v>
      </c>
      <c r="H3155" t="s">
        <v>2593</v>
      </c>
      <c r="I3155" t="s">
        <v>23</v>
      </c>
      <c r="J3155" t="s">
        <v>35</v>
      </c>
      <c r="K3155" s="2" t="s">
        <v>25</v>
      </c>
      <c r="L3155" t="s">
        <v>26</v>
      </c>
      <c r="M3155">
        <v>336282</v>
      </c>
      <c r="N3155">
        <v>1</v>
      </c>
      <c r="O3155" s="3">
        <v>94950</v>
      </c>
      <c r="P3155" s="3">
        <v>34760</v>
      </c>
      <c r="Q3155" s="5">
        <f t="shared" si="147"/>
        <v>79789.915966386558</v>
      </c>
      <c r="R3155" s="5">
        <f t="shared" si="148"/>
        <v>34760</v>
      </c>
      <c r="S3155" s="5">
        <f t="shared" si="149"/>
        <v>45029.915966386558</v>
      </c>
    </row>
    <row r="3156" spans="1:19" hidden="1" x14ac:dyDescent="0.3">
      <c r="A3156">
        <v>170</v>
      </c>
      <c r="B3156" t="s">
        <v>4809</v>
      </c>
      <c r="C3156" t="s">
        <v>4837</v>
      </c>
      <c r="D3156" s="2" t="s">
        <v>4838</v>
      </c>
      <c r="E3156" t="s">
        <v>4839</v>
      </c>
      <c r="F3156" t="s">
        <v>20</v>
      </c>
      <c r="G3156" t="s">
        <v>21</v>
      </c>
      <c r="H3156" t="s">
        <v>1282</v>
      </c>
      <c r="I3156" t="s">
        <v>23</v>
      </c>
      <c r="J3156" t="s">
        <v>40</v>
      </c>
      <c r="K3156" s="2" t="s">
        <v>25</v>
      </c>
      <c r="L3156" t="s">
        <v>26</v>
      </c>
      <c r="M3156">
        <v>336283</v>
      </c>
      <c r="N3156">
        <v>1</v>
      </c>
      <c r="O3156" s="3">
        <v>29990</v>
      </c>
      <c r="P3156" s="3">
        <v>10981</v>
      </c>
      <c r="Q3156" s="5">
        <f t="shared" si="147"/>
        <v>25201.680672268907</v>
      </c>
      <c r="R3156" s="5">
        <f t="shared" si="148"/>
        <v>10981</v>
      </c>
      <c r="S3156" s="5">
        <f t="shared" si="149"/>
        <v>14220.680672268907</v>
      </c>
    </row>
    <row r="3157" spans="1:19" hidden="1" x14ac:dyDescent="0.3">
      <c r="A3157">
        <v>170</v>
      </c>
      <c r="B3157" t="s">
        <v>4809</v>
      </c>
      <c r="C3157" t="s">
        <v>4840</v>
      </c>
      <c r="D3157" s="2" t="s">
        <v>4841</v>
      </c>
      <c r="E3157" t="s">
        <v>1501</v>
      </c>
      <c r="F3157" t="s">
        <v>20</v>
      </c>
      <c r="G3157" t="s">
        <v>21</v>
      </c>
      <c r="H3157" t="s">
        <v>742</v>
      </c>
      <c r="I3157" t="s">
        <v>23</v>
      </c>
      <c r="J3157" t="s">
        <v>40</v>
      </c>
      <c r="K3157" s="2" t="s">
        <v>25</v>
      </c>
      <c r="L3157" t="s">
        <v>26</v>
      </c>
      <c r="M3157">
        <v>336284</v>
      </c>
      <c r="N3157">
        <v>1</v>
      </c>
      <c r="O3157" s="3">
        <v>67950</v>
      </c>
      <c r="P3157" s="3">
        <v>28723</v>
      </c>
      <c r="Q3157" s="5">
        <f t="shared" si="147"/>
        <v>57100.840336134454</v>
      </c>
      <c r="R3157" s="5">
        <f t="shared" si="148"/>
        <v>28723</v>
      </c>
      <c r="S3157" s="5">
        <f t="shared" si="149"/>
        <v>28377.840336134454</v>
      </c>
    </row>
    <row r="3158" spans="1:19" hidden="1" x14ac:dyDescent="0.3">
      <c r="A3158">
        <v>170</v>
      </c>
      <c r="B3158" t="s">
        <v>4809</v>
      </c>
      <c r="C3158" t="s">
        <v>3687</v>
      </c>
      <c r="D3158" s="2" t="s">
        <v>3688</v>
      </c>
      <c r="E3158" t="s">
        <v>2902</v>
      </c>
      <c r="F3158" t="s">
        <v>20</v>
      </c>
      <c r="G3158" t="s">
        <v>21</v>
      </c>
      <c r="H3158" t="s">
        <v>267</v>
      </c>
      <c r="I3158" t="s">
        <v>23</v>
      </c>
      <c r="J3158" t="s">
        <v>49</v>
      </c>
      <c r="K3158" s="2" t="s">
        <v>25</v>
      </c>
      <c r="L3158" t="s">
        <v>26</v>
      </c>
      <c r="M3158">
        <v>336284</v>
      </c>
      <c r="N3158">
        <v>1</v>
      </c>
      <c r="O3158" s="3">
        <v>64950</v>
      </c>
      <c r="P3158" s="3">
        <v>24504</v>
      </c>
      <c r="Q3158" s="5">
        <f t="shared" si="147"/>
        <v>54579.831932773115</v>
      </c>
      <c r="R3158" s="5">
        <f t="shared" si="148"/>
        <v>24504</v>
      </c>
      <c r="S3158" s="5">
        <f t="shared" si="149"/>
        <v>30075.831932773115</v>
      </c>
    </row>
    <row r="3159" spans="1:19" hidden="1" x14ac:dyDescent="0.3">
      <c r="A3159">
        <v>170</v>
      </c>
      <c r="B3159" t="s">
        <v>4809</v>
      </c>
      <c r="C3159" t="s">
        <v>2525</v>
      </c>
      <c r="D3159" s="2" t="s">
        <v>2526</v>
      </c>
      <c r="E3159" t="s">
        <v>2527</v>
      </c>
      <c r="F3159" t="s">
        <v>377</v>
      </c>
      <c r="G3159" t="s">
        <v>21</v>
      </c>
      <c r="H3159" t="s">
        <v>378</v>
      </c>
      <c r="I3159" t="s">
        <v>23</v>
      </c>
      <c r="J3159" t="s">
        <v>2459</v>
      </c>
      <c r="K3159" s="2" t="s">
        <v>25</v>
      </c>
      <c r="L3159" t="s">
        <v>26</v>
      </c>
      <c r="M3159">
        <v>336285</v>
      </c>
      <c r="N3159">
        <v>1</v>
      </c>
      <c r="O3159" s="3">
        <v>6950</v>
      </c>
      <c r="P3159" s="3">
        <v>2964</v>
      </c>
      <c r="Q3159" s="5">
        <f t="shared" si="147"/>
        <v>5840.3361344537816</v>
      </c>
      <c r="R3159" s="5">
        <f t="shared" si="148"/>
        <v>2964</v>
      </c>
      <c r="S3159" s="5">
        <f t="shared" si="149"/>
        <v>2876.3361344537816</v>
      </c>
    </row>
    <row r="3160" spans="1:19" hidden="1" x14ac:dyDescent="0.3">
      <c r="A3160">
        <v>170</v>
      </c>
      <c r="B3160" t="s">
        <v>4809</v>
      </c>
      <c r="C3160" t="s">
        <v>4842</v>
      </c>
      <c r="D3160" s="2" t="s">
        <v>4843</v>
      </c>
      <c r="E3160" t="s">
        <v>3096</v>
      </c>
      <c r="F3160" t="s">
        <v>20</v>
      </c>
      <c r="G3160" t="s">
        <v>21</v>
      </c>
      <c r="H3160" t="s">
        <v>991</v>
      </c>
      <c r="I3160" t="s">
        <v>23</v>
      </c>
      <c r="J3160" t="s">
        <v>49</v>
      </c>
      <c r="K3160" s="2" t="s">
        <v>25</v>
      </c>
      <c r="L3160" t="s">
        <v>26</v>
      </c>
      <c r="M3160">
        <v>336286</v>
      </c>
      <c r="N3160">
        <v>1</v>
      </c>
      <c r="O3160" s="3">
        <v>69950</v>
      </c>
      <c r="P3160" s="3">
        <v>21207</v>
      </c>
      <c r="Q3160" s="5">
        <f t="shared" si="147"/>
        <v>58781.512605042022</v>
      </c>
      <c r="R3160" s="5">
        <f t="shared" si="148"/>
        <v>21207</v>
      </c>
      <c r="S3160" s="5">
        <f t="shared" si="149"/>
        <v>37574.512605042022</v>
      </c>
    </row>
    <row r="3161" spans="1:19" hidden="1" x14ac:dyDescent="0.3">
      <c r="A3161">
        <v>170</v>
      </c>
      <c r="B3161" t="s">
        <v>4809</v>
      </c>
      <c r="C3161" t="s">
        <v>2916</v>
      </c>
      <c r="D3161" s="2" t="s">
        <v>2917</v>
      </c>
      <c r="E3161" t="s">
        <v>2918</v>
      </c>
      <c r="F3161" t="s">
        <v>20</v>
      </c>
      <c r="G3161" t="s">
        <v>21</v>
      </c>
      <c r="H3161" t="s">
        <v>2715</v>
      </c>
      <c r="I3161" t="s">
        <v>23</v>
      </c>
      <c r="J3161" t="s">
        <v>49</v>
      </c>
      <c r="K3161" s="2" t="s">
        <v>25</v>
      </c>
      <c r="L3161" t="s">
        <v>26</v>
      </c>
      <c r="M3161">
        <v>336287</v>
      </c>
      <c r="N3161">
        <v>1</v>
      </c>
      <c r="O3161" s="3">
        <v>74950</v>
      </c>
      <c r="P3161" s="3">
        <v>28266</v>
      </c>
      <c r="Q3161" s="5">
        <f t="shared" si="147"/>
        <v>62983.193277310929</v>
      </c>
      <c r="R3161" s="5">
        <f t="shared" si="148"/>
        <v>28266</v>
      </c>
      <c r="S3161" s="5">
        <f t="shared" si="149"/>
        <v>34717.193277310929</v>
      </c>
    </row>
    <row r="3162" spans="1:19" hidden="1" x14ac:dyDescent="0.3">
      <c r="A3162">
        <v>170</v>
      </c>
      <c r="B3162" t="s">
        <v>4809</v>
      </c>
      <c r="C3162" t="s">
        <v>4844</v>
      </c>
      <c r="D3162" s="2" t="s">
        <v>4845</v>
      </c>
      <c r="E3162" t="s">
        <v>4846</v>
      </c>
      <c r="F3162" t="s">
        <v>20</v>
      </c>
      <c r="G3162" t="s">
        <v>21</v>
      </c>
      <c r="H3162" t="s">
        <v>3128</v>
      </c>
      <c r="I3162" t="s">
        <v>23</v>
      </c>
      <c r="J3162" t="s">
        <v>49</v>
      </c>
      <c r="K3162" s="2" t="s">
        <v>25</v>
      </c>
      <c r="L3162" t="s">
        <v>26</v>
      </c>
      <c r="M3162">
        <v>336288</v>
      </c>
      <c r="N3162">
        <v>1</v>
      </c>
      <c r="O3162" s="3">
        <v>67950</v>
      </c>
      <c r="P3162" s="3">
        <v>29986</v>
      </c>
      <c r="Q3162" s="5">
        <f t="shared" si="147"/>
        <v>57100.840336134454</v>
      </c>
      <c r="R3162" s="5">
        <f t="shared" si="148"/>
        <v>29986</v>
      </c>
      <c r="S3162" s="5">
        <f t="shared" si="149"/>
        <v>27114.840336134454</v>
      </c>
    </row>
    <row r="3163" spans="1:19" hidden="1" x14ac:dyDescent="0.3">
      <c r="A3163">
        <v>170</v>
      </c>
      <c r="B3163" t="s">
        <v>4809</v>
      </c>
      <c r="C3163" t="s">
        <v>4847</v>
      </c>
      <c r="D3163" s="2" t="s">
        <v>4848</v>
      </c>
      <c r="E3163" t="s">
        <v>3380</v>
      </c>
      <c r="F3163" t="s">
        <v>20</v>
      </c>
      <c r="G3163" t="s">
        <v>21</v>
      </c>
      <c r="H3163" t="s">
        <v>1703</v>
      </c>
      <c r="I3163" t="s">
        <v>23</v>
      </c>
      <c r="J3163" t="s">
        <v>49</v>
      </c>
      <c r="K3163" s="2" t="s">
        <v>25</v>
      </c>
      <c r="L3163" t="s">
        <v>26</v>
      </c>
      <c r="M3163">
        <v>336289</v>
      </c>
      <c r="N3163">
        <v>1</v>
      </c>
      <c r="O3163" s="3">
        <v>69950</v>
      </c>
      <c r="P3163" s="3">
        <v>22254</v>
      </c>
      <c r="Q3163" s="5">
        <f t="shared" si="147"/>
        <v>58781.512605042022</v>
      </c>
      <c r="R3163" s="5">
        <f t="shared" si="148"/>
        <v>22254</v>
      </c>
      <c r="S3163" s="5">
        <f t="shared" si="149"/>
        <v>36527.512605042022</v>
      </c>
    </row>
    <row r="3164" spans="1:19" hidden="1" x14ac:dyDescent="0.3">
      <c r="A3164">
        <v>170</v>
      </c>
      <c r="B3164" t="s">
        <v>4809</v>
      </c>
      <c r="C3164" t="s">
        <v>3689</v>
      </c>
      <c r="D3164" s="2" t="s">
        <v>3690</v>
      </c>
      <c r="E3164" t="s">
        <v>3691</v>
      </c>
      <c r="F3164" t="s">
        <v>20</v>
      </c>
      <c r="G3164" t="s">
        <v>338</v>
      </c>
      <c r="H3164">
        <v>23727</v>
      </c>
      <c r="I3164" t="s">
        <v>23</v>
      </c>
      <c r="J3164" t="s">
        <v>40</v>
      </c>
      <c r="K3164" s="2" t="s">
        <v>25</v>
      </c>
      <c r="L3164" t="s">
        <v>26</v>
      </c>
      <c r="M3164">
        <v>336290</v>
      </c>
      <c r="N3164">
        <v>1</v>
      </c>
      <c r="O3164" s="3">
        <v>49990</v>
      </c>
      <c r="P3164" s="3">
        <v>26539</v>
      </c>
      <c r="Q3164" s="5">
        <f t="shared" si="147"/>
        <v>42008.403361344543</v>
      </c>
      <c r="R3164" s="5">
        <f t="shared" si="148"/>
        <v>26539</v>
      </c>
      <c r="S3164" s="5">
        <f t="shared" si="149"/>
        <v>15469.403361344543</v>
      </c>
    </row>
    <row r="3165" spans="1:19" hidden="1" x14ac:dyDescent="0.3">
      <c r="A3165">
        <v>170</v>
      </c>
      <c r="B3165" t="s">
        <v>4809</v>
      </c>
      <c r="C3165" t="s">
        <v>3375</v>
      </c>
      <c r="D3165" s="2" t="s">
        <v>3376</v>
      </c>
      <c r="E3165" t="s">
        <v>3377</v>
      </c>
      <c r="F3165" t="s">
        <v>377</v>
      </c>
      <c r="G3165" t="s">
        <v>21</v>
      </c>
      <c r="H3165" t="s">
        <v>378</v>
      </c>
      <c r="I3165" t="s">
        <v>23</v>
      </c>
      <c r="J3165" t="s">
        <v>379</v>
      </c>
      <c r="K3165" s="2" t="s">
        <v>25</v>
      </c>
      <c r="L3165" t="s">
        <v>26</v>
      </c>
      <c r="M3165">
        <v>336291</v>
      </c>
      <c r="N3165">
        <v>1</v>
      </c>
      <c r="O3165" s="3">
        <v>3950</v>
      </c>
      <c r="P3165" s="3">
        <v>1410</v>
      </c>
      <c r="Q3165" s="5">
        <f t="shared" si="147"/>
        <v>3319.3277310924373</v>
      </c>
      <c r="R3165" s="5">
        <f t="shared" si="148"/>
        <v>1410</v>
      </c>
      <c r="S3165" s="5">
        <f t="shared" si="149"/>
        <v>1909.3277310924373</v>
      </c>
    </row>
    <row r="3166" spans="1:19" hidden="1" x14ac:dyDescent="0.3">
      <c r="A3166">
        <v>170</v>
      </c>
      <c r="B3166" t="s">
        <v>4809</v>
      </c>
      <c r="C3166" t="s">
        <v>2575</v>
      </c>
      <c r="D3166" s="2" t="s">
        <v>2576</v>
      </c>
      <c r="E3166" t="s">
        <v>2577</v>
      </c>
      <c r="F3166" t="s">
        <v>377</v>
      </c>
      <c r="G3166" t="s">
        <v>21</v>
      </c>
      <c r="H3166" t="s">
        <v>378</v>
      </c>
      <c r="I3166" t="s">
        <v>23</v>
      </c>
      <c r="J3166" t="s">
        <v>379</v>
      </c>
      <c r="K3166" s="2" t="s">
        <v>25</v>
      </c>
      <c r="L3166" t="s">
        <v>26</v>
      </c>
      <c r="M3166">
        <v>336291</v>
      </c>
      <c r="N3166">
        <v>1</v>
      </c>
      <c r="O3166" s="3">
        <v>5950</v>
      </c>
      <c r="P3166" s="3">
        <v>3307</v>
      </c>
      <c r="Q3166" s="5">
        <f t="shared" si="147"/>
        <v>5000</v>
      </c>
      <c r="R3166" s="5">
        <f t="shared" si="148"/>
        <v>3307</v>
      </c>
      <c r="S3166" s="5">
        <f t="shared" si="149"/>
        <v>1693</v>
      </c>
    </row>
    <row r="3167" spans="1:19" hidden="1" x14ac:dyDescent="0.3">
      <c r="A3167">
        <v>170</v>
      </c>
      <c r="B3167" t="s">
        <v>4809</v>
      </c>
      <c r="C3167" t="s">
        <v>952</v>
      </c>
      <c r="D3167" s="2" t="s">
        <v>953</v>
      </c>
      <c r="E3167" t="s">
        <v>954</v>
      </c>
      <c r="F3167" t="s">
        <v>20</v>
      </c>
      <c r="G3167" t="s">
        <v>21</v>
      </c>
      <c r="H3167" t="s">
        <v>557</v>
      </c>
      <c r="I3167" t="s">
        <v>23</v>
      </c>
      <c r="J3167" t="s">
        <v>40</v>
      </c>
      <c r="K3167" s="2" t="s">
        <v>25</v>
      </c>
      <c r="L3167" t="s">
        <v>26</v>
      </c>
      <c r="M3167">
        <v>336292</v>
      </c>
      <c r="N3167">
        <v>1</v>
      </c>
      <c r="O3167" s="3">
        <v>79950</v>
      </c>
      <c r="P3167" s="3">
        <v>26779</v>
      </c>
      <c r="Q3167" s="5">
        <f t="shared" si="147"/>
        <v>67184.873949579836</v>
      </c>
      <c r="R3167" s="5">
        <f t="shared" si="148"/>
        <v>26779</v>
      </c>
      <c r="S3167" s="5">
        <f t="shared" si="149"/>
        <v>40405.873949579836</v>
      </c>
    </row>
    <row r="3168" spans="1:19" hidden="1" x14ac:dyDescent="0.3">
      <c r="A3168">
        <v>170</v>
      </c>
      <c r="B3168" t="s">
        <v>4809</v>
      </c>
      <c r="C3168" t="s">
        <v>4849</v>
      </c>
      <c r="D3168" s="2" t="s">
        <v>4850</v>
      </c>
      <c r="E3168" t="s">
        <v>1137</v>
      </c>
      <c r="F3168" t="s">
        <v>20</v>
      </c>
      <c r="G3168" t="s">
        <v>21</v>
      </c>
      <c r="H3168" t="s">
        <v>224</v>
      </c>
      <c r="I3168" t="s">
        <v>23</v>
      </c>
      <c r="J3168" t="s">
        <v>49</v>
      </c>
      <c r="K3168" s="2" t="s">
        <v>268</v>
      </c>
      <c r="L3168" t="s">
        <v>26</v>
      </c>
      <c r="M3168">
        <v>336293</v>
      </c>
      <c r="N3168">
        <v>1</v>
      </c>
      <c r="O3168" s="3">
        <v>44990</v>
      </c>
      <c r="P3168" s="3">
        <v>31498</v>
      </c>
      <c r="Q3168" s="5">
        <f t="shared" si="147"/>
        <v>37806.722689075636</v>
      </c>
      <c r="R3168" s="5">
        <f t="shared" si="148"/>
        <v>31498</v>
      </c>
      <c r="S3168" s="5">
        <f t="shared" si="149"/>
        <v>6308.7226890756356</v>
      </c>
    </row>
    <row r="3169" spans="1:19" hidden="1" x14ac:dyDescent="0.3">
      <c r="A3169">
        <v>170</v>
      </c>
      <c r="B3169" t="s">
        <v>4809</v>
      </c>
      <c r="C3169" t="s">
        <v>3375</v>
      </c>
      <c r="D3169" s="2" t="s">
        <v>3376</v>
      </c>
      <c r="E3169" t="s">
        <v>3377</v>
      </c>
      <c r="F3169" t="s">
        <v>377</v>
      </c>
      <c r="G3169" t="s">
        <v>21</v>
      </c>
      <c r="H3169" t="s">
        <v>378</v>
      </c>
      <c r="I3169" t="s">
        <v>23</v>
      </c>
      <c r="J3169" t="s">
        <v>379</v>
      </c>
      <c r="K3169" s="2" t="s">
        <v>268</v>
      </c>
      <c r="L3169" t="s">
        <v>26</v>
      </c>
      <c r="M3169">
        <v>336293</v>
      </c>
      <c r="N3169">
        <v>1</v>
      </c>
      <c r="O3169" s="3">
        <v>3950</v>
      </c>
      <c r="P3169" s="3">
        <v>1410</v>
      </c>
      <c r="Q3169" s="5">
        <f t="shared" si="147"/>
        <v>3319.3277310924373</v>
      </c>
      <c r="R3169" s="5">
        <f t="shared" si="148"/>
        <v>1410</v>
      </c>
      <c r="S3169" s="5">
        <f t="shared" si="149"/>
        <v>1909.3277310924373</v>
      </c>
    </row>
    <row r="3170" spans="1:19" hidden="1" x14ac:dyDescent="0.3">
      <c r="A3170">
        <v>170</v>
      </c>
      <c r="B3170" t="s">
        <v>4809</v>
      </c>
      <c r="C3170" t="s">
        <v>2716</v>
      </c>
      <c r="D3170" s="2" t="s">
        <v>2717</v>
      </c>
      <c r="E3170" t="s">
        <v>2718</v>
      </c>
      <c r="F3170" t="s">
        <v>20</v>
      </c>
      <c r="G3170" t="s">
        <v>21</v>
      </c>
      <c r="H3170" t="s">
        <v>1887</v>
      </c>
      <c r="I3170" t="s">
        <v>23</v>
      </c>
      <c r="J3170" t="s">
        <v>40</v>
      </c>
      <c r="K3170" s="2" t="s">
        <v>268</v>
      </c>
      <c r="L3170" t="s">
        <v>26</v>
      </c>
      <c r="M3170">
        <v>336294</v>
      </c>
      <c r="N3170">
        <v>1</v>
      </c>
      <c r="O3170" s="3">
        <v>69950</v>
      </c>
      <c r="P3170" s="3">
        <v>22018</v>
      </c>
      <c r="Q3170" s="5">
        <f t="shared" si="147"/>
        <v>58781.512605042022</v>
      </c>
      <c r="R3170" s="5">
        <f t="shared" si="148"/>
        <v>22018</v>
      </c>
      <c r="S3170" s="5">
        <f t="shared" si="149"/>
        <v>36763.512605042022</v>
      </c>
    </row>
    <row r="3171" spans="1:19" hidden="1" x14ac:dyDescent="0.3">
      <c r="A3171">
        <v>170</v>
      </c>
      <c r="B3171" t="s">
        <v>4809</v>
      </c>
      <c r="C3171" t="s">
        <v>292</v>
      </c>
      <c r="D3171" s="2" t="s">
        <v>293</v>
      </c>
      <c r="E3171" t="s">
        <v>294</v>
      </c>
      <c r="F3171" t="s">
        <v>20</v>
      </c>
      <c r="G3171" t="s">
        <v>21</v>
      </c>
      <c r="H3171" t="s">
        <v>295</v>
      </c>
      <c r="I3171" t="s">
        <v>23</v>
      </c>
      <c r="J3171" t="s">
        <v>40</v>
      </c>
      <c r="K3171" s="2" t="s">
        <v>268</v>
      </c>
      <c r="L3171" t="s">
        <v>26</v>
      </c>
      <c r="M3171">
        <v>336295</v>
      </c>
      <c r="N3171">
        <v>1</v>
      </c>
      <c r="O3171" s="3">
        <v>79950</v>
      </c>
      <c r="P3171" s="3">
        <v>26951</v>
      </c>
      <c r="Q3171" s="5">
        <f t="shared" si="147"/>
        <v>67184.873949579836</v>
      </c>
      <c r="R3171" s="5">
        <f t="shared" si="148"/>
        <v>26951</v>
      </c>
      <c r="S3171" s="5">
        <f t="shared" si="149"/>
        <v>40233.873949579836</v>
      </c>
    </row>
    <row r="3172" spans="1:19" hidden="1" x14ac:dyDescent="0.3">
      <c r="A3172">
        <v>170</v>
      </c>
      <c r="B3172" t="s">
        <v>4809</v>
      </c>
      <c r="C3172" t="s">
        <v>4842</v>
      </c>
      <c r="D3172" s="2" t="s">
        <v>4843</v>
      </c>
      <c r="E3172" t="s">
        <v>3096</v>
      </c>
      <c r="F3172" t="s">
        <v>20</v>
      </c>
      <c r="G3172" t="s">
        <v>21</v>
      </c>
      <c r="H3172" t="s">
        <v>991</v>
      </c>
      <c r="I3172" t="s">
        <v>23</v>
      </c>
      <c r="J3172" t="s">
        <v>49</v>
      </c>
      <c r="K3172" s="2" t="s">
        <v>268</v>
      </c>
      <c r="L3172" t="s">
        <v>26</v>
      </c>
      <c r="M3172">
        <v>336295</v>
      </c>
      <c r="N3172">
        <v>-1</v>
      </c>
      <c r="O3172" s="3">
        <v>-69950</v>
      </c>
      <c r="P3172" s="3">
        <v>21207</v>
      </c>
      <c r="Q3172" s="5">
        <f t="shared" si="147"/>
        <v>-58781.512605042022</v>
      </c>
      <c r="R3172" s="5">
        <f t="shared" si="148"/>
        <v>-21207</v>
      </c>
      <c r="S3172" s="5">
        <f t="shared" si="149"/>
        <v>-37574.512605042022</v>
      </c>
    </row>
    <row r="3173" spans="1:19" hidden="1" x14ac:dyDescent="0.3">
      <c r="A3173">
        <v>170</v>
      </c>
      <c r="B3173" t="s">
        <v>4809</v>
      </c>
      <c r="C3173" t="s">
        <v>2903</v>
      </c>
      <c r="D3173" s="2" t="s">
        <v>2904</v>
      </c>
      <c r="E3173" t="s">
        <v>2905</v>
      </c>
      <c r="F3173" t="s">
        <v>20</v>
      </c>
      <c r="G3173" t="s">
        <v>21</v>
      </c>
      <c r="H3173" t="s">
        <v>272</v>
      </c>
      <c r="I3173" t="s">
        <v>23</v>
      </c>
      <c r="J3173" t="s">
        <v>35</v>
      </c>
      <c r="K3173" s="2" t="s">
        <v>268</v>
      </c>
      <c r="L3173" t="s">
        <v>26</v>
      </c>
      <c r="M3173">
        <v>336296</v>
      </c>
      <c r="N3173">
        <v>1</v>
      </c>
      <c r="O3173" s="3">
        <v>79950</v>
      </c>
      <c r="P3173" s="3">
        <v>27771</v>
      </c>
      <c r="Q3173" s="5">
        <f t="shared" si="147"/>
        <v>67184.873949579836</v>
      </c>
      <c r="R3173" s="5">
        <f t="shared" si="148"/>
        <v>27771</v>
      </c>
      <c r="S3173" s="5">
        <f t="shared" si="149"/>
        <v>39413.873949579836</v>
      </c>
    </row>
    <row r="3174" spans="1:19" hidden="1" x14ac:dyDescent="0.3">
      <c r="A3174">
        <v>170</v>
      </c>
      <c r="B3174" t="s">
        <v>4809</v>
      </c>
      <c r="C3174" t="s">
        <v>2884</v>
      </c>
      <c r="D3174" s="2" t="s">
        <v>2885</v>
      </c>
      <c r="E3174" t="s">
        <v>1330</v>
      </c>
      <c r="F3174" t="s">
        <v>20</v>
      </c>
      <c r="G3174" t="s">
        <v>338</v>
      </c>
      <c r="H3174">
        <v>25133</v>
      </c>
      <c r="I3174" t="s">
        <v>23</v>
      </c>
      <c r="J3174" t="s">
        <v>35</v>
      </c>
      <c r="K3174" s="2" t="s">
        <v>268</v>
      </c>
      <c r="L3174" t="s">
        <v>26</v>
      </c>
      <c r="M3174">
        <v>336297</v>
      </c>
      <c r="N3174">
        <v>1</v>
      </c>
      <c r="O3174" s="3">
        <v>74950</v>
      </c>
      <c r="P3174" s="3">
        <v>21167</v>
      </c>
      <c r="Q3174" s="5">
        <f t="shared" si="147"/>
        <v>62983.193277310929</v>
      </c>
      <c r="R3174" s="5">
        <f t="shared" si="148"/>
        <v>21167</v>
      </c>
      <c r="S3174" s="5">
        <f t="shared" si="149"/>
        <v>41816.193277310929</v>
      </c>
    </row>
    <row r="3175" spans="1:19" hidden="1" x14ac:dyDescent="0.3">
      <c r="A3175">
        <v>170</v>
      </c>
      <c r="B3175" t="s">
        <v>4809</v>
      </c>
      <c r="C3175" t="s">
        <v>4851</v>
      </c>
      <c r="D3175" s="2" t="s">
        <v>4852</v>
      </c>
      <c r="E3175" t="s">
        <v>1428</v>
      </c>
      <c r="F3175" t="s">
        <v>20</v>
      </c>
      <c r="G3175" t="s">
        <v>21</v>
      </c>
      <c r="H3175" t="s">
        <v>57</v>
      </c>
      <c r="I3175" t="s">
        <v>23</v>
      </c>
      <c r="J3175" t="s">
        <v>35</v>
      </c>
      <c r="K3175" s="2" t="s">
        <v>268</v>
      </c>
      <c r="L3175" t="s">
        <v>26</v>
      </c>
      <c r="M3175">
        <v>336297</v>
      </c>
      <c r="N3175">
        <v>1</v>
      </c>
      <c r="O3175" s="3">
        <v>76450</v>
      </c>
      <c r="P3175" s="3">
        <v>31879</v>
      </c>
      <c r="Q3175" s="5">
        <f t="shared" si="147"/>
        <v>64243.697478991598</v>
      </c>
      <c r="R3175" s="5">
        <f t="shared" si="148"/>
        <v>31879</v>
      </c>
      <c r="S3175" s="5">
        <f t="shared" si="149"/>
        <v>32364.697478991598</v>
      </c>
    </row>
    <row r="3176" spans="1:19" hidden="1" x14ac:dyDescent="0.3">
      <c r="A3176">
        <v>170</v>
      </c>
      <c r="B3176" t="s">
        <v>4809</v>
      </c>
      <c r="C3176" t="s">
        <v>1789</v>
      </c>
      <c r="D3176" s="2" t="s">
        <v>1790</v>
      </c>
      <c r="E3176" t="s">
        <v>1791</v>
      </c>
      <c r="F3176" t="s">
        <v>20</v>
      </c>
      <c r="G3176" t="s">
        <v>21</v>
      </c>
      <c r="H3176" t="s">
        <v>742</v>
      </c>
      <c r="I3176" t="s">
        <v>23</v>
      </c>
      <c r="J3176" t="s">
        <v>40</v>
      </c>
      <c r="K3176" s="2" t="s">
        <v>268</v>
      </c>
      <c r="L3176" t="s">
        <v>26</v>
      </c>
      <c r="M3176">
        <v>336298</v>
      </c>
      <c r="N3176">
        <v>1</v>
      </c>
      <c r="O3176" s="3">
        <v>79950</v>
      </c>
      <c r="P3176" s="3">
        <v>26517</v>
      </c>
      <c r="Q3176" s="5">
        <f t="shared" si="147"/>
        <v>67184.873949579836</v>
      </c>
      <c r="R3176" s="5">
        <f t="shared" si="148"/>
        <v>26517</v>
      </c>
      <c r="S3176" s="5">
        <f t="shared" si="149"/>
        <v>40667.873949579836</v>
      </c>
    </row>
    <row r="3177" spans="1:19" hidden="1" x14ac:dyDescent="0.3">
      <c r="A3177">
        <v>170</v>
      </c>
      <c r="B3177" t="s">
        <v>4809</v>
      </c>
      <c r="C3177" t="s">
        <v>4853</v>
      </c>
      <c r="D3177" s="2" t="s">
        <v>4854</v>
      </c>
      <c r="E3177" t="s">
        <v>3814</v>
      </c>
      <c r="F3177" t="s">
        <v>20</v>
      </c>
      <c r="G3177" t="s">
        <v>21</v>
      </c>
      <c r="H3177" t="s">
        <v>500</v>
      </c>
      <c r="I3177" t="s">
        <v>23</v>
      </c>
      <c r="J3177" t="s">
        <v>40</v>
      </c>
      <c r="K3177" s="2" t="s">
        <v>268</v>
      </c>
      <c r="L3177" t="s">
        <v>26</v>
      </c>
      <c r="M3177">
        <v>336298</v>
      </c>
      <c r="N3177">
        <v>-1</v>
      </c>
      <c r="O3177" s="3">
        <v>-49990</v>
      </c>
      <c r="P3177" s="3">
        <v>20043</v>
      </c>
      <c r="Q3177" s="5">
        <f t="shared" si="147"/>
        <v>-42008.403361344543</v>
      </c>
      <c r="R3177" s="5">
        <f t="shared" si="148"/>
        <v>-20043</v>
      </c>
      <c r="S3177" s="5">
        <f t="shared" si="149"/>
        <v>-21965.403361344543</v>
      </c>
    </row>
    <row r="3178" spans="1:19" hidden="1" x14ac:dyDescent="0.3">
      <c r="A3178">
        <v>170</v>
      </c>
      <c r="B3178" t="s">
        <v>4809</v>
      </c>
      <c r="C3178" t="s">
        <v>4855</v>
      </c>
      <c r="D3178" s="2" t="s">
        <v>4856</v>
      </c>
      <c r="E3178" t="s">
        <v>3698</v>
      </c>
      <c r="F3178" t="s">
        <v>20</v>
      </c>
      <c r="G3178" t="s">
        <v>21</v>
      </c>
      <c r="H3178" t="s">
        <v>966</v>
      </c>
      <c r="I3178" t="s">
        <v>23</v>
      </c>
      <c r="J3178" t="s">
        <v>40</v>
      </c>
      <c r="K3178" s="2" t="s">
        <v>268</v>
      </c>
      <c r="L3178" t="s">
        <v>26</v>
      </c>
      <c r="M3178">
        <v>336299</v>
      </c>
      <c r="N3178">
        <v>1</v>
      </c>
      <c r="O3178" s="3">
        <v>63700</v>
      </c>
      <c r="P3178" s="3">
        <v>27633</v>
      </c>
      <c r="Q3178" s="5">
        <f t="shared" si="147"/>
        <v>53529.411764705888</v>
      </c>
      <c r="R3178" s="5">
        <f t="shared" si="148"/>
        <v>27633</v>
      </c>
      <c r="S3178" s="5">
        <f t="shared" si="149"/>
        <v>25896.411764705888</v>
      </c>
    </row>
    <row r="3179" spans="1:19" hidden="1" x14ac:dyDescent="0.3">
      <c r="A3179">
        <v>170</v>
      </c>
      <c r="B3179" t="s">
        <v>4809</v>
      </c>
      <c r="C3179" t="s">
        <v>314</v>
      </c>
      <c r="D3179" s="2" t="s">
        <v>315</v>
      </c>
      <c r="E3179" t="s">
        <v>316</v>
      </c>
      <c r="F3179" t="s">
        <v>20</v>
      </c>
      <c r="G3179" t="s">
        <v>21</v>
      </c>
      <c r="H3179" t="s">
        <v>317</v>
      </c>
      <c r="I3179" t="s">
        <v>23</v>
      </c>
      <c r="J3179" t="s">
        <v>35</v>
      </c>
      <c r="K3179" s="2" t="s">
        <v>268</v>
      </c>
      <c r="L3179" t="s">
        <v>26</v>
      </c>
      <c r="M3179">
        <v>336299</v>
      </c>
      <c r="N3179">
        <v>1</v>
      </c>
      <c r="O3179" s="3">
        <v>69950</v>
      </c>
      <c r="P3179" s="3">
        <v>24517</v>
      </c>
      <c r="Q3179" s="5">
        <f t="shared" si="147"/>
        <v>58781.512605042022</v>
      </c>
      <c r="R3179" s="5">
        <f t="shared" si="148"/>
        <v>24517</v>
      </c>
      <c r="S3179" s="5">
        <f t="shared" si="149"/>
        <v>34264.512605042022</v>
      </c>
    </row>
    <row r="3180" spans="1:19" hidden="1" x14ac:dyDescent="0.3">
      <c r="A3180">
        <v>170</v>
      </c>
      <c r="B3180" t="s">
        <v>4809</v>
      </c>
      <c r="C3180" t="s">
        <v>4855</v>
      </c>
      <c r="D3180" s="2" t="s">
        <v>4856</v>
      </c>
      <c r="E3180" t="s">
        <v>3698</v>
      </c>
      <c r="F3180" t="s">
        <v>20</v>
      </c>
      <c r="G3180" t="s">
        <v>21</v>
      </c>
      <c r="H3180" t="s">
        <v>966</v>
      </c>
      <c r="I3180" t="s">
        <v>23</v>
      </c>
      <c r="J3180" t="s">
        <v>40</v>
      </c>
      <c r="K3180" s="2" t="s">
        <v>268</v>
      </c>
      <c r="L3180" t="s">
        <v>26</v>
      </c>
      <c r="M3180">
        <v>336300</v>
      </c>
      <c r="N3180">
        <v>1</v>
      </c>
      <c r="O3180" s="3">
        <v>74950</v>
      </c>
      <c r="P3180" s="3">
        <v>27633</v>
      </c>
      <c r="Q3180" s="5">
        <f t="shared" si="147"/>
        <v>62983.193277310929</v>
      </c>
      <c r="R3180" s="5">
        <f t="shared" si="148"/>
        <v>27633</v>
      </c>
      <c r="S3180" s="5">
        <f t="shared" si="149"/>
        <v>35350.193277310929</v>
      </c>
    </row>
    <row r="3181" spans="1:19" hidden="1" x14ac:dyDescent="0.3">
      <c r="A3181">
        <v>170</v>
      </c>
      <c r="B3181" t="s">
        <v>4809</v>
      </c>
      <c r="C3181" t="s">
        <v>2914</v>
      </c>
      <c r="D3181" s="2" t="s">
        <v>2915</v>
      </c>
      <c r="E3181" t="s">
        <v>1668</v>
      </c>
      <c r="F3181" t="s">
        <v>20</v>
      </c>
      <c r="G3181" t="s">
        <v>338</v>
      </c>
      <c r="H3181">
        <v>23603</v>
      </c>
      <c r="I3181" t="s">
        <v>23</v>
      </c>
      <c r="J3181" t="s">
        <v>40</v>
      </c>
      <c r="K3181" s="2" t="s">
        <v>268</v>
      </c>
      <c r="L3181" t="s">
        <v>26</v>
      </c>
      <c r="M3181">
        <v>336301</v>
      </c>
      <c r="N3181">
        <v>1</v>
      </c>
      <c r="O3181" s="3">
        <v>69950</v>
      </c>
      <c r="P3181" s="3">
        <v>22607</v>
      </c>
      <c r="Q3181" s="5">
        <f t="shared" si="147"/>
        <v>58781.512605042022</v>
      </c>
      <c r="R3181" s="5">
        <f t="shared" si="148"/>
        <v>22607</v>
      </c>
      <c r="S3181" s="5">
        <f t="shared" si="149"/>
        <v>36174.512605042022</v>
      </c>
    </row>
    <row r="3182" spans="1:19" hidden="1" x14ac:dyDescent="0.3">
      <c r="A3182">
        <v>170</v>
      </c>
      <c r="B3182" t="s">
        <v>4809</v>
      </c>
      <c r="C3182" t="s">
        <v>4169</v>
      </c>
      <c r="D3182" s="2" t="s">
        <v>4170</v>
      </c>
      <c r="E3182" t="s">
        <v>3757</v>
      </c>
      <c r="F3182" t="s">
        <v>20</v>
      </c>
      <c r="G3182" t="s">
        <v>338</v>
      </c>
      <c r="H3182">
        <v>23732</v>
      </c>
      <c r="I3182" t="s">
        <v>23</v>
      </c>
      <c r="J3182" t="s">
        <v>40</v>
      </c>
      <c r="K3182" s="2" t="s">
        <v>268</v>
      </c>
      <c r="L3182" t="s">
        <v>26</v>
      </c>
      <c r="M3182">
        <v>336301</v>
      </c>
      <c r="N3182">
        <v>1</v>
      </c>
      <c r="O3182" s="3">
        <v>67950</v>
      </c>
      <c r="P3182" s="3">
        <v>26539</v>
      </c>
      <c r="Q3182" s="5">
        <f t="shared" si="147"/>
        <v>57100.840336134454</v>
      </c>
      <c r="R3182" s="5">
        <f t="shared" si="148"/>
        <v>26539</v>
      </c>
      <c r="S3182" s="5">
        <f t="shared" si="149"/>
        <v>30561.840336134454</v>
      </c>
    </row>
    <row r="3183" spans="1:19" hidden="1" x14ac:dyDescent="0.3">
      <c r="A3183">
        <v>170</v>
      </c>
      <c r="B3183" t="s">
        <v>4809</v>
      </c>
      <c r="C3183" t="s">
        <v>4336</v>
      </c>
      <c r="D3183" s="2" t="s">
        <v>4337</v>
      </c>
      <c r="E3183" t="s">
        <v>599</v>
      </c>
      <c r="F3183" t="s">
        <v>20</v>
      </c>
      <c r="G3183" t="s">
        <v>21</v>
      </c>
      <c r="H3183" t="s">
        <v>600</v>
      </c>
      <c r="I3183" t="s">
        <v>23</v>
      </c>
      <c r="J3183" t="s">
        <v>40</v>
      </c>
      <c r="K3183" s="2" t="s">
        <v>268</v>
      </c>
      <c r="L3183" t="s">
        <v>26</v>
      </c>
      <c r="M3183">
        <v>336302</v>
      </c>
      <c r="N3183">
        <v>1</v>
      </c>
      <c r="O3183" s="3">
        <v>49990</v>
      </c>
      <c r="P3183" s="3">
        <v>21327</v>
      </c>
      <c r="Q3183" s="5">
        <f t="shared" si="147"/>
        <v>42008.403361344543</v>
      </c>
      <c r="R3183" s="5">
        <f t="shared" si="148"/>
        <v>21327</v>
      </c>
      <c r="S3183" s="5">
        <f t="shared" si="149"/>
        <v>20681.403361344543</v>
      </c>
    </row>
    <row r="3184" spans="1:19" hidden="1" x14ac:dyDescent="0.3">
      <c r="A3184">
        <v>170</v>
      </c>
      <c r="B3184" t="s">
        <v>4809</v>
      </c>
      <c r="C3184" t="s">
        <v>343</v>
      </c>
      <c r="D3184" s="2" t="s">
        <v>344</v>
      </c>
      <c r="E3184" t="s">
        <v>345</v>
      </c>
      <c r="F3184" t="s">
        <v>20</v>
      </c>
      <c r="G3184" t="s">
        <v>21</v>
      </c>
      <c r="H3184" t="s">
        <v>346</v>
      </c>
      <c r="I3184" t="s">
        <v>23</v>
      </c>
      <c r="J3184" t="s">
        <v>49</v>
      </c>
      <c r="K3184" s="2" t="s">
        <v>268</v>
      </c>
      <c r="L3184" t="s">
        <v>26</v>
      </c>
      <c r="M3184">
        <v>336303</v>
      </c>
      <c r="N3184">
        <v>-1</v>
      </c>
      <c r="O3184" s="3">
        <v>-59950</v>
      </c>
      <c r="P3184" s="3">
        <v>21039</v>
      </c>
      <c r="Q3184" s="5">
        <f t="shared" si="147"/>
        <v>-50378.151260504201</v>
      </c>
      <c r="R3184" s="5">
        <f t="shared" si="148"/>
        <v>-21039</v>
      </c>
      <c r="S3184" s="5">
        <f t="shared" si="149"/>
        <v>-29339.151260504201</v>
      </c>
    </row>
    <row r="3185" spans="1:19" hidden="1" x14ac:dyDescent="0.3">
      <c r="A3185">
        <v>170</v>
      </c>
      <c r="B3185" t="s">
        <v>4809</v>
      </c>
      <c r="C3185" t="s">
        <v>4262</v>
      </c>
      <c r="D3185" s="2" t="s">
        <v>4263</v>
      </c>
      <c r="E3185" t="s">
        <v>3757</v>
      </c>
      <c r="F3185" t="s">
        <v>20</v>
      </c>
      <c r="G3185" t="s">
        <v>338</v>
      </c>
      <c r="H3185">
        <v>23732</v>
      </c>
      <c r="I3185" t="s">
        <v>23</v>
      </c>
      <c r="J3185" t="s">
        <v>40</v>
      </c>
      <c r="K3185" s="2" t="s">
        <v>268</v>
      </c>
      <c r="L3185" t="s">
        <v>26</v>
      </c>
      <c r="M3185">
        <v>336303</v>
      </c>
      <c r="N3185">
        <v>1</v>
      </c>
      <c r="O3185" s="3">
        <v>79950</v>
      </c>
      <c r="P3185" s="3">
        <v>26539</v>
      </c>
      <c r="Q3185" s="5">
        <f t="shared" si="147"/>
        <v>67184.873949579836</v>
      </c>
      <c r="R3185" s="5">
        <f t="shared" si="148"/>
        <v>26539</v>
      </c>
      <c r="S3185" s="5">
        <f t="shared" si="149"/>
        <v>40645.873949579836</v>
      </c>
    </row>
    <row r="3186" spans="1:19" hidden="1" x14ac:dyDescent="0.3">
      <c r="A3186">
        <v>170</v>
      </c>
      <c r="B3186" t="s">
        <v>4809</v>
      </c>
      <c r="C3186" t="s">
        <v>4857</v>
      </c>
      <c r="D3186" s="2" t="s">
        <v>4858</v>
      </c>
      <c r="E3186" t="s">
        <v>4859</v>
      </c>
      <c r="F3186" t="s">
        <v>20</v>
      </c>
      <c r="G3186" t="s">
        <v>338</v>
      </c>
      <c r="H3186">
        <v>23624</v>
      </c>
      <c r="I3186" t="s">
        <v>23</v>
      </c>
      <c r="J3186" t="s">
        <v>40</v>
      </c>
      <c r="K3186" s="2" t="s">
        <v>268</v>
      </c>
      <c r="L3186" t="s">
        <v>26</v>
      </c>
      <c r="M3186">
        <v>336304</v>
      </c>
      <c r="N3186">
        <v>1</v>
      </c>
      <c r="O3186" s="3">
        <v>79950</v>
      </c>
      <c r="P3186" s="3">
        <v>24718</v>
      </c>
      <c r="Q3186" s="5">
        <f t="shared" si="147"/>
        <v>67184.873949579836</v>
      </c>
      <c r="R3186" s="5">
        <f t="shared" si="148"/>
        <v>24718</v>
      </c>
      <c r="S3186" s="5">
        <f t="shared" si="149"/>
        <v>42466.873949579836</v>
      </c>
    </row>
    <row r="3187" spans="1:19" hidden="1" x14ac:dyDescent="0.3">
      <c r="A3187">
        <v>170</v>
      </c>
      <c r="B3187" t="s">
        <v>4809</v>
      </c>
      <c r="C3187" t="s">
        <v>2365</v>
      </c>
      <c r="D3187" s="2" t="s">
        <v>2366</v>
      </c>
      <c r="E3187" t="s">
        <v>2367</v>
      </c>
      <c r="F3187" t="s">
        <v>377</v>
      </c>
      <c r="G3187" t="s">
        <v>21</v>
      </c>
      <c r="H3187" t="s">
        <v>378</v>
      </c>
      <c r="I3187" t="s">
        <v>23</v>
      </c>
      <c r="J3187" t="s">
        <v>379</v>
      </c>
      <c r="K3187" s="2" t="s">
        <v>268</v>
      </c>
      <c r="L3187" t="s">
        <v>26</v>
      </c>
      <c r="M3187">
        <v>336305</v>
      </c>
      <c r="N3187">
        <v>1</v>
      </c>
      <c r="O3187" s="3">
        <v>6950</v>
      </c>
      <c r="P3187" s="3">
        <v>3759</v>
      </c>
      <c r="Q3187" s="5">
        <f t="shared" si="147"/>
        <v>5840.3361344537816</v>
      </c>
      <c r="R3187" s="5">
        <f t="shared" si="148"/>
        <v>3759</v>
      </c>
      <c r="S3187" s="5">
        <f t="shared" si="149"/>
        <v>2081.3361344537816</v>
      </c>
    </row>
    <row r="3188" spans="1:19" hidden="1" x14ac:dyDescent="0.3">
      <c r="A3188">
        <v>170</v>
      </c>
      <c r="B3188" t="s">
        <v>4809</v>
      </c>
      <c r="C3188" t="s">
        <v>1761</v>
      </c>
      <c r="D3188" s="2" t="s">
        <v>1762</v>
      </c>
      <c r="E3188" t="s">
        <v>1763</v>
      </c>
      <c r="F3188" t="s">
        <v>377</v>
      </c>
      <c r="G3188" t="s">
        <v>21</v>
      </c>
      <c r="H3188" t="s">
        <v>378</v>
      </c>
      <c r="I3188" t="s">
        <v>23</v>
      </c>
      <c r="J3188" t="s">
        <v>379</v>
      </c>
      <c r="K3188" s="2" t="s">
        <v>268</v>
      </c>
      <c r="L3188" t="s">
        <v>26</v>
      </c>
      <c r="M3188">
        <v>336306</v>
      </c>
      <c r="N3188">
        <v>1</v>
      </c>
      <c r="O3188" s="3">
        <v>5950</v>
      </c>
      <c r="P3188" s="3">
        <v>3279</v>
      </c>
      <c r="Q3188" s="5">
        <f t="shared" si="147"/>
        <v>5000</v>
      </c>
      <c r="R3188" s="5">
        <f t="shared" si="148"/>
        <v>3279</v>
      </c>
      <c r="S3188" s="5">
        <f t="shared" si="149"/>
        <v>1721</v>
      </c>
    </row>
    <row r="3189" spans="1:19" hidden="1" x14ac:dyDescent="0.3">
      <c r="A3189">
        <v>170</v>
      </c>
      <c r="B3189" t="s">
        <v>4809</v>
      </c>
      <c r="C3189" t="s">
        <v>4860</v>
      </c>
      <c r="D3189" s="2" t="s">
        <v>4861</v>
      </c>
      <c r="E3189" t="s">
        <v>4455</v>
      </c>
      <c r="F3189" t="s">
        <v>377</v>
      </c>
      <c r="G3189" t="s">
        <v>21</v>
      </c>
      <c r="H3189" t="s">
        <v>378</v>
      </c>
      <c r="I3189" t="s">
        <v>23</v>
      </c>
      <c r="J3189" t="s">
        <v>2459</v>
      </c>
      <c r="K3189" s="2" t="s">
        <v>268</v>
      </c>
      <c r="L3189" t="s">
        <v>26</v>
      </c>
      <c r="M3189">
        <v>336306</v>
      </c>
      <c r="N3189">
        <v>1</v>
      </c>
      <c r="O3189" s="3">
        <v>3950</v>
      </c>
      <c r="P3189" s="3">
        <v>1602</v>
      </c>
      <c r="Q3189" s="5">
        <f t="shared" si="147"/>
        <v>3319.3277310924373</v>
      </c>
      <c r="R3189" s="5">
        <f t="shared" si="148"/>
        <v>1602</v>
      </c>
      <c r="S3189" s="5">
        <f t="shared" si="149"/>
        <v>1717.3277310924373</v>
      </c>
    </row>
    <row r="3190" spans="1:19" hidden="1" x14ac:dyDescent="0.3">
      <c r="A3190">
        <v>170</v>
      </c>
      <c r="B3190" t="s">
        <v>4809</v>
      </c>
      <c r="C3190" t="s">
        <v>4862</v>
      </c>
      <c r="D3190" s="2" t="s">
        <v>4863</v>
      </c>
      <c r="E3190" t="s">
        <v>1281</v>
      </c>
      <c r="F3190" t="s">
        <v>20</v>
      </c>
      <c r="G3190" t="s">
        <v>21</v>
      </c>
      <c r="H3190" t="s">
        <v>1282</v>
      </c>
      <c r="I3190" t="s">
        <v>23</v>
      </c>
      <c r="J3190" t="s">
        <v>40</v>
      </c>
      <c r="K3190" s="2" t="s">
        <v>268</v>
      </c>
      <c r="L3190" t="s">
        <v>26</v>
      </c>
      <c r="M3190">
        <v>336307</v>
      </c>
      <c r="N3190">
        <v>1</v>
      </c>
      <c r="O3190" s="3">
        <v>42450</v>
      </c>
      <c r="P3190" s="3">
        <v>13922</v>
      </c>
      <c r="Q3190" s="5">
        <f t="shared" si="147"/>
        <v>35672.268907563026</v>
      </c>
      <c r="R3190" s="5">
        <f t="shared" si="148"/>
        <v>13922</v>
      </c>
      <c r="S3190" s="5">
        <f t="shared" si="149"/>
        <v>21750.268907563026</v>
      </c>
    </row>
    <row r="3191" spans="1:19" hidden="1" x14ac:dyDescent="0.3">
      <c r="A3191">
        <v>170</v>
      </c>
      <c r="B3191" t="s">
        <v>4809</v>
      </c>
      <c r="C3191" t="s">
        <v>4864</v>
      </c>
      <c r="D3191" s="2" t="s">
        <v>4865</v>
      </c>
      <c r="E3191" t="s">
        <v>3465</v>
      </c>
      <c r="F3191" t="s">
        <v>20</v>
      </c>
      <c r="G3191" t="s">
        <v>21</v>
      </c>
      <c r="H3191" t="s">
        <v>1282</v>
      </c>
      <c r="I3191" t="s">
        <v>23</v>
      </c>
      <c r="J3191" t="s">
        <v>40</v>
      </c>
      <c r="K3191" s="2" t="s">
        <v>268</v>
      </c>
      <c r="L3191" t="s">
        <v>26</v>
      </c>
      <c r="M3191">
        <v>336307</v>
      </c>
      <c r="N3191">
        <v>1</v>
      </c>
      <c r="O3191" s="3">
        <v>49950</v>
      </c>
      <c r="P3191" s="3">
        <v>13922</v>
      </c>
      <c r="Q3191" s="5">
        <f t="shared" si="147"/>
        <v>41974.789915966387</v>
      </c>
      <c r="R3191" s="5">
        <f t="shared" si="148"/>
        <v>13922</v>
      </c>
      <c r="S3191" s="5">
        <f t="shared" si="149"/>
        <v>28052.789915966387</v>
      </c>
    </row>
    <row r="3192" spans="1:19" hidden="1" x14ac:dyDescent="0.3">
      <c r="A3192">
        <v>170</v>
      </c>
      <c r="B3192" t="s">
        <v>4809</v>
      </c>
      <c r="C3192" t="s">
        <v>3273</v>
      </c>
      <c r="D3192" s="2" t="s">
        <v>3274</v>
      </c>
      <c r="E3192" t="s">
        <v>499</v>
      </c>
      <c r="F3192" t="s">
        <v>20</v>
      </c>
      <c r="G3192" t="s">
        <v>21</v>
      </c>
      <c r="H3192" t="s">
        <v>500</v>
      </c>
      <c r="I3192" t="s">
        <v>23</v>
      </c>
      <c r="J3192" t="s">
        <v>40</v>
      </c>
      <c r="K3192" s="2" t="s">
        <v>268</v>
      </c>
      <c r="L3192" t="s">
        <v>26</v>
      </c>
      <c r="M3192">
        <v>336308</v>
      </c>
      <c r="N3192">
        <v>1</v>
      </c>
      <c r="O3192" s="3">
        <v>50950</v>
      </c>
      <c r="P3192" s="3">
        <v>17416</v>
      </c>
      <c r="Q3192" s="5">
        <f t="shared" si="147"/>
        <v>42815.126050420171</v>
      </c>
      <c r="R3192" s="5">
        <f t="shared" si="148"/>
        <v>17416</v>
      </c>
      <c r="S3192" s="5">
        <f t="shared" si="149"/>
        <v>25399.126050420171</v>
      </c>
    </row>
    <row r="3193" spans="1:19" hidden="1" x14ac:dyDescent="0.3">
      <c r="A3193">
        <v>170</v>
      </c>
      <c r="B3193" t="s">
        <v>4809</v>
      </c>
      <c r="C3193" t="s">
        <v>1854</v>
      </c>
      <c r="D3193" s="2" t="s">
        <v>1855</v>
      </c>
      <c r="E3193" t="s">
        <v>793</v>
      </c>
      <c r="F3193" t="s">
        <v>20</v>
      </c>
      <c r="G3193" t="s">
        <v>21</v>
      </c>
      <c r="H3193" t="s">
        <v>794</v>
      </c>
      <c r="I3193" t="s">
        <v>23</v>
      </c>
      <c r="J3193" t="s">
        <v>40</v>
      </c>
      <c r="K3193" s="2" t="s">
        <v>268</v>
      </c>
      <c r="L3193" t="s">
        <v>26</v>
      </c>
      <c r="M3193">
        <v>336308</v>
      </c>
      <c r="N3193">
        <v>1</v>
      </c>
      <c r="O3193" s="3">
        <v>49990</v>
      </c>
      <c r="P3193" s="3">
        <v>21475</v>
      </c>
      <c r="Q3193" s="5">
        <f t="shared" si="147"/>
        <v>42008.403361344543</v>
      </c>
      <c r="R3193" s="5">
        <f t="shared" si="148"/>
        <v>21475</v>
      </c>
      <c r="S3193" s="5">
        <f t="shared" si="149"/>
        <v>20533.403361344543</v>
      </c>
    </row>
    <row r="3194" spans="1:19" hidden="1" x14ac:dyDescent="0.3">
      <c r="A3194">
        <v>170</v>
      </c>
      <c r="B3194" t="s">
        <v>4809</v>
      </c>
      <c r="C3194" t="s">
        <v>4449</v>
      </c>
      <c r="D3194" s="2" t="s">
        <v>4450</v>
      </c>
      <c r="E3194" t="s">
        <v>3415</v>
      </c>
      <c r="F3194" t="s">
        <v>20</v>
      </c>
      <c r="G3194" t="s">
        <v>21</v>
      </c>
      <c r="H3194" t="s">
        <v>2745</v>
      </c>
      <c r="I3194" t="s">
        <v>23</v>
      </c>
      <c r="J3194" t="s">
        <v>35</v>
      </c>
      <c r="K3194" s="2" t="s">
        <v>268</v>
      </c>
      <c r="L3194" t="s">
        <v>26</v>
      </c>
      <c r="M3194">
        <v>336309</v>
      </c>
      <c r="N3194">
        <v>1</v>
      </c>
      <c r="O3194" s="3">
        <v>99950</v>
      </c>
      <c r="P3194" s="3">
        <v>33200</v>
      </c>
      <c r="Q3194" s="5">
        <f t="shared" si="147"/>
        <v>83991.596638655465</v>
      </c>
      <c r="R3194" s="5">
        <f t="shared" si="148"/>
        <v>33200</v>
      </c>
      <c r="S3194" s="5">
        <f t="shared" si="149"/>
        <v>50791.596638655465</v>
      </c>
    </row>
    <row r="3195" spans="1:19" hidden="1" x14ac:dyDescent="0.3">
      <c r="A3195">
        <v>170</v>
      </c>
      <c r="B3195" t="s">
        <v>4809</v>
      </c>
      <c r="C3195" t="s">
        <v>1419</v>
      </c>
      <c r="D3195" s="2" t="s">
        <v>1420</v>
      </c>
      <c r="E3195" t="s">
        <v>1421</v>
      </c>
      <c r="F3195" t="s">
        <v>20</v>
      </c>
      <c r="G3195" t="s">
        <v>21</v>
      </c>
      <c r="H3195" t="s">
        <v>1422</v>
      </c>
      <c r="I3195" t="s">
        <v>23</v>
      </c>
      <c r="J3195" t="s">
        <v>49</v>
      </c>
      <c r="K3195" s="2" t="s">
        <v>268</v>
      </c>
      <c r="L3195" t="s">
        <v>26</v>
      </c>
      <c r="M3195">
        <v>336310</v>
      </c>
      <c r="N3195">
        <v>1</v>
      </c>
      <c r="O3195" s="3">
        <v>74950</v>
      </c>
      <c r="P3195" s="3">
        <v>25183</v>
      </c>
      <c r="Q3195" s="5">
        <f t="shared" si="147"/>
        <v>62983.193277310929</v>
      </c>
      <c r="R3195" s="5">
        <f t="shared" si="148"/>
        <v>25183</v>
      </c>
      <c r="S3195" s="5">
        <f t="shared" si="149"/>
        <v>37800.193277310929</v>
      </c>
    </row>
    <row r="3196" spans="1:19" hidden="1" x14ac:dyDescent="0.3">
      <c r="A3196">
        <v>170</v>
      </c>
      <c r="B3196" t="s">
        <v>4809</v>
      </c>
      <c r="C3196" t="s">
        <v>3545</v>
      </c>
      <c r="D3196" s="2" t="s">
        <v>3546</v>
      </c>
      <c r="E3196" t="s">
        <v>938</v>
      </c>
      <c r="F3196" t="s">
        <v>20</v>
      </c>
      <c r="G3196" t="s">
        <v>21</v>
      </c>
      <c r="H3196" t="s">
        <v>317</v>
      </c>
      <c r="I3196" t="s">
        <v>23</v>
      </c>
      <c r="J3196" t="s">
        <v>35</v>
      </c>
      <c r="K3196" s="2" t="s">
        <v>268</v>
      </c>
      <c r="L3196" t="s">
        <v>26</v>
      </c>
      <c r="M3196">
        <v>336311</v>
      </c>
      <c r="N3196">
        <v>1</v>
      </c>
      <c r="O3196" s="3">
        <v>69950</v>
      </c>
      <c r="P3196" s="3">
        <v>26745</v>
      </c>
      <c r="Q3196" s="5">
        <f t="shared" si="147"/>
        <v>58781.512605042022</v>
      </c>
      <c r="R3196" s="5">
        <f t="shared" si="148"/>
        <v>26745</v>
      </c>
      <c r="S3196" s="5">
        <f t="shared" si="149"/>
        <v>32036.512605042022</v>
      </c>
    </row>
    <row r="3197" spans="1:19" hidden="1" x14ac:dyDescent="0.3">
      <c r="A3197">
        <v>170</v>
      </c>
      <c r="B3197" t="s">
        <v>4809</v>
      </c>
      <c r="C3197" t="s">
        <v>2575</v>
      </c>
      <c r="D3197" s="2" t="s">
        <v>2576</v>
      </c>
      <c r="E3197" t="s">
        <v>2577</v>
      </c>
      <c r="F3197" t="s">
        <v>377</v>
      </c>
      <c r="G3197" t="s">
        <v>21</v>
      </c>
      <c r="H3197" t="s">
        <v>378</v>
      </c>
      <c r="I3197" t="s">
        <v>23</v>
      </c>
      <c r="J3197" t="s">
        <v>379</v>
      </c>
      <c r="K3197" s="2" t="s">
        <v>268</v>
      </c>
      <c r="L3197" t="s">
        <v>26</v>
      </c>
      <c r="M3197">
        <v>336311</v>
      </c>
      <c r="N3197">
        <v>1</v>
      </c>
      <c r="O3197" s="3">
        <v>5950</v>
      </c>
      <c r="P3197" s="3">
        <v>3307</v>
      </c>
      <c r="Q3197" s="5">
        <f t="shared" si="147"/>
        <v>5000</v>
      </c>
      <c r="R3197" s="5">
        <f t="shared" si="148"/>
        <v>3307</v>
      </c>
      <c r="S3197" s="5">
        <f t="shared" si="149"/>
        <v>1693</v>
      </c>
    </row>
    <row r="3198" spans="1:19" hidden="1" x14ac:dyDescent="0.3">
      <c r="A3198">
        <v>170</v>
      </c>
      <c r="B3198" t="s">
        <v>4809</v>
      </c>
      <c r="C3198" t="s">
        <v>2371</v>
      </c>
      <c r="D3198" s="2" t="s">
        <v>2372</v>
      </c>
      <c r="E3198" t="s">
        <v>2373</v>
      </c>
      <c r="F3198" t="s">
        <v>20</v>
      </c>
      <c r="G3198" t="s">
        <v>338</v>
      </c>
      <c r="H3198">
        <v>24239</v>
      </c>
      <c r="I3198" t="s">
        <v>23</v>
      </c>
      <c r="J3198" t="s">
        <v>95</v>
      </c>
      <c r="K3198" s="2" t="s">
        <v>268</v>
      </c>
      <c r="L3198" t="s">
        <v>26</v>
      </c>
      <c r="M3198">
        <v>336312</v>
      </c>
      <c r="N3198">
        <v>1</v>
      </c>
      <c r="O3198" s="3">
        <v>59950</v>
      </c>
      <c r="P3198" s="3">
        <v>18677</v>
      </c>
      <c r="Q3198" s="5">
        <f t="shared" si="147"/>
        <v>50378.151260504201</v>
      </c>
      <c r="R3198" s="5">
        <f t="shared" si="148"/>
        <v>18677</v>
      </c>
      <c r="S3198" s="5">
        <f t="shared" si="149"/>
        <v>31701.151260504201</v>
      </c>
    </row>
    <row r="3199" spans="1:19" hidden="1" x14ac:dyDescent="0.3">
      <c r="A3199">
        <v>170</v>
      </c>
      <c r="B3199" t="s">
        <v>4809</v>
      </c>
      <c r="C3199" t="s">
        <v>4866</v>
      </c>
      <c r="D3199" s="2" t="s">
        <v>4867</v>
      </c>
      <c r="E3199" t="s">
        <v>4753</v>
      </c>
      <c r="F3199" t="s">
        <v>20</v>
      </c>
      <c r="G3199" t="s">
        <v>338</v>
      </c>
      <c r="H3199">
        <v>23313</v>
      </c>
      <c r="I3199" t="s">
        <v>23</v>
      </c>
      <c r="J3199" t="s">
        <v>40</v>
      </c>
      <c r="K3199" s="2" t="s">
        <v>268</v>
      </c>
      <c r="L3199" t="s">
        <v>26</v>
      </c>
      <c r="M3199">
        <v>336313</v>
      </c>
      <c r="N3199">
        <v>1</v>
      </c>
      <c r="O3199" s="3">
        <v>69950</v>
      </c>
      <c r="P3199" s="3">
        <v>22675</v>
      </c>
      <c r="Q3199" s="5">
        <f t="shared" si="147"/>
        <v>58781.512605042022</v>
      </c>
      <c r="R3199" s="5">
        <f t="shared" si="148"/>
        <v>22675</v>
      </c>
      <c r="S3199" s="5">
        <f t="shared" si="149"/>
        <v>36106.512605042022</v>
      </c>
    </row>
    <row r="3200" spans="1:19" hidden="1" x14ac:dyDescent="0.3">
      <c r="A3200">
        <v>170</v>
      </c>
      <c r="B3200" t="s">
        <v>4809</v>
      </c>
      <c r="C3200" t="s">
        <v>4320</v>
      </c>
      <c r="D3200" s="2" t="s">
        <v>4321</v>
      </c>
      <c r="E3200" t="s">
        <v>2738</v>
      </c>
      <c r="F3200" t="s">
        <v>20</v>
      </c>
      <c r="G3200" t="s">
        <v>21</v>
      </c>
      <c r="H3200" t="s">
        <v>22</v>
      </c>
      <c r="I3200" t="s">
        <v>23</v>
      </c>
      <c r="J3200" t="s">
        <v>49</v>
      </c>
      <c r="K3200" s="2" t="s">
        <v>268</v>
      </c>
      <c r="L3200" t="s">
        <v>26</v>
      </c>
      <c r="M3200">
        <v>336314</v>
      </c>
      <c r="N3200">
        <v>1</v>
      </c>
      <c r="O3200" s="3">
        <v>74950</v>
      </c>
      <c r="P3200" s="3">
        <v>26246</v>
      </c>
      <c r="Q3200" s="5">
        <f t="shared" si="147"/>
        <v>62983.193277310929</v>
      </c>
      <c r="R3200" s="5">
        <f t="shared" si="148"/>
        <v>26246</v>
      </c>
      <c r="S3200" s="5">
        <f t="shared" si="149"/>
        <v>36737.193277310929</v>
      </c>
    </row>
    <row r="3201" spans="1:19" hidden="1" x14ac:dyDescent="0.3">
      <c r="A3201">
        <v>170</v>
      </c>
      <c r="B3201" t="s">
        <v>4809</v>
      </c>
      <c r="C3201" t="s">
        <v>4868</v>
      </c>
      <c r="D3201" s="2" t="s">
        <v>4869</v>
      </c>
      <c r="E3201" t="s">
        <v>2810</v>
      </c>
      <c r="F3201" t="s">
        <v>20</v>
      </c>
      <c r="G3201" t="s">
        <v>21</v>
      </c>
      <c r="H3201" t="s">
        <v>1987</v>
      </c>
      <c r="I3201" t="s">
        <v>23</v>
      </c>
      <c r="J3201" t="s">
        <v>35</v>
      </c>
      <c r="K3201" s="2" t="s">
        <v>268</v>
      </c>
      <c r="L3201" t="s">
        <v>26</v>
      </c>
      <c r="M3201">
        <v>336315</v>
      </c>
      <c r="N3201">
        <v>1</v>
      </c>
      <c r="O3201" s="3">
        <v>89950</v>
      </c>
      <c r="P3201" s="3">
        <v>29858</v>
      </c>
      <c r="Q3201" s="5">
        <f t="shared" si="147"/>
        <v>75588.23529411765</v>
      </c>
      <c r="R3201" s="5">
        <f t="shared" si="148"/>
        <v>29858</v>
      </c>
      <c r="S3201" s="5">
        <f t="shared" si="149"/>
        <v>45730.23529411765</v>
      </c>
    </row>
    <row r="3202" spans="1:19" hidden="1" x14ac:dyDescent="0.3">
      <c r="A3202">
        <v>170</v>
      </c>
      <c r="B3202" t="s">
        <v>4809</v>
      </c>
      <c r="C3202" t="s">
        <v>4870</v>
      </c>
      <c r="D3202" s="2" t="s">
        <v>4871</v>
      </c>
      <c r="E3202" t="s">
        <v>1281</v>
      </c>
      <c r="F3202" t="s">
        <v>20</v>
      </c>
      <c r="G3202" t="s">
        <v>21</v>
      </c>
      <c r="H3202" t="s">
        <v>1282</v>
      </c>
      <c r="I3202" t="s">
        <v>23</v>
      </c>
      <c r="J3202" t="s">
        <v>40</v>
      </c>
      <c r="K3202" s="2" t="s">
        <v>268</v>
      </c>
      <c r="L3202" t="s">
        <v>26</v>
      </c>
      <c r="M3202">
        <v>336316</v>
      </c>
      <c r="N3202">
        <v>1</v>
      </c>
      <c r="O3202" s="3">
        <v>49950</v>
      </c>
      <c r="P3202" s="3">
        <v>13922</v>
      </c>
      <c r="Q3202" s="5">
        <f t="shared" si="147"/>
        <v>41974.789915966387</v>
      </c>
      <c r="R3202" s="5">
        <f t="shared" si="148"/>
        <v>13922</v>
      </c>
      <c r="S3202" s="5">
        <f t="shared" si="149"/>
        <v>28052.789915966387</v>
      </c>
    </row>
    <row r="3203" spans="1:19" hidden="1" x14ac:dyDescent="0.3">
      <c r="A3203">
        <v>170</v>
      </c>
      <c r="B3203" t="s">
        <v>4809</v>
      </c>
      <c r="C3203" t="s">
        <v>292</v>
      </c>
      <c r="D3203" s="2" t="s">
        <v>293</v>
      </c>
      <c r="E3203" t="s">
        <v>294</v>
      </c>
      <c r="F3203" t="s">
        <v>20</v>
      </c>
      <c r="G3203" t="s">
        <v>21</v>
      </c>
      <c r="H3203" t="s">
        <v>295</v>
      </c>
      <c r="I3203" t="s">
        <v>23</v>
      </c>
      <c r="J3203" t="s">
        <v>40</v>
      </c>
      <c r="K3203" s="2" t="s">
        <v>268</v>
      </c>
      <c r="L3203" t="s">
        <v>26</v>
      </c>
      <c r="M3203">
        <v>336317</v>
      </c>
      <c r="N3203">
        <v>1</v>
      </c>
      <c r="O3203" s="3">
        <v>79950</v>
      </c>
      <c r="P3203" s="3">
        <v>26951</v>
      </c>
      <c r="Q3203" s="5">
        <f t="shared" si="147"/>
        <v>67184.873949579836</v>
      </c>
      <c r="R3203" s="5">
        <f t="shared" si="148"/>
        <v>26951</v>
      </c>
      <c r="S3203" s="5">
        <f t="shared" si="149"/>
        <v>40233.873949579836</v>
      </c>
    </row>
    <row r="3204" spans="1:19" hidden="1" x14ac:dyDescent="0.3">
      <c r="A3204">
        <v>170</v>
      </c>
      <c r="B3204" t="s">
        <v>4809</v>
      </c>
      <c r="C3204" t="s">
        <v>2074</v>
      </c>
      <c r="D3204" s="2" t="s">
        <v>2075</v>
      </c>
      <c r="E3204" t="s">
        <v>2076</v>
      </c>
      <c r="F3204" t="s">
        <v>20</v>
      </c>
      <c r="G3204" t="s">
        <v>338</v>
      </c>
      <c r="H3204">
        <v>83726</v>
      </c>
      <c r="I3204" t="s">
        <v>23</v>
      </c>
      <c r="J3204" t="s">
        <v>40</v>
      </c>
      <c r="K3204" s="2" t="s">
        <v>268</v>
      </c>
      <c r="L3204" t="s">
        <v>26</v>
      </c>
      <c r="M3204">
        <v>336317</v>
      </c>
      <c r="N3204">
        <v>1</v>
      </c>
      <c r="O3204" s="3">
        <v>76450</v>
      </c>
      <c r="P3204" s="3">
        <v>30263</v>
      </c>
      <c r="Q3204" s="5">
        <f t="shared" si="147"/>
        <v>64243.697478991598</v>
      </c>
      <c r="R3204" s="5">
        <f t="shared" si="148"/>
        <v>30263</v>
      </c>
      <c r="S3204" s="5">
        <f t="shared" si="149"/>
        <v>33980.697478991598</v>
      </c>
    </row>
    <row r="3205" spans="1:19" hidden="1" x14ac:dyDescent="0.3">
      <c r="A3205">
        <v>170</v>
      </c>
      <c r="B3205" t="s">
        <v>4809</v>
      </c>
      <c r="C3205" t="s">
        <v>4302</v>
      </c>
      <c r="D3205" s="2" t="s">
        <v>4303</v>
      </c>
      <c r="E3205" t="s">
        <v>1137</v>
      </c>
      <c r="F3205" t="s">
        <v>20</v>
      </c>
      <c r="G3205" t="s">
        <v>21</v>
      </c>
      <c r="H3205" t="s">
        <v>224</v>
      </c>
      <c r="I3205" t="s">
        <v>23</v>
      </c>
      <c r="J3205" t="s">
        <v>49</v>
      </c>
      <c r="K3205" s="2" t="s">
        <v>2344</v>
      </c>
      <c r="L3205" t="s">
        <v>26</v>
      </c>
      <c r="M3205">
        <v>336318</v>
      </c>
      <c r="N3205">
        <v>1</v>
      </c>
      <c r="O3205" s="3">
        <v>44990</v>
      </c>
      <c r="P3205" s="3">
        <v>31900</v>
      </c>
      <c r="Q3205" s="5">
        <f t="shared" si="147"/>
        <v>37806.722689075636</v>
      </c>
      <c r="R3205" s="5">
        <f t="shared" si="148"/>
        <v>31900</v>
      </c>
      <c r="S3205" s="5">
        <f t="shared" si="149"/>
        <v>5906.7226890756356</v>
      </c>
    </row>
    <row r="3206" spans="1:19" hidden="1" x14ac:dyDescent="0.3">
      <c r="A3206">
        <v>170</v>
      </c>
      <c r="B3206" t="s">
        <v>4809</v>
      </c>
      <c r="C3206" t="s">
        <v>4872</v>
      </c>
      <c r="D3206" s="2" t="s">
        <v>4873</v>
      </c>
      <c r="E3206" t="s">
        <v>998</v>
      </c>
      <c r="F3206" t="s">
        <v>20</v>
      </c>
      <c r="G3206" t="s">
        <v>21</v>
      </c>
      <c r="H3206" t="s">
        <v>251</v>
      </c>
      <c r="I3206" t="s">
        <v>23</v>
      </c>
      <c r="J3206" t="s">
        <v>49</v>
      </c>
      <c r="K3206" s="2" t="s">
        <v>2344</v>
      </c>
      <c r="L3206" t="s">
        <v>26</v>
      </c>
      <c r="M3206">
        <v>336319</v>
      </c>
      <c r="N3206">
        <v>1</v>
      </c>
      <c r="O3206" s="3">
        <v>34990</v>
      </c>
      <c r="P3206" s="3">
        <v>26226</v>
      </c>
      <c r="Q3206" s="5">
        <f t="shared" ref="Q3206:Q3269" si="150">O3206/1.19</f>
        <v>29403.361344537818</v>
      </c>
      <c r="R3206" s="5">
        <f t="shared" ref="R3206:R3269" si="151">N3206*P3206</f>
        <v>26226</v>
      </c>
      <c r="S3206" s="5">
        <f t="shared" ref="S3206:S3269" si="152">Q3206-R3206</f>
        <v>3177.3613445378178</v>
      </c>
    </row>
    <row r="3207" spans="1:19" hidden="1" x14ac:dyDescent="0.3">
      <c r="A3207">
        <v>170</v>
      </c>
      <c r="B3207" t="s">
        <v>4809</v>
      </c>
      <c r="C3207">
        <v>1687976791</v>
      </c>
      <c r="D3207" s="2" t="s">
        <v>200</v>
      </c>
      <c r="E3207" t="s">
        <v>201</v>
      </c>
      <c r="F3207" t="s">
        <v>201</v>
      </c>
      <c r="G3207" t="s">
        <v>202</v>
      </c>
      <c r="H3207" t="s">
        <v>202</v>
      </c>
      <c r="I3207" t="s">
        <v>23</v>
      </c>
      <c r="J3207" t="s">
        <v>202</v>
      </c>
      <c r="K3207" s="2" t="s">
        <v>2344</v>
      </c>
      <c r="L3207" t="s">
        <v>26</v>
      </c>
      <c r="M3207">
        <v>336319</v>
      </c>
      <c r="N3207">
        <v>1</v>
      </c>
      <c r="O3207" s="3">
        <v>3200</v>
      </c>
      <c r="P3207">
        <v>1</v>
      </c>
      <c r="Q3207" s="5">
        <f t="shared" si="150"/>
        <v>2689.0756302521008</v>
      </c>
      <c r="R3207" s="5">
        <f t="shared" si="151"/>
        <v>1</v>
      </c>
      <c r="S3207" s="5">
        <f t="shared" si="152"/>
        <v>2688.0756302521008</v>
      </c>
    </row>
    <row r="3208" spans="1:19" hidden="1" x14ac:dyDescent="0.3">
      <c r="A3208">
        <v>170</v>
      </c>
      <c r="B3208" t="s">
        <v>4809</v>
      </c>
      <c r="C3208" t="s">
        <v>3298</v>
      </c>
      <c r="D3208" s="2" t="s">
        <v>3299</v>
      </c>
      <c r="E3208" t="s">
        <v>2185</v>
      </c>
      <c r="F3208" t="s">
        <v>20</v>
      </c>
      <c r="G3208" t="s">
        <v>21</v>
      </c>
      <c r="H3208" t="s">
        <v>614</v>
      </c>
      <c r="I3208" t="s">
        <v>23</v>
      </c>
      <c r="J3208" t="s">
        <v>40</v>
      </c>
      <c r="K3208" s="2" t="s">
        <v>2344</v>
      </c>
      <c r="L3208" t="s">
        <v>26</v>
      </c>
      <c r="M3208">
        <v>336320</v>
      </c>
      <c r="N3208">
        <v>1</v>
      </c>
      <c r="O3208" s="3">
        <v>54950</v>
      </c>
      <c r="P3208" s="3">
        <v>17386</v>
      </c>
      <c r="Q3208" s="5">
        <f t="shared" si="150"/>
        <v>46176.470588235294</v>
      </c>
      <c r="R3208" s="5">
        <f t="shared" si="151"/>
        <v>17386</v>
      </c>
      <c r="S3208" s="5">
        <f t="shared" si="152"/>
        <v>28790.470588235294</v>
      </c>
    </row>
    <row r="3209" spans="1:19" hidden="1" x14ac:dyDescent="0.3">
      <c r="A3209">
        <v>170</v>
      </c>
      <c r="B3209" t="s">
        <v>4809</v>
      </c>
      <c r="C3209" t="s">
        <v>2739</v>
      </c>
      <c r="D3209" s="2" t="s">
        <v>2740</v>
      </c>
      <c r="E3209" t="s">
        <v>2741</v>
      </c>
      <c r="F3209" t="s">
        <v>20</v>
      </c>
      <c r="G3209" t="s">
        <v>21</v>
      </c>
      <c r="H3209" t="s">
        <v>2494</v>
      </c>
      <c r="I3209" t="s">
        <v>23</v>
      </c>
      <c r="J3209" t="s">
        <v>40</v>
      </c>
      <c r="K3209" s="2" t="s">
        <v>2344</v>
      </c>
      <c r="L3209" t="s">
        <v>26</v>
      </c>
      <c r="M3209">
        <v>336321</v>
      </c>
      <c r="N3209">
        <v>1</v>
      </c>
      <c r="O3209" s="3">
        <v>69950</v>
      </c>
      <c r="P3209" s="3">
        <v>23470</v>
      </c>
      <c r="Q3209" s="5">
        <f t="shared" si="150"/>
        <v>58781.512605042022</v>
      </c>
      <c r="R3209" s="5">
        <f t="shared" si="151"/>
        <v>23470</v>
      </c>
      <c r="S3209" s="5">
        <f t="shared" si="152"/>
        <v>35311.512605042022</v>
      </c>
    </row>
    <row r="3210" spans="1:19" hidden="1" x14ac:dyDescent="0.3">
      <c r="A3210">
        <v>170</v>
      </c>
      <c r="B3210" t="s">
        <v>4809</v>
      </c>
      <c r="C3210" t="s">
        <v>4874</v>
      </c>
      <c r="D3210" s="2" t="s">
        <v>4875</v>
      </c>
      <c r="E3210" t="s">
        <v>3757</v>
      </c>
      <c r="F3210" t="s">
        <v>20</v>
      </c>
      <c r="G3210" t="s">
        <v>338</v>
      </c>
      <c r="H3210">
        <v>23732</v>
      </c>
      <c r="I3210" t="s">
        <v>23</v>
      </c>
      <c r="J3210" t="s">
        <v>40</v>
      </c>
      <c r="K3210" s="2" t="s">
        <v>2344</v>
      </c>
      <c r="L3210" t="s">
        <v>26</v>
      </c>
      <c r="M3210">
        <v>336321</v>
      </c>
      <c r="N3210">
        <v>1</v>
      </c>
      <c r="O3210" s="3">
        <v>67950</v>
      </c>
      <c r="P3210" s="3">
        <v>26539</v>
      </c>
      <c r="Q3210" s="5">
        <f t="shared" si="150"/>
        <v>57100.840336134454</v>
      </c>
      <c r="R3210" s="5">
        <f t="shared" si="151"/>
        <v>26539</v>
      </c>
      <c r="S3210" s="5">
        <f t="shared" si="152"/>
        <v>30561.840336134454</v>
      </c>
    </row>
    <row r="3211" spans="1:19" hidden="1" x14ac:dyDescent="0.3">
      <c r="A3211">
        <v>170</v>
      </c>
      <c r="B3211" t="s">
        <v>4809</v>
      </c>
      <c r="C3211" t="s">
        <v>3450</v>
      </c>
      <c r="D3211" s="2" t="s">
        <v>3451</v>
      </c>
      <c r="E3211" t="s">
        <v>3452</v>
      </c>
      <c r="F3211" t="s">
        <v>377</v>
      </c>
      <c r="G3211" t="s">
        <v>21</v>
      </c>
      <c r="H3211" t="s">
        <v>378</v>
      </c>
      <c r="I3211" t="s">
        <v>23</v>
      </c>
      <c r="J3211" t="s">
        <v>379</v>
      </c>
      <c r="K3211" s="2" t="s">
        <v>2344</v>
      </c>
      <c r="L3211" t="s">
        <v>26</v>
      </c>
      <c r="M3211">
        <v>336322</v>
      </c>
      <c r="N3211">
        <v>1</v>
      </c>
      <c r="O3211" s="3">
        <v>6950</v>
      </c>
      <c r="P3211" s="3">
        <v>3458</v>
      </c>
      <c r="Q3211" s="5">
        <f t="shared" si="150"/>
        <v>5840.3361344537816</v>
      </c>
      <c r="R3211" s="5">
        <f t="shared" si="151"/>
        <v>3458</v>
      </c>
      <c r="S3211" s="5">
        <f t="shared" si="152"/>
        <v>2382.3361344537816</v>
      </c>
    </row>
    <row r="3212" spans="1:19" hidden="1" x14ac:dyDescent="0.3">
      <c r="A3212">
        <v>170</v>
      </c>
      <c r="B3212" t="s">
        <v>4809</v>
      </c>
      <c r="C3212" t="s">
        <v>3196</v>
      </c>
      <c r="D3212" s="2" t="s">
        <v>3197</v>
      </c>
      <c r="E3212" t="s">
        <v>717</v>
      </c>
      <c r="F3212" t="s">
        <v>20</v>
      </c>
      <c r="G3212" t="s">
        <v>21</v>
      </c>
      <c r="H3212" t="s">
        <v>718</v>
      </c>
      <c r="I3212" t="s">
        <v>23</v>
      </c>
      <c r="J3212" t="s">
        <v>49</v>
      </c>
      <c r="K3212" s="2" t="s">
        <v>2344</v>
      </c>
      <c r="L3212" t="s">
        <v>26</v>
      </c>
      <c r="M3212">
        <v>336323</v>
      </c>
      <c r="N3212">
        <v>1</v>
      </c>
      <c r="O3212" s="3">
        <v>39990</v>
      </c>
      <c r="P3212" s="3">
        <v>26658</v>
      </c>
      <c r="Q3212" s="5">
        <f t="shared" si="150"/>
        <v>33605.042016806721</v>
      </c>
      <c r="R3212" s="5">
        <f t="shared" si="151"/>
        <v>26658</v>
      </c>
      <c r="S3212" s="5">
        <f t="shared" si="152"/>
        <v>6947.0420168067212</v>
      </c>
    </row>
    <row r="3213" spans="1:19" hidden="1" x14ac:dyDescent="0.3">
      <c r="A3213">
        <v>170</v>
      </c>
      <c r="B3213" t="s">
        <v>4809</v>
      </c>
      <c r="C3213" t="s">
        <v>2804</v>
      </c>
      <c r="D3213" s="2" t="s">
        <v>2805</v>
      </c>
      <c r="E3213" t="s">
        <v>512</v>
      </c>
      <c r="F3213" t="s">
        <v>20</v>
      </c>
      <c r="G3213" t="s">
        <v>21</v>
      </c>
      <c r="H3213" t="s">
        <v>513</v>
      </c>
      <c r="I3213" t="s">
        <v>23</v>
      </c>
      <c r="J3213" t="s">
        <v>35</v>
      </c>
      <c r="K3213" s="2" t="s">
        <v>2344</v>
      </c>
      <c r="L3213" t="s">
        <v>26</v>
      </c>
      <c r="M3213">
        <v>336324</v>
      </c>
      <c r="N3213">
        <v>1</v>
      </c>
      <c r="O3213" s="3">
        <v>119950</v>
      </c>
      <c r="P3213" s="3">
        <v>63050</v>
      </c>
      <c r="Q3213" s="5">
        <f t="shared" si="150"/>
        <v>100798.31932773109</v>
      </c>
      <c r="R3213" s="5">
        <f t="shared" si="151"/>
        <v>63050</v>
      </c>
      <c r="S3213" s="5">
        <f t="shared" si="152"/>
        <v>37748.319327731093</v>
      </c>
    </row>
    <row r="3214" spans="1:19" hidden="1" x14ac:dyDescent="0.3">
      <c r="A3214">
        <v>170</v>
      </c>
      <c r="B3214" t="s">
        <v>4809</v>
      </c>
      <c r="C3214" t="s">
        <v>4876</v>
      </c>
      <c r="D3214" s="2" t="s">
        <v>4877</v>
      </c>
      <c r="E3214" t="s">
        <v>1327</v>
      </c>
      <c r="F3214" t="s">
        <v>20</v>
      </c>
      <c r="G3214" t="s">
        <v>21</v>
      </c>
      <c r="H3214" t="s">
        <v>247</v>
      </c>
      <c r="I3214" t="s">
        <v>23</v>
      </c>
      <c r="J3214" t="s">
        <v>40</v>
      </c>
      <c r="K3214" s="2" t="s">
        <v>2344</v>
      </c>
      <c r="L3214" t="s">
        <v>26</v>
      </c>
      <c r="M3214">
        <v>336325</v>
      </c>
      <c r="N3214">
        <v>1</v>
      </c>
      <c r="O3214" s="3">
        <v>59950</v>
      </c>
      <c r="P3214" s="3">
        <v>16541</v>
      </c>
      <c r="Q3214" s="5">
        <f t="shared" si="150"/>
        <v>50378.151260504201</v>
      </c>
      <c r="R3214" s="5">
        <f t="shared" si="151"/>
        <v>16541</v>
      </c>
      <c r="S3214" s="5">
        <f t="shared" si="152"/>
        <v>33837.151260504201</v>
      </c>
    </row>
    <row r="3215" spans="1:19" hidden="1" x14ac:dyDescent="0.3">
      <c r="A3215">
        <v>170</v>
      </c>
      <c r="B3215" t="s">
        <v>4809</v>
      </c>
      <c r="C3215" t="s">
        <v>2097</v>
      </c>
      <c r="D3215" s="2" t="s">
        <v>2098</v>
      </c>
      <c r="E3215" t="s">
        <v>494</v>
      </c>
      <c r="F3215" t="s">
        <v>20</v>
      </c>
      <c r="G3215" t="s">
        <v>21</v>
      </c>
      <c r="H3215" t="s">
        <v>317</v>
      </c>
      <c r="I3215" t="s">
        <v>23</v>
      </c>
      <c r="J3215" t="s">
        <v>35</v>
      </c>
      <c r="K3215" s="2" t="s">
        <v>2344</v>
      </c>
      <c r="L3215" t="s">
        <v>26</v>
      </c>
      <c r="M3215">
        <v>336326</v>
      </c>
      <c r="N3215">
        <v>1</v>
      </c>
      <c r="O3215" s="3">
        <v>69950</v>
      </c>
      <c r="P3215" s="3">
        <v>23619</v>
      </c>
      <c r="Q3215" s="5">
        <f t="shared" si="150"/>
        <v>58781.512605042022</v>
      </c>
      <c r="R3215" s="5">
        <f t="shared" si="151"/>
        <v>23619</v>
      </c>
      <c r="S3215" s="5">
        <f t="shared" si="152"/>
        <v>35162.512605042022</v>
      </c>
    </row>
    <row r="3216" spans="1:19" hidden="1" x14ac:dyDescent="0.3">
      <c r="A3216">
        <v>170</v>
      </c>
      <c r="B3216" t="s">
        <v>4809</v>
      </c>
      <c r="C3216" t="s">
        <v>4878</v>
      </c>
      <c r="D3216" s="2" t="s">
        <v>4879</v>
      </c>
      <c r="E3216" t="s">
        <v>2653</v>
      </c>
      <c r="F3216" t="s">
        <v>20</v>
      </c>
      <c r="G3216" t="s">
        <v>21</v>
      </c>
      <c r="H3216" t="s">
        <v>2315</v>
      </c>
      <c r="I3216" t="s">
        <v>23</v>
      </c>
      <c r="J3216" t="s">
        <v>35</v>
      </c>
      <c r="K3216" s="2" t="s">
        <v>2344</v>
      </c>
      <c r="L3216" t="s">
        <v>26</v>
      </c>
      <c r="M3216">
        <v>336327</v>
      </c>
      <c r="N3216">
        <v>1</v>
      </c>
      <c r="O3216" s="3">
        <v>89950</v>
      </c>
      <c r="P3216" s="3">
        <v>30749</v>
      </c>
      <c r="Q3216" s="5">
        <f t="shared" si="150"/>
        <v>75588.23529411765</v>
      </c>
      <c r="R3216" s="5">
        <f t="shared" si="151"/>
        <v>30749</v>
      </c>
      <c r="S3216" s="5">
        <f t="shared" si="152"/>
        <v>44839.23529411765</v>
      </c>
    </row>
    <row r="3217" spans="1:19" hidden="1" x14ac:dyDescent="0.3">
      <c r="A3217">
        <v>170</v>
      </c>
      <c r="B3217" t="s">
        <v>4809</v>
      </c>
      <c r="C3217" t="s">
        <v>2525</v>
      </c>
      <c r="D3217" s="2" t="s">
        <v>2526</v>
      </c>
      <c r="E3217" t="s">
        <v>2527</v>
      </c>
      <c r="F3217" t="s">
        <v>377</v>
      </c>
      <c r="G3217" t="s">
        <v>21</v>
      </c>
      <c r="H3217" t="s">
        <v>378</v>
      </c>
      <c r="I3217" t="s">
        <v>23</v>
      </c>
      <c r="J3217" t="s">
        <v>2459</v>
      </c>
      <c r="K3217" s="2" t="s">
        <v>2344</v>
      </c>
      <c r="L3217" t="s">
        <v>26</v>
      </c>
      <c r="M3217">
        <v>336328</v>
      </c>
      <c r="N3217">
        <v>1</v>
      </c>
      <c r="O3217" s="3">
        <v>6950</v>
      </c>
      <c r="P3217" s="3">
        <v>2964</v>
      </c>
      <c r="Q3217" s="5">
        <f t="shared" si="150"/>
        <v>5840.3361344537816</v>
      </c>
      <c r="R3217" s="5">
        <f t="shared" si="151"/>
        <v>2964</v>
      </c>
      <c r="S3217" s="5">
        <f t="shared" si="152"/>
        <v>2876.3361344537816</v>
      </c>
    </row>
    <row r="3218" spans="1:19" hidden="1" x14ac:dyDescent="0.3">
      <c r="A3218">
        <v>170</v>
      </c>
      <c r="B3218" t="s">
        <v>4809</v>
      </c>
      <c r="C3218" t="s">
        <v>2519</v>
      </c>
      <c r="D3218" s="2" t="s">
        <v>2520</v>
      </c>
      <c r="E3218" t="s">
        <v>2255</v>
      </c>
      <c r="F3218" t="s">
        <v>20</v>
      </c>
      <c r="G3218" t="s">
        <v>338</v>
      </c>
      <c r="H3218">
        <v>22318</v>
      </c>
      <c r="I3218" t="s">
        <v>23</v>
      </c>
      <c r="J3218" t="s">
        <v>49</v>
      </c>
      <c r="K3218" s="2" t="s">
        <v>2344</v>
      </c>
      <c r="L3218" t="s">
        <v>26</v>
      </c>
      <c r="M3218">
        <v>336329</v>
      </c>
      <c r="N3218">
        <v>1</v>
      </c>
      <c r="O3218" s="3">
        <v>74950</v>
      </c>
      <c r="P3218" s="3">
        <v>23473</v>
      </c>
      <c r="Q3218" s="5">
        <f t="shared" si="150"/>
        <v>62983.193277310929</v>
      </c>
      <c r="R3218" s="5">
        <f t="shared" si="151"/>
        <v>23473</v>
      </c>
      <c r="S3218" s="5">
        <f t="shared" si="152"/>
        <v>39510.193277310929</v>
      </c>
    </row>
    <row r="3219" spans="1:19" hidden="1" x14ac:dyDescent="0.3">
      <c r="A3219">
        <v>170</v>
      </c>
      <c r="B3219" t="s">
        <v>4809</v>
      </c>
      <c r="C3219" t="s">
        <v>2193</v>
      </c>
      <c r="D3219" s="2" t="s">
        <v>2194</v>
      </c>
      <c r="E3219" t="s">
        <v>2195</v>
      </c>
      <c r="F3219" t="s">
        <v>20</v>
      </c>
      <c r="G3219" t="s">
        <v>338</v>
      </c>
      <c r="H3219">
        <v>24722</v>
      </c>
      <c r="I3219" t="s">
        <v>23</v>
      </c>
      <c r="J3219" t="s">
        <v>95</v>
      </c>
      <c r="K3219" s="2" t="s">
        <v>2344</v>
      </c>
      <c r="L3219" t="s">
        <v>26</v>
      </c>
      <c r="M3219">
        <v>336330</v>
      </c>
      <c r="N3219">
        <v>1</v>
      </c>
      <c r="O3219" s="3">
        <v>89950</v>
      </c>
      <c r="P3219" s="3">
        <v>30987</v>
      </c>
      <c r="Q3219" s="5">
        <f t="shared" si="150"/>
        <v>75588.23529411765</v>
      </c>
      <c r="R3219" s="5">
        <f t="shared" si="151"/>
        <v>30987</v>
      </c>
      <c r="S3219" s="5">
        <f t="shared" si="152"/>
        <v>44601.23529411765</v>
      </c>
    </row>
    <row r="3220" spans="1:19" hidden="1" x14ac:dyDescent="0.3">
      <c r="A3220">
        <v>170</v>
      </c>
      <c r="B3220" t="s">
        <v>4809</v>
      </c>
      <c r="C3220" t="s">
        <v>1419</v>
      </c>
      <c r="D3220" s="2" t="s">
        <v>1420</v>
      </c>
      <c r="E3220" t="s">
        <v>1421</v>
      </c>
      <c r="F3220" t="s">
        <v>20</v>
      </c>
      <c r="G3220" t="s">
        <v>21</v>
      </c>
      <c r="H3220" t="s">
        <v>1422</v>
      </c>
      <c r="I3220" t="s">
        <v>23</v>
      </c>
      <c r="J3220" t="s">
        <v>49</v>
      </c>
      <c r="K3220" s="2" t="s">
        <v>2344</v>
      </c>
      <c r="L3220" t="s">
        <v>26</v>
      </c>
      <c r="M3220">
        <v>336331</v>
      </c>
      <c r="N3220">
        <v>-1</v>
      </c>
      <c r="O3220" s="3">
        <v>-74950</v>
      </c>
      <c r="P3220" s="3">
        <v>25183</v>
      </c>
      <c r="Q3220" s="5">
        <f t="shared" si="150"/>
        <v>-62983.193277310929</v>
      </c>
      <c r="R3220" s="5">
        <f t="shared" si="151"/>
        <v>-25183</v>
      </c>
      <c r="S3220" s="5">
        <f t="shared" si="152"/>
        <v>-37800.193277310929</v>
      </c>
    </row>
    <row r="3221" spans="1:19" hidden="1" x14ac:dyDescent="0.3">
      <c r="A3221">
        <v>170</v>
      </c>
      <c r="B3221" t="s">
        <v>4809</v>
      </c>
      <c r="C3221" t="s">
        <v>988</v>
      </c>
      <c r="D3221" s="2" t="s">
        <v>989</v>
      </c>
      <c r="E3221" t="s">
        <v>990</v>
      </c>
      <c r="F3221" t="s">
        <v>20</v>
      </c>
      <c r="G3221" t="s">
        <v>21</v>
      </c>
      <c r="H3221" t="s">
        <v>991</v>
      </c>
      <c r="I3221" t="s">
        <v>23</v>
      </c>
      <c r="J3221" t="s">
        <v>49</v>
      </c>
      <c r="K3221" s="2" t="s">
        <v>2344</v>
      </c>
      <c r="L3221" t="s">
        <v>26</v>
      </c>
      <c r="M3221">
        <v>336331</v>
      </c>
      <c r="N3221">
        <v>1</v>
      </c>
      <c r="O3221" s="3">
        <v>70001</v>
      </c>
      <c r="P3221" s="3">
        <v>22162</v>
      </c>
      <c r="Q3221" s="5">
        <f t="shared" si="150"/>
        <v>58824.36974789916</v>
      </c>
      <c r="R3221" s="5">
        <f t="shared" si="151"/>
        <v>22162</v>
      </c>
      <c r="S3221" s="5">
        <f t="shared" si="152"/>
        <v>36662.36974789916</v>
      </c>
    </row>
    <row r="3222" spans="1:19" hidden="1" x14ac:dyDescent="0.3">
      <c r="A3222">
        <v>170</v>
      </c>
      <c r="B3222" t="s">
        <v>4809</v>
      </c>
      <c r="C3222" t="s">
        <v>700</v>
      </c>
      <c r="D3222" s="2" t="s">
        <v>701</v>
      </c>
      <c r="E3222" t="s">
        <v>702</v>
      </c>
      <c r="F3222" t="s">
        <v>377</v>
      </c>
      <c r="G3222" t="s">
        <v>21</v>
      </c>
      <c r="H3222" t="s">
        <v>378</v>
      </c>
      <c r="I3222" t="s">
        <v>23</v>
      </c>
      <c r="J3222" t="s">
        <v>379</v>
      </c>
      <c r="K3222" s="2" t="s">
        <v>2344</v>
      </c>
      <c r="L3222" t="s">
        <v>26</v>
      </c>
      <c r="M3222">
        <v>336331</v>
      </c>
      <c r="N3222">
        <v>1</v>
      </c>
      <c r="O3222" s="3">
        <v>4950</v>
      </c>
      <c r="P3222" s="3">
        <v>2529</v>
      </c>
      <c r="Q3222" s="5">
        <f t="shared" si="150"/>
        <v>4159.6638655462184</v>
      </c>
      <c r="R3222" s="5">
        <f t="shared" si="151"/>
        <v>2529</v>
      </c>
      <c r="S3222" s="5">
        <f t="shared" si="152"/>
        <v>1630.6638655462184</v>
      </c>
    </row>
    <row r="3223" spans="1:19" hidden="1" x14ac:dyDescent="0.3">
      <c r="A3223">
        <v>170</v>
      </c>
      <c r="B3223" t="s">
        <v>4809</v>
      </c>
      <c r="C3223" t="s">
        <v>1037</v>
      </c>
      <c r="D3223" s="2" t="s">
        <v>1038</v>
      </c>
      <c r="E3223" t="s">
        <v>1039</v>
      </c>
      <c r="F3223" t="s">
        <v>377</v>
      </c>
      <c r="G3223" t="s">
        <v>21</v>
      </c>
      <c r="H3223" t="s">
        <v>378</v>
      </c>
      <c r="I3223" t="s">
        <v>23</v>
      </c>
      <c r="J3223" t="s">
        <v>379</v>
      </c>
      <c r="K3223" s="2" t="s">
        <v>2344</v>
      </c>
      <c r="L3223" t="s">
        <v>26</v>
      </c>
      <c r="M3223">
        <v>336332</v>
      </c>
      <c r="N3223">
        <v>1</v>
      </c>
      <c r="O3223" s="3">
        <v>5950</v>
      </c>
      <c r="P3223" s="3">
        <v>3257</v>
      </c>
      <c r="Q3223" s="5">
        <f t="shared" si="150"/>
        <v>5000</v>
      </c>
      <c r="R3223" s="5">
        <f t="shared" si="151"/>
        <v>3257</v>
      </c>
      <c r="S3223" s="5">
        <f t="shared" si="152"/>
        <v>1743</v>
      </c>
    </row>
    <row r="3224" spans="1:19" hidden="1" x14ac:dyDescent="0.3">
      <c r="A3224">
        <v>170</v>
      </c>
      <c r="B3224" t="s">
        <v>4809</v>
      </c>
      <c r="C3224" t="s">
        <v>2575</v>
      </c>
      <c r="D3224" s="2" t="s">
        <v>2576</v>
      </c>
      <c r="E3224" t="s">
        <v>2577</v>
      </c>
      <c r="F3224" t="s">
        <v>377</v>
      </c>
      <c r="G3224" t="s">
        <v>21</v>
      </c>
      <c r="H3224" t="s">
        <v>378</v>
      </c>
      <c r="I3224" t="s">
        <v>23</v>
      </c>
      <c r="J3224" t="s">
        <v>379</v>
      </c>
      <c r="K3224" s="2" t="s">
        <v>2344</v>
      </c>
      <c r="L3224" t="s">
        <v>26</v>
      </c>
      <c r="M3224">
        <v>336332</v>
      </c>
      <c r="N3224">
        <v>1</v>
      </c>
      <c r="O3224" s="3">
        <v>5950</v>
      </c>
      <c r="P3224" s="3">
        <v>3307</v>
      </c>
      <c r="Q3224" s="5">
        <f t="shared" si="150"/>
        <v>5000</v>
      </c>
      <c r="R3224" s="5">
        <f t="shared" si="151"/>
        <v>3307</v>
      </c>
      <c r="S3224" s="5">
        <f t="shared" si="152"/>
        <v>1693</v>
      </c>
    </row>
    <row r="3225" spans="1:19" hidden="1" x14ac:dyDescent="0.3">
      <c r="A3225">
        <v>170</v>
      </c>
      <c r="B3225" t="s">
        <v>4809</v>
      </c>
      <c r="C3225" t="s">
        <v>1850</v>
      </c>
      <c r="D3225" s="2" t="s">
        <v>1851</v>
      </c>
      <c r="E3225" t="s">
        <v>1852</v>
      </c>
      <c r="F3225" t="s">
        <v>20</v>
      </c>
      <c r="G3225" t="s">
        <v>21</v>
      </c>
      <c r="H3225" t="s">
        <v>1345</v>
      </c>
      <c r="I3225" t="s">
        <v>23</v>
      </c>
      <c r="J3225" t="s">
        <v>40</v>
      </c>
      <c r="K3225" s="2" t="s">
        <v>2344</v>
      </c>
      <c r="L3225" t="s">
        <v>26</v>
      </c>
      <c r="M3225">
        <v>336333</v>
      </c>
      <c r="N3225">
        <v>1</v>
      </c>
      <c r="O3225" s="3">
        <v>29990</v>
      </c>
      <c r="P3225" s="3">
        <v>17216</v>
      </c>
      <c r="Q3225" s="5">
        <f t="shared" si="150"/>
        <v>25201.680672268907</v>
      </c>
      <c r="R3225" s="5">
        <f t="shared" si="151"/>
        <v>17216</v>
      </c>
      <c r="S3225" s="5">
        <f t="shared" si="152"/>
        <v>7985.6806722689071</v>
      </c>
    </row>
    <row r="3226" spans="1:19" hidden="1" x14ac:dyDescent="0.3">
      <c r="A3226">
        <v>170</v>
      </c>
      <c r="B3226" t="s">
        <v>4809</v>
      </c>
      <c r="C3226" t="s">
        <v>3255</v>
      </c>
      <c r="D3226" s="2" t="s">
        <v>3256</v>
      </c>
      <c r="E3226" t="s">
        <v>2653</v>
      </c>
      <c r="F3226" t="s">
        <v>20</v>
      </c>
      <c r="G3226" t="s">
        <v>21</v>
      </c>
      <c r="H3226" t="s">
        <v>2315</v>
      </c>
      <c r="I3226" t="s">
        <v>23</v>
      </c>
      <c r="J3226" t="s">
        <v>35</v>
      </c>
      <c r="K3226" s="2" t="s">
        <v>2344</v>
      </c>
      <c r="L3226" t="s">
        <v>26</v>
      </c>
      <c r="M3226">
        <v>336334</v>
      </c>
      <c r="N3226">
        <v>1</v>
      </c>
      <c r="O3226" s="3">
        <v>89950</v>
      </c>
      <c r="P3226" s="3">
        <v>30749</v>
      </c>
      <c r="Q3226" s="5">
        <f t="shared" si="150"/>
        <v>75588.23529411765</v>
      </c>
      <c r="R3226" s="5">
        <f t="shared" si="151"/>
        <v>30749</v>
      </c>
      <c r="S3226" s="5">
        <f t="shared" si="152"/>
        <v>44839.23529411765</v>
      </c>
    </row>
    <row r="3227" spans="1:19" hidden="1" x14ac:dyDescent="0.3">
      <c r="A3227">
        <v>170</v>
      </c>
      <c r="B3227" t="s">
        <v>4809</v>
      </c>
      <c r="C3227" t="s">
        <v>3906</v>
      </c>
      <c r="D3227" s="2" t="s">
        <v>3907</v>
      </c>
      <c r="E3227" t="s">
        <v>2542</v>
      </c>
      <c r="F3227" t="s">
        <v>20</v>
      </c>
      <c r="G3227" t="s">
        <v>21</v>
      </c>
      <c r="H3227" t="s">
        <v>2469</v>
      </c>
      <c r="I3227" t="s">
        <v>23</v>
      </c>
      <c r="J3227" t="s">
        <v>49</v>
      </c>
      <c r="K3227" s="2" t="s">
        <v>2344</v>
      </c>
      <c r="L3227" t="s">
        <v>26</v>
      </c>
      <c r="M3227">
        <v>336335</v>
      </c>
      <c r="N3227">
        <v>1</v>
      </c>
      <c r="O3227" s="3">
        <v>64950</v>
      </c>
      <c r="P3227" s="3">
        <v>21343</v>
      </c>
      <c r="Q3227" s="5">
        <f t="shared" si="150"/>
        <v>54579.831932773115</v>
      </c>
      <c r="R3227" s="5">
        <f t="shared" si="151"/>
        <v>21343</v>
      </c>
      <c r="S3227" s="5">
        <f t="shared" si="152"/>
        <v>33236.831932773115</v>
      </c>
    </row>
    <row r="3228" spans="1:19" hidden="1" x14ac:dyDescent="0.3">
      <c r="A3228">
        <v>170</v>
      </c>
      <c r="B3228" t="s">
        <v>4809</v>
      </c>
      <c r="C3228" t="s">
        <v>2691</v>
      </c>
      <c r="D3228" s="2" t="s">
        <v>2692</v>
      </c>
      <c r="E3228" t="s">
        <v>2436</v>
      </c>
      <c r="F3228" t="s">
        <v>20</v>
      </c>
      <c r="G3228" t="s">
        <v>338</v>
      </c>
      <c r="H3228">
        <v>22318</v>
      </c>
      <c r="I3228" t="s">
        <v>23</v>
      </c>
      <c r="J3228" t="s">
        <v>49</v>
      </c>
      <c r="K3228" s="2" t="s">
        <v>2344</v>
      </c>
      <c r="L3228" t="s">
        <v>26</v>
      </c>
      <c r="M3228">
        <v>336336</v>
      </c>
      <c r="N3228">
        <v>1</v>
      </c>
      <c r="O3228" s="3">
        <v>74950</v>
      </c>
      <c r="P3228" s="3">
        <v>23473</v>
      </c>
      <c r="Q3228" s="5">
        <f t="shared" si="150"/>
        <v>62983.193277310929</v>
      </c>
      <c r="R3228" s="5">
        <f t="shared" si="151"/>
        <v>23473</v>
      </c>
      <c r="S3228" s="5">
        <f t="shared" si="152"/>
        <v>39510.193277310929</v>
      </c>
    </row>
    <row r="3229" spans="1:19" hidden="1" x14ac:dyDescent="0.3">
      <c r="A3229">
        <v>170</v>
      </c>
      <c r="B3229" t="s">
        <v>4809</v>
      </c>
      <c r="C3229" t="s">
        <v>4880</v>
      </c>
      <c r="D3229" s="2" t="s">
        <v>4881</v>
      </c>
      <c r="E3229" t="s">
        <v>2899</v>
      </c>
      <c r="F3229" t="s">
        <v>20</v>
      </c>
      <c r="G3229" t="s">
        <v>21</v>
      </c>
      <c r="H3229" t="s">
        <v>295</v>
      </c>
      <c r="I3229" t="s">
        <v>23</v>
      </c>
      <c r="J3229" t="s">
        <v>40</v>
      </c>
      <c r="K3229" s="2" t="s">
        <v>2344</v>
      </c>
      <c r="L3229" t="s">
        <v>26</v>
      </c>
      <c r="M3229">
        <v>336337</v>
      </c>
      <c r="N3229">
        <v>1</v>
      </c>
      <c r="O3229" s="3">
        <v>67950</v>
      </c>
      <c r="P3229" s="3">
        <v>26951</v>
      </c>
      <c r="Q3229" s="5">
        <f t="shared" si="150"/>
        <v>57100.840336134454</v>
      </c>
      <c r="R3229" s="5">
        <f t="shared" si="151"/>
        <v>26951</v>
      </c>
      <c r="S3229" s="5">
        <f t="shared" si="152"/>
        <v>30149.840336134454</v>
      </c>
    </row>
    <row r="3230" spans="1:19" hidden="1" x14ac:dyDescent="0.3">
      <c r="A3230">
        <v>170</v>
      </c>
      <c r="B3230" t="s">
        <v>4809</v>
      </c>
      <c r="C3230" t="s">
        <v>1328</v>
      </c>
      <c r="D3230" s="2" t="s">
        <v>1329</v>
      </c>
      <c r="E3230" t="s">
        <v>1330</v>
      </c>
      <c r="F3230" t="s">
        <v>20</v>
      </c>
      <c r="G3230" t="s">
        <v>338</v>
      </c>
      <c r="H3230">
        <v>25133</v>
      </c>
      <c r="I3230" t="s">
        <v>23</v>
      </c>
      <c r="J3230" t="s">
        <v>35</v>
      </c>
      <c r="K3230" s="2" t="s">
        <v>2344</v>
      </c>
      <c r="L3230" t="s">
        <v>26</v>
      </c>
      <c r="M3230">
        <v>336337</v>
      </c>
      <c r="N3230">
        <v>1</v>
      </c>
      <c r="O3230" s="3">
        <v>63700</v>
      </c>
      <c r="P3230" s="3">
        <v>21167</v>
      </c>
      <c r="Q3230" s="5">
        <f t="shared" si="150"/>
        <v>53529.411764705888</v>
      </c>
      <c r="R3230" s="5">
        <f t="shared" si="151"/>
        <v>21167</v>
      </c>
      <c r="S3230" s="5">
        <f t="shared" si="152"/>
        <v>32362.411764705888</v>
      </c>
    </row>
    <row r="3231" spans="1:19" hidden="1" x14ac:dyDescent="0.3">
      <c r="A3231">
        <v>170</v>
      </c>
      <c r="B3231" t="s">
        <v>4809</v>
      </c>
      <c r="C3231" t="s">
        <v>3983</v>
      </c>
      <c r="D3231" s="2" t="s">
        <v>3984</v>
      </c>
      <c r="E3231" t="s">
        <v>3328</v>
      </c>
      <c r="F3231" t="s">
        <v>20</v>
      </c>
      <c r="G3231" t="s">
        <v>338</v>
      </c>
      <c r="H3231">
        <v>23720</v>
      </c>
      <c r="I3231" t="s">
        <v>23</v>
      </c>
      <c r="J3231" t="s">
        <v>40</v>
      </c>
      <c r="K3231" s="2" t="s">
        <v>2344</v>
      </c>
      <c r="L3231" t="s">
        <v>26</v>
      </c>
      <c r="M3231">
        <v>336338</v>
      </c>
      <c r="N3231">
        <v>1</v>
      </c>
      <c r="O3231" s="3">
        <v>59950</v>
      </c>
      <c r="P3231" s="3">
        <v>19646</v>
      </c>
      <c r="Q3231" s="5">
        <f t="shared" si="150"/>
        <v>50378.151260504201</v>
      </c>
      <c r="R3231" s="5">
        <f t="shared" si="151"/>
        <v>19646</v>
      </c>
      <c r="S3231" s="5">
        <f t="shared" si="152"/>
        <v>30732.151260504201</v>
      </c>
    </row>
    <row r="3232" spans="1:19" hidden="1" x14ac:dyDescent="0.3">
      <c r="A3232">
        <v>170</v>
      </c>
      <c r="B3232" t="s">
        <v>4809</v>
      </c>
      <c r="C3232" t="s">
        <v>4882</v>
      </c>
      <c r="D3232" s="2" t="s">
        <v>4883</v>
      </c>
      <c r="E3232" t="s">
        <v>3764</v>
      </c>
      <c r="F3232" t="s">
        <v>20</v>
      </c>
      <c r="G3232" t="s">
        <v>21</v>
      </c>
      <c r="H3232" t="s">
        <v>1282</v>
      </c>
      <c r="I3232" t="s">
        <v>23</v>
      </c>
      <c r="J3232" t="s">
        <v>40</v>
      </c>
      <c r="K3232" s="2" t="s">
        <v>2344</v>
      </c>
      <c r="L3232" t="s">
        <v>26</v>
      </c>
      <c r="M3232">
        <v>336339</v>
      </c>
      <c r="N3232">
        <v>1</v>
      </c>
      <c r="O3232" s="3">
        <v>49950</v>
      </c>
      <c r="P3232" s="3">
        <v>13922</v>
      </c>
      <c r="Q3232" s="5">
        <f t="shared" si="150"/>
        <v>41974.789915966387</v>
      </c>
      <c r="R3232" s="5">
        <f t="shared" si="151"/>
        <v>13922</v>
      </c>
      <c r="S3232" s="5">
        <f t="shared" si="152"/>
        <v>28052.789915966387</v>
      </c>
    </row>
    <row r="3233" spans="1:19" hidden="1" x14ac:dyDescent="0.3">
      <c r="A3233">
        <v>170</v>
      </c>
      <c r="B3233" t="s">
        <v>4809</v>
      </c>
      <c r="C3233" t="s">
        <v>2926</v>
      </c>
      <c r="D3233" s="2" t="s">
        <v>2927</v>
      </c>
      <c r="E3233" t="s">
        <v>2110</v>
      </c>
      <c r="F3233" t="s">
        <v>20</v>
      </c>
      <c r="G3233" t="s">
        <v>21</v>
      </c>
      <c r="H3233" t="s">
        <v>22</v>
      </c>
      <c r="I3233" t="s">
        <v>23</v>
      </c>
      <c r="J3233" t="s">
        <v>24</v>
      </c>
      <c r="K3233" s="2" t="s">
        <v>2344</v>
      </c>
      <c r="L3233" t="s">
        <v>26</v>
      </c>
      <c r="M3233">
        <v>336340</v>
      </c>
      <c r="N3233">
        <v>1</v>
      </c>
      <c r="O3233" s="3">
        <v>79950</v>
      </c>
      <c r="P3233" s="3">
        <v>27748</v>
      </c>
      <c r="Q3233" s="5">
        <f t="shared" si="150"/>
        <v>67184.873949579836</v>
      </c>
      <c r="R3233" s="5">
        <f t="shared" si="151"/>
        <v>27748</v>
      </c>
      <c r="S3233" s="5">
        <f t="shared" si="152"/>
        <v>39436.873949579836</v>
      </c>
    </row>
    <row r="3234" spans="1:19" hidden="1" x14ac:dyDescent="0.3">
      <c r="A3234">
        <v>170</v>
      </c>
      <c r="B3234" t="s">
        <v>4809</v>
      </c>
      <c r="C3234" t="s">
        <v>4884</v>
      </c>
      <c r="D3234" s="2" t="s">
        <v>4885</v>
      </c>
      <c r="E3234" t="s">
        <v>4662</v>
      </c>
      <c r="F3234" t="s">
        <v>20</v>
      </c>
      <c r="G3234" t="s">
        <v>21</v>
      </c>
      <c r="H3234" t="s">
        <v>2745</v>
      </c>
      <c r="I3234" t="s">
        <v>23</v>
      </c>
      <c r="J3234" t="s">
        <v>35</v>
      </c>
      <c r="K3234" s="2" t="s">
        <v>2344</v>
      </c>
      <c r="L3234" t="s">
        <v>26</v>
      </c>
      <c r="M3234">
        <v>336341</v>
      </c>
      <c r="N3234">
        <v>1</v>
      </c>
      <c r="O3234" s="3">
        <v>99950</v>
      </c>
      <c r="P3234" s="3">
        <v>33200</v>
      </c>
      <c r="Q3234" s="5">
        <f t="shared" si="150"/>
        <v>83991.596638655465</v>
      </c>
      <c r="R3234" s="5">
        <f t="shared" si="151"/>
        <v>33200</v>
      </c>
      <c r="S3234" s="5">
        <f t="shared" si="152"/>
        <v>50791.596638655465</v>
      </c>
    </row>
    <row r="3235" spans="1:19" hidden="1" x14ac:dyDescent="0.3">
      <c r="A3235">
        <v>170</v>
      </c>
      <c r="B3235" t="s">
        <v>4809</v>
      </c>
      <c r="C3235" t="s">
        <v>4886</v>
      </c>
      <c r="D3235" s="2" t="s">
        <v>4887</v>
      </c>
      <c r="E3235" t="s">
        <v>4060</v>
      </c>
      <c r="F3235" t="s">
        <v>20</v>
      </c>
      <c r="G3235" t="s">
        <v>338</v>
      </c>
      <c r="H3235">
        <v>23726</v>
      </c>
      <c r="I3235" t="s">
        <v>23</v>
      </c>
      <c r="J3235" t="s">
        <v>40</v>
      </c>
      <c r="K3235" s="2" t="s">
        <v>2344</v>
      </c>
      <c r="L3235" t="s">
        <v>26</v>
      </c>
      <c r="M3235">
        <v>336342</v>
      </c>
      <c r="N3235">
        <v>1</v>
      </c>
      <c r="O3235" s="3">
        <v>89950</v>
      </c>
      <c r="P3235" s="3">
        <v>29798</v>
      </c>
      <c r="Q3235" s="5">
        <f t="shared" si="150"/>
        <v>75588.23529411765</v>
      </c>
      <c r="R3235" s="5">
        <f t="shared" si="151"/>
        <v>29798</v>
      </c>
      <c r="S3235" s="5">
        <f t="shared" si="152"/>
        <v>45790.23529411765</v>
      </c>
    </row>
    <row r="3236" spans="1:19" hidden="1" x14ac:dyDescent="0.3">
      <c r="A3236">
        <v>170</v>
      </c>
      <c r="B3236" t="s">
        <v>4809</v>
      </c>
      <c r="C3236" t="s">
        <v>4888</v>
      </c>
      <c r="D3236" s="2" t="s">
        <v>4889</v>
      </c>
      <c r="E3236" t="s">
        <v>4890</v>
      </c>
      <c r="F3236" t="s">
        <v>20</v>
      </c>
      <c r="G3236" t="s">
        <v>21</v>
      </c>
      <c r="H3236" t="s">
        <v>44</v>
      </c>
      <c r="I3236" t="s">
        <v>23</v>
      </c>
      <c r="J3236" t="s">
        <v>40</v>
      </c>
      <c r="K3236" s="2" t="s">
        <v>2344</v>
      </c>
      <c r="L3236" t="s">
        <v>26</v>
      </c>
      <c r="M3236">
        <v>336343</v>
      </c>
      <c r="N3236">
        <v>1</v>
      </c>
      <c r="O3236" s="3">
        <v>39990</v>
      </c>
      <c r="P3236" s="3">
        <v>15368</v>
      </c>
      <c r="Q3236" s="5">
        <f t="shared" si="150"/>
        <v>33605.042016806721</v>
      </c>
      <c r="R3236" s="5">
        <f t="shared" si="151"/>
        <v>15368</v>
      </c>
      <c r="S3236" s="5">
        <f t="shared" si="152"/>
        <v>18237.042016806721</v>
      </c>
    </row>
    <row r="3237" spans="1:19" hidden="1" x14ac:dyDescent="0.3">
      <c r="A3237">
        <v>170</v>
      </c>
      <c r="B3237" t="s">
        <v>4809</v>
      </c>
      <c r="C3237" t="s">
        <v>4891</v>
      </c>
      <c r="D3237" s="2" t="s">
        <v>4892</v>
      </c>
      <c r="E3237" t="s">
        <v>2493</v>
      </c>
      <c r="F3237" t="s">
        <v>20</v>
      </c>
      <c r="G3237" t="s">
        <v>21</v>
      </c>
      <c r="H3237" t="s">
        <v>2494</v>
      </c>
      <c r="I3237" t="s">
        <v>23</v>
      </c>
      <c r="J3237" t="s">
        <v>40</v>
      </c>
      <c r="K3237" s="2" t="s">
        <v>2344</v>
      </c>
      <c r="L3237" t="s">
        <v>26</v>
      </c>
      <c r="M3237">
        <v>336344</v>
      </c>
      <c r="N3237">
        <v>1</v>
      </c>
      <c r="O3237" s="3">
        <v>69950</v>
      </c>
      <c r="P3237" s="3">
        <v>22206</v>
      </c>
      <c r="Q3237" s="5">
        <f t="shared" si="150"/>
        <v>58781.512605042022</v>
      </c>
      <c r="R3237" s="5">
        <f t="shared" si="151"/>
        <v>22206</v>
      </c>
      <c r="S3237" s="5">
        <f t="shared" si="152"/>
        <v>36575.512605042022</v>
      </c>
    </row>
    <row r="3238" spans="1:19" hidden="1" x14ac:dyDescent="0.3">
      <c r="A3238">
        <v>170</v>
      </c>
      <c r="B3238" t="s">
        <v>4809</v>
      </c>
      <c r="C3238" t="s">
        <v>4833</v>
      </c>
      <c r="D3238" s="2" t="s">
        <v>4834</v>
      </c>
      <c r="E3238" t="s">
        <v>3003</v>
      </c>
      <c r="F3238" t="s">
        <v>20</v>
      </c>
      <c r="G3238" t="s">
        <v>338</v>
      </c>
      <c r="H3238">
        <v>25312</v>
      </c>
      <c r="I3238" t="s">
        <v>23</v>
      </c>
      <c r="J3238" t="s">
        <v>35</v>
      </c>
      <c r="K3238" s="2" t="s">
        <v>2344</v>
      </c>
      <c r="L3238" t="s">
        <v>26</v>
      </c>
      <c r="M3238">
        <v>336345</v>
      </c>
      <c r="N3238">
        <v>1</v>
      </c>
      <c r="O3238" s="3">
        <v>69950</v>
      </c>
      <c r="P3238" s="3">
        <v>21167</v>
      </c>
      <c r="Q3238" s="5">
        <f t="shared" si="150"/>
        <v>58781.512605042022</v>
      </c>
      <c r="R3238" s="5">
        <f t="shared" si="151"/>
        <v>21167</v>
      </c>
      <c r="S3238" s="5">
        <f t="shared" si="152"/>
        <v>37614.512605042022</v>
      </c>
    </row>
    <row r="3239" spans="1:19" hidden="1" x14ac:dyDescent="0.3">
      <c r="A3239">
        <v>170</v>
      </c>
      <c r="B3239" t="s">
        <v>4809</v>
      </c>
      <c r="C3239" t="s">
        <v>2886</v>
      </c>
      <c r="D3239" s="2" t="s">
        <v>2887</v>
      </c>
      <c r="E3239" t="s">
        <v>2888</v>
      </c>
      <c r="F3239" t="s">
        <v>20</v>
      </c>
      <c r="G3239" t="s">
        <v>21</v>
      </c>
      <c r="H3239" t="s">
        <v>2593</v>
      </c>
      <c r="I3239" t="s">
        <v>23</v>
      </c>
      <c r="J3239" t="s">
        <v>35</v>
      </c>
      <c r="K3239" s="2" t="s">
        <v>2344</v>
      </c>
      <c r="L3239" t="s">
        <v>26</v>
      </c>
      <c r="M3239">
        <v>336346</v>
      </c>
      <c r="N3239">
        <v>1</v>
      </c>
      <c r="O3239" s="3">
        <v>99950</v>
      </c>
      <c r="P3239" s="3">
        <v>38102</v>
      </c>
      <c r="Q3239" s="5">
        <f t="shared" si="150"/>
        <v>83991.596638655465</v>
      </c>
      <c r="R3239" s="5">
        <f t="shared" si="151"/>
        <v>38102</v>
      </c>
      <c r="S3239" s="5">
        <f t="shared" si="152"/>
        <v>45889.596638655465</v>
      </c>
    </row>
    <row r="3240" spans="1:19" hidden="1" x14ac:dyDescent="0.3">
      <c r="A3240">
        <v>170</v>
      </c>
      <c r="B3240" t="s">
        <v>4809</v>
      </c>
      <c r="C3240" t="s">
        <v>4893</v>
      </c>
      <c r="D3240" s="2" t="s">
        <v>4894</v>
      </c>
      <c r="E3240" t="s">
        <v>4895</v>
      </c>
      <c r="F3240" t="s">
        <v>20</v>
      </c>
      <c r="G3240" t="s">
        <v>21</v>
      </c>
      <c r="H3240" t="s">
        <v>970</v>
      </c>
      <c r="I3240" t="s">
        <v>23</v>
      </c>
      <c r="J3240" t="s">
        <v>40</v>
      </c>
      <c r="K3240" s="2" t="s">
        <v>2344</v>
      </c>
      <c r="L3240" t="s">
        <v>26</v>
      </c>
      <c r="M3240">
        <v>336347</v>
      </c>
      <c r="N3240">
        <v>1</v>
      </c>
      <c r="O3240" s="3">
        <v>34990</v>
      </c>
      <c r="P3240" s="3">
        <v>18897</v>
      </c>
      <c r="Q3240" s="5">
        <f t="shared" si="150"/>
        <v>29403.361344537818</v>
      </c>
      <c r="R3240" s="5">
        <f t="shared" si="151"/>
        <v>18897</v>
      </c>
      <c r="S3240" s="5">
        <f t="shared" si="152"/>
        <v>10506.361344537818</v>
      </c>
    </row>
    <row r="3241" spans="1:19" hidden="1" x14ac:dyDescent="0.3">
      <c r="A3241">
        <v>170</v>
      </c>
      <c r="B3241" t="s">
        <v>4809</v>
      </c>
      <c r="C3241" t="s">
        <v>2000</v>
      </c>
      <c r="D3241" s="2" t="s">
        <v>2001</v>
      </c>
      <c r="E3241" t="s">
        <v>2002</v>
      </c>
      <c r="F3241" t="s">
        <v>20</v>
      </c>
      <c r="G3241" t="s">
        <v>338</v>
      </c>
      <c r="H3241">
        <v>25026</v>
      </c>
      <c r="I3241" t="s">
        <v>23</v>
      </c>
      <c r="J3241" t="s">
        <v>35</v>
      </c>
      <c r="K3241" s="2" t="s">
        <v>2344</v>
      </c>
      <c r="L3241" t="s">
        <v>26</v>
      </c>
      <c r="M3241">
        <v>336348</v>
      </c>
      <c r="N3241">
        <v>1</v>
      </c>
      <c r="O3241" s="3">
        <v>89950</v>
      </c>
      <c r="P3241" s="3">
        <v>28454</v>
      </c>
      <c r="Q3241" s="5">
        <f t="shared" si="150"/>
        <v>75588.23529411765</v>
      </c>
      <c r="R3241" s="5">
        <f t="shared" si="151"/>
        <v>28454</v>
      </c>
      <c r="S3241" s="5">
        <f t="shared" si="152"/>
        <v>47134.23529411765</v>
      </c>
    </row>
    <row r="3242" spans="1:19" hidden="1" x14ac:dyDescent="0.3">
      <c r="A3242">
        <v>170</v>
      </c>
      <c r="B3242" t="s">
        <v>4809</v>
      </c>
      <c r="C3242" t="s">
        <v>4896</v>
      </c>
      <c r="D3242" s="2" t="s">
        <v>4897</v>
      </c>
      <c r="E3242" t="s">
        <v>4898</v>
      </c>
      <c r="F3242" t="s">
        <v>20</v>
      </c>
      <c r="G3242" t="s">
        <v>21</v>
      </c>
      <c r="H3242" t="s">
        <v>135</v>
      </c>
      <c r="I3242" t="s">
        <v>23</v>
      </c>
      <c r="J3242" t="s">
        <v>49</v>
      </c>
      <c r="K3242" s="2" t="s">
        <v>2386</v>
      </c>
      <c r="L3242" t="s">
        <v>2249</v>
      </c>
      <c r="M3242">
        <v>25319</v>
      </c>
      <c r="N3242">
        <v>-1</v>
      </c>
      <c r="O3242" s="3">
        <v>-39990</v>
      </c>
      <c r="P3242" s="3">
        <v>33786</v>
      </c>
      <c r="Q3242" s="5">
        <f t="shared" si="150"/>
        <v>-33605.042016806721</v>
      </c>
      <c r="R3242" s="5">
        <f t="shared" si="151"/>
        <v>-33786</v>
      </c>
      <c r="S3242" s="5">
        <f t="shared" si="152"/>
        <v>180.95798319327878</v>
      </c>
    </row>
    <row r="3243" spans="1:19" hidden="1" x14ac:dyDescent="0.3">
      <c r="A3243">
        <v>170</v>
      </c>
      <c r="B3243" t="s">
        <v>4809</v>
      </c>
      <c r="C3243" t="s">
        <v>4899</v>
      </c>
      <c r="D3243" s="2" t="s">
        <v>4900</v>
      </c>
      <c r="E3243" t="s">
        <v>242</v>
      </c>
      <c r="F3243" t="s">
        <v>20</v>
      </c>
      <c r="G3243" t="s">
        <v>21</v>
      </c>
      <c r="H3243" t="s">
        <v>243</v>
      </c>
      <c r="I3243" t="s">
        <v>23</v>
      </c>
      <c r="J3243" t="s">
        <v>35</v>
      </c>
      <c r="K3243" s="2" t="s">
        <v>2386</v>
      </c>
      <c r="L3243" t="s">
        <v>26</v>
      </c>
      <c r="M3243">
        <v>336349</v>
      </c>
      <c r="N3243">
        <v>1</v>
      </c>
      <c r="O3243" s="3">
        <v>109950</v>
      </c>
      <c r="P3243" s="3">
        <v>62858</v>
      </c>
      <c r="Q3243" s="5">
        <f t="shared" si="150"/>
        <v>92394.957983193279</v>
      </c>
      <c r="R3243" s="5">
        <f t="shared" si="151"/>
        <v>62858</v>
      </c>
      <c r="S3243" s="5">
        <f t="shared" si="152"/>
        <v>29536.957983193279</v>
      </c>
    </row>
    <row r="3244" spans="1:19" hidden="1" x14ac:dyDescent="0.3">
      <c r="A3244">
        <v>170</v>
      </c>
      <c r="B3244" t="s">
        <v>4809</v>
      </c>
      <c r="C3244" t="s">
        <v>3796</v>
      </c>
      <c r="D3244" s="2" t="s">
        <v>3797</v>
      </c>
      <c r="E3244" t="s">
        <v>3195</v>
      </c>
      <c r="F3244" t="s">
        <v>20</v>
      </c>
      <c r="G3244" t="s">
        <v>338</v>
      </c>
      <c r="H3244">
        <v>25366</v>
      </c>
      <c r="I3244" t="s">
        <v>23</v>
      </c>
      <c r="J3244" t="s">
        <v>35</v>
      </c>
      <c r="K3244" s="2" t="s">
        <v>2386</v>
      </c>
      <c r="L3244" t="s">
        <v>26</v>
      </c>
      <c r="M3244">
        <v>336350</v>
      </c>
      <c r="N3244">
        <v>1</v>
      </c>
      <c r="O3244" s="3">
        <v>99950</v>
      </c>
      <c r="P3244" s="3">
        <v>33157</v>
      </c>
      <c r="Q3244" s="5">
        <f t="shared" si="150"/>
        <v>83991.596638655465</v>
      </c>
      <c r="R3244" s="5">
        <f t="shared" si="151"/>
        <v>33157</v>
      </c>
      <c r="S3244" s="5">
        <f t="shared" si="152"/>
        <v>50834.596638655465</v>
      </c>
    </row>
    <row r="3245" spans="1:19" hidden="1" x14ac:dyDescent="0.3">
      <c r="A3245">
        <v>170</v>
      </c>
      <c r="B3245" t="s">
        <v>4809</v>
      </c>
      <c r="C3245" t="s">
        <v>2365</v>
      </c>
      <c r="D3245" s="2" t="s">
        <v>2366</v>
      </c>
      <c r="E3245" t="s">
        <v>2367</v>
      </c>
      <c r="F3245" t="s">
        <v>377</v>
      </c>
      <c r="G3245" t="s">
        <v>21</v>
      </c>
      <c r="H3245" t="s">
        <v>378</v>
      </c>
      <c r="I3245" t="s">
        <v>23</v>
      </c>
      <c r="J3245" t="s">
        <v>379</v>
      </c>
      <c r="K3245" s="2" t="s">
        <v>2386</v>
      </c>
      <c r="L3245" t="s">
        <v>26</v>
      </c>
      <c r="M3245">
        <v>336351</v>
      </c>
      <c r="N3245">
        <v>1</v>
      </c>
      <c r="O3245" s="3">
        <v>6950</v>
      </c>
      <c r="P3245" s="3">
        <v>3759</v>
      </c>
      <c r="Q3245" s="5">
        <f t="shared" si="150"/>
        <v>5840.3361344537816</v>
      </c>
      <c r="R3245" s="5">
        <f t="shared" si="151"/>
        <v>3759</v>
      </c>
      <c r="S3245" s="5">
        <f t="shared" si="152"/>
        <v>2081.3361344537816</v>
      </c>
    </row>
    <row r="3246" spans="1:19" hidden="1" x14ac:dyDescent="0.3">
      <c r="A3246">
        <v>170</v>
      </c>
      <c r="B3246" t="s">
        <v>4809</v>
      </c>
      <c r="C3246" t="s">
        <v>4010</v>
      </c>
      <c r="D3246" s="2" t="s">
        <v>4011</v>
      </c>
      <c r="E3246" t="s">
        <v>1428</v>
      </c>
      <c r="F3246" t="s">
        <v>20</v>
      </c>
      <c r="G3246" t="s">
        <v>21</v>
      </c>
      <c r="H3246" t="s">
        <v>57</v>
      </c>
      <c r="I3246" t="s">
        <v>23</v>
      </c>
      <c r="J3246" t="s">
        <v>35</v>
      </c>
      <c r="K3246" s="2" t="s">
        <v>2386</v>
      </c>
      <c r="L3246" t="s">
        <v>26</v>
      </c>
      <c r="M3246">
        <v>336352</v>
      </c>
      <c r="N3246">
        <v>1</v>
      </c>
      <c r="O3246" s="3">
        <v>89950</v>
      </c>
      <c r="P3246" s="3">
        <v>31700</v>
      </c>
      <c r="Q3246" s="5">
        <f t="shared" si="150"/>
        <v>75588.23529411765</v>
      </c>
      <c r="R3246" s="5">
        <f t="shared" si="151"/>
        <v>31700</v>
      </c>
      <c r="S3246" s="5">
        <f t="shared" si="152"/>
        <v>43888.23529411765</v>
      </c>
    </row>
    <row r="3247" spans="1:19" hidden="1" x14ac:dyDescent="0.3">
      <c r="A3247">
        <v>170</v>
      </c>
      <c r="B3247" t="s">
        <v>4809</v>
      </c>
      <c r="C3247" t="s">
        <v>4901</v>
      </c>
      <c r="D3247" s="2" t="s">
        <v>4902</v>
      </c>
      <c r="E3247" t="s">
        <v>2629</v>
      </c>
      <c r="F3247" t="s">
        <v>20</v>
      </c>
      <c r="G3247" t="s">
        <v>21</v>
      </c>
      <c r="H3247" t="s">
        <v>1987</v>
      </c>
      <c r="I3247" t="s">
        <v>23</v>
      </c>
      <c r="J3247" t="s">
        <v>49</v>
      </c>
      <c r="K3247" s="2" t="s">
        <v>2386</v>
      </c>
      <c r="L3247" t="s">
        <v>26</v>
      </c>
      <c r="M3247">
        <v>336353</v>
      </c>
      <c r="N3247">
        <v>1</v>
      </c>
      <c r="O3247" s="3">
        <v>63700</v>
      </c>
      <c r="P3247" s="3">
        <v>23391</v>
      </c>
      <c r="Q3247" s="5">
        <f t="shared" si="150"/>
        <v>53529.411764705888</v>
      </c>
      <c r="R3247" s="5">
        <f t="shared" si="151"/>
        <v>23391</v>
      </c>
      <c r="S3247" s="5">
        <f t="shared" si="152"/>
        <v>30138.411764705888</v>
      </c>
    </row>
    <row r="3248" spans="1:19" hidden="1" x14ac:dyDescent="0.3">
      <c r="A3248">
        <v>170</v>
      </c>
      <c r="B3248" t="s">
        <v>4809</v>
      </c>
      <c r="C3248" t="s">
        <v>2395</v>
      </c>
      <c r="D3248" s="2" t="s">
        <v>2396</v>
      </c>
      <c r="E3248" t="s">
        <v>425</v>
      </c>
      <c r="F3248" t="s">
        <v>20</v>
      </c>
      <c r="G3248" t="s">
        <v>21</v>
      </c>
      <c r="H3248" t="s">
        <v>22</v>
      </c>
      <c r="I3248" t="s">
        <v>23</v>
      </c>
      <c r="J3248" t="s">
        <v>24</v>
      </c>
      <c r="K3248" s="2" t="s">
        <v>2386</v>
      </c>
      <c r="L3248" t="s">
        <v>26</v>
      </c>
      <c r="M3248">
        <v>336354</v>
      </c>
      <c r="N3248">
        <v>1</v>
      </c>
      <c r="O3248" s="3">
        <v>67950</v>
      </c>
      <c r="P3248" s="3">
        <v>27848</v>
      </c>
      <c r="Q3248" s="5">
        <f t="shared" si="150"/>
        <v>57100.840336134454</v>
      </c>
      <c r="R3248" s="5">
        <f t="shared" si="151"/>
        <v>27848</v>
      </c>
      <c r="S3248" s="5">
        <f t="shared" si="152"/>
        <v>29252.840336134454</v>
      </c>
    </row>
    <row r="3249" spans="1:19" hidden="1" x14ac:dyDescent="0.3">
      <c r="A3249">
        <v>170</v>
      </c>
      <c r="B3249" t="s">
        <v>4809</v>
      </c>
      <c r="C3249" t="s">
        <v>4903</v>
      </c>
      <c r="D3249" s="2" t="s">
        <v>4904</v>
      </c>
      <c r="E3249" t="s">
        <v>4577</v>
      </c>
      <c r="F3249" t="s">
        <v>20</v>
      </c>
      <c r="G3249" t="s">
        <v>338</v>
      </c>
      <c r="H3249">
        <v>23724</v>
      </c>
      <c r="I3249" t="s">
        <v>23</v>
      </c>
      <c r="J3249" t="s">
        <v>40</v>
      </c>
      <c r="K3249" s="2" t="s">
        <v>2386</v>
      </c>
      <c r="L3249" t="s">
        <v>26</v>
      </c>
      <c r="M3249">
        <v>336355</v>
      </c>
      <c r="N3249">
        <v>1</v>
      </c>
      <c r="O3249" s="3">
        <v>79950</v>
      </c>
      <c r="P3249" s="3">
        <v>26332</v>
      </c>
      <c r="Q3249" s="5">
        <f t="shared" si="150"/>
        <v>67184.873949579836</v>
      </c>
      <c r="R3249" s="5">
        <f t="shared" si="151"/>
        <v>26332</v>
      </c>
      <c r="S3249" s="5">
        <f t="shared" si="152"/>
        <v>40852.873949579836</v>
      </c>
    </row>
    <row r="3250" spans="1:19" hidden="1" x14ac:dyDescent="0.3">
      <c r="A3250">
        <v>170</v>
      </c>
      <c r="B3250" t="s">
        <v>4809</v>
      </c>
      <c r="C3250" t="s">
        <v>2505</v>
      </c>
      <c r="D3250" s="2" t="s">
        <v>2506</v>
      </c>
      <c r="E3250" t="s">
        <v>1177</v>
      </c>
      <c r="F3250" t="s">
        <v>20</v>
      </c>
      <c r="G3250" t="s">
        <v>338</v>
      </c>
      <c r="H3250">
        <v>23724</v>
      </c>
      <c r="I3250" t="s">
        <v>23</v>
      </c>
      <c r="J3250" t="s">
        <v>40</v>
      </c>
      <c r="K3250" s="2" t="s">
        <v>2386</v>
      </c>
      <c r="L3250" t="s">
        <v>26</v>
      </c>
      <c r="M3250">
        <v>336355</v>
      </c>
      <c r="N3250">
        <v>1</v>
      </c>
      <c r="O3250" s="3">
        <v>67950</v>
      </c>
      <c r="P3250" s="3">
        <v>26098</v>
      </c>
      <c r="Q3250" s="5">
        <f t="shared" si="150"/>
        <v>57100.840336134454</v>
      </c>
      <c r="R3250" s="5">
        <f t="shared" si="151"/>
        <v>26098</v>
      </c>
      <c r="S3250" s="5">
        <f t="shared" si="152"/>
        <v>31002.840336134454</v>
      </c>
    </row>
    <row r="3251" spans="1:19" hidden="1" x14ac:dyDescent="0.3">
      <c r="A3251">
        <v>170</v>
      </c>
      <c r="B3251" t="s">
        <v>4809</v>
      </c>
      <c r="C3251" t="s">
        <v>3125</v>
      </c>
      <c r="D3251" s="2" t="s">
        <v>3126</v>
      </c>
      <c r="E3251" t="s">
        <v>3127</v>
      </c>
      <c r="F3251" t="s">
        <v>20</v>
      </c>
      <c r="G3251" t="s">
        <v>21</v>
      </c>
      <c r="H3251" t="s">
        <v>3128</v>
      </c>
      <c r="I3251" t="s">
        <v>23</v>
      </c>
      <c r="J3251" t="s">
        <v>35</v>
      </c>
      <c r="K3251" s="2" t="s">
        <v>2386</v>
      </c>
      <c r="L3251" t="s">
        <v>26</v>
      </c>
      <c r="M3251">
        <v>336356</v>
      </c>
      <c r="N3251">
        <v>1</v>
      </c>
      <c r="O3251" s="3">
        <v>84950</v>
      </c>
      <c r="P3251" s="3">
        <v>29189</v>
      </c>
      <c r="Q3251" s="5">
        <f t="shared" si="150"/>
        <v>71386.554621848743</v>
      </c>
      <c r="R3251" s="5">
        <f t="shared" si="151"/>
        <v>29189</v>
      </c>
      <c r="S3251" s="5">
        <f t="shared" si="152"/>
        <v>42197.554621848743</v>
      </c>
    </row>
    <row r="3252" spans="1:19" hidden="1" x14ac:dyDescent="0.3">
      <c r="A3252">
        <v>170</v>
      </c>
      <c r="B3252" t="s">
        <v>4809</v>
      </c>
      <c r="C3252" t="s">
        <v>875</v>
      </c>
      <c r="D3252" s="2" t="s">
        <v>876</v>
      </c>
      <c r="E3252" t="s">
        <v>877</v>
      </c>
      <c r="F3252" t="s">
        <v>20</v>
      </c>
      <c r="G3252" t="s">
        <v>21</v>
      </c>
      <c r="H3252" t="s">
        <v>433</v>
      </c>
      <c r="I3252" t="s">
        <v>23</v>
      </c>
      <c r="J3252" t="s">
        <v>407</v>
      </c>
      <c r="K3252" s="2" t="s">
        <v>2386</v>
      </c>
      <c r="L3252" t="s">
        <v>26</v>
      </c>
      <c r="M3252">
        <v>336357</v>
      </c>
      <c r="N3252">
        <v>1</v>
      </c>
      <c r="O3252" s="3">
        <v>39990</v>
      </c>
      <c r="P3252" s="3">
        <v>24999</v>
      </c>
      <c r="Q3252" s="5">
        <f t="shared" si="150"/>
        <v>33605.042016806721</v>
      </c>
      <c r="R3252" s="5">
        <f t="shared" si="151"/>
        <v>24999</v>
      </c>
      <c r="S3252" s="5">
        <f t="shared" si="152"/>
        <v>8606.0420168067212</v>
      </c>
    </row>
    <row r="3253" spans="1:19" hidden="1" x14ac:dyDescent="0.3">
      <c r="A3253">
        <v>170</v>
      </c>
      <c r="B3253" t="s">
        <v>4809</v>
      </c>
      <c r="C3253" t="s">
        <v>3977</v>
      </c>
      <c r="D3253" s="2" t="s">
        <v>3978</v>
      </c>
      <c r="E3253" t="s">
        <v>453</v>
      </c>
      <c r="F3253" t="s">
        <v>20</v>
      </c>
      <c r="G3253" t="s">
        <v>21</v>
      </c>
      <c r="H3253" t="s">
        <v>454</v>
      </c>
      <c r="I3253" t="s">
        <v>23</v>
      </c>
      <c r="J3253" t="s">
        <v>407</v>
      </c>
      <c r="K3253" s="2" t="s">
        <v>2386</v>
      </c>
      <c r="L3253" t="s">
        <v>26</v>
      </c>
      <c r="M3253">
        <v>336358</v>
      </c>
      <c r="N3253">
        <v>-1</v>
      </c>
      <c r="O3253" s="3">
        <v>-39990</v>
      </c>
      <c r="P3253" s="3">
        <v>21038</v>
      </c>
      <c r="Q3253" s="5">
        <f t="shared" si="150"/>
        <v>-33605.042016806721</v>
      </c>
      <c r="R3253" s="5">
        <f t="shared" si="151"/>
        <v>-21038</v>
      </c>
      <c r="S3253" s="5">
        <f t="shared" si="152"/>
        <v>-12567.042016806721</v>
      </c>
    </row>
    <row r="3254" spans="1:19" hidden="1" x14ac:dyDescent="0.3">
      <c r="A3254">
        <v>170</v>
      </c>
      <c r="B3254" t="s">
        <v>4809</v>
      </c>
      <c r="C3254" t="s">
        <v>4905</v>
      </c>
      <c r="D3254" s="2" t="s">
        <v>4906</v>
      </c>
      <c r="E3254" t="s">
        <v>3418</v>
      </c>
      <c r="F3254" t="s">
        <v>20</v>
      </c>
      <c r="G3254" t="s">
        <v>21</v>
      </c>
      <c r="H3254" t="s">
        <v>1418</v>
      </c>
      <c r="I3254" t="s">
        <v>23</v>
      </c>
      <c r="J3254" t="s">
        <v>35</v>
      </c>
      <c r="K3254" s="2" t="s">
        <v>2386</v>
      </c>
      <c r="L3254" t="s">
        <v>26</v>
      </c>
      <c r="M3254">
        <v>336358</v>
      </c>
      <c r="N3254">
        <v>1</v>
      </c>
      <c r="O3254" s="3">
        <v>94950</v>
      </c>
      <c r="P3254" s="3">
        <v>30749</v>
      </c>
      <c r="Q3254" s="5">
        <f t="shared" si="150"/>
        <v>79789.915966386558</v>
      </c>
      <c r="R3254" s="5">
        <f t="shared" si="151"/>
        <v>30749</v>
      </c>
      <c r="S3254" s="5">
        <f t="shared" si="152"/>
        <v>49040.915966386558</v>
      </c>
    </row>
    <row r="3255" spans="1:19" hidden="1" x14ac:dyDescent="0.3">
      <c r="A3255">
        <v>170</v>
      </c>
      <c r="B3255" t="s">
        <v>4809</v>
      </c>
      <c r="C3255" t="s">
        <v>2940</v>
      </c>
      <c r="D3255" s="2" t="s">
        <v>2941</v>
      </c>
      <c r="E3255" t="s">
        <v>1986</v>
      </c>
      <c r="F3255" t="s">
        <v>20</v>
      </c>
      <c r="G3255" t="s">
        <v>21</v>
      </c>
      <c r="H3255" t="s">
        <v>1987</v>
      </c>
      <c r="I3255" t="s">
        <v>23</v>
      </c>
      <c r="J3255" t="s">
        <v>49</v>
      </c>
      <c r="K3255" s="2" t="s">
        <v>2386</v>
      </c>
      <c r="L3255" t="s">
        <v>26</v>
      </c>
      <c r="M3255">
        <v>336359</v>
      </c>
      <c r="N3255">
        <v>1</v>
      </c>
      <c r="O3255" s="3">
        <v>74950</v>
      </c>
      <c r="P3255" s="3">
        <v>25014</v>
      </c>
      <c r="Q3255" s="5">
        <f t="shared" si="150"/>
        <v>62983.193277310929</v>
      </c>
      <c r="R3255" s="5">
        <f t="shared" si="151"/>
        <v>25014</v>
      </c>
      <c r="S3255" s="5">
        <f t="shared" si="152"/>
        <v>37969.193277310929</v>
      </c>
    </row>
    <row r="3256" spans="1:19" hidden="1" x14ac:dyDescent="0.3">
      <c r="A3256">
        <v>170</v>
      </c>
      <c r="B3256" t="s">
        <v>4809</v>
      </c>
      <c r="C3256" t="s">
        <v>2434</v>
      </c>
      <c r="D3256" s="2" t="s">
        <v>2435</v>
      </c>
      <c r="E3256" t="s">
        <v>2436</v>
      </c>
      <c r="F3256" t="s">
        <v>20</v>
      </c>
      <c r="G3256" t="s">
        <v>338</v>
      </c>
      <c r="H3256">
        <v>22318</v>
      </c>
      <c r="I3256" t="s">
        <v>23</v>
      </c>
      <c r="J3256" t="s">
        <v>49</v>
      </c>
      <c r="K3256" s="2" t="s">
        <v>2386</v>
      </c>
      <c r="L3256" t="s">
        <v>26</v>
      </c>
      <c r="M3256">
        <v>336360</v>
      </c>
      <c r="N3256">
        <v>1</v>
      </c>
      <c r="O3256" s="3">
        <v>63700</v>
      </c>
      <c r="P3256" s="3">
        <v>23473</v>
      </c>
      <c r="Q3256" s="5">
        <f t="shared" si="150"/>
        <v>53529.411764705888</v>
      </c>
      <c r="R3256" s="5">
        <f t="shared" si="151"/>
        <v>23473</v>
      </c>
      <c r="S3256" s="5">
        <f t="shared" si="152"/>
        <v>30056.411764705888</v>
      </c>
    </row>
    <row r="3257" spans="1:19" hidden="1" x14ac:dyDescent="0.3">
      <c r="A3257">
        <v>170</v>
      </c>
      <c r="B3257" t="s">
        <v>4809</v>
      </c>
      <c r="C3257" t="s">
        <v>2253</v>
      </c>
      <c r="D3257" s="2" t="s">
        <v>2254</v>
      </c>
      <c r="E3257" t="s">
        <v>2255</v>
      </c>
      <c r="F3257" t="s">
        <v>20</v>
      </c>
      <c r="G3257" t="s">
        <v>338</v>
      </c>
      <c r="H3257">
        <v>22318</v>
      </c>
      <c r="I3257" t="s">
        <v>23</v>
      </c>
      <c r="J3257" t="s">
        <v>49</v>
      </c>
      <c r="K3257" s="2" t="s">
        <v>2386</v>
      </c>
      <c r="L3257" t="s">
        <v>26</v>
      </c>
      <c r="M3257">
        <v>336361</v>
      </c>
      <c r="N3257">
        <v>1</v>
      </c>
      <c r="O3257" s="3">
        <v>74950</v>
      </c>
      <c r="P3257" s="3">
        <v>23473</v>
      </c>
      <c r="Q3257" s="5">
        <f t="shared" si="150"/>
        <v>62983.193277310929</v>
      </c>
      <c r="R3257" s="5">
        <f t="shared" si="151"/>
        <v>23473</v>
      </c>
      <c r="S3257" s="5">
        <f t="shared" si="152"/>
        <v>39510.193277310929</v>
      </c>
    </row>
    <row r="3258" spans="1:19" hidden="1" x14ac:dyDescent="0.3">
      <c r="A3258">
        <v>170</v>
      </c>
      <c r="B3258" t="s">
        <v>4809</v>
      </c>
      <c r="C3258" t="s">
        <v>988</v>
      </c>
      <c r="D3258" s="2" t="s">
        <v>989</v>
      </c>
      <c r="E3258" t="s">
        <v>990</v>
      </c>
      <c r="F3258" t="s">
        <v>20</v>
      </c>
      <c r="G3258" t="s">
        <v>21</v>
      </c>
      <c r="H3258" t="s">
        <v>991</v>
      </c>
      <c r="I3258" t="s">
        <v>23</v>
      </c>
      <c r="J3258" t="s">
        <v>49</v>
      </c>
      <c r="K3258" s="2" t="s">
        <v>2386</v>
      </c>
      <c r="L3258" t="s">
        <v>26</v>
      </c>
      <c r="M3258">
        <v>336362</v>
      </c>
      <c r="N3258">
        <v>1</v>
      </c>
      <c r="O3258" s="3">
        <v>69950</v>
      </c>
      <c r="P3258" s="3">
        <v>22162</v>
      </c>
      <c r="Q3258" s="5">
        <f t="shared" si="150"/>
        <v>58781.512605042022</v>
      </c>
      <c r="R3258" s="5">
        <f t="shared" si="151"/>
        <v>22162</v>
      </c>
      <c r="S3258" s="5">
        <f t="shared" si="152"/>
        <v>36619.512605042022</v>
      </c>
    </row>
    <row r="3259" spans="1:19" hidden="1" x14ac:dyDescent="0.3">
      <c r="A3259">
        <v>170</v>
      </c>
      <c r="B3259" t="s">
        <v>4809</v>
      </c>
      <c r="C3259" t="s">
        <v>2547</v>
      </c>
      <c r="D3259" s="2" t="s">
        <v>2548</v>
      </c>
      <c r="E3259" t="s">
        <v>2549</v>
      </c>
      <c r="F3259" t="s">
        <v>20</v>
      </c>
      <c r="G3259" t="s">
        <v>338</v>
      </c>
      <c r="H3259">
        <v>23755</v>
      </c>
      <c r="I3259" t="s">
        <v>23</v>
      </c>
      <c r="J3259" t="s">
        <v>40</v>
      </c>
      <c r="K3259" s="2" t="s">
        <v>2386</v>
      </c>
      <c r="L3259" t="s">
        <v>26</v>
      </c>
      <c r="M3259">
        <v>336363</v>
      </c>
      <c r="N3259">
        <v>-1</v>
      </c>
      <c r="O3259" s="3">
        <v>-74950</v>
      </c>
      <c r="P3259" s="3">
        <v>24718</v>
      </c>
      <c r="Q3259" s="5">
        <f t="shared" si="150"/>
        <v>-62983.193277310929</v>
      </c>
      <c r="R3259" s="5">
        <f t="shared" si="151"/>
        <v>-24718</v>
      </c>
      <c r="S3259" s="5">
        <f t="shared" si="152"/>
        <v>-38265.193277310929</v>
      </c>
    </row>
    <row r="3260" spans="1:19" hidden="1" x14ac:dyDescent="0.3">
      <c r="A3260">
        <v>170</v>
      </c>
      <c r="B3260" t="s">
        <v>4809</v>
      </c>
      <c r="C3260" t="s">
        <v>3497</v>
      </c>
      <c r="D3260" s="2" t="s">
        <v>3498</v>
      </c>
      <c r="E3260" t="s">
        <v>2549</v>
      </c>
      <c r="F3260" t="s">
        <v>20</v>
      </c>
      <c r="G3260" t="s">
        <v>338</v>
      </c>
      <c r="H3260">
        <v>23755</v>
      </c>
      <c r="I3260" t="s">
        <v>23</v>
      </c>
      <c r="J3260" t="s">
        <v>40</v>
      </c>
      <c r="K3260" s="2" t="s">
        <v>2386</v>
      </c>
      <c r="L3260" t="s">
        <v>26</v>
      </c>
      <c r="M3260">
        <v>336363</v>
      </c>
      <c r="N3260">
        <v>1</v>
      </c>
      <c r="O3260" s="3">
        <v>74951</v>
      </c>
      <c r="P3260" s="3">
        <v>24718</v>
      </c>
      <c r="Q3260" s="5">
        <f t="shared" si="150"/>
        <v>62984.033613445383</v>
      </c>
      <c r="R3260" s="5">
        <f t="shared" si="151"/>
        <v>24718</v>
      </c>
      <c r="S3260" s="5">
        <f t="shared" si="152"/>
        <v>38266.033613445383</v>
      </c>
    </row>
    <row r="3261" spans="1:19" hidden="1" x14ac:dyDescent="0.3">
      <c r="A3261">
        <v>170</v>
      </c>
      <c r="B3261" t="s">
        <v>4809</v>
      </c>
      <c r="C3261" t="s">
        <v>4907</v>
      </c>
      <c r="D3261" s="2" t="s">
        <v>4908</v>
      </c>
      <c r="E3261" t="s">
        <v>609</v>
      </c>
      <c r="F3261" t="s">
        <v>20</v>
      </c>
      <c r="G3261" t="s">
        <v>21</v>
      </c>
      <c r="H3261" t="s">
        <v>610</v>
      </c>
      <c r="I3261" t="s">
        <v>23</v>
      </c>
      <c r="J3261" t="s">
        <v>40</v>
      </c>
      <c r="K3261" s="2" t="s">
        <v>2386</v>
      </c>
      <c r="L3261" t="s">
        <v>26</v>
      </c>
      <c r="M3261">
        <v>336364</v>
      </c>
      <c r="N3261">
        <v>1</v>
      </c>
      <c r="O3261" s="3">
        <v>34990</v>
      </c>
      <c r="P3261" s="3">
        <v>14680</v>
      </c>
      <c r="Q3261" s="5">
        <f t="shared" si="150"/>
        <v>29403.361344537818</v>
      </c>
      <c r="R3261" s="5">
        <f t="shared" si="151"/>
        <v>14680</v>
      </c>
      <c r="S3261" s="5">
        <f t="shared" si="152"/>
        <v>14723.361344537818</v>
      </c>
    </row>
    <row r="3262" spans="1:19" hidden="1" x14ac:dyDescent="0.3">
      <c r="A3262">
        <v>170</v>
      </c>
      <c r="B3262" t="s">
        <v>4809</v>
      </c>
      <c r="C3262" t="s">
        <v>2481</v>
      </c>
      <c r="D3262" s="2" t="s">
        <v>2482</v>
      </c>
      <c r="E3262" t="s">
        <v>2483</v>
      </c>
      <c r="F3262" t="s">
        <v>20</v>
      </c>
      <c r="G3262" t="s">
        <v>21</v>
      </c>
      <c r="H3262" t="s">
        <v>2484</v>
      </c>
      <c r="I3262" t="s">
        <v>23</v>
      </c>
      <c r="J3262" t="s">
        <v>40</v>
      </c>
      <c r="K3262" s="2" t="s">
        <v>2386</v>
      </c>
      <c r="L3262" t="s">
        <v>26</v>
      </c>
      <c r="M3262">
        <v>336365</v>
      </c>
      <c r="N3262">
        <v>1</v>
      </c>
      <c r="O3262" s="3">
        <v>50950</v>
      </c>
      <c r="P3262" s="3">
        <v>17503</v>
      </c>
      <c r="Q3262" s="5">
        <f t="shared" si="150"/>
        <v>42815.126050420171</v>
      </c>
      <c r="R3262" s="5">
        <f t="shared" si="151"/>
        <v>17503</v>
      </c>
      <c r="S3262" s="5">
        <f t="shared" si="152"/>
        <v>25312.126050420171</v>
      </c>
    </row>
    <row r="3263" spans="1:19" hidden="1" x14ac:dyDescent="0.3">
      <c r="A3263">
        <v>170</v>
      </c>
      <c r="B3263" t="s">
        <v>4809</v>
      </c>
      <c r="C3263" t="s">
        <v>4909</v>
      </c>
      <c r="D3263" s="2" t="s">
        <v>4910</v>
      </c>
      <c r="E3263" t="s">
        <v>3780</v>
      </c>
      <c r="F3263" t="s">
        <v>20</v>
      </c>
      <c r="G3263" t="s">
        <v>21</v>
      </c>
      <c r="H3263" t="s">
        <v>970</v>
      </c>
      <c r="I3263" t="s">
        <v>23</v>
      </c>
      <c r="J3263" t="s">
        <v>40</v>
      </c>
      <c r="K3263" s="2" t="s">
        <v>2386</v>
      </c>
      <c r="L3263" t="s">
        <v>26</v>
      </c>
      <c r="M3263">
        <v>336366</v>
      </c>
      <c r="N3263">
        <v>1</v>
      </c>
      <c r="O3263" s="3">
        <v>59950</v>
      </c>
      <c r="P3263" s="3">
        <v>15928</v>
      </c>
      <c r="Q3263" s="5">
        <f t="shared" si="150"/>
        <v>50378.151260504201</v>
      </c>
      <c r="R3263" s="5">
        <f t="shared" si="151"/>
        <v>15928</v>
      </c>
      <c r="S3263" s="5">
        <f t="shared" si="152"/>
        <v>34450.151260504201</v>
      </c>
    </row>
    <row r="3264" spans="1:19" hidden="1" x14ac:dyDescent="0.3">
      <c r="A3264">
        <v>170</v>
      </c>
      <c r="B3264" t="s">
        <v>4809</v>
      </c>
      <c r="C3264" t="s">
        <v>4911</v>
      </c>
      <c r="D3264" s="2" t="s">
        <v>4912</v>
      </c>
      <c r="E3264" t="s">
        <v>3486</v>
      </c>
      <c r="F3264" t="s">
        <v>20</v>
      </c>
      <c r="G3264" t="s">
        <v>21</v>
      </c>
      <c r="H3264" t="s">
        <v>247</v>
      </c>
      <c r="I3264" t="s">
        <v>23</v>
      </c>
      <c r="J3264" t="s">
        <v>40</v>
      </c>
      <c r="K3264" s="2" t="s">
        <v>2386</v>
      </c>
      <c r="L3264" t="s">
        <v>26</v>
      </c>
      <c r="M3264">
        <v>336367</v>
      </c>
      <c r="N3264">
        <v>1</v>
      </c>
      <c r="O3264" s="3">
        <v>59950</v>
      </c>
      <c r="P3264" s="3">
        <v>16103</v>
      </c>
      <c r="Q3264" s="5">
        <f t="shared" si="150"/>
        <v>50378.151260504201</v>
      </c>
      <c r="R3264" s="5">
        <f t="shared" si="151"/>
        <v>16103</v>
      </c>
      <c r="S3264" s="5">
        <f t="shared" si="152"/>
        <v>34275.151260504201</v>
      </c>
    </row>
    <row r="3265" spans="1:19" hidden="1" x14ac:dyDescent="0.3">
      <c r="A3265">
        <v>170</v>
      </c>
      <c r="B3265" t="s">
        <v>4809</v>
      </c>
      <c r="C3265" t="s">
        <v>4913</v>
      </c>
      <c r="D3265" s="2" t="s">
        <v>4914</v>
      </c>
      <c r="E3265" t="s">
        <v>4915</v>
      </c>
      <c r="F3265" t="s">
        <v>20</v>
      </c>
      <c r="G3265" t="s">
        <v>338</v>
      </c>
      <c r="H3265">
        <v>83716</v>
      </c>
      <c r="I3265" t="s">
        <v>23</v>
      </c>
      <c r="J3265" t="s">
        <v>40</v>
      </c>
      <c r="K3265" s="2" t="s">
        <v>2386</v>
      </c>
      <c r="L3265" t="s">
        <v>26</v>
      </c>
      <c r="M3265">
        <v>336368</v>
      </c>
      <c r="N3265">
        <v>1</v>
      </c>
      <c r="O3265" s="3">
        <v>89950</v>
      </c>
      <c r="P3265" s="3">
        <v>30263</v>
      </c>
      <c r="Q3265" s="5">
        <f t="shared" si="150"/>
        <v>75588.23529411765</v>
      </c>
      <c r="R3265" s="5">
        <f t="shared" si="151"/>
        <v>30263</v>
      </c>
      <c r="S3265" s="5">
        <f t="shared" si="152"/>
        <v>45325.23529411765</v>
      </c>
    </row>
    <row r="3266" spans="1:19" hidden="1" x14ac:dyDescent="0.3">
      <c r="A3266">
        <v>170</v>
      </c>
      <c r="B3266" t="s">
        <v>4809</v>
      </c>
      <c r="C3266" t="s">
        <v>4916</v>
      </c>
      <c r="D3266" s="2" t="s">
        <v>4917</v>
      </c>
      <c r="E3266" t="s">
        <v>2592</v>
      </c>
      <c r="F3266" t="s">
        <v>20</v>
      </c>
      <c r="G3266" t="s">
        <v>21</v>
      </c>
      <c r="H3266" t="s">
        <v>2593</v>
      </c>
      <c r="I3266" t="s">
        <v>23</v>
      </c>
      <c r="J3266" t="s">
        <v>35</v>
      </c>
      <c r="K3266" s="2" t="s">
        <v>2386</v>
      </c>
      <c r="L3266" t="s">
        <v>26</v>
      </c>
      <c r="M3266">
        <v>336369</v>
      </c>
      <c r="N3266">
        <v>1</v>
      </c>
      <c r="O3266" s="3">
        <v>99950</v>
      </c>
      <c r="P3266" s="3">
        <v>38102</v>
      </c>
      <c r="Q3266" s="5">
        <f t="shared" si="150"/>
        <v>83991.596638655465</v>
      </c>
      <c r="R3266" s="5">
        <f t="shared" si="151"/>
        <v>38102</v>
      </c>
      <c r="S3266" s="5">
        <f t="shared" si="152"/>
        <v>45889.596638655465</v>
      </c>
    </row>
    <row r="3267" spans="1:19" hidden="1" x14ac:dyDescent="0.3">
      <c r="A3267">
        <v>170</v>
      </c>
      <c r="B3267" t="s">
        <v>4809</v>
      </c>
      <c r="C3267" t="s">
        <v>1630</v>
      </c>
      <c r="D3267" s="2" t="s">
        <v>1631</v>
      </c>
      <c r="E3267" t="s">
        <v>1632</v>
      </c>
      <c r="F3267" t="s">
        <v>20</v>
      </c>
      <c r="G3267" t="s">
        <v>21</v>
      </c>
      <c r="H3267" t="s">
        <v>1124</v>
      </c>
      <c r="I3267" t="s">
        <v>23</v>
      </c>
      <c r="J3267" t="s">
        <v>35</v>
      </c>
      <c r="K3267" s="2" t="s">
        <v>2386</v>
      </c>
      <c r="L3267" t="s">
        <v>26</v>
      </c>
      <c r="M3267">
        <v>336370</v>
      </c>
      <c r="N3267">
        <v>1</v>
      </c>
      <c r="O3267" s="3">
        <v>74950</v>
      </c>
      <c r="P3267" s="3">
        <v>28409</v>
      </c>
      <c r="Q3267" s="5">
        <f t="shared" si="150"/>
        <v>62983.193277310929</v>
      </c>
      <c r="R3267" s="5">
        <f t="shared" si="151"/>
        <v>28409</v>
      </c>
      <c r="S3267" s="5">
        <f t="shared" si="152"/>
        <v>34574.193277310929</v>
      </c>
    </row>
    <row r="3268" spans="1:19" hidden="1" x14ac:dyDescent="0.3">
      <c r="A3268">
        <v>170</v>
      </c>
      <c r="B3268" t="s">
        <v>4809</v>
      </c>
      <c r="C3268" t="s">
        <v>4283</v>
      </c>
      <c r="D3268" s="2" t="s">
        <v>4284</v>
      </c>
      <c r="E3268" t="s">
        <v>3449</v>
      </c>
      <c r="F3268" t="s">
        <v>20</v>
      </c>
      <c r="G3268" t="s">
        <v>338</v>
      </c>
      <c r="H3268">
        <v>25366</v>
      </c>
      <c r="I3268" t="s">
        <v>23</v>
      </c>
      <c r="J3268" t="s">
        <v>35</v>
      </c>
      <c r="K3268" s="2" t="s">
        <v>2386</v>
      </c>
      <c r="L3268" t="s">
        <v>26</v>
      </c>
      <c r="M3268">
        <v>336371</v>
      </c>
      <c r="N3268">
        <v>1</v>
      </c>
      <c r="O3268" s="3">
        <v>99950</v>
      </c>
      <c r="P3268" s="3">
        <v>33157</v>
      </c>
      <c r="Q3268" s="5">
        <f t="shared" si="150"/>
        <v>83991.596638655465</v>
      </c>
      <c r="R3268" s="5">
        <f t="shared" si="151"/>
        <v>33157</v>
      </c>
      <c r="S3268" s="5">
        <f t="shared" si="152"/>
        <v>50834.596638655465</v>
      </c>
    </row>
    <row r="3269" spans="1:19" hidden="1" x14ac:dyDescent="0.3">
      <c r="A3269">
        <v>170</v>
      </c>
      <c r="B3269" t="s">
        <v>4809</v>
      </c>
      <c r="C3269" t="s">
        <v>1037</v>
      </c>
      <c r="D3269" s="2" t="s">
        <v>1038</v>
      </c>
      <c r="E3269" t="s">
        <v>1039</v>
      </c>
      <c r="F3269" t="s">
        <v>377</v>
      </c>
      <c r="G3269" t="s">
        <v>21</v>
      </c>
      <c r="H3269" t="s">
        <v>378</v>
      </c>
      <c r="I3269" t="s">
        <v>23</v>
      </c>
      <c r="J3269" t="s">
        <v>379</v>
      </c>
      <c r="K3269" s="2" t="s">
        <v>2386</v>
      </c>
      <c r="L3269" t="s">
        <v>26</v>
      </c>
      <c r="M3269">
        <v>336372</v>
      </c>
      <c r="N3269">
        <v>1</v>
      </c>
      <c r="O3269" s="3">
        <v>5950</v>
      </c>
      <c r="P3269" s="3">
        <v>3257</v>
      </c>
      <c r="Q3269" s="5">
        <f t="shared" si="150"/>
        <v>5000</v>
      </c>
      <c r="R3269" s="5">
        <f t="shared" si="151"/>
        <v>3257</v>
      </c>
      <c r="S3269" s="5">
        <f t="shared" si="152"/>
        <v>1743</v>
      </c>
    </row>
    <row r="3270" spans="1:19" hidden="1" x14ac:dyDescent="0.3">
      <c r="A3270">
        <v>170</v>
      </c>
      <c r="B3270" t="s">
        <v>4809</v>
      </c>
      <c r="C3270" t="s">
        <v>2481</v>
      </c>
      <c r="D3270" s="2" t="s">
        <v>2482</v>
      </c>
      <c r="E3270" t="s">
        <v>2483</v>
      </c>
      <c r="F3270" t="s">
        <v>20</v>
      </c>
      <c r="G3270" t="s">
        <v>21</v>
      </c>
      <c r="H3270" t="s">
        <v>2484</v>
      </c>
      <c r="I3270" t="s">
        <v>23</v>
      </c>
      <c r="J3270" t="s">
        <v>40</v>
      </c>
      <c r="K3270" s="2" t="s">
        <v>2386</v>
      </c>
      <c r="L3270" t="s">
        <v>26</v>
      </c>
      <c r="M3270">
        <v>336373</v>
      </c>
      <c r="N3270">
        <v>1</v>
      </c>
      <c r="O3270" s="3">
        <v>59950</v>
      </c>
      <c r="P3270" s="3">
        <v>17503</v>
      </c>
      <c r="Q3270" s="5">
        <f t="shared" ref="Q3270:Q3333" si="153">O3270/1.19</f>
        <v>50378.151260504201</v>
      </c>
      <c r="R3270" s="5">
        <f t="shared" ref="R3270:R3333" si="154">N3270*P3270</f>
        <v>17503</v>
      </c>
      <c r="S3270" s="5">
        <f t="shared" ref="S3270:S3333" si="155">Q3270-R3270</f>
        <v>32875.151260504201</v>
      </c>
    </row>
    <row r="3271" spans="1:19" hidden="1" x14ac:dyDescent="0.3">
      <c r="A3271">
        <v>170</v>
      </c>
      <c r="B3271" t="s">
        <v>4809</v>
      </c>
      <c r="C3271" t="s">
        <v>4818</v>
      </c>
      <c r="D3271" s="2" t="s">
        <v>4819</v>
      </c>
      <c r="E3271" t="s">
        <v>4820</v>
      </c>
      <c r="F3271" t="s">
        <v>20</v>
      </c>
      <c r="G3271" t="s">
        <v>21</v>
      </c>
      <c r="H3271" t="s">
        <v>61</v>
      </c>
      <c r="I3271" t="s">
        <v>23</v>
      </c>
      <c r="J3271" t="s">
        <v>40</v>
      </c>
      <c r="K3271" s="2" t="s">
        <v>2386</v>
      </c>
      <c r="L3271" t="s">
        <v>26</v>
      </c>
      <c r="M3271">
        <v>336374</v>
      </c>
      <c r="N3271">
        <v>1</v>
      </c>
      <c r="O3271" s="3">
        <v>39990</v>
      </c>
      <c r="P3271" s="3">
        <v>24534</v>
      </c>
      <c r="Q3271" s="5">
        <f t="shared" si="153"/>
        <v>33605.042016806721</v>
      </c>
      <c r="R3271" s="5">
        <f t="shared" si="154"/>
        <v>24534</v>
      </c>
      <c r="S3271" s="5">
        <f t="shared" si="155"/>
        <v>9071.0420168067212</v>
      </c>
    </row>
    <row r="3272" spans="1:19" hidden="1" x14ac:dyDescent="0.3">
      <c r="A3272">
        <v>170</v>
      </c>
      <c r="B3272" t="s">
        <v>4809</v>
      </c>
      <c r="C3272">
        <v>1687976791</v>
      </c>
      <c r="D3272" s="2" t="s">
        <v>200</v>
      </c>
      <c r="E3272" t="s">
        <v>201</v>
      </c>
      <c r="F3272" t="s">
        <v>201</v>
      </c>
      <c r="G3272" t="s">
        <v>202</v>
      </c>
      <c r="H3272" t="s">
        <v>202</v>
      </c>
      <c r="I3272" t="s">
        <v>23</v>
      </c>
      <c r="J3272" t="s">
        <v>202</v>
      </c>
      <c r="K3272" s="2" t="s">
        <v>2386</v>
      </c>
      <c r="L3272" t="s">
        <v>26</v>
      </c>
      <c r="M3272">
        <v>336374</v>
      </c>
      <c r="N3272">
        <v>1</v>
      </c>
      <c r="O3272" s="3">
        <v>3200</v>
      </c>
      <c r="P3272">
        <v>1</v>
      </c>
      <c r="Q3272" s="5">
        <f t="shared" si="153"/>
        <v>2689.0756302521008</v>
      </c>
      <c r="R3272" s="5">
        <f t="shared" si="154"/>
        <v>1</v>
      </c>
      <c r="S3272" s="5">
        <f t="shared" si="155"/>
        <v>2688.0756302521008</v>
      </c>
    </row>
    <row r="3273" spans="1:19" hidden="1" x14ac:dyDescent="0.3">
      <c r="A3273">
        <v>170</v>
      </c>
      <c r="B3273" t="s">
        <v>4809</v>
      </c>
      <c r="C3273" t="s">
        <v>4918</v>
      </c>
      <c r="D3273" s="2" t="s">
        <v>4919</v>
      </c>
      <c r="E3273" t="s">
        <v>2255</v>
      </c>
      <c r="F3273" t="s">
        <v>20</v>
      </c>
      <c r="G3273" t="s">
        <v>338</v>
      </c>
      <c r="H3273">
        <v>22318</v>
      </c>
      <c r="I3273" t="s">
        <v>23</v>
      </c>
      <c r="J3273" t="s">
        <v>49</v>
      </c>
      <c r="K3273" s="2" t="s">
        <v>2386</v>
      </c>
      <c r="L3273" t="s">
        <v>26</v>
      </c>
      <c r="M3273">
        <v>336375</v>
      </c>
      <c r="N3273">
        <v>1</v>
      </c>
      <c r="O3273" s="3">
        <v>74950</v>
      </c>
      <c r="P3273" s="3">
        <v>23473</v>
      </c>
      <c r="Q3273" s="5">
        <f t="shared" si="153"/>
        <v>62983.193277310929</v>
      </c>
      <c r="R3273" s="5">
        <f t="shared" si="154"/>
        <v>23473</v>
      </c>
      <c r="S3273" s="5">
        <f t="shared" si="155"/>
        <v>39510.193277310929</v>
      </c>
    </row>
    <row r="3274" spans="1:19" hidden="1" x14ac:dyDescent="0.3">
      <c r="A3274">
        <v>170</v>
      </c>
      <c r="B3274" t="s">
        <v>4809</v>
      </c>
      <c r="C3274" t="s">
        <v>4920</v>
      </c>
      <c r="D3274" s="2" t="s">
        <v>4921</v>
      </c>
      <c r="E3274" t="s">
        <v>2428</v>
      </c>
      <c r="F3274" t="s">
        <v>20</v>
      </c>
      <c r="G3274" t="s">
        <v>21</v>
      </c>
      <c r="H3274" t="s">
        <v>2315</v>
      </c>
      <c r="I3274" t="s">
        <v>23</v>
      </c>
      <c r="J3274" t="s">
        <v>35</v>
      </c>
      <c r="K3274" s="2" t="s">
        <v>2386</v>
      </c>
      <c r="L3274" t="s">
        <v>26</v>
      </c>
      <c r="M3274">
        <v>336376</v>
      </c>
      <c r="N3274">
        <v>1</v>
      </c>
      <c r="O3274" s="3">
        <v>89950</v>
      </c>
      <c r="P3274" s="3">
        <v>30749</v>
      </c>
      <c r="Q3274" s="5">
        <f t="shared" si="153"/>
        <v>75588.23529411765</v>
      </c>
      <c r="R3274" s="5">
        <f t="shared" si="154"/>
        <v>30749</v>
      </c>
      <c r="S3274" s="5">
        <f t="shared" si="155"/>
        <v>44839.23529411765</v>
      </c>
    </row>
    <row r="3275" spans="1:19" hidden="1" x14ac:dyDescent="0.3">
      <c r="A3275">
        <v>170</v>
      </c>
      <c r="B3275" t="s">
        <v>4809</v>
      </c>
      <c r="C3275" t="s">
        <v>4922</v>
      </c>
      <c r="D3275" s="2" t="s">
        <v>4923</v>
      </c>
      <c r="E3275" t="s">
        <v>3542</v>
      </c>
      <c r="F3275" t="s">
        <v>20</v>
      </c>
      <c r="G3275" t="s">
        <v>338</v>
      </c>
      <c r="H3275">
        <v>83717</v>
      </c>
      <c r="I3275" t="s">
        <v>23</v>
      </c>
      <c r="J3275" t="s">
        <v>40</v>
      </c>
      <c r="K3275" s="2" t="s">
        <v>2386</v>
      </c>
      <c r="L3275" t="s">
        <v>26</v>
      </c>
      <c r="M3275">
        <v>336377</v>
      </c>
      <c r="N3275">
        <v>1</v>
      </c>
      <c r="O3275" s="3">
        <v>89951</v>
      </c>
      <c r="P3275" s="3">
        <v>30263</v>
      </c>
      <c r="Q3275" s="5">
        <f t="shared" si="153"/>
        <v>75589.075630252104</v>
      </c>
      <c r="R3275" s="5">
        <f t="shared" si="154"/>
        <v>30263</v>
      </c>
      <c r="S3275" s="5">
        <f t="shared" si="155"/>
        <v>45326.075630252104</v>
      </c>
    </row>
    <row r="3276" spans="1:19" hidden="1" x14ac:dyDescent="0.3">
      <c r="A3276">
        <v>170</v>
      </c>
      <c r="B3276" t="s">
        <v>4809</v>
      </c>
      <c r="C3276" t="s">
        <v>4924</v>
      </c>
      <c r="D3276" s="2" t="s">
        <v>4925</v>
      </c>
      <c r="E3276" t="s">
        <v>2076</v>
      </c>
      <c r="F3276" t="s">
        <v>20</v>
      </c>
      <c r="G3276" t="s">
        <v>338</v>
      </c>
      <c r="H3276">
        <v>83726</v>
      </c>
      <c r="I3276" t="s">
        <v>23</v>
      </c>
      <c r="J3276" t="s">
        <v>40</v>
      </c>
      <c r="K3276" s="2" t="s">
        <v>2386</v>
      </c>
      <c r="L3276" t="s">
        <v>26</v>
      </c>
      <c r="M3276">
        <v>336377</v>
      </c>
      <c r="N3276">
        <v>-1</v>
      </c>
      <c r="O3276" s="3">
        <v>-89950</v>
      </c>
      <c r="P3276" s="3">
        <v>30263</v>
      </c>
      <c r="Q3276" s="5">
        <f t="shared" si="153"/>
        <v>-75588.23529411765</v>
      </c>
      <c r="R3276" s="5">
        <f t="shared" si="154"/>
        <v>-30263</v>
      </c>
      <c r="S3276" s="5">
        <f t="shared" si="155"/>
        <v>-45325.23529411765</v>
      </c>
    </row>
    <row r="3277" spans="1:19" hidden="1" x14ac:dyDescent="0.3">
      <c r="A3277">
        <v>170</v>
      </c>
      <c r="B3277" t="s">
        <v>4809</v>
      </c>
      <c r="C3277" t="s">
        <v>2525</v>
      </c>
      <c r="D3277" s="2" t="s">
        <v>2526</v>
      </c>
      <c r="E3277" t="s">
        <v>2527</v>
      </c>
      <c r="F3277" t="s">
        <v>377</v>
      </c>
      <c r="G3277" t="s">
        <v>21</v>
      </c>
      <c r="H3277" t="s">
        <v>378</v>
      </c>
      <c r="I3277" t="s">
        <v>23</v>
      </c>
      <c r="J3277" t="s">
        <v>2459</v>
      </c>
      <c r="K3277" s="2" t="s">
        <v>2386</v>
      </c>
      <c r="L3277" t="s">
        <v>26</v>
      </c>
      <c r="M3277">
        <v>336378</v>
      </c>
      <c r="N3277">
        <v>1</v>
      </c>
      <c r="O3277" s="3">
        <v>6950</v>
      </c>
      <c r="P3277" s="3">
        <v>2964</v>
      </c>
      <c r="Q3277" s="5">
        <f t="shared" si="153"/>
        <v>5840.3361344537816</v>
      </c>
      <c r="R3277" s="5">
        <f t="shared" si="154"/>
        <v>2964</v>
      </c>
      <c r="S3277" s="5">
        <f t="shared" si="155"/>
        <v>2876.3361344537816</v>
      </c>
    </row>
    <row r="3278" spans="1:19" hidden="1" x14ac:dyDescent="0.3">
      <c r="A3278">
        <v>170</v>
      </c>
      <c r="B3278" t="s">
        <v>4809</v>
      </c>
      <c r="C3278" t="s">
        <v>4926</v>
      </c>
      <c r="D3278" s="2" t="s">
        <v>4927</v>
      </c>
      <c r="E3278" t="s">
        <v>3280</v>
      </c>
      <c r="F3278" t="s">
        <v>20</v>
      </c>
      <c r="G3278" t="s">
        <v>21</v>
      </c>
      <c r="H3278" t="s">
        <v>1286</v>
      </c>
      <c r="I3278" t="s">
        <v>23</v>
      </c>
      <c r="J3278" t="s">
        <v>40</v>
      </c>
      <c r="K3278" s="2" t="s">
        <v>2470</v>
      </c>
      <c r="L3278" t="s">
        <v>26</v>
      </c>
      <c r="M3278">
        <v>336379</v>
      </c>
      <c r="N3278">
        <v>1</v>
      </c>
      <c r="O3278" s="3">
        <v>69950</v>
      </c>
      <c r="P3278" s="3">
        <v>24783</v>
      </c>
      <c r="Q3278" s="5">
        <f t="shared" si="153"/>
        <v>58781.512605042022</v>
      </c>
      <c r="R3278" s="5">
        <f t="shared" si="154"/>
        <v>24783</v>
      </c>
      <c r="S3278" s="5">
        <f t="shared" si="155"/>
        <v>33998.512605042022</v>
      </c>
    </row>
    <row r="3279" spans="1:19" hidden="1" x14ac:dyDescent="0.3">
      <c r="A3279">
        <v>170</v>
      </c>
      <c r="B3279" t="s">
        <v>4809</v>
      </c>
      <c r="C3279" t="s">
        <v>2485</v>
      </c>
      <c r="D3279" s="2" t="s">
        <v>2486</v>
      </c>
      <c r="E3279" t="s">
        <v>2487</v>
      </c>
      <c r="F3279" t="s">
        <v>377</v>
      </c>
      <c r="G3279" t="s">
        <v>21</v>
      </c>
      <c r="H3279" t="s">
        <v>378</v>
      </c>
      <c r="I3279" t="s">
        <v>23</v>
      </c>
      <c r="J3279" t="s">
        <v>379</v>
      </c>
      <c r="K3279" s="2" t="s">
        <v>2470</v>
      </c>
      <c r="L3279" t="s">
        <v>26</v>
      </c>
      <c r="M3279">
        <v>336380</v>
      </c>
      <c r="N3279">
        <v>1</v>
      </c>
      <c r="O3279" s="3">
        <v>5950</v>
      </c>
      <c r="P3279" s="3">
        <v>2243</v>
      </c>
      <c r="Q3279" s="5">
        <f t="shared" si="153"/>
        <v>5000</v>
      </c>
      <c r="R3279" s="5">
        <f t="shared" si="154"/>
        <v>2243</v>
      </c>
      <c r="S3279" s="5">
        <f t="shared" si="155"/>
        <v>2757</v>
      </c>
    </row>
    <row r="3280" spans="1:19" hidden="1" x14ac:dyDescent="0.3">
      <c r="A3280">
        <v>170</v>
      </c>
      <c r="B3280" t="s">
        <v>4809</v>
      </c>
      <c r="C3280" t="s">
        <v>2719</v>
      </c>
      <c r="D3280" s="2" t="s">
        <v>2720</v>
      </c>
      <c r="E3280" t="s">
        <v>2721</v>
      </c>
      <c r="F3280" t="s">
        <v>20</v>
      </c>
      <c r="G3280" t="s">
        <v>21</v>
      </c>
      <c r="H3280" t="s">
        <v>1422</v>
      </c>
      <c r="I3280" t="s">
        <v>23</v>
      </c>
      <c r="J3280" t="s">
        <v>49</v>
      </c>
      <c r="K3280" s="2" t="s">
        <v>2470</v>
      </c>
      <c r="L3280" t="s">
        <v>26</v>
      </c>
      <c r="M3280">
        <v>336381</v>
      </c>
      <c r="N3280">
        <v>1</v>
      </c>
      <c r="O3280" s="3">
        <v>59990</v>
      </c>
      <c r="P3280" s="3">
        <v>27667</v>
      </c>
      <c r="Q3280" s="5">
        <f t="shared" si="153"/>
        <v>50411.764705882357</v>
      </c>
      <c r="R3280" s="5">
        <f t="shared" si="154"/>
        <v>27667</v>
      </c>
      <c r="S3280" s="5">
        <f t="shared" si="155"/>
        <v>22744.764705882357</v>
      </c>
    </row>
    <row r="3281" spans="1:19" hidden="1" x14ac:dyDescent="0.3">
      <c r="A3281">
        <v>170</v>
      </c>
      <c r="B3281" t="s">
        <v>4809</v>
      </c>
      <c r="C3281" t="s">
        <v>2880</v>
      </c>
      <c r="D3281" s="2" t="s">
        <v>2881</v>
      </c>
      <c r="E3281" t="s">
        <v>1913</v>
      </c>
      <c r="F3281" t="s">
        <v>20</v>
      </c>
      <c r="G3281" t="s">
        <v>21</v>
      </c>
      <c r="H3281" t="s">
        <v>1914</v>
      </c>
      <c r="I3281" t="s">
        <v>23</v>
      </c>
      <c r="J3281" t="s">
        <v>35</v>
      </c>
      <c r="K3281" s="2" t="s">
        <v>2470</v>
      </c>
      <c r="L3281" t="s">
        <v>26</v>
      </c>
      <c r="M3281">
        <v>336382</v>
      </c>
      <c r="N3281">
        <v>1</v>
      </c>
      <c r="O3281" s="3">
        <v>89950</v>
      </c>
      <c r="P3281" s="3">
        <v>28298</v>
      </c>
      <c r="Q3281" s="5">
        <f t="shared" si="153"/>
        <v>75588.23529411765</v>
      </c>
      <c r="R3281" s="5">
        <f t="shared" si="154"/>
        <v>28298</v>
      </c>
      <c r="S3281" s="5">
        <f t="shared" si="155"/>
        <v>47290.23529411765</v>
      </c>
    </row>
    <row r="3282" spans="1:19" hidden="1" x14ac:dyDescent="0.3">
      <c r="A3282">
        <v>170</v>
      </c>
      <c r="B3282" t="s">
        <v>4809</v>
      </c>
      <c r="C3282" t="s">
        <v>4101</v>
      </c>
      <c r="D3282" s="2" t="s">
        <v>4102</v>
      </c>
      <c r="E3282" t="s">
        <v>1404</v>
      </c>
      <c r="F3282" t="s">
        <v>20</v>
      </c>
      <c r="G3282" t="s">
        <v>21</v>
      </c>
      <c r="H3282" t="s">
        <v>1405</v>
      </c>
      <c r="I3282" t="s">
        <v>23</v>
      </c>
      <c r="J3282" t="s">
        <v>40</v>
      </c>
      <c r="K3282" s="2" t="s">
        <v>2470</v>
      </c>
      <c r="L3282" t="s">
        <v>26</v>
      </c>
      <c r="M3282">
        <v>336383</v>
      </c>
      <c r="N3282">
        <v>1</v>
      </c>
      <c r="O3282" s="3">
        <v>49950</v>
      </c>
      <c r="P3282" s="3">
        <v>13302</v>
      </c>
      <c r="Q3282" s="5">
        <f t="shared" si="153"/>
        <v>41974.789915966387</v>
      </c>
      <c r="R3282" s="5">
        <f t="shared" si="154"/>
        <v>13302</v>
      </c>
      <c r="S3282" s="5">
        <f t="shared" si="155"/>
        <v>28672.789915966387</v>
      </c>
    </row>
    <row r="3283" spans="1:19" hidden="1" x14ac:dyDescent="0.3">
      <c r="A3283">
        <v>170</v>
      </c>
      <c r="B3283" t="s">
        <v>4809</v>
      </c>
      <c r="C3283" t="s">
        <v>2550</v>
      </c>
      <c r="D3283" s="2" t="s">
        <v>2551</v>
      </c>
      <c r="E3283" t="s">
        <v>2552</v>
      </c>
      <c r="F3283" t="s">
        <v>20</v>
      </c>
      <c r="G3283" t="s">
        <v>21</v>
      </c>
      <c r="H3283" t="s">
        <v>2353</v>
      </c>
      <c r="I3283" t="s">
        <v>23</v>
      </c>
      <c r="J3283" t="s">
        <v>40</v>
      </c>
      <c r="K3283" s="2" t="s">
        <v>2470</v>
      </c>
      <c r="L3283" t="s">
        <v>26</v>
      </c>
      <c r="M3283">
        <v>336384</v>
      </c>
      <c r="N3283">
        <v>1</v>
      </c>
      <c r="O3283" s="3">
        <v>69990</v>
      </c>
      <c r="P3283" s="3">
        <v>31436</v>
      </c>
      <c r="Q3283" s="5">
        <f t="shared" si="153"/>
        <v>58815.126050420171</v>
      </c>
      <c r="R3283" s="5">
        <f t="shared" si="154"/>
        <v>31436</v>
      </c>
      <c r="S3283" s="5">
        <f t="shared" si="155"/>
        <v>27379.126050420171</v>
      </c>
    </row>
    <row r="3284" spans="1:19" hidden="1" x14ac:dyDescent="0.3">
      <c r="A3284">
        <v>170</v>
      </c>
      <c r="B3284" t="s">
        <v>4809</v>
      </c>
      <c r="C3284" t="s">
        <v>4928</v>
      </c>
      <c r="D3284" s="2" t="s">
        <v>4929</v>
      </c>
      <c r="E3284" t="s">
        <v>954</v>
      </c>
      <c r="F3284" t="s">
        <v>20</v>
      </c>
      <c r="G3284" t="s">
        <v>21</v>
      </c>
      <c r="H3284" t="s">
        <v>557</v>
      </c>
      <c r="I3284" t="s">
        <v>23</v>
      </c>
      <c r="J3284" t="s">
        <v>40</v>
      </c>
      <c r="K3284" s="2" t="s">
        <v>2470</v>
      </c>
      <c r="L3284" t="s">
        <v>26</v>
      </c>
      <c r="M3284">
        <v>336385</v>
      </c>
      <c r="N3284">
        <v>1</v>
      </c>
      <c r="O3284" s="3">
        <v>79950</v>
      </c>
      <c r="P3284" s="3">
        <v>26747</v>
      </c>
      <c r="Q3284" s="5">
        <f t="shared" si="153"/>
        <v>67184.873949579836</v>
      </c>
      <c r="R3284" s="5">
        <f t="shared" si="154"/>
        <v>26747</v>
      </c>
      <c r="S3284" s="5">
        <f t="shared" si="155"/>
        <v>40437.873949579836</v>
      </c>
    </row>
    <row r="3285" spans="1:19" hidden="1" x14ac:dyDescent="0.3">
      <c r="A3285">
        <v>170</v>
      </c>
      <c r="B3285" t="s">
        <v>4809</v>
      </c>
      <c r="C3285" t="s">
        <v>4930</v>
      </c>
      <c r="D3285" s="2" t="s">
        <v>4931</v>
      </c>
      <c r="E3285" t="s">
        <v>2738</v>
      </c>
      <c r="F3285" t="s">
        <v>20</v>
      </c>
      <c r="G3285" t="s">
        <v>21</v>
      </c>
      <c r="H3285" t="s">
        <v>22</v>
      </c>
      <c r="I3285" t="s">
        <v>23</v>
      </c>
      <c r="J3285" t="s">
        <v>49</v>
      </c>
      <c r="K3285" s="2" t="s">
        <v>2470</v>
      </c>
      <c r="L3285" t="s">
        <v>26</v>
      </c>
      <c r="M3285">
        <v>336386</v>
      </c>
      <c r="N3285">
        <v>1</v>
      </c>
      <c r="O3285" s="3">
        <v>74950</v>
      </c>
      <c r="P3285" s="3">
        <v>26286</v>
      </c>
      <c r="Q3285" s="5">
        <f t="shared" si="153"/>
        <v>62983.193277310929</v>
      </c>
      <c r="R3285" s="5">
        <f t="shared" si="154"/>
        <v>26286</v>
      </c>
      <c r="S3285" s="5">
        <f t="shared" si="155"/>
        <v>36697.193277310929</v>
      </c>
    </row>
    <row r="3286" spans="1:19" hidden="1" x14ac:dyDescent="0.3">
      <c r="A3286">
        <v>170</v>
      </c>
      <c r="B3286" t="s">
        <v>4809</v>
      </c>
      <c r="C3286" t="s">
        <v>2590</v>
      </c>
      <c r="D3286" s="2" t="s">
        <v>2591</v>
      </c>
      <c r="E3286" t="s">
        <v>2592</v>
      </c>
      <c r="F3286" t="s">
        <v>20</v>
      </c>
      <c r="G3286" t="s">
        <v>21</v>
      </c>
      <c r="H3286" t="s">
        <v>2593</v>
      </c>
      <c r="I3286" t="s">
        <v>23</v>
      </c>
      <c r="J3286" t="s">
        <v>35</v>
      </c>
      <c r="K3286" s="2" t="s">
        <v>2470</v>
      </c>
      <c r="L3286" t="s">
        <v>26</v>
      </c>
      <c r="M3286">
        <v>336387</v>
      </c>
      <c r="N3286">
        <v>1</v>
      </c>
      <c r="O3286" s="3">
        <v>99950</v>
      </c>
      <c r="P3286" s="3">
        <v>38102</v>
      </c>
      <c r="Q3286" s="5">
        <f t="shared" si="153"/>
        <v>83991.596638655465</v>
      </c>
      <c r="R3286" s="5">
        <f t="shared" si="154"/>
        <v>38102</v>
      </c>
      <c r="S3286" s="5">
        <f t="shared" si="155"/>
        <v>45889.596638655465</v>
      </c>
    </row>
    <row r="3287" spans="1:19" hidden="1" x14ac:dyDescent="0.3">
      <c r="A3287">
        <v>170</v>
      </c>
      <c r="B3287" t="s">
        <v>4809</v>
      </c>
      <c r="C3287" t="s">
        <v>3755</v>
      </c>
      <c r="D3287" s="2" t="s">
        <v>3756</v>
      </c>
      <c r="E3287" t="s">
        <v>3757</v>
      </c>
      <c r="F3287" t="s">
        <v>20</v>
      </c>
      <c r="G3287" t="s">
        <v>338</v>
      </c>
      <c r="H3287">
        <v>23732</v>
      </c>
      <c r="I3287" t="s">
        <v>23</v>
      </c>
      <c r="J3287" t="s">
        <v>40</v>
      </c>
      <c r="K3287" s="2" t="s">
        <v>2470</v>
      </c>
      <c r="L3287" t="s">
        <v>26</v>
      </c>
      <c r="M3287">
        <v>336388</v>
      </c>
      <c r="N3287">
        <v>1</v>
      </c>
      <c r="O3287" s="3">
        <v>67950</v>
      </c>
      <c r="P3287" s="3">
        <v>26539</v>
      </c>
      <c r="Q3287" s="5">
        <f t="shared" si="153"/>
        <v>57100.840336134454</v>
      </c>
      <c r="R3287" s="5">
        <f t="shared" si="154"/>
        <v>26539</v>
      </c>
      <c r="S3287" s="5">
        <f t="shared" si="155"/>
        <v>30561.840336134454</v>
      </c>
    </row>
    <row r="3288" spans="1:19" hidden="1" x14ac:dyDescent="0.3">
      <c r="A3288">
        <v>170</v>
      </c>
      <c r="B3288" t="s">
        <v>4809</v>
      </c>
      <c r="C3288" t="s">
        <v>4932</v>
      </c>
      <c r="D3288" s="2" t="s">
        <v>4933</v>
      </c>
      <c r="E3288" t="s">
        <v>2601</v>
      </c>
      <c r="F3288" t="s">
        <v>20</v>
      </c>
      <c r="G3288" t="s">
        <v>21</v>
      </c>
      <c r="H3288" t="s">
        <v>783</v>
      </c>
      <c r="I3288" t="s">
        <v>23</v>
      </c>
      <c r="J3288" t="s">
        <v>40</v>
      </c>
      <c r="K3288" s="2" t="s">
        <v>2470</v>
      </c>
      <c r="L3288" t="s">
        <v>26</v>
      </c>
      <c r="M3288">
        <v>336389</v>
      </c>
      <c r="N3288">
        <v>1</v>
      </c>
      <c r="O3288" s="3">
        <v>46700</v>
      </c>
      <c r="P3288" s="3">
        <v>19451</v>
      </c>
      <c r="Q3288" s="5">
        <f t="shared" si="153"/>
        <v>39243.697478991598</v>
      </c>
      <c r="R3288" s="5">
        <f t="shared" si="154"/>
        <v>19451</v>
      </c>
      <c r="S3288" s="5">
        <f t="shared" si="155"/>
        <v>19792.697478991598</v>
      </c>
    </row>
    <row r="3289" spans="1:19" hidden="1" x14ac:dyDescent="0.3">
      <c r="A3289">
        <v>170</v>
      </c>
      <c r="B3289" t="s">
        <v>4809</v>
      </c>
      <c r="C3289" t="s">
        <v>2948</v>
      </c>
      <c r="D3289" s="2" t="s">
        <v>2949</v>
      </c>
      <c r="E3289" t="s">
        <v>2226</v>
      </c>
      <c r="F3289" t="s">
        <v>20</v>
      </c>
      <c r="G3289" t="s">
        <v>21</v>
      </c>
      <c r="H3289" t="s">
        <v>53</v>
      </c>
      <c r="I3289" t="s">
        <v>23</v>
      </c>
      <c r="J3289" t="s">
        <v>49</v>
      </c>
      <c r="K3289" s="2" t="s">
        <v>2470</v>
      </c>
      <c r="L3289" t="s">
        <v>26</v>
      </c>
      <c r="M3289">
        <v>336390</v>
      </c>
      <c r="N3289">
        <v>1</v>
      </c>
      <c r="O3289" s="3">
        <v>69950</v>
      </c>
      <c r="P3289" s="3">
        <v>21044</v>
      </c>
      <c r="Q3289" s="5">
        <f t="shared" si="153"/>
        <v>58781.512605042022</v>
      </c>
      <c r="R3289" s="5">
        <f t="shared" si="154"/>
        <v>21044</v>
      </c>
      <c r="S3289" s="5">
        <f t="shared" si="155"/>
        <v>37737.512605042022</v>
      </c>
    </row>
    <row r="3290" spans="1:19" hidden="1" x14ac:dyDescent="0.3">
      <c r="A3290">
        <v>170</v>
      </c>
      <c r="B3290" t="s">
        <v>4809</v>
      </c>
      <c r="C3290" t="s">
        <v>4718</v>
      </c>
      <c r="D3290" s="2" t="s">
        <v>4719</v>
      </c>
      <c r="E3290" t="s">
        <v>3764</v>
      </c>
      <c r="F3290" t="s">
        <v>20</v>
      </c>
      <c r="G3290" t="s">
        <v>21</v>
      </c>
      <c r="H3290" t="s">
        <v>1282</v>
      </c>
      <c r="I3290" t="s">
        <v>23</v>
      </c>
      <c r="J3290" t="s">
        <v>40</v>
      </c>
      <c r="K3290" s="2" t="s">
        <v>2470</v>
      </c>
      <c r="L3290" t="s">
        <v>26</v>
      </c>
      <c r="M3290">
        <v>336391</v>
      </c>
      <c r="N3290">
        <v>1</v>
      </c>
      <c r="O3290" s="3">
        <v>49950</v>
      </c>
      <c r="P3290" s="3">
        <v>13922</v>
      </c>
      <c r="Q3290" s="5">
        <f t="shared" si="153"/>
        <v>41974.789915966387</v>
      </c>
      <c r="R3290" s="5">
        <f t="shared" si="154"/>
        <v>13922</v>
      </c>
      <c r="S3290" s="5">
        <f t="shared" si="155"/>
        <v>28052.789915966387</v>
      </c>
    </row>
    <row r="3291" spans="1:19" hidden="1" x14ac:dyDescent="0.3">
      <c r="A3291">
        <v>170</v>
      </c>
      <c r="B3291" t="s">
        <v>4809</v>
      </c>
      <c r="C3291">
        <v>1687976791</v>
      </c>
      <c r="D3291" s="2" t="s">
        <v>200</v>
      </c>
      <c r="E3291" t="s">
        <v>201</v>
      </c>
      <c r="F3291" t="s">
        <v>201</v>
      </c>
      <c r="G3291" t="s">
        <v>202</v>
      </c>
      <c r="H3291" t="s">
        <v>202</v>
      </c>
      <c r="I3291" t="s">
        <v>23</v>
      </c>
      <c r="J3291" t="s">
        <v>202</v>
      </c>
      <c r="K3291" s="2" t="s">
        <v>2470</v>
      </c>
      <c r="L3291" t="s">
        <v>26</v>
      </c>
      <c r="M3291">
        <v>336391</v>
      </c>
      <c r="N3291">
        <v>1</v>
      </c>
      <c r="O3291">
        <v>1</v>
      </c>
      <c r="P3291">
        <v>1</v>
      </c>
      <c r="Q3291" s="5">
        <f t="shared" si="153"/>
        <v>0.84033613445378152</v>
      </c>
      <c r="R3291" s="5">
        <f t="shared" si="154"/>
        <v>1</v>
      </c>
      <c r="S3291" s="5">
        <f t="shared" si="155"/>
        <v>-0.15966386554621848</v>
      </c>
    </row>
    <row r="3292" spans="1:19" hidden="1" x14ac:dyDescent="0.3">
      <c r="A3292">
        <v>170</v>
      </c>
      <c r="B3292" t="s">
        <v>4809</v>
      </c>
      <c r="C3292" t="s">
        <v>4934</v>
      </c>
      <c r="D3292" s="2" t="s">
        <v>4935</v>
      </c>
      <c r="E3292" t="s">
        <v>4839</v>
      </c>
      <c r="F3292" t="s">
        <v>20</v>
      </c>
      <c r="G3292" t="s">
        <v>21</v>
      </c>
      <c r="H3292" t="s">
        <v>1282</v>
      </c>
      <c r="I3292" t="s">
        <v>23</v>
      </c>
      <c r="J3292" t="s">
        <v>40</v>
      </c>
      <c r="K3292" s="2" t="s">
        <v>2470</v>
      </c>
      <c r="L3292" t="s">
        <v>26</v>
      </c>
      <c r="M3292">
        <v>336392</v>
      </c>
      <c r="N3292">
        <v>1</v>
      </c>
      <c r="O3292" s="3">
        <v>29990</v>
      </c>
      <c r="P3292" s="3">
        <v>10981</v>
      </c>
      <c r="Q3292" s="5">
        <f t="shared" si="153"/>
        <v>25201.680672268907</v>
      </c>
      <c r="R3292" s="5">
        <f t="shared" si="154"/>
        <v>10981</v>
      </c>
      <c r="S3292" s="5">
        <f t="shared" si="155"/>
        <v>14220.680672268907</v>
      </c>
    </row>
    <row r="3293" spans="1:19" hidden="1" x14ac:dyDescent="0.3">
      <c r="A3293">
        <v>170</v>
      </c>
      <c r="B3293" t="s">
        <v>4809</v>
      </c>
      <c r="C3293" t="s">
        <v>4936</v>
      </c>
      <c r="D3293" s="2" t="s">
        <v>4937</v>
      </c>
      <c r="E3293" t="s">
        <v>2930</v>
      </c>
      <c r="F3293" t="s">
        <v>20</v>
      </c>
      <c r="G3293" t="s">
        <v>21</v>
      </c>
      <c r="H3293" t="s">
        <v>1703</v>
      </c>
      <c r="I3293" t="s">
        <v>23</v>
      </c>
      <c r="J3293" t="s">
        <v>49</v>
      </c>
      <c r="K3293" s="2" t="s">
        <v>2470</v>
      </c>
      <c r="L3293" t="s">
        <v>26</v>
      </c>
      <c r="M3293">
        <v>336393</v>
      </c>
      <c r="N3293">
        <v>1</v>
      </c>
      <c r="O3293" s="3">
        <v>63700</v>
      </c>
      <c r="P3293" s="3">
        <v>26457</v>
      </c>
      <c r="Q3293" s="5">
        <f t="shared" si="153"/>
        <v>53529.411764705888</v>
      </c>
      <c r="R3293" s="5">
        <f t="shared" si="154"/>
        <v>26457</v>
      </c>
      <c r="S3293" s="5">
        <f t="shared" si="155"/>
        <v>27072.411764705888</v>
      </c>
    </row>
    <row r="3294" spans="1:19" hidden="1" x14ac:dyDescent="0.3">
      <c r="A3294">
        <v>170</v>
      </c>
      <c r="B3294" t="s">
        <v>4809</v>
      </c>
      <c r="C3294" t="s">
        <v>4938</v>
      </c>
      <c r="D3294" s="2" t="s">
        <v>4939</v>
      </c>
      <c r="E3294" t="s">
        <v>2188</v>
      </c>
      <c r="F3294" t="s">
        <v>20</v>
      </c>
      <c r="G3294" t="s">
        <v>21</v>
      </c>
      <c r="H3294" t="s">
        <v>2189</v>
      </c>
      <c r="I3294" t="s">
        <v>23</v>
      </c>
      <c r="J3294" t="s">
        <v>40</v>
      </c>
      <c r="K3294" s="2" t="s">
        <v>2470</v>
      </c>
      <c r="L3294" t="s">
        <v>26</v>
      </c>
      <c r="M3294">
        <v>336393</v>
      </c>
      <c r="N3294">
        <v>1</v>
      </c>
      <c r="O3294" s="3">
        <v>74950</v>
      </c>
      <c r="P3294" s="3">
        <v>27725</v>
      </c>
      <c r="Q3294" s="5">
        <f t="shared" si="153"/>
        <v>62983.193277310929</v>
      </c>
      <c r="R3294" s="5">
        <f t="shared" si="154"/>
        <v>27725</v>
      </c>
      <c r="S3294" s="5">
        <f t="shared" si="155"/>
        <v>35258.193277310929</v>
      </c>
    </row>
    <row r="3295" spans="1:19" hidden="1" x14ac:dyDescent="0.3">
      <c r="A3295">
        <v>170</v>
      </c>
      <c r="B3295" t="s">
        <v>4809</v>
      </c>
      <c r="C3295" t="s">
        <v>2678</v>
      </c>
      <c r="D3295" s="2" t="s">
        <v>2679</v>
      </c>
      <c r="E3295" t="s">
        <v>2632</v>
      </c>
      <c r="F3295" t="s">
        <v>20</v>
      </c>
      <c r="G3295" t="s">
        <v>21</v>
      </c>
      <c r="H3295" t="s">
        <v>2469</v>
      </c>
      <c r="I3295" t="s">
        <v>23</v>
      </c>
      <c r="J3295" t="s">
        <v>49</v>
      </c>
      <c r="K3295" s="2" t="s">
        <v>2470</v>
      </c>
      <c r="L3295" t="s">
        <v>26</v>
      </c>
      <c r="M3295">
        <v>336394</v>
      </c>
      <c r="N3295">
        <v>-1</v>
      </c>
      <c r="O3295" s="3">
        <v>-64950</v>
      </c>
      <c r="P3295" s="3">
        <v>21368</v>
      </c>
      <c r="Q3295" s="5">
        <f t="shared" si="153"/>
        <v>-54579.831932773115</v>
      </c>
      <c r="R3295" s="5">
        <f t="shared" si="154"/>
        <v>-21368</v>
      </c>
      <c r="S3295" s="5">
        <f t="shared" si="155"/>
        <v>-33211.831932773115</v>
      </c>
    </row>
    <row r="3296" spans="1:19" hidden="1" x14ac:dyDescent="0.3">
      <c r="A3296">
        <v>170</v>
      </c>
      <c r="B3296" t="s">
        <v>4809</v>
      </c>
      <c r="C3296" t="s">
        <v>4940</v>
      </c>
      <c r="D3296" s="2" t="s">
        <v>4941</v>
      </c>
      <c r="E3296" t="s">
        <v>2611</v>
      </c>
      <c r="F3296" t="s">
        <v>20</v>
      </c>
      <c r="G3296" t="s">
        <v>338</v>
      </c>
      <c r="H3296">
        <v>25312</v>
      </c>
      <c r="I3296" t="s">
        <v>23</v>
      </c>
      <c r="J3296" t="s">
        <v>35</v>
      </c>
      <c r="K3296" s="2" t="s">
        <v>2470</v>
      </c>
      <c r="L3296" t="s">
        <v>26</v>
      </c>
      <c r="M3296">
        <v>336394</v>
      </c>
      <c r="N3296">
        <v>1</v>
      </c>
      <c r="O3296" s="3">
        <v>69950</v>
      </c>
      <c r="P3296" s="3">
        <v>21167</v>
      </c>
      <c r="Q3296" s="5">
        <f t="shared" si="153"/>
        <v>58781.512605042022</v>
      </c>
      <c r="R3296" s="5">
        <f t="shared" si="154"/>
        <v>21167</v>
      </c>
      <c r="S3296" s="5">
        <f t="shared" si="155"/>
        <v>37614.512605042022</v>
      </c>
    </row>
    <row r="3297" spans="1:19" hidden="1" x14ac:dyDescent="0.3">
      <c r="A3297">
        <v>170</v>
      </c>
      <c r="B3297" t="s">
        <v>4809</v>
      </c>
      <c r="C3297" t="s">
        <v>4942</v>
      </c>
      <c r="D3297" s="2" t="s">
        <v>4943</v>
      </c>
      <c r="E3297" t="s">
        <v>1825</v>
      </c>
      <c r="F3297" t="s">
        <v>20</v>
      </c>
      <c r="G3297" t="s">
        <v>21</v>
      </c>
      <c r="H3297" t="s">
        <v>686</v>
      </c>
      <c r="I3297" t="s">
        <v>23</v>
      </c>
      <c r="J3297" t="s">
        <v>35</v>
      </c>
      <c r="K3297" s="2" t="s">
        <v>2470</v>
      </c>
      <c r="L3297" t="s">
        <v>26</v>
      </c>
      <c r="M3297">
        <v>336395</v>
      </c>
      <c r="N3297">
        <v>1</v>
      </c>
      <c r="O3297" s="3">
        <v>99950</v>
      </c>
      <c r="P3297" s="3">
        <v>48762</v>
      </c>
      <c r="Q3297" s="5">
        <f t="shared" si="153"/>
        <v>83991.596638655465</v>
      </c>
      <c r="R3297" s="5">
        <f t="shared" si="154"/>
        <v>48762</v>
      </c>
      <c r="S3297" s="5">
        <f t="shared" si="155"/>
        <v>35229.596638655465</v>
      </c>
    </row>
    <row r="3298" spans="1:19" hidden="1" x14ac:dyDescent="0.3">
      <c r="A3298">
        <v>170</v>
      </c>
      <c r="B3298" t="s">
        <v>4809</v>
      </c>
      <c r="C3298" t="s">
        <v>4944</v>
      </c>
      <c r="D3298" s="2" t="s">
        <v>4945</v>
      </c>
      <c r="E3298" t="s">
        <v>2744</v>
      </c>
      <c r="F3298" t="s">
        <v>20</v>
      </c>
      <c r="G3298" t="s">
        <v>21</v>
      </c>
      <c r="H3298" t="s">
        <v>2745</v>
      </c>
      <c r="I3298" t="s">
        <v>23</v>
      </c>
      <c r="J3298" t="s">
        <v>35</v>
      </c>
      <c r="K3298" s="2" t="s">
        <v>2470</v>
      </c>
      <c r="L3298" t="s">
        <v>26</v>
      </c>
      <c r="M3298">
        <v>336395</v>
      </c>
      <c r="N3298">
        <v>1</v>
      </c>
      <c r="O3298" s="3">
        <v>84950</v>
      </c>
      <c r="P3298" s="3">
        <v>33200</v>
      </c>
      <c r="Q3298" s="5">
        <f t="shared" si="153"/>
        <v>71386.554621848743</v>
      </c>
      <c r="R3298" s="5">
        <f t="shared" si="154"/>
        <v>33200</v>
      </c>
      <c r="S3298" s="5">
        <f t="shared" si="155"/>
        <v>38186.554621848743</v>
      </c>
    </row>
    <row r="3299" spans="1:19" hidden="1" x14ac:dyDescent="0.3">
      <c r="A3299">
        <v>170</v>
      </c>
      <c r="B3299" t="s">
        <v>4809</v>
      </c>
      <c r="C3299" t="s">
        <v>3120</v>
      </c>
      <c r="D3299" s="2" t="s">
        <v>3121</v>
      </c>
      <c r="E3299" t="s">
        <v>3122</v>
      </c>
      <c r="F3299" t="s">
        <v>20</v>
      </c>
      <c r="G3299" t="s">
        <v>21</v>
      </c>
      <c r="H3299" t="s">
        <v>718</v>
      </c>
      <c r="I3299" t="s">
        <v>23</v>
      </c>
      <c r="J3299" t="s">
        <v>49</v>
      </c>
      <c r="K3299" s="2" t="s">
        <v>2470</v>
      </c>
      <c r="L3299" t="s">
        <v>26</v>
      </c>
      <c r="M3299">
        <v>336396</v>
      </c>
      <c r="N3299">
        <v>1</v>
      </c>
      <c r="O3299" s="3">
        <v>39990</v>
      </c>
      <c r="P3299" s="3">
        <v>26647</v>
      </c>
      <c r="Q3299" s="5">
        <f t="shared" si="153"/>
        <v>33605.042016806721</v>
      </c>
      <c r="R3299" s="5">
        <f t="shared" si="154"/>
        <v>26647</v>
      </c>
      <c r="S3299" s="5">
        <f t="shared" si="155"/>
        <v>6958.0420168067212</v>
      </c>
    </row>
    <row r="3300" spans="1:19" hidden="1" x14ac:dyDescent="0.3">
      <c r="A3300">
        <v>170</v>
      </c>
      <c r="B3300" t="s">
        <v>4809</v>
      </c>
      <c r="C3300" t="s">
        <v>4946</v>
      </c>
      <c r="D3300" s="2" t="s">
        <v>4947</v>
      </c>
      <c r="E3300" t="s">
        <v>2629</v>
      </c>
      <c r="F3300" t="s">
        <v>20</v>
      </c>
      <c r="G3300" t="s">
        <v>21</v>
      </c>
      <c r="H3300" t="s">
        <v>1987</v>
      </c>
      <c r="I3300" t="s">
        <v>23</v>
      </c>
      <c r="J3300" t="s">
        <v>49</v>
      </c>
      <c r="K3300" s="2" t="s">
        <v>2470</v>
      </c>
      <c r="L3300" t="s">
        <v>26</v>
      </c>
      <c r="M3300">
        <v>336397</v>
      </c>
      <c r="N3300">
        <v>1</v>
      </c>
      <c r="O3300" s="3">
        <v>63700</v>
      </c>
      <c r="P3300" s="3">
        <v>23391</v>
      </c>
      <c r="Q3300" s="5">
        <f t="shared" si="153"/>
        <v>53529.411764705888</v>
      </c>
      <c r="R3300" s="5">
        <f t="shared" si="154"/>
        <v>23391</v>
      </c>
      <c r="S3300" s="5">
        <f t="shared" si="155"/>
        <v>30138.411764705888</v>
      </c>
    </row>
    <row r="3301" spans="1:19" hidden="1" x14ac:dyDescent="0.3">
      <c r="A3301">
        <v>170</v>
      </c>
      <c r="B3301" t="s">
        <v>4809</v>
      </c>
      <c r="C3301">
        <v>1687976791</v>
      </c>
      <c r="D3301" s="2" t="s">
        <v>200</v>
      </c>
      <c r="E3301" t="s">
        <v>201</v>
      </c>
      <c r="F3301" t="s">
        <v>201</v>
      </c>
      <c r="G3301" t="s">
        <v>202</v>
      </c>
      <c r="H3301" t="s">
        <v>202</v>
      </c>
      <c r="I3301" t="s">
        <v>23</v>
      </c>
      <c r="J3301" t="s">
        <v>202</v>
      </c>
      <c r="K3301" s="2" t="s">
        <v>2470</v>
      </c>
      <c r="L3301" t="s">
        <v>26</v>
      </c>
      <c r="M3301">
        <v>336397</v>
      </c>
      <c r="N3301">
        <v>1</v>
      </c>
      <c r="O3301">
        <v>1</v>
      </c>
      <c r="P3301">
        <v>1</v>
      </c>
      <c r="Q3301" s="5">
        <f t="shared" si="153"/>
        <v>0.84033613445378152</v>
      </c>
      <c r="R3301" s="5">
        <f t="shared" si="154"/>
        <v>1</v>
      </c>
      <c r="S3301" s="5">
        <f t="shared" si="155"/>
        <v>-0.15966386554621848</v>
      </c>
    </row>
    <row r="3302" spans="1:19" hidden="1" x14ac:dyDescent="0.3">
      <c r="A3302">
        <v>170</v>
      </c>
      <c r="B3302" t="s">
        <v>4809</v>
      </c>
      <c r="C3302" t="s">
        <v>3507</v>
      </c>
      <c r="D3302" s="2" t="s">
        <v>3508</v>
      </c>
      <c r="E3302" t="s">
        <v>2323</v>
      </c>
      <c r="F3302" t="s">
        <v>20</v>
      </c>
      <c r="G3302" t="s">
        <v>21</v>
      </c>
      <c r="H3302" t="s">
        <v>1887</v>
      </c>
      <c r="I3302" t="s">
        <v>23</v>
      </c>
      <c r="J3302" t="s">
        <v>40</v>
      </c>
      <c r="K3302" s="2" t="s">
        <v>2470</v>
      </c>
      <c r="L3302" t="s">
        <v>26</v>
      </c>
      <c r="M3302">
        <v>336398</v>
      </c>
      <c r="N3302">
        <v>1</v>
      </c>
      <c r="O3302" s="3">
        <v>69950</v>
      </c>
      <c r="P3302" s="3">
        <v>21623</v>
      </c>
      <c r="Q3302" s="5">
        <f t="shared" si="153"/>
        <v>58781.512605042022</v>
      </c>
      <c r="R3302" s="5">
        <f t="shared" si="154"/>
        <v>21623</v>
      </c>
      <c r="S3302" s="5">
        <f t="shared" si="155"/>
        <v>37158.512605042022</v>
      </c>
    </row>
    <row r="3303" spans="1:19" hidden="1" x14ac:dyDescent="0.3">
      <c r="A3303">
        <v>170</v>
      </c>
      <c r="B3303" t="s">
        <v>4809</v>
      </c>
      <c r="C3303" t="s">
        <v>4948</v>
      </c>
      <c r="D3303" s="2" t="s">
        <v>4949</v>
      </c>
      <c r="E3303" t="s">
        <v>2042</v>
      </c>
      <c r="F3303" t="s">
        <v>20</v>
      </c>
      <c r="G3303" t="s">
        <v>21</v>
      </c>
      <c r="H3303" t="s">
        <v>565</v>
      </c>
      <c r="I3303" t="s">
        <v>23</v>
      </c>
      <c r="J3303" t="s">
        <v>49</v>
      </c>
      <c r="K3303" s="2" t="s">
        <v>2470</v>
      </c>
      <c r="L3303" t="s">
        <v>26</v>
      </c>
      <c r="M3303">
        <v>336399</v>
      </c>
      <c r="N3303">
        <v>1</v>
      </c>
      <c r="O3303" s="3">
        <v>69950</v>
      </c>
      <c r="P3303" s="3">
        <v>24762</v>
      </c>
      <c r="Q3303" s="5">
        <f t="shared" si="153"/>
        <v>58781.512605042022</v>
      </c>
      <c r="R3303" s="5">
        <f t="shared" si="154"/>
        <v>24762</v>
      </c>
      <c r="S3303" s="5">
        <f t="shared" si="155"/>
        <v>34019.512605042022</v>
      </c>
    </row>
    <row r="3304" spans="1:19" hidden="1" x14ac:dyDescent="0.3">
      <c r="A3304">
        <v>170</v>
      </c>
      <c r="B3304" t="s">
        <v>4809</v>
      </c>
      <c r="C3304" t="s">
        <v>4950</v>
      </c>
      <c r="D3304" s="2" t="s">
        <v>4951</v>
      </c>
      <c r="E3304" t="s">
        <v>1421</v>
      </c>
      <c r="F3304" t="s">
        <v>20</v>
      </c>
      <c r="G3304" t="s">
        <v>21</v>
      </c>
      <c r="H3304" t="s">
        <v>1422</v>
      </c>
      <c r="I3304" t="s">
        <v>23</v>
      </c>
      <c r="J3304" t="s">
        <v>49</v>
      </c>
      <c r="K3304" s="2" t="s">
        <v>2470</v>
      </c>
      <c r="L3304" t="s">
        <v>26</v>
      </c>
      <c r="M3304">
        <v>336400</v>
      </c>
      <c r="N3304">
        <v>1</v>
      </c>
      <c r="O3304" s="3">
        <v>74950</v>
      </c>
      <c r="P3304" s="3">
        <v>25183</v>
      </c>
      <c r="Q3304" s="5">
        <f t="shared" si="153"/>
        <v>62983.193277310929</v>
      </c>
      <c r="R3304" s="5">
        <f t="shared" si="154"/>
        <v>25183</v>
      </c>
      <c r="S3304" s="5">
        <f t="shared" si="155"/>
        <v>37800.193277310929</v>
      </c>
    </row>
    <row r="3305" spans="1:19" hidden="1" x14ac:dyDescent="0.3">
      <c r="A3305">
        <v>170</v>
      </c>
      <c r="B3305" t="s">
        <v>4809</v>
      </c>
      <c r="C3305" t="s">
        <v>4952</v>
      </c>
      <c r="D3305" s="2" t="s">
        <v>4953</v>
      </c>
      <c r="E3305" t="s">
        <v>4954</v>
      </c>
      <c r="F3305" t="s">
        <v>20</v>
      </c>
      <c r="G3305" t="s">
        <v>338</v>
      </c>
      <c r="H3305">
        <v>23624</v>
      </c>
      <c r="I3305" t="s">
        <v>23</v>
      </c>
      <c r="J3305" t="s">
        <v>40</v>
      </c>
      <c r="K3305" s="2" t="s">
        <v>2470</v>
      </c>
      <c r="L3305" t="s">
        <v>26</v>
      </c>
      <c r="M3305">
        <v>336401</v>
      </c>
      <c r="N3305">
        <v>1</v>
      </c>
      <c r="O3305" s="3">
        <v>79950</v>
      </c>
      <c r="P3305" s="3">
        <v>24718</v>
      </c>
      <c r="Q3305" s="5">
        <f t="shared" si="153"/>
        <v>67184.873949579836</v>
      </c>
      <c r="R3305" s="5">
        <f t="shared" si="154"/>
        <v>24718</v>
      </c>
      <c r="S3305" s="5">
        <f t="shared" si="155"/>
        <v>42466.873949579836</v>
      </c>
    </row>
    <row r="3306" spans="1:19" hidden="1" x14ac:dyDescent="0.3">
      <c r="A3306">
        <v>170</v>
      </c>
      <c r="B3306" t="s">
        <v>4809</v>
      </c>
      <c r="C3306" t="s">
        <v>3064</v>
      </c>
      <c r="D3306" s="2" t="s">
        <v>3065</v>
      </c>
      <c r="E3306" t="s">
        <v>3031</v>
      </c>
      <c r="F3306" t="s">
        <v>20</v>
      </c>
      <c r="G3306" t="s">
        <v>21</v>
      </c>
      <c r="H3306" t="s">
        <v>2315</v>
      </c>
      <c r="I3306" t="s">
        <v>23</v>
      </c>
      <c r="J3306" t="s">
        <v>49</v>
      </c>
      <c r="K3306" s="2" t="s">
        <v>2470</v>
      </c>
      <c r="L3306" t="s">
        <v>26</v>
      </c>
      <c r="M3306">
        <v>336402</v>
      </c>
      <c r="N3306">
        <v>1</v>
      </c>
      <c r="O3306" s="3">
        <v>74950</v>
      </c>
      <c r="P3306" s="3">
        <v>24255</v>
      </c>
      <c r="Q3306" s="5">
        <f t="shared" si="153"/>
        <v>62983.193277310929</v>
      </c>
      <c r="R3306" s="5">
        <f t="shared" si="154"/>
        <v>24255</v>
      </c>
      <c r="S3306" s="5">
        <f t="shared" si="155"/>
        <v>38728.193277310929</v>
      </c>
    </row>
    <row r="3307" spans="1:19" hidden="1" x14ac:dyDescent="0.3">
      <c r="A3307">
        <v>170</v>
      </c>
      <c r="B3307" t="s">
        <v>4809</v>
      </c>
      <c r="C3307" t="s">
        <v>3712</v>
      </c>
      <c r="D3307" s="2" t="s">
        <v>3713</v>
      </c>
      <c r="E3307" t="s">
        <v>3424</v>
      </c>
      <c r="F3307" t="s">
        <v>20</v>
      </c>
      <c r="G3307" t="s">
        <v>338</v>
      </c>
      <c r="H3307">
        <v>23709</v>
      </c>
      <c r="I3307" t="s">
        <v>23</v>
      </c>
      <c r="J3307" t="s">
        <v>40</v>
      </c>
      <c r="K3307" s="2" t="s">
        <v>2470</v>
      </c>
      <c r="L3307" t="s">
        <v>26</v>
      </c>
      <c r="M3307">
        <v>336402</v>
      </c>
      <c r="N3307">
        <v>1</v>
      </c>
      <c r="O3307" s="3">
        <v>67950</v>
      </c>
      <c r="P3307" s="3">
        <v>27728</v>
      </c>
      <c r="Q3307" s="5">
        <f t="shared" si="153"/>
        <v>57100.840336134454</v>
      </c>
      <c r="R3307" s="5">
        <f t="shared" si="154"/>
        <v>27728</v>
      </c>
      <c r="S3307" s="5">
        <f t="shared" si="155"/>
        <v>29372.840336134454</v>
      </c>
    </row>
    <row r="3308" spans="1:19" hidden="1" x14ac:dyDescent="0.3">
      <c r="A3308">
        <v>170</v>
      </c>
      <c r="B3308" t="s">
        <v>4809</v>
      </c>
      <c r="C3308" t="s">
        <v>3477</v>
      </c>
      <c r="D3308" s="2" t="s">
        <v>3478</v>
      </c>
      <c r="E3308" t="s">
        <v>3479</v>
      </c>
      <c r="F3308" t="s">
        <v>377</v>
      </c>
      <c r="G3308" t="s">
        <v>21</v>
      </c>
      <c r="H3308" t="s">
        <v>378</v>
      </c>
      <c r="I3308" t="s">
        <v>23</v>
      </c>
      <c r="J3308" t="s">
        <v>379</v>
      </c>
      <c r="K3308" s="2" t="s">
        <v>2470</v>
      </c>
      <c r="L3308" t="s">
        <v>26</v>
      </c>
      <c r="M3308">
        <v>336403</v>
      </c>
      <c r="N3308">
        <v>1</v>
      </c>
      <c r="O3308" s="3">
        <v>5950</v>
      </c>
      <c r="P3308" s="3">
        <v>3311</v>
      </c>
      <c r="Q3308" s="5">
        <f t="shared" si="153"/>
        <v>5000</v>
      </c>
      <c r="R3308" s="5">
        <f t="shared" si="154"/>
        <v>3311</v>
      </c>
      <c r="S3308" s="5">
        <f t="shared" si="155"/>
        <v>1689</v>
      </c>
    </row>
    <row r="3309" spans="1:19" hidden="1" x14ac:dyDescent="0.3">
      <c r="A3309">
        <v>170</v>
      </c>
      <c r="B3309" t="s">
        <v>4809</v>
      </c>
      <c r="C3309" t="s">
        <v>4955</v>
      </c>
      <c r="D3309" s="2" t="s">
        <v>4956</v>
      </c>
      <c r="E3309" t="s">
        <v>3708</v>
      </c>
      <c r="F3309" t="s">
        <v>20</v>
      </c>
      <c r="G3309" t="s">
        <v>215</v>
      </c>
      <c r="H3309" t="s">
        <v>3709</v>
      </c>
      <c r="I3309" t="s">
        <v>23</v>
      </c>
      <c r="J3309" t="s">
        <v>35</v>
      </c>
      <c r="K3309" s="2" t="s">
        <v>2470</v>
      </c>
      <c r="L3309" t="s">
        <v>26</v>
      </c>
      <c r="M3309">
        <v>336404</v>
      </c>
      <c r="N3309">
        <v>1</v>
      </c>
      <c r="O3309" s="3">
        <v>99950</v>
      </c>
      <c r="P3309" s="3">
        <v>47276</v>
      </c>
      <c r="Q3309" s="5">
        <f t="shared" si="153"/>
        <v>83991.596638655465</v>
      </c>
      <c r="R3309" s="5">
        <f t="shared" si="154"/>
        <v>47276</v>
      </c>
      <c r="S3309" s="5">
        <f t="shared" si="155"/>
        <v>36715.596638655465</v>
      </c>
    </row>
    <row r="3310" spans="1:19" hidden="1" x14ac:dyDescent="0.3">
      <c r="A3310">
        <v>170</v>
      </c>
      <c r="B3310" t="s">
        <v>4809</v>
      </c>
      <c r="C3310" t="s">
        <v>4853</v>
      </c>
      <c r="D3310" s="2" t="s">
        <v>4854</v>
      </c>
      <c r="E3310" t="s">
        <v>3814</v>
      </c>
      <c r="F3310" t="s">
        <v>20</v>
      </c>
      <c r="G3310" t="s">
        <v>21</v>
      </c>
      <c r="H3310" t="s">
        <v>500</v>
      </c>
      <c r="I3310" t="s">
        <v>23</v>
      </c>
      <c r="J3310" t="s">
        <v>40</v>
      </c>
      <c r="K3310" s="2" t="s">
        <v>2470</v>
      </c>
      <c r="L3310" t="s">
        <v>26</v>
      </c>
      <c r="M3310">
        <v>336405</v>
      </c>
      <c r="N3310">
        <v>1</v>
      </c>
      <c r="O3310" s="3">
        <v>49990</v>
      </c>
      <c r="P3310" s="3">
        <v>20043</v>
      </c>
      <c r="Q3310" s="5">
        <f t="shared" si="153"/>
        <v>42008.403361344543</v>
      </c>
      <c r="R3310" s="5">
        <f t="shared" si="154"/>
        <v>20043</v>
      </c>
      <c r="S3310" s="5">
        <f t="shared" si="155"/>
        <v>21965.403361344543</v>
      </c>
    </row>
    <row r="3311" spans="1:19" hidden="1" x14ac:dyDescent="0.3">
      <c r="A3311">
        <v>170</v>
      </c>
      <c r="B3311" t="s">
        <v>4809</v>
      </c>
      <c r="C3311">
        <v>1687976791</v>
      </c>
      <c r="D3311" s="2" t="s">
        <v>200</v>
      </c>
      <c r="E3311" t="s">
        <v>201</v>
      </c>
      <c r="F3311" t="s">
        <v>201</v>
      </c>
      <c r="G3311" t="s">
        <v>202</v>
      </c>
      <c r="H3311" t="s">
        <v>202</v>
      </c>
      <c r="I3311" t="s">
        <v>23</v>
      </c>
      <c r="J3311" t="s">
        <v>202</v>
      </c>
      <c r="K3311" s="2" t="s">
        <v>2470</v>
      </c>
      <c r="L3311" t="s">
        <v>26</v>
      </c>
      <c r="M3311">
        <v>336405</v>
      </c>
      <c r="N3311">
        <v>1</v>
      </c>
      <c r="O3311" s="3">
        <v>3200</v>
      </c>
      <c r="P3311">
        <v>1</v>
      </c>
      <c r="Q3311" s="5">
        <f t="shared" si="153"/>
        <v>2689.0756302521008</v>
      </c>
      <c r="R3311" s="5">
        <f t="shared" si="154"/>
        <v>1</v>
      </c>
      <c r="S3311" s="5">
        <f t="shared" si="155"/>
        <v>2688.0756302521008</v>
      </c>
    </row>
    <row r="3312" spans="1:19" hidden="1" x14ac:dyDescent="0.3">
      <c r="A3312">
        <v>170</v>
      </c>
      <c r="B3312" t="s">
        <v>4809</v>
      </c>
      <c r="C3312" t="s">
        <v>2847</v>
      </c>
      <c r="D3312" s="2" t="s">
        <v>2848</v>
      </c>
      <c r="E3312" t="s">
        <v>2195</v>
      </c>
      <c r="F3312" t="s">
        <v>20</v>
      </c>
      <c r="G3312" t="s">
        <v>338</v>
      </c>
      <c r="H3312">
        <v>24722</v>
      </c>
      <c r="I3312" t="s">
        <v>23</v>
      </c>
      <c r="J3312" t="s">
        <v>95</v>
      </c>
      <c r="K3312" s="2" t="s">
        <v>2470</v>
      </c>
      <c r="L3312" t="s">
        <v>26</v>
      </c>
      <c r="M3312">
        <v>336406</v>
      </c>
      <c r="N3312">
        <v>1</v>
      </c>
      <c r="O3312" s="3">
        <v>89950</v>
      </c>
      <c r="P3312" s="3">
        <v>30987</v>
      </c>
      <c r="Q3312" s="5">
        <f t="shared" si="153"/>
        <v>75588.23529411765</v>
      </c>
      <c r="R3312" s="5">
        <f t="shared" si="154"/>
        <v>30987</v>
      </c>
      <c r="S3312" s="5">
        <f t="shared" si="155"/>
        <v>44601.23529411765</v>
      </c>
    </row>
    <row r="3313" spans="1:19" hidden="1" x14ac:dyDescent="0.3">
      <c r="A3313">
        <v>170</v>
      </c>
      <c r="B3313" t="s">
        <v>4809</v>
      </c>
      <c r="C3313" t="s">
        <v>4957</v>
      </c>
      <c r="D3313" s="2" t="s">
        <v>4958</v>
      </c>
      <c r="E3313" t="s">
        <v>2686</v>
      </c>
      <c r="F3313" t="s">
        <v>20</v>
      </c>
      <c r="G3313" t="s">
        <v>21</v>
      </c>
      <c r="H3313" t="s">
        <v>48</v>
      </c>
      <c r="I3313" t="s">
        <v>23</v>
      </c>
      <c r="J3313" t="s">
        <v>49</v>
      </c>
      <c r="K3313" s="2" t="s">
        <v>2470</v>
      </c>
      <c r="L3313" t="s">
        <v>26</v>
      </c>
      <c r="M3313">
        <v>336407</v>
      </c>
      <c r="N3313">
        <v>1</v>
      </c>
      <c r="O3313" s="3">
        <v>39990</v>
      </c>
      <c r="P3313" s="3">
        <v>26951</v>
      </c>
      <c r="Q3313" s="5">
        <f t="shared" si="153"/>
        <v>33605.042016806721</v>
      </c>
      <c r="R3313" s="5">
        <f t="shared" si="154"/>
        <v>26951</v>
      </c>
      <c r="S3313" s="5">
        <f t="shared" si="155"/>
        <v>6654.0420168067212</v>
      </c>
    </row>
    <row r="3314" spans="1:19" hidden="1" x14ac:dyDescent="0.3">
      <c r="A3314">
        <v>170</v>
      </c>
      <c r="B3314" t="s">
        <v>4809</v>
      </c>
      <c r="C3314">
        <v>1687976791</v>
      </c>
      <c r="D3314" s="2" t="s">
        <v>200</v>
      </c>
      <c r="E3314" t="s">
        <v>201</v>
      </c>
      <c r="F3314" t="s">
        <v>201</v>
      </c>
      <c r="G3314" t="s">
        <v>202</v>
      </c>
      <c r="H3314" t="s">
        <v>202</v>
      </c>
      <c r="I3314" t="s">
        <v>23</v>
      </c>
      <c r="J3314" t="s">
        <v>202</v>
      </c>
      <c r="K3314" s="2" t="s">
        <v>2470</v>
      </c>
      <c r="L3314" t="s">
        <v>26</v>
      </c>
      <c r="M3314">
        <v>336407</v>
      </c>
      <c r="N3314">
        <v>1</v>
      </c>
      <c r="O3314" s="3">
        <v>3200</v>
      </c>
      <c r="P3314">
        <v>1</v>
      </c>
      <c r="Q3314" s="5">
        <f t="shared" si="153"/>
        <v>2689.0756302521008</v>
      </c>
      <c r="R3314" s="5">
        <f t="shared" si="154"/>
        <v>1</v>
      </c>
      <c r="S3314" s="5">
        <f t="shared" si="155"/>
        <v>2688.0756302521008</v>
      </c>
    </row>
    <row r="3315" spans="1:19" hidden="1" x14ac:dyDescent="0.3">
      <c r="A3315">
        <v>170</v>
      </c>
      <c r="B3315" t="s">
        <v>4809</v>
      </c>
      <c r="C3315" t="s">
        <v>225</v>
      </c>
      <c r="D3315" s="2" t="s">
        <v>226</v>
      </c>
      <c r="E3315" t="s">
        <v>227</v>
      </c>
      <c r="F3315" t="s">
        <v>20</v>
      </c>
      <c r="G3315" t="s">
        <v>21</v>
      </c>
      <c r="H3315" t="s">
        <v>228</v>
      </c>
      <c r="I3315" t="s">
        <v>23</v>
      </c>
      <c r="J3315" t="s">
        <v>207</v>
      </c>
      <c r="K3315" s="2" t="s">
        <v>422</v>
      </c>
      <c r="L3315" t="s">
        <v>2249</v>
      </c>
      <c r="M3315">
        <v>25347</v>
      </c>
      <c r="N3315">
        <v>-1</v>
      </c>
      <c r="O3315" s="3">
        <v>-34990</v>
      </c>
      <c r="P3315" s="3">
        <v>19235</v>
      </c>
      <c r="Q3315" s="5">
        <f t="shared" si="153"/>
        <v>-29403.361344537818</v>
      </c>
      <c r="R3315" s="5">
        <f t="shared" si="154"/>
        <v>-19235</v>
      </c>
      <c r="S3315" s="5">
        <f t="shared" si="155"/>
        <v>-10168.361344537818</v>
      </c>
    </row>
    <row r="3316" spans="1:19" hidden="1" x14ac:dyDescent="0.3">
      <c r="A3316">
        <v>170</v>
      </c>
      <c r="B3316" t="s">
        <v>4809</v>
      </c>
      <c r="C3316" t="s">
        <v>4959</v>
      </c>
      <c r="D3316" s="2" t="s">
        <v>4960</v>
      </c>
      <c r="E3316" t="s">
        <v>4961</v>
      </c>
      <c r="F3316" t="s">
        <v>20</v>
      </c>
      <c r="G3316" t="s">
        <v>21</v>
      </c>
      <c r="H3316" t="s">
        <v>39</v>
      </c>
      <c r="I3316" t="s">
        <v>23</v>
      </c>
      <c r="J3316" t="s">
        <v>40</v>
      </c>
      <c r="K3316" s="2" t="s">
        <v>422</v>
      </c>
      <c r="L3316" t="s">
        <v>26</v>
      </c>
      <c r="M3316">
        <v>336408</v>
      </c>
      <c r="N3316">
        <v>-1</v>
      </c>
      <c r="O3316" s="3">
        <v>-39990</v>
      </c>
      <c r="P3316" s="3">
        <v>26385</v>
      </c>
      <c r="Q3316" s="5">
        <f t="shared" si="153"/>
        <v>-33605.042016806721</v>
      </c>
      <c r="R3316" s="5">
        <f t="shared" si="154"/>
        <v>-26385</v>
      </c>
      <c r="S3316" s="5">
        <f t="shared" si="155"/>
        <v>-7220.0420168067212</v>
      </c>
    </row>
    <row r="3317" spans="1:19" hidden="1" x14ac:dyDescent="0.3">
      <c r="A3317">
        <v>170</v>
      </c>
      <c r="B3317" t="s">
        <v>4809</v>
      </c>
      <c r="C3317" t="s">
        <v>3046</v>
      </c>
      <c r="D3317" s="2" t="s">
        <v>3047</v>
      </c>
      <c r="E3317" t="s">
        <v>3048</v>
      </c>
      <c r="F3317" t="s">
        <v>20</v>
      </c>
      <c r="G3317" t="s">
        <v>21</v>
      </c>
      <c r="H3317" t="s">
        <v>2484</v>
      </c>
      <c r="I3317" t="s">
        <v>23</v>
      </c>
      <c r="J3317" t="s">
        <v>40</v>
      </c>
      <c r="K3317" s="2" t="s">
        <v>422</v>
      </c>
      <c r="L3317" t="s">
        <v>26</v>
      </c>
      <c r="M3317">
        <v>336408</v>
      </c>
      <c r="N3317">
        <v>1</v>
      </c>
      <c r="O3317" s="3">
        <v>59950</v>
      </c>
      <c r="P3317" s="3">
        <v>17503</v>
      </c>
      <c r="Q3317" s="5">
        <f t="shared" si="153"/>
        <v>50378.151260504201</v>
      </c>
      <c r="R3317" s="5">
        <f t="shared" si="154"/>
        <v>17503</v>
      </c>
      <c r="S3317" s="5">
        <f t="shared" si="155"/>
        <v>32875.151260504201</v>
      </c>
    </row>
    <row r="3318" spans="1:19" hidden="1" x14ac:dyDescent="0.3">
      <c r="A3318">
        <v>170</v>
      </c>
      <c r="B3318" t="s">
        <v>4809</v>
      </c>
      <c r="C3318" t="s">
        <v>3989</v>
      </c>
      <c r="D3318" s="2" t="s">
        <v>3990</v>
      </c>
      <c r="E3318" t="s">
        <v>2298</v>
      </c>
      <c r="F3318" t="s">
        <v>20</v>
      </c>
      <c r="G3318" t="s">
        <v>21</v>
      </c>
      <c r="H3318" t="s">
        <v>2189</v>
      </c>
      <c r="I3318" t="s">
        <v>23</v>
      </c>
      <c r="J3318" t="s">
        <v>40</v>
      </c>
      <c r="K3318" s="2" t="s">
        <v>422</v>
      </c>
      <c r="L3318" t="s">
        <v>26</v>
      </c>
      <c r="M3318">
        <v>336409</v>
      </c>
      <c r="N3318">
        <v>1</v>
      </c>
      <c r="O3318" s="3">
        <v>64950</v>
      </c>
      <c r="P3318" s="3">
        <v>20787</v>
      </c>
      <c r="Q3318" s="5">
        <f t="shared" si="153"/>
        <v>54579.831932773115</v>
      </c>
      <c r="R3318" s="5">
        <f t="shared" si="154"/>
        <v>20787</v>
      </c>
      <c r="S3318" s="5">
        <f t="shared" si="155"/>
        <v>33792.831932773115</v>
      </c>
    </row>
    <row r="3319" spans="1:19" hidden="1" x14ac:dyDescent="0.3">
      <c r="A3319">
        <v>170</v>
      </c>
      <c r="B3319" t="s">
        <v>4809</v>
      </c>
      <c r="C3319" t="s">
        <v>3815</v>
      </c>
      <c r="D3319" s="2" t="s">
        <v>3816</v>
      </c>
      <c r="E3319" t="s">
        <v>2340</v>
      </c>
      <c r="F3319" t="s">
        <v>20</v>
      </c>
      <c r="G3319" t="s">
        <v>21</v>
      </c>
      <c r="H3319" t="s">
        <v>1914</v>
      </c>
      <c r="I3319" t="s">
        <v>23</v>
      </c>
      <c r="J3319" t="s">
        <v>35</v>
      </c>
      <c r="K3319" s="2" t="s">
        <v>422</v>
      </c>
      <c r="L3319" t="s">
        <v>26</v>
      </c>
      <c r="M3319">
        <v>336410</v>
      </c>
      <c r="N3319">
        <v>1</v>
      </c>
      <c r="O3319" s="3">
        <v>89950</v>
      </c>
      <c r="P3319" s="3">
        <v>27630</v>
      </c>
      <c r="Q3319" s="5">
        <f t="shared" si="153"/>
        <v>75588.23529411765</v>
      </c>
      <c r="R3319" s="5">
        <f t="shared" si="154"/>
        <v>27630</v>
      </c>
      <c r="S3319" s="5">
        <f t="shared" si="155"/>
        <v>47958.23529411765</v>
      </c>
    </row>
    <row r="3320" spans="1:19" hidden="1" x14ac:dyDescent="0.3">
      <c r="A3320">
        <v>170</v>
      </c>
      <c r="B3320" t="s">
        <v>4809</v>
      </c>
      <c r="C3320" t="s">
        <v>4962</v>
      </c>
      <c r="D3320" s="2" t="s">
        <v>4963</v>
      </c>
      <c r="E3320" t="s">
        <v>4416</v>
      </c>
      <c r="F3320" t="s">
        <v>20</v>
      </c>
      <c r="G3320" t="s">
        <v>21</v>
      </c>
      <c r="H3320" t="s">
        <v>4417</v>
      </c>
      <c r="I3320" t="s">
        <v>23</v>
      </c>
      <c r="J3320" t="s">
        <v>49</v>
      </c>
      <c r="K3320" s="2" t="s">
        <v>422</v>
      </c>
      <c r="L3320" t="s">
        <v>26</v>
      </c>
      <c r="M3320">
        <v>336411</v>
      </c>
      <c r="N3320">
        <v>1</v>
      </c>
      <c r="O3320" s="3">
        <v>72200</v>
      </c>
      <c r="P3320" s="3">
        <v>33489</v>
      </c>
      <c r="Q3320" s="5">
        <f t="shared" si="153"/>
        <v>60672.268907563026</v>
      </c>
      <c r="R3320" s="5">
        <f t="shared" si="154"/>
        <v>33489</v>
      </c>
      <c r="S3320" s="5">
        <f t="shared" si="155"/>
        <v>27183.268907563026</v>
      </c>
    </row>
    <row r="3321" spans="1:19" hidden="1" x14ac:dyDescent="0.3">
      <c r="A3321">
        <v>170</v>
      </c>
      <c r="B3321" t="s">
        <v>4809</v>
      </c>
      <c r="C3321" t="s">
        <v>4487</v>
      </c>
      <c r="D3321" s="2" t="s">
        <v>4488</v>
      </c>
      <c r="E3321" t="s">
        <v>1336</v>
      </c>
      <c r="F3321" t="s">
        <v>20</v>
      </c>
      <c r="G3321" t="s">
        <v>21</v>
      </c>
      <c r="H3321" t="s">
        <v>1337</v>
      </c>
      <c r="I3321" t="s">
        <v>23</v>
      </c>
      <c r="J3321" t="s">
        <v>49</v>
      </c>
      <c r="K3321" s="2" t="s">
        <v>422</v>
      </c>
      <c r="L3321" t="s">
        <v>26</v>
      </c>
      <c r="M3321">
        <v>336412</v>
      </c>
      <c r="N3321">
        <v>1</v>
      </c>
      <c r="O3321" s="3">
        <v>59950</v>
      </c>
      <c r="P3321" s="3">
        <v>19096</v>
      </c>
      <c r="Q3321" s="5">
        <f t="shared" si="153"/>
        <v>50378.151260504201</v>
      </c>
      <c r="R3321" s="5">
        <f t="shared" si="154"/>
        <v>19096</v>
      </c>
      <c r="S3321" s="5">
        <f t="shared" si="155"/>
        <v>31282.151260504201</v>
      </c>
    </row>
    <row r="3322" spans="1:19" hidden="1" x14ac:dyDescent="0.3">
      <c r="A3322">
        <v>170</v>
      </c>
      <c r="B3322" t="s">
        <v>4809</v>
      </c>
      <c r="C3322" t="s">
        <v>2224</v>
      </c>
      <c r="D3322" s="2" t="s">
        <v>2225</v>
      </c>
      <c r="E3322" t="s">
        <v>2226</v>
      </c>
      <c r="F3322" t="s">
        <v>20</v>
      </c>
      <c r="G3322" t="s">
        <v>21</v>
      </c>
      <c r="H3322" t="s">
        <v>53</v>
      </c>
      <c r="I3322" t="s">
        <v>23</v>
      </c>
      <c r="J3322" t="s">
        <v>49</v>
      </c>
      <c r="K3322" s="2" t="s">
        <v>422</v>
      </c>
      <c r="L3322" t="s">
        <v>26</v>
      </c>
      <c r="M3322">
        <v>336412</v>
      </c>
      <c r="N3322">
        <v>1</v>
      </c>
      <c r="O3322" s="3">
        <v>59450</v>
      </c>
      <c r="P3322" s="3">
        <v>20951</v>
      </c>
      <c r="Q3322" s="5">
        <f t="shared" si="153"/>
        <v>49957.983193277316</v>
      </c>
      <c r="R3322" s="5">
        <f t="shared" si="154"/>
        <v>20951</v>
      </c>
      <c r="S3322" s="5">
        <f t="shared" si="155"/>
        <v>29006.983193277316</v>
      </c>
    </row>
    <row r="3323" spans="1:19" hidden="1" x14ac:dyDescent="0.3">
      <c r="A3323">
        <v>170</v>
      </c>
      <c r="B3323" t="s">
        <v>4809</v>
      </c>
      <c r="C3323" t="s">
        <v>3118</v>
      </c>
      <c r="D3323" s="2" t="s">
        <v>3119</v>
      </c>
      <c r="E3323" t="s">
        <v>954</v>
      </c>
      <c r="F3323" t="s">
        <v>20</v>
      </c>
      <c r="G3323" t="s">
        <v>21</v>
      </c>
      <c r="H3323" t="s">
        <v>557</v>
      </c>
      <c r="I3323" t="s">
        <v>23</v>
      </c>
      <c r="J3323" t="s">
        <v>40</v>
      </c>
      <c r="K3323" s="2" t="s">
        <v>422</v>
      </c>
      <c r="L3323" t="s">
        <v>26</v>
      </c>
      <c r="M3323">
        <v>336413</v>
      </c>
      <c r="N3323">
        <v>1</v>
      </c>
      <c r="O3323" s="3">
        <v>67950</v>
      </c>
      <c r="P3323" s="3">
        <v>26747</v>
      </c>
      <c r="Q3323" s="5">
        <f t="shared" si="153"/>
        <v>57100.840336134454</v>
      </c>
      <c r="R3323" s="5">
        <f t="shared" si="154"/>
        <v>26747</v>
      </c>
      <c r="S3323" s="5">
        <f t="shared" si="155"/>
        <v>30353.840336134454</v>
      </c>
    </row>
    <row r="3324" spans="1:19" hidden="1" x14ac:dyDescent="0.3">
      <c r="A3324">
        <v>170</v>
      </c>
      <c r="B3324" t="s">
        <v>4809</v>
      </c>
      <c r="C3324" t="s">
        <v>4964</v>
      </c>
      <c r="D3324" s="2" t="s">
        <v>4965</v>
      </c>
      <c r="E3324" t="s">
        <v>2343</v>
      </c>
      <c r="F3324" t="s">
        <v>20</v>
      </c>
      <c r="G3324" t="s">
        <v>338</v>
      </c>
      <c r="H3324">
        <v>23723</v>
      </c>
      <c r="I3324" t="s">
        <v>23</v>
      </c>
      <c r="J3324" t="s">
        <v>40</v>
      </c>
      <c r="K3324" s="2" t="s">
        <v>422</v>
      </c>
      <c r="L3324" t="s">
        <v>26</v>
      </c>
      <c r="M3324">
        <v>336413</v>
      </c>
      <c r="N3324">
        <v>1</v>
      </c>
      <c r="O3324" s="3">
        <v>79990</v>
      </c>
      <c r="P3324" s="3">
        <v>35178</v>
      </c>
      <c r="Q3324" s="5">
        <f t="shared" si="153"/>
        <v>67218.487394957992</v>
      </c>
      <c r="R3324" s="5">
        <f t="shared" si="154"/>
        <v>35178</v>
      </c>
      <c r="S3324" s="5">
        <f t="shared" si="155"/>
        <v>32040.487394957992</v>
      </c>
    </row>
    <row r="3325" spans="1:19" hidden="1" x14ac:dyDescent="0.3">
      <c r="A3325">
        <v>170</v>
      </c>
      <c r="B3325" t="s">
        <v>4809</v>
      </c>
      <c r="C3325" t="s">
        <v>4966</v>
      </c>
      <c r="D3325" s="2" t="s">
        <v>4967</v>
      </c>
      <c r="E3325" t="s">
        <v>3108</v>
      </c>
      <c r="F3325" t="s">
        <v>377</v>
      </c>
      <c r="G3325" t="s">
        <v>21</v>
      </c>
      <c r="H3325" t="s">
        <v>378</v>
      </c>
      <c r="I3325" t="s">
        <v>23</v>
      </c>
      <c r="J3325" t="s">
        <v>2620</v>
      </c>
      <c r="K3325" s="2" t="s">
        <v>422</v>
      </c>
      <c r="L3325" t="s">
        <v>26</v>
      </c>
      <c r="M3325">
        <v>336414</v>
      </c>
      <c r="N3325">
        <v>1</v>
      </c>
      <c r="O3325" s="3">
        <v>26950</v>
      </c>
      <c r="P3325" s="3">
        <v>13329</v>
      </c>
      <c r="Q3325" s="5">
        <f t="shared" si="153"/>
        <v>22647.058823529413</v>
      </c>
      <c r="R3325" s="5">
        <f t="shared" si="154"/>
        <v>13329</v>
      </c>
      <c r="S3325" s="5">
        <f t="shared" si="155"/>
        <v>9318.0588235294126</v>
      </c>
    </row>
    <row r="3326" spans="1:19" hidden="1" x14ac:dyDescent="0.3">
      <c r="A3326">
        <v>170</v>
      </c>
      <c r="B3326" t="s">
        <v>4809</v>
      </c>
      <c r="C3326" t="s">
        <v>2485</v>
      </c>
      <c r="D3326" s="2" t="s">
        <v>2486</v>
      </c>
      <c r="E3326" t="s">
        <v>2487</v>
      </c>
      <c r="F3326" t="s">
        <v>377</v>
      </c>
      <c r="G3326" t="s">
        <v>21</v>
      </c>
      <c r="H3326" t="s">
        <v>378</v>
      </c>
      <c r="I3326" t="s">
        <v>23</v>
      </c>
      <c r="J3326" t="s">
        <v>379</v>
      </c>
      <c r="K3326" s="2" t="s">
        <v>422</v>
      </c>
      <c r="L3326" t="s">
        <v>26</v>
      </c>
      <c r="M3326">
        <v>336415</v>
      </c>
      <c r="N3326">
        <v>1</v>
      </c>
      <c r="O3326" s="3">
        <v>5950</v>
      </c>
      <c r="P3326" s="3">
        <v>2243</v>
      </c>
      <c r="Q3326" s="5">
        <f t="shared" si="153"/>
        <v>5000</v>
      </c>
      <c r="R3326" s="5">
        <f t="shared" si="154"/>
        <v>2243</v>
      </c>
      <c r="S3326" s="5">
        <f t="shared" si="155"/>
        <v>2757</v>
      </c>
    </row>
    <row r="3327" spans="1:19" hidden="1" x14ac:dyDescent="0.3">
      <c r="A3327">
        <v>170</v>
      </c>
      <c r="B3327" t="s">
        <v>4809</v>
      </c>
      <c r="C3327" t="s">
        <v>4968</v>
      </c>
      <c r="D3327" s="2" t="s">
        <v>4969</v>
      </c>
      <c r="E3327" t="s">
        <v>1758</v>
      </c>
      <c r="F3327" t="s">
        <v>20</v>
      </c>
      <c r="G3327" t="s">
        <v>338</v>
      </c>
      <c r="H3327">
        <v>25133</v>
      </c>
      <c r="I3327" t="s">
        <v>23</v>
      </c>
      <c r="J3327" t="s">
        <v>35</v>
      </c>
      <c r="K3327" s="2" t="s">
        <v>422</v>
      </c>
      <c r="L3327" t="s">
        <v>26</v>
      </c>
      <c r="M3327">
        <v>336416</v>
      </c>
      <c r="N3327">
        <v>1</v>
      </c>
      <c r="O3327" s="3">
        <v>74950</v>
      </c>
      <c r="P3327" s="3">
        <v>21167</v>
      </c>
      <c r="Q3327" s="5">
        <f t="shared" si="153"/>
        <v>62983.193277310929</v>
      </c>
      <c r="R3327" s="5">
        <f t="shared" si="154"/>
        <v>21167</v>
      </c>
      <c r="S3327" s="5">
        <f t="shared" si="155"/>
        <v>41816.193277310929</v>
      </c>
    </row>
    <row r="3328" spans="1:19" hidden="1" x14ac:dyDescent="0.3">
      <c r="A3328">
        <v>170</v>
      </c>
      <c r="B3328" t="s">
        <v>4809</v>
      </c>
      <c r="C3328" t="s">
        <v>4970</v>
      </c>
      <c r="D3328" s="2" t="s">
        <v>4971</v>
      </c>
      <c r="E3328" t="s">
        <v>2741</v>
      </c>
      <c r="F3328" t="s">
        <v>20</v>
      </c>
      <c r="G3328" t="s">
        <v>21</v>
      </c>
      <c r="H3328" t="s">
        <v>2494</v>
      </c>
      <c r="I3328" t="s">
        <v>23</v>
      </c>
      <c r="J3328" t="s">
        <v>40</v>
      </c>
      <c r="K3328" s="2" t="s">
        <v>422</v>
      </c>
      <c r="L3328" t="s">
        <v>26</v>
      </c>
      <c r="M3328">
        <v>336417</v>
      </c>
      <c r="N3328">
        <v>1</v>
      </c>
      <c r="O3328" s="3">
        <v>69950</v>
      </c>
      <c r="P3328" s="3">
        <v>23470</v>
      </c>
      <c r="Q3328" s="5">
        <f t="shared" si="153"/>
        <v>58781.512605042022</v>
      </c>
      <c r="R3328" s="5">
        <f t="shared" si="154"/>
        <v>23470</v>
      </c>
      <c r="S3328" s="5">
        <f t="shared" si="155"/>
        <v>35311.512605042022</v>
      </c>
    </row>
    <row r="3329" spans="1:19" hidden="1" x14ac:dyDescent="0.3">
      <c r="A3329">
        <v>170</v>
      </c>
      <c r="B3329" t="s">
        <v>4809</v>
      </c>
      <c r="C3329">
        <v>1687976791</v>
      </c>
      <c r="D3329" s="2" t="s">
        <v>200</v>
      </c>
      <c r="E3329" t="s">
        <v>201</v>
      </c>
      <c r="F3329" t="s">
        <v>201</v>
      </c>
      <c r="G3329" t="s">
        <v>202</v>
      </c>
      <c r="H3329" t="s">
        <v>202</v>
      </c>
      <c r="I3329" t="s">
        <v>23</v>
      </c>
      <c r="J3329" t="s">
        <v>202</v>
      </c>
      <c r="K3329" s="2" t="s">
        <v>422</v>
      </c>
      <c r="L3329" t="s">
        <v>26</v>
      </c>
      <c r="M3329">
        <v>336417</v>
      </c>
      <c r="N3329">
        <v>1</v>
      </c>
      <c r="O3329">
        <v>1</v>
      </c>
      <c r="P3329">
        <v>1</v>
      </c>
      <c r="Q3329" s="5">
        <f t="shared" si="153"/>
        <v>0.84033613445378152</v>
      </c>
      <c r="R3329" s="5">
        <f t="shared" si="154"/>
        <v>1</v>
      </c>
      <c r="S3329" s="5">
        <f t="shared" si="155"/>
        <v>-0.15966386554621848</v>
      </c>
    </row>
    <row r="3330" spans="1:19" hidden="1" x14ac:dyDescent="0.3">
      <c r="A3330">
        <v>170</v>
      </c>
      <c r="B3330" t="s">
        <v>4809</v>
      </c>
      <c r="C3330" t="s">
        <v>4387</v>
      </c>
      <c r="D3330" s="2" t="s">
        <v>4388</v>
      </c>
      <c r="E3330" t="s">
        <v>3068</v>
      </c>
      <c r="F3330" t="s">
        <v>20</v>
      </c>
      <c r="G3330" t="s">
        <v>21</v>
      </c>
      <c r="H3330" t="s">
        <v>1286</v>
      </c>
      <c r="I3330" t="s">
        <v>23</v>
      </c>
      <c r="J3330" t="s">
        <v>40</v>
      </c>
      <c r="K3330" s="2" t="s">
        <v>422</v>
      </c>
      <c r="L3330" t="s">
        <v>26</v>
      </c>
      <c r="M3330">
        <v>336418</v>
      </c>
      <c r="N3330">
        <v>1</v>
      </c>
      <c r="O3330" s="3">
        <v>69950</v>
      </c>
      <c r="P3330" s="3">
        <v>19604</v>
      </c>
      <c r="Q3330" s="5">
        <f t="shared" si="153"/>
        <v>58781.512605042022</v>
      </c>
      <c r="R3330" s="5">
        <f t="shared" si="154"/>
        <v>19604</v>
      </c>
      <c r="S3330" s="5">
        <f t="shared" si="155"/>
        <v>39177.512605042022</v>
      </c>
    </row>
    <row r="3331" spans="1:19" hidden="1" x14ac:dyDescent="0.3">
      <c r="A3331">
        <v>170</v>
      </c>
      <c r="B3331" t="s">
        <v>4809</v>
      </c>
      <c r="C3331" t="s">
        <v>4972</v>
      </c>
      <c r="D3331" s="2" t="s">
        <v>4973</v>
      </c>
      <c r="E3331" t="s">
        <v>1825</v>
      </c>
      <c r="F3331" t="s">
        <v>20</v>
      </c>
      <c r="G3331" t="s">
        <v>21</v>
      </c>
      <c r="H3331" t="s">
        <v>686</v>
      </c>
      <c r="I3331" t="s">
        <v>23</v>
      </c>
      <c r="J3331" t="s">
        <v>35</v>
      </c>
      <c r="K3331" s="2" t="s">
        <v>422</v>
      </c>
      <c r="L3331" t="s">
        <v>26</v>
      </c>
      <c r="M3331">
        <v>336419</v>
      </c>
      <c r="N3331">
        <v>1</v>
      </c>
      <c r="O3331" s="3">
        <v>84950</v>
      </c>
      <c r="P3331" s="3">
        <v>48762</v>
      </c>
      <c r="Q3331" s="5">
        <f t="shared" si="153"/>
        <v>71386.554621848743</v>
      </c>
      <c r="R3331" s="5">
        <f t="shared" si="154"/>
        <v>48762</v>
      </c>
      <c r="S3331" s="5">
        <f t="shared" si="155"/>
        <v>22624.554621848743</v>
      </c>
    </row>
    <row r="3332" spans="1:19" hidden="1" x14ac:dyDescent="0.3">
      <c r="A3332">
        <v>170</v>
      </c>
      <c r="B3332" t="s">
        <v>4809</v>
      </c>
      <c r="C3332" t="s">
        <v>3569</v>
      </c>
      <c r="D3332" s="2" t="s">
        <v>3570</v>
      </c>
      <c r="E3332" t="s">
        <v>2616</v>
      </c>
      <c r="F3332" t="s">
        <v>20</v>
      </c>
      <c r="G3332" t="s">
        <v>338</v>
      </c>
      <c r="H3332">
        <v>83717</v>
      </c>
      <c r="I3332" t="s">
        <v>23</v>
      </c>
      <c r="J3332" t="s">
        <v>40</v>
      </c>
      <c r="K3332" s="2" t="s">
        <v>422</v>
      </c>
      <c r="L3332" t="s">
        <v>26</v>
      </c>
      <c r="M3332">
        <v>336419</v>
      </c>
      <c r="N3332">
        <v>1</v>
      </c>
      <c r="O3332" s="3">
        <v>89950</v>
      </c>
      <c r="P3332" s="3">
        <v>30263</v>
      </c>
      <c r="Q3332" s="5">
        <f t="shared" si="153"/>
        <v>75588.23529411765</v>
      </c>
      <c r="R3332" s="5">
        <f t="shared" si="154"/>
        <v>30263</v>
      </c>
      <c r="S3332" s="5">
        <f t="shared" si="155"/>
        <v>45325.23529411765</v>
      </c>
    </row>
    <row r="3333" spans="1:19" hidden="1" x14ac:dyDescent="0.3">
      <c r="A3333">
        <v>170</v>
      </c>
      <c r="B3333" t="s">
        <v>4809</v>
      </c>
      <c r="C3333" t="s">
        <v>4974</v>
      </c>
      <c r="D3333" s="2" t="s">
        <v>4975</v>
      </c>
      <c r="E3333" t="s">
        <v>4976</v>
      </c>
      <c r="F3333" t="s">
        <v>20</v>
      </c>
      <c r="G3333" t="s">
        <v>338</v>
      </c>
      <c r="H3333">
        <v>23313</v>
      </c>
      <c r="I3333" t="s">
        <v>23</v>
      </c>
      <c r="J3333" t="s">
        <v>40</v>
      </c>
      <c r="K3333" s="2" t="s">
        <v>422</v>
      </c>
      <c r="L3333" t="s">
        <v>26</v>
      </c>
      <c r="M3333">
        <v>336420</v>
      </c>
      <c r="N3333">
        <v>1</v>
      </c>
      <c r="O3333" s="3">
        <v>49990</v>
      </c>
      <c r="P3333" s="3">
        <v>23745</v>
      </c>
      <c r="Q3333" s="5">
        <f t="shared" si="153"/>
        <v>42008.403361344543</v>
      </c>
      <c r="R3333" s="5">
        <f t="shared" si="154"/>
        <v>23745</v>
      </c>
      <c r="S3333" s="5">
        <f t="shared" si="155"/>
        <v>18263.403361344543</v>
      </c>
    </row>
    <row r="3334" spans="1:19" hidden="1" x14ac:dyDescent="0.3">
      <c r="A3334">
        <v>170</v>
      </c>
      <c r="B3334" t="s">
        <v>4809</v>
      </c>
      <c r="C3334" t="s">
        <v>4977</v>
      </c>
      <c r="D3334" s="2" t="s">
        <v>4978</v>
      </c>
      <c r="E3334" t="s">
        <v>4979</v>
      </c>
      <c r="F3334" t="s">
        <v>20</v>
      </c>
      <c r="G3334" t="s">
        <v>21</v>
      </c>
      <c r="H3334" t="s">
        <v>4980</v>
      </c>
      <c r="I3334" t="s">
        <v>23</v>
      </c>
      <c r="J3334" t="s">
        <v>207</v>
      </c>
      <c r="K3334" s="2" t="s">
        <v>422</v>
      </c>
      <c r="L3334" t="s">
        <v>26</v>
      </c>
      <c r="M3334">
        <v>336421</v>
      </c>
      <c r="N3334">
        <v>1</v>
      </c>
      <c r="O3334" s="3">
        <v>49990</v>
      </c>
      <c r="P3334" s="3">
        <v>25646</v>
      </c>
      <c r="Q3334" s="5">
        <f t="shared" ref="Q3334:Q3397" si="156">O3334/1.19</f>
        <v>42008.403361344543</v>
      </c>
      <c r="R3334" s="5">
        <f t="shared" ref="R3334:R3397" si="157">N3334*P3334</f>
        <v>25646</v>
      </c>
      <c r="S3334" s="5">
        <f t="shared" ref="S3334:S3397" si="158">Q3334-R3334</f>
        <v>16362.403361344543</v>
      </c>
    </row>
    <row r="3335" spans="1:19" hidden="1" x14ac:dyDescent="0.3">
      <c r="A3335">
        <v>170</v>
      </c>
      <c r="B3335" t="s">
        <v>4809</v>
      </c>
      <c r="C3335">
        <v>1687976791</v>
      </c>
      <c r="D3335" s="2" t="s">
        <v>200</v>
      </c>
      <c r="E3335" t="s">
        <v>201</v>
      </c>
      <c r="F3335" t="s">
        <v>201</v>
      </c>
      <c r="G3335" t="s">
        <v>202</v>
      </c>
      <c r="H3335" t="s">
        <v>202</v>
      </c>
      <c r="I3335" t="s">
        <v>23</v>
      </c>
      <c r="J3335" t="s">
        <v>202</v>
      </c>
      <c r="K3335" s="2" t="s">
        <v>422</v>
      </c>
      <c r="L3335" t="s">
        <v>26</v>
      </c>
      <c r="M3335">
        <v>336421</v>
      </c>
      <c r="N3335">
        <v>1</v>
      </c>
      <c r="O3335" s="3">
        <v>3200</v>
      </c>
      <c r="P3335">
        <v>1</v>
      </c>
      <c r="Q3335" s="5">
        <f t="shared" si="156"/>
        <v>2689.0756302521008</v>
      </c>
      <c r="R3335" s="5">
        <f t="shared" si="157"/>
        <v>1</v>
      </c>
      <c r="S3335" s="5">
        <f t="shared" si="158"/>
        <v>2688.0756302521008</v>
      </c>
    </row>
    <row r="3336" spans="1:19" hidden="1" x14ac:dyDescent="0.3">
      <c r="A3336">
        <v>170</v>
      </c>
      <c r="B3336" t="s">
        <v>4809</v>
      </c>
      <c r="C3336" t="s">
        <v>4981</v>
      </c>
      <c r="D3336" s="2" t="s">
        <v>4982</v>
      </c>
      <c r="E3336" t="s">
        <v>2205</v>
      </c>
      <c r="F3336" t="s">
        <v>20</v>
      </c>
      <c r="G3336" t="s">
        <v>21</v>
      </c>
      <c r="H3336" t="s">
        <v>433</v>
      </c>
      <c r="I3336" t="s">
        <v>23</v>
      </c>
      <c r="J3336" t="s">
        <v>407</v>
      </c>
      <c r="K3336" s="2" t="s">
        <v>422</v>
      </c>
      <c r="L3336" t="s">
        <v>26</v>
      </c>
      <c r="M3336">
        <v>336422</v>
      </c>
      <c r="N3336">
        <v>1</v>
      </c>
      <c r="O3336" s="3">
        <v>39990</v>
      </c>
      <c r="P3336" s="3">
        <v>19272</v>
      </c>
      <c r="Q3336" s="5">
        <f t="shared" si="156"/>
        <v>33605.042016806721</v>
      </c>
      <c r="R3336" s="5">
        <f t="shared" si="157"/>
        <v>19272</v>
      </c>
      <c r="S3336" s="5">
        <f t="shared" si="158"/>
        <v>14333.042016806721</v>
      </c>
    </row>
    <row r="3337" spans="1:19" hidden="1" x14ac:dyDescent="0.3">
      <c r="A3337">
        <v>170</v>
      </c>
      <c r="B3337" t="s">
        <v>4809</v>
      </c>
      <c r="C3337" t="s">
        <v>1121</v>
      </c>
      <c r="D3337" s="2" t="s">
        <v>1122</v>
      </c>
      <c r="E3337" t="s">
        <v>1123</v>
      </c>
      <c r="F3337" t="s">
        <v>20</v>
      </c>
      <c r="G3337" t="s">
        <v>21</v>
      </c>
      <c r="H3337" t="s">
        <v>1124</v>
      </c>
      <c r="I3337" t="s">
        <v>23</v>
      </c>
      <c r="J3337" t="s">
        <v>24</v>
      </c>
      <c r="K3337" s="2" t="s">
        <v>422</v>
      </c>
      <c r="L3337" t="s">
        <v>26</v>
      </c>
      <c r="M3337">
        <v>336423</v>
      </c>
      <c r="N3337">
        <v>1</v>
      </c>
      <c r="O3337" s="3">
        <v>74950</v>
      </c>
      <c r="P3337" s="3">
        <v>25834</v>
      </c>
      <c r="Q3337" s="5">
        <f t="shared" si="156"/>
        <v>62983.193277310929</v>
      </c>
      <c r="R3337" s="5">
        <f t="shared" si="157"/>
        <v>25834</v>
      </c>
      <c r="S3337" s="5">
        <f t="shared" si="158"/>
        <v>37149.193277310929</v>
      </c>
    </row>
    <row r="3338" spans="1:19" hidden="1" x14ac:dyDescent="0.3">
      <c r="A3338">
        <v>170</v>
      </c>
      <c r="B3338" t="s">
        <v>4809</v>
      </c>
      <c r="C3338" t="s">
        <v>2491</v>
      </c>
      <c r="D3338" s="2" t="s">
        <v>2492</v>
      </c>
      <c r="E3338" t="s">
        <v>2493</v>
      </c>
      <c r="F3338" t="s">
        <v>20</v>
      </c>
      <c r="G3338" t="s">
        <v>21</v>
      </c>
      <c r="H3338" t="s">
        <v>2494</v>
      </c>
      <c r="I3338" t="s">
        <v>23</v>
      </c>
      <c r="J3338" t="s">
        <v>40</v>
      </c>
      <c r="K3338" s="2" t="s">
        <v>422</v>
      </c>
      <c r="L3338" t="s">
        <v>26</v>
      </c>
      <c r="M3338">
        <v>336424</v>
      </c>
      <c r="N3338">
        <v>1</v>
      </c>
      <c r="O3338" s="3">
        <v>69950</v>
      </c>
      <c r="P3338" s="3">
        <v>22206</v>
      </c>
      <c r="Q3338" s="5">
        <f t="shared" si="156"/>
        <v>58781.512605042022</v>
      </c>
      <c r="R3338" s="5">
        <f t="shared" si="157"/>
        <v>22206</v>
      </c>
      <c r="S3338" s="5">
        <f t="shared" si="158"/>
        <v>36575.512605042022</v>
      </c>
    </row>
    <row r="3339" spans="1:19" hidden="1" x14ac:dyDescent="0.3">
      <c r="A3339">
        <v>170</v>
      </c>
      <c r="B3339" t="s">
        <v>4809</v>
      </c>
      <c r="C3339" t="s">
        <v>3273</v>
      </c>
      <c r="D3339" s="2" t="s">
        <v>3274</v>
      </c>
      <c r="E3339" t="s">
        <v>499</v>
      </c>
      <c r="F3339" t="s">
        <v>20</v>
      </c>
      <c r="G3339" t="s">
        <v>21</v>
      </c>
      <c r="H3339" t="s">
        <v>500</v>
      </c>
      <c r="I3339" t="s">
        <v>23</v>
      </c>
      <c r="J3339" t="s">
        <v>40</v>
      </c>
      <c r="K3339" s="2" t="s">
        <v>422</v>
      </c>
      <c r="L3339" t="s">
        <v>26</v>
      </c>
      <c r="M3339">
        <v>336425</v>
      </c>
      <c r="N3339">
        <v>1</v>
      </c>
      <c r="O3339" s="3">
        <v>59950</v>
      </c>
      <c r="P3339" s="3">
        <v>17416</v>
      </c>
      <c r="Q3339" s="5">
        <f t="shared" si="156"/>
        <v>50378.151260504201</v>
      </c>
      <c r="R3339" s="5">
        <f t="shared" si="157"/>
        <v>17416</v>
      </c>
      <c r="S3339" s="5">
        <f t="shared" si="158"/>
        <v>32962.151260504201</v>
      </c>
    </row>
    <row r="3340" spans="1:19" hidden="1" x14ac:dyDescent="0.3">
      <c r="A3340">
        <v>170</v>
      </c>
      <c r="B3340" t="s">
        <v>4809</v>
      </c>
      <c r="C3340" t="s">
        <v>3887</v>
      </c>
      <c r="D3340" s="2" t="s">
        <v>3888</v>
      </c>
      <c r="E3340" t="s">
        <v>2436</v>
      </c>
      <c r="F3340" t="s">
        <v>20</v>
      </c>
      <c r="G3340" t="s">
        <v>338</v>
      </c>
      <c r="H3340">
        <v>22318</v>
      </c>
      <c r="I3340" t="s">
        <v>23</v>
      </c>
      <c r="J3340" t="s">
        <v>49</v>
      </c>
      <c r="K3340" s="2" t="s">
        <v>422</v>
      </c>
      <c r="L3340" t="s">
        <v>26</v>
      </c>
      <c r="M3340">
        <v>336426</v>
      </c>
      <c r="N3340">
        <v>1</v>
      </c>
      <c r="O3340" s="3">
        <v>74951</v>
      </c>
      <c r="P3340" s="3">
        <v>23473</v>
      </c>
      <c r="Q3340" s="5">
        <f t="shared" si="156"/>
        <v>62984.033613445383</v>
      </c>
      <c r="R3340" s="5">
        <f t="shared" si="157"/>
        <v>23473</v>
      </c>
      <c r="S3340" s="5">
        <f t="shared" si="158"/>
        <v>39511.033613445383</v>
      </c>
    </row>
    <row r="3341" spans="1:19" hidden="1" x14ac:dyDescent="0.3">
      <c r="A3341">
        <v>170</v>
      </c>
      <c r="B3341" t="s">
        <v>4809</v>
      </c>
      <c r="C3341" t="s">
        <v>2434</v>
      </c>
      <c r="D3341" s="2" t="s">
        <v>2435</v>
      </c>
      <c r="E3341" t="s">
        <v>2436</v>
      </c>
      <c r="F3341" t="s">
        <v>20</v>
      </c>
      <c r="G3341" t="s">
        <v>338</v>
      </c>
      <c r="H3341">
        <v>22318</v>
      </c>
      <c r="I3341" t="s">
        <v>23</v>
      </c>
      <c r="J3341" t="s">
        <v>49</v>
      </c>
      <c r="K3341" s="2" t="s">
        <v>422</v>
      </c>
      <c r="L3341" t="s">
        <v>26</v>
      </c>
      <c r="M3341">
        <v>336426</v>
      </c>
      <c r="N3341">
        <v>-1</v>
      </c>
      <c r="O3341" s="3">
        <v>-74950</v>
      </c>
      <c r="P3341" s="3">
        <v>23473</v>
      </c>
      <c r="Q3341" s="5">
        <f t="shared" si="156"/>
        <v>-62983.193277310929</v>
      </c>
      <c r="R3341" s="5">
        <f t="shared" si="157"/>
        <v>-23473</v>
      </c>
      <c r="S3341" s="5">
        <f t="shared" si="158"/>
        <v>-39510.193277310929</v>
      </c>
    </row>
    <row r="3342" spans="1:19" hidden="1" x14ac:dyDescent="0.3">
      <c r="A3342">
        <v>170</v>
      </c>
      <c r="B3342" t="s">
        <v>4809</v>
      </c>
      <c r="C3342" t="s">
        <v>2625</v>
      </c>
      <c r="D3342" s="2" t="s">
        <v>2626</v>
      </c>
      <c r="E3342" t="s">
        <v>2539</v>
      </c>
      <c r="F3342" t="s">
        <v>20</v>
      </c>
      <c r="G3342" t="s">
        <v>21</v>
      </c>
      <c r="H3342" t="s">
        <v>966</v>
      </c>
      <c r="I3342" t="s">
        <v>23</v>
      </c>
      <c r="J3342" t="s">
        <v>35</v>
      </c>
      <c r="K3342" s="2" t="s">
        <v>422</v>
      </c>
      <c r="L3342" t="s">
        <v>26</v>
      </c>
      <c r="M3342">
        <v>336427</v>
      </c>
      <c r="N3342">
        <v>1</v>
      </c>
      <c r="O3342" s="3">
        <v>74950</v>
      </c>
      <c r="P3342" s="3">
        <v>27026</v>
      </c>
      <c r="Q3342" s="5">
        <f t="shared" si="156"/>
        <v>62983.193277310929</v>
      </c>
      <c r="R3342" s="5">
        <f t="shared" si="157"/>
        <v>27026</v>
      </c>
      <c r="S3342" s="5">
        <f t="shared" si="158"/>
        <v>35957.193277310929</v>
      </c>
    </row>
    <row r="3343" spans="1:19" hidden="1" x14ac:dyDescent="0.3">
      <c r="A3343">
        <v>170</v>
      </c>
      <c r="B3343" t="s">
        <v>4809</v>
      </c>
      <c r="C3343" t="s">
        <v>4285</v>
      </c>
      <c r="D3343" s="2" t="s">
        <v>4286</v>
      </c>
      <c r="E3343" t="s">
        <v>2373</v>
      </c>
      <c r="F3343" t="s">
        <v>20</v>
      </c>
      <c r="G3343" t="s">
        <v>338</v>
      </c>
      <c r="H3343">
        <v>24239</v>
      </c>
      <c r="I3343" t="s">
        <v>23</v>
      </c>
      <c r="J3343" t="s">
        <v>95</v>
      </c>
      <c r="K3343" s="2" t="s">
        <v>422</v>
      </c>
      <c r="L3343" t="s">
        <v>26</v>
      </c>
      <c r="M3343">
        <v>336428</v>
      </c>
      <c r="N3343">
        <v>1</v>
      </c>
      <c r="O3343" s="3">
        <v>59950</v>
      </c>
      <c r="P3343" s="3">
        <v>18677</v>
      </c>
      <c r="Q3343" s="5">
        <f t="shared" si="156"/>
        <v>50378.151260504201</v>
      </c>
      <c r="R3343" s="5">
        <f t="shared" si="157"/>
        <v>18677</v>
      </c>
      <c r="S3343" s="5">
        <f t="shared" si="158"/>
        <v>31701.151260504201</v>
      </c>
    </row>
    <row r="3344" spans="1:19" hidden="1" x14ac:dyDescent="0.3">
      <c r="A3344">
        <v>170</v>
      </c>
      <c r="B3344" t="s">
        <v>4809</v>
      </c>
      <c r="C3344" t="s">
        <v>3613</v>
      </c>
      <c r="D3344" s="2" t="s">
        <v>3614</v>
      </c>
      <c r="E3344" t="s">
        <v>2185</v>
      </c>
      <c r="F3344" t="s">
        <v>20</v>
      </c>
      <c r="G3344" t="s">
        <v>21</v>
      </c>
      <c r="H3344" t="s">
        <v>614</v>
      </c>
      <c r="I3344" t="s">
        <v>23</v>
      </c>
      <c r="J3344" t="s">
        <v>40</v>
      </c>
      <c r="K3344" s="2" t="s">
        <v>422</v>
      </c>
      <c r="L3344" t="s">
        <v>26</v>
      </c>
      <c r="M3344">
        <v>336429</v>
      </c>
      <c r="N3344">
        <v>1</v>
      </c>
      <c r="O3344" s="3">
        <v>54951</v>
      </c>
      <c r="P3344" s="3">
        <v>17498</v>
      </c>
      <c r="Q3344" s="5">
        <f t="shared" si="156"/>
        <v>46177.310924369747</v>
      </c>
      <c r="R3344" s="5">
        <f t="shared" si="157"/>
        <v>17498</v>
      </c>
      <c r="S3344" s="5">
        <f t="shared" si="158"/>
        <v>28679.310924369747</v>
      </c>
    </row>
    <row r="3345" spans="1:19" hidden="1" x14ac:dyDescent="0.3">
      <c r="A3345">
        <v>170</v>
      </c>
      <c r="B3345" t="s">
        <v>4809</v>
      </c>
      <c r="C3345" t="s">
        <v>3298</v>
      </c>
      <c r="D3345" s="2" t="s">
        <v>3299</v>
      </c>
      <c r="E3345" t="s">
        <v>2185</v>
      </c>
      <c r="F3345" t="s">
        <v>20</v>
      </c>
      <c r="G3345" t="s">
        <v>21</v>
      </c>
      <c r="H3345" t="s">
        <v>614</v>
      </c>
      <c r="I3345" t="s">
        <v>23</v>
      </c>
      <c r="J3345" t="s">
        <v>40</v>
      </c>
      <c r="K3345" s="2" t="s">
        <v>422</v>
      </c>
      <c r="L3345" t="s">
        <v>26</v>
      </c>
      <c r="M3345">
        <v>336429</v>
      </c>
      <c r="N3345">
        <v>-1</v>
      </c>
      <c r="O3345" s="3">
        <v>-54950</v>
      </c>
      <c r="P3345" s="3">
        <v>17386</v>
      </c>
      <c r="Q3345" s="5">
        <f t="shared" si="156"/>
        <v>-46176.470588235294</v>
      </c>
      <c r="R3345" s="5">
        <f t="shared" si="157"/>
        <v>-17386</v>
      </c>
      <c r="S3345" s="5">
        <f t="shared" si="158"/>
        <v>-28790.470588235294</v>
      </c>
    </row>
    <row r="3346" spans="1:19" hidden="1" x14ac:dyDescent="0.3">
      <c r="A3346">
        <v>170</v>
      </c>
      <c r="B3346" t="s">
        <v>4809</v>
      </c>
      <c r="C3346" t="s">
        <v>1547</v>
      </c>
      <c r="D3346" s="2" t="s">
        <v>1548</v>
      </c>
      <c r="E3346" t="s">
        <v>880</v>
      </c>
      <c r="F3346" t="s">
        <v>20</v>
      </c>
      <c r="G3346" t="s">
        <v>21</v>
      </c>
      <c r="H3346" t="s">
        <v>881</v>
      </c>
      <c r="I3346" t="s">
        <v>23</v>
      </c>
      <c r="J3346" t="s">
        <v>35</v>
      </c>
      <c r="K3346" s="2" t="s">
        <v>814</v>
      </c>
      <c r="L3346" t="s">
        <v>4085</v>
      </c>
      <c r="M3346">
        <v>775</v>
      </c>
      <c r="N3346">
        <v>1</v>
      </c>
      <c r="O3346" s="3">
        <v>64990</v>
      </c>
      <c r="P3346" s="3">
        <v>33937</v>
      </c>
      <c r="Q3346" s="5">
        <f t="shared" si="156"/>
        <v>54613.445378151264</v>
      </c>
      <c r="R3346" s="5">
        <f t="shared" si="157"/>
        <v>33937</v>
      </c>
      <c r="S3346" s="5">
        <f t="shared" si="158"/>
        <v>20676.445378151264</v>
      </c>
    </row>
    <row r="3347" spans="1:19" hidden="1" x14ac:dyDescent="0.3">
      <c r="A3347">
        <v>170</v>
      </c>
      <c r="B3347" t="s">
        <v>4809</v>
      </c>
      <c r="C3347" t="s">
        <v>878</v>
      </c>
      <c r="D3347" s="2" t="s">
        <v>879</v>
      </c>
      <c r="E3347" t="s">
        <v>880</v>
      </c>
      <c r="F3347" t="s">
        <v>20</v>
      </c>
      <c r="G3347" t="s">
        <v>21</v>
      </c>
      <c r="H3347" t="s">
        <v>881</v>
      </c>
      <c r="I3347" t="s">
        <v>23</v>
      </c>
      <c r="J3347" t="s">
        <v>35</v>
      </c>
      <c r="K3347" s="2" t="s">
        <v>814</v>
      </c>
      <c r="L3347" t="s">
        <v>4085</v>
      </c>
      <c r="M3347">
        <v>775</v>
      </c>
      <c r="N3347">
        <v>1</v>
      </c>
      <c r="O3347" s="3">
        <v>64990</v>
      </c>
      <c r="P3347" s="3">
        <v>33892</v>
      </c>
      <c r="Q3347" s="5">
        <f t="shared" si="156"/>
        <v>54613.445378151264</v>
      </c>
      <c r="R3347" s="5">
        <f t="shared" si="157"/>
        <v>33892</v>
      </c>
      <c r="S3347" s="5">
        <f t="shared" si="158"/>
        <v>20721.445378151264</v>
      </c>
    </row>
    <row r="3348" spans="1:19" hidden="1" x14ac:dyDescent="0.3">
      <c r="A3348">
        <v>170</v>
      </c>
      <c r="B3348" t="s">
        <v>4809</v>
      </c>
      <c r="C3348" t="s">
        <v>4983</v>
      </c>
      <c r="D3348" s="2" t="s">
        <v>4984</v>
      </c>
      <c r="E3348" t="s">
        <v>880</v>
      </c>
      <c r="F3348" t="s">
        <v>20</v>
      </c>
      <c r="G3348" t="s">
        <v>21</v>
      </c>
      <c r="H3348" t="s">
        <v>881</v>
      </c>
      <c r="I3348" t="s">
        <v>23</v>
      </c>
      <c r="J3348" t="s">
        <v>35</v>
      </c>
      <c r="K3348" s="2" t="s">
        <v>814</v>
      </c>
      <c r="L3348" t="s">
        <v>4085</v>
      </c>
      <c r="M3348">
        <v>775</v>
      </c>
      <c r="N3348">
        <v>1</v>
      </c>
      <c r="O3348" s="3">
        <v>64990</v>
      </c>
      <c r="P3348" s="3">
        <v>33974</v>
      </c>
      <c r="Q3348" s="5">
        <f t="shared" si="156"/>
        <v>54613.445378151264</v>
      </c>
      <c r="R3348" s="5">
        <f t="shared" si="157"/>
        <v>33974</v>
      </c>
      <c r="S3348" s="5">
        <f t="shared" si="158"/>
        <v>20639.445378151264</v>
      </c>
    </row>
    <row r="3349" spans="1:19" hidden="1" x14ac:dyDescent="0.3">
      <c r="A3349">
        <v>170</v>
      </c>
      <c r="B3349" t="s">
        <v>4809</v>
      </c>
      <c r="C3349" t="s">
        <v>4985</v>
      </c>
      <c r="D3349" s="2" t="s">
        <v>4986</v>
      </c>
      <c r="E3349" t="s">
        <v>880</v>
      </c>
      <c r="F3349" t="s">
        <v>20</v>
      </c>
      <c r="G3349" t="s">
        <v>21</v>
      </c>
      <c r="H3349" t="s">
        <v>881</v>
      </c>
      <c r="I3349" t="s">
        <v>23</v>
      </c>
      <c r="J3349" t="s">
        <v>35</v>
      </c>
      <c r="K3349" s="2" t="s">
        <v>814</v>
      </c>
      <c r="L3349" t="s">
        <v>4085</v>
      </c>
      <c r="M3349">
        <v>775</v>
      </c>
      <c r="N3349">
        <v>2</v>
      </c>
      <c r="O3349" s="3">
        <v>129980</v>
      </c>
      <c r="P3349" s="3">
        <v>33942</v>
      </c>
      <c r="Q3349" s="5">
        <f t="shared" si="156"/>
        <v>109226.89075630253</v>
      </c>
      <c r="R3349" s="5">
        <f t="shared" si="157"/>
        <v>67884</v>
      </c>
      <c r="S3349" s="5">
        <f t="shared" si="158"/>
        <v>41342.890756302528</v>
      </c>
    </row>
    <row r="3350" spans="1:19" hidden="1" x14ac:dyDescent="0.3">
      <c r="A3350">
        <v>170</v>
      </c>
      <c r="B3350" t="s">
        <v>4809</v>
      </c>
      <c r="C3350" t="s">
        <v>4987</v>
      </c>
      <c r="D3350" s="2" t="s">
        <v>4988</v>
      </c>
      <c r="E3350" t="s">
        <v>3350</v>
      </c>
      <c r="F3350" t="s">
        <v>20</v>
      </c>
      <c r="G3350" t="s">
        <v>21</v>
      </c>
      <c r="H3350" t="s">
        <v>3351</v>
      </c>
      <c r="I3350" t="s">
        <v>23</v>
      </c>
      <c r="J3350" t="s">
        <v>40</v>
      </c>
      <c r="K3350" s="2" t="s">
        <v>814</v>
      </c>
      <c r="L3350" t="s">
        <v>4085</v>
      </c>
      <c r="M3350">
        <v>775</v>
      </c>
      <c r="N3350">
        <v>1</v>
      </c>
      <c r="O3350" s="3">
        <v>79950</v>
      </c>
      <c r="P3350" s="3">
        <v>28869</v>
      </c>
      <c r="Q3350" s="5">
        <f t="shared" si="156"/>
        <v>67184.873949579836</v>
      </c>
      <c r="R3350" s="5">
        <f t="shared" si="157"/>
        <v>28869</v>
      </c>
      <c r="S3350" s="5">
        <f t="shared" si="158"/>
        <v>38315.873949579836</v>
      </c>
    </row>
    <row r="3351" spans="1:19" hidden="1" x14ac:dyDescent="0.3">
      <c r="A3351">
        <v>170</v>
      </c>
      <c r="B3351" t="s">
        <v>4809</v>
      </c>
      <c r="C3351" t="s">
        <v>4989</v>
      </c>
      <c r="D3351" s="2" t="s">
        <v>4990</v>
      </c>
      <c r="E3351" t="s">
        <v>3350</v>
      </c>
      <c r="F3351" t="s">
        <v>20</v>
      </c>
      <c r="G3351" t="s">
        <v>21</v>
      </c>
      <c r="H3351" t="s">
        <v>3351</v>
      </c>
      <c r="I3351" t="s">
        <v>23</v>
      </c>
      <c r="J3351" t="s">
        <v>40</v>
      </c>
      <c r="K3351" s="2" t="s">
        <v>814</v>
      </c>
      <c r="L3351" t="s">
        <v>4085</v>
      </c>
      <c r="M3351">
        <v>775</v>
      </c>
      <c r="N3351">
        <v>1</v>
      </c>
      <c r="O3351" s="3">
        <v>79950</v>
      </c>
      <c r="P3351" s="3">
        <v>28839</v>
      </c>
      <c r="Q3351" s="5">
        <f t="shared" si="156"/>
        <v>67184.873949579836</v>
      </c>
      <c r="R3351" s="5">
        <f t="shared" si="157"/>
        <v>28839</v>
      </c>
      <c r="S3351" s="5">
        <f t="shared" si="158"/>
        <v>38345.873949579836</v>
      </c>
    </row>
    <row r="3352" spans="1:19" hidden="1" x14ac:dyDescent="0.3">
      <c r="A3352">
        <v>170</v>
      </c>
      <c r="B3352" t="s">
        <v>4809</v>
      </c>
      <c r="C3352" t="s">
        <v>3348</v>
      </c>
      <c r="D3352" s="2" t="s">
        <v>3349</v>
      </c>
      <c r="E3352" t="s">
        <v>3350</v>
      </c>
      <c r="F3352" t="s">
        <v>20</v>
      </c>
      <c r="G3352" t="s">
        <v>21</v>
      </c>
      <c r="H3352" t="s">
        <v>3351</v>
      </c>
      <c r="I3352" t="s">
        <v>23</v>
      </c>
      <c r="J3352" t="s">
        <v>40</v>
      </c>
      <c r="K3352" s="2" t="s">
        <v>814</v>
      </c>
      <c r="L3352" t="s">
        <v>4085</v>
      </c>
      <c r="M3352">
        <v>775</v>
      </c>
      <c r="N3352">
        <v>1</v>
      </c>
      <c r="O3352" s="3">
        <v>79950</v>
      </c>
      <c r="P3352" s="3">
        <v>28855</v>
      </c>
      <c r="Q3352" s="5">
        <f t="shared" si="156"/>
        <v>67184.873949579836</v>
      </c>
      <c r="R3352" s="5">
        <f t="shared" si="157"/>
        <v>28855</v>
      </c>
      <c r="S3352" s="5">
        <f t="shared" si="158"/>
        <v>38329.873949579836</v>
      </c>
    </row>
    <row r="3353" spans="1:19" hidden="1" x14ac:dyDescent="0.3">
      <c r="A3353">
        <v>170</v>
      </c>
      <c r="B3353" t="s">
        <v>4809</v>
      </c>
      <c r="C3353" t="s">
        <v>4991</v>
      </c>
      <c r="D3353" s="2" t="s">
        <v>4992</v>
      </c>
      <c r="E3353" t="s">
        <v>3350</v>
      </c>
      <c r="F3353" t="s">
        <v>20</v>
      </c>
      <c r="G3353" t="s">
        <v>21</v>
      </c>
      <c r="H3353" t="s">
        <v>3351</v>
      </c>
      <c r="I3353" t="s">
        <v>23</v>
      </c>
      <c r="J3353" t="s">
        <v>40</v>
      </c>
      <c r="K3353" s="2" t="s">
        <v>814</v>
      </c>
      <c r="L3353" t="s">
        <v>4085</v>
      </c>
      <c r="M3353">
        <v>775</v>
      </c>
      <c r="N3353">
        <v>2</v>
      </c>
      <c r="O3353" s="3">
        <v>159900</v>
      </c>
      <c r="P3353" s="3">
        <v>28869</v>
      </c>
      <c r="Q3353" s="5">
        <f t="shared" si="156"/>
        <v>134369.74789915967</v>
      </c>
      <c r="R3353" s="5">
        <f t="shared" si="157"/>
        <v>57738</v>
      </c>
      <c r="S3353" s="5">
        <f t="shared" si="158"/>
        <v>76631.747899159673</v>
      </c>
    </row>
    <row r="3354" spans="1:19" hidden="1" x14ac:dyDescent="0.3">
      <c r="A3354">
        <v>170</v>
      </c>
      <c r="B3354" t="s">
        <v>4809</v>
      </c>
      <c r="C3354" t="s">
        <v>3872</v>
      </c>
      <c r="D3354" s="2" t="s">
        <v>3873</v>
      </c>
      <c r="E3354" t="s">
        <v>3874</v>
      </c>
      <c r="F3354" t="s">
        <v>20</v>
      </c>
      <c r="G3354" t="s">
        <v>21</v>
      </c>
      <c r="H3354" t="s">
        <v>618</v>
      </c>
      <c r="I3354" t="s">
        <v>23</v>
      </c>
      <c r="J3354" t="s">
        <v>40</v>
      </c>
      <c r="K3354" s="2" t="s">
        <v>814</v>
      </c>
      <c r="L3354" t="s">
        <v>26</v>
      </c>
      <c r="M3354">
        <v>336430</v>
      </c>
      <c r="N3354">
        <v>1</v>
      </c>
      <c r="O3354" s="3">
        <v>34990</v>
      </c>
      <c r="P3354" s="3">
        <v>16817</v>
      </c>
      <c r="Q3354" s="5">
        <f t="shared" si="156"/>
        <v>29403.361344537818</v>
      </c>
      <c r="R3354" s="5">
        <f t="shared" si="157"/>
        <v>16817</v>
      </c>
      <c r="S3354" s="5">
        <f t="shared" si="158"/>
        <v>12586.361344537818</v>
      </c>
    </row>
    <row r="3355" spans="1:19" hidden="1" x14ac:dyDescent="0.3">
      <c r="A3355">
        <v>170</v>
      </c>
      <c r="B3355" t="s">
        <v>4809</v>
      </c>
      <c r="C3355" t="s">
        <v>2420</v>
      </c>
      <c r="D3355" s="2" t="s">
        <v>2421</v>
      </c>
      <c r="E3355" t="s">
        <v>2422</v>
      </c>
      <c r="F3355" t="s">
        <v>20</v>
      </c>
      <c r="G3355" t="s">
        <v>21</v>
      </c>
      <c r="H3355" t="s">
        <v>152</v>
      </c>
      <c r="I3355" t="s">
        <v>23</v>
      </c>
      <c r="J3355" t="s">
        <v>40</v>
      </c>
      <c r="K3355" s="2" t="s">
        <v>814</v>
      </c>
      <c r="L3355" t="s">
        <v>26</v>
      </c>
      <c r="M3355">
        <v>336430</v>
      </c>
      <c r="N3355">
        <v>1</v>
      </c>
      <c r="O3355" s="3">
        <v>34990</v>
      </c>
      <c r="P3355" s="3">
        <v>18485</v>
      </c>
      <c r="Q3355" s="5">
        <f t="shared" si="156"/>
        <v>29403.361344537818</v>
      </c>
      <c r="R3355" s="5">
        <f t="shared" si="157"/>
        <v>18485</v>
      </c>
      <c r="S3355" s="5">
        <f t="shared" si="158"/>
        <v>10918.361344537818</v>
      </c>
    </row>
    <row r="3356" spans="1:19" hidden="1" x14ac:dyDescent="0.3">
      <c r="A3356">
        <v>170</v>
      </c>
      <c r="B3356" t="s">
        <v>4809</v>
      </c>
      <c r="C3356" t="s">
        <v>4993</v>
      </c>
      <c r="D3356" s="2" t="s">
        <v>4994</v>
      </c>
      <c r="E3356" t="s">
        <v>2103</v>
      </c>
      <c r="F3356" t="s">
        <v>20</v>
      </c>
      <c r="G3356" t="s">
        <v>21</v>
      </c>
      <c r="H3356" t="s">
        <v>693</v>
      </c>
      <c r="I3356" t="s">
        <v>23</v>
      </c>
      <c r="J3356" t="s">
        <v>40</v>
      </c>
      <c r="K3356" s="2" t="s">
        <v>814</v>
      </c>
      <c r="L3356" t="s">
        <v>26</v>
      </c>
      <c r="M3356">
        <v>336431</v>
      </c>
      <c r="N3356">
        <v>1</v>
      </c>
      <c r="O3356" s="3">
        <v>39990</v>
      </c>
      <c r="P3356" s="3">
        <v>24160</v>
      </c>
      <c r="Q3356" s="5">
        <f t="shared" si="156"/>
        <v>33605.042016806721</v>
      </c>
      <c r="R3356" s="5">
        <f t="shared" si="157"/>
        <v>24160</v>
      </c>
      <c r="S3356" s="5">
        <f t="shared" si="158"/>
        <v>9445.0420168067212</v>
      </c>
    </row>
    <row r="3357" spans="1:19" hidden="1" x14ac:dyDescent="0.3">
      <c r="A3357">
        <v>170</v>
      </c>
      <c r="B3357" t="s">
        <v>4809</v>
      </c>
      <c r="C3357">
        <v>1687976791</v>
      </c>
      <c r="D3357" s="2" t="s">
        <v>200</v>
      </c>
      <c r="E3357" t="s">
        <v>201</v>
      </c>
      <c r="F3357" t="s">
        <v>201</v>
      </c>
      <c r="G3357" t="s">
        <v>202</v>
      </c>
      <c r="H3357" t="s">
        <v>202</v>
      </c>
      <c r="I3357" t="s">
        <v>23</v>
      </c>
      <c r="J3357" t="s">
        <v>202</v>
      </c>
      <c r="K3357" s="2" t="s">
        <v>814</v>
      </c>
      <c r="L3357" t="s">
        <v>26</v>
      </c>
      <c r="M3357">
        <v>336431</v>
      </c>
      <c r="N3357">
        <v>1</v>
      </c>
      <c r="O3357" s="3">
        <v>5940</v>
      </c>
      <c r="P3357">
        <v>1</v>
      </c>
      <c r="Q3357" s="5">
        <f t="shared" si="156"/>
        <v>4991.5966386554628</v>
      </c>
      <c r="R3357" s="5">
        <f t="shared" si="157"/>
        <v>1</v>
      </c>
      <c r="S3357" s="5">
        <f t="shared" si="158"/>
        <v>4990.5966386554628</v>
      </c>
    </row>
    <row r="3358" spans="1:19" hidden="1" x14ac:dyDescent="0.3">
      <c r="A3358">
        <v>170</v>
      </c>
      <c r="B3358" t="s">
        <v>4809</v>
      </c>
      <c r="C3358" t="s">
        <v>4995</v>
      </c>
      <c r="D3358" s="2" t="s">
        <v>4996</v>
      </c>
      <c r="E3358" t="s">
        <v>2826</v>
      </c>
      <c r="F3358" t="s">
        <v>20</v>
      </c>
      <c r="G3358" t="s">
        <v>21</v>
      </c>
      <c r="H3358" t="s">
        <v>2827</v>
      </c>
      <c r="I3358" t="s">
        <v>23</v>
      </c>
      <c r="J3358" t="s">
        <v>49</v>
      </c>
      <c r="K3358" s="2" t="s">
        <v>814</v>
      </c>
      <c r="L3358" t="s">
        <v>26</v>
      </c>
      <c r="M3358">
        <v>336432</v>
      </c>
      <c r="N3358">
        <v>-1</v>
      </c>
      <c r="O3358" s="3">
        <v>-39990</v>
      </c>
      <c r="P3358" s="3">
        <v>26081</v>
      </c>
      <c r="Q3358" s="5">
        <f t="shared" si="156"/>
        <v>-33605.042016806721</v>
      </c>
      <c r="R3358" s="5">
        <f t="shared" si="157"/>
        <v>-26081</v>
      </c>
      <c r="S3358" s="5">
        <f t="shared" si="158"/>
        <v>-7524.0420168067212</v>
      </c>
    </row>
    <row r="3359" spans="1:19" hidden="1" x14ac:dyDescent="0.3">
      <c r="A3359">
        <v>170</v>
      </c>
      <c r="B3359" t="s">
        <v>4809</v>
      </c>
      <c r="C3359" t="s">
        <v>1307</v>
      </c>
      <c r="D3359" s="2" t="s">
        <v>1308</v>
      </c>
      <c r="E3359" t="s">
        <v>869</v>
      </c>
      <c r="F3359" t="s">
        <v>20</v>
      </c>
      <c r="G3359" t="s">
        <v>21</v>
      </c>
      <c r="H3359" t="s">
        <v>870</v>
      </c>
      <c r="I3359" t="s">
        <v>23</v>
      </c>
      <c r="J3359" t="s">
        <v>35</v>
      </c>
      <c r="K3359" s="2" t="s">
        <v>814</v>
      </c>
      <c r="L3359" t="s">
        <v>26</v>
      </c>
      <c r="M3359">
        <v>336432</v>
      </c>
      <c r="N3359">
        <v>1</v>
      </c>
      <c r="O3359" s="3">
        <v>69950</v>
      </c>
      <c r="P3359" s="3">
        <v>25434</v>
      </c>
      <c r="Q3359" s="5">
        <f t="shared" si="156"/>
        <v>58781.512605042022</v>
      </c>
      <c r="R3359" s="5">
        <f t="shared" si="157"/>
        <v>25434</v>
      </c>
      <c r="S3359" s="5">
        <f t="shared" si="158"/>
        <v>33347.512605042022</v>
      </c>
    </row>
    <row r="3360" spans="1:19" hidden="1" x14ac:dyDescent="0.3">
      <c r="A3360">
        <v>170</v>
      </c>
      <c r="B3360" t="s">
        <v>4809</v>
      </c>
      <c r="C3360" t="s">
        <v>4997</v>
      </c>
      <c r="D3360" s="2" t="s">
        <v>4998</v>
      </c>
      <c r="E3360" t="s">
        <v>117</v>
      </c>
      <c r="F3360" t="s">
        <v>20</v>
      </c>
      <c r="G3360" t="s">
        <v>21</v>
      </c>
      <c r="H3360" t="s">
        <v>118</v>
      </c>
      <c r="I3360" t="s">
        <v>23</v>
      </c>
      <c r="J3360" t="s">
        <v>49</v>
      </c>
      <c r="K3360" s="2" t="s">
        <v>814</v>
      </c>
      <c r="L3360" t="s">
        <v>26</v>
      </c>
      <c r="M3360">
        <v>336432</v>
      </c>
      <c r="N3360">
        <v>-1</v>
      </c>
      <c r="O3360" s="3">
        <v>-39990</v>
      </c>
      <c r="P3360" s="3">
        <v>27080</v>
      </c>
      <c r="Q3360" s="5">
        <f t="shared" si="156"/>
        <v>-33605.042016806721</v>
      </c>
      <c r="R3360" s="5">
        <f t="shared" si="157"/>
        <v>-27080</v>
      </c>
      <c r="S3360" s="5">
        <f t="shared" si="158"/>
        <v>-6525.0420168067212</v>
      </c>
    </row>
    <row r="3361" spans="1:19" hidden="1" x14ac:dyDescent="0.3">
      <c r="A3361">
        <v>170</v>
      </c>
      <c r="B3361" t="s">
        <v>4809</v>
      </c>
      <c r="C3361" t="s">
        <v>2485</v>
      </c>
      <c r="D3361" s="2" t="s">
        <v>2486</v>
      </c>
      <c r="E3361" t="s">
        <v>2487</v>
      </c>
      <c r="F3361" t="s">
        <v>377</v>
      </c>
      <c r="G3361" t="s">
        <v>21</v>
      </c>
      <c r="H3361" t="s">
        <v>378</v>
      </c>
      <c r="I3361" t="s">
        <v>23</v>
      </c>
      <c r="J3361" t="s">
        <v>379</v>
      </c>
      <c r="K3361" s="2" t="s">
        <v>814</v>
      </c>
      <c r="L3361" t="s">
        <v>26</v>
      </c>
      <c r="M3361">
        <v>336432</v>
      </c>
      <c r="N3361">
        <v>2</v>
      </c>
      <c r="O3361" s="3">
        <v>11900</v>
      </c>
      <c r="P3361" s="3">
        <v>2243</v>
      </c>
      <c r="Q3361" s="5">
        <f t="shared" si="156"/>
        <v>10000</v>
      </c>
      <c r="R3361" s="5">
        <f t="shared" si="157"/>
        <v>4486</v>
      </c>
      <c r="S3361" s="5">
        <f t="shared" si="158"/>
        <v>5514</v>
      </c>
    </row>
    <row r="3362" spans="1:19" hidden="1" x14ac:dyDescent="0.3">
      <c r="A3362">
        <v>170</v>
      </c>
      <c r="B3362" t="s">
        <v>4809</v>
      </c>
      <c r="C3362" t="s">
        <v>4999</v>
      </c>
      <c r="D3362" s="2" t="s">
        <v>5000</v>
      </c>
      <c r="E3362" t="s">
        <v>3122</v>
      </c>
      <c r="F3362" t="s">
        <v>20</v>
      </c>
      <c r="G3362" t="s">
        <v>21</v>
      </c>
      <c r="H3362" t="s">
        <v>718</v>
      </c>
      <c r="I3362" t="s">
        <v>23</v>
      </c>
      <c r="J3362" t="s">
        <v>49</v>
      </c>
      <c r="K3362" s="2" t="s">
        <v>814</v>
      </c>
      <c r="L3362" t="s">
        <v>26</v>
      </c>
      <c r="M3362">
        <v>336433</v>
      </c>
      <c r="N3362">
        <v>1</v>
      </c>
      <c r="O3362" s="3">
        <v>39990</v>
      </c>
      <c r="P3362" s="3">
        <v>26649</v>
      </c>
      <c r="Q3362" s="5">
        <f t="shared" si="156"/>
        <v>33605.042016806721</v>
      </c>
      <c r="R3362" s="5">
        <f t="shared" si="157"/>
        <v>26649</v>
      </c>
      <c r="S3362" s="5">
        <f t="shared" si="158"/>
        <v>6956.0420168067212</v>
      </c>
    </row>
    <row r="3363" spans="1:19" hidden="1" x14ac:dyDescent="0.3">
      <c r="A3363">
        <v>170</v>
      </c>
      <c r="B3363" t="s">
        <v>4809</v>
      </c>
      <c r="C3363" t="s">
        <v>5001</v>
      </c>
      <c r="D3363" s="2" t="s">
        <v>5002</v>
      </c>
      <c r="E3363" t="s">
        <v>5003</v>
      </c>
      <c r="F3363" t="s">
        <v>20</v>
      </c>
      <c r="G3363" t="s">
        <v>21</v>
      </c>
      <c r="H3363" t="s">
        <v>2202</v>
      </c>
      <c r="I3363" t="s">
        <v>23</v>
      </c>
      <c r="J3363" t="s">
        <v>207</v>
      </c>
      <c r="K3363" s="2" t="s">
        <v>814</v>
      </c>
      <c r="L3363" t="s">
        <v>26</v>
      </c>
      <c r="M3363">
        <v>336434</v>
      </c>
      <c r="N3363">
        <v>-1</v>
      </c>
      <c r="O3363" s="3">
        <v>-39990</v>
      </c>
      <c r="P3363" s="3">
        <v>26627</v>
      </c>
      <c r="Q3363" s="5">
        <f t="shared" si="156"/>
        <v>-33605.042016806721</v>
      </c>
      <c r="R3363" s="5">
        <f t="shared" si="157"/>
        <v>-26627</v>
      </c>
      <c r="S3363" s="5">
        <f t="shared" si="158"/>
        <v>-6978.0420168067212</v>
      </c>
    </row>
    <row r="3364" spans="1:19" hidden="1" x14ac:dyDescent="0.3">
      <c r="A3364">
        <v>170</v>
      </c>
      <c r="B3364" t="s">
        <v>4809</v>
      </c>
      <c r="C3364" t="s">
        <v>1434</v>
      </c>
      <c r="D3364" s="2" t="s">
        <v>1435</v>
      </c>
      <c r="E3364" t="s">
        <v>1436</v>
      </c>
      <c r="F3364" t="s">
        <v>20</v>
      </c>
      <c r="G3364" t="s">
        <v>21</v>
      </c>
      <c r="H3364" t="s">
        <v>500</v>
      </c>
      <c r="I3364" t="s">
        <v>23</v>
      </c>
      <c r="J3364" t="s">
        <v>40</v>
      </c>
      <c r="K3364" s="2" t="s">
        <v>814</v>
      </c>
      <c r="L3364" t="s">
        <v>26</v>
      </c>
      <c r="M3364">
        <v>336434</v>
      </c>
      <c r="N3364">
        <v>1</v>
      </c>
      <c r="O3364" s="3">
        <v>59950</v>
      </c>
      <c r="P3364" s="3">
        <v>17591</v>
      </c>
      <c r="Q3364" s="5">
        <f t="shared" si="156"/>
        <v>50378.151260504201</v>
      </c>
      <c r="R3364" s="5">
        <f t="shared" si="157"/>
        <v>17591</v>
      </c>
      <c r="S3364" s="5">
        <f t="shared" si="158"/>
        <v>32787.151260504201</v>
      </c>
    </row>
    <row r="3365" spans="1:19" hidden="1" x14ac:dyDescent="0.3">
      <c r="A3365">
        <v>170</v>
      </c>
      <c r="B3365" t="s">
        <v>4809</v>
      </c>
      <c r="C3365" t="s">
        <v>3958</v>
      </c>
      <c r="D3365" s="2" t="s">
        <v>3959</v>
      </c>
      <c r="E3365" t="s">
        <v>2473</v>
      </c>
      <c r="F3365" t="s">
        <v>20</v>
      </c>
      <c r="G3365" t="s">
        <v>21</v>
      </c>
      <c r="H3365" t="s">
        <v>114</v>
      </c>
      <c r="I3365" t="s">
        <v>23</v>
      </c>
      <c r="J3365" t="s">
        <v>49</v>
      </c>
      <c r="K3365" s="2" t="s">
        <v>814</v>
      </c>
      <c r="L3365" t="s">
        <v>26</v>
      </c>
      <c r="M3365">
        <v>336435</v>
      </c>
      <c r="N3365">
        <v>1</v>
      </c>
      <c r="O3365" s="3">
        <v>49990</v>
      </c>
      <c r="P3365" s="3">
        <v>23514</v>
      </c>
      <c r="Q3365" s="5">
        <f t="shared" si="156"/>
        <v>42008.403361344543</v>
      </c>
      <c r="R3365" s="5">
        <f t="shared" si="157"/>
        <v>23514</v>
      </c>
      <c r="S3365" s="5">
        <f t="shared" si="158"/>
        <v>18494.403361344543</v>
      </c>
    </row>
    <row r="3366" spans="1:19" hidden="1" x14ac:dyDescent="0.3">
      <c r="A3366">
        <v>170</v>
      </c>
      <c r="B3366" t="s">
        <v>4809</v>
      </c>
      <c r="C3366" t="s">
        <v>5004</v>
      </c>
      <c r="D3366" s="2" t="s">
        <v>5005</v>
      </c>
      <c r="E3366" t="s">
        <v>2476</v>
      </c>
      <c r="F3366" t="s">
        <v>20</v>
      </c>
      <c r="G3366" t="s">
        <v>21</v>
      </c>
      <c r="H3366" t="s">
        <v>114</v>
      </c>
      <c r="I3366" t="s">
        <v>23</v>
      </c>
      <c r="J3366" t="s">
        <v>49</v>
      </c>
      <c r="K3366" s="2" t="s">
        <v>814</v>
      </c>
      <c r="L3366" t="s">
        <v>26</v>
      </c>
      <c r="M3366">
        <v>336435</v>
      </c>
      <c r="N3366">
        <v>1</v>
      </c>
      <c r="O3366" s="3">
        <v>59450</v>
      </c>
      <c r="P3366" s="3">
        <v>22176</v>
      </c>
      <c r="Q3366" s="5">
        <f t="shared" si="156"/>
        <v>49957.983193277316</v>
      </c>
      <c r="R3366" s="5">
        <f t="shared" si="157"/>
        <v>22176</v>
      </c>
      <c r="S3366" s="5">
        <f t="shared" si="158"/>
        <v>27781.983193277316</v>
      </c>
    </row>
    <row r="3367" spans="1:19" hidden="1" x14ac:dyDescent="0.3">
      <c r="A3367">
        <v>170</v>
      </c>
      <c r="B3367" t="s">
        <v>4809</v>
      </c>
      <c r="C3367" t="s">
        <v>5006</v>
      </c>
      <c r="D3367" s="2" t="s">
        <v>5007</v>
      </c>
      <c r="E3367" t="s">
        <v>1223</v>
      </c>
      <c r="F3367" t="s">
        <v>20</v>
      </c>
      <c r="G3367" t="s">
        <v>21</v>
      </c>
      <c r="H3367" t="s">
        <v>500</v>
      </c>
      <c r="I3367" t="s">
        <v>23</v>
      </c>
      <c r="J3367" t="s">
        <v>40</v>
      </c>
      <c r="K3367" s="2" t="s">
        <v>814</v>
      </c>
      <c r="L3367" t="s">
        <v>26</v>
      </c>
      <c r="M3367">
        <v>336436</v>
      </c>
      <c r="N3367">
        <v>1</v>
      </c>
      <c r="O3367" s="3">
        <v>49990</v>
      </c>
      <c r="P3367" s="3">
        <v>20043</v>
      </c>
      <c r="Q3367" s="5">
        <f t="shared" si="156"/>
        <v>42008.403361344543</v>
      </c>
      <c r="R3367" s="5">
        <f t="shared" si="157"/>
        <v>20043</v>
      </c>
      <c r="S3367" s="5">
        <f t="shared" si="158"/>
        <v>21965.403361344543</v>
      </c>
    </row>
    <row r="3368" spans="1:19" hidden="1" x14ac:dyDescent="0.3">
      <c r="A3368">
        <v>170</v>
      </c>
      <c r="B3368" t="s">
        <v>4809</v>
      </c>
      <c r="C3368" t="s">
        <v>4498</v>
      </c>
      <c r="D3368" s="2" t="s">
        <v>4499</v>
      </c>
      <c r="E3368" t="s">
        <v>2790</v>
      </c>
      <c r="F3368" t="s">
        <v>20</v>
      </c>
      <c r="G3368" t="s">
        <v>21</v>
      </c>
      <c r="H3368" t="s">
        <v>2759</v>
      </c>
      <c r="I3368" t="s">
        <v>23</v>
      </c>
      <c r="J3368" t="s">
        <v>35</v>
      </c>
      <c r="K3368" s="2" t="s">
        <v>814</v>
      </c>
      <c r="L3368" t="s">
        <v>26</v>
      </c>
      <c r="M3368">
        <v>336436</v>
      </c>
      <c r="N3368">
        <v>1</v>
      </c>
      <c r="O3368" s="3">
        <v>76450</v>
      </c>
      <c r="P3368" s="3">
        <v>30972</v>
      </c>
      <c r="Q3368" s="5">
        <f t="shared" si="156"/>
        <v>64243.697478991598</v>
      </c>
      <c r="R3368" s="5">
        <f t="shared" si="157"/>
        <v>30972</v>
      </c>
      <c r="S3368" s="5">
        <f t="shared" si="158"/>
        <v>33271.697478991598</v>
      </c>
    </row>
    <row r="3369" spans="1:19" hidden="1" x14ac:dyDescent="0.3">
      <c r="A3369">
        <v>170</v>
      </c>
      <c r="B3369" t="s">
        <v>4809</v>
      </c>
      <c r="C3369" t="s">
        <v>3103</v>
      </c>
      <c r="D3369" s="2" t="s">
        <v>3104</v>
      </c>
      <c r="E3369" t="s">
        <v>3105</v>
      </c>
      <c r="F3369" t="s">
        <v>377</v>
      </c>
      <c r="G3369" t="s">
        <v>21</v>
      </c>
      <c r="H3369" t="s">
        <v>378</v>
      </c>
      <c r="I3369" t="s">
        <v>23</v>
      </c>
      <c r="J3369" t="s">
        <v>2620</v>
      </c>
      <c r="K3369" s="2" t="s">
        <v>814</v>
      </c>
      <c r="L3369" t="s">
        <v>26</v>
      </c>
      <c r="M3369">
        <v>336436</v>
      </c>
      <c r="N3369">
        <v>1</v>
      </c>
      <c r="O3369" s="3">
        <v>24950</v>
      </c>
      <c r="P3369" s="3">
        <v>10562</v>
      </c>
      <c r="Q3369" s="5">
        <f t="shared" si="156"/>
        <v>20966.386554621851</v>
      </c>
      <c r="R3369" s="5">
        <f t="shared" si="157"/>
        <v>10562</v>
      </c>
      <c r="S3369" s="5">
        <f t="shared" si="158"/>
        <v>10404.386554621851</v>
      </c>
    </row>
    <row r="3370" spans="1:19" hidden="1" x14ac:dyDescent="0.3">
      <c r="A3370">
        <v>170</v>
      </c>
      <c r="B3370" t="s">
        <v>4809</v>
      </c>
      <c r="C3370" t="s">
        <v>5008</v>
      </c>
      <c r="D3370" s="2" t="s">
        <v>5009</v>
      </c>
      <c r="E3370" t="s">
        <v>2632</v>
      </c>
      <c r="F3370" t="s">
        <v>20</v>
      </c>
      <c r="G3370" t="s">
        <v>21</v>
      </c>
      <c r="H3370" t="s">
        <v>2469</v>
      </c>
      <c r="I3370" t="s">
        <v>23</v>
      </c>
      <c r="J3370" t="s">
        <v>49</v>
      </c>
      <c r="K3370" s="2" t="s">
        <v>814</v>
      </c>
      <c r="L3370" t="s">
        <v>26</v>
      </c>
      <c r="M3370">
        <v>336437</v>
      </c>
      <c r="N3370">
        <v>1</v>
      </c>
      <c r="O3370" s="3">
        <v>64950</v>
      </c>
      <c r="P3370" s="3">
        <v>21368</v>
      </c>
      <c r="Q3370" s="5">
        <f t="shared" si="156"/>
        <v>54579.831932773115</v>
      </c>
      <c r="R3370" s="5">
        <f t="shared" si="157"/>
        <v>21368</v>
      </c>
      <c r="S3370" s="5">
        <f t="shared" si="158"/>
        <v>33211.831932773115</v>
      </c>
    </row>
    <row r="3371" spans="1:19" hidden="1" x14ac:dyDescent="0.3">
      <c r="A3371">
        <v>170</v>
      </c>
      <c r="B3371" t="s">
        <v>4809</v>
      </c>
      <c r="C3371" t="s">
        <v>5010</v>
      </c>
      <c r="D3371" s="2" t="s">
        <v>5011</v>
      </c>
      <c r="E3371" t="s">
        <v>1075</v>
      </c>
      <c r="F3371" t="s">
        <v>20</v>
      </c>
      <c r="G3371" t="s">
        <v>338</v>
      </c>
      <c r="H3371">
        <v>25097</v>
      </c>
      <c r="I3371" t="s">
        <v>23</v>
      </c>
      <c r="J3371" t="s">
        <v>24</v>
      </c>
      <c r="K3371" s="2" t="s">
        <v>814</v>
      </c>
      <c r="L3371" t="s">
        <v>26</v>
      </c>
      <c r="M3371">
        <v>336438</v>
      </c>
      <c r="N3371">
        <v>1</v>
      </c>
      <c r="O3371" s="3">
        <v>74950</v>
      </c>
      <c r="P3371" s="3">
        <v>23242</v>
      </c>
      <c r="Q3371" s="5">
        <f t="shared" si="156"/>
        <v>62983.193277310929</v>
      </c>
      <c r="R3371" s="5">
        <f t="shared" si="157"/>
        <v>23242</v>
      </c>
      <c r="S3371" s="5">
        <f t="shared" si="158"/>
        <v>39741.193277310929</v>
      </c>
    </row>
    <row r="3372" spans="1:19" hidden="1" x14ac:dyDescent="0.3">
      <c r="A3372">
        <v>170</v>
      </c>
      <c r="B3372" t="s">
        <v>4809</v>
      </c>
      <c r="C3372" t="s">
        <v>2911</v>
      </c>
      <c r="D3372" s="2" t="s">
        <v>2912</v>
      </c>
      <c r="E3372" t="s">
        <v>2913</v>
      </c>
      <c r="F3372" t="s">
        <v>20</v>
      </c>
      <c r="G3372" t="s">
        <v>21</v>
      </c>
      <c r="H3372" t="s">
        <v>870</v>
      </c>
      <c r="I3372" t="s">
        <v>23</v>
      </c>
      <c r="J3372" t="s">
        <v>49</v>
      </c>
      <c r="K3372" s="2" t="s">
        <v>814</v>
      </c>
      <c r="L3372" t="s">
        <v>26</v>
      </c>
      <c r="M3372">
        <v>336439</v>
      </c>
      <c r="N3372">
        <v>1</v>
      </c>
      <c r="O3372" s="3">
        <v>39990</v>
      </c>
      <c r="P3372" s="3">
        <v>22955</v>
      </c>
      <c r="Q3372" s="5">
        <f t="shared" si="156"/>
        <v>33605.042016806721</v>
      </c>
      <c r="R3372" s="5">
        <f t="shared" si="157"/>
        <v>22955</v>
      </c>
      <c r="S3372" s="5">
        <f t="shared" si="158"/>
        <v>10650.042016806721</v>
      </c>
    </row>
    <row r="3373" spans="1:19" hidden="1" x14ac:dyDescent="0.3">
      <c r="A3373">
        <v>170</v>
      </c>
      <c r="B3373" t="s">
        <v>4809</v>
      </c>
      <c r="C3373" t="s">
        <v>5012</v>
      </c>
      <c r="D3373" s="2" t="s">
        <v>5013</v>
      </c>
      <c r="E3373" t="s">
        <v>3804</v>
      </c>
      <c r="F3373" t="s">
        <v>20</v>
      </c>
      <c r="G3373" t="s">
        <v>338</v>
      </c>
      <c r="H3373">
        <v>24200</v>
      </c>
      <c r="I3373" t="s">
        <v>23</v>
      </c>
      <c r="J3373" t="s">
        <v>95</v>
      </c>
      <c r="K3373" s="2" t="s">
        <v>814</v>
      </c>
      <c r="L3373" t="s">
        <v>26</v>
      </c>
      <c r="M3373">
        <v>336440</v>
      </c>
      <c r="N3373">
        <v>1</v>
      </c>
      <c r="O3373" s="3">
        <v>84950</v>
      </c>
      <c r="P3373" s="3">
        <v>25318</v>
      </c>
      <c r="Q3373" s="5">
        <f t="shared" si="156"/>
        <v>71386.554621848743</v>
      </c>
      <c r="R3373" s="5">
        <f t="shared" si="157"/>
        <v>25318</v>
      </c>
      <c r="S3373" s="5">
        <f t="shared" si="158"/>
        <v>46068.554621848743</v>
      </c>
    </row>
    <row r="3374" spans="1:19" hidden="1" x14ac:dyDescent="0.3">
      <c r="A3374">
        <v>170</v>
      </c>
      <c r="B3374" t="s">
        <v>4809</v>
      </c>
      <c r="C3374" t="s">
        <v>2971</v>
      </c>
      <c r="D3374" s="2" t="s">
        <v>2972</v>
      </c>
      <c r="E3374" t="s">
        <v>2301</v>
      </c>
      <c r="F3374" t="s">
        <v>20</v>
      </c>
      <c r="G3374" t="s">
        <v>21</v>
      </c>
      <c r="H3374" t="s">
        <v>1124</v>
      </c>
      <c r="I3374" t="s">
        <v>23</v>
      </c>
      <c r="J3374" t="s">
        <v>24</v>
      </c>
      <c r="K3374" s="2" t="s">
        <v>814</v>
      </c>
      <c r="L3374" t="s">
        <v>26</v>
      </c>
      <c r="M3374">
        <v>336441</v>
      </c>
      <c r="N3374">
        <v>1</v>
      </c>
      <c r="O3374" s="3">
        <v>63700</v>
      </c>
      <c r="P3374" s="3">
        <v>25834</v>
      </c>
      <c r="Q3374" s="5">
        <f t="shared" si="156"/>
        <v>53529.411764705888</v>
      </c>
      <c r="R3374" s="5">
        <f t="shared" si="157"/>
        <v>25834</v>
      </c>
      <c r="S3374" s="5">
        <f t="shared" si="158"/>
        <v>27695.411764705888</v>
      </c>
    </row>
    <row r="3375" spans="1:19" hidden="1" x14ac:dyDescent="0.3">
      <c r="A3375">
        <v>170</v>
      </c>
      <c r="B3375" t="s">
        <v>4809</v>
      </c>
      <c r="C3375" t="s">
        <v>3898</v>
      </c>
      <c r="D3375" s="2" t="s">
        <v>3899</v>
      </c>
      <c r="E3375" t="s">
        <v>2741</v>
      </c>
      <c r="F3375" t="s">
        <v>20</v>
      </c>
      <c r="G3375" t="s">
        <v>21</v>
      </c>
      <c r="H3375" t="s">
        <v>2494</v>
      </c>
      <c r="I3375" t="s">
        <v>23</v>
      </c>
      <c r="J3375" t="s">
        <v>40</v>
      </c>
      <c r="K3375" s="2" t="s">
        <v>814</v>
      </c>
      <c r="L3375" t="s">
        <v>26</v>
      </c>
      <c r="M3375">
        <v>336442</v>
      </c>
      <c r="N3375">
        <v>1</v>
      </c>
      <c r="O3375" s="3">
        <v>69950</v>
      </c>
      <c r="P3375" s="3">
        <v>23470</v>
      </c>
      <c r="Q3375" s="5">
        <f t="shared" si="156"/>
        <v>58781.512605042022</v>
      </c>
      <c r="R3375" s="5">
        <f t="shared" si="157"/>
        <v>23470</v>
      </c>
      <c r="S3375" s="5">
        <f t="shared" si="158"/>
        <v>35311.512605042022</v>
      </c>
    </row>
    <row r="3376" spans="1:19" hidden="1" x14ac:dyDescent="0.3">
      <c r="A3376">
        <v>170</v>
      </c>
      <c r="B3376" t="s">
        <v>4809</v>
      </c>
      <c r="C3376" t="s">
        <v>4364</v>
      </c>
      <c r="D3376" s="2" t="s">
        <v>4365</v>
      </c>
      <c r="E3376" t="s">
        <v>2515</v>
      </c>
      <c r="F3376" t="s">
        <v>20</v>
      </c>
      <c r="G3376" t="s">
        <v>338</v>
      </c>
      <c r="H3376">
        <v>23603</v>
      </c>
      <c r="I3376" t="s">
        <v>23</v>
      </c>
      <c r="J3376" t="s">
        <v>40</v>
      </c>
      <c r="K3376" s="2" t="s">
        <v>814</v>
      </c>
      <c r="L3376" t="s">
        <v>26</v>
      </c>
      <c r="M3376">
        <v>336442</v>
      </c>
      <c r="N3376">
        <v>-1</v>
      </c>
      <c r="O3376" s="3">
        <v>-49990</v>
      </c>
      <c r="P3376" s="3">
        <v>22607</v>
      </c>
      <c r="Q3376" s="5">
        <f t="shared" si="156"/>
        <v>-42008.403361344543</v>
      </c>
      <c r="R3376" s="5">
        <f t="shared" si="157"/>
        <v>-22607</v>
      </c>
      <c r="S3376" s="5">
        <f t="shared" si="158"/>
        <v>-19401.403361344543</v>
      </c>
    </row>
    <row r="3377" spans="1:19" hidden="1" x14ac:dyDescent="0.3">
      <c r="A3377">
        <v>170</v>
      </c>
      <c r="B3377" t="s">
        <v>4809</v>
      </c>
      <c r="C3377" t="s">
        <v>5014</v>
      </c>
      <c r="D3377" s="2" t="s">
        <v>5015</v>
      </c>
      <c r="E3377" t="s">
        <v>3810</v>
      </c>
      <c r="F3377" t="s">
        <v>20</v>
      </c>
      <c r="G3377" t="s">
        <v>21</v>
      </c>
      <c r="H3377" t="s">
        <v>3811</v>
      </c>
      <c r="I3377" t="s">
        <v>23</v>
      </c>
      <c r="J3377" t="s">
        <v>40</v>
      </c>
      <c r="K3377" s="2" t="s">
        <v>814</v>
      </c>
      <c r="L3377" t="s">
        <v>26</v>
      </c>
      <c r="M3377">
        <v>336443</v>
      </c>
      <c r="N3377">
        <v>1</v>
      </c>
      <c r="O3377" s="3">
        <v>49990</v>
      </c>
      <c r="P3377" s="3">
        <v>21722</v>
      </c>
      <c r="Q3377" s="5">
        <f t="shared" si="156"/>
        <v>42008.403361344543</v>
      </c>
      <c r="R3377" s="5">
        <f t="shared" si="157"/>
        <v>21722</v>
      </c>
      <c r="S3377" s="5">
        <f t="shared" si="158"/>
        <v>20286.403361344543</v>
      </c>
    </row>
    <row r="3378" spans="1:19" hidden="1" x14ac:dyDescent="0.3">
      <c r="A3378">
        <v>170</v>
      </c>
      <c r="B3378" t="s">
        <v>4809</v>
      </c>
      <c r="C3378" t="s">
        <v>5016</v>
      </c>
      <c r="D3378" s="2" t="s">
        <v>5017</v>
      </c>
      <c r="E3378" t="s">
        <v>5018</v>
      </c>
      <c r="F3378" t="s">
        <v>377</v>
      </c>
      <c r="G3378" t="s">
        <v>21</v>
      </c>
      <c r="H3378" t="s">
        <v>378</v>
      </c>
      <c r="I3378" t="s">
        <v>23</v>
      </c>
      <c r="J3378" t="s">
        <v>5019</v>
      </c>
      <c r="K3378" s="2" t="s">
        <v>814</v>
      </c>
      <c r="L3378" t="s">
        <v>26</v>
      </c>
      <c r="M3378">
        <v>336444</v>
      </c>
      <c r="N3378">
        <v>1</v>
      </c>
      <c r="O3378" s="3">
        <v>33710</v>
      </c>
      <c r="P3378" s="3">
        <v>20292</v>
      </c>
      <c r="Q3378" s="5">
        <f t="shared" si="156"/>
        <v>28327.731092436978</v>
      </c>
      <c r="R3378" s="5">
        <f t="shared" si="157"/>
        <v>20292</v>
      </c>
      <c r="S3378" s="5">
        <f t="shared" si="158"/>
        <v>8035.7310924369776</v>
      </c>
    </row>
    <row r="3379" spans="1:19" hidden="1" x14ac:dyDescent="0.3">
      <c r="A3379">
        <v>170</v>
      </c>
      <c r="B3379" t="s">
        <v>4809</v>
      </c>
      <c r="C3379" t="s">
        <v>5020</v>
      </c>
      <c r="D3379" s="2" t="s">
        <v>5021</v>
      </c>
      <c r="E3379" t="s">
        <v>3190</v>
      </c>
      <c r="F3379" t="s">
        <v>20</v>
      </c>
      <c r="G3379" t="s">
        <v>21</v>
      </c>
      <c r="H3379" t="s">
        <v>1440</v>
      </c>
      <c r="I3379" t="s">
        <v>23</v>
      </c>
      <c r="J3379" t="s">
        <v>40</v>
      </c>
      <c r="K3379" s="2" t="s">
        <v>814</v>
      </c>
      <c r="L3379" t="s">
        <v>26</v>
      </c>
      <c r="M3379">
        <v>336445</v>
      </c>
      <c r="N3379">
        <v>1</v>
      </c>
      <c r="O3379" s="3">
        <v>64950</v>
      </c>
      <c r="P3379" s="3">
        <v>17328</v>
      </c>
      <c r="Q3379" s="5">
        <f t="shared" si="156"/>
        <v>54579.831932773115</v>
      </c>
      <c r="R3379" s="5">
        <f t="shared" si="157"/>
        <v>17328</v>
      </c>
      <c r="S3379" s="5">
        <f t="shared" si="158"/>
        <v>37251.831932773115</v>
      </c>
    </row>
    <row r="3380" spans="1:19" hidden="1" x14ac:dyDescent="0.3">
      <c r="A3380">
        <v>170</v>
      </c>
      <c r="B3380" t="s">
        <v>4809</v>
      </c>
      <c r="C3380" t="s">
        <v>2365</v>
      </c>
      <c r="D3380" s="2" t="s">
        <v>2366</v>
      </c>
      <c r="E3380" t="s">
        <v>2367</v>
      </c>
      <c r="F3380" t="s">
        <v>377</v>
      </c>
      <c r="G3380" t="s">
        <v>21</v>
      </c>
      <c r="H3380" t="s">
        <v>378</v>
      </c>
      <c r="I3380" t="s">
        <v>23</v>
      </c>
      <c r="J3380" t="s">
        <v>379</v>
      </c>
      <c r="K3380" s="2" t="s">
        <v>814</v>
      </c>
      <c r="L3380" t="s">
        <v>26</v>
      </c>
      <c r="M3380">
        <v>336446</v>
      </c>
      <c r="N3380">
        <v>1</v>
      </c>
      <c r="O3380" s="3">
        <v>6950</v>
      </c>
      <c r="P3380" s="3">
        <v>3759</v>
      </c>
      <c r="Q3380" s="5">
        <f t="shared" si="156"/>
        <v>5840.3361344537816</v>
      </c>
      <c r="R3380" s="5">
        <f t="shared" si="157"/>
        <v>3759</v>
      </c>
      <c r="S3380" s="5">
        <f t="shared" si="158"/>
        <v>2081.3361344537816</v>
      </c>
    </row>
    <row r="3381" spans="1:19" hidden="1" x14ac:dyDescent="0.3">
      <c r="A3381">
        <v>170</v>
      </c>
      <c r="B3381" t="s">
        <v>4809</v>
      </c>
      <c r="C3381" t="s">
        <v>5022</v>
      </c>
      <c r="D3381" s="2" t="s">
        <v>5023</v>
      </c>
      <c r="E3381" t="s">
        <v>4455</v>
      </c>
      <c r="F3381" t="s">
        <v>377</v>
      </c>
      <c r="G3381" t="s">
        <v>21</v>
      </c>
      <c r="H3381" t="s">
        <v>378</v>
      </c>
      <c r="I3381" t="s">
        <v>23</v>
      </c>
      <c r="J3381" t="s">
        <v>2459</v>
      </c>
      <c r="K3381" s="2" t="s">
        <v>814</v>
      </c>
      <c r="L3381" t="s">
        <v>26</v>
      </c>
      <c r="M3381">
        <v>336447</v>
      </c>
      <c r="N3381">
        <v>1</v>
      </c>
      <c r="O3381" s="3">
        <v>3950</v>
      </c>
      <c r="P3381" s="3">
        <v>1606</v>
      </c>
      <c r="Q3381" s="5">
        <f t="shared" si="156"/>
        <v>3319.3277310924373</v>
      </c>
      <c r="R3381" s="5">
        <f t="shared" si="157"/>
        <v>1606</v>
      </c>
      <c r="S3381" s="5">
        <f t="shared" si="158"/>
        <v>1713.3277310924373</v>
      </c>
    </row>
    <row r="3382" spans="1:19" hidden="1" x14ac:dyDescent="0.3">
      <c r="A3382">
        <v>170</v>
      </c>
      <c r="B3382" t="s">
        <v>4809</v>
      </c>
      <c r="C3382" t="s">
        <v>2525</v>
      </c>
      <c r="D3382" s="2" t="s">
        <v>2526</v>
      </c>
      <c r="E3382" t="s">
        <v>2527</v>
      </c>
      <c r="F3382" t="s">
        <v>377</v>
      </c>
      <c r="G3382" t="s">
        <v>21</v>
      </c>
      <c r="H3382" t="s">
        <v>378</v>
      </c>
      <c r="I3382" t="s">
        <v>23</v>
      </c>
      <c r="J3382" t="s">
        <v>2459</v>
      </c>
      <c r="K3382" s="2" t="s">
        <v>814</v>
      </c>
      <c r="L3382" t="s">
        <v>26</v>
      </c>
      <c r="M3382">
        <v>336447</v>
      </c>
      <c r="N3382">
        <v>1</v>
      </c>
      <c r="O3382" s="3">
        <v>6950</v>
      </c>
      <c r="P3382" s="3">
        <v>2964</v>
      </c>
      <c r="Q3382" s="5">
        <f t="shared" si="156"/>
        <v>5840.3361344537816</v>
      </c>
      <c r="R3382" s="5">
        <f t="shared" si="157"/>
        <v>2964</v>
      </c>
      <c r="S3382" s="5">
        <f t="shared" si="158"/>
        <v>2876.3361344537816</v>
      </c>
    </row>
    <row r="3383" spans="1:19" hidden="1" x14ac:dyDescent="0.3">
      <c r="A3383">
        <v>170</v>
      </c>
      <c r="B3383" t="s">
        <v>4809</v>
      </c>
      <c r="C3383" t="s">
        <v>434</v>
      </c>
      <c r="D3383" s="2" t="s">
        <v>435</v>
      </c>
      <c r="E3383" t="s">
        <v>436</v>
      </c>
      <c r="F3383" t="s">
        <v>20</v>
      </c>
      <c r="G3383" t="s">
        <v>21</v>
      </c>
      <c r="H3383" t="s">
        <v>160</v>
      </c>
      <c r="I3383" t="s">
        <v>23</v>
      </c>
      <c r="J3383" t="s">
        <v>49</v>
      </c>
      <c r="K3383" s="2" t="s">
        <v>814</v>
      </c>
      <c r="L3383" t="s">
        <v>26</v>
      </c>
      <c r="M3383">
        <v>336448</v>
      </c>
      <c r="N3383">
        <v>1</v>
      </c>
      <c r="O3383" s="3">
        <v>49990</v>
      </c>
      <c r="P3383" s="3">
        <v>26374</v>
      </c>
      <c r="Q3383" s="5">
        <f t="shared" si="156"/>
        <v>42008.403361344543</v>
      </c>
      <c r="R3383" s="5">
        <f t="shared" si="157"/>
        <v>26374</v>
      </c>
      <c r="S3383" s="5">
        <f t="shared" si="158"/>
        <v>15634.403361344543</v>
      </c>
    </row>
    <row r="3384" spans="1:19" hidden="1" x14ac:dyDescent="0.3">
      <c r="A3384">
        <v>170</v>
      </c>
      <c r="B3384" t="s">
        <v>4809</v>
      </c>
      <c r="C3384" t="s">
        <v>1977</v>
      </c>
      <c r="D3384" s="2" t="s">
        <v>1978</v>
      </c>
      <c r="E3384" t="s">
        <v>717</v>
      </c>
      <c r="F3384" t="s">
        <v>20</v>
      </c>
      <c r="G3384" t="s">
        <v>21</v>
      </c>
      <c r="H3384" t="s">
        <v>718</v>
      </c>
      <c r="I3384" t="s">
        <v>23</v>
      </c>
      <c r="J3384" t="s">
        <v>49</v>
      </c>
      <c r="K3384" s="2" t="s">
        <v>902</v>
      </c>
      <c r="L3384" t="s">
        <v>4085</v>
      </c>
      <c r="M3384">
        <v>776</v>
      </c>
      <c r="N3384">
        <v>1</v>
      </c>
      <c r="O3384" s="3">
        <v>39990</v>
      </c>
      <c r="P3384" s="3">
        <v>26646</v>
      </c>
      <c r="Q3384" s="5">
        <f t="shared" si="156"/>
        <v>33605.042016806721</v>
      </c>
      <c r="R3384" s="5">
        <f t="shared" si="157"/>
        <v>26646</v>
      </c>
      <c r="S3384" s="5">
        <f t="shared" si="158"/>
        <v>6959.0420168067212</v>
      </c>
    </row>
    <row r="3385" spans="1:19" hidden="1" x14ac:dyDescent="0.3">
      <c r="A3385">
        <v>170</v>
      </c>
      <c r="B3385" t="s">
        <v>4809</v>
      </c>
      <c r="C3385" t="s">
        <v>715</v>
      </c>
      <c r="D3385" s="2" t="s">
        <v>716</v>
      </c>
      <c r="E3385" t="s">
        <v>717</v>
      </c>
      <c r="F3385" t="s">
        <v>20</v>
      </c>
      <c r="G3385" t="s">
        <v>21</v>
      </c>
      <c r="H3385" t="s">
        <v>718</v>
      </c>
      <c r="I3385" t="s">
        <v>23</v>
      </c>
      <c r="J3385" t="s">
        <v>49</v>
      </c>
      <c r="K3385" s="2" t="s">
        <v>902</v>
      </c>
      <c r="L3385" t="s">
        <v>4085</v>
      </c>
      <c r="M3385">
        <v>776</v>
      </c>
      <c r="N3385">
        <v>1</v>
      </c>
      <c r="O3385" s="3">
        <v>39990</v>
      </c>
      <c r="P3385" s="3">
        <v>26649</v>
      </c>
      <c r="Q3385" s="5">
        <f t="shared" si="156"/>
        <v>33605.042016806721</v>
      </c>
      <c r="R3385" s="5">
        <f t="shared" si="157"/>
        <v>26649</v>
      </c>
      <c r="S3385" s="5">
        <f t="shared" si="158"/>
        <v>6956.0420168067212</v>
      </c>
    </row>
    <row r="3386" spans="1:19" hidden="1" x14ac:dyDescent="0.3">
      <c r="A3386">
        <v>170</v>
      </c>
      <c r="B3386" t="s">
        <v>4809</v>
      </c>
      <c r="C3386" t="s">
        <v>5024</v>
      </c>
      <c r="D3386" s="2" t="s">
        <v>5025</v>
      </c>
      <c r="E3386" t="s">
        <v>3108</v>
      </c>
      <c r="F3386" t="s">
        <v>377</v>
      </c>
      <c r="G3386" t="s">
        <v>21</v>
      </c>
      <c r="H3386" t="s">
        <v>378</v>
      </c>
      <c r="I3386" t="s">
        <v>23</v>
      </c>
      <c r="J3386" t="s">
        <v>2620</v>
      </c>
      <c r="K3386" s="2" t="s">
        <v>902</v>
      </c>
      <c r="L3386" t="s">
        <v>26</v>
      </c>
      <c r="M3386">
        <v>336449</v>
      </c>
      <c r="N3386">
        <v>1</v>
      </c>
      <c r="O3386" s="3">
        <v>26950</v>
      </c>
      <c r="P3386" s="3">
        <v>13329</v>
      </c>
      <c r="Q3386" s="5">
        <f t="shared" si="156"/>
        <v>22647.058823529413</v>
      </c>
      <c r="R3386" s="5">
        <f t="shared" si="157"/>
        <v>13329</v>
      </c>
      <c r="S3386" s="5">
        <f t="shared" si="158"/>
        <v>9318.0588235294126</v>
      </c>
    </row>
    <row r="3387" spans="1:19" hidden="1" x14ac:dyDescent="0.3">
      <c r="A3387">
        <v>170</v>
      </c>
      <c r="B3387" t="s">
        <v>4809</v>
      </c>
      <c r="C3387" t="s">
        <v>5026</v>
      </c>
      <c r="D3387" s="2" t="s">
        <v>5027</v>
      </c>
      <c r="E3387" t="s">
        <v>326</v>
      </c>
      <c r="F3387" t="s">
        <v>20</v>
      </c>
      <c r="G3387" t="s">
        <v>21</v>
      </c>
      <c r="H3387" t="s">
        <v>327</v>
      </c>
      <c r="I3387" t="s">
        <v>23</v>
      </c>
      <c r="J3387" t="s">
        <v>207</v>
      </c>
      <c r="K3387" s="2" t="s">
        <v>902</v>
      </c>
      <c r="L3387" t="s">
        <v>26</v>
      </c>
      <c r="M3387">
        <v>336450</v>
      </c>
      <c r="N3387">
        <v>-1</v>
      </c>
      <c r="O3387" s="3">
        <v>-79950</v>
      </c>
      <c r="P3387" s="3">
        <v>25441</v>
      </c>
      <c r="Q3387" s="5">
        <f t="shared" si="156"/>
        <v>-67184.873949579836</v>
      </c>
      <c r="R3387" s="5">
        <f t="shared" si="157"/>
        <v>-25441</v>
      </c>
      <c r="S3387" s="5">
        <f t="shared" si="158"/>
        <v>-41743.873949579836</v>
      </c>
    </row>
    <row r="3388" spans="1:19" hidden="1" x14ac:dyDescent="0.3">
      <c r="A3388">
        <v>170</v>
      </c>
      <c r="B3388" t="s">
        <v>4809</v>
      </c>
      <c r="C3388" t="s">
        <v>4260</v>
      </c>
      <c r="D3388" s="2" t="s">
        <v>4261</v>
      </c>
      <c r="E3388" t="s">
        <v>2865</v>
      </c>
      <c r="F3388" t="s">
        <v>20</v>
      </c>
      <c r="G3388" t="s">
        <v>21</v>
      </c>
      <c r="H3388" t="s">
        <v>57</v>
      </c>
      <c r="I3388" t="s">
        <v>23</v>
      </c>
      <c r="J3388" t="s">
        <v>35</v>
      </c>
      <c r="K3388" s="2" t="s">
        <v>902</v>
      </c>
      <c r="L3388" t="s">
        <v>26</v>
      </c>
      <c r="M3388">
        <v>336450</v>
      </c>
      <c r="N3388">
        <v>1</v>
      </c>
      <c r="O3388" s="3">
        <v>89950</v>
      </c>
      <c r="P3388" s="3">
        <v>29189</v>
      </c>
      <c r="Q3388" s="5">
        <f t="shared" si="156"/>
        <v>75588.23529411765</v>
      </c>
      <c r="R3388" s="5">
        <f t="shared" si="157"/>
        <v>29189</v>
      </c>
      <c r="S3388" s="5">
        <f t="shared" si="158"/>
        <v>46399.23529411765</v>
      </c>
    </row>
    <row r="3389" spans="1:19" hidden="1" x14ac:dyDescent="0.3">
      <c r="A3389">
        <v>170</v>
      </c>
      <c r="B3389" t="s">
        <v>4809</v>
      </c>
      <c r="C3389" t="s">
        <v>1325</v>
      </c>
      <c r="D3389" s="2" t="s">
        <v>1326</v>
      </c>
      <c r="E3389" t="s">
        <v>1327</v>
      </c>
      <c r="F3389" t="s">
        <v>20</v>
      </c>
      <c r="G3389" t="s">
        <v>21</v>
      </c>
      <c r="H3389" t="s">
        <v>247</v>
      </c>
      <c r="I3389" t="s">
        <v>23</v>
      </c>
      <c r="J3389" t="s">
        <v>40</v>
      </c>
      <c r="K3389" s="2" t="s">
        <v>902</v>
      </c>
      <c r="L3389" t="s">
        <v>26</v>
      </c>
      <c r="M3389">
        <v>336451</v>
      </c>
      <c r="N3389">
        <v>1</v>
      </c>
      <c r="O3389" s="3">
        <v>59950</v>
      </c>
      <c r="P3389" s="3">
        <v>16541</v>
      </c>
      <c r="Q3389" s="5">
        <f t="shared" si="156"/>
        <v>50378.151260504201</v>
      </c>
      <c r="R3389" s="5">
        <f t="shared" si="157"/>
        <v>16541</v>
      </c>
      <c r="S3389" s="5">
        <f t="shared" si="158"/>
        <v>33837.151260504201</v>
      </c>
    </row>
    <row r="3390" spans="1:19" hidden="1" x14ac:dyDescent="0.3">
      <c r="A3390">
        <v>170</v>
      </c>
      <c r="B3390" t="s">
        <v>4809</v>
      </c>
      <c r="C3390" t="s">
        <v>2682</v>
      </c>
      <c r="D3390" s="2" t="s">
        <v>2683</v>
      </c>
      <c r="E3390" t="s">
        <v>1439</v>
      </c>
      <c r="F3390" t="s">
        <v>20</v>
      </c>
      <c r="G3390" t="s">
        <v>21</v>
      </c>
      <c r="H3390" t="s">
        <v>1440</v>
      </c>
      <c r="I3390" t="s">
        <v>23</v>
      </c>
      <c r="J3390" t="s">
        <v>40</v>
      </c>
      <c r="K3390" s="2" t="s">
        <v>902</v>
      </c>
      <c r="L3390" t="s">
        <v>26</v>
      </c>
      <c r="M3390">
        <v>336451</v>
      </c>
      <c r="N3390">
        <v>1</v>
      </c>
      <c r="O3390" s="3">
        <v>64950</v>
      </c>
      <c r="P3390" s="3">
        <v>17328</v>
      </c>
      <c r="Q3390" s="5">
        <f t="shared" si="156"/>
        <v>54579.831932773115</v>
      </c>
      <c r="R3390" s="5">
        <f t="shared" si="157"/>
        <v>17328</v>
      </c>
      <c r="S3390" s="5">
        <f t="shared" si="158"/>
        <v>37251.831932773115</v>
      </c>
    </row>
    <row r="3391" spans="1:19" hidden="1" x14ac:dyDescent="0.3">
      <c r="A3391">
        <v>170</v>
      </c>
      <c r="B3391" t="s">
        <v>4809</v>
      </c>
      <c r="C3391" t="s">
        <v>4629</v>
      </c>
      <c r="D3391" s="2" t="s">
        <v>4630</v>
      </c>
      <c r="E3391" t="s">
        <v>1281</v>
      </c>
      <c r="F3391" t="s">
        <v>20</v>
      </c>
      <c r="G3391" t="s">
        <v>21</v>
      </c>
      <c r="H3391" t="s">
        <v>1282</v>
      </c>
      <c r="I3391" t="s">
        <v>23</v>
      </c>
      <c r="J3391" t="s">
        <v>40</v>
      </c>
      <c r="K3391" s="2" t="s">
        <v>902</v>
      </c>
      <c r="L3391" t="s">
        <v>26</v>
      </c>
      <c r="M3391">
        <v>336452</v>
      </c>
      <c r="N3391">
        <v>1</v>
      </c>
      <c r="O3391" s="3">
        <v>49950</v>
      </c>
      <c r="P3391" s="3">
        <v>13922</v>
      </c>
      <c r="Q3391" s="5">
        <f t="shared" si="156"/>
        <v>41974.789915966387</v>
      </c>
      <c r="R3391" s="5">
        <f t="shared" si="157"/>
        <v>13922</v>
      </c>
      <c r="S3391" s="5">
        <f t="shared" si="158"/>
        <v>28052.789915966387</v>
      </c>
    </row>
    <row r="3392" spans="1:19" hidden="1" x14ac:dyDescent="0.3">
      <c r="A3392">
        <v>170</v>
      </c>
      <c r="B3392" t="s">
        <v>4809</v>
      </c>
      <c r="C3392" t="s">
        <v>5028</v>
      </c>
      <c r="D3392" s="2" t="s">
        <v>5029</v>
      </c>
      <c r="E3392" t="s">
        <v>5030</v>
      </c>
      <c r="F3392" t="s">
        <v>20</v>
      </c>
      <c r="G3392" t="s">
        <v>21</v>
      </c>
      <c r="H3392" t="s">
        <v>2305</v>
      </c>
      <c r="I3392" t="s">
        <v>23</v>
      </c>
      <c r="J3392" t="s">
        <v>207</v>
      </c>
      <c r="K3392" s="2" t="s">
        <v>902</v>
      </c>
      <c r="L3392" t="s">
        <v>26</v>
      </c>
      <c r="M3392">
        <v>336452</v>
      </c>
      <c r="N3392">
        <v>-1</v>
      </c>
      <c r="O3392" s="3">
        <v>-39990</v>
      </c>
      <c r="P3392" s="3">
        <v>22982</v>
      </c>
      <c r="Q3392" s="5">
        <f t="shared" si="156"/>
        <v>-33605.042016806721</v>
      </c>
      <c r="R3392" s="5">
        <f t="shared" si="157"/>
        <v>-22982</v>
      </c>
      <c r="S3392" s="5">
        <f t="shared" si="158"/>
        <v>-10623.042016806721</v>
      </c>
    </row>
    <row r="3393" spans="1:19" hidden="1" x14ac:dyDescent="0.3">
      <c r="A3393">
        <v>170</v>
      </c>
      <c r="B3393" t="s">
        <v>4809</v>
      </c>
      <c r="C3393" t="s">
        <v>5028</v>
      </c>
      <c r="D3393" s="2" t="s">
        <v>5029</v>
      </c>
      <c r="E3393" t="s">
        <v>5030</v>
      </c>
      <c r="F3393" t="s">
        <v>20</v>
      </c>
      <c r="G3393" t="s">
        <v>21</v>
      </c>
      <c r="H3393" t="s">
        <v>2305</v>
      </c>
      <c r="I3393" t="s">
        <v>23</v>
      </c>
      <c r="J3393" t="s">
        <v>207</v>
      </c>
      <c r="K3393" s="2" t="s">
        <v>902</v>
      </c>
      <c r="L3393" t="s">
        <v>26</v>
      </c>
      <c r="M3393">
        <v>336453</v>
      </c>
      <c r="N3393">
        <v>1</v>
      </c>
      <c r="O3393" s="3">
        <v>39990</v>
      </c>
      <c r="P3393" s="3">
        <v>22982</v>
      </c>
      <c r="Q3393" s="5">
        <f t="shared" si="156"/>
        <v>33605.042016806721</v>
      </c>
      <c r="R3393" s="5">
        <f t="shared" si="157"/>
        <v>22982</v>
      </c>
      <c r="S3393" s="5">
        <f t="shared" si="158"/>
        <v>10623.042016806721</v>
      </c>
    </row>
    <row r="3394" spans="1:19" hidden="1" x14ac:dyDescent="0.3">
      <c r="A3394">
        <v>170</v>
      </c>
      <c r="B3394" t="s">
        <v>4809</v>
      </c>
      <c r="C3394" t="s">
        <v>4322</v>
      </c>
      <c r="D3394" s="2" t="s">
        <v>4323</v>
      </c>
      <c r="E3394" t="s">
        <v>4324</v>
      </c>
      <c r="F3394" t="s">
        <v>20</v>
      </c>
      <c r="G3394" t="s">
        <v>21</v>
      </c>
      <c r="H3394" t="s">
        <v>1440</v>
      </c>
      <c r="I3394" t="s">
        <v>23</v>
      </c>
      <c r="J3394" t="s">
        <v>40</v>
      </c>
      <c r="K3394" s="2" t="s">
        <v>902</v>
      </c>
      <c r="L3394" t="s">
        <v>26</v>
      </c>
      <c r="M3394">
        <v>336454</v>
      </c>
      <c r="N3394">
        <v>1</v>
      </c>
      <c r="O3394" s="3">
        <v>55200</v>
      </c>
      <c r="P3394" s="3">
        <v>17328</v>
      </c>
      <c r="Q3394" s="5">
        <f t="shared" si="156"/>
        <v>46386.554621848743</v>
      </c>
      <c r="R3394" s="5">
        <f t="shared" si="157"/>
        <v>17328</v>
      </c>
      <c r="S3394" s="5">
        <f t="shared" si="158"/>
        <v>29058.554621848743</v>
      </c>
    </row>
    <row r="3395" spans="1:19" hidden="1" x14ac:dyDescent="0.3">
      <c r="A3395">
        <v>170</v>
      </c>
      <c r="B3395" t="s">
        <v>4809</v>
      </c>
      <c r="C3395" t="s">
        <v>5031</v>
      </c>
      <c r="D3395" s="2" t="s">
        <v>5032</v>
      </c>
      <c r="E3395" t="s">
        <v>4830</v>
      </c>
      <c r="F3395" t="s">
        <v>20</v>
      </c>
      <c r="G3395" t="s">
        <v>338</v>
      </c>
      <c r="H3395">
        <v>24239</v>
      </c>
      <c r="I3395" t="s">
        <v>23</v>
      </c>
      <c r="J3395" t="s">
        <v>95</v>
      </c>
      <c r="K3395" s="2" t="s">
        <v>902</v>
      </c>
      <c r="L3395" t="s">
        <v>26</v>
      </c>
      <c r="M3395">
        <v>336454</v>
      </c>
      <c r="N3395">
        <v>1</v>
      </c>
      <c r="O3395" s="3">
        <v>59950</v>
      </c>
      <c r="P3395" s="3">
        <v>18677</v>
      </c>
      <c r="Q3395" s="5">
        <f t="shared" si="156"/>
        <v>50378.151260504201</v>
      </c>
      <c r="R3395" s="5">
        <f t="shared" si="157"/>
        <v>18677</v>
      </c>
      <c r="S3395" s="5">
        <f t="shared" si="158"/>
        <v>31701.151260504201</v>
      </c>
    </row>
    <row r="3396" spans="1:19" hidden="1" x14ac:dyDescent="0.3">
      <c r="A3396">
        <v>170</v>
      </c>
      <c r="B3396" t="s">
        <v>4809</v>
      </c>
      <c r="C3396" t="s">
        <v>3545</v>
      </c>
      <c r="D3396" s="2" t="s">
        <v>3546</v>
      </c>
      <c r="E3396" t="s">
        <v>938</v>
      </c>
      <c r="F3396" t="s">
        <v>20</v>
      </c>
      <c r="G3396" t="s">
        <v>21</v>
      </c>
      <c r="H3396" t="s">
        <v>317</v>
      </c>
      <c r="I3396" t="s">
        <v>23</v>
      </c>
      <c r="J3396" t="s">
        <v>35</v>
      </c>
      <c r="K3396" s="2" t="s">
        <v>902</v>
      </c>
      <c r="L3396" t="s">
        <v>26</v>
      </c>
      <c r="M3396">
        <v>336455</v>
      </c>
      <c r="N3396">
        <v>1</v>
      </c>
      <c r="O3396" s="3">
        <v>69950</v>
      </c>
      <c r="P3396" s="3">
        <v>26745</v>
      </c>
      <c r="Q3396" s="5">
        <f t="shared" si="156"/>
        <v>58781.512605042022</v>
      </c>
      <c r="R3396" s="5">
        <f t="shared" si="157"/>
        <v>26745</v>
      </c>
      <c r="S3396" s="5">
        <f t="shared" si="158"/>
        <v>32036.512605042022</v>
      </c>
    </row>
    <row r="3397" spans="1:19" hidden="1" x14ac:dyDescent="0.3">
      <c r="A3397">
        <v>170</v>
      </c>
      <c r="B3397" t="s">
        <v>4809</v>
      </c>
      <c r="C3397" t="s">
        <v>2525</v>
      </c>
      <c r="D3397" s="2" t="s">
        <v>2526</v>
      </c>
      <c r="E3397" t="s">
        <v>2527</v>
      </c>
      <c r="F3397" t="s">
        <v>377</v>
      </c>
      <c r="G3397" t="s">
        <v>21</v>
      </c>
      <c r="H3397" t="s">
        <v>378</v>
      </c>
      <c r="I3397" t="s">
        <v>23</v>
      </c>
      <c r="J3397" t="s">
        <v>2459</v>
      </c>
      <c r="K3397" s="2" t="s">
        <v>902</v>
      </c>
      <c r="L3397" t="s">
        <v>26</v>
      </c>
      <c r="M3397">
        <v>336456</v>
      </c>
      <c r="N3397">
        <v>1</v>
      </c>
      <c r="O3397" s="3">
        <v>6950</v>
      </c>
      <c r="P3397" s="3">
        <v>2964</v>
      </c>
      <c r="Q3397" s="5">
        <f t="shared" si="156"/>
        <v>5840.3361344537816</v>
      </c>
      <c r="R3397" s="5">
        <f t="shared" si="157"/>
        <v>2964</v>
      </c>
      <c r="S3397" s="5">
        <f t="shared" si="158"/>
        <v>2876.3361344537816</v>
      </c>
    </row>
    <row r="3398" spans="1:19" hidden="1" x14ac:dyDescent="0.3">
      <c r="A3398">
        <v>170</v>
      </c>
      <c r="B3398" t="s">
        <v>4809</v>
      </c>
      <c r="C3398" t="s">
        <v>5033</v>
      </c>
      <c r="D3398" s="2" t="s">
        <v>5034</v>
      </c>
      <c r="E3398" t="s">
        <v>1842</v>
      </c>
      <c r="F3398" t="s">
        <v>20</v>
      </c>
      <c r="G3398" t="s">
        <v>21</v>
      </c>
      <c r="H3398" t="s">
        <v>625</v>
      </c>
      <c r="I3398" t="s">
        <v>23</v>
      </c>
      <c r="J3398" t="s">
        <v>35</v>
      </c>
      <c r="K3398" s="2" t="s">
        <v>902</v>
      </c>
      <c r="L3398" t="s">
        <v>26</v>
      </c>
      <c r="M3398">
        <v>336457</v>
      </c>
      <c r="N3398">
        <v>1</v>
      </c>
      <c r="O3398" s="3">
        <v>69950</v>
      </c>
      <c r="P3398" s="3">
        <v>27879</v>
      </c>
      <c r="Q3398" s="5">
        <f t="shared" ref="Q3398:Q3461" si="159">O3398/1.19</f>
        <v>58781.512605042022</v>
      </c>
      <c r="R3398" s="5">
        <f t="shared" ref="R3398:R3461" si="160">N3398*P3398</f>
        <v>27879</v>
      </c>
      <c r="S3398" s="5">
        <f t="shared" ref="S3398:S3461" si="161">Q3398-R3398</f>
        <v>30902.512605042022</v>
      </c>
    </row>
    <row r="3399" spans="1:19" hidden="1" x14ac:dyDescent="0.3">
      <c r="A3399">
        <v>170</v>
      </c>
      <c r="B3399" t="s">
        <v>4809</v>
      </c>
      <c r="C3399" t="s">
        <v>5035</v>
      </c>
      <c r="D3399" s="2" t="s">
        <v>5036</v>
      </c>
      <c r="E3399" t="s">
        <v>2619</v>
      </c>
      <c r="F3399" t="s">
        <v>377</v>
      </c>
      <c r="G3399" t="s">
        <v>21</v>
      </c>
      <c r="H3399" t="s">
        <v>378</v>
      </c>
      <c r="I3399" t="s">
        <v>23</v>
      </c>
      <c r="J3399" t="s">
        <v>2620</v>
      </c>
      <c r="K3399" s="2" t="s">
        <v>902</v>
      </c>
      <c r="L3399" t="s">
        <v>26</v>
      </c>
      <c r="M3399">
        <v>336457</v>
      </c>
      <c r="N3399">
        <v>1</v>
      </c>
      <c r="O3399" s="3">
        <v>24950</v>
      </c>
      <c r="P3399" s="3">
        <v>13040</v>
      </c>
      <c r="Q3399" s="5">
        <f t="shared" si="159"/>
        <v>20966.386554621851</v>
      </c>
      <c r="R3399" s="5">
        <f t="shared" si="160"/>
        <v>13040</v>
      </c>
      <c r="S3399" s="5">
        <f t="shared" si="161"/>
        <v>7926.3865546218512</v>
      </c>
    </row>
    <row r="3400" spans="1:19" hidden="1" x14ac:dyDescent="0.3">
      <c r="A3400">
        <v>170</v>
      </c>
      <c r="B3400" t="s">
        <v>4809</v>
      </c>
      <c r="C3400" t="s">
        <v>3866</v>
      </c>
      <c r="D3400" s="2" t="s">
        <v>3867</v>
      </c>
      <c r="E3400" t="s">
        <v>3698</v>
      </c>
      <c r="F3400" t="s">
        <v>20</v>
      </c>
      <c r="G3400" t="s">
        <v>21</v>
      </c>
      <c r="H3400" t="s">
        <v>966</v>
      </c>
      <c r="I3400" t="s">
        <v>23</v>
      </c>
      <c r="J3400" t="s">
        <v>40</v>
      </c>
      <c r="K3400" s="2" t="s">
        <v>902</v>
      </c>
      <c r="L3400" t="s">
        <v>26</v>
      </c>
      <c r="M3400">
        <v>336458</v>
      </c>
      <c r="N3400">
        <v>-1</v>
      </c>
      <c r="O3400" s="3">
        <v>-74950</v>
      </c>
      <c r="P3400" s="3">
        <v>27462</v>
      </c>
      <c r="Q3400" s="5">
        <f t="shared" si="159"/>
        <v>-62983.193277310929</v>
      </c>
      <c r="R3400" s="5">
        <f t="shared" si="160"/>
        <v>-27462</v>
      </c>
      <c r="S3400" s="5">
        <f t="shared" si="161"/>
        <v>-35521.193277310929</v>
      </c>
    </row>
    <row r="3401" spans="1:19" hidden="1" x14ac:dyDescent="0.3">
      <c r="A3401">
        <v>170</v>
      </c>
      <c r="B3401" t="s">
        <v>4809</v>
      </c>
      <c r="C3401" t="s">
        <v>5037</v>
      </c>
      <c r="D3401" s="2" t="s">
        <v>5038</v>
      </c>
      <c r="E3401" t="s">
        <v>4346</v>
      </c>
      <c r="F3401" t="s">
        <v>20</v>
      </c>
      <c r="G3401" t="s">
        <v>21</v>
      </c>
      <c r="H3401" t="s">
        <v>1755</v>
      </c>
      <c r="I3401" t="s">
        <v>23</v>
      </c>
      <c r="J3401" t="s">
        <v>35</v>
      </c>
      <c r="K3401" s="2" t="s">
        <v>902</v>
      </c>
      <c r="L3401" t="s">
        <v>26</v>
      </c>
      <c r="M3401">
        <v>336458</v>
      </c>
      <c r="N3401">
        <v>1</v>
      </c>
      <c r="O3401" s="3">
        <v>84950</v>
      </c>
      <c r="P3401" s="3">
        <v>28298</v>
      </c>
      <c r="Q3401" s="5">
        <f t="shared" si="159"/>
        <v>71386.554621848743</v>
      </c>
      <c r="R3401" s="5">
        <f t="shared" si="160"/>
        <v>28298</v>
      </c>
      <c r="S3401" s="5">
        <f t="shared" si="161"/>
        <v>43088.554621848743</v>
      </c>
    </row>
    <row r="3402" spans="1:19" hidden="1" x14ac:dyDescent="0.3">
      <c r="A3402">
        <v>170</v>
      </c>
      <c r="B3402" t="s">
        <v>4809</v>
      </c>
      <c r="C3402" t="s">
        <v>4993</v>
      </c>
      <c r="D3402" s="2" t="s">
        <v>4994</v>
      </c>
      <c r="E3402" t="s">
        <v>2103</v>
      </c>
      <c r="F3402" t="s">
        <v>20</v>
      </c>
      <c r="G3402" t="s">
        <v>21</v>
      </c>
      <c r="H3402" t="s">
        <v>693</v>
      </c>
      <c r="I3402" t="s">
        <v>23</v>
      </c>
      <c r="J3402" t="s">
        <v>40</v>
      </c>
      <c r="K3402" s="2" t="s">
        <v>902</v>
      </c>
      <c r="L3402" t="s">
        <v>26</v>
      </c>
      <c r="M3402">
        <v>336459</v>
      </c>
      <c r="N3402">
        <v>-1</v>
      </c>
      <c r="O3402" s="3">
        <v>-39990</v>
      </c>
      <c r="P3402" s="3">
        <v>24160</v>
      </c>
      <c r="Q3402" s="5">
        <f t="shared" si="159"/>
        <v>-33605.042016806721</v>
      </c>
      <c r="R3402" s="5">
        <f t="shared" si="160"/>
        <v>-24160</v>
      </c>
      <c r="S3402" s="5">
        <f t="shared" si="161"/>
        <v>-9445.0420168067212</v>
      </c>
    </row>
    <row r="3403" spans="1:19" hidden="1" x14ac:dyDescent="0.3">
      <c r="A3403">
        <v>170</v>
      </c>
      <c r="B3403" t="s">
        <v>4809</v>
      </c>
      <c r="C3403" t="s">
        <v>4389</v>
      </c>
      <c r="D3403" s="2" t="s">
        <v>4390</v>
      </c>
      <c r="E3403" t="s">
        <v>4391</v>
      </c>
      <c r="F3403" t="s">
        <v>20</v>
      </c>
      <c r="G3403" t="s">
        <v>21</v>
      </c>
      <c r="H3403" t="s">
        <v>295</v>
      </c>
      <c r="I3403" t="s">
        <v>23</v>
      </c>
      <c r="J3403" t="s">
        <v>40</v>
      </c>
      <c r="K3403" s="2" t="s">
        <v>902</v>
      </c>
      <c r="L3403" t="s">
        <v>26</v>
      </c>
      <c r="M3403">
        <v>336459</v>
      </c>
      <c r="N3403">
        <v>1</v>
      </c>
      <c r="O3403" s="3">
        <v>79950</v>
      </c>
      <c r="P3403" s="3">
        <v>26951</v>
      </c>
      <c r="Q3403" s="5">
        <f t="shared" si="159"/>
        <v>67184.873949579836</v>
      </c>
      <c r="R3403" s="5">
        <f t="shared" si="160"/>
        <v>26951</v>
      </c>
      <c r="S3403" s="5">
        <f t="shared" si="161"/>
        <v>40233.873949579836</v>
      </c>
    </row>
    <row r="3404" spans="1:19" hidden="1" x14ac:dyDescent="0.3">
      <c r="A3404">
        <v>170</v>
      </c>
      <c r="B3404" t="s">
        <v>4809</v>
      </c>
      <c r="C3404" t="s">
        <v>4993</v>
      </c>
      <c r="D3404" s="2" t="s">
        <v>4994</v>
      </c>
      <c r="E3404" t="s">
        <v>2103</v>
      </c>
      <c r="F3404" t="s">
        <v>20</v>
      </c>
      <c r="G3404" t="s">
        <v>21</v>
      </c>
      <c r="H3404" t="s">
        <v>693</v>
      </c>
      <c r="I3404" t="s">
        <v>23</v>
      </c>
      <c r="J3404" t="s">
        <v>40</v>
      </c>
      <c r="K3404" s="2" t="s">
        <v>902</v>
      </c>
      <c r="L3404" t="s">
        <v>26</v>
      </c>
      <c r="M3404">
        <v>336460</v>
      </c>
      <c r="N3404">
        <v>1</v>
      </c>
      <c r="O3404" s="3">
        <v>39990</v>
      </c>
      <c r="P3404" s="3">
        <v>24160</v>
      </c>
      <c r="Q3404" s="5">
        <f t="shared" si="159"/>
        <v>33605.042016806721</v>
      </c>
      <c r="R3404" s="5">
        <f t="shared" si="160"/>
        <v>24160</v>
      </c>
      <c r="S3404" s="5">
        <f t="shared" si="161"/>
        <v>9445.0420168067212</v>
      </c>
    </row>
    <row r="3405" spans="1:19" hidden="1" x14ac:dyDescent="0.3">
      <c r="A3405">
        <v>170</v>
      </c>
      <c r="B3405" t="s">
        <v>4809</v>
      </c>
      <c r="C3405" t="s">
        <v>2903</v>
      </c>
      <c r="D3405" s="2" t="s">
        <v>2904</v>
      </c>
      <c r="E3405" t="s">
        <v>2905</v>
      </c>
      <c r="F3405" t="s">
        <v>20</v>
      </c>
      <c r="G3405" t="s">
        <v>21</v>
      </c>
      <c r="H3405" t="s">
        <v>272</v>
      </c>
      <c r="I3405" t="s">
        <v>23</v>
      </c>
      <c r="J3405" t="s">
        <v>35</v>
      </c>
      <c r="K3405" s="2" t="s">
        <v>902</v>
      </c>
      <c r="L3405" t="s">
        <v>26</v>
      </c>
      <c r="M3405">
        <v>336461</v>
      </c>
      <c r="N3405">
        <v>1</v>
      </c>
      <c r="O3405" s="3">
        <v>79950</v>
      </c>
      <c r="P3405" s="3">
        <v>27771</v>
      </c>
      <c r="Q3405" s="5">
        <f t="shared" si="159"/>
        <v>67184.873949579836</v>
      </c>
      <c r="R3405" s="5">
        <f t="shared" si="160"/>
        <v>27771</v>
      </c>
      <c r="S3405" s="5">
        <f t="shared" si="161"/>
        <v>39413.873949579836</v>
      </c>
    </row>
    <row r="3406" spans="1:19" hidden="1" x14ac:dyDescent="0.3">
      <c r="A3406">
        <v>170</v>
      </c>
      <c r="B3406" t="s">
        <v>4809</v>
      </c>
      <c r="C3406" t="s">
        <v>5039</v>
      </c>
      <c r="D3406" s="2" t="s">
        <v>5040</v>
      </c>
      <c r="E3406" t="s">
        <v>2552</v>
      </c>
      <c r="F3406" t="s">
        <v>20</v>
      </c>
      <c r="G3406" t="s">
        <v>21</v>
      </c>
      <c r="H3406" t="s">
        <v>2353</v>
      </c>
      <c r="I3406" t="s">
        <v>23</v>
      </c>
      <c r="J3406" t="s">
        <v>40</v>
      </c>
      <c r="K3406" s="2" t="s">
        <v>902</v>
      </c>
      <c r="L3406" t="s">
        <v>26</v>
      </c>
      <c r="M3406">
        <v>336462</v>
      </c>
      <c r="N3406">
        <v>1</v>
      </c>
      <c r="O3406" s="3">
        <v>69990</v>
      </c>
      <c r="P3406" s="3">
        <v>31436</v>
      </c>
      <c r="Q3406" s="5">
        <f t="shared" si="159"/>
        <v>58815.126050420171</v>
      </c>
      <c r="R3406" s="5">
        <f t="shared" si="160"/>
        <v>31436</v>
      </c>
      <c r="S3406" s="5">
        <f t="shared" si="161"/>
        <v>27379.126050420171</v>
      </c>
    </row>
    <row r="3407" spans="1:19" hidden="1" x14ac:dyDescent="0.3">
      <c r="A3407">
        <v>170</v>
      </c>
      <c r="B3407" t="s">
        <v>4809</v>
      </c>
      <c r="C3407" t="s">
        <v>3286</v>
      </c>
      <c r="D3407" s="2" t="s">
        <v>3287</v>
      </c>
      <c r="E3407" t="s">
        <v>2226</v>
      </c>
      <c r="F3407" t="s">
        <v>20</v>
      </c>
      <c r="G3407" t="s">
        <v>21</v>
      </c>
      <c r="H3407" t="s">
        <v>53</v>
      </c>
      <c r="I3407" t="s">
        <v>23</v>
      </c>
      <c r="J3407" t="s">
        <v>49</v>
      </c>
      <c r="K3407" s="2" t="s">
        <v>902</v>
      </c>
      <c r="L3407" t="s">
        <v>26</v>
      </c>
      <c r="M3407">
        <v>336463</v>
      </c>
      <c r="N3407">
        <v>1</v>
      </c>
      <c r="O3407" s="3">
        <v>69950</v>
      </c>
      <c r="P3407" s="3">
        <v>20849</v>
      </c>
      <c r="Q3407" s="5">
        <f t="shared" si="159"/>
        <v>58781.512605042022</v>
      </c>
      <c r="R3407" s="5">
        <f t="shared" si="160"/>
        <v>20849</v>
      </c>
      <c r="S3407" s="5">
        <f t="shared" si="161"/>
        <v>37932.512605042022</v>
      </c>
    </row>
    <row r="3408" spans="1:19" hidden="1" x14ac:dyDescent="0.3">
      <c r="A3408">
        <v>170</v>
      </c>
      <c r="B3408" t="s">
        <v>4809</v>
      </c>
      <c r="C3408" t="s">
        <v>2656</v>
      </c>
      <c r="D3408" s="2" t="s">
        <v>2657</v>
      </c>
      <c r="E3408" t="s">
        <v>2658</v>
      </c>
      <c r="F3408" t="s">
        <v>20</v>
      </c>
      <c r="G3408" t="s">
        <v>21</v>
      </c>
      <c r="H3408" t="s">
        <v>500</v>
      </c>
      <c r="I3408" t="s">
        <v>23</v>
      </c>
      <c r="J3408" t="s">
        <v>40</v>
      </c>
      <c r="K3408" s="2" t="s">
        <v>902</v>
      </c>
      <c r="L3408" t="s">
        <v>26</v>
      </c>
      <c r="M3408">
        <v>336464</v>
      </c>
      <c r="N3408">
        <v>1</v>
      </c>
      <c r="O3408" s="3">
        <v>59950</v>
      </c>
      <c r="P3408" s="3">
        <v>16978</v>
      </c>
      <c r="Q3408" s="5">
        <f t="shared" si="159"/>
        <v>50378.151260504201</v>
      </c>
      <c r="R3408" s="5">
        <f t="shared" si="160"/>
        <v>16978</v>
      </c>
      <c r="S3408" s="5">
        <f t="shared" si="161"/>
        <v>33400.151260504201</v>
      </c>
    </row>
    <row r="3409" spans="1:19" hidden="1" x14ac:dyDescent="0.3">
      <c r="A3409">
        <v>170</v>
      </c>
      <c r="B3409" t="s">
        <v>4809</v>
      </c>
      <c r="C3409" t="s">
        <v>3286</v>
      </c>
      <c r="D3409" s="2" t="s">
        <v>3287</v>
      </c>
      <c r="E3409" t="s">
        <v>2226</v>
      </c>
      <c r="F3409" t="s">
        <v>20</v>
      </c>
      <c r="G3409" t="s">
        <v>21</v>
      </c>
      <c r="H3409" t="s">
        <v>53</v>
      </c>
      <c r="I3409" t="s">
        <v>23</v>
      </c>
      <c r="J3409" t="s">
        <v>49</v>
      </c>
      <c r="K3409" s="2" t="s">
        <v>902</v>
      </c>
      <c r="L3409" t="s">
        <v>26</v>
      </c>
      <c r="M3409">
        <v>336464</v>
      </c>
      <c r="N3409">
        <v>-1</v>
      </c>
      <c r="O3409" s="3">
        <v>-69950</v>
      </c>
      <c r="P3409" s="3">
        <v>20849</v>
      </c>
      <c r="Q3409" s="5">
        <f t="shared" si="159"/>
        <v>-58781.512605042022</v>
      </c>
      <c r="R3409" s="5">
        <f t="shared" si="160"/>
        <v>-20849</v>
      </c>
      <c r="S3409" s="5">
        <f t="shared" si="161"/>
        <v>-37932.512605042022</v>
      </c>
    </row>
    <row r="3410" spans="1:19" hidden="1" x14ac:dyDescent="0.3">
      <c r="A3410">
        <v>170</v>
      </c>
      <c r="B3410" t="s">
        <v>4809</v>
      </c>
      <c r="C3410" t="s">
        <v>2575</v>
      </c>
      <c r="D3410" s="2" t="s">
        <v>2576</v>
      </c>
      <c r="E3410" t="s">
        <v>2577</v>
      </c>
      <c r="F3410" t="s">
        <v>377</v>
      </c>
      <c r="G3410" t="s">
        <v>21</v>
      </c>
      <c r="H3410" t="s">
        <v>378</v>
      </c>
      <c r="I3410" t="s">
        <v>23</v>
      </c>
      <c r="J3410" t="s">
        <v>379</v>
      </c>
      <c r="K3410" s="2" t="s">
        <v>902</v>
      </c>
      <c r="L3410" t="s">
        <v>26</v>
      </c>
      <c r="M3410">
        <v>336464</v>
      </c>
      <c r="N3410">
        <v>2</v>
      </c>
      <c r="O3410" s="3">
        <v>11900</v>
      </c>
      <c r="P3410" s="3">
        <v>3307</v>
      </c>
      <c r="Q3410" s="5">
        <f t="shared" si="159"/>
        <v>10000</v>
      </c>
      <c r="R3410" s="5">
        <f t="shared" si="160"/>
        <v>6614</v>
      </c>
      <c r="S3410" s="5">
        <f t="shared" si="161"/>
        <v>3386</v>
      </c>
    </row>
    <row r="3411" spans="1:19" hidden="1" x14ac:dyDescent="0.3">
      <c r="A3411">
        <v>170</v>
      </c>
      <c r="B3411" t="s">
        <v>4809</v>
      </c>
      <c r="C3411" t="s">
        <v>1419</v>
      </c>
      <c r="D3411" s="2" t="s">
        <v>1420</v>
      </c>
      <c r="E3411" t="s">
        <v>1421</v>
      </c>
      <c r="F3411" t="s">
        <v>20</v>
      </c>
      <c r="G3411" t="s">
        <v>21</v>
      </c>
      <c r="H3411" t="s">
        <v>1422</v>
      </c>
      <c r="I3411" t="s">
        <v>23</v>
      </c>
      <c r="J3411" t="s">
        <v>49</v>
      </c>
      <c r="K3411" s="2" t="s">
        <v>902</v>
      </c>
      <c r="L3411" t="s">
        <v>26</v>
      </c>
      <c r="M3411">
        <v>336465</v>
      </c>
      <c r="N3411">
        <v>1</v>
      </c>
      <c r="O3411" s="3">
        <v>63700</v>
      </c>
      <c r="P3411" s="3">
        <v>25183</v>
      </c>
      <c r="Q3411" s="5">
        <f t="shared" si="159"/>
        <v>53529.411764705888</v>
      </c>
      <c r="R3411" s="5">
        <f t="shared" si="160"/>
        <v>25183</v>
      </c>
      <c r="S3411" s="5">
        <f t="shared" si="161"/>
        <v>28346.411764705888</v>
      </c>
    </row>
    <row r="3412" spans="1:19" hidden="1" x14ac:dyDescent="0.3">
      <c r="A3412">
        <v>170</v>
      </c>
      <c r="B3412" t="s">
        <v>4809</v>
      </c>
      <c r="C3412" t="s">
        <v>5022</v>
      </c>
      <c r="D3412" s="2" t="s">
        <v>5023</v>
      </c>
      <c r="E3412" t="s">
        <v>4455</v>
      </c>
      <c r="F3412" t="s">
        <v>377</v>
      </c>
      <c r="G3412" t="s">
        <v>21</v>
      </c>
      <c r="H3412" t="s">
        <v>378</v>
      </c>
      <c r="I3412" t="s">
        <v>23</v>
      </c>
      <c r="J3412" t="s">
        <v>2459</v>
      </c>
      <c r="K3412" s="2" t="s">
        <v>902</v>
      </c>
      <c r="L3412" t="s">
        <v>26</v>
      </c>
      <c r="M3412">
        <v>336465</v>
      </c>
      <c r="N3412">
        <v>-1</v>
      </c>
      <c r="O3412" s="3">
        <v>-3950</v>
      </c>
      <c r="P3412" s="3">
        <v>1606</v>
      </c>
      <c r="Q3412" s="5">
        <f t="shared" si="159"/>
        <v>-3319.3277310924373</v>
      </c>
      <c r="R3412" s="5">
        <f t="shared" si="160"/>
        <v>-1606</v>
      </c>
      <c r="S3412" s="5">
        <f t="shared" si="161"/>
        <v>-1713.3277310924373</v>
      </c>
    </row>
    <row r="3413" spans="1:19" hidden="1" x14ac:dyDescent="0.3">
      <c r="A3413">
        <v>170</v>
      </c>
      <c r="B3413" t="s">
        <v>4809</v>
      </c>
      <c r="C3413" t="s">
        <v>2525</v>
      </c>
      <c r="D3413" s="2" t="s">
        <v>2526</v>
      </c>
      <c r="E3413" t="s">
        <v>2527</v>
      </c>
      <c r="F3413" t="s">
        <v>377</v>
      </c>
      <c r="G3413" t="s">
        <v>21</v>
      </c>
      <c r="H3413" t="s">
        <v>378</v>
      </c>
      <c r="I3413" t="s">
        <v>23</v>
      </c>
      <c r="J3413" t="s">
        <v>2459</v>
      </c>
      <c r="K3413" s="2" t="s">
        <v>902</v>
      </c>
      <c r="L3413" t="s">
        <v>26</v>
      </c>
      <c r="M3413">
        <v>336465</v>
      </c>
      <c r="N3413">
        <v>-1</v>
      </c>
      <c r="O3413" s="3">
        <v>-6950</v>
      </c>
      <c r="P3413" s="3">
        <v>2964</v>
      </c>
      <c r="Q3413" s="5">
        <f t="shared" si="159"/>
        <v>-5840.3361344537816</v>
      </c>
      <c r="R3413" s="5">
        <f t="shared" si="160"/>
        <v>-2964</v>
      </c>
      <c r="S3413" s="5">
        <f t="shared" si="161"/>
        <v>-2876.3361344537816</v>
      </c>
    </row>
    <row r="3414" spans="1:19" hidden="1" x14ac:dyDescent="0.3">
      <c r="A3414">
        <v>170</v>
      </c>
      <c r="B3414" t="s">
        <v>4809</v>
      </c>
      <c r="C3414" t="s">
        <v>3894</v>
      </c>
      <c r="D3414" s="2" t="s">
        <v>3895</v>
      </c>
      <c r="E3414" t="s">
        <v>2476</v>
      </c>
      <c r="F3414" t="s">
        <v>20</v>
      </c>
      <c r="G3414" t="s">
        <v>21</v>
      </c>
      <c r="H3414" t="s">
        <v>114</v>
      </c>
      <c r="I3414" t="s">
        <v>23</v>
      </c>
      <c r="J3414" t="s">
        <v>49</v>
      </c>
      <c r="K3414" s="2" t="s">
        <v>902</v>
      </c>
      <c r="L3414" t="s">
        <v>26</v>
      </c>
      <c r="M3414">
        <v>336466</v>
      </c>
      <c r="N3414">
        <v>1</v>
      </c>
      <c r="O3414" s="3">
        <v>69950</v>
      </c>
      <c r="P3414" s="3">
        <v>22187</v>
      </c>
      <c r="Q3414" s="5">
        <f t="shared" si="159"/>
        <v>58781.512605042022</v>
      </c>
      <c r="R3414" s="5">
        <f t="shared" si="160"/>
        <v>22187</v>
      </c>
      <c r="S3414" s="5">
        <f t="shared" si="161"/>
        <v>36594.512605042022</v>
      </c>
    </row>
    <row r="3415" spans="1:19" hidden="1" x14ac:dyDescent="0.3">
      <c r="A3415">
        <v>170</v>
      </c>
      <c r="B3415" t="s">
        <v>4809</v>
      </c>
      <c r="C3415" t="s">
        <v>952</v>
      </c>
      <c r="D3415" s="2" t="s">
        <v>953</v>
      </c>
      <c r="E3415" t="s">
        <v>954</v>
      </c>
      <c r="F3415" t="s">
        <v>20</v>
      </c>
      <c r="G3415" t="s">
        <v>21</v>
      </c>
      <c r="H3415" t="s">
        <v>557</v>
      </c>
      <c r="I3415" t="s">
        <v>23</v>
      </c>
      <c r="J3415" t="s">
        <v>40</v>
      </c>
      <c r="K3415" s="2" t="s">
        <v>902</v>
      </c>
      <c r="L3415" t="s">
        <v>26</v>
      </c>
      <c r="M3415">
        <v>336467</v>
      </c>
      <c r="N3415">
        <v>-1</v>
      </c>
      <c r="O3415" s="3">
        <v>-79950</v>
      </c>
      <c r="P3415" s="3">
        <v>26779</v>
      </c>
      <c r="Q3415" s="5">
        <f t="shared" si="159"/>
        <v>-67184.873949579836</v>
      </c>
      <c r="R3415" s="5">
        <f t="shared" si="160"/>
        <v>-26779</v>
      </c>
      <c r="S3415" s="5">
        <f t="shared" si="161"/>
        <v>-40405.873949579836</v>
      </c>
    </row>
    <row r="3416" spans="1:19" hidden="1" x14ac:dyDescent="0.3">
      <c r="A3416">
        <v>170</v>
      </c>
      <c r="B3416" t="s">
        <v>4809</v>
      </c>
      <c r="C3416" t="s">
        <v>2772</v>
      </c>
      <c r="D3416" s="2" t="s">
        <v>2773</v>
      </c>
      <c r="E3416" t="s">
        <v>2771</v>
      </c>
      <c r="F3416" t="s">
        <v>20</v>
      </c>
      <c r="G3416" t="s">
        <v>21</v>
      </c>
      <c r="H3416" t="s">
        <v>57</v>
      </c>
      <c r="I3416" t="s">
        <v>23</v>
      </c>
      <c r="J3416" t="s">
        <v>35</v>
      </c>
      <c r="K3416" s="2" t="s">
        <v>902</v>
      </c>
      <c r="L3416" t="s">
        <v>26</v>
      </c>
      <c r="M3416">
        <v>336467</v>
      </c>
      <c r="N3416">
        <v>1</v>
      </c>
      <c r="O3416" s="3">
        <v>89950</v>
      </c>
      <c r="P3416" s="3">
        <v>29189</v>
      </c>
      <c r="Q3416" s="5">
        <f t="shared" si="159"/>
        <v>75588.23529411765</v>
      </c>
      <c r="R3416" s="5">
        <f t="shared" si="160"/>
        <v>29189</v>
      </c>
      <c r="S3416" s="5">
        <f t="shared" si="161"/>
        <v>46399.23529411765</v>
      </c>
    </row>
    <row r="3417" spans="1:19" hidden="1" x14ac:dyDescent="0.3">
      <c r="A3417">
        <v>170</v>
      </c>
      <c r="B3417" t="s">
        <v>4809</v>
      </c>
      <c r="C3417" t="s">
        <v>5041</v>
      </c>
      <c r="D3417" s="2" t="s">
        <v>5042</v>
      </c>
      <c r="E3417" t="s">
        <v>2255</v>
      </c>
      <c r="F3417" t="s">
        <v>20</v>
      </c>
      <c r="G3417" t="s">
        <v>338</v>
      </c>
      <c r="H3417">
        <v>22318</v>
      </c>
      <c r="I3417" t="s">
        <v>23</v>
      </c>
      <c r="J3417" t="s">
        <v>49</v>
      </c>
      <c r="K3417" s="2" t="s">
        <v>902</v>
      </c>
      <c r="L3417" t="s">
        <v>26</v>
      </c>
      <c r="M3417">
        <v>336468</v>
      </c>
      <c r="N3417">
        <v>1</v>
      </c>
      <c r="O3417" s="3">
        <v>74950</v>
      </c>
      <c r="P3417" s="3">
        <v>23473</v>
      </c>
      <c r="Q3417" s="5">
        <f t="shared" si="159"/>
        <v>62983.193277310929</v>
      </c>
      <c r="R3417" s="5">
        <f t="shared" si="160"/>
        <v>23473</v>
      </c>
      <c r="S3417" s="5">
        <f t="shared" si="161"/>
        <v>39510.193277310929</v>
      </c>
    </row>
    <row r="3418" spans="1:19" hidden="1" x14ac:dyDescent="0.3">
      <c r="A3418">
        <v>170</v>
      </c>
      <c r="B3418" t="s">
        <v>4809</v>
      </c>
      <c r="C3418" t="s">
        <v>5043</v>
      </c>
      <c r="D3418" s="2" t="s">
        <v>5044</v>
      </c>
      <c r="E3418" t="s">
        <v>3061</v>
      </c>
      <c r="F3418" t="s">
        <v>20</v>
      </c>
      <c r="G3418" t="s">
        <v>21</v>
      </c>
      <c r="H3418" t="s">
        <v>2315</v>
      </c>
      <c r="I3418" t="s">
        <v>23</v>
      </c>
      <c r="J3418" t="s">
        <v>49</v>
      </c>
      <c r="K3418" s="2" t="s">
        <v>902</v>
      </c>
      <c r="L3418" t="s">
        <v>26</v>
      </c>
      <c r="M3418">
        <v>336469</v>
      </c>
      <c r="N3418">
        <v>1</v>
      </c>
      <c r="O3418" s="3">
        <v>74950</v>
      </c>
      <c r="P3418" s="3">
        <v>29084</v>
      </c>
      <c r="Q3418" s="5">
        <f t="shared" si="159"/>
        <v>62983.193277310929</v>
      </c>
      <c r="R3418" s="5">
        <f t="shared" si="160"/>
        <v>29084</v>
      </c>
      <c r="S3418" s="5">
        <f t="shared" si="161"/>
        <v>33899.193277310929</v>
      </c>
    </row>
    <row r="3419" spans="1:19" hidden="1" x14ac:dyDescent="0.3">
      <c r="A3419">
        <v>170</v>
      </c>
      <c r="B3419" t="s">
        <v>4809</v>
      </c>
      <c r="C3419" t="s">
        <v>3567</v>
      </c>
      <c r="D3419" s="2" t="s">
        <v>3568</v>
      </c>
      <c r="E3419" t="s">
        <v>2292</v>
      </c>
      <c r="F3419" t="s">
        <v>20</v>
      </c>
      <c r="G3419" t="s">
        <v>338</v>
      </c>
      <c r="H3419">
        <v>23723</v>
      </c>
      <c r="I3419" t="s">
        <v>23</v>
      </c>
      <c r="J3419" t="s">
        <v>40</v>
      </c>
      <c r="K3419" s="2" t="s">
        <v>902</v>
      </c>
      <c r="L3419" t="s">
        <v>26</v>
      </c>
      <c r="M3419">
        <v>336470</v>
      </c>
      <c r="N3419">
        <v>1</v>
      </c>
      <c r="O3419" s="3">
        <v>79990</v>
      </c>
      <c r="P3419" s="3">
        <v>35178</v>
      </c>
      <c r="Q3419" s="5">
        <f t="shared" si="159"/>
        <v>67218.487394957992</v>
      </c>
      <c r="R3419" s="5">
        <f t="shared" si="160"/>
        <v>35178</v>
      </c>
      <c r="S3419" s="5">
        <f t="shared" si="161"/>
        <v>32040.487394957992</v>
      </c>
    </row>
    <row r="3420" spans="1:19" hidden="1" x14ac:dyDescent="0.3">
      <c r="A3420">
        <v>170</v>
      </c>
      <c r="B3420" t="s">
        <v>4809</v>
      </c>
      <c r="C3420" t="s">
        <v>5045</v>
      </c>
      <c r="D3420" s="2" t="s">
        <v>5046</v>
      </c>
      <c r="E3420" t="s">
        <v>1281</v>
      </c>
      <c r="F3420" t="s">
        <v>20</v>
      </c>
      <c r="G3420" t="s">
        <v>21</v>
      </c>
      <c r="H3420" t="s">
        <v>1282</v>
      </c>
      <c r="I3420" t="s">
        <v>23</v>
      </c>
      <c r="J3420" t="s">
        <v>40</v>
      </c>
      <c r="K3420" s="2" t="s">
        <v>999</v>
      </c>
      <c r="L3420" t="s">
        <v>26</v>
      </c>
      <c r="M3420">
        <v>336471</v>
      </c>
      <c r="N3420">
        <v>1</v>
      </c>
      <c r="O3420" s="3">
        <v>49950</v>
      </c>
      <c r="P3420" s="3">
        <v>13922</v>
      </c>
      <c r="Q3420" s="5">
        <f t="shared" si="159"/>
        <v>41974.789915966387</v>
      </c>
      <c r="R3420" s="5">
        <f t="shared" si="160"/>
        <v>13922</v>
      </c>
      <c r="S3420" s="5">
        <f t="shared" si="161"/>
        <v>28052.789915966387</v>
      </c>
    </row>
    <row r="3421" spans="1:19" hidden="1" x14ac:dyDescent="0.3">
      <c r="A3421">
        <v>170</v>
      </c>
      <c r="B3421" t="s">
        <v>4809</v>
      </c>
      <c r="C3421" t="s">
        <v>5047</v>
      </c>
      <c r="D3421" s="2" t="s">
        <v>5048</v>
      </c>
      <c r="E3421" t="s">
        <v>1494</v>
      </c>
      <c r="F3421" t="s">
        <v>20</v>
      </c>
      <c r="G3421" t="s">
        <v>338</v>
      </c>
      <c r="H3421">
        <v>23763</v>
      </c>
      <c r="I3421" t="s">
        <v>23</v>
      </c>
      <c r="J3421" t="s">
        <v>40</v>
      </c>
      <c r="K3421" s="2" t="s">
        <v>999</v>
      </c>
      <c r="L3421" t="s">
        <v>26</v>
      </c>
      <c r="M3421">
        <v>336471</v>
      </c>
      <c r="N3421">
        <v>1</v>
      </c>
      <c r="O3421" s="3">
        <v>50950</v>
      </c>
      <c r="P3421" s="3">
        <v>19813</v>
      </c>
      <c r="Q3421" s="5">
        <f t="shared" si="159"/>
        <v>42815.126050420171</v>
      </c>
      <c r="R3421" s="5">
        <f t="shared" si="160"/>
        <v>19813</v>
      </c>
      <c r="S3421" s="5">
        <f t="shared" si="161"/>
        <v>23002.126050420171</v>
      </c>
    </row>
    <row r="3422" spans="1:19" hidden="1" x14ac:dyDescent="0.3">
      <c r="A3422">
        <v>170</v>
      </c>
      <c r="B3422" t="s">
        <v>4809</v>
      </c>
      <c r="C3422" t="s">
        <v>3281</v>
      </c>
      <c r="D3422" s="2" t="s">
        <v>3282</v>
      </c>
      <c r="E3422" t="s">
        <v>3283</v>
      </c>
      <c r="F3422" t="s">
        <v>20</v>
      </c>
      <c r="G3422" t="s">
        <v>21</v>
      </c>
      <c r="H3422" t="s">
        <v>2494</v>
      </c>
      <c r="I3422" t="s">
        <v>23</v>
      </c>
      <c r="J3422" t="s">
        <v>40</v>
      </c>
      <c r="K3422" s="2" t="s">
        <v>999</v>
      </c>
      <c r="L3422" t="s">
        <v>26</v>
      </c>
      <c r="M3422">
        <v>336472</v>
      </c>
      <c r="N3422">
        <v>1</v>
      </c>
      <c r="O3422" s="3">
        <v>69950</v>
      </c>
      <c r="P3422" s="3">
        <v>23470</v>
      </c>
      <c r="Q3422" s="5">
        <f t="shared" si="159"/>
        <v>58781.512605042022</v>
      </c>
      <c r="R3422" s="5">
        <f t="shared" si="160"/>
        <v>23470</v>
      </c>
      <c r="S3422" s="5">
        <f t="shared" si="161"/>
        <v>35311.512605042022</v>
      </c>
    </row>
    <row r="3423" spans="1:19" hidden="1" x14ac:dyDescent="0.3">
      <c r="A3423">
        <v>170</v>
      </c>
      <c r="B3423" t="s">
        <v>4809</v>
      </c>
      <c r="C3423" t="s">
        <v>1121</v>
      </c>
      <c r="D3423" s="2" t="s">
        <v>1122</v>
      </c>
      <c r="E3423" t="s">
        <v>1123</v>
      </c>
      <c r="F3423" t="s">
        <v>20</v>
      </c>
      <c r="G3423" t="s">
        <v>21</v>
      </c>
      <c r="H3423" t="s">
        <v>1124</v>
      </c>
      <c r="I3423" t="s">
        <v>23</v>
      </c>
      <c r="J3423" t="s">
        <v>24</v>
      </c>
      <c r="K3423" s="2" t="s">
        <v>999</v>
      </c>
      <c r="L3423" t="s">
        <v>26</v>
      </c>
      <c r="M3423">
        <v>336473</v>
      </c>
      <c r="N3423">
        <v>1</v>
      </c>
      <c r="O3423" s="3">
        <v>74950</v>
      </c>
      <c r="P3423" s="3">
        <v>25834</v>
      </c>
      <c r="Q3423" s="5">
        <f t="shared" si="159"/>
        <v>62983.193277310929</v>
      </c>
      <c r="R3423" s="5">
        <f t="shared" si="160"/>
        <v>25834</v>
      </c>
      <c r="S3423" s="5">
        <f t="shared" si="161"/>
        <v>37149.193277310929</v>
      </c>
    </row>
    <row r="3424" spans="1:19" hidden="1" x14ac:dyDescent="0.3">
      <c r="A3424">
        <v>170</v>
      </c>
      <c r="B3424" t="s">
        <v>4809</v>
      </c>
      <c r="C3424" t="s">
        <v>2828</v>
      </c>
      <c r="D3424" s="2" t="s">
        <v>2829</v>
      </c>
      <c r="E3424" t="s">
        <v>1171</v>
      </c>
      <c r="F3424" t="s">
        <v>20</v>
      </c>
      <c r="G3424" t="s">
        <v>21</v>
      </c>
      <c r="H3424" t="s">
        <v>500</v>
      </c>
      <c r="I3424" t="s">
        <v>23</v>
      </c>
      <c r="J3424" t="s">
        <v>40</v>
      </c>
      <c r="K3424" s="2" t="s">
        <v>999</v>
      </c>
      <c r="L3424" t="s">
        <v>26</v>
      </c>
      <c r="M3424">
        <v>336474</v>
      </c>
      <c r="N3424">
        <v>1</v>
      </c>
      <c r="O3424" s="3">
        <v>50950</v>
      </c>
      <c r="P3424" s="3">
        <v>17416</v>
      </c>
      <c r="Q3424" s="5">
        <f t="shared" si="159"/>
        <v>42815.126050420171</v>
      </c>
      <c r="R3424" s="5">
        <f t="shared" si="160"/>
        <v>17416</v>
      </c>
      <c r="S3424" s="5">
        <f t="shared" si="161"/>
        <v>25399.126050420171</v>
      </c>
    </row>
    <row r="3425" spans="1:19" hidden="1" x14ac:dyDescent="0.3">
      <c r="A3425">
        <v>170</v>
      </c>
      <c r="B3425" t="s">
        <v>4809</v>
      </c>
      <c r="C3425" t="s">
        <v>3234</v>
      </c>
      <c r="D3425" s="2" t="s">
        <v>3235</v>
      </c>
      <c r="E3425" t="s">
        <v>1330</v>
      </c>
      <c r="F3425" t="s">
        <v>20</v>
      </c>
      <c r="G3425" t="s">
        <v>338</v>
      </c>
      <c r="H3425">
        <v>25133</v>
      </c>
      <c r="I3425" t="s">
        <v>23</v>
      </c>
      <c r="J3425" t="s">
        <v>35</v>
      </c>
      <c r="K3425" s="2" t="s">
        <v>999</v>
      </c>
      <c r="L3425" t="s">
        <v>26</v>
      </c>
      <c r="M3425">
        <v>336475</v>
      </c>
      <c r="N3425">
        <v>1</v>
      </c>
      <c r="O3425" s="3">
        <v>74950</v>
      </c>
      <c r="P3425" s="3">
        <v>21167</v>
      </c>
      <c r="Q3425" s="5">
        <f t="shared" si="159"/>
        <v>62983.193277310929</v>
      </c>
      <c r="R3425" s="5">
        <f t="shared" si="160"/>
        <v>21167</v>
      </c>
      <c r="S3425" s="5">
        <f t="shared" si="161"/>
        <v>41816.193277310929</v>
      </c>
    </row>
    <row r="3426" spans="1:19" hidden="1" x14ac:dyDescent="0.3">
      <c r="A3426">
        <v>170</v>
      </c>
      <c r="B3426" t="s">
        <v>4809</v>
      </c>
      <c r="C3426" t="s">
        <v>5049</v>
      </c>
      <c r="D3426" s="2" t="s">
        <v>5050</v>
      </c>
      <c r="E3426" t="s">
        <v>1171</v>
      </c>
      <c r="F3426" t="s">
        <v>20</v>
      </c>
      <c r="G3426" t="s">
        <v>21</v>
      </c>
      <c r="H3426" t="s">
        <v>500</v>
      </c>
      <c r="I3426" t="s">
        <v>23</v>
      </c>
      <c r="J3426" t="s">
        <v>40</v>
      </c>
      <c r="K3426" s="2" t="s">
        <v>999</v>
      </c>
      <c r="L3426" t="s">
        <v>26</v>
      </c>
      <c r="M3426">
        <v>336476</v>
      </c>
      <c r="N3426">
        <v>1</v>
      </c>
      <c r="O3426" s="3">
        <v>59950</v>
      </c>
      <c r="P3426" s="3">
        <v>17416</v>
      </c>
      <c r="Q3426" s="5">
        <f t="shared" si="159"/>
        <v>50378.151260504201</v>
      </c>
      <c r="R3426" s="5">
        <f t="shared" si="160"/>
        <v>17416</v>
      </c>
      <c r="S3426" s="5">
        <f t="shared" si="161"/>
        <v>32962.151260504201</v>
      </c>
    </row>
    <row r="3427" spans="1:19" hidden="1" x14ac:dyDescent="0.3">
      <c r="A3427">
        <v>170</v>
      </c>
      <c r="B3427" t="s">
        <v>4809</v>
      </c>
      <c r="C3427" t="s">
        <v>2209</v>
      </c>
      <c r="D3427" s="2" t="s">
        <v>2210</v>
      </c>
      <c r="E3427" t="s">
        <v>356</v>
      </c>
      <c r="F3427" t="s">
        <v>20</v>
      </c>
      <c r="G3427" t="s">
        <v>21</v>
      </c>
      <c r="H3427" t="s">
        <v>357</v>
      </c>
      <c r="I3427" t="s">
        <v>23</v>
      </c>
      <c r="J3427" t="s">
        <v>49</v>
      </c>
      <c r="K3427" s="2" t="s">
        <v>999</v>
      </c>
      <c r="L3427" t="s">
        <v>26</v>
      </c>
      <c r="M3427">
        <v>336477</v>
      </c>
      <c r="N3427">
        <v>1</v>
      </c>
      <c r="O3427" s="3">
        <v>44990</v>
      </c>
      <c r="P3427" s="3">
        <v>27671</v>
      </c>
      <c r="Q3427" s="5">
        <f t="shared" si="159"/>
        <v>37806.722689075636</v>
      </c>
      <c r="R3427" s="5">
        <f t="shared" si="160"/>
        <v>27671</v>
      </c>
      <c r="S3427" s="5">
        <f t="shared" si="161"/>
        <v>10135.722689075636</v>
      </c>
    </row>
    <row r="3428" spans="1:19" hidden="1" x14ac:dyDescent="0.3">
      <c r="A3428">
        <v>170</v>
      </c>
      <c r="B3428" t="s">
        <v>4809</v>
      </c>
      <c r="C3428">
        <v>1687976791</v>
      </c>
      <c r="D3428" s="2" t="s">
        <v>200</v>
      </c>
      <c r="E3428" t="s">
        <v>201</v>
      </c>
      <c r="F3428" t="s">
        <v>201</v>
      </c>
      <c r="G3428" t="s">
        <v>202</v>
      </c>
      <c r="H3428" t="s">
        <v>202</v>
      </c>
      <c r="I3428" t="s">
        <v>23</v>
      </c>
      <c r="J3428" t="s">
        <v>202</v>
      </c>
      <c r="K3428" s="2" t="s">
        <v>999</v>
      </c>
      <c r="L3428" t="s">
        <v>26</v>
      </c>
      <c r="M3428">
        <v>336477</v>
      </c>
      <c r="N3428">
        <v>1</v>
      </c>
      <c r="O3428" s="3">
        <v>3200</v>
      </c>
      <c r="P3428">
        <v>1</v>
      </c>
      <c r="Q3428" s="5">
        <f t="shared" si="159"/>
        <v>2689.0756302521008</v>
      </c>
      <c r="R3428" s="5">
        <f t="shared" si="160"/>
        <v>1</v>
      </c>
      <c r="S3428" s="5">
        <f t="shared" si="161"/>
        <v>2688.0756302521008</v>
      </c>
    </row>
    <row r="3429" spans="1:19" hidden="1" x14ac:dyDescent="0.3">
      <c r="A3429">
        <v>170</v>
      </c>
      <c r="B3429" t="s">
        <v>4809</v>
      </c>
      <c r="C3429" t="s">
        <v>4803</v>
      </c>
      <c r="D3429" s="2" t="s">
        <v>4804</v>
      </c>
      <c r="E3429" t="s">
        <v>3486</v>
      </c>
      <c r="F3429" t="s">
        <v>20</v>
      </c>
      <c r="G3429" t="s">
        <v>21</v>
      </c>
      <c r="H3429" t="s">
        <v>247</v>
      </c>
      <c r="I3429" t="s">
        <v>23</v>
      </c>
      <c r="J3429" t="s">
        <v>40</v>
      </c>
      <c r="K3429" s="2" t="s">
        <v>999</v>
      </c>
      <c r="L3429" t="s">
        <v>26</v>
      </c>
      <c r="M3429">
        <v>336478</v>
      </c>
      <c r="N3429">
        <v>1</v>
      </c>
      <c r="O3429" s="3">
        <v>59950</v>
      </c>
      <c r="P3429" s="3">
        <v>16103</v>
      </c>
      <c r="Q3429" s="5">
        <f t="shared" si="159"/>
        <v>50378.151260504201</v>
      </c>
      <c r="R3429" s="5">
        <f t="shared" si="160"/>
        <v>16103</v>
      </c>
      <c r="S3429" s="5">
        <f t="shared" si="161"/>
        <v>34275.151260504201</v>
      </c>
    </row>
    <row r="3430" spans="1:19" hidden="1" x14ac:dyDescent="0.3">
      <c r="A3430">
        <v>170</v>
      </c>
      <c r="B3430" t="s">
        <v>4809</v>
      </c>
      <c r="C3430" t="s">
        <v>3935</v>
      </c>
      <c r="D3430" s="2" t="s">
        <v>3936</v>
      </c>
      <c r="E3430" t="s">
        <v>1330</v>
      </c>
      <c r="F3430" t="s">
        <v>20</v>
      </c>
      <c r="G3430" t="s">
        <v>338</v>
      </c>
      <c r="H3430">
        <v>25133</v>
      </c>
      <c r="I3430" t="s">
        <v>23</v>
      </c>
      <c r="J3430" t="s">
        <v>35</v>
      </c>
      <c r="K3430" s="2" t="s">
        <v>999</v>
      </c>
      <c r="L3430" t="s">
        <v>26</v>
      </c>
      <c r="M3430">
        <v>336479</v>
      </c>
      <c r="N3430">
        <v>1</v>
      </c>
      <c r="O3430" s="3">
        <v>74950</v>
      </c>
      <c r="P3430" s="3">
        <v>21167</v>
      </c>
      <c r="Q3430" s="5">
        <f t="shared" si="159"/>
        <v>62983.193277310929</v>
      </c>
      <c r="R3430" s="5">
        <f t="shared" si="160"/>
        <v>21167</v>
      </c>
      <c r="S3430" s="5">
        <f t="shared" si="161"/>
        <v>41816.193277310929</v>
      </c>
    </row>
    <row r="3431" spans="1:19" hidden="1" x14ac:dyDescent="0.3">
      <c r="A3431">
        <v>170</v>
      </c>
      <c r="B3431" t="s">
        <v>4809</v>
      </c>
      <c r="C3431" t="s">
        <v>5051</v>
      </c>
      <c r="D3431" s="2" t="s">
        <v>5052</v>
      </c>
      <c r="E3431" t="s">
        <v>877</v>
      </c>
      <c r="F3431" t="s">
        <v>20</v>
      </c>
      <c r="G3431" t="s">
        <v>21</v>
      </c>
      <c r="H3431" t="s">
        <v>433</v>
      </c>
      <c r="I3431" t="s">
        <v>23</v>
      </c>
      <c r="J3431" t="s">
        <v>407</v>
      </c>
      <c r="K3431" s="2" t="s">
        <v>999</v>
      </c>
      <c r="L3431" t="s">
        <v>26</v>
      </c>
      <c r="M3431">
        <v>336480</v>
      </c>
      <c r="N3431">
        <v>1</v>
      </c>
      <c r="O3431" s="3">
        <v>39990</v>
      </c>
      <c r="P3431" s="3">
        <v>24998</v>
      </c>
      <c r="Q3431" s="5">
        <f t="shared" si="159"/>
        <v>33605.042016806721</v>
      </c>
      <c r="R3431" s="5">
        <f t="shared" si="160"/>
        <v>24998</v>
      </c>
      <c r="S3431" s="5">
        <f t="shared" si="161"/>
        <v>8607.0420168067212</v>
      </c>
    </row>
    <row r="3432" spans="1:19" hidden="1" x14ac:dyDescent="0.3">
      <c r="A3432">
        <v>170</v>
      </c>
      <c r="B3432" t="s">
        <v>4809</v>
      </c>
      <c r="C3432" t="s">
        <v>5053</v>
      </c>
      <c r="D3432" s="2" t="s">
        <v>5054</v>
      </c>
      <c r="E3432" t="s">
        <v>4830</v>
      </c>
      <c r="F3432" t="s">
        <v>20</v>
      </c>
      <c r="G3432" t="s">
        <v>338</v>
      </c>
      <c r="H3432">
        <v>24239</v>
      </c>
      <c r="I3432" t="s">
        <v>23</v>
      </c>
      <c r="J3432" t="s">
        <v>95</v>
      </c>
      <c r="K3432" s="2" t="s">
        <v>999</v>
      </c>
      <c r="L3432" t="s">
        <v>26</v>
      </c>
      <c r="M3432">
        <v>336481</v>
      </c>
      <c r="N3432">
        <v>1</v>
      </c>
      <c r="O3432" s="3">
        <v>59950</v>
      </c>
      <c r="P3432" s="3">
        <v>18677</v>
      </c>
      <c r="Q3432" s="5">
        <f t="shared" si="159"/>
        <v>50378.151260504201</v>
      </c>
      <c r="R3432" s="5">
        <f t="shared" si="160"/>
        <v>18677</v>
      </c>
      <c r="S3432" s="5">
        <f t="shared" si="161"/>
        <v>31701.151260504201</v>
      </c>
    </row>
    <row r="3433" spans="1:19" hidden="1" x14ac:dyDescent="0.3">
      <c r="A3433">
        <v>170</v>
      </c>
      <c r="B3433" t="s">
        <v>4809</v>
      </c>
      <c r="C3433" t="s">
        <v>5037</v>
      </c>
      <c r="D3433" s="2" t="s">
        <v>5038</v>
      </c>
      <c r="E3433" t="s">
        <v>4346</v>
      </c>
      <c r="F3433" t="s">
        <v>20</v>
      </c>
      <c r="G3433" t="s">
        <v>21</v>
      </c>
      <c r="H3433" t="s">
        <v>1755</v>
      </c>
      <c r="I3433" t="s">
        <v>23</v>
      </c>
      <c r="J3433" t="s">
        <v>35</v>
      </c>
      <c r="K3433" s="2" t="s">
        <v>999</v>
      </c>
      <c r="L3433" t="s">
        <v>26</v>
      </c>
      <c r="M3433">
        <v>336482</v>
      </c>
      <c r="N3433">
        <v>-1</v>
      </c>
      <c r="O3433" s="3">
        <v>-84950</v>
      </c>
      <c r="P3433" s="3">
        <v>28298</v>
      </c>
      <c r="Q3433" s="5">
        <f t="shared" si="159"/>
        <v>-71386.554621848743</v>
      </c>
      <c r="R3433" s="5">
        <f t="shared" si="160"/>
        <v>-28298</v>
      </c>
      <c r="S3433" s="5">
        <f t="shared" si="161"/>
        <v>-43088.554621848743</v>
      </c>
    </row>
    <row r="3434" spans="1:19" hidden="1" x14ac:dyDescent="0.3">
      <c r="A3434">
        <v>170</v>
      </c>
      <c r="B3434" t="s">
        <v>4809</v>
      </c>
      <c r="C3434" t="s">
        <v>3257</v>
      </c>
      <c r="D3434" s="2" t="s">
        <v>3258</v>
      </c>
      <c r="E3434" t="s">
        <v>2433</v>
      </c>
      <c r="F3434" t="s">
        <v>20</v>
      </c>
      <c r="G3434" t="s">
        <v>338</v>
      </c>
      <c r="H3434">
        <v>24722</v>
      </c>
      <c r="I3434" t="s">
        <v>23</v>
      </c>
      <c r="J3434" t="s">
        <v>95</v>
      </c>
      <c r="K3434" s="2" t="s">
        <v>999</v>
      </c>
      <c r="L3434" t="s">
        <v>26</v>
      </c>
      <c r="M3434">
        <v>336482</v>
      </c>
      <c r="N3434">
        <v>1</v>
      </c>
      <c r="O3434" s="3">
        <v>89950</v>
      </c>
      <c r="P3434" s="3">
        <v>30987</v>
      </c>
      <c r="Q3434" s="5">
        <f t="shared" si="159"/>
        <v>75588.23529411765</v>
      </c>
      <c r="R3434" s="5">
        <f t="shared" si="160"/>
        <v>30987</v>
      </c>
      <c r="S3434" s="5">
        <f t="shared" si="161"/>
        <v>44601.23529411765</v>
      </c>
    </row>
    <row r="3435" spans="1:19" hidden="1" x14ac:dyDescent="0.3">
      <c r="A3435">
        <v>170</v>
      </c>
      <c r="B3435" t="s">
        <v>4809</v>
      </c>
      <c r="C3435" t="s">
        <v>2886</v>
      </c>
      <c r="D3435" s="2" t="s">
        <v>2887</v>
      </c>
      <c r="E3435" t="s">
        <v>2888</v>
      </c>
      <c r="F3435" t="s">
        <v>20</v>
      </c>
      <c r="G3435" t="s">
        <v>21</v>
      </c>
      <c r="H3435" t="s">
        <v>2593</v>
      </c>
      <c r="I3435" t="s">
        <v>23</v>
      </c>
      <c r="J3435" t="s">
        <v>35</v>
      </c>
      <c r="K3435" s="2" t="s">
        <v>999</v>
      </c>
      <c r="L3435" t="s">
        <v>26</v>
      </c>
      <c r="M3435">
        <v>336483</v>
      </c>
      <c r="N3435">
        <v>1</v>
      </c>
      <c r="O3435" s="3">
        <v>99950</v>
      </c>
      <c r="P3435" s="3">
        <v>38102</v>
      </c>
      <c r="Q3435" s="5">
        <f t="shared" si="159"/>
        <v>83991.596638655465</v>
      </c>
      <c r="R3435" s="5">
        <f t="shared" si="160"/>
        <v>38102</v>
      </c>
      <c r="S3435" s="5">
        <f t="shared" si="161"/>
        <v>45889.596638655465</v>
      </c>
    </row>
    <row r="3436" spans="1:19" hidden="1" x14ac:dyDescent="0.3">
      <c r="A3436">
        <v>170</v>
      </c>
      <c r="B3436" t="s">
        <v>4809</v>
      </c>
      <c r="C3436" t="s">
        <v>4950</v>
      </c>
      <c r="D3436" s="2" t="s">
        <v>4951</v>
      </c>
      <c r="E3436" t="s">
        <v>1421</v>
      </c>
      <c r="F3436" t="s">
        <v>20</v>
      </c>
      <c r="G3436" t="s">
        <v>21</v>
      </c>
      <c r="H3436" t="s">
        <v>1422</v>
      </c>
      <c r="I3436" t="s">
        <v>23</v>
      </c>
      <c r="J3436" t="s">
        <v>49</v>
      </c>
      <c r="K3436" s="2" t="s">
        <v>999</v>
      </c>
      <c r="L3436" t="s">
        <v>26</v>
      </c>
      <c r="M3436">
        <v>336484</v>
      </c>
      <c r="N3436">
        <v>1</v>
      </c>
      <c r="O3436" s="3">
        <v>74950</v>
      </c>
      <c r="P3436" s="3">
        <v>25183</v>
      </c>
      <c r="Q3436" s="5">
        <f t="shared" si="159"/>
        <v>62983.193277310929</v>
      </c>
      <c r="R3436" s="5">
        <f t="shared" si="160"/>
        <v>25183</v>
      </c>
      <c r="S3436" s="5">
        <f t="shared" si="161"/>
        <v>37800.193277310929</v>
      </c>
    </row>
    <row r="3437" spans="1:19" hidden="1" x14ac:dyDescent="0.3">
      <c r="A3437">
        <v>170</v>
      </c>
      <c r="B3437" t="s">
        <v>4809</v>
      </c>
      <c r="C3437" t="s">
        <v>2395</v>
      </c>
      <c r="D3437" s="2" t="s">
        <v>2396</v>
      </c>
      <c r="E3437" t="s">
        <v>425</v>
      </c>
      <c r="F3437" t="s">
        <v>20</v>
      </c>
      <c r="G3437" t="s">
        <v>21</v>
      </c>
      <c r="H3437" t="s">
        <v>22</v>
      </c>
      <c r="I3437" t="s">
        <v>23</v>
      </c>
      <c r="J3437" t="s">
        <v>24</v>
      </c>
      <c r="K3437" s="2" t="s">
        <v>999</v>
      </c>
      <c r="L3437" t="s">
        <v>26</v>
      </c>
      <c r="M3437">
        <v>336485</v>
      </c>
      <c r="N3437">
        <v>1</v>
      </c>
      <c r="O3437" s="3">
        <v>79950</v>
      </c>
      <c r="P3437" s="3">
        <v>27848</v>
      </c>
      <c r="Q3437" s="5">
        <f t="shared" si="159"/>
        <v>67184.873949579836</v>
      </c>
      <c r="R3437" s="5">
        <f t="shared" si="160"/>
        <v>27848</v>
      </c>
      <c r="S3437" s="5">
        <f t="shared" si="161"/>
        <v>39336.873949579836</v>
      </c>
    </row>
    <row r="3438" spans="1:19" hidden="1" x14ac:dyDescent="0.3">
      <c r="A3438">
        <v>170</v>
      </c>
      <c r="B3438" t="s">
        <v>4809</v>
      </c>
      <c r="C3438" t="s">
        <v>2830</v>
      </c>
      <c r="D3438" s="2" t="s">
        <v>2831</v>
      </c>
      <c r="E3438" t="s">
        <v>1330</v>
      </c>
      <c r="F3438" t="s">
        <v>20</v>
      </c>
      <c r="G3438" t="s">
        <v>338</v>
      </c>
      <c r="H3438">
        <v>25133</v>
      </c>
      <c r="I3438" t="s">
        <v>23</v>
      </c>
      <c r="J3438" t="s">
        <v>35</v>
      </c>
      <c r="K3438" s="2" t="s">
        <v>999</v>
      </c>
      <c r="L3438" t="s">
        <v>26</v>
      </c>
      <c r="M3438">
        <v>336486</v>
      </c>
      <c r="N3438">
        <v>1</v>
      </c>
      <c r="O3438" s="3">
        <v>74950</v>
      </c>
      <c r="P3438" s="3">
        <v>21167</v>
      </c>
      <c r="Q3438" s="5">
        <f t="shared" si="159"/>
        <v>62983.193277310929</v>
      </c>
      <c r="R3438" s="5">
        <f t="shared" si="160"/>
        <v>21167</v>
      </c>
      <c r="S3438" s="5">
        <f t="shared" si="161"/>
        <v>41816.193277310929</v>
      </c>
    </row>
    <row r="3439" spans="1:19" hidden="1" x14ac:dyDescent="0.3">
      <c r="A3439">
        <v>170</v>
      </c>
      <c r="B3439" t="s">
        <v>4809</v>
      </c>
      <c r="C3439" t="s">
        <v>4713</v>
      </c>
      <c r="D3439" s="2" t="s">
        <v>4714</v>
      </c>
      <c r="E3439" t="s">
        <v>4715</v>
      </c>
      <c r="F3439" t="s">
        <v>377</v>
      </c>
      <c r="G3439" t="s">
        <v>21</v>
      </c>
      <c r="H3439" t="s">
        <v>378</v>
      </c>
      <c r="I3439" t="s">
        <v>23</v>
      </c>
      <c r="J3439" t="s">
        <v>379</v>
      </c>
      <c r="K3439" s="2" t="s">
        <v>999</v>
      </c>
      <c r="L3439" t="s">
        <v>26</v>
      </c>
      <c r="M3439">
        <v>336487</v>
      </c>
      <c r="N3439">
        <v>1</v>
      </c>
      <c r="O3439" s="3">
        <v>5450</v>
      </c>
      <c r="P3439" s="3">
        <v>2204</v>
      </c>
      <c r="Q3439" s="5">
        <f t="shared" si="159"/>
        <v>4579.8319327731097</v>
      </c>
      <c r="R3439" s="5">
        <f t="shared" si="160"/>
        <v>2204</v>
      </c>
      <c r="S3439" s="5">
        <f t="shared" si="161"/>
        <v>2375.8319327731097</v>
      </c>
    </row>
    <row r="3440" spans="1:19" hidden="1" x14ac:dyDescent="0.3">
      <c r="A3440">
        <v>170</v>
      </c>
      <c r="B3440" t="s">
        <v>4809</v>
      </c>
      <c r="C3440" t="s">
        <v>3870</v>
      </c>
      <c r="D3440" s="2" t="s">
        <v>3871</v>
      </c>
      <c r="E3440" t="s">
        <v>3424</v>
      </c>
      <c r="F3440" t="s">
        <v>20</v>
      </c>
      <c r="G3440" t="s">
        <v>338</v>
      </c>
      <c r="H3440">
        <v>23709</v>
      </c>
      <c r="I3440" t="s">
        <v>23</v>
      </c>
      <c r="J3440" t="s">
        <v>40</v>
      </c>
      <c r="K3440" s="2" t="s">
        <v>999</v>
      </c>
      <c r="L3440" t="s">
        <v>26</v>
      </c>
      <c r="M3440">
        <v>336488</v>
      </c>
      <c r="N3440">
        <v>1</v>
      </c>
      <c r="O3440" s="3">
        <v>67950</v>
      </c>
      <c r="P3440" s="3">
        <v>27728</v>
      </c>
      <c r="Q3440" s="5">
        <f t="shared" si="159"/>
        <v>57100.840336134454</v>
      </c>
      <c r="R3440" s="5">
        <f t="shared" si="160"/>
        <v>27728</v>
      </c>
      <c r="S3440" s="5">
        <f t="shared" si="161"/>
        <v>29372.840336134454</v>
      </c>
    </row>
    <row r="3441" spans="1:19" hidden="1" x14ac:dyDescent="0.3">
      <c r="A3441">
        <v>170</v>
      </c>
      <c r="B3441" t="s">
        <v>4809</v>
      </c>
      <c r="C3441" t="s">
        <v>5055</v>
      </c>
      <c r="D3441" s="2" t="s">
        <v>5056</v>
      </c>
      <c r="E3441" t="s">
        <v>3328</v>
      </c>
      <c r="F3441" t="s">
        <v>20</v>
      </c>
      <c r="G3441" t="s">
        <v>338</v>
      </c>
      <c r="H3441">
        <v>23720</v>
      </c>
      <c r="I3441" t="s">
        <v>23</v>
      </c>
      <c r="J3441" t="s">
        <v>40</v>
      </c>
      <c r="K3441" s="2" t="s">
        <v>999</v>
      </c>
      <c r="L3441" t="s">
        <v>26</v>
      </c>
      <c r="M3441">
        <v>336489</v>
      </c>
      <c r="N3441">
        <v>1</v>
      </c>
      <c r="O3441" s="3">
        <v>59950</v>
      </c>
      <c r="P3441" s="3">
        <v>19579</v>
      </c>
      <c r="Q3441" s="5">
        <f t="shared" si="159"/>
        <v>50378.151260504201</v>
      </c>
      <c r="R3441" s="5">
        <f t="shared" si="160"/>
        <v>19579</v>
      </c>
      <c r="S3441" s="5">
        <f t="shared" si="161"/>
        <v>30799.151260504201</v>
      </c>
    </row>
    <row r="3442" spans="1:19" hidden="1" x14ac:dyDescent="0.3">
      <c r="A3442">
        <v>170</v>
      </c>
      <c r="B3442" t="s">
        <v>4809</v>
      </c>
      <c r="C3442" t="s">
        <v>4572</v>
      </c>
      <c r="D3442" s="2" t="s">
        <v>4573</v>
      </c>
      <c r="E3442" t="s">
        <v>4574</v>
      </c>
      <c r="F3442" t="s">
        <v>20</v>
      </c>
      <c r="G3442" t="s">
        <v>21</v>
      </c>
      <c r="H3442" t="s">
        <v>3028</v>
      </c>
      <c r="I3442" t="s">
        <v>23</v>
      </c>
      <c r="J3442" t="s">
        <v>35</v>
      </c>
      <c r="K3442" s="2" t="s">
        <v>999</v>
      </c>
      <c r="L3442" t="s">
        <v>26</v>
      </c>
      <c r="M3442">
        <v>336490</v>
      </c>
      <c r="N3442">
        <v>1</v>
      </c>
      <c r="O3442" s="3">
        <v>99950</v>
      </c>
      <c r="P3442" s="3">
        <v>53748</v>
      </c>
      <c r="Q3442" s="5">
        <f t="shared" si="159"/>
        <v>83991.596638655465</v>
      </c>
      <c r="R3442" s="5">
        <f t="shared" si="160"/>
        <v>53748</v>
      </c>
      <c r="S3442" s="5">
        <f t="shared" si="161"/>
        <v>30243.596638655465</v>
      </c>
    </row>
    <row r="3443" spans="1:19" hidden="1" x14ac:dyDescent="0.3">
      <c r="A3443">
        <v>170</v>
      </c>
      <c r="B3443" t="s">
        <v>4809</v>
      </c>
      <c r="C3443" t="s">
        <v>1172</v>
      </c>
      <c r="D3443" s="2" t="s">
        <v>1173</v>
      </c>
      <c r="E3443" t="s">
        <v>1174</v>
      </c>
      <c r="F3443" t="s">
        <v>20</v>
      </c>
      <c r="G3443" t="s">
        <v>21</v>
      </c>
      <c r="H3443" t="s">
        <v>272</v>
      </c>
      <c r="I3443" t="s">
        <v>23</v>
      </c>
      <c r="J3443" t="s">
        <v>40</v>
      </c>
      <c r="K3443" s="2" t="s">
        <v>999</v>
      </c>
      <c r="L3443" t="s">
        <v>26</v>
      </c>
      <c r="M3443">
        <v>336491</v>
      </c>
      <c r="N3443">
        <v>-1</v>
      </c>
      <c r="O3443" s="3">
        <v>-74950</v>
      </c>
      <c r="P3443" s="3">
        <v>25136</v>
      </c>
      <c r="Q3443" s="5">
        <f t="shared" si="159"/>
        <v>-62983.193277310929</v>
      </c>
      <c r="R3443" s="5">
        <f t="shared" si="160"/>
        <v>-25136</v>
      </c>
      <c r="S3443" s="5">
        <f t="shared" si="161"/>
        <v>-37847.193277310929</v>
      </c>
    </row>
    <row r="3444" spans="1:19" hidden="1" x14ac:dyDescent="0.3">
      <c r="A3444">
        <v>170</v>
      </c>
      <c r="B3444" t="s">
        <v>4809</v>
      </c>
      <c r="C3444" t="s">
        <v>5057</v>
      </c>
      <c r="D3444" s="2" t="s">
        <v>5058</v>
      </c>
      <c r="E3444" t="s">
        <v>3666</v>
      </c>
      <c r="F3444" t="s">
        <v>20</v>
      </c>
      <c r="G3444" t="s">
        <v>338</v>
      </c>
      <c r="H3444">
        <v>24316</v>
      </c>
      <c r="I3444" t="s">
        <v>23</v>
      </c>
      <c r="J3444" t="s">
        <v>49</v>
      </c>
      <c r="K3444" s="2" t="s">
        <v>999</v>
      </c>
      <c r="L3444" t="s">
        <v>26</v>
      </c>
      <c r="M3444">
        <v>336491</v>
      </c>
      <c r="N3444">
        <v>1</v>
      </c>
      <c r="O3444" s="3">
        <v>74951</v>
      </c>
      <c r="P3444" s="3">
        <v>23473</v>
      </c>
      <c r="Q3444" s="5">
        <f t="shared" si="159"/>
        <v>62984.033613445383</v>
      </c>
      <c r="R3444" s="5">
        <f t="shared" si="160"/>
        <v>23473</v>
      </c>
      <c r="S3444" s="5">
        <f t="shared" si="161"/>
        <v>39511.033613445383</v>
      </c>
    </row>
    <row r="3445" spans="1:19" hidden="1" x14ac:dyDescent="0.3">
      <c r="A3445">
        <v>170</v>
      </c>
      <c r="B3445" t="s">
        <v>4809</v>
      </c>
      <c r="C3445" t="s">
        <v>4561</v>
      </c>
      <c r="D3445" s="2" t="s">
        <v>4562</v>
      </c>
      <c r="E3445" t="s">
        <v>3345</v>
      </c>
      <c r="F3445" t="s">
        <v>20</v>
      </c>
      <c r="G3445" t="s">
        <v>338</v>
      </c>
      <c r="H3445">
        <v>25354</v>
      </c>
      <c r="I3445" t="s">
        <v>23</v>
      </c>
      <c r="J3445" t="s">
        <v>35</v>
      </c>
      <c r="K3445" s="2" t="s">
        <v>999</v>
      </c>
      <c r="L3445" t="s">
        <v>26</v>
      </c>
      <c r="M3445">
        <v>336492</v>
      </c>
      <c r="N3445">
        <v>1</v>
      </c>
      <c r="O3445" s="3">
        <v>69950</v>
      </c>
      <c r="P3445" s="3">
        <v>21167</v>
      </c>
      <c r="Q3445" s="5">
        <f t="shared" si="159"/>
        <v>58781.512605042022</v>
      </c>
      <c r="R3445" s="5">
        <f t="shared" si="160"/>
        <v>21167</v>
      </c>
      <c r="S3445" s="5">
        <f t="shared" si="161"/>
        <v>37614.512605042022</v>
      </c>
    </row>
    <row r="3446" spans="1:19" hidden="1" x14ac:dyDescent="0.3">
      <c r="A3446">
        <v>170</v>
      </c>
      <c r="B3446" t="s">
        <v>4809</v>
      </c>
      <c r="C3446" t="s">
        <v>1273</v>
      </c>
      <c r="D3446" s="2" t="s">
        <v>1274</v>
      </c>
      <c r="E3446" t="s">
        <v>717</v>
      </c>
      <c r="F3446" t="s">
        <v>20</v>
      </c>
      <c r="G3446" t="s">
        <v>21</v>
      </c>
      <c r="H3446" t="s">
        <v>718</v>
      </c>
      <c r="I3446" t="s">
        <v>23</v>
      </c>
      <c r="J3446" t="s">
        <v>49</v>
      </c>
      <c r="K3446" s="2" t="s">
        <v>999</v>
      </c>
      <c r="L3446" t="s">
        <v>26</v>
      </c>
      <c r="M3446">
        <v>336493</v>
      </c>
      <c r="N3446">
        <v>1</v>
      </c>
      <c r="O3446" s="3">
        <v>39990</v>
      </c>
      <c r="P3446" s="3">
        <v>26655</v>
      </c>
      <c r="Q3446" s="5">
        <f t="shared" si="159"/>
        <v>33605.042016806721</v>
      </c>
      <c r="R3446" s="5">
        <f t="shared" si="160"/>
        <v>26655</v>
      </c>
      <c r="S3446" s="5">
        <f t="shared" si="161"/>
        <v>6950.0420168067212</v>
      </c>
    </row>
    <row r="3447" spans="1:19" hidden="1" x14ac:dyDescent="0.3">
      <c r="A3447">
        <v>170</v>
      </c>
      <c r="B3447" t="s">
        <v>4809</v>
      </c>
      <c r="C3447" t="s">
        <v>2525</v>
      </c>
      <c r="D3447" s="2" t="s">
        <v>2526</v>
      </c>
      <c r="E3447" t="s">
        <v>2527</v>
      </c>
      <c r="F3447" t="s">
        <v>377</v>
      </c>
      <c r="G3447" t="s">
        <v>21</v>
      </c>
      <c r="H3447" t="s">
        <v>378</v>
      </c>
      <c r="I3447" t="s">
        <v>23</v>
      </c>
      <c r="J3447" t="s">
        <v>2459</v>
      </c>
      <c r="K3447" s="2" t="s">
        <v>999</v>
      </c>
      <c r="L3447" t="s">
        <v>26</v>
      </c>
      <c r="M3447">
        <v>336494</v>
      </c>
      <c r="N3447">
        <v>1</v>
      </c>
      <c r="O3447" s="3">
        <v>6950</v>
      </c>
      <c r="P3447" s="3">
        <v>2964</v>
      </c>
      <c r="Q3447" s="5">
        <f t="shared" si="159"/>
        <v>5840.3361344537816</v>
      </c>
      <c r="R3447" s="5">
        <f t="shared" si="160"/>
        <v>2964</v>
      </c>
      <c r="S3447" s="5">
        <f t="shared" si="161"/>
        <v>2876.3361344537816</v>
      </c>
    </row>
    <row r="3448" spans="1:19" hidden="1" x14ac:dyDescent="0.3">
      <c r="A3448">
        <v>170</v>
      </c>
      <c r="B3448" t="s">
        <v>4809</v>
      </c>
      <c r="C3448" t="s">
        <v>5059</v>
      </c>
      <c r="D3448" s="2" t="s">
        <v>5060</v>
      </c>
      <c r="E3448" t="s">
        <v>4458</v>
      </c>
      <c r="F3448" t="s">
        <v>20</v>
      </c>
      <c r="G3448" t="s">
        <v>21</v>
      </c>
      <c r="H3448" t="s">
        <v>160</v>
      </c>
      <c r="I3448" t="s">
        <v>23</v>
      </c>
      <c r="J3448" t="s">
        <v>35</v>
      </c>
      <c r="K3448" s="2" t="s">
        <v>1072</v>
      </c>
      <c r="L3448" t="s">
        <v>2249</v>
      </c>
      <c r="M3448">
        <v>25348</v>
      </c>
      <c r="N3448">
        <v>-1</v>
      </c>
      <c r="O3448" s="3">
        <v>-64990</v>
      </c>
      <c r="P3448" s="3">
        <v>34675</v>
      </c>
      <c r="Q3448" s="5">
        <f t="shared" si="159"/>
        <v>-54613.445378151264</v>
      </c>
      <c r="R3448" s="5">
        <f t="shared" si="160"/>
        <v>-34675</v>
      </c>
      <c r="S3448" s="5">
        <f t="shared" si="161"/>
        <v>-19938.445378151264</v>
      </c>
    </row>
    <row r="3449" spans="1:19" hidden="1" x14ac:dyDescent="0.3">
      <c r="A3449">
        <v>170</v>
      </c>
      <c r="B3449" t="s">
        <v>4809</v>
      </c>
      <c r="C3449" t="s">
        <v>3286</v>
      </c>
      <c r="D3449" s="2" t="s">
        <v>3287</v>
      </c>
      <c r="E3449" t="s">
        <v>2226</v>
      </c>
      <c r="F3449" t="s">
        <v>20</v>
      </c>
      <c r="G3449" t="s">
        <v>21</v>
      </c>
      <c r="H3449" t="s">
        <v>53</v>
      </c>
      <c r="I3449" t="s">
        <v>23</v>
      </c>
      <c r="J3449" t="s">
        <v>49</v>
      </c>
      <c r="K3449" s="2" t="s">
        <v>1072</v>
      </c>
      <c r="L3449" t="s">
        <v>26</v>
      </c>
      <c r="M3449">
        <v>336495</v>
      </c>
      <c r="N3449">
        <v>1</v>
      </c>
      <c r="O3449" s="3">
        <v>69950</v>
      </c>
      <c r="P3449" s="3">
        <v>20849</v>
      </c>
      <c r="Q3449" s="5">
        <f t="shared" si="159"/>
        <v>58781.512605042022</v>
      </c>
      <c r="R3449" s="5">
        <f t="shared" si="160"/>
        <v>20849</v>
      </c>
      <c r="S3449" s="5">
        <f t="shared" si="161"/>
        <v>37932.512605042022</v>
      </c>
    </row>
    <row r="3450" spans="1:19" hidden="1" x14ac:dyDescent="0.3">
      <c r="A3450">
        <v>170</v>
      </c>
      <c r="B3450" t="s">
        <v>4809</v>
      </c>
      <c r="C3450" t="s">
        <v>5061</v>
      </c>
      <c r="D3450" s="2" t="s">
        <v>5062</v>
      </c>
      <c r="E3450" t="s">
        <v>3679</v>
      </c>
      <c r="F3450" t="s">
        <v>20</v>
      </c>
      <c r="G3450" t="s">
        <v>338</v>
      </c>
      <c r="H3450">
        <v>24200</v>
      </c>
      <c r="I3450" t="s">
        <v>23</v>
      </c>
      <c r="J3450" t="s">
        <v>95</v>
      </c>
      <c r="K3450" s="2" t="s">
        <v>1072</v>
      </c>
      <c r="L3450" t="s">
        <v>26</v>
      </c>
      <c r="M3450">
        <v>336496</v>
      </c>
      <c r="N3450">
        <v>1</v>
      </c>
      <c r="O3450" s="3">
        <v>84950</v>
      </c>
      <c r="P3450" s="3">
        <v>27437</v>
      </c>
      <c r="Q3450" s="5">
        <f t="shared" si="159"/>
        <v>71386.554621848743</v>
      </c>
      <c r="R3450" s="5">
        <f t="shared" si="160"/>
        <v>27437</v>
      </c>
      <c r="S3450" s="5">
        <f t="shared" si="161"/>
        <v>43949.554621848743</v>
      </c>
    </row>
    <row r="3451" spans="1:19" hidden="1" x14ac:dyDescent="0.3">
      <c r="A3451">
        <v>170</v>
      </c>
      <c r="B3451" t="s">
        <v>4809</v>
      </c>
      <c r="C3451" t="s">
        <v>3257</v>
      </c>
      <c r="D3451" s="2" t="s">
        <v>3258</v>
      </c>
      <c r="E3451" t="s">
        <v>2433</v>
      </c>
      <c r="F3451" t="s">
        <v>20</v>
      </c>
      <c r="G3451" t="s">
        <v>338</v>
      </c>
      <c r="H3451">
        <v>24722</v>
      </c>
      <c r="I3451" t="s">
        <v>23</v>
      </c>
      <c r="J3451" t="s">
        <v>95</v>
      </c>
      <c r="K3451" s="2" t="s">
        <v>1072</v>
      </c>
      <c r="L3451" t="s">
        <v>26</v>
      </c>
      <c r="M3451">
        <v>336496</v>
      </c>
      <c r="N3451">
        <v>1</v>
      </c>
      <c r="O3451" s="3">
        <v>76450</v>
      </c>
      <c r="P3451" s="3">
        <v>30987</v>
      </c>
      <c r="Q3451" s="5">
        <f t="shared" si="159"/>
        <v>64243.697478991598</v>
      </c>
      <c r="R3451" s="5">
        <f t="shared" si="160"/>
        <v>30987</v>
      </c>
      <c r="S3451" s="5">
        <f t="shared" si="161"/>
        <v>33256.697478991598</v>
      </c>
    </row>
    <row r="3452" spans="1:19" hidden="1" x14ac:dyDescent="0.3">
      <c r="A3452">
        <v>170</v>
      </c>
      <c r="B3452" t="s">
        <v>4809</v>
      </c>
      <c r="C3452" t="s">
        <v>3106</v>
      </c>
      <c r="D3452" s="2" t="s">
        <v>3107</v>
      </c>
      <c r="E3452" t="s">
        <v>3108</v>
      </c>
      <c r="F3452" t="s">
        <v>377</v>
      </c>
      <c r="G3452" t="s">
        <v>21</v>
      </c>
      <c r="H3452" t="s">
        <v>378</v>
      </c>
      <c r="I3452" t="s">
        <v>23</v>
      </c>
      <c r="J3452" t="s">
        <v>2620</v>
      </c>
      <c r="K3452" s="2" t="s">
        <v>1072</v>
      </c>
      <c r="L3452" t="s">
        <v>26</v>
      </c>
      <c r="M3452">
        <v>336497</v>
      </c>
      <c r="N3452">
        <v>1</v>
      </c>
      <c r="O3452" s="3">
        <v>26950</v>
      </c>
      <c r="P3452" s="3">
        <v>13329</v>
      </c>
      <c r="Q3452" s="5">
        <f t="shared" si="159"/>
        <v>22647.058823529413</v>
      </c>
      <c r="R3452" s="5">
        <f t="shared" si="160"/>
        <v>13329</v>
      </c>
      <c r="S3452" s="5">
        <f t="shared" si="161"/>
        <v>9318.0588235294126</v>
      </c>
    </row>
    <row r="3453" spans="1:19" hidden="1" x14ac:dyDescent="0.3">
      <c r="A3453">
        <v>170</v>
      </c>
      <c r="B3453" t="s">
        <v>4809</v>
      </c>
      <c r="C3453" t="s">
        <v>2621</v>
      </c>
      <c r="D3453" s="2" t="s">
        <v>2622</v>
      </c>
      <c r="E3453" t="s">
        <v>714</v>
      </c>
      <c r="F3453" t="s">
        <v>20</v>
      </c>
      <c r="G3453" t="s">
        <v>21</v>
      </c>
      <c r="H3453" t="s">
        <v>30</v>
      </c>
      <c r="I3453" t="s">
        <v>23</v>
      </c>
      <c r="J3453" t="s">
        <v>49</v>
      </c>
      <c r="K3453" s="2" t="s">
        <v>1072</v>
      </c>
      <c r="L3453" t="s">
        <v>26</v>
      </c>
      <c r="M3453">
        <v>336498</v>
      </c>
      <c r="N3453">
        <v>1</v>
      </c>
      <c r="O3453" s="3">
        <v>69950</v>
      </c>
      <c r="P3453" s="3">
        <v>24651</v>
      </c>
      <c r="Q3453" s="5">
        <f t="shared" si="159"/>
        <v>58781.512605042022</v>
      </c>
      <c r="R3453" s="5">
        <f t="shared" si="160"/>
        <v>24651</v>
      </c>
      <c r="S3453" s="5">
        <f t="shared" si="161"/>
        <v>34130.512605042022</v>
      </c>
    </row>
    <row r="3454" spans="1:19" hidden="1" x14ac:dyDescent="0.3">
      <c r="A3454">
        <v>170</v>
      </c>
      <c r="B3454" t="s">
        <v>4809</v>
      </c>
      <c r="C3454" t="s">
        <v>3375</v>
      </c>
      <c r="D3454" s="2" t="s">
        <v>3376</v>
      </c>
      <c r="E3454" t="s">
        <v>3377</v>
      </c>
      <c r="F3454" t="s">
        <v>377</v>
      </c>
      <c r="G3454" t="s">
        <v>21</v>
      </c>
      <c r="H3454" t="s">
        <v>378</v>
      </c>
      <c r="I3454" t="s">
        <v>23</v>
      </c>
      <c r="J3454" t="s">
        <v>379</v>
      </c>
      <c r="K3454" s="2" t="s">
        <v>1072</v>
      </c>
      <c r="L3454" t="s">
        <v>26</v>
      </c>
      <c r="M3454">
        <v>336498</v>
      </c>
      <c r="N3454">
        <v>1</v>
      </c>
      <c r="O3454" s="3">
        <v>3950</v>
      </c>
      <c r="P3454" s="3">
        <v>1410</v>
      </c>
      <c r="Q3454" s="5">
        <f t="shared" si="159"/>
        <v>3319.3277310924373</v>
      </c>
      <c r="R3454" s="5">
        <f t="shared" si="160"/>
        <v>1410</v>
      </c>
      <c r="S3454" s="5">
        <f t="shared" si="161"/>
        <v>1909.3277310924373</v>
      </c>
    </row>
    <row r="3455" spans="1:19" hidden="1" x14ac:dyDescent="0.3">
      <c r="A3455">
        <v>170</v>
      </c>
      <c r="B3455" t="s">
        <v>4809</v>
      </c>
      <c r="C3455" t="s">
        <v>5063</v>
      </c>
      <c r="D3455" s="2" t="s">
        <v>5064</v>
      </c>
      <c r="E3455" t="s">
        <v>998</v>
      </c>
      <c r="F3455" t="s">
        <v>20</v>
      </c>
      <c r="G3455" t="s">
        <v>21</v>
      </c>
      <c r="H3455" t="s">
        <v>251</v>
      </c>
      <c r="I3455" t="s">
        <v>23</v>
      </c>
      <c r="J3455" t="s">
        <v>49</v>
      </c>
      <c r="K3455" s="2" t="s">
        <v>1072</v>
      </c>
      <c r="L3455" t="s">
        <v>26</v>
      </c>
      <c r="M3455">
        <v>336499</v>
      </c>
      <c r="N3455">
        <v>1</v>
      </c>
      <c r="O3455" s="3">
        <v>34990</v>
      </c>
      <c r="P3455" s="3">
        <v>26234</v>
      </c>
      <c r="Q3455" s="5">
        <f t="shared" si="159"/>
        <v>29403.361344537818</v>
      </c>
      <c r="R3455" s="5">
        <f t="shared" si="160"/>
        <v>26234</v>
      </c>
      <c r="S3455" s="5">
        <f t="shared" si="161"/>
        <v>3169.3613445378178</v>
      </c>
    </row>
    <row r="3456" spans="1:19" hidden="1" x14ac:dyDescent="0.3">
      <c r="A3456">
        <v>170</v>
      </c>
      <c r="B3456" t="s">
        <v>4809</v>
      </c>
      <c r="C3456">
        <v>1687976791</v>
      </c>
      <c r="D3456" s="2" t="s">
        <v>200</v>
      </c>
      <c r="E3456" t="s">
        <v>201</v>
      </c>
      <c r="F3456" t="s">
        <v>201</v>
      </c>
      <c r="G3456" t="s">
        <v>202</v>
      </c>
      <c r="H3456" t="s">
        <v>202</v>
      </c>
      <c r="I3456" t="s">
        <v>23</v>
      </c>
      <c r="J3456" t="s">
        <v>202</v>
      </c>
      <c r="K3456" s="2" t="s">
        <v>1072</v>
      </c>
      <c r="L3456" t="s">
        <v>26</v>
      </c>
      <c r="M3456">
        <v>336499</v>
      </c>
      <c r="N3456">
        <v>1</v>
      </c>
      <c r="O3456" s="3">
        <v>4501</v>
      </c>
      <c r="P3456">
        <v>1</v>
      </c>
      <c r="Q3456" s="5">
        <f t="shared" si="159"/>
        <v>3782.3529411764707</v>
      </c>
      <c r="R3456" s="5">
        <f t="shared" si="160"/>
        <v>1</v>
      </c>
      <c r="S3456" s="5">
        <f t="shared" si="161"/>
        <v>3781.3529411764707</v>
      </c>
    </row>
    <row r="3457" spans="1:19" hidden="1" x14ac:dyDescent="0.3">
      <c r="A3457">
        <v>170</v>
      </c>
      <c r="B3457" t="s">
        <v>4809</v>
      </c>
      <c r="C3457" t="s">
        <v>3800</v>
      </c>
      <c r="D3457" s="2" t="s">
        <v>3801</v>
      </c>
      <c r="E3457" t="s">
        <v>2292</v>
      </c>
      <c r="F3457" t="s">
        <v>20</v>
      </c>
      <c r="G3457" t="s">
        <v>338</v>
      </c>
      <c r="H3457">
        <v>23723</v>
      </c>
      <c r="I3457" t="s">
        <v>23</v>
      </c>
      <c r="J3457" t="s">
        <v>40</v>
      </c>
      <c r="K3457" s="2" t="s">
        <v>1072</v>
      </c>
      <c r="L3457" t="s">
        <v>26</v>
      </c>
      <c r="M3457">
        <v>336500</v>
      </c>
      <c r="N3457">
        <v>1</v>
      </c>
      <c r="O3457" s="3">
        <v>79990</v>
      </c>
      <c r="P3457" s="3">
        <v>35178</v>
      </c>
      <c r="Q3457" s="5">
        <f t="shared" si="159"/>
        <v>67218.487394957992</v>
      </c>
      <c r="R3457" s="5">
        <f t="shared" si="160"/>
        <v>35178</v>
      </c>
      <c r="S3457" s="5">
        <f t="shared" si="161"/>
        <v>32040.487394957992</v>
      </c>
    </row>
    <row r="3458" spans="1:19" hidden="1" x14ac:dyDescent="0.3">
      <c r="A3458">
        <v>170</v>
      </c>
      <c r="B3458" t="s">
        <v>4809</v>
      </c>
      <c r="C3458" t="s">
        <v>5065</v>
      </c>
      <c r="D3458" s="2" t="s">
        <v>5066</v>
      </c>
      <c r="E3458" t="s">
        <v>337</v>
      </c>
      <c r="F3458" t="s">
        <v>20</v>
      </c>
      <c r="G3458" t="s">
        <v>338</v>
      </c>
      <c r="H3458">
        <v>23746</v>
      </c>
      <c r="I3458" t="s">
        <v>23</v>
      </c>
      <c r="J3458" t="s">
        <v>40</v>
      </c>
      <c r="K3458" s="2" t="s">
        <v>1072</v>
      </c>
      <c r="L3458" t="s">
        <v>26</v>
      </c>
      <c r="M3458">
        <v>336500</v>
      </c>
      <c r="N3458">
        <v>1</v>
      </c>
      <c r="O3458" s="3">
        <v>67950</v>
      </c>
      <c r="P3458" s="3">
        <v>27470</v>
      </c>
      <c r="Q3458" s="5">
        <f t="shared" si="159"/>
        <v>57100.840336134454</v>
      </c>
      <c r="R3458" s="5">
        <f t="shared" si="160"/>
        <v>27470</v>
      </c>
      <c r="S3458" s="5">
        <f t="shared" si="161"/>
        <v>29630.840336134454</v>
      </c>
    </row>
    <row r="3459" spans="1:19" hidden="1" x14ac:dyDescent="0.3">
      <c r="A3459">
        <v>170</v>
      </c>
      <c r="B3459" t="s">
        <v>4809</v>
      </c>
      <c r="C3459" t="s">
        <v>4512</v>
      </c>
      <c r="D3459" s="2" t="s">
        <v>4513</v>
      </c>
      <c r="E3459" t="s">
        <v>2208</v>
      </c>
      <c r="F3459" t="s">
        <v>20</v>
      </c>
      <c r="G3459" t="s">
        <v>338</v>
      </c>
      <c r="H3459">
        <v>25823</v>
      </c>
      <c r="I3459" t="s">
        <v>23</v>
      </c>
      <c r="J3459" t="s">
        <v>35</v>
      </c>
      <c r="K3459" s="2" t="s">
        <v>1072</v>
      </c>
      <c r="L3459" t="s">
        <v>26</v>
      </c>
      <c r="M3459">
        <v>336501</v>
      </c>
      <c r="N3459">
        <v>1</v>
      </c>
      <c r="O3459" s="3">
        <v>99950</v>
      </c>
      <c r="P3459" s="3">
        <v>33748</v>
      </c>
      <c r="Q3459" s="5">
        <f t="shared" si="159"/>
        <v>83991.596638655465</v>
      </c>
      <c r="R3459" s="5">
        <f t="shared" si="160"/>
        <v>33748</v>
      </c>
      <c r="S3459" s="5">
        <f t="shared" si="161"/>
        <v>50243.596638655465</v>
      </c>
    </row>
    <row r="3460" spans="1:19" hidden="1" x14ac:dyDescent="0.3">
      <c r="A3460">
        <v>170</v>
      </c>
      <c r="B3460" t="s">
        <v>4809</v>
      </c>
      <c r="C3460" t="s">
        <v>5067</v>
      </c>
      <c r="D3460" s="2" t="s">
        <v>5068</v>
      </c>
      <c r="E3460" t="s">
        <v>3630</v>
      </c>
      <c r="F3460" t="s">
        <v>20</v>
      </c>
      <c r="G3460" t="s">
        <v>21</v>
      </c>
      <c r="H3460" t="s">
        <v>1689</v>
      </c>
      <c r="I3460" t="s">
        <v>23</v>
      </c>
      <c r="J3460" t="s">
        <v>49</v>
      </c>
      <c r="K3460" s="2" t="s">
        <v>1072</v>
      </c>
      <c r="L3460" t="s">
        <v>26</v>
      </c>
      <c r="M3460">
        <v>336502</v>
      </c>
      <c r="N3460">
        <v>1</v>
      </c>
      <c r="O3460" s="3">
        <v>89950</v>
      </c>
      <c r="P3460" s="3">
        <v>39837</v>
      </c>
      <c r="Q3460" s="5">
        <f t="shared" si="159"/>
        <v>75588.23529411765</v>
      </c>
      <c r="R3460" s="5">
        <f t="shared" si="160"/>
        <v>39837</v>
      </c>
      <c r="S3460" s="5">
        <f t="shared" si="161"/>
        <v>35751.23529411765</v>
      </c>
    </row>
    <row r="3461" spans="1:19" hidden="1" x14ac:dyDescent="0.3">
      <c r="A3461">
        <v>170</v>
      </c>
      <c r="B3461" t="s">
        <v>4809</v>
      </c>
      <c r="C3461" t="s">
        <v>2365</v>
      </c>
      <c r="D3461" s="2" t="s">
        <v>2366</v>
      </c>
      <c r="E3461" t="s">
        <v>2367</v>
      </c>
      <c r="F3461" t="s">
        <v>377</v>
      </c>
      <c r="G3461" t="s">
        <v>21</v>
      </c>
      <c r="H3461" t="s">
        <v>378</v>
      </c>
      <c r="I3461" t="s">
        <v>23</v>
      </c>
      <c r="J3461" t="s">
        <v>379</v>
      </c>
      <c r="K3461" s="2" t="s">
        <v>1072</v>
      </c>
      <c r="L3461" t="s">
        <v>26</v>
      </c>
      <c r="M3461">
        <v>336503</v>
      </c>
      <c r="N3461">
        <v>1</v>
      </c>
      <c r="O3461" s="3">
        <v>6950</v>
      </c>
      <c r="P3461" s="3">
        <v>3759</v>
      </c>
      <c r="Q3461" s="5">
        <f t="shared" si="159"/>
        <v>5840.3361344537816</v>
      </c>
      <c r="R3461" s="5">
        <f t="shared" si="160"/>
        <v>3759</v>
      </c>
      <c r="S3461" s="5">
        <f t="shared" si="161"/>
        <v>2081.3361344537816</v>
      </c>
    </row>
    <row r="3462" spans="1:19" hidden="1" x14ac:dyDescent="0.3">
      <c r="A3462">
        <v>170</v>
      </c>
      <c r="B3462" t="s">
        <v>4809</v>
      </c>
      <c r="C3462" t="s">
        <v>2623</v>
      </c>
      <c r="D3462" s="2" t="s">
        <v>2624</v>
      </c>
      <c r="E3462" t="s">
        <v>2278</v>
      </c>
      <c r="F3462" t="s">
        <v>20</v>
      </c>
      <c r="G3462" t="s">
        <v>21</v>
      </c>
      <c r="H3462" t="s">
        <v>346</v>
      </c>
      <c r="I3462" t="s">
        <v>23</v>
      </c>
      <c r="J3462" t="s">
        <v>49</v>
      </c>
      <c r="K3462" s="2" t="s">
        <v>1072</v>
      </c>
      <c r="L3462" t="s">
        <v>26</v>
      </c>
      <c r="M3462">
        <v>336504</v>
      </c>
      <c r="N3462">
        <v>1</v>
      </c>
      <c r="O3462" s="3">
        <v>49990</v>
      </c>
      <c r="P3462" s="3">
        <v>23234</v>
      </c>
      <c r="Q3462" s="5">
        <f t="shared" ref="Q3462:Q3525" si="162">O3462/1.19</f>
        <v>42008.403361344543</v>
      </c>
      <c r="R3462" s="5">
        <f t="shared" ref="R3462:R3525" si="163">N3462*P3462</f>
        <v>23234</v>
      </c>
      <c r="S3462" s="5">
        <f t="shared" ref="S3462:S3525" si="164">Q3462-R3462</f>
        <v>18774.403361344543</v>
      </c>
    </row>
    <row r="3463" spans="1:19" hidden="1" x14ac:dyDescent="0.3">
      <c r="A3463">
        <v>170</v>
      </c>
      <c r="B3463" t="s">
        <v>4809</v>
      </c>
      <c r="C3463">
        <v>1687976791</v>
      </c>
      <c r="D3463" s="2" t="s">
        <v>200</v>
      </c>
      <c r="E3463" t="s">
        <v>201</v>
      </c>
      <c r="F3463" t="s">
        <v>201</v>
      </c>
      <c r="G3463" t="s">
        <v>202</v>
      </c>
      <c r="H3463" t="s">
        <v>202</v>
      </c>
      <c r="I3463" t="s">
        <v>23</v>
      </c>
      <c r="J3463" t="s">
        <v>202</v>
      </c>
      <c r="K3463" s="2" t="s">
        <v>1072</v>
      </c>
      <c r="L3463" t="s">
        <v>26</v>
      </c>
      <c r="M3463">
        <v>336504</v>
      </c>
      <c r="N3463">
        <v>1</v>
      </c>
      <c r="O3463" s="3">
        <v>2000</v>
      </c>
      <c r="P3463">
        <v>1</v>
      </c>
      <c r="Q3463" s="5">
        <f t="shared" si="162"/>
        <v>1680.6722689075632</v>
      </c>
      <c r="R3463" s="5">
        <f t="shared" si="163"/>
        <v>1</v>
      </c>
      <c r="S3463" s="5">
        <f t="shared" si="164"/>
        <v>1679.6722689075632</v>
      </c>
    </row>
    <row r="3464" spans="1:19" hidden="1" x14ac:dyDescent="0.3">
      <c r="A3464">
        <v>170</v>
      </c>
      <c r="B3464" t="s">
        <v>4809</v>
      </c>
      <c r="C3464" t="s">
        <v>3205</v>
      </c>
      <c r="D3464" s="2" t="s">
        <v>3206</v>
      </c>
      <c r="E3464" t="s">
        <v>2865</v>
      </c>
      <c r="F3464" t="s">
        <v>20</v>
      </c>
      <c r="G3464" t="s">
        <v>21</v>
      </c>
      <c r="H3464" t="s">
        <v>57</v>
      </c>
      <c r="I3464" t="s">
        <v>23</v>
      </c>
      <c r="J3464" t="s">
        <v>35</v>
      </c>
      <c r="K3464" s="2" t="s">
        <v>1072</v>
      </c>
      <c r="L3464" t="s">
        <v>26</v>
      </c>
      <c r="M3464">
        <v>336505</v>
      </c>
      <c r="N3464">
        <v>1</v>
      </c>
      <c r="O3464" s="3">
        <v>89950</v>
      </c>
      <c r="P3464" s="3">
        <v>29189</v>
      </c>
      <c r="Q3464" s="5">
        <f t="shared" si="162"/>
        <v>75588.23529411765</v>
      </c>
      <c r="R3464" s="5">
        <f t="shared" si="163"/>
        <v>29189</v>
      </c>
      <c r="S3464" s="5">
        <f t="shared" si="164"/>
        <v>46399.23529411765</v>
      </c>
    </row>
    <row r="3465" spans="1:19" hidden="1" x14ac:dyDescent="0.3">
      <c r="A3465">
        <v>170</v>
      </c>
      <c r="B3465" t="s">
        <v>4809</v>
      </c>
      <c r="C3465" t="s">
        <v>5069</v>
      </c>
      <c r="D3465" s="2" t="s">
        <v>5070</v>
      </c>
      <c r="E3465" t="s">
        <v>3016</v>
      </c>
      <c r="F3465" t="s">
        <v>20</v>
      </c>
      <c r="G3465" t="s">
        <v>338</v>
      </c>
      <c r="H3465">
        <v>25301</v>
      </c>
      <c r="I3465" t="s">
        <v>23</v>
      </c>
      <c r="J3465" t="s">
        <v>35</v>
      </c>
      <c r="K3465" s="2" t="s">
        <v>1072</v>
      </c>
      <c r="L3465" t="s">
        <v>26</v>
      </c>
      <c r="M3465">
        <v>336506</v>
      </c>
      <c r="N3465">
        <v>1</v>
      </c>
      <c r="O3465" s="3">
        <v>99950</v>
      </c>
      <c r="P3465" s="3">
        <v>34679</v>
      </c>
      <c r="Q3465" s="5">
        <f t="shared" si="162"/>
        <v>83991.596638655465</v>
      </c>
      <c r="R3465" s="5">
        <f t="shared" si="163"/>
        <v>34679</v>
      </c>
      <c r="S3465" s="5">
        <f t="shared" si="164"/>
        <v>49312.596638655465</v>
      </c>
    </row>
    <row r="3466" spans="1:19" hidden="1" x14ac:dyDescent="0.3">
      <c r="A3466">
        <v>170</v>
      </c>
      <c r="B3466" t="s">
        <v>4809</v>
      </c>
      <c r="C3466" t="s">
        <v>3765</v>
      </c>
      <c r="D3466" s="2" t="s">
        <v>3766</v>
      </c>
      <c r="E3466" t="s">
        <v>717</v>
      </c>
      <c r="F3466" t="s">
        <v>20</v>
      </c>
      <c r="G3466" t="s">
        <v>21</v>
      </c>
      <c r="H3466" t="s">
        <v>718</v>
      </c>
      <c r="I3466" t="s">
        <v>23</v>
      </c>
      <c r="J3466" t="s">
        <v>49</v>
      </c>
      <c r="K3466" s="2" t="s">
        <v>1072</v>
      </c>
      <c r="L3466" t="s">
        <v>26</v>
      </c>
      <c r="M3466">
        <v>336507</v>
      </c>
      <c r="N3466">
        <v>-1</v>
      </c>
      <c r="O3466" s="3">
        <v>-39990</v>
      </c>
      <c r="P3466" s="3">
        <v>26655</v>
      </c>
      <c r="Q3466" s="5">
        <f t="shared" si="162"/>
        <v>-33605.042016806721</v>
      </c>
      <c r="R3466" s="5">
        <f t="shared" si="163"/>
        <v>-26655</v>
      </c>
      <c r="S3466" s="5">
        <f t="shared" si="164"/>
        <v>-6950.0420168067212</v>
      </c>
    </row>
    <row r="3467" spans="1:19" hidden="1" x14ac:dyDescent="0.3">
      <c r="A3467">
        <v>170</v>
      </c>
      <c r="B3467" t="s">
        <v>4809</v>
      </c>
      <c r="C3467" t="s">
        <v>5071</v>
      </c>
      <c r="D3467" s="2" t="s">
        <v>5072</v>
      </c>
      <c r="E3467" t="s">
        <v>2226</v>
      </c>
      <c r="F3467" t="s">
        <v>20</v>
      </c>
      <c r="G3467" t="s">
        <v>21</v>
      </c>
      <c r="H3467" t="s">
        <v>53</v>
      </c>
      <c r="I3467" t="s">
        <v>23</v>
      </c>
      <c r="J3467" t="s">
        <v>49</v>
      </c>
      <c r="K3467" s="2" t="s">
        <v>1072</v>
      </c>
      <c r="L3467" t="s">
        <v>26</v>
      </c>
      <c r="M3467">
        <v>336507</v>
      </c>
      <c r="N3467">
        <v>1</v>
      </c>
      <c r="O3467" s="3">
        <v>69950</v>
      </c>
      <c r="P3467" s="3">
        <v>20915</v>
      </c>
      <c r="Q3467" s="5">
        <f t="shared" si="162"/>
        <v>58781.512605042022</v>
      </c>
      <c r="R3467" s="5">
        <f t="shared" si="163"/>
        <v>20915</v>
      </c>
      <c r="S3467" s="5">
        <f t="shared" si="164"/>
        <v>37866.512605042022</v>
      </c>
    </row>
    <row r="3468" spans="1:19" hidden="1" x14ac:dyDescent="0.3">
      <c r="A3468">
        <v>170</v>
      </c>
      <c r="B3468" t="s">
        <v>4809</v>
      </c>
      <c r="C3468" t="s">
        <v>1037</v>
      </c>
      <c r="D3468" s="2" t="s">
        <v>1038</v>
      </c>
      <c r="E3468" t="s">
        <v>1039</v>
      </c>
      <c r="F3468" t="s">
        <v>377</v>
      </c>
      <c r="G3468" t="s">
        <v>21</v>
      </c>
      <c r="H3468" t="s">
        <v>378</v>
      </c>
      <c r="I3468" t="s">
        <v>23</v>
      </c>
      <c r="J3468" t="s">
        <v>379</v>
      </c>
      <c r="K3468" s="2" t="s">
        <v>1072</v>
      </c>
      <c r="L3468" t="s">
        <v>26</v>
      </c>
      <c r="M3468">
        <v>336508</v>
      </c>
      <c r="N3468">
        <v>1</v>
      </c>
      <c r="O3468" s="3">
        <v>5950</v>
      </c>
      <c r="P3468" s="3">
        <v>3257</v>
      </c>
      <c r="Q3468" s="5">
        <f t="shared" si="162"/>
        <v>5000</v>
      </c>
      <c r="R3468" s="5">
        <f t="shared" si="163"/>
        <v>3257</v>
      </c>
      <c r="S3468" s="5">
        <f t="shared" si="164"/>
        <v>1743</v>
      </c>
    </row>
    <row r="3469" spans="1:19" hidden="1" x14ac:dyDescent="0.3">
      <c r="A3469">
        <v>170</v>
      </c>
      <c r="B3469" t="s">
        <v>4809</v>
      </c>
      <c r="C3469" t="s">
        <v>5073</v>
      </c>
      <c r="D3469" s="2" t="s">
        <v>5074</v>
      </c>
      <c r="E3469" t="s">
        <v>5075</v>
      </c>
      <c r="F3469" t="s">
        <v>20</v>
      </c>
      <c r="G3469" t="s">
        <v>21</v>
      </c>
      <c r="H3469" t="s">
        <v>160</v>
      </c>
      <c r="I3469" t="s">
        <v>23</v>
      </c>
      <c r="J3469" t="s">
        <v>35</v>
      </c>
      <c r="K3469" s="2" t="s">
        <v>1072</v>
      </c>
      <c r="L3469" t="s">
        <v>26</v>
      </c>
      <c r="M3469">
        <v>336509</v>
      </c>
      <c r="N3469">
        <v>-1</v>
      </c>
      <c r="O3469" s="3">
        <v>-64990</v>
      </c>
      <c r="P3469" s="3">
        <v>34700</v>
      </c>
      <c r="Q3469" s="5">
        <f t="shared" si="162"/>
        <v>-54613.445378151264</v>
      </c>
      <c r="R3469" s="5">
        <f t="shared" si="163"/>
        <v>-34700</v>
      </c>
      <c r="S3469" s="5">
        <f t="shared" si="164"/>
        <v>-19913.445378151264</v>
      </c>
    </row>
    <row r="3470" spans="1:19" hidden="1" x14ac:dyDescent="0.3">
      <c r="A3470">
        <v>170</v>
      </c>
      <c r="B3470" t="s">
        <v>4809</v>
      </c>
      <c r="C3470" t="s">
        <v>4498</v>
      </c>
      <c r="D3470" s="2" t="s">
        <v>4499</v>
      </c>
      <c r="E3470" t="s">
        <v>2790</v>
      </c>
      <c r="F3470" t="s">
        <v>20</v>
      </c>
      <c r="G3470" t="s">
        <v>21</v>
      </c>
      <c r="H3470" t="s">
        <v>2759</v>
      </c>
      <c r="I3470" t="s">
        <v>23</v>
      </c>
      <c r="J3470" t="s">
        <v>35</v>
      </c>
      <c r="K3470" s="2" t="s">
        <v>1072</v>
      </c>
      <c r="L3470" t="s">
        <v>26</v>
      </c>
      <c r="M3470">
        <v>336509</v>
      </c>
      <c r="N3470">
        <v>1</v>
      </c>
      <c r="O3470" s="3">
        <v>89950</v>
      </c>
      <c r="P3470" s="3">
        <v>30972</v>
      </c>
      <c r="Q3470" s="5">
        <f t="shared" si="162"/>
        <v>75588.23529411765</v>
      </c>
      <c r="R3470" s="5">
        <f t="shared" si="163"/>
        <v>30972</v>
      </c>
      <c r="S3470" s="5">
        <f t="shared" si="164"/>
        <v>44616.23529411765</v>
      </c>
    </row>
    <row r="3471" spans="1:19" hidden="1" x14ac:dyDescent="0.3">
      <c r="A3471">
        <v>170</v>
      </c>
      <c r="B3471" t="s">
        <v>4809</v>
      </c>
      <c r="C3471" t="s">
        <v>5076</v>
      </c>
      <c r="D3471" s="2" t="s">
        <v>5077</v>
      </c>
      <c r="E3471" t="s">
        <v>4556</v>
      </c>
      <c r="F3471" t="s">
        <v>20</v>
      </c>
      <c r="G3471" t="s">
        <v>21</v>
      </c>
      <c r="H3471" t="s">
        <v>1987</v>
      </c>
      <c r="I3471" t="s">
        <v>23</v>
      </c>
      <c r="J3471" t="s">
        <v>35</v>
      </c>
      <c r="K3471" s="2" t="s">
        <v>1072</v>
      </c>
      <c r="L3471" t="s">
        <v>26</v>
      </c>
      <c r="M3471">
        <v>336510</v>
      </c>
      <c r="N3471">
        <v>1</v>
      </c>
      <c r="O3471" s="3">
        <v>89950</v>
      </c>
      <c r="P3471" s="3">
        <v>29858</v>
      </c>
      <c r="Q3471" s="5">
        <f t="shared" si="162"/>
        <v>75588.23529411765</v>
      </c>
      <c r="R3471" s="5">
        <f t="shared" si="163"/>
        <v>29858</v>
      </c>
      <c r="S3471" s="5">
        <f t="shared" si="164"/>
        <v>45730.23529411765</v>
      </c>
    </row>
    <row r="3472" spans="1:19" hidden="1" x14ac:dyDescent="0.3">
      <c r="A3472">
        <v>170</v>
      </c>
      <c r="B3472" t="s">
        <v>4809</v>
      </c>
      <c r="C3472" t="s">
        <v>4916</v>
      </c>
      <c r="D3472" s="2" t="s">
        <v>4917</v>
      </c>
      <c r="E3472" t="s">
        <v>2592</v>
      </c>
      <c r="F3472" t="s">
        <v>20</v>
      </c>
      <c r="G3472" t="s">
        <v>21</v>
      </c>
      <c r="H3472" t="s">
        <v>2593</v>
      </c>
      <c r="I3472" t="s">
        <v>23</v>
      </c>
      <c r="J3472" t="s">
        <v>35</v>
      </c>
      <c r="K3472" s="2" t="s">
        <v>1072</v>
      </c>
      <c r="L3472" t="s">
        <v>26</v>
      </c>
      <c r="M3472">
        <v>336510</v>
      </c>
      <c r="N3472">
        <v>1</v>
      </c>
      <c r="O3472" s="3">
        <v>84950</v>
      </c>
      <c r="P3472" s="3">
        <v>38102</v>
      </c>
      <c r="Q3472" s="5">
        <f t="shared" si="162"/>
        <v>71386.554621848743</v>
      </c>
      <c r="R3472" s="5">
        <f t="shared" si="163"/>
        <v>38102</v>
      </c>
      <c r="S3472" s="5">
        <f t="shared" si="164"/>
        <v>33284.554621848743</v>
      </c>
    </row>
    <row r="3473" spans="1:19" hidden="1" x14ac:dyDescent="0.3">
      <c r="A3473">
        <v>170</v>
      </c>
      <c r="B3473" t="s">
        <v>4809</v>
      </c>
      <c r="C3473" t="s">
        <v>5078</v>
      </c>
      <c r="D3473" s="2" t="s">
        <v>5079</v>
      </c>
      <c r="E3473" t="s">
        <v>1412</v>
      </c>
      <c r="F3473" t="s">
        <v>20</v>
      </c>
      <c r="G3473" t="s">
        <v>338</v>
      </c>
      <c r="H3473">
        <v>23603</v>
      </c>
      <c r="I3473" t="s">
        <v>23</v>
      </c>
      <c r="J3473" t="s">
        <v>40</v>
      </c>
      <c r="K3473" s="2" t="s">
        <v>1072</v>
      </c>
      <c r="L3473" t="s">
        <v>26</v>
      </c>
      <c r="M3473">
        <v>336511</v>
      </c>
      <c r="N3473">
        <v>1</v>
      </c>
      <c r="O3473" s="3">
        <v>49990</v>
      </c>
      <c r="P3473" s="3">
        <v>22607</v>
      </c>
      <c r="Q3473" s="5">
        <f t="shared" si="162"/>
        <v>42008.403361344543</v>
      </c>
      <c r="R3473" s="5">
        <f t="shared" si="163"/>
        <v>22607</v>
      </c>
      <c r="S3473" s="5">
        <f t="shared" si="164"/>
        <v>19401.403361344543</v>
      </c>
    </row>
    <row r="3474" spans="1:19" hidden="1" x14ac:dyDescent="0.3">
      <c r="A3474">
        <v>170</v>
      </c>
      <c r="B3474" t="s">
        <v>4809</v>
      </c>
      <c r="C3474" t="s">
        <v>1410</v>
      </c>
      <c r="D3474" s="2" t="s">
        <v>1411</v>
      </c>
      <c r="E3474" t="s">
        <v>1412</v>
      </c>
      <c r="F3474" t="s">
        <v>20</v>
      </c>
      <c r="G3474" t="s">
        <v>338</v>
      </c>
      <c r="H3474">
        <v>23603</v>
      </c>
      <c r="I3474" t="s">
        <v>23</v>
      </c>
      <c r="J3474" t="s">
        <v>40</v>
      </c>
      <c r="K3474" s="2" t="s">
        <v>1072</v>
      </c>
      <c r="L3474" t="s">
        <v>26</v>
      </c>
      <c r="M3474">
        <v>336511</v>
      </c>
      <c r="N3474">
        <v>1</v>
      </c>
      <c r="O3474" s="3">
        <v>49990</v>
      </c>
      <c r="P3474" s="3">
        <v>22607</v>
      </c>
      <c r="Q3474" s="5">
        <f t="shared" si="162"/>
        <v>42008.403361344543</v>
      </c>
      <c r="R3474" s="5">
        <f t="shared" si="163"/>
        <v>22607</v>
      </c>
      <c r="S3474" s="5">
        <f t="shared" si="164"/>
        <v>19401.403361344543</v>
      </c>
    </row>
    <row r="3475" spans="1:19" hidden="1" x14ac:dyDescent="0.3">
      <c r="A3475">
        <v>170</v>
      </c>
      <c r="B3475" t="s">
        <v>4809</v>
      </c>
      <c r="C3475" t="s">
        <v>3951</v>
      </c>
      <c r="D3475" s="2" t="s">
        <v>3952</v>
      </c>
      <c r="E3475" t="s">
        <v>2741</v>
      </c>
      <c r="F3475" t="s">
        <v>20</v>
      </c>
      <c r="G3475" t="s">
        <v>21</v>
      </c>
      <c r="H3475" t="s">
        <v>2494</v>
      </c>
      <c r="I3475" t="s">
        <v>23</v>
      </c>
      <c r="J3475" t="s">
        <v>40</v>
      </c>
      <c r="K3475" s="2" t="s">
        <v>1072</v>
      </c>
      <c r="L3475" t="s">
        <v>26</v>
      </c>
      <c r="M3475">
        <v>336512</v>
      </c>
      <c r="N3475">
        <v>1</v>
      </c>
      <c r="O3475" s="3">
        <v>69950</v>
      </c>
      <c r="P3475" s="3">
        <v>23470</v>
      </c>
      <c r="Q3475" s="5">
        <f t="shared" si="162"/>
        <v>58781.512605042022</v>
      </c>
      <c r="R3475" s="5">
        <f t="shared" si="163"/>
        <v>23470</v>
      </c>
      <c r="S3475" s="5">
        <f t="shared" si="164"/>
        <v>35311.512605042022</v>
      </c>
    </row>
    <row r="3476" spans="1:19" hidden="1" x14ac:dyDescent="0.3">
      <c r="A3476">
        <v>170</v>
      </c>
      <c r="B3476" t="s">
        <v>4809</v>
      </c>
      <c r="C3476" t="s">
        <v>4433</v>
      </c>
      <c r="D3476" s="2" t="s">
        <v>4434</v>
      </c>
      <c r="E3476" t="s">
        <v>4280</v>
      </c>
      <c r="F3476" t="s">
        <v>20</v>
      </c>
      <c r="G3476" t="s">
        <v>21</v>
      </c>
      <c r="H3476" t="s">
        <v>3128</v>
      </c>
      <c r="I3476" t="s">
        <v>23</v>
      </c>
      <c r="J3476" t="s">
        <v>35</v>
      </c>
      <c r="K3476" s="2" t="s">
        <v>1072</v>
      </c>
      <c r="L3476" t="s">
        <v>26</v>
      </c>
      <c r="M3476">
        <v>336513</v>
      </c>
      <c r="N3476">
        <v>1</v>
      </c>
      <c r="O3476" s="3">
        <v>84950</v>
      </c>
      <c r="P3476" s="3">
        <v>29189</v>
      </c>
      <c r="Q3476" s="5">
        <f t="shared" si="162"/>
        <v>71386.554621848743</v>
      </c>
      <c r="R3476" s="5">
        <f t="shared" si="163"/>
        <v>29189</v>
      </c>
      <c r="S3476" s="5">
        <f t="shared" si="164"/>
        <v>42197.554621848743</v>
      </c>
    </row>
    <row r="3477" spans="1:19" hidden="1" x14ac:dyDescent="0.3">
      <c r="A3477">
        <v>170</v>
      </c>
      <c r="B3477" t="s">
        <v>4809</v>
      </c>
      <c r="C3477" t="s">
        <v>4058</v>
      </c>
      <c r="D3477" s="2" t="s">
        <v>4059</v>
      </c>
      <c r="E3477" t="s">
        <v>4060</v>
      </c>
      <c r="F3477" t="s">
        <v>20</v>
      </c>
      <c r="G3477" t="s">
        <v>338</v>
      </c>
      <c r="H3477">
        <v>23726</v>
      </c>
      <c r="I3477" t="s">
        <v>23</v>
      </c>
      <c r="J3477" t="s">
        <v>40</v>
      </c>
      <c r="K3477" s="2" t="s">
        <v>1072</v>
      </c>
      <c r="L3477" t="s">
        <v>26</v>
      </c>
      <c r="M3477">
        <v>336514</v>
      </c>
      <c r="N3477">
        <v>1</v>
      </c>
      <c r="O3477" s="3">
        <v>89950</v>
      </c>
      <c r="P3477" s="3">
        <v>29798</v>
      </c>
      <c r="Q3477" s="5">
        <f t="shared" si="162"/>
        <v>75588.23529411765</v>
      </c>
      <c r="R3477" s="5">
        <f t="shared" si="163"/>
        <v>29798</v>
      </c>
      <c r="S3477" s="5">
        <f t="shared" si="164"/>
        <v>45790.23529411765</v>
      </c>
    </row>
    <row r="3478" spans="1:19" hidden="1" x14ac:dyDescent="0.3">
      <c r="A3478">
        <v>170</v>
      </c>
      <c r="B3478" t="s">
        <v>4809</v>
      </c>
      <c r="C3478" t="s">
        <v>4368</v>
      </c>
      <c r="D3478" s="2" t="s">
        <v>4369</v>
      </c>
      <c r="E3478" t="s">
        <v>3195</v>
      </c>
      <c r="F3478" t="s">
        <v>20</v>
      </c>
      <c r="G3478" t="s">
        <v>338</v>
      </c>
      <c r="H3478">
        <v>25366</v>
      </c>
      <c r="I3478" t="s">
        <v>23</v>
      </c>
      <c r="J3478" t="s">
        <v>35</v>
      </c>
      <c r="K3478" s="2" t="s">
        <v>1072</v>
      </c>
      <c r="L3478" t="s">
        <v>26</v>
      </c>
      <c r="M3478">
        <v>336515</v>
      </c>
      <c r="N3478">
        <v>1</v>
      </c>
      <c r="O3478" s="3">
        <v>99950</v>
      </c>
      <c r="P3478" s="3">
        <v>33157</v>
      </c>
      <c r="Q3478" s="5">
        <f t="shared" si="162"/>
        <v>83991.596638655465</v>
      </c>
      <c r="R3478" s="5">
        <f t="shared" si="163"/>
        <v>33157</v>
      </c>
      <c r="S3478" s="5">
        <f t="shared" si="164"/>
        <v>50834.596638655465</v>
      </c>
    </row>
    <row r="3479" spans="1:19" hidden="1" x14ac:dyDescent="0.3">
      <c r="A3479">
        <v>170</v>
      </c>
      <c r="B3479" t="s">
        <v>4809</v>
      </c>
      <c r="C3479" t="s">
        <v>2830</v>
      </c>
      <c r="D3479" s="2" t="s">
        <v>2831</v>
      </c>
      <c r="E3479" t="s">
        <v>1330</v>
      </c>
      <c r="F3479" t="s">
        <v>20</v>
      </c>
      <c r="G3479" t="s">
        <v>338</v>
      </c>
      <c r="H3479">
        <v>25133</v>
      </c>
      <c r="I3479" t="s">
        <v>23</v>
      </c>
      <c r="J3479" t="s">
        <v>35</v>
      </c>
      <c r="K3479" s="2" t="s">
        <v>1072</v>
      </c>
      <c r="L3479" t="s">
        <v>26</v>
      </c>
      <c r="M3479">
        <v>336516</v>
      </c>
      <c r="N3479">
        <v>1</v>
      </c>
      <c r="O3479" s="3">
        <v>63700</v>
      </c>
      <c r="P3479" s="3">
        <v>21167</v>
      </c>
      <c r="Q3479" s="5">
        <f t="shared" si="162"/>
        <v>53529.411764705888</v>
      </c>
      <c r="R3479" s="5">
        <f t="shared" si="163"/>
        <v>21167</v>
      </c>
      <c r="S3479" s="5">
        <f t="shared" si="164"/>
        <v>32362.411764705888</v>
      </c>
    </row>
    <row r="3480" spans="1:19" hidden="1" x14ac:dyDescent="0.3">
      <c r="A3480">
        <v>170</v>
      </c>
      <c r="B3480" t="s">
        <v>4809</v>
      </c>
      <c r="C3480" t="s">
        <v>5057</v>
      </c>
      <c r="D3480" s="2" t="s">
        <v>5058</v>
      </c>
      <c r="E3480" t="s">
        <v>3666</v>
      </c>
      <c r="F3480" t="s">
        <v>20</v>
      </c>
      <c r="G3480" t="s">
        <v>338</v>
      </c>
      <c r="H3480">
        <v>24316</v>
      </c>
      <c r="I3480" t="s">
        <v>23</v>
      </c>
      <c r="J3480" t="s">
        <v>49</v>
      </c>
      <c r="K3480" s="2" t="s">
        <v>1072</v>
      </c>
      <c r="L3480" t="s">
        <v>26</v>
      </c>
      <c r="M3480">
        <v>336517</v>
      </c>
      <c r="N3480">
        <v>1</v>
      </c>
      <c r="O3480" s="3">
        <v>74950</v>
      </c>
      <c r="P3480" s="3">
        <v>23473</v>
      </c>
      <c r="Q3480" s="5">
        <f t="shared" si="162"/>
        <v>62983.193277310929</v>
      </c>
      <c r="R3480" s="5">
        <f t="shared" si="163"/>
        <v>23473</v>
      </c>
      <c r="S3480" s="5">
        <f t="shared" si="164"/>
        <v>39510.193277310929</v>
      </c>
    </row>
    <row r="3481" spans="1:19" hidden="1" x14ac:dyDescent="0.3">
      <c r="A3481">
        <v>170</v>
      </c>
      <c r="B3481" t="s">
        <v>4809</v>
      </c>
      <c r="C3481" t="s">
        <v>3149</v>
      </c>
      <c r="D3481" s="2" t="s">
        <v>3150</v>
      </c>
      <c r="E3481" t="s">
        <v>3051</v>
      </c>
      <c r="F3481" t="s">
        <v>20</v>
      </c>
      <c r="G3481" t="s">
        <v>21</v>
      </c>
      <c r="H3481" t="s">
        <v>1440</v>
      </c>
      <c r="I3481" t="s">
        <v>23</v>
      </c>
      <c r="J3481" t="s">
        <v>40</v>
      </c>
      <c r="K3481" s="2" t="s">
        <v>1072</v>
      </c>
      <c r="L3481" t="s">
        <v>26</v>
      </c>
      <c r="M3481">
        <v>336518</v>
      </c>
      <c r="N3481">
        <v>1</v>
      </c>
      <c r="O3481" s="3">
        <v>64950</v>
      </c>
      <c r="P3481" s="3">
        <v>17328</v>
      </c>
      <c r="Q3481" s="5">
        <f t="shared" si="162"/>
        <v>54579.831932773115</v>
      </c>
      <c r="R3481" s="5">
        <f t="shared" si="163"/>
        <v>17328</v>
      </c>
      <c r="S3481" s="5">
        <f t="shared" si="164"/>
        <v>37251.831932773115</v>
      </c>
    </row>
    <row r="3482" spans="1:19" hidden="1" x14ac:dyDescent="0.3">
      <c r="A3482">
        <v>170</v>
      </c>
      <c r="B3482" t="s">
        <v>4809</v>
      </c>
      <c r="C3482" t="s">
        <v>5080</v>
      </c>
      <c r="D3482" s="2" t="s">
        <v>5081</v>
      </c>
      <c r="E3482" t="s">
        <v>4540</v>
      </c>
      <c r="F3482" t="s">
        <v>20</v>
      </c>
      <c r="G3482" t="s">
        <v>338</v>
      </c>
      <c r="H3482">
        <v>25623</v>
      </c>
      <c r="I3482" t="s">
        <v>23</v>
      </c>
      <c r="J3482" t="s">
        <v>31</v>
      </c>
      <c r="K3482" s="2" t="s">
        <v>1072</v>
      </c>
      <c r="L3482" t="s">
        <v>26</v>
      </c>
      <c r="M3482">
        <v>336519</v>
      </c>
      <c r="N3482">
        <v>1</v>
      </c>
      <c r="O3482" s="3">
        <v>99950</v>
      </c>
      <c r="P3482" s="3">
        <v>33748</v>
      </c>
      <c r="Q3482" s="5">
        <f t="shared" si="162"/>
        <v>83991.596638655465</v>
      </c>
      <c r="R3482" s="5">
        <f t="shared" si="163"/>
        <v>33748</v>
      </c>
      <c r="S3482" s="5">
        <f t="shared" si="164"/>
        <v>50243.596638655465</v>
      </c>
    </row>
    <row r="3483" spans="1:19" hidden="1" x14ac:dyDescent="0.3">
      <c r="A3483">
        <v>170</v>
      </c>
      <c r="B3483" t="s">
        <v>4809</v>
      </c>
      <c r="C3483" t="s">
        <v>5082</v>
      </c>
      <c r="D3483" s="2" t="s">
        <v>5083</v>
      </c>
      <c r="E3483" t="s">
        <v>2208</v>
      </c>
      <c r="F3483" t="s">
        <v>20</v>
      </c>
      <c r="G3483" t="s">
        <v>338</v>
      </c>
      <c r="H3483">
        <v>25823</v>
      </c>
      <c r="I3483" t="s">
        <v>23</v>
      </c>
      <c r="J3483" t="s">
        <v>35</v>
      </c>
      <c r="K3483" s="2" t="s">
        <v>1072</v>
      </c>
      <c r="L3483" t="s">
        <v>26</v>
      </c>
      <c r="M3483">
        <v>336519</v>
      </c>
      <c r="N3483">
        <v>1</v>
      </c>
      <c r="O3483" s="3">
        <v>84950</v>
      </c>
      <c r="P3483" s="3">
        <v>33748</v>
      </c>
      <c r="Q3483" s="5">
        <f t="shared" si="162"/>
        <v>71386.554621848743</v>
      </c>
      <c r="R3483" s="5">
        <f t="shared" si="163"/>
        <v>33748</v>
      </c>
      <c r="S3483" s="5">
        <f t="shared" si="164"/>
        <v>37638.554621848743</v>
      </c>
    </row>
    <row r="3484" spans="1:19" hidden="1" x14ac:dyDescent="0.3">
      <c r="A3484">
        <v>170</v>
      </c>
      <c r="B3484" t="s">
        <v>4809</v>
      </c>
      <c r="C3484" t="s">
        <v>3422</v>
      </c>
      <c r="D3484" s="2" t="s">
        <v>3423</v>
      </c>
      <c r="E3484" t="s">
        <v>3424</v>
      </c>
      <c r="F3484" t="s">
        <v>20</v>
      </c>
      <c r="G3484" t="s">
        <v>338</v>
      </c>
      <c r="H3484">
        <v>23709</v>
      </c>
      <c r="I3484" t="s">
        <v>23</v>
      </c>
      <c r="J3484" t="s">
        <v>40</v>
      </c>
      <c r="K3484" s="2" t="s">
        <v>1072</v>
      </c>
      <c r="L3484" t="s">
        <v>26</v>
      </c>
      <c r="M3484">
        <v>336520</v>
      </c>
      <c r="N3484">
        <v>1</v>
      </c>
      <c r="O3484" s="3">
        <v>79950</v>
      </c>
      <c r="P3484" s="3">
        <v>27728</v>
      </c>
      <c r="Q3484" s="5">
        <f t="shared" si="162"/>
        <v>67184.873949579836</v>
      </c>
      <c r="R3484" s="5">
        <f t="shared" si="163"/>
        <v>27728</v>
      </c>
      <c r="S3484" s="5">
        <f t="shared" si="164"/>
        <v>39456.873949579836</v>
      </c>
    </row>
    <row r="3485" spans="1:19" hidden="1" x14ac:dyDescent="0.3">
      <c r="A3485">
        <v>170</v>
      </c>
      <c r="B3485" t="s">
        <v>4809</v>
      </c>
      <c r="C3485" t="s">
        <v>5084</v>
      </c>
      <c r="D3485" s="2" t="s">
        <v>5085</v>
      </c>
      <c r="E3485" t="s">
        <v>845</v>
      </c>
      <c r="F3485" t="s">
        <v>20</v>
      </c>
      <c r="G3485" t="s">
        <v>21</v>
      </c>
      <c r="H3485" t="s">
        <v>243</v>
      </c>
      <c r="I3485" t="s">
        <v>23</v>
      </c>
      <c r="J3485" t="s">
        <v>35</v>
      </c>
      <c r="K3485" s="2" t="s">
        <v>1072</v>
      </c>
      <c r="L3485" t="s">
        <v>26</v>
      </c>
      <c r="M3485">
        <v>336521</v>
      </c>
      <c r="N3485">
        <v>1</v>
      </c>
      <c r="O3485" s="3">
        <v>109950</v>
      </c>
      <c r="P3485" s="3">
        <v>62858</v>
      </c>
      <c r="Q3485" s="5">
        <f t="shared" si="162"/>
        <v>92394.957983193279</v>
      </c>
      <c r="R3485" s="5">
        <f t="shared" si="163"/>
        <v>62858</v>
      </c>
      <c r="S3485" s="5">
        <f t="shared" si="164"/>
        <v>29536.957983193279</v>
      </c>
    </row>
    <row r="3486" spans="1:19" hidden="1" x14ac:dyDescent="0.3">
      <c r="A3486">
        <v>170</v>
      </c>
      <c r="B3486" t="s">
        <v>4809</v>
      </c>
      <c r="C3486" t="s">
        <v>3887</v>
      </c>
      <c r="D3486" s="2" t="s">
        <v>3888</v>
      </c>
      <c r="E3486" t="s">
        <v>2436</v>
      </c>
      <c r="F3486" t="s">
        <v>20</v>
      </c>
      <c r="G3486" t="s">
        <v>338</v>
      </c>
      <c r="H3486">
        <v>22318</v>
      </c>
      <c r="I3486" t="s">
        <v>23</v>
      </c>
      <c r="J3486" t="s">
        <v>49</v>
      </c>
      <c r="K3486" s="2" t="s">
        <v>1072</v>
      </c>
      <c r="L3486" t="s">
        <v>26</v>
      </c>
      <c r="M3486">
        <v>336522</v>
      </c>
      <c r="N3486">
        <v>1</v>
      </c>
      <c r="O3486" s="3">
        <v>74950</v>
      </c>
      <c r="P3486" s="3">
        <v>23473</v>
      </c>
      <c r="Q3486" s="5">
        <f t="shared" si="162"/>
        <v>62983.193277310929</v>
      </c>
      <c r="R3486" s="5">
        <f t="shared" si="163"/>
        <v>23473</v>
      </c>
      <c r="S3486" s="5">
        <f t="shared" si="164"/>
        <v>39510.193277310929</v>
      </c>
    </row>
    <row r="3487" spans="1:19" hidden="1" x14ac:dyDescent="0.3">
      <c r="A3487">
        <v>170</v>
      </c>
      <c r="B3487" t="s">
        <v>4809</v>
      </c>
      <c r="C3487" t="s">
        <v>5086</v>
      </c>
      <c r="D3487" s="2" t="s">
        <v>5087</v>
      </c>
      <c r="E3487" t="s">
        <v>5088</v>
      </c>
      <c r="F3487" t="s">
        <v>20</v>
      </c>
      <c r="G3487" t="s">
        <v>338</v>
      </c>
      <c r="H3487">
        <v>25327</v>
      </c>
      <c r="I3487" t="s">
        <v>23</v>
      </c>
      <c r="J3487" t="s">
        <v>35</v>
      </c>
      <c r="K3487" s="2" t="s">
        <v>1072</v>
      </c>
      <c r="L3487" t="s">
        <v>26</v>
      </c>
      <c r="M3487">
        <v>336522</v>
      </c>
      <c r="N3487">
        <v>1</v>
      </c>
      <c r="O3487" s="3">
        <v>74950</v>
      </c>
      <c r="P3487" s="3">
        <v>23119</v>
      </c>
      <c r="Q3487" s="5">
        <f t="shared" si="162"/>
        <v>62983.193277310929</v>
      </c>
      <c r="R3487" s="5">
        <f t="shared" si="163"/>
        <v>23119</v>
      </c>
      <c r="S3487" s="5">
        <f t="shared" si="164"/>
        <v>39864.193277310929</v>
      </c>
    </row>
    <row r="3488" spans="1:19" hidden="1" x14ac:dyDescent="0.3">
      <c r="A3488">
        <v>170</v>
      </c>
      <c r="B3488" t="s">
        <v>4809</v>
      </c>
      <c r="C3488" t="s">
        <v>5089</v>
      </c>
      <c r="D3488" s="2" t="s">
        <v>5090</v>
      </c>
      <c r="E3488" t="s">
        <v>3345</v>
      </c>
      <c r="F3488" t="s">
        <v>20</v>
      </c>
      <c r="G3488" t="s">
        <v>338</v>
      </c>
      <c r="H3488">
        <v>25354</v>
      </c>
      <c r="I3488" t="s">
        <v>23</v>
      </c>
      <c r="J3488" t="s">
        <v>35</v>
      </c>
      <c r="K3488" s="2" t="s">
        <v>1072</v>
      </c>
      <c r="L3488" t="s">
        <v>26</v>
      </c>
      <c r="M3488">
        <v>336522</v>
      </c>
      <c r="N3488">
        <v>1</v>
      </c>
      <c r="O3488" s="3">
        <v>69950</v>
      </c>
      <c r="P3488" s="3">
        <v>21167</v>
      </c>
      <c r="Q3488" s="5">
        <f t="shared" si="162"/>
        <v>58781.512605042022</v>
      </c>
      <c r="R3488" s="5">
        <f t="shared" si="163"/>
        <v>21167</v>
      </c>
      <c r="S3488" s="5">
        <f t="shared" si="164"/>
        <v>37614.512605042022</v>
      </c>
    </row>
    <row r="3489" spans="1:19" hidden="1" x14ac:dyDescent="0.3">
      <c r="A3489">
        <v>170</v>
      </c>
      <c r="B3489" t="s">
        <v>4809</v>
      </c>
      <c r="C3489" t="s">
        <v>5091</v>
      </c>
      <c r="D3489" s="2" t="s">
        <v>5092</v>
      </c>
      <c r="E3489" t="s">
        <v>4574</v>
      </c>
      <c r="F3489" t="s">
        <v>20</v>
      </c>
      <c r="G3489" t="s">
        <v>21</v>
      </c>
      <c r="H3489" t="s">
        <v>3028</v>
      </c>
      <c r="I3489" t="s">
        <v>23</v>
      </c>
      <c r="J3489" t="s">
        <v>35</v>
      </c>
      <c r="K3489" s="2" t="s">
        <v>1072</v>
      </c>
      <c r="L3489" t="s">
        <v>26</v>
      </c>
      <c r="M3489">
        <v>336523</v>
      </c>
      <c r="N3489">
        <v>1</v>
      </c>
      <c r="O3489" s="3">
        <v>99950</v>
      </c>
      <c r="P3489" s="3">
        <v>53748</v>
      </c>
      <c r="Q3489" s="5">
        <f t="shared" si="162"/>
        <v>83991.596638655465</v>
      </c>
      <c r="R3489" s="5">
        <f t="shared" si="163"/>
        <v>53748</v>
      </c>
      <c r="S3489" s="5">
        <f t="shared" si="164"/>
        <v>30243.596638655465</v>
      </c>
    </row>
    <row r="3490" spans="1:19" hidden="1" x14ac:dyDescent="0.3">
      <c r="A3490">
        <v>170</v>
      </c>
      <c r="B3490" t="s">
        <v>4809</v>
      </c>
      <c r="C3490" t="s">
        <v>2299</v>
      </c>
      <c r="D3490" s="2" t="s">
        <v>2300</v>
      </c>
      <c r="E3490" t="s">
        <v>2301</v>
      </c>
      <c r="F3490" t="s">
        <v>20</v>
      </c>
      <c r="G3490" t="s">
        <v>21</v>
      </c>
      <c r="H3490" t="s">
        <v>1124</v>
      </c>
      <c r="I3490" t="s">
        <v>23</v>
      </c>
      <c r="J3490" t="s">
        <v>24</v>
      </c>
      <c r="K3490" s="2" t="s">
        <v>1072</v>
      </c>
      <c r="L3490" t="s">
        <v>26</v>
      </c>
      <c r="M3490">
        <v>336524</v>
      </c>
      <c r="N3490">
        <v>1</v>
      </c>
      <c r="O3490" s="3">
        <v>74950</v>
      </c>
      <c r="P3490" s="3">
        <v>25834</v>
      </c>
      <c r="Q3490" s="5">
        <f t="shared" si="162"/>
        <v>62983.193277310929</v>
      </c>
      <c r="R3490" s="5">
        <f t="shared" si="163"/>
        <v>25834</v>
      </c>
      <c r="S3490" s="5">
        <f t="shared" si="164"/>
        <v>37149.193277310929</v>
      </c>
    </row>
    <row r="3491" spans="1:19" hidden="1" x14ac:dyDescent="0.3">
      <c r="A3491">
        <v>170</v>
      </c>
      <c r="B3491" t="s">
        <v>4809</v>
      </c>
      <c r="C3491" t="s">
        <v>1419</v>
      </c>
      <c r="D3491" s="2" t="s">
        <v>1420</v>
      </c>
      <c r="E3491" t="s">
        <v>1421</v>
      </c>
      <c r="F3491" t="s">
        <v>20</v>
      </c>
      <c r="G3491" t="s">
        <v>21</v>
      </c>
      <c r="H3491" t="s">
        <v>1422</v>
      </c>
      <c r="I3491" t="s">
        <v>23</v>
      </c>
      <c r="J3491" t="s">
        <v>49</v>
      </c>
      <c r="K3491" s="2" t="s">
        <v>1072</v>
      </c>
      <c r="L3491" t="s">
        <v>26</v>
      </c>
      <c r="M3491">
        <v>336524</v>
      </c>
      <c r="N3491">
        <v>1</v>
      </c>
      <c r="O3491" s="3">
        <v>63700</v>
      </c>
      <c r="P3491" s="3">
        <v>25183</v>
      </c>
      <c r="Q3491" s="5">
        <f t="shared" si="162"/>
        <v>53529.411764705888</v>
      </c>
      <c r="R3491" s="5">
        <f t="shared" si="163"/>
        <v>25183</v>
      </c>
      <c r="S3491" s="5">
        <f t="shared" si="164"/>
        <v>28346.411764705888</v>
      </c>
    </row>
    <row r="3492" spans="1:19" hidden="1" x14ac:dyDescent="0.3">
      <c r="A3492">
        <v>170</v>
      </c>
      <c r="B3492" t="s">
        <v>4809</v>
      </c>
      <c r="C3492" t="s">
        <v>2654</v>
      </c>
      <c r="D3492" s="2" t="s">
        <v>2655</v>
      </c>
      <c r="E3492" t="s">
        <v>2468</v>
      </c>
      <c r="F3492" t="s">
        <v>20</v>
      </c>
      <c r="G3492" t="s">
        <v>21</v>
      </c>
      <c r="H3492" t="s">
        <v>2469</v>
      </c>
      <c r="I3492" t="s">
        <v>23</v>
      </c>
      <c r="J3492" t="s">
        <v>49</v>
      </c>
      <c r="K3492" s="2" t="s">
        <v>1072</v>
      </c>
      <c r="L3492" t="s">
        <v>26</v>
      </c>
      <c r="M3492">
        <v>336524</v>
      </c>
      <c r="N3492">
        <v>1</v>
      </c>
      <c r="O3492" s="3">
        <v>64950</v>
      </c>
      <c r="P3492" s="3">
        <v>19040</v>
      </c>
      <c r="Q3492" s="5">
        <f t="shared" si="162"/>
        <v>54579.831932773115</v>
      </c>
      <c r="R3492" s="5">
        <f t="shared" si="163"/>
        <v>19040</v>
      </c>
      <c r="S3492" s="5">
        <f t="shared" si="164"/>
        <v>35539.831932773115</v>
      </c>
    </row>
    <row r="3493" spans="1:19" hidden="1" x14ac:dyDescent="0.3">
      <c r="A3493">
        <v>170</v>
      </c>
      <c r="B3493" t="s">
        <v>4809</v>
      </c>
      <c r="C3493" t="s">
        <v>4212</v>
      </c>
      <c r="D3493" s="2" t="s">
        <v>4213</v>
      </c>
      <c r="E3493" t="s">
        <v>1443</v>
      </c>
      <c r="F3493" t="s">
        <v>20</v>
      </c>
      <c r="G3493" t="s">
        <v>338</v>
      </c>
      <c r="H3493">
        <v>25301</v>
      </c>
      <c r="I3493" t="s">
        <v>23</v>
      </c>
      <c r="J3493" t="s">
        <v>35</v>
      </c>
      <c r="K3493" s="2" t="s">
        <v>1072</v>
      </c>
      <c r="L3493" t="s">
        <v>26</v>
      </c>
      <c r="M3493">
        <v>336525</v>
      </c>
      <c r="N3493">
        <v>1</v>
      </c>
      <c r="O3493" s="3">
        <v>99950</v>
      </c>
      <c r="P3493" s="3">
        <v>34157</v>
      </c>
      <c r="Q3493" s="5">
        <f t="shared" si="162"/>
        <v>83991.596638655465</v>
      </c>
      <c r="R3493" s="5">
        <f t="shared" si="163"/>
        <v>34157</v>
      </c>
      <c r="S3493" s="5">
        <f t="shared" si="164"/>
        <v>49834.596638655465</v>
      </c>
    </row>
    <row r="3494" spans="1:19" hidden="1" x14ac:dyDescent="0.3">
      <c r="A3494">
        <v>170</v>
      </c>
      <c r="B3494" t="s">
        <v>4809</v>
      </c>
      <c r="C3494" t="s">
        <v>5093</v>
      </c>
      <c r="D3494" s="2" t="s">
        <v>5094</v>
      </c>
      <c r="E3494" t="s">
        <v>3340</v>
      </c>
      <c r="F3494" t="s">
        <v>20</v>
      </c>
      <c r="G3494" t="s">
        <v>338</v>
      </c>
      <c r="H3494">
        <v>25097</v>
      </c>
      <c r="I3494" t="s">
        <v>23</v>
      </c>
      <c r="J3494" t="s">
        <v>24</v>
      </c>
      <c r="K3494" s="2" t="s">
        <v>1072</v>
      </c>
      <c r="L3494" t="s">
        <v>26</v>
      </c>
      <c r="M3494">
        <v>336526</v>
      </c>
      <c r="N3494">
        <v>1</v>
      </c>
      <c r="O3494" s="3">
        <v>74950</v>
      </c>
      <c r="P3494" s="3">
        <v>23242</v>
      </c>
      <c r="Q3494" s="5">
        <f t="shared" si="162"/>
        <v>62983.193277310929</v>
      </c>
      <c r="R3494" s="5">
        <f t="shared" si="163"/>
        <v>23242</v>
      </c>
      <c r="S3494" s="5">
        <f t="shared" si="164"/>
        <v>39741.193277310929</v>
      </c>
    </row>
    <row r="3495" spans="1:19" hidden="1" x14ac:dyDescent="0.3">
      <c r="A3495">
        <v>170</v>
      </c>
      <c r="B3495" t="s">
        <v>4809</v>
      </c>
      <c r="C3495" t="s">
        <v>5008</v>
      </c>
      <c r="D3495" s="2" t="s">
        <v>5009</v>
      </c>
      <c r="E3495" t="s">
        <v>2632</v>
      </c>
      <c r="F3495" t="s">
        <v>20</v>
      </c>
      <c r="G3495" t="s">
        <v>21</v>
      </c>
      <c r="H3495" t="s">
        <v>2469</v>
      </c>
      <c r="I3495" t="s">
        <v>23</v>
      </c>
      <c r="J3495" t="s">
        <v>49</v>
      </c>
      <c r="K3495" s="2" t="s">
        <v>1072</v>
      </c>
      <c r="L3495" t="s">
        <v>26</v>
      </c>
      <c r="M3495">
        <v>336527</v>
      </c>
      <c r="N3495">
        <v>1</v>
      </c>
      <c r="O3495" s="3">
        <v>55200</v>
      </c>
      <c r="P3495" s="3">
        <v>21368</v>
      </c>
      <c r="Q3495" s="5">
        <f t="shared" si="162"/>
        <v>46386.554621848743</v>
      </c>
      <c r="R3495" s="5">
        <f t="shared" si="163"/>
        <v>21368</v>
      </c>
      <c r="S3495" s="5">
        <f t="shared" si="164"/>
        <v>25018.554621848743</v>
      </c>
    </row>
    <row r="3496" spans="1:19" hidden="1" x14ac:dyDescent="0.3">
      <c r="A3496">
        <v>170</v>
      </c>
      <c r="B3496" t="s">
        <v>4809</v>
      </c>
      <c r="C3496" t="s">
        <v>4103</v>
      </c>
      <c r="D3496" s="2" t="s">
        <v>4104</v>
      </c>
      <c r="E3496" t="s">
        <v>3335</v>
      </c>
      <c r="F3496" t="s">
        <v>20</v>
      </c>
      <c r="G3496" t="s">
        <v>338</v>
      </c>
      <c r="H3496">
        <v>25273</v>
      </c>
      <c r="I3496" t="s">
        <v>23</v>
      </c>
      <c r="J3496" t="s">
        <v>35</v>
      </c>
      <c r="K3496" s="2" t="s">
        <v>1072</v>
      </c>
      <c r="L3496" t="s">
        <v>26</v>
      </c>
      <c r="M3496">
        <v>336528</v>
      </c>
      <c r="N3496">
        <v>1</v>
      </c>
      <c r="O3496" s="3">
        <v>84950</v>
      </c>
      <c r="P3496" s="3">
        <v>32658</v>
      </c>
      <c r="Q3496" s="5">
        <f t="shared" si="162"/>
        <v>71386.554621848743</v>
      </c>
      <c r="R3496" s="5">
        <f t="shared" si="163"/>
        <v>32658</v>
      </c>
      <c r="S3496" s="5">
        <f t="shared" si="164"/>
        <v>38728.554621848743</v>
      </c>
    </row>
    <row r="3497" spans="1:19" hidden="1" x14ac:dyDescent="0.3">
      <c r="A3497">
        <v>170</v>
      </c>
      <c r="B3497" t="s">
        <v>4809</v>
      </c>
      <c r="C3497" t="s">
        <v>3447</v>
      </c>
      <c r="D3497" s="2" t="s">
        <v>3448</v>
      </c>
      <c r="E3497" t="s">
        <v>3449</v>
      </c>
      <c r="F3497" t="s">
        <v>20</v>
      </c>
      <c r="G3497" t="s">
        <v>338</v>
      </c>
      <c r="H3497">
        <v>25366</v>
      </c>
      <c r="I3497" t="s">
        <v>23</v>
      </c>
      <c r="J3497" t="s">
        <v>35</v>
      </c>
      <c r="K3497" s="2" t="s">
        <v>1072</v>
      </c>
      <c r="L3497" t="s">
        <v>26</v>
      </c>
      <c r="M3497">
        <v>336528</v>
      </c>
      <c r="N3497">
        <v>1</v>
      </c>
      <c r="O3497" s="3">
        <v>99950</v>
      </c>
      <c r="P3497" s="3">
        <v>33157</v>
      </c>
      <c r="Q3497" s="5">
        <f t="shared" si="162"/>
        <v>83991.596638655465</v>
      </c>
      <c r="R3497" s="5">
        <f t="shared" si="163"/>
        <v>33157</v>
      </c>
      <c r="S3497" s="5">
        <f t="shared" si="164"/>
        <v>50834.596638655465</v>
      </c>
    </row>
    <row r="3498" spans="1:19" hidden="1" x14ac:dyDescent="0.3">
      <c r="A3498">
        <v>170</v>
      </c>
      <c r="B3498" t="s">
        <v>4809</v>
      </c>
      <c r="C3498" t="s">
        <v>4502</v>
      </c>
      <c r="D3498" s="2" t="s">
        <v>4503</v>
      </c>
      <c r="E3498" t="s">
        <v>3914</v>
      </c>
      <c r="F3498" t="s">
        <v>20</v>
      </c>
      <c r="G3498" t="s">
        <v>338</v>
      </c>
      <c r="H3498">
        <v>24316</v>
      </c>
      <c r="I3498" t="s">
        <v>23</v>
      </c>
      <c r="J3498" t="s">
        <v>49</v>
      </c>
      <c r="K3498" s="2" t="s">
        <v>1072</v>
      </c>
      <c r="L3498" t="s">
        <v>26</v>
      </c>
      <c r="M3498">
        <v>336529</v>
      </c>
      <c r="N3498">
        <v>1</v>
      </c>
      <c r="O3498" s="3">
        <v>74950</v>
      </c>
      <c r="P3498" s="3">
        <v>23473</v>
      </c>
      <c r="Q3498" s="5">
        <f t="shared" si="162"/>
        <v>62983.193277310929</v>
      </c>
      <c r="R3498" s="5">
        <f t="shared" si="163"/>
        <v>23473</v>
      </c>
      <c r="S3498" s="5">
        <f t="shared" si="164"/>
        <v>39510.193277310929</v>
      </c>
    </row>
    <row r="3499" spans="1:19" hidden="1" x14ac:dyDescent="0.3">
      <c r="A3499">
        <v>170</v>
      </c>
      <c r="B3499" t="s">
        <v>4809</v>
      </c>
      <c r="C3499" t="s">
        <v>4453</v>
      </c>
      <c r="D3499" s="2" t="s">
        <v>4454</v>
      </c>
      <c r="E3499" t="s">
        <v>4455</v>
      </c>
      <c r="F3499" t="s">
        <v>377</v>
      </c>
      <c r="G3499" t="s">
        <v>21</v>
      </c>
      <c r="H3499" t="s">
        <v>378</v>
      </c>
      <c r="I3499" t="s">
        <v>23</v>
      </c>
      <c r="J3499" t="s">
        <v>2459</v>
      </c>
      <c r="K3499" s="2" t="s">
        <v>1072</v>
      </c>
      <c r="L3499" t="s">
        <v>26</v>
      </c>
      <c r="M3499">
        <v>336530</v>
      </c>
      <c r="N3499">
        <v>1</v>
      </c>
      <c r="O3499" s="3">
        <v>3950</v>
      </c>
      <c r="P3499" s="3">
        <v>1607</v>
      </c>
      <c r="Q3499" s="5">
        <f t="shared" si="162"/>
        <v>3319.3277310924373</v>
      </c>
      <c r="R3499" s="5">
        <f t="shared" si="163"/>
        <v>1607</v>
      </c>
      <c r="S3499" s="5">
        <f t="shared" si="164"/>
        <v>1712.3277310924373</v>
      </c>
    </row>
    <row r="3500" spans="1:19" hidden="1" x14ac:dyDescent="0.3">
      <c r="A3500">
        <v>170</v>
      </c>
      <c r="B3500" t="s">
        <v>4809</v>
      </c>
      <c r="C3500" t="s">
        <v>5022</v>
      </c>
      <c r="D3500" s="2" t="s">
        <v>5023</v>
      </c>
      <c r="E3500" t="s">
        <v>4455</v>
      </c>
      <c r="F3500" t="s">
        <v>377</v>
      </c>
      <c r="G3500" t="s">
        <v>21</v>
      </c>
      <c r="H3500" t="s">
        <v>378</v>
      </c>
      <c r="I3500" t="s">
        <v>23</v>
      </c>
      <c r="J3500" t="s">
        <v>2459</v>
      </c>
      <c r="K3500" s="2" t="s">
        <v>1072</v>
      </c>
      <c r="L3500" t="s">
        <v>26</v>
      </c>
      <c r="M3500">
        <v>336530</v>
      </c>
      <c r="N3500">
        <v>1</v>
      </c>
      <c r="O3500" s="3">
        <v>3950</v>
      </c>
      <c r="P3500" s="3">
        <v>1606</v>
      </c>
      <c r="Q3500" s="5">
        <f t="shared" si="162"/>
        <v>3319.3277310924373</v>
      </c>
      <c r="R3500" s="5">
        <f t="shared" si="163"/>
        <v>1606</v>
      </c>
      <c r="S3500" s="5">
        <f t="shared" si="164"/>
        <v>1713.3277310924373</v>
      </c>
    </row>
    <row r="3501" spans="1:19" hidden="1" x14ac:dyDescent="0.3">
      <c r="A3501">
        <v>170</v>
      </c>
      <c r="B3501" t="s">
        <v>4809</v>
      </c>
      <c r="C3501" t="s">
        <v>5095</v>
      </c>
      <c r="D3501" s="2" t="s">
        <v>5096</v>
      </c>
      <c r="E3501" t="s">
        <v>2370</v>
      </c>
      <c r="F3501" t="s">
        <v>20</v>
      </c>
      <c r="G3501" t="s">
        <v>338</v>
      </c>
      <c r="H3501">
        <v>24200</v>
      </c>
      <c r="I3501" t="s">
        <v>23</v>
      </c>
      <c r="J3501" t="s">
        <v>95</v>
      </c>
      <c r="K3501" s="2" t="s">
        <v>2693</v>
      </c>
      <c r="L3501" t="s">
        <v>26</v>
      </c>
      <c r="M3501">
        <v>336531</v>
      </c>
      <c r="N3501">
        <v>1</v>
      </c>
      <c r="O3501" s="3">
        <v>84950</v>
      </c>
      <c r="P3501" s="3">
        <v>28401</v>
      </c>
      <c r="Q3501" s="5">
        <f t="shared" si="162"/>
        <v>71386.554621848743</v>
      </c>
      <c r="R3501" s="5">
        <f t="shared" si="163"/>
        <v>28401</v>
      </c>
      <c r="S3501" s="5">
        <f t="shared" si="164"/>
        <v>42985.554621848743</v>
      </c>
    </row>
    <row r="3502" spans="1:19" hidden="1" x14ac:dyDescent="0.3">
      <c r="A3502">
        <v>170</v>
      </c>
      <c r="B3502" t="s">
        <v>4809</v>
      </c>
      <c r="C3502" t="s">
        <v>3791</v>
      </c>
      <c r="D3502" s="2" t="s">
        <v>3792</v>
      </c>
      <c r="E3502" t="s">
        <v>1453</v>
      </c>
      <c r="F3502" t="s">
        <v>20</v>
      </c>
      <c r="G3502" t="s">
        <v>338</v>
      </c>
      <c r="H3502">
        <v>22410</v>
      </c>
      <c r="I3502" t="s">
        <v>23</v>
      </c>
      <c r="J3502" t="s">
        <v>49</v>
      </c>
      <c r="K3502" s="2" t="s">
        <v>2693</v>
      </c>
      <c r="L3502" t="s">
        <v>26</v>
      </c>
      <c r="M3502">
        <v>336532</v>
      </c>
      <c r="N3502">
        <v>1</v>
      </c>
      <c r="O3502" s="3">
        <v>69950</v>
      </c>
      <c r="P3502" s="3">
        <v>20848</v>
      </c>
      <c r="Q3502" s="5">
        <f t="shared" si="162"/>
        <v>58781.512605042022</v>
      </c>
      <c r="R3502" s="5">
        <f t="shared" si="163"/>
        <v>20848</v>
      </c>
      <c r="S3502" s="5">
        <f t="shared" si="164"/>
        <v>37933.512605042022</v>
      </c>
    </row>
    <row r="3503" spans="1:19" hidden="1" x14ac:dyDescent="0.3">
      <c r="A3503">
        <v>170</v>
      </c>
      <c r="B3503" t="s">
        <v>4809</v>
      </c>
      <c r="C3503" t="s">
        <v>2312</v>
      </c>
      <c r="D3503" s="2" t="s">
        <v>2313</v>
      </c>
      <c r="E3503" t="s">
        <v>2314</v>
      </c>
      <c r="F3503" t="s">
        <v>20</v>
      </c>
      <c r="G3503" t="s">
        <v>21</v>
      </c>
      <c r="H3503" t="s">
        <v>2315</v>
      </c>
      <c r="I3503" t="s">
        <v>23</v>
      </c>
      <c r="J3503" t="s">
        <v>49</v>
      </c>
      <c r="K3503" s="2" t="s">
        <v>2693</v>
      </c>
      <c r="L3503" t="s">
        <v>26</v>
      </c>
      <c r="M3503">
        <v>336533</v>
      </c>
      <c r="N3503">
        <v>-1</v>
      </c>
      <c r="O3503" s="3">
        <v>-74950</v>
      </c>
      <c r="P3503" s="3">
        <v>29090</v>
      </c>
      <c r="Q3503" s="5">
        <f t="shared" si="162"/>
        <v>-62983.193277310929</v>
      </c>
      <c r="R3503" s="5">
        <f t="shared" si="163"/>
        <v>-29090</v>
      </c>
      <c r="S3503" s="5">
        <f t="shared" si="164"/>
        <v>-33893.193277310929</v>
      </c>
    </row>
    <row r="3504" spans="1:19" hidden="1" x14ac:dyDescent="0.3">
      <c r="A3504">
        <v>170</v>
      </c>
      <c r="B3504" t="s">
        <v>4809</v>
      </c>
      <c r="C3504" t="s">
        <v>3336</v>
      </c>
      <c r="D3504" s="2" t="s">
        <v>3337</v>
      </c>
      <c r="E3504" t="s">
        <v>3335</v>
      </c>
      <c r="F3504" t="s">
        <v>20</v>
      </c>
      <c r="G3504" t="s">
        <v>338</v>
      </c>
      <c r="H3504">
        <v>25273</v>
      </c>
      <c r="I3504" t="s">
        <v>23</v>
      </c>
      <c r="J3504" t="s">
        <v>35</v>
      </c>
      <c r="K3504" s="2" t="s">
        <v>2693</v>
      </c>
      <c r="L3504" t="s">
        <v>26</v>
      </c>
      <c r="M3504">
        <v>336533</v>
      </c>
      <c r="N3504">
        <v>1</v>
      </c>
      <c r="O3504" s="3">
        <v>99950</v>
      </c>
      <c r="P3504" s="3">
        <v>32658</v>
      </c>
      <c r="Q3504" s="5">
        <f t="shared" si="162"/>
        <v>83991.596638655465</v>
      </c>
      <c r="R3504" s="5">
        <f t="shared" si="163"/>
        <v>32658</v>
      </c>
      <c r="S3504" s="5">
        <f t="shared" si="164"/>
        <v>51333.596638655465</v>
      </c>
    </row>
    <row r="3505" spans="1:19" hidden="1" x14ac:dyDescent="0.3">
      <c r="A3505">
        <v>170</v>
      </c>
      <c r="B3505" t="s">
        <v>4809</v>
      </c>
      <c r="C3505" t="s">
        <v>5097</v>
      </c>
      <c r="D3505" s="2" t="s">
        <v>5098</v>
      </c>
      <c r="E3505" t="s">
        <v>2284</v>
      </c>
      <c r="F3505" t="s">
        <v>20</v>
      </c>
      <c r="G3505" t="s">
        <v>21</v>
      </c>
      <c r="H3505" t="s">
        <v>247</v>
      </c>
      <c r="I3505" t="s">
        <v>23</v>
      </c>
      <c r="J3505" t="s">
        <v>40</v>
      </c>
      <c r="K3505" s="2" t="s">
        <v>2693</v>
      </c>
      <c r="L3505" t="s">
        <v>26</v>
      </c>
      <c r="M3505">
        <v>336534</v>
      </c>
      <c r="N3505">
        <v>1</v>
      </c>
      <c r="O3505" s="3">
        <v>59950</v>
      </c>
      <c r="P3505" s="3">
        <v>16541</v>
      </c>
      <c r="Q3505" s="5">
        <f t="shared" si="162"/>
        <v>50378.151260504201</v>
      </c>
      <c r="R3505" s="5">
        <f t="shared" si="163"/>
        <v>16541</v>
      </c>
      <c r="S3505" s="5">
        <f t="shared" si="164"/>
        <v>33837.151260504201</v>
      </c>
    </row>
    <row r="3506" spans="1:19" hidden="1" x14ac:dyDescent="0.3">
      <c r="A3506">
        <v>170</v>
      </c>
      <c r="B3506" t="s">
        <v>4809</v>
      </c>
      <c r="C3506" t="s">
        <v>3343</v>
      </c>
      <c r="D3506" s="2" t="s">
        <v>3344</v>
      </c>
      <c r="E3506" t="s">
        <v>3345</v>
      </c>
      <c r="F3506" t="s">
        <v>20</v>
      </c>
      <c r="G3506" t="s">
        <v>338</v>
      </c>
      <c r="H3506">
        <v>25354</v>
      </c>
      <c r="I3506" t="s">
        <v>23</v>
      </c>
      <c r="J3506" t="s">
        <v>35</v>
      </c>
      <c r="K3506" s="2" t="s">
        <v>2693</v>
      </c>
      <c r="L3506" t="s">
        <v>26</v>
      </c>
      <c r="M3506">
        <v>336534</v>
      </c>
      <c r="N3506">
        <v>1</v>
      </c>
      <c r="O3506" s="3">
        <v>59450</v>
      </c>
      <c r="P3506" s="3">
        <v>21167</v>
      </c>
      <c r="Q3506" s="5">
        <f t="shared" si="162"/>
        <v>49957.983193277316</v>
      </c>
      <c r="R3506" s="5">
        <f t="shared" si="163"/>
        <v>21167</v>
      </c>
      <c r="S3506" s="5">
        <f t="shared" si="164"/>
        <v>28790.983193277316</v>
      </c>
    </row>
    <row r="3507" spans="1:19" hidden="1" x14ac:dyDescent="0.3">
      <c r="A3507">
        <v>170</v>
      </c>
      <c r="B3507" t="s">
        <v>4809</v>
      </c>
      <c r="C3507" t="s">
        <v>3025</v>
      </c>
      <c r="D3507" s="2" t="s">
        <v>3026</v>
      </c>
      <c r="E3507" t="s">
        <v>3027</v>
      </c>
      <c r="F3507" t="s">
        <v>20</v>
      </c>
      <c r="G3507" t="s">
        <v>21</v>
      </c>
      <c r="H3507" t="s">
        <v>3028</v>
      </c>
      <c r="I3507" t="s">
        <v>23</v>
      </c>
      <c r="J3507" t="s">
        <v>35</v>
      </c>
      <c r="K3507" s="2" t="s">
        <v>2693</v>
      </c>
      <c r="L3507" t="s">
        <v>26</v>
      </c>
      <c r="M3507">
        <v>336535</v>
      </c>
      <c r="N3507">
        <v>1</v>
      </c>
      <c r="O3507" s="3">
        <v>84950</v>
      </c>
      <c r="P3507" s="3">
        <v>53748</v>
      </c>
      <c r="Q3507" s="5">
        <f t="shared" si="162"/>
        <v>71386.554621848743</v>
      </c>
      <c r="R3507" s="5">
        <f t="shared" si="163"/>
        <v>53748</v>
      </c>
      <c r="S3507" s="5">
        <f t="shared" si="164"/>
        <v>17638.554621848743</v>
      </c>
    </row>
    <row r="3508" spans="1:19" hidden="1" x14ac:dyDescent="0.3">
      <c r="A3508">
        <v>170</v>
      </c>
      <c r="B3508" t="s">
        <v>4809</v>
      </c>
      <c r="C3508" t="s">
        <v>5057</v>
      </c>
      <c r="D3508" s="2" t="s">
        <v>5058</v>
      </c>
      <c r="E3508" t="s">
        <v>3666</v>
      </c>
      <c r="F3508" t="s">
        <v>20</v>
      </c>
      <c r="G3508" t="s">
        <v>338</v>
      </c>
      <c r="H3508">
        <v>24316</v>
      </c>
      <c r="I3508" t="s">
        <v>23</v>
      </c>
      <c r="J3508" t="s">
        <v>49</v>
      </c>
      <c r="K3508" s="2" t="s">
        <v>2693</v>
      </c>
      <c r="L3508" t="s">
        <v>26</v>
      </c>
      <c r="M3508">
        <v>336535</v>
      </c>
      <c r="N3508">
        <v>1</v>
      </c>
      <c r="O3508" s="3">
        <v>74950</v>
      </c>
      <c r="P3508" s="3">
        <v>23473</v>
      </c>
      <c r="Q3508" s="5">
        <f t="shared" si="162"/>
        <v>62983.193277310929</v>
      </c>
      <c r="R3508" s="5">
        <f t="shared" si="163"/>
        <v>23473</v>
      </c>
      <c r="S3508" s="5">
        <f t="shared" si="164"/>
        <v>39510.193277310929</v>
      </c>
    </row>
    <row r="3509" spans="1:19" hidden="1" x14ac:dyDescent="0.3">
      <c r="A3509">
        <v>170</v>
      </c>
      <c r="B3509" t="s">
        <v>4809</v>
      </c>
      <c r="C3509" t="s">
        <v>3829</v>
      </c>
      <c r="D3509" s="2" t="s">
        <v>3830</v>
      </c>
      <c r="E3509" t="s">
        <v>2163</v>
      </c>
      <c r="F3509" t="s">
        <v>20</v>
      </c>
      <c r="G3509" t="s">
        <v>21</v>
      </c>
      <c r="H3509" t="s">
        <v>970</v>
      </c>
      <c r="I3509" t="s">
        <v>23</v>
      </c>
      <c r="J3509" t="s">
        <v>40</v>
      </c>
      <c r="K3509" s="2" t="s">
        <v>2693</v>
      </c>
      <c r="L3509" t="s">
        <v>26</v>
      </c>
      <c r="M3509">
        <v>336536</v>
      </c>
      <c r="N3509">
        <v>1</v>
      </c>
      <c r="O3509" s="3">
        <v>59950</v>
      </c>
      <c r="P3509" s="3">
        <v>19352</v>
      </c>
      <c r="Q3509" s="5">
        <f t="shared" si="162"/>
        <v>50378.151260504201</v>
      </c>
      <c r="R3509" s="5">
        <f t="shared" si="163"/>
        <v>19352</v>
      </c>
      <c r="S3509" s="5">
        <f t="shared" si="164"/>
        <v>31026.151260504201</v>
      </c>
    </row>
    <row r="3510" spans="1:19" hidden="1" x14ac:dyDescent="0.3">
      <c r="A3510">
        <v>170</v>
      </c>
      <c r="B3510" t="s">
        <v>4809</v>
      </c>
      <c r="C3510" t="s">
        <v>5099</v>
      </c>
      <c r="D3510" s="2" t="s">
        <v>5100</v>
      </c>
      <c r="E3510" t="s">
        <v>2188</v>
      </c>
      <c r="F3510" t="s">
        <v>20</v>
      </c>
      <c r="G3510" t="s">
        <v>21</v>
      </c>
      <c r="H3510" t="s">
        <v>2189</v>
      </c>
      <c r="I3510" t="s">
        <v>23</v>
      </c>
      <c r="J3510" t="s">
        <v>40</v>
      </c>
      <c r="K3510" s="2" t="s">
        <v>2693</v>
      </c>
      <c r="L3510" t="s">
        <v>26</v>
      </c>
      <c r="M3510">
        <v>336536</v>
      </c>
      <c r="N3510">
        <v>1</v>
      </c>
      <c r="O3510" s="3">
        <v>63700</v>
      </c>
      <c r="P3510" s="3">
        <v>27722</v>
      </c>
      <c r="Q3510" s="5">
        <f t="shared" si="162"/>
        <v>53529.411764705888</v>
      </c>
      <c r="R3510" s="5">
        <f t="shared" si="163"/>
        <v>27722</v>
      </c>
      <c r="S3510" s="5">
        <f t="shared" si="164"/>
        <v>25807.411764705888</v>
      </c>
    </row>
    <row r="3511" spans="1:19" hidden="1" x14ac:dyDescent="0.3">
      <c r="A3511">
        <v>170</v>
      </c>
      <c r="B3511" t="s">
        <v>4809</v>
      </c>
      <c r="C3511" t="s">
        <v>2485</v>
      </c>
      <c r="D3511" s="2" t="s">
        <v>2486</v>
      </c>
      <c r="E3511" t="s">
        <v>2487</v>
      </c>
      <c r="F3511" t="s">
        <v>377</v>
      </c>
      <c r="G3511" t="s">
        <v>21</v>
      </c>
      <c r="H3511" t="s">
        <v>378</v>
      </c>
      <c r="I3511" t="s">
        <v>23</v>
      </c>
      <c r="J3511" t="s">
        <v>379</v>
      </c>
      <c r="K3511" s="2" t="s">
        <v>2693</v>
      </c>
      <c r="L3511" t="s">
        <v>26</v>
      </c>
      <c r="M3511">
        <v>336537</v>
      </c>
      <c r="N3511">
        <v>1</v>
      </c>
      <c r="O3511" s="3">
        <v>5950</v>
      </c>
      <c r="P3511" s="3">
        <v>2243</v>
      </c>
      <c r="Q3511" s="5">
        <f t="shared" si="162"/>
        <v>5000</v>
      </c>
      <c r="R3511" s="5">
        <f t="shared" si="163"/>
        <v>2243</v>
      </c>
      <c r="S3511" s="5">
        <f t="shared" si="164"/>
        <v>2757</v>
      </c>
    </row>
    <row r="3512" spans="1:19" hidden="1" x14ac:dyDescent="0.3">
      <c r="A3512">
        <v>170</v>
      </c>
      <c r="B3512" t="s">
        <v>4809</v>
      </c>
      <c r="C3512" t="s">
        <v>3912</v>
      </c>
      <c r="D3512" s="2" t="s">
        <v>3913</v>
      </c>
      <c r="E3512" t="s">
        <v>3914</v>
      </c>
      <c r="F3512" t="s">
        <v>20</v>
      </c>
      <c r="G3512" t="s">
        <v>338</v>
      </c>
      <c r="H3512">
        <v>24316</v>
      </c>
      <c r="I3512" t="s">
        <v>23</v>
      </c>
      <c r="J3512" t="s">
        <v>49</v>
      </c>
      <c r="K3512" s="2" t="s">
        <v>2693</v>
      </c>
      <c r="L3512" t="s">
        <v>26</v>
      </c>
      <c r="M3512">
        <v>336538</v>
      </c>
      <c r="N3512">
        <v>1</v>
      </c>
      <c r="O3512" s="3">
        <v>74950</v>
      </c>
      <c r="P3512" s="3">
        <v>23473</v>
      </c>
      <c r="Q3512" s="5">
        <f t="shared" si="162"/>
        <v>62983.193277310929</v>
      </c>
      <c r="R3512" s="5">
        <f t="shared" si="163"/>
        <v>23473</v>
      </c>
      <c r="S3512" s="5">
        <f t="shared" si="164"/>
        <v>39510.193277310929</v>
      </c>
    </row>
    <row r="3513" spans="1:19" hidden="1" x14ac:dyDescent="0.3">
      <c r="A3513">
        <v>170</v>
      </c>
      <c r="B3513" t="s">
        <v>4809</v>
      </c>
      <c r="C3513" t="s">
        <v>3367</v>
      </c>
      <c r="D3513" s="2" t="s">
        <v>3368</v>
      </c>
      <c r="E3513" t="s">
        <v>2902</v>
      </c>
      <c r="F3513" t="s">
        <v>20</v>
      </c>
      <c r="G3513" t="s">
        <v>21</v>
      </c>
      <c r="H3513" t="s">
        <v>267</v>
      </c>
      <c r="I3513" t="s">
        <v>23</v>
      </c>
      <c r="J3513" t="s">
        <v>49</v>
      </c>
      <c r="K3513" s="2" t="s">
        <v>2693</v>
      </c>
      <c r="L3513" t="s">
        <v>26</v>
      </c>
      <c r="M3513">
        <v>336539</v>
      </c>
      <c r="N3513">
        <v>1</v>
      </c>
      <c r="O3513" s="3">
        <v>55200</v>
      </c>
      <c r="P3513" s="3">
        <v>24504</v>
      </c>
      <c r="Q3513" s="5">
        <f t="shared" si="162"/>
        <v>46386.554621848743</v>
      </c>
      <c r="R3513" s="5">
        <f t="shared" si="163"/>
        <v>24504</v>
      </c>
      <c r="S3513" s="5">
        <f t="shared" si="164"/>
        <v>21882.554621848743</v>
      </c>
    </row>
    <row r="3514" spans="1:19" hidden="1" x14ac:dyDescent="0.3">
      <c r="A3514">
        <v>170</v>
      </c>
      <c r="B3514" t="s">
        <v>4809</v>
      </c>
      <c r="C3514" t="s">
        <v>2774</v>
      </c>
      <c r="D3514" s="2" t="s">
        <v>2775</v>
      </c>
      <c r="E3514" t="s">
        <v>266</v>
      </c>
      <c r="F3514" t="s">
        <v>20</v>
      </c>
      <c r="G3514" t="s">
        <v>21</v>
      </c>
      <c r="H3514" t="s">
        <v>267</v>
      </c>
      <c r="I3514" t="s">
        <v>23</v>
      </c>
      <c r="J3514" t="s">
        <v>49</v>
      </c>
      <c r="K3514" s="2" t="s">
        <v>2693</v>
      </c>
      <c r="L3514" t="s">
        <v>26</v>
      </c>
      <c r="M3514">
        <v>336539</v>
      </c>
      <c r="N3514">
        <v>1</v>
      </c>
      <c r="O3514" s="3">
        <v>64950</v>
      </c>
      <c r="P3514" s="3">
        <v>24504</v>
      </c>
      <c r="Q3514" s="5">
        <f t="shared" si="162"/>
        <v>54579.831932773115</v>
      </c>
      <c r="R3514" s="5">
        <f t="shared" si="163"/>
        <v>24504</v>
      </c>
      <c r="S3514" s="5">
        <f t="shared" si="164"/>
        <v>30075.831932773115</v>
      </c>
    </row>
    <row r="3515" spans="1:19" hidden="1" x14ac:dyDescent="0.3">
      <c r="A3515">
        <v>170</v>
      </c>
      <c r="B3515" t="s">
        <v>4809</v>
      </c>
      <c r="C3515" t="s">
        <v>988</v>
      </c>
      <c r="D3515" s="2" t="s">
        <v>989</v>
      </c>
      <c r="E3515" t="s">
        <v>990</v>
      </c>
      <c r="F3515" t="s">
        <v>20</v>
      </c>
      <c r="G3515" t="s">
        <v>21</v>
      </c>
      <c r="H3515" t="s">
        <v>991</v>
      </c>
      <c r="I3515" t="s">
        <v>23</v>
      </c>
      <c r="J3515" t="s">
        <v>49</v>
      </c>
      <c r="K3515" s="2" t="s">
        <v>2693</v>
      </c>
      <c r="L3515" t="s">
        <v>26</v>
      </c>
      <c r="M3515">
        <v>336540</v>
      </c>
      <c r="N3515">
        <v>1</v>
      </c>
      <c r="O3515" s="3">
        <v>69950</v>
      </c>
      <c r="P3515" s="3">
        <v>22162</v>
      </c>
      <c r="Q3515" s="5">
        <f t="shared" si="162"/>
        <v>58781.512605042022</v>
      </c>
      <c r="R3515" s="5">
        <f t="shared" si="163"/>
        <v>22162</v>
      </c>
      <c r="S3515" s="5">
        <f t="shared" si="164"/>
        <v>36619.512605042022</v>
      </c>
    </row>
    <row r="3516" spans="1:19" hidden="1" x14ac:dyDescent="0.3">
      <c r="A3516">
        <v>170</v>
      </c>
      <c r="B3516" t="s">
        <v>4809</v>
      </c>
      <c r="C3516" t="s">
        <v>5101</v>
      </c>
      <c r="D3516" s="2" t="s">
        <v>5102</v>
      </c>
      <c r="E3516" t="s">
        <v>4859</v>
      </c>
      <c r="F3516" t="s">
        <v>20</v>
      </c>
      <c r="G3516" t="s">
        <v>338</v>
      </c>
      <c r="H3516">
        <v>23624</v>
      </c>
      <c r="I3516" t="s">
        <v>23</v>
      </c>
      <c r="J3516" t="s">
        <v>40</v>
      </c>
      <c r="K3516" s="2" t="s">
        <v>2693</v>
      </c>
      <c r="L3516" t="s">
        <v>26</v>
      </c>
      <c r="M3516">
        <v>336541</v>
      </c>
      <c r="N3516">
        <v>1</v>
      </c>
      <c r="O3516" s="3">
        <v>79950</v>
      </c>
      <c r="P3516" s="3">
        <v>24718</v>
      </c>
      <c r="Q3516" s="5">
        <f t="shared" si="162"/>
        <v>67184.873949579836</v>
      </c>
      <c r="R3516" s="5">
        <f t="shared" si="163"/>
        <v>24718</v>
      </c>
      <c r="S3516" s="5">
        <f t="shared" si="164"/>
        <v>42466.873949579836</v>
      </c>
    </row>
    <row r="3517" spans="1:19" hidden="1" x14ac:dyDescent="0.3">
      <c r="A3517">
        <v>170</v>
      </c>
      <c r="B3517" t="s">
        <v>4809</v>
      </c>
      <c r="C3517" t="s">
        <v>2206</v>
      </c>
      <c r="D3517" s="2" t="s">
        <v>2207</v>
      </c>
      <c r="E3517" t="s">
        <v>2208</v>
      </c>
      <c r="F3517" t="s">
        <v>20</v>
      </c>
      <c r="G3517" t="s">
        <v>338</v>
      </c>
      <c r="H3517">
        <v>25823</v>
      </c>
      <c r="I3517" t="s">
        <v>23</v>
      </c>
      <c r="J3517" t="s">
        <v>35</v>
      </c>
      <c r="K3517" s="2" t="s">
        <v>2693</v>
      </c>
      <c r="L3517" t="s">
        <v>26</v>
      </c>
      <c r="M3517">
        <v>336541</v>
      </c>
      <c r="N3517">
        <v>1</v>
      </c>
      <c r="O3517" s="3">
        <v>84950</v>
      </c>
      <c r="P3517" s="3">
        <v>33748</v>
      </c>
      <c r="Q3517" s="5">
        <f t="shared" si="162"/>
        <v>71386.554621848743</v>
      </c>
      <c r="R3517" s="5">
        <f t="shared" si="163"/>
        <v>33748</v>
      </c>
      <c r="S3517" s="5">
        <f t="shared" si="164"/>
        <v>37638.554621848743</v>
      </c>
    </row>
    <row r="3518" spans="1:19" hidden="1" x14ac:dyDescent="0.3">
      <c r="A3518">
        <v>170</v>
      </c>
      <c r="B3518" t="s">
        <v>4809</v>
      </c>
      <c r="C3518" t="s">
        <v>719</v>
      </c>
      <c r="D3518" s="2" t="s">
        <v>720</v>
      </c>
      <c r="E3518" t="s">
        <v>721</v>
      </c>
      <c r="F3518" t="s">
        <v>20</v>
      </c>
      <c r="G3518" t="s">
        <v>21</v>
      </c>
      <c r="H3518" t="s">
        <v>722</v>
      </c>
      <c r="I3518" t="s">
        <v>23</v>
      </c>
      <c r="J3518" t="s">
        <v>207</v>
      </c>
      <c r="K3518" s="2" t="s">
        <v>2693</v>
      </c>
      <c r="L3518" t="s">
        <v>26</v>
      </c>
      <c r="M3518">
        <v>336542</v>
      </c>
      <c r="N3518">
        <v>-1</v>
      </c>
      <c r="O3518" s="3">
        <v>-34990</v>
      </c>
      <c r="P3518" s="3">
        <v>13709</v>
      </c>
      <c r="Q3518" s="5">
        <f t="shared" si="162"/>
        <v>-29403.361344537818</v>
      </c>
      <c r="R3518" s="5">
        <f t="shared" si="163"/>
        <v>-13709</v>
      </c>
      <c r="S3518" s="5">
        <f t="shared" si="164"/>
        <v>-15694.361344537818</v>
      </c>
    </row>
    <row r="3519" spans="1:19" hidden="1" x14ac:dyDescent="0.3">
      <c r="A3519">
        <v>170</v>
      </c>
      <c r="B3519" t="s">
        <v>4809</v>
      </c>
      <c r="C3519" t="s">
        <v>2955</v>
      </c>
      <c r="D3519" s="2" t="s">
        <v>2956</v>
      </c>
      <c r="E3519" t="s">
        <v>1758</v>
      </c>
      <c r="F3519" t="s">
        <v>20</v>
      </c>
      <c r="G3519" t="s">
        <v>338</v>
      </c>
      <c r="H3519">
        <v>25133</v>
      </c>
      <c r="I3519" t="s">
        <v>23</v>
      </c>
      <c r="J3519" t="s">
        <v>35</v>
      </c>
      <c r="K3519" s="2" t="s">
        <v>2693</v>
      </c>
      <c r="L3519" t="s">
        <v>26</v>
      </c>
      <c r="M3519">
        <v>336542</v>
      </c>
      <c r="N3519">
        <v>1</v>
      </c>
      <c r="O3519" s="3">
        <v>74950</v>
      </c>
      <c r="P3519" s="3">
        <v>21167</v>
      </c>
      <c r="Q3519" s="5">
        <f t="shared" si="162"/>
        <v>62983.193277310929</v>
      </c>
      <c r="R3519" s="5">
        <f t="shared" si="163"/>
        <v>21167</v>
      </c>
      <c r="S3519" s="5">
        <f t="shared" si="164"/>
        <v>41816.193277310929</v>
      </c>
    </row>
    <row r="3520" spans="1:19" hidden="1" x14ac:dyDescent="0.3">
      <c r="A3520">
        <v>170</v>
      </c>
      <c r="B3520" t="s">
        <v>4809</v>
      </c>
      <c r="C3520" t="s">
        <v>4220</v>
      </c>
      <c r="D3520" s="2" t="s">
        <v>4221</v>
      </c>
      <c r="E3520" t="s">
        <v>2933</v>
      </c>
      <c r="F3520" t="s">
        <v>20</v>
      </c>
      <c r="G3520" t="s">
        <v>338</v>
      </c>
      <c r="H3520">
        <v>25539</v>
      </c>
      <c r="I3520" t="s">
        <v>23</v>
      </c>
      <c r="J3520" t="s">
        <v>31</v>
      </c>
      <c r="K3520" s="2" t="s">
        <v>2693</v>
      </c>
      <c r="L3520" t="s">
        <v>26</v>
      </c>
      <c r="M3520">
        <v>336543</v>
      </c>
      <c r="N3520">
        <v>1</v>
      </c>
      <c r="O3520" s="3">
        <v>139950</v>
      </c>
      <c r="P3520" s="3">
        <v>46011</v>
      </c>
      <c r="Q3520" s="5">
        <f t="shared" si="162"/>
        <v>117605.04201680672</v>
      </c>
      <c r="R3520" s="5">
        <f t="shared" si="163"/>
        <v>46011</v>
      </c>
      <c r="S3520" s="5">
        <f t="shared" si="164"/>
        <v>71594.042016806721</v>
      </c>
    </row>
    <row r="3521" spans="1:19" hidden="1" x14ac:dyDescent="0.3">
      <c r="A3521">
        <v>170</v>
      </c>
      <c r="B3521" t="s">
        <v>4809</v>
      </c>
      <c r="C3521" t="s">
        <v>3367</v>
      </c>
      <c r="D3521" s="2" t="s">
        <v>3368</v>
      </c>
      <c r="E3521" t="s">
        <v>2902</v>
      </c>
      <c r="F3521" t="s">
        <v>20</v>
      </c>
      <c r="G3521" t="s">
        <v>21</v>
      </c>
      <c r="H3521" t="s">
        <v>267</v>
      </c>
      <c r="I3521" t="s">
        <v>23</v>
      </c>
      <c r="J3521" t="s">
        <v>49</v>
      </c>
      <c r="K3521" s="2" t="s">
        <v>2693</v>
      </c>
      <c r="L3521" t="s">
        <v>26</v>
      </c>
      <c r="M3521">
        <v>336544</v>
      </c>
      <c r="N3521">
        <v>1</v>
      </c>
      <c r="O3521" s="3">
        <v>64951</v>
      </c>
      <c r="P3521" s="3">
        <v>24504</v>
      </c>
      <c r="Q3521" s="5">
        <f t="shared" si="162"/>
        <v>54580.672268907569</v>
      </c>
      <c r="R3521" s="5">
        <f t="shared" si="163"/>
        <v>24504</v>
      </c>
      <c r="S3521" s="5">
        <f t="shared" si="164"/>
        <v>30076.672268907569</v>
      </c>
    </row>
    <row r="3522" spans="1:19" hidden="1" x14ac:dyDescent="0.3">
      <c r="A3522">
        <v>170</v>
      </c>
      <c r="B3522" t="s">
        <v>4809</v>
      </c>
      <c r="C3522" t="s">
        <v>2900</v>
      </c>
      <c r="D3522" s="2" t="s">
        <v>2901</v>
      </c>
      <c r="E3522" t="s">
        <v>2902</v>
      </c>
      <c r="F3522" t="s">
        <v>20</v>
      </c>
      <c r="G3522" t="s">
        <v>21</v>
      </c>
      <c r="H3522" t="s">
        <v>267</v>
      </c>
      <c r="I3522" t="s">
        <v>23</v>
      </c>
      <c r="J3522" t="s">
        <v>49</v>
      </c>
      <c r="K3522" s="2" t="s">
        <v>2693</v>
      </c>
      <c r="L3522" t="s">
        <v>26</v>
      </c>
      <c r="M3522">
        <v>336544</v>
      </c>
      <c r="N3522">
        <v>-1</v>
      </c>
      <c r="O3522" s="3">
        <v>-64950</v>
      </c>
      <c r="P3522" s="3">
        <v>24504</v>
      </c>
      <c r="Q3522" s="5">
        <f t="shared" si="162"/>
        <v>-54579.831932773115</v>
      </c>
      <c r="R3522" s="5">
        <f t="shared" si="163"/>
        <v>-24504</v>
      </c>
      <c r="S3522" s="5">
        <f t="shared" si="164"/>
        <v>-30075.831932773115</v>
      </c>
    </row>
    <row r="3523" spans="1:19" hidden="1" x14ac:dyDescent="0.3">
      <c r="A3523">
        <v>170</v>
      </c>
      <c r="B3523" t="s">
        <v>4809</v>
      </c>
      <c r="C3523" t="s">
        <v>4368</v>
      </c>
      <c r="D3523" s="2" t="s">
        <v>4369</v>
      </c>
      <c r="E3523" t="s">
        <v>3195</v>
      </c>
      <c r="F3523" t="s">
        <v>20</v>
      </c>
      <c r="G3523" t="s">
        <v>338</v>
      </c>
      <c r="H3523">
        <v>25366</v>
      </c>
      <c r="I3523" t="s">
        <v>23</v>
      </c>
      <c r="J3523" t="s">
        <v>35</v>
      </c>
      <c r="K3523" s="2" t="s">
        <v>2693</v>
      </c>
      <c r="L3523" t="s">
        <v>26</v>
      </c>
      <c r="M3523">
        <v>336545</v>
      </c>
      <c r="N3523">
        <v>1</v>
      </c>
      <c r="O3523" s="3">
        <v>84950</v>
      </c>
      <c r="P3523" s="3">
        <v>33157</v>
      </c>
      <c r="Q3523" s="5">
        <f t="shared" si="162"/>
        <v>71386.554621848743</v>
      </c>
      <c r="R3523" s="5">
        <f t="shared" si="163"/>
        <v>33157</v>
      </c>
      <c r="S3523" s="5">
        <f t="shared" si="164"/>
        <v>38229.554621848743</v>
      </c>
    </row>
    <row r="3524" spans="1:19" hidden="1" x14ac:dyDescent="0.3">
      <c r="A3524">
        <v>170</v>
      </c>
      <c r="B3524" t="s">
        <v>4809</v>
      </c>
      <c r="C3524" t="s">
        <v>5103</v>
      </c>
      <c r="D3524" s="2" t="s">
        <v>5104</v>
      </c>
      <c r="E3524" t="s">
        <v>117</v>
      </c>
      <c r="F3524" t="s">
        <v>20</v>
      </c>
      <c r="G3524" t="s">
        <v>21</v>
      </c>
      <c r="H3524" t="s">
        <v>118</v>
      </c>
      <c r="I3524" t="s">
        <v>23</v>
      </c>
      <c r="J3524" t="s">
        <v>49</v>
      </c>
      <c r="K3524" s="2" t="s">
        <v>2693</v>
      </c>
      <c r="L3524" t="s">
        <v>26</v>
      </c>
      <c r="M3524">
        <v>336545</v>
      </c>
      <c r="N3524">
        <v>1</v>
      </c>
      <c r="O3524" s="3">
        <v>39990</v>
      </c>
      <c r="P3524" s="3">
        <v>26836</v>
      </c>
      <c r="Q3524" s="5">
        <f t="shared" si="162"/>
        <v>33605.042016806721</v>
      </c>
      <c r="R3524" s="5">
        <f t="shared" si="163"/>
        <v>26836</v>
      </c>
      <c r="S3524" s="5">
        <f t="shared" si="164"/>
        <v>6769.0420168067212</v>
      </c>
    </row>
    <row r="3525" spans="1:19" hidden="1" x14ac:dyDescent="0.3">
      <c r="A3525">
        <v>170</v>
      </c>
      <c r="B3525" t="s">
        <v>4809</v>
      </c>
      <c r="C3525" t="s">
        <v>5105</v>
      </c>
      <c r="D3525" s="2" t="s">
        <v>5106</v>
      </c>
      <c r="E3525" t="s">
        <v>2188</v>
      </c>
      <c r="F3525" t="s">
        <v>20</v>
      </c>
      <c r="G3525" t="s">
        <v>21</v>
      </c>
      <c r="H3525" t="s">
        <v>2189</v>
      </c>
      <c r="I3525" t="s">
        <v>23</v>
      </c>
      <c r="J3525" t="s">
        <v>40</v>
      </c>
      <c r="K3525" s="2" t="s">
        <v>2693</v>
      </c>
      <c r="L3525" t="s">
        <v>26</v>
      </c>
      <c r="M3525">
        <v>336546</v>
      </c>
      <c r="N3525">
        <v>1</v>
      </c>
      <c r="O3525" s="3">
        <v>74950</v>
      </c>
      <c r="P3525" s="3">
        <v>27722</v>
      </c>
      <c r="Q3525" s="5">
        <f t="shared" si="162"/>
        <v>62983.193277310929</v>
      </c>
      <c r="R3525" s="5">
        <f t="shared" si="163"/>
        <v>27722</v>
      </c>
      <c r="S3525" s="5">
        <f t="shared" si="164"/>
        <v>35261.193277310929</v>
      </c>
    </row>
    <row r="3526" spans="1:19" hidden="1" x14ac:dyDescent="0.3">
      <c r="A3526">
        <v>170</v>
      </c>
      <c r="B3526" t="s">
        <v>4809</v>
      </c>
      <c r="C3526" t="s">
        <v>5107</v>
      </c>
      <c r="D3526" s="2" t="s">
        <v>5108</v>
      </c>
      <c r="E3526" t="s">
        <v>4331</v>
      </c>
      <c r="F3526" t="s">
        <v>20</v>
      </c>
      <c r="G3526" t="s">
        <v>338</v>
      </c>
      <c r="H3526">
        <v>25357</v>
      </c>
      <c r="I3526" t="s">
        <v>23</v>
      </c>
      <c r="J3526" t="s">
        <v>35</v>
      </c>
      <c r="K3526" s="2" t="s">
        <v>2693</v>
      </c>
      <c r="L3526" t="s">
        <v>26</v>
      </c>
      <c r="M3526">
        <v>336547</v>
      </c>
      <c r="N3526">
        <v>1</v>
      </c>
      <c r="O3526" s="3">
        <v>79950</v>
      </c>
      <c r="P3526" s="3">
        <v>24482</v>
      </c>
      <c r="Q3526" s="5">
        <f t="shared" ref="Q3526:Q3589" si="165">O3526/1.19</f>
        <v>67184.873949579836</v>
      </c>
      <c r="R3526" s="5">
        <f t="shared" ref="R3526:R3589" si="166">N3526*P3526</f>
        <v>24482</v>
      </c>
      <c r="S3526" s="5">
        <f t="shared" ref="S3526:S3589" si="167">Q3526-R3526</f>
        <v>42702.873949579836</v>
      </c>
    </row>
    <row r="3527" spans="1:19" hidden="1" x14ac:dyDescent="0.3">
      <c r="A3527">
        <v>170</v>
      </c>
      <c r="B3527" t="s">
        <v>4809</v>
      </c>
      <c r="C3527" t="s">
        <v>3014</v>
      </c>
      <c r="D3527" s="2" t="s">
        <v>3015</v>
      </c>
      <c r="E3527" t="s">
        <v>3016</v>
      </c>
      <c r="F3527" t="s">
        <v>20</v>
      </c>
      <c r="G3527" t="s">
        <v>338</v>
      </c>
      <c r="H3527">
        <v>25301</v>
      </c>
      <c r="I3527" t="s">
        <v>23</v>
      </c>
      <c r="J3527" t="s">
        <v>35</v>
      </c>
      <c r="K3527" s="2" t="s">
        <v>2693</v>
      </c>
      <c r="L3527" t="s">
        <v>26</v>
      </c>
      <c r="M3527">
        <v>336548</v>
      </c>
      <c r="N3527">
        <v>1</v>
      </c>
      <c r="O3527" s="3">
        <v>99950</v>
      </c>
      <c r="P3527" s="3">
        <v>34679</v>
      </c>
      <c r="Q3527" s="5">
        <f t="shared" si="165"/>
        <v>83991.596638655465</v>
      </c>
      <c r="R3527" s="5">
        <f t="shared" si="166"/>
        <v>34679</v>
      </c>
      <c r="S3527" s="5">
        <f t="shared" si="167"/>
        <v>49312.596638655465</v>
      </c>
    </row>
    <row r="3528" spans="1:19" hidden="1" x14ac:dyDescent="0.3">
      <c r="A3528">
        <v>170</v>
      </c>
      <c r="B3528" t="s">
        <v>4809</v>
      </c>
      <c r="C3528" t="s">
        <v>4677</v>
      </c>
      <c r="D3528" s="2" t="s">
        <v>4678</v>
      </c>
      <c r="E3528" t="s">
        <v>266</v>
      </c>
      <c r="F3528" t="s">
        <v>20</v>
      </c>
      <c r="G3528" t="s">
        <v>21</v>
      </c>
      <c r="H3528" t="s">
        <v>267</v>
      </c>
      <c r="I3528" t="s">
        <v>23</v>
      </c>
      <c r="J3528" t="s">
        <v>49</v>
      </c>
      <c r="K3528" s="2" t="s">
        <v>2693</v>
      </c>
      <c r="L3528" t="s">
        <v>26</v>
      </c>
      <c r="M3528">
        <v>336549</v>
      </c>
      <c r="N3528">
        <v>1</v>
      </c>
      <c r="O3528" s="3">
        <v>64950</v>
      </c>
      <c r="P3528" s="3">
        <v>24504</v>
      </c>
      <c r="Q3528" s="5">
        <f t="shared" si="165"/>
        <v>54579.831932773115</v>
      </c>
      <c r="R3528" s="5">
        <f t="shared" si="166"/>
        <v>24504</v>
      </c>
      <c r="S3528" s="5">
        <f t="shared" si="167"/>
        <v>30075.831932773115</v>
      </c>
    </row>
    <row r="3529" spans="1:19" hidden="1" x14ac:dyDescent="0.3">
      <c r="A3529">
        <v>170</v>
      </c>
      <c r="B3529" t="s">
        <v>4809</v>
      </c>
      <c r="C3529" t="s">
        <v>5109</v>
      </c>
      <c r="D3529" s="2" t="s">
        <v>5110</v>
      </c>
      <c r="E3529" t="s">
        <v>4736</v>
      </c>
      <c r="F3529" t="s">
        <v>20</v>
      </c>
      <c r="G3529" t="s">
        <v>21</v>
      </c>
      <c r="H3529" t="s">
        <v>1914</v>
      </c>
      <c r="I3529" t="s">
        <v>23</v>
      </c>
      <c r="J3529" t="s">
        <v>49</v>
      </c>
      <c r="K3529" s="2" t="s">
        <v>2693</v>
      </c>
      <c r="L3529" t="s">
        <v>26</v>
      </c>
      <c r="M3529">
        <v>336550</v>
      </c>
      <c r="N3529">
        <v>1</v>
      </c>
      <c r="O3529" s="3">
        <v>74950</v>
      </c>
      <c r="P3529" s="3">
        <v>24728</v>
      </c>
      <c r="Q3529" s="5">
        <f t="shared" si="165"/>
        <v>62983.193277310929</v>
      </c>
      <c r="R3529" s="5">
        <f t="shared" si="166"/>
        <v>24728</v>
      </c>
      <c r="S3529" s="5">
        <f t="shared" si="167"/>
        <v>38255.193277310929</v>
      </c>
    </row>
    <row r="3530" spans="1:19" hidden="1" x14ac:dyDescent="0.3">
      <c r="A3530">
        <v>170</v>
      </c>
      <c r="B3530" t="s">
        <v>4809</v>
      </c>
      <c r="C3530" t="s">
        <v>4552</v>
      </c>
      <c r="D3530" s="2" t="s">
        <v>4553</v>
      </c>
      <c r="E3530" t="s">
        <v>4291</v>
      </c>
      <c r="F3530" t="s">
        <v>20</v>
      </c>
      <c r="G3530" t="s">
        <v>21</v>
      </c>
      <c r="H3530" t="s">
        <v>285</v>
      </c>
      <c r="I3530" t="s">
        <v>23</v>
      </c>
      <c r="J3530" t="s">
        <v>35</v>
      </c>
      <c r="K3530" s="2" t="s">
        <v>2693</v>
      </c>
      <c r="L3530" t="s">
        <v>26</v>
      </c>
      <c r="M3530">
        <v>336551</v>
      </c>
      <c r="N3530">
        <v>1</v>
      </c>
      <c r="O3530" s="3">
        <v>79950</v>
      </c>
      <c r="P3530" s="3">
        <v>31402</v>
      </c>
      <c r="Q3530" s="5">
        <f t="shared" si="165"/>
        <v>67184.873949579836</v>
      </c>
      <c r="R3530" s="5">
        <f t="shared" si="166"/>
        <v>31402</v>
      </c>
      <c r="S3530" s="5">
        <f t="shared" si="167"/>
        <v>35782.873949579836</v>
      </c>
    </row>
    <row r="3531" spans="1:19" hidden="1" x14ac:dyDescent="0.3">
      <c r="A3531">
        <v>170</v>
      </c>
      <c r="B3531" t="s">
        <v>4809</v>
      </c>
      <c r="C3531" t="s">
        <v>791</v>
      </c>
      <c r="D3531" s="2" t="s">
        <v>792</v>
      </c>
      <c r="E3531" t="s">
        <v>793</v>
      </c>
      <c r="F3531" t="s">
        <v>20</v>
      </c>
      <c r="G3531" t="s">
        <v>21</v>
      </c>
      <c r="H3531" t="s">
        <v>794</v>
      </c>
      <c r="I3531" t="s">
        <v>23</v>
      </c>
      <c r="J3531" t="s">
        <v>40</v>
      </c>
      <c r="K3531" s="2" t="s">
        <v>2693</v>
      </c>
      <c r="L3531" t="s">
        <v>26</v>
      </c>
      <c r="M3531">
        <v>336552</v>
      </c>
      <c r="N3531">
        <v>1</v>
      </c>
      <c r="O3531" s="3">
        <v>49990</v>
      </c>
      <c r="P3531" s="3">
        <v>21475</v>
      </c>
      <c r="Q3531" s="5">
        <f t="shared" si="165"/>
        <v>42008.403361344543</v>
      </c>
      <c r="R3531" s="5">
        <f t="shared" si="166"/>
        <v>21475</v>
      </c>
      <c r="S3531" s="5">
        <f t="shared" si="167"/>
        <v>20533.403361344543</v>
      </c>
    </row>
    <row r="3532" spans="1:19" hidden="1" x14ac:dyDescent="0.3">
      <c r="A3532">
        <v>170</v>
      </c>
      <c r="B3532" t="s">
        <v>4809</v>
      </c>
      <c r="C3532" t="s">
        <v>4283</v>
      </c>
      <c r="D3532" s="2" t="s">
        <v>4284</v>
      </c>
      <c r="E3532" t="s">
        <v>3449</v>
      </c>
      <c r="F3532" t="s">
        <v>20</v>
      </c>
      <c r="G3532" t="s">
        <v>338</v>
      </c>
      <c r="H3532">
        <v>25366</v>
      </c>
      <c r="I3532" t="s">
        <v>23</v>
      </c>
      <c r="J3532" t="s">
        <v>35</v>
      </c>
      <c r="K3532" s="2" t="s">
        <v>2693</v>
      </c>
      <c r="L3532" t="s">
        <v>26</v>
      </c>
      <c r="M3532">
        <v>336553</v>
      </c>
      <c r="N3532">
        <v>1</v>
      </c>
      <c r="O3532" s="3">
        <v>99951</v>
      </c>
      <c r="P3532" s="3">
        <v>33157</v>
      </c>
      <c r="Q3532" s="5">
        <f t="shared" si="165"/>
        <v>83992.436974789918</v>
      </c>
      <c r="R3532" s="5">
        <f t="shared" si="166"/>
        <v>33157</v>
      </c>
      <c r="S3532" s="5">
        <f t="shared" si="167"/>
        <v>50835.436974789918</v>
      </c>
    </row>
    <row r="3533" spans="1:19" hidden="1" x14ac:dyDescent="0.3">
      <c r="A3533">
        <v>170</v>
      </c>
      <c r="B3533" t="s">
        <v>4809</v>
      </c>
      <c r="C3533" t="s">
        <v>4368</v>
      </c>
      <c r="D3533" s="2" t="s">
        <v>4369</v>
      </c>
      <c r="E3533" t="s">
        <v>3195</v>
      </c>
      <c r="F3533" t="s">
        <v>20</v>
      </c>
      <c r="G3533" t="s">
        <v>338</v>
      </c>
      <c r="H3533">
        <v>25366</v>
      </c>
      <c r="I3533" t="s">
        <v>23</v>
      </c>
      <c r="J3533" t="s">
        <v>35</v>
      </c>
      <c r="K3533" s="2" t="s">
        <v>2693</v>
      </c>
      <c r="L3533" t="s">
        <v>26</v>
      </c>
      <c r="M3533">
        <v>336553</v>
      </c>
      <c r="N3533">
        <v>-1</v>
      </c>
      <c r="O3533" s="3">
        <v>-99950</v>
      </c>
      <c r="P3533" s="3">
        <v>33157</v>
      </c>
      <c r="Q3533" s="5">
        <f t="shared" si="165"/>
        <v>-83991.596638655465</v>
      </c>
      <c r="R3533" s="5">
        <f t="shared" si="166"/>
        <v>-33157</v>
      </c>
      <c r="S3533" s="5">
        <f t="shared" si="167"/>
        <v>-50834.596638655465</v>
      </c>
    </row>
    <row r="3534" spans="1:19" hidden="1" x14ac:dyDescent="0.3">
      <c r="A3534">
        <v>170</v>
      </c>
      <c r="B3534" t="s">
        <v>4809</v>
      </c>
      <c r="C3534" t="s">
        <v>1434</v>
      </c>
      <c r="D3534" s="2" t="s">
        <v>1435</v>
      </c>
      <c r="E3534" t="s">
        <v>1436</v>
      </c>
      <c r="F3534" t="s">
        <v>20</v>
      </c>
      <c r="G3534" t="s">
        <v>21</v>
      </c>
      <c r="H3534" t="s">
        <v>500</v>
      </c>
      <c r="I3534" t="s">
        <v>23</v>
      </c>
      <c r="J3534" t="s">
        <v>40</v>
      </c>
      <c r="K3534" s="2" t="s">
        <v>2693</v>
      </c>
      <c r="L3534" t="s">
        <v>26</v>
      </c>
      <c r="M3534">
        <v>336554</v>
      </c>
      <c r="N3534">
        <v>1</v>
      </c>
      <c r="O3534" s="3">
        <v>59950</v>
      </c>
      <c r="P3534" s="3">
        <v>17591</v>
      </c>
      <c r="Q3534" s="5">
        <f t="shared" si="165"/>
        <v>50378.151260504201</v>
      </c>
      <c r="R3534" s="5">
        <f t="shared" si="166"/>
        <v>17591</v>
      </c>
      <c r="S3534" s="5">
        <f t="shared" si="167"/>
        <v>32787.151260504201</v>
      </c>
    </row>
    <row r="3535" spans="1:19" hidden="1" x14ac:dyDescent="0.3">
      <c r="A3535">
        <v>170</v>
      </c>
      <c r="B3535" t="s">
        <v>4809</v>
      </c>
      <c r="C3535" t="s">
        <v>5111</v>
      </c>
      <c r="D3535" s="2" t="s">
        <v>5112</v>
      </c>
      <c r="E3535" t="s">
        <v>4060</v>
      </c>
      <c r="F3535" t="s">
        <v>20</v>
      </c>
      <c r="G3535" t="s">
        <v>338</v>
      </c>
      <c r="H3535">
        <v>23726</v>
      </c>
      <c r="I3535" t="s">
        <v>23</v>
      </c>
      <c r="J3535" t="s">
        <v>40</v>
      </c>
      <c r="K3535" s="2" t="s">
        <v>2693</v>
      </c>
      <c r="L3535" t="s">
        <v>26</v>
      </c>
      <c r="M3535">
        <v>336554</v>
      </c>
      <c r="N3535">
        <v>1</v>
      </c>
      <c r="O3535" s="3">
        <v>76450</v>
      </c>
      <c r="P3535" s="3">
        <v>29798</v>
      </c>
      <c r="Q3535" s="5">
        <f t="shared" si="165"/>
        <v>64243.697478991598</v>
      </c>
      <c r="R3535" s="5">
        <f t="shared" si="166"/>
        <v>29798</v>
      </c>
      <c r="S3535" s="5">
        <f t="shared" si="167"/>
        <v>34445.697478991598</v>
      </c>
    </row>
    <row r="3536" spans="1:19" hidden="1" x14ac:dyDescent="0.3">
      <c r="A3536">
        <v>170</v>
      </c>
      <c r="B3536" t="s">
        <v>4809</v>
      </c>
      <c r="C3536" t="s">
        <v>5113</v>
      </c>
      <c r="D3536" s="2" t="s">
        <v>5114</v>
      </c>
      <c r="E3536" t="s">
        <v>3036</v>
      </c>
      <c r="F3536" t="s">
        <v>20</v>
      </c>
      <c r="G3536" t="s">
        <v>338</v>
      </c>
      <c r="H3536">
        <v>25273</v>
      </c>
      <c r="I3536" t="s">
        <v>23</v>
      </c>
      <c r="J3536" t="s">
        <v>35</v>
      </c>
      <c r="K3536" s="2" t="s">
        <v>2693</v>
      </c>
      <c r="L3536" t="s">
        <v>26</v>
      </c>
      <c r="M3536">
        <v>336555</v>
      </c>
      <c r="N3536">
        <v>1</v>
      </c>
      <c r="O3536" s="3">
        <v>99950</v>
      </c>
      <c r="P3536" s="3">
        <v>32658</v>
      </c>
      <c r="Q3536" s="5">
        <f t="shared" si="165"/>
        <v>83991.596638655465</v>
      </c>
      <c r="R3536" s="5">
        <f t="shared" si="166"/>
        <v>32658</v>
      </c>
      <c r="S3536" s="5">
        <f t="shared" si="167"/>
        <v>51333.596638655465</v>
      </c>
    </row>
    <row r="3537" spans="1:19" hidden="1" x14ac:dyDescent="0.3">
      <c r="A3537">
        <v>170</v>
      </c>
      <c r="B3537" t="s">
        <v>4809</v>
      </c>
      <c r="C3537" t="s">
        <v>3789</v>
      </c>
      <c r="D3537" s="2" t="s">
        <v>3790</v>
      </c>
      <c r="E3537" t="s">
        <v>2787</v>
      </c>
      <c r="F3537" t="s">
        <v>20</v>
      </c>
      <c r="G3537" t="s">
        <v>21</v>
      </c>
      <c r="H3537" t="s">
        <v>1286</v>
      </c>
      <c r="I3537" t="s">
        <v>23</v>
      </c>
      <c r="J3537" t="s">
        <v>40</v>
      </c>
      <c r="K3537" s="2" t="s">
        <v>2693</v>
      </c>
      <c r="L3537" t="s">
        <v>26</v>
      </c>
      <c r="M3537">
        <v>336556</v>
      </c>
      <c r="N3537">
        <v>1</v>
      </c>
      <c r="O3537" s="3">
        <v>49990</v>
      </c>
      <c r="P3537" s="3">
        <v>24783</v>
      </c>
      <c r="Q3537" s="5">
        <f t="shared" si="165"/>
        <v>42008.403361344543</v>
      </c>
      <c r="R3537" s="5">
        <f t="shared" si="166"/>
        <v>24783</v>
      </c>
      <c r="S3537" s="5">
        <f t="shared" si="167"/>
        <v>17225.403361344543</v>
      </c>
    </row>
    <row r="3538" spans="1:19" hidden="1" x14ac:dyDescent="0.3">
      <c r="A3538">
        <v>170</v>
      </c>
      <c r="B3538" t="s">
        <v>4809</v>
      </c>
      <c r="C3538" t="s">
        <v>3166</v>
      </c>
      <c r="D3538" s="2" t="s">
        <v>3167</v>
      </c>
      <c r="E3538" t="s">
        <v>3168</v>
      </c>
      <c r="F3538" t="s">
        <v>20</v>
      </c>
      <c r="G3538" t="s">
        <v>338</v>
      </c>
      <c r="H3538">
        <v>23731</v>
      </c>
      <c r="I3538" t="s">
        <v>23</v>
      </c>
      <c r="J3538" t="s">
        <v>40</v>
      </c>
      <c r="K3538" s="2" t="s">
        <v>2693</v>
      </c>
      <c r="L3538" t="s">
        <v>26</v>
      </c>
      <c r="M3538">
        <v>336557</v>
      </c>
      <c r="N3538">
        <v>1</v>
      </c>
      <c r="O3538" s="3">
        <v>69951</v>
      </c>
      <c r="P3538" s="3">
        <v>23119</v>
      </c>
      <c r="Q3538" s="5">
        <f t="shared" si="165"/>
        <v>58782.352941176476</v>
      </c>
      <c r="R3538" s="5">
        <f t="shared" si="166"/>
        <v>23119</v>
      </c>
      <c r="S3538" s="5">
        <f t="shared" si="167"/>
        <v>35663.352941176476</v>
      </c>
    </row>
    <row r="3539" spans="1:19" hidden="1" x14ac:dyDescent="0.3">
      <c r="A3539">
        <v>170</v>
      </c>
      <c r="B3539" t="s">
        <v>4809</v>
      </c>
      <c r="C3539" t="s">
        <v>3819</v>
      </c>
      <c r="D3539" s="2" t="s">
        <v>3820</v>
      </c>
      <c r="E3539" t="s">
        <v>414</v>
      </c>
      <c r="F3539" t="s">
        <v>20</v>
      </c>
      <c r="G3539" t="s">
        <v>338</v>
      </c>
      <c r="H3539">
        <v>23731</v>
      </c>
      <c r="I3539" t="s">
        <v>23</v>
      </c>
      <c r="J3539" t="s">
        <v>40</v>
      </c>
      <c r="K3539" s="2" t="s">
        <v>2693</v>
      </c>
      <c r="L3539" t="s">
        <v>26</v>
      </c>
      <c r="M3539">
        <v>336557</v>
      </c>
      <c r="N3539">
        <v>-1</v>
      </c>
      <c r="O3539" s="3">
        <v>-69950</v>
      </c>
      <c r="P3539" s="3">
        <v>23473</v>
      </c>
      <c r="Q3539" s="5">
        <f t="shared" si="165"/>
        <v>-58781.512605042022</v>
      </c>
      <c r="R3539" s="5">
        <f t="shared" si="166"/>
        <v>-23473</v>
      </c>
      <c r="S3539" s="5">
        <f t="shared" si="167"/>
        <v>-35308.512605042022</v>
      </c>
    </row>
    <row r="3540" spans="1:19" hidden="1" x14ac:dyDescent="0.3">
      <c r="A3540">
        <v>170</v>
      </c>
      <c r="B3540" t="s">
        <v>4809</v>
      </c>
      <c r="C3540" t="s">
        <v>1507</v>
      </c>
      <c r="D3540" s="2" t="s">
        <v>1508</v>
      </c>
      <c r="E3540" t="s">
        <v>425</v>
      </c>
      <c r="F3540" t="s">
        <v>20</v>
      </c>
      <c r="G3540" t="s">
        <v>21</v>
      </c>
      <c r="H3540" t="s">
        <v>22</v>
      </c>
      <c r="I3540" t="s">
        <v>23</v>
      </c>
      <c r="J3540" t="s">
        <v>24</v>
      </c>
      <c r="K3540" s="2" t="s">
        <v>2693</v>
      </c>
      <c r="L3540" t="s">
        <v>26</v>
      </c>
      <c r="M3540">
        <v>336558</v>
      </c>
      <c r="N3540">
        <v>1</v>
      </c>
      <c r="O3540" s="3">
        <v>67950</v>
      </c>
      <c r="P3540" s="3">
        <v>27778</v>
      </c>
      <c r="Q3540" s="5">
        <f t="shared" si="165"/>
        <v>57100.840336134454</v>
      </c>
      <c r="R3540" s="5">
        <f t="shared" si="166"/>
        <v>27778</v>
      </c>
      <c r="S3540" s="5">
        <f t="shared" si="167"/>
        <v>29322.840336134454</v>
      </c>
    </row>
    <row r="3541" spans="1:19" hidden="1" x14ac:dyDescent="0.3">
      <c r="A3541">
        <v>170</v>
      </c>
      <c r="B3541" t="s">
        <v>4809</v>
      </c>
      <c r="C3541" t="s">
        <v>3819</v>
      </c>
      <c r="D3541" s="2" t="s">
        <v>3820</v>
      </c>
      <c r="E3541" t="s">
        <v>414</v>
      </c>
      <c r="F3541" t="s">
        <v>20</v>
      </c>
      <c r="G3541" t="s">
        <v>338</v>
      </c>
      <c r="H3541">
        <v>23731</v>
      </c>
      <c r="I3541" t="s">
        <v>23</v>
      </c>
      <c r="J3541" t="s">
        <v>40</v>
      </c>
      <c r="K3541" s="2" t="s">
        <v>2693</v>
      </c>
      <c r="L3541" t="s">
        <v>26</v>
      </c>
      <c r="M3541">
        <v>336559</v>
      </c>
      <c r="N3541">
        <v>1</v>
      </c>
      <c r="O3541" s="3">
        <v>69950</v>
      </c>
      <c r="P3541" s="3">
        <v>23473</v>
      </c>
      <c r="Q3541" s="5">
        <f t="shared" si="165"/>
        <v>58781.512605042022</v>
      </c>
      <c r="R3541" s="5">
        <f t="shared" si="166"/>
        <v>23473</v>
      </c>
      <c r="S3541" s="5">
        <f t="shared" si="167"/>
        <v>35308.512605042022</v>
      </c>
    </row>
    <row r="3542" spans="1:19" hidden="1" x14ac:dyDescent="0.3">
      <c r="A3542">
        <v>170</v>
      </c>
      <c r="B3542" t="s">
        <v>4809</v>
      </c>
      <c r="C3542" t="s">
        <v>4516</v>
      </c>
      <c r="D3542" s="2" t="s">
        <v>4517</v>
      </c>
      <c r="E3542" t="s">
        <v>1443</v>
      </c>
      <c r="F3542" t="s">
        <v>20</v>
      </c>
      <c r="G3542" t="s">
        <v>338</v>
      </c>
      <c r="H3542">
        <v>25301</v>
      </c>
      <c r="I3542" t="s">
        <v>23</v>
      </c>
      <c r="J3542" t="s">
        <v>35</v>
      </c>
      <c r="K3542" s="2" t="s">
        <v>2693</v>
      </c>
      <c r="L3542" t="s">
        <v>26</v>
      </c>
      <c r="M3542">
        <v>336559</v>
      </c>
      <c r="N3542">
        <v>1</v>
      </c>
      <c r="O3542" s="3">
        <v>84950</v>
      </c>
      <c r="P3542" s="3">
        <v>34157</v>
      </c>
      <c r="Q3542" s="5">
        <f t="shared" si="165"/>
        <v>71386.554621848743</v>
      </c>
      <c r="R3542" s="5">
        <f t="shared" si="166"/>
        <v>34157</v>
      </c>
      <c r="S3542" s="5">
        <f t="shared" si="167"/>
        <v>37229.554621848743</v>
      </c>
    </row>
    <row r="3543" spans="1:19" hidden="1" x14ac:dyDescent="0.3">
      <c r="A3543">
        <v>170</v>
      </c>
      <c r="B3543" t="s">
        <v>4809</v>
      </c>
      <c r="C3543" t="s">
        <v>5115</v>
      </c>
      <c r="D3543" s="2" t="s">
        <v>5116</v>
      </c>
      <c r="E3543" t="s">
        <v>2952</v>
      </c>
      <c r="F3543" t="s">
        <v>20</v>
      </c>
      <c r="G3543" t="s">
        <v>21</v>
      </c>
      <c r="H3543" t="s">
        <v>2484</v>
      </c>
      <c r="I3543" t="s">
        <v>23</v>
      </c>
      <c r="J3543" t="s">
        <v>40</v>
      </c>
      <c r="K3543" s="2" t="s">
        <v>2693</v>
      </c>
      <c r="L3543" t="s">
        <v>26</v>
      </c>
      <c r="M3543">
        <v>336560</v>
      </c>
      <c r="N3543">
        <v>1</v>
      </c>
      <c r="O3543" s="3">
        <v>59950</v>
      </c>
      <c r="P3543" s="3">
        <v>18378</v>
      </c>
      <c r="Q3543" s="5">
        <f t="shared" si="165"/>
        <v>50378.151260504201</v>
      </c>
      <c r="R3543" s="5">
        <f t="shared" si="166"/>
        <v>18378</v>
      </c>
      <c r="S3543" s="5">
        <f t="shared" si="167"/>
        <v>32000.151260504201</v>
      </c>
    </row>
    <row r="3544" spans="1:19" hidden="1" x14ac:dyDescent="0.3">
      <c r="A3544">
        <v>170</v>
      </c>
      <c r="B3544" t="s">
        <v>4809</v>
      </c>
      <c r="C3544" t="s">
        <v>2934</v>
      </c>
      <c r="D3544" s="2" t="s">
        <v>2935</v>
      </c>
      <c r="E3544" t="s">
        <v>2936</v>
      </c>
      <c r="F3544" t="s">
        <v>20</v>
      </c>
      <c r="G3544" t="s">
        <v>338</v>
      </c>
      <c r="H3544">
        <v>25357</v>
      </c>
      <c r="I3544" t="s">
        <v>23</v>
      </c>
      <c r="J3544" t="s">
        <v>35</v>
      </c>
      <c r="K3544" s="2" t="s">
        <v>2693</v>
      </c>
      <c r="L3544" t="s">
        <v>26</v>
      </c>
      <c r="M3544">
        <v>336560</v>
      </c>
      <c r="N3544">
        <v>1</v>
      </c>
      <c r="O3544" s="3">
        <v>67950</v>
      </c>
      <c r="P3544" s="3">
        <v>24482</v>
      </c>
      <c r="Q3544" s="5">
        <f t="shared" si="165"/>
        <v>57100.840336134454</v>
      </c>
      <c r="R3544" s="5">
        <f t="shared" si="166"/>
        <v>24482</v>
      </c>
      <c r="S3544" s="5">
        <f t="shared" si="167"/>
        <v>32618.840336134454</v>
      </c>
    </row>
    <row r="3545" spans="1:19" hidden="1" x14ac:dyDescent="0.3">
      <c r="A3545">
        <v>170</v>
      </c>
      <c r="B3545" t="s">
        <v>4809</v>
      </c>
      <c r="C3545" t="s">
        <v>2931</v>
      </c>
      <c r="D3545" s="2" t="s">
        <v>2932</v>
      </c>
      <c r="E3545" t="s">
        <v>2933</v>
      </c>
      <c r="F3545" t="s">
        <v>20</v>
      </c>
      <c r="G3545" t="s">
        <v>338</v>
      </c>
      <c r="H3545">
        <v>25539</v>
      </c>
      <c r="I3545" t="s">
        <v>23</v>
      </c>
      <c r="J3545" t="s">
        <v>31</v>
      </c>
      <c r="K3545" s="2" t="s">
        <v>2693</v>
      </c>
      <c r="L3545" t="s">
        <v>26</v>
      </c>
      <c r="M3545">
        <v>336561</v>
      </c>
      <c r="N3545">
        <v>1</v>
      </c>
      <c r="O3545" s="3">
        <v>139950</v>
      </c>
      <c r="P3545" s="3">
        <v>46011</v>
      </c>
      <c r="Q3545" s="5">
        <f t="shared" si="165"/>
        <v>117605.04201680672</v>
      </c>
      <c r="R3545" s="5">
        <f t="shared" si="166"/>
        <v>46011</v>
      </c>
      <c r="S3545" s="5">
        <f t="shared" si="167"/>
        <v>71594.042016806721</v>
      </c>
    </row>
    <row r="3546" spans="1:19" hidden="1" x14ac:dyDescent="0.3">
      <c r="A3546">
        <v>170</v>
      </c>
      <c r="B3546" t="s">
        <v>4809</v>
      </c>
      <c r="C3546" t="s">
        <v>5117</v>
      </c>
      <c r="D3546" s="2" t="s">
        <v>5118</v>
      </c>
      <c r="E3546" t="s">
        <v>5119</v>
      </c>
      <c r="F3546" t="s">
        <v>20</v>
      </c>
      <c r="G3546" t="s">
        <v>21</v>
      </c>
      <c r="H3546" t="s">
        <v>2782</v>
      </c>
      <c r="I3546" t="s">
        <v>23</v>
      </c>
      <c r="J3546" t="s">
        <v>35</v>
      </c>
      <c r="K3546" s="2" t="s">
        <v>2693</v>
      </c>
      <c r="L3546" t="s">
        <v>26</v>
      </c>
      <c r="M3546">
        <v>336562</v>
      </c>
      <c r="N3546">
        <v>1</v>
      </c>
      <c r="O3546" s="3">
        <v>74950</v>
      </c>
      <c r="P3546" s="3">
        <v>24388</v>
      </c>
      <c r="Q3546" s="5">
        <f t="shared" si="165"/>
        <v>62983.193277310929</v>
      </c>
      <c r="R3546" s="5">
        <f t="shared" si="166"/>
        <v>24388</v>
      </c>
      <c r="S3546" s="5">
        <f t="shared" si="167"/>
        <v>38595.193277310929</v>
      </c>
    </row>
    <row r="3547" spans="1:19" hidden="1" x14ac:dyDescent="0.3">
      <c r="A3547">
        <v>170</v>
      </c>
      <c r="B3547" t="s">
        <v>4809</v>
      </c>
      <c r="C3547" t="s">
        <v>4089</v>
      </c>
      <c r="D3547" s="2" t="s">
        <v>4090</v>
      </c>
      <c r="E3547" t="s">
        <v>2741</v>
      </c>
      <c r="F3547" t="s">
        <v>20</v>
      </c>
      <c r="G3547" t="s">
        <v>21</v>
      </c>
      <c r="H3547" t="s">
        <v>2494</v>
      </c>
      <c r="I3547" t="s">
        <v>23</v>
      </c>
      <c r="J3547" t="s">
        <v>40</v>
      </c>
      <c r="K3547" s="2" t="s">
        <v>2693</v>
      </c>
      <c r="L3547" t="s">
        <v>26</v>
      </c>
      <c r="M3547">
        <v>336563</v>
      </c>
      <c r="N3547">
        <v>1</v>
      </c>
      <c r="O3547" s="3">
        <v>69950</v>
      </c>
      <c r="P3547" s="3">
        <v>23470</v>
      </c>
      <c r="Q3547" s="5">
        <f t="shared" si="165"/>
        <v>58781.512605042022</v>
      </c>
      <c r="R3547" s="5">
        <f t="shared" si="166"/>
        <v>23470</v>
      </c>
      <c r="S3547" s="5">
        <f t="shared" si="167"/>
        <v>35311.512605042022</v>
      </c>
    </row>
    <row r="3548" spans="1:19" hidden="1" x14ac:dyDescent="0.3">
      <c r="A3548">
        <v>170</v>
      </c>
      <c r="B3548" t="s">
        <v>4809</v>
      </c>
      <c r="C3548" t="s">
        <v>5120</v>
      </c>
      <c r="D3548" s="2" t="s">
        <v>5121</v>
      </c>
      <c r="E3548" t="s">
        <v>453</v>
      </c>
      <c r="F3548" t="s">
        <v>20</v>
      </c>
      <c r="G3548" t="s">
        <v>21</v>
      </c>
      <c r="H3548" t="s">
        <v>454</v>
      </c>
      <c r="I3548" t="s">
        <v>23</v>
      </c>
      <c r="J3548" t="s">
        <v>407</v>
      </c>
      <c r="K3548" s="2" t="s">
        <v>2693</v>
      </c>
      <c r="L3548" t="s">
        <v>26</v>
      </c>
      <c r="M3548">
        <v>336564</v>
      </c>
      <c r="N3548">
        <v>1</v>
      </c>
      <c r="O3548" s="3">
        <v>39990</v>
      </c>
      <c r="P3548" s="3">
        <v>21038</v>
      </c>
      <c r="Q3548" s="5">
        <f t="shared" si="165"/>
        <v>33605.042016806721</v>
      </c>
      <c r="R3548" s="5">
        <f t="shared" si="166"/>
        <v>21038</v>
      </c>
      <c r="S3548" s="5">
        <f t="shared" si="167"/>
        <v>12567.042016806721</v>
      </c>
    </row>
    <row r="3549" spans="1:19" hidden="1" x14ac:dyDescent="0.3">
      <c r="A3549">
        <v>170</v>
      </c>
      <c r="B3549" t="s">
        <v>4809</v>
      </c>
      <c r="C3549" t="s">
        <v>5122</v>
      </c>
      <c r="D3549" s="2" t="s">
        <v>5123</v>
      </c>
      <c r="E3549" t="s">
        <v>3523</v>
      </c>
      <c r="F3549" t="s">
        <v>20</v>
      </c>
      <c r="G3549" t="s">
        <v>21</v>
      </c>
      <c r="H3549" t="s">
        <v>2070</v>
      </c>
      <c r="I3549" t="s">
        <v>23</v>
      </c>
      <c r="J3549" t="s">
        <v>24</v>
      </c>
      <c r="K3549" s="2" t="s">
        <v>2693</v>
      </c>
      <c r="L3549" t="s">
        <v>26</v>
      </c>
      <c r="M3549">
        <v>336565</v>
      </c>
      <c r="N3549">
        <v>1</v>
      </c>
      <c r="O3549" s="3">
        <v>72200</v>
      </c>
      <c r="P3549" s="3">
        <v>27546</v>
      </c>
      <c r="Q3549" s="5">
        <f t="shared" si="165"/>
        <v>60672.268907563026</v>
      </c>
      <c r="R3549" s="5">
        <f t="shared" si="166"/>
        <v>27546</v>
      </c>
      <c r="S3549" s="5">
        <f t="shared" si="167"/>
        <v>33126.268907563026</v>
      </c>
    </row>
    <row r="3550" spans="1:19" hidden="1" x14ac:dyDescent="0.3">
      <c r="A3550">
        <v>170</v>
      </c>
      <c r="B3550" t="s">
        <v>4809</v>
      </c>
      <c r="C3550" t="s">
        <v>5124</v>
      </c>
      <c r="D3550" s="2" t="s">
        <v>5125</v>
      </c>
      <c r="E3550" t="s">
        <v>4736</v>
      </c>
      <c r="F3550" t="s">
        <v>20</v>
      </c>
      <c r="G3550" t="s">
        <v>21</v>
      </c>
      <c r="H3550" t="s">
        <v>1914</v>
      </c>
      <c r="I3550" t="s">
        <v>23</v>
      </c>
      <c r="J3550" t="s">
        <v>49</v>
      </c>
      <c r="K3550" s="2" t="s">
        <v>2693</v>
      </c>
      <c r="L3550" t="s">
        <v>26</v>
      </c>
      <c r="M3550">
        <v>336565</v>
      </c>
      <c r="N3550">
        <v>1</v>
      </c>
      <c r="O3550" s="3">
        <v>74950</v>
      </c>
      <c r="P3550" s="3">
        <v>24726</v>
      </c>
      <c r="Q3550" s="5">
        <f t="shared" si="165"/>
        <v>62983.193277310929</v>
      </c>
      <c r="R3550" s="5">
        <f t="shared" si="166"/>
        <v>24726</v>
      </c>
      <c r="S3550" s="5">
        <f t="shared" si="167"/>
        <v>38257.193277310929</v>
      </c>
    </row>
    <row r="3551" spans="1:19" hidden="1" x14ac:dyDescent="0.3">
      <c r="A3551">
        <v>170</v>
      </c>
      <c r="B3551" t="s">
        <v>4809</v>
      </c>
      <c r="C3551" t="s">
        <v>3037</v>
      </c>
      <c r="D3551" s="2" t="s">
        <v>3038</v>
      </c>
      <c r="E3551" t="s">
        <v>1404</v>
      </c>
      <c r="F3551" t="s">
        <v>20</v>
      </c>
      <c r="G3551" t="s">
        <v>21</v>
      </c>
      <c r="H3551" t="s">
        <v>1405</v>
      </c>
      <c r="I3551" t="s">
        <v>23</v>
      </c>
      <c r="J3551" t="s">
        <v>40</v>
      </c>
      <c r="K3551" s="2" t="s">
        <v>2693</v>
      </c>
      <c r="L3551" t="s">
        <v>26</v>
      </c>
      <c r="M3551">
        <v>336566</v>
      </c>
      <c r="N3551">
        <v>1</v>
      </c>
      <c r="O3551" s="3">
        <v>49950</v>
      </c>
      <c r="P3551" s="3">
        <v>13302</v>
      </c>
      <c r="Q3551" s="5">
        <f t="shared" si="165"/>
        <v>41974.789915966387</v>
      </c>
      <c r="R3551" s="5">
        <f t="shared" si="166"/>
        <v>13302</v>
      </c>
      <c r="S3551" s="5">
        <f t="shared" si="167"/>
        <v>28672.789915966387</v>
      </c>
    </row>
    <row r="3552" spans="1:19" hidden="1" x14ac:dyDescent="0.3">
      <c r="A3552">
        <v>170</v>
      </c>
      <c r="B3552" t="s">
        <v>4809</v>
      </c>
      <c r="C3552" t="s">
        <v>5126</v>
      </c>
      <c r="D3552" s="2" t="s">
        <v>5127</v>
      </c>
      <c r="E3552" t="s">
        <v>2781</v>
      </c>
      <c r="F3552" t="s">
        <v>20</v>
      </c>
      <c r="G3552" t="s">
        <v>21</v>
      </c>
      <c r="H3552" t="s">
        <v>2782</v>
      </c>
      <c r="I3552" t="s">
        <v>23</v>
      </c>
      <c r="J3552" t="s">
        <v>35</v>
      </c>
      <c r="K3552" s="2" t="s">
        <v>2693</v>
      </c>
      <c r="L3552" t="s">
        <v>26</v>
      </c>
      <c r="M3552">
        <v>336566</v>
      </c>
      <c r="N3552">
        <v>1</v>
      </c>
      <c r="O3552" s="3">
        <v>63700</v>
      </c>
      <c r="P3552" s="3">
        <v>24388</v>
      </c>
      <c r="Q3552" s="5">
        <f t="shared" si="165"/>
        <v>53529.411764705888</v>
      </c>
      <c r="R3552" s="5">
        <f t="shared" si="166"/>
        <v>24388</v>
      </c>
      <c r="S3552" s="5">
        <f t="shared" si="167"/>
        <v>29141.411764705888</v>
      </c>
    </row>
    <row r="3553" spans="1:19" hidden="1" x14ac:dyDescent="0.3">
      <c r="A3553">
        <v>170</v>
      </c>
      <c r="B3553" t="s">
        <v>4809</v>
      </c>
      <c r="C3553" t="s">
        <v>50</v>
      </c>
      <c r="D3553" s="2" t="s">
        <v>51</v>
      </c>
      <c r="E3553" t="s">
        <v>52</v>
      </c>
      <c r="F3553" t="s">
        <v>20</v>
      </c>
      <c r="G3553" t="s">
        <v>21</v>
      </c>
      <c r="H3553" t="s">
        <v>53</v>
      </c>
      <c r="I3553" t="s">
        <v>23</v>
      </c>
      <c r="J3553" t="s">
        <v>49</v>
      </c>
      <c r="K3553" s="2" t="s">
        <v>2751</v>
      </c>
      <c r="L3553" t="s">
        <v>2249</v>
      </c>
      <c r="M3553">
        <v>25349</v>
      </c>
      <c r="N3553">
        <v>-1</v>
      </c>
      <c r="O3553" s="3">
        <v>-49990</v>
      </c>
      <c r="P3553" s="3">
        <v>21123</v>
      </c>
      <c r="Q3553" s="5">
        <f t="shared" si="165"/>
        <v>-42008.403361344543</v>
      </c>
      <c r="R3553" s="5">
        <f t="shared" si="166"/>
        <v>-21123</v>
      </c>
      <c r="S3553" s="5">
        <f t="shared" si="167"/>
        <v>-20885.403361344543</v>
      </c>
    </row>
    <row r="3554" spans="1:19" hidden="1" x14ac:dyDescent="0.3">
      <c r="A3554">
        <v>170</v>
      </c>
      <c r="B3554" t="s">
        <v>4809</v>
      </c>
      <c r="C3554" t="s">
        <v>5128</v>
      </c>
      <c r="D3554" s="2" t="s">
        <v>5129</v>
      </c>
      <c r="E3554" t="s">
        <v>1436</v>
      </c>
      <c r="F3554" t="s">
        <v>20</v>
      </c>
      <c r="G3554" t="s">
        <v>21</v>
      </c>
      <c r="H3554" t="s">
        <v>500</v>
      </c>
      <c r="I3554" t="s">
        <v>23</v>
      </c>
      <c r="J3554" t="s">
        <v>40</v>
      </c>
      <c r="K3554" s="2" t="s">
        <v>2751</v>
      </c>
      <c r="L3554" t="s">
        <v>26</v>
      </c>
      <c r="M3554">
        <v>336567</v>
      </c>
      <c r="N3554">
        <v>1</v>
      </c>
      <c r="O3554" s="3">
        <v>59950</v>
      </c>
      <c r="P3554" s="3">
        <v>17591</v>
      </c>
      <c r="Q3554" s="5">
        <f t="shared" si="165"/>
        <v>50378.151260504201</v>
      </c>
      <c r="R3554" s="5">
        <f t="shared" si="166"/>
        <v>17591</v>
      </c>
      <c r="S3554" s="5">
        <f t="shared" si="167"/>
        <v>32787.151260504201</v>
      </c>
    </row>
    <row r="3555" spans="1:19" hidden="1" x14ac:dyDescent="0.3">
      <c r="A3555">
        <v>170</v>
      </c>
      <c r="B3555" t="s">
        <v>4809</v>
      </c>
      <c r="C3555" t="s">
        <v>1037</v>
      </c>
      <c r="D3555" s="2" t="s">
        <v>1038</v>
      </c>
      <c r="E3555" t="s">
        <v>1039</v>
      </c>
      <c r="F3555" t="s">
        <v>377</v>
      </c>
      <c r="G3555" t="s">
        <v>21</v>
      </c>
      <c r="H3555" t="s">
        <v>378</v>
      </c>
      <c r="I3555" t="s">
        <v>23</v>
      </c>
      <c r="J3555" t="s">
        <v>379</v>
      </c>
      <c r="K3555" s="2" t="s">
        <v>2751</v>
      </c>
      <c r="L3555" t="s">
        <v>26</v>
      </c>
      <c r="M3555">
        <v>336568</v>
      </c>
      <c r="N3555">
        <v>1</v>
      </c>
      <c r="O3555" s="3">
        <v>5950</v>
      </c>
      <c r="P3555" s="3">
        <v>3257</v>
      </c>
      <c r="Q3555" s="5">
        <f t="shared" si="165"/>
        <v>5000</v>
      </c>
      <c r="R3555" s="5">
        <f t="shared" si="166"/>
        <v>3257</v>
      </c>
      <c r="S3555" s="5">
        <f t="shared" si="167"/>
        <v>1743</v>
      </c>
    </row>
    <row r="3556" spans="1:19" hidden="1" x14ac:dyDescent="0.3">
      <c r="A3556">
        <v>170</v>
      </c>
      <c r="B3556" t="s">
        <v>4809</v>
      </c>
      <c r="C3556" t="s">
        <v>3935</v>
      </c>
      <c r="D3556" s="2" t="s">
        <v>3936</v>
      </c>
      <c r="E3556" t="s">
        <v>1330</v>
      </c>
      <c r="F3556" t="s">
        <v>20</v>
      </c>
      <c r="G3556" t="s">
        <v>338</v>
      </c>
      <c r="H3556">
        <v>25133</v>
      </c>
      <c r="I3556" t="s">
        <v>23</v>
      </c>
      <c r="J3556" t="s">
        <v>35</v>
      </c>
      <c r="K3556" s="2" t="s">
        <v>2751</v>
      </c>
      <c r="L3556" t="s">
        <v>26</v>
      </c>
      <c r="M3556">
        <v>336569</v>
      </c>
      <c r="N3556">
        <v>1</v>
      </c>
      <c r="O3556" s="3">
        <v>74950</v>
      </c>
      <c r="P3556" s="3">
        <v>21167</v>
      </c>
      <c r="Q3556" s="5">
        <f t="shared" si="165"/>
        <v>62983.193277310929</v>
      </c>
      <c r="R3556" s="5">
        <f t="shared" si="166"/>
        <v>21167</v>
      </c>
      <c r="S3556" s="5">
        <f t="shared" si="167"/>
        <v>41816.193277310929</v>
      </c>
    </row>
    <row r="3557" spans="1:19" hidden="1" x14ac:dyDescent="0.3">
      <c r="A3557">
        <v>170</v>
      </c>
      <c r="B3557" t="s">
        <v>4809</v>
      </c>
      <c r="C3557" t="s">
        <v>4412</v>
      </c>
      <c r="D3557" s="2" t="s">
        <v>4413</v>
      </c>
      <c r="E3557" t="s">
        <v>3195</v>
      </c>
      <c r="F3557" t="s">
        <v>20</v>
      </c>
      <c r="G3557" t="s">
        <v>338</v>
      </c>
      <c r="H3557">
        <v>25366</v>
      </c>
      <c r="I3557" t="s">
        <v>23</v>
      </c>
      <c r="J3557" t="s">
        <v>35</v>
      </c>
      <c r="K3557" s="2" t="s">
        <v>2751</v>
      </c>
      <c r="L3557" t="s">
        <v>26</v>
      </c>
      <c r="M3557">
        <v>336569</v>
      </c>
      <c r="N3557">
        <v>1</v>
      </c>
      <c r="O3557" s="3">
        <v>84950</v>
      </c>
      <c r="P3557" s="3">
        <v>33157</v>
      </c>
      <c r="Q3557" s="5">
        <f t="shared" si="165"/>
        <v>71386.554621848743</v>
      </c>
      <c r="R3557" s="5">
        <f t="shared" si="166"/>
        <v>33157</v>
      </c>
      <c r="S3557" s="5">
        <f t="shared" si="167"/>
        <v>38229.554621848743</v>
      </c>
    </row>
    <row r="3558" spans="1:19" hidden="1" x14ac:dyDescent="0.3">
      <c r="A3558">
        <v>170</v>
      </c>
      <c r="B3558" t="s">
        <v>4809</v>
      </c>
      <c r="C3558" t="s">
        <v>5130</v>
      </c>
      <c r="D3558" s="2" t="s">
        <v>5131</v>
      </c>
      <c r="E3558" t="s">
        <v>5132</v>
      </c>
      <c r="F3558" t="s">
        <v>20</v>
      </c>
      <c r="G3558" t="s">
        <v>21</v>
      </c>
      <c r="H3558" t="s">
        <v>243</v>
      </c>
      <c r="I3558" t="s">
        <v>23</v>
      </c>
      <c r="J3558" t="s">
        <v>35</v>
      </c>
      <c r="K3558" s="2" t="s">
        <v>2751</v>
      </c>
      <c r="L3558" t="s">
        <v>26</v>
      </c>
      <c r="M3558">
        <v>336570</v>
      </c>
      <c r="N3558">
        <v>1</v>
      </c>
      <c r="O3558" s="3">
        <v>84950</v>
      </c>
      <c r="P3558" s="3">
        <v>53269</v>
      </c>
      <c r="Q3558" s="5">
        <f t="shared" si="165"/>
        <v>71386.554621848743</v>
      </c>
      <c r="R3558" s="5">
        <f t="shared" si="166"/>
        <v>53269</v>
      </c>
      <c r="S3558" s="5">
        <f t="shared" si="167"/>
        <v>18117.554621848743</v>
      </c>
    </row>
    <row r="3559" spans="1:19" hidden="1" x14ac:dyDescent="0.3">
      <c r="A3559">
        <v>170</v>
      </c>
      <c r="B3559" t="s">
        <v>4809</v>
      </c>
      <c r="C3559" t="s">
        <v>4010</v>
      </c>
      <c r="D3559" s="2" t="s">
        <v>4011</v>
      </c>
      <c r="E3559" t="s">
        <v>1428</v>
      </c>
      <c r="F3559" t="s">
        <v>20</v>
      </c>
      <c r="G3559" t="s">
        <v>21</v>
      </c>
      <c r="H3559" t="s">
        <v>57</v>
      </c>
      <c r="I3559" t="s">
        <v>23</v>
      </c>
      <c r="J3559" t="s">
        <v>35</v>
      </c>
      <c r="K3559" s="2" t="s">
        <v>2751</v>
      </c>
      <c r="L3559" t="s">
        <v>26</v>
      </c>
      <c r="M3559">
        <v>336570</v>
      </c>
      <c r="N3559">
        <v>1</v>
      </c>
      <c r="O3559" s="3">
        <v>89950</v>
      </c>
      <c r="P3559" s="3">
        <v>31700</v>
      </c>
      <c r="Q3559" s="5">
        <f t="shared" si="165"/>
        <v>75588.23529411765</v>
      </c>
      <c r="R3559" s="5">
        <f t="shared" si="166"/>
        <v>31700</v>
      </c>
      <c r="S3559" s="5">
        <f t="shared" si="167"/>
        <v>43888.23529411765</v>
      </c>
    </row>
    <row r="3560" spans="1:19" hidden="1" x14ac:dyDescent="0.3">
      <c r="A3560">
        <v>170</v>
      </c>
      <c r="B3560" t="s">
        <v>4809</v>
      </c>
      <c r="C3560" t="s">
        <v>1037</v>
      </c>
      <c r="D3560" s="2" t="s">
        <v>1038</v>
      </c>
      <c r="E3560" t="s">
        <v>1039</v>
      </c>
      <c r="F3560" t="s">
        <v>377</v>
      </c>
      <c r="G3560" t="s">
        <v>21</v>
      </c>
      <c r="H3560" t="s">
        <v>378</v>
      </c>
      <c r="I3560" t="s">
        <v>23</v>
      </c>
      <c r="J3560" t="s">
        <v>379</v>
      </c>
      <c r="K3560" s="2" t="s">
        <v>2751</v>
      </c>
      <c r="L3560" t="s">
        <v>26</v>
      </c>
      <c r="M3560">
        <v>336571</v>
      </c>
      <c r="N3560">
        <v>1</v>
      </c>
      <c r="O3560" s="3">
        <v>5950</v>
      </c>
      <c r="P3560" s="3">
        <v>3257</v>
      </c>
      <c r="Q3560" s="5">
        <f t="shared" si="165"/>
        <v>5000</v>
      </c>
      <c r="R3560" s="5">
        <f t="shared" si="166"/>
        <v>3257</v>
      </c>
      <c r="S3560" s="5">
        <f t="shared" si="167"/>
        <v>1743</v>
      </c>
    </row>
    <row r="3561" spans="1:19" hidden="1" x14ac:dyDescent="0.3">
      <c r="A3561">
        <v>170</v>
      </c>
      <c r="B3561" t="s">
        <v>4809</v>
      </c>
      <c r="C3561" t="s">
        <v>3311</v>
      </c>
      <c r="D3561" s="2" t="s">
        <v>3312</v>
      </c>
      <c r="E3561" t="s">
        <v>494</v>
      </c>
      <c r="F3561" t="s">
        <v>20</v>
      </c>
      <c r="G3561" t="s">
        <v>21</v>
      </c>
      <c r="H3561" t="s">
        <v>317</v>
      </c>
      <c r="I3561" t="s">
        <v>23</v>
      </c>
      <c r="J3561" t="s">
        <v>35</v>
      </c>
      <c r="K3561" s="2" t="s">
        <v>2751</v>
      </c>
      <c r="L3561" t="s">
        <v>26</v>
      </c>
      <c r="M3561">
        <v>336572</v>
      </c>
      <c r="N3561">
        <v>1</v>
      </c>
      <c r="O3561" s="3">
        <v>69950</v>
      </c>
      <c r="P3561" s="3">
        <v>23619</v>
      </c>
      <c r="Q3561" s="5">
        <f t="shared" si="165"/>
        <v>58781.512605042022</v>
      </c>
      <c r="R3561" s="5">
        <f t="shared" si="166"/>
        <v>23619</v>
      </c>
      <c r="S3561" s="5">
        <f t="shared" si="167"/>
        <v>35162.512605042022</v>
      </c>
    </row>
    <row r="3562" spans="1:19" hidden="1" x14ac:dyDescent="0.3">
      <c r="A3562">
        <v>170</v>
      </c>
      <c r="B3562" t="s">
        <v>4809</v>
      </c>
      <c r="C3562" t="s">
        <v>5133</v>
      </c>
      <c r="D3562" s="2" t="s">
        <v>5134</v>
      </c>
      <c r="E3562" t="s">
        <v>5135</v>
      </c>
      <c r="F3562" t="s">
        <v>377</v>
      </c>
      <c r="G3562" t="s">
        <v>21</v>
      </c>
      <c r="H3562" t="s">
        <v>378</v>
      </c>
      <c r="I3562" t="s">
        <v>23</v>
      </c>
      <c r="J3562" t="s">
        <v>2620</v>
      </c>
      <c r="K3562" s="2" t="s">
        <v>2751</v>
      </c>
      <c r="L3562" t="s">
        <v>26</v>
      </c>
      <c r="M3562">
        <v>336572</v>
      </c>
      <c r="N3562">
        <v>1</v>
      </c>
      <c r="O3562" s="3">
        <v>24950</v>
      </c>
      <c r="P3562" s="3">
        <v>11027</v>
      </c>
      <c r="Q3562" s="5">
        <f t="shared" si="165"/>
        <v>20966.386554621851</v>
      </c>
      <c r="R3562" s="5">
        <f t="shared" si="166"/>
        <v>11027</v>
      </c>
      <c r="S3562" s="5">
        <f t="shared" si="167"/>
        <v>9939.3865546218512</v>
      </c>
    </row>
    <row r="3563" spans="1:19" hidden="1" x14ac:dyDescent="0.3">
      <c r="A3563">
        <v>170</v>
      </c>
      <c r="B3563" t="s">
        <v>4809</v>
      </c>
      <c r="C3563" t="s">
        <v>849</v>
      </c>
      <c r="D3563" s="2" t="s">
        <v>850</v>
      </c>
      <c r="E3563" t="s">
        <v>845</v>
      </c>
      <c r="F3563" t="s">
        <v>20</v>
      </c>
      <c r="G3563" t="s">
        <v>21</v>
      </c>
      <c r="H3563" t="s">
        <v>243</v>
      </c>
      <c r="I3563" t="s">
        <v>23</v>
      </c>
      <c r="J3563" t="s">
        <v>35</v>
      </c>
      <c r="K3563" s="2" t="s">
        <v>2751</v>
      </c>
      <c r="L3563" t="s">
        <v>26</v>
      </c>
      <c r="M3563">
        <v>336573</v>
      </c>
      <c r="N3563">
        <v>1</v>
      </c>
      <c r="O3563" s="3">
        <v>109950</v>
      </c>
      <c r="P3563" s="3">
        <v>62858</v>
      </c>
      <c r="Q3563" s="5">
        <f t="shared" si="165"/>
        <v>92394.957983193279</v>
      </c>
      <c r="R3563" s="5">
        <f t="shared" si="166"/>
        <v>62858</v>
      </c>
      <c r="S3563" s="5">
        <f t="shared" si="167"/>
        <v>29536.957983193279</v>
      </c>
    </row>
    <row r="3564" spans="1:19" hidden="1" x14ac:dyDescent="0.3">
      <c r="A3564">
        <v>170</v>
      </c>
      <c r="B3564" t="s">
        <v>4809</v>
      </c>
      <c r="C3564" t="s">
        <v>5136</v>
      </c>
      <c r="D3564" s="2" t="s">
        <v>5137</v>
      </c>
      <c r="E3564" t="s">
        <v>432</v>
      </c>
      <c r="F3564" t="s">
        <v>20</v>
      </c>
      <c r="G3564" t="s">
        <v>21</v>
      </c>
      <c r="H3564" t="s">
        <v>433</v>
      </c>
      <c r="I3564" t="s">
        <v>23</v>
      </c>
      <c r="J3564" t="s">
        <v>407</v>
      </c>
      <c r="K3564" s="2" t="s">
        <v>2751</v>
      </c>
      <c r="L3564" t="s">
        <v>26</v>
      </c>
      <c r="M3564">
        <v>336574</v>
      </c>
      <c r="N3564">
        <v>1</v>
      </c>
      <c r="O3564" s="3">
        <v>39990</v>
      </c>
      <c r="P3564" s="3">
        <v>24999</v>
      </c>
      <c r="Q3564" s="5">
        <f t="shared" si="165"/>
        <v>33605.042016806721</v>
      </c>
      <c r="R3564" s="5">
        <f t="shared" si="166"/>
        <v>24999</v>
      </c>
      <c r="S3564" s="5">
        <f t="shared" si="167"/>
        <v>8606.0420168067212</v>
      </c>
    </row>
    <row r="3565" spans="1:19" hidden="1" x14ac:dyDescent="0.3">
      <c r="A3565">
        <v>170</v>
      </c>
      <c r="B3565" t="s">
        <v>4809</v>
      </c>
      <c r="C3565" t="s">
        <v>4272</v>
      </c>
      <c r="D3565" s="2" t="s">
        <v>4273</v>
      </c>
      <c r="E3565" t="s">
        <v>4274</v>
      </c>
      <c r="F3565" t="s">
        <v>20</v>
      </c>
      <c r="G3565" t="s">
        <v>338</v>
      </c>
      <c r="H3565">
        <v>22410</v>
      </c>
      <c r="I3565" t="s">
        <v>23</v>
      </c>
      <c r="J3565" t="s">
        <v>49</v>
      </c>
      <c r="K3565" s="2" t="s">
        <v>2751</v>
      </c>
      <c r="L3565" t="s">
        <v>26</v>
      </c>
      <c r="M3565">
        <v>336574</v>
      </c>
      <c r="N3565">
        <v>1</v>
      </c>
      <c r="O3565" s="3">
        <v>69950</v>
      </c>
      <c r="P3565" s="3">
        <v>20848</v>
      </c>
      <c r="Q3565" s="5">
        <f t="shared" si="165"/>
        <v>58781.512605042022</v>
      </c>
      <c r="R3565" s="5">
        <f t="shared" si="166"/>
        <v>20848</v>
      </c>
      <c r="S3565" s="5">
        <f t="shared" si="167"/>
        <v>37933.512605042022</v>
      </c>
    </row>
    <row r="3566" spans="1:19" hidden="1" x14ac:dyDescent="0.3">
      <c r="A3566">
        <v>170</v>
      </c>
      <c r="B3566" t="s">
        <v>4809</v>
      </c>
      <c r="C3566" t="s">
        <v>5138</v>
      </c>
      <c r="D3566" s="2" t="s">
        <v>5139</v>
      </c>
      <c r="E3566" t="s">
        <v>3003</v>
      </c>
      <c r="F3566" t="s">
        <v>20</v>
      </c>
      <c r="G3566" t="s">
        <v>338</v>
      </c>
      <c r="H3566">
        <v>25312</v>
      </c>
      <c r="I3566" t="s">
        <v>23</v>
      </c>
      <c r="J3566" t="s">
        <v>35</v>
      </c>
      <c r="K3566" s="2" t="s">
        <v>2751</v>
      </c>
      <c r="L3566" t="s">
        <v>26</v>
      </c>
      <c r="M3566">
        <v>336575</v>
      </c>
      <c r="N3566">
        <v>1</v>
      </c>
      <c r="O3566" s="3">
        <v>69950</v>
      </c>
      <c r="P3566" s="3">
        <v>21167</v>
      </c>
      <c r="Q3566" s="5">
        <f t="shared" si="165"/>
        <v>58781.512605042022</v>
      </c>
      <c r="R3566" s="5">
        <f t="shared" si="166"/>
        <v>21167</v>
      </c>
      <c r="S3566" s="5">
        <f t="shared" si="167"/>
        <v>37614.512605042022</v>
      </c>
    </row>
    <row r="3567" spans="1:19" hidden="1" x14ac:dyDescent="0.3">
      <c r="A3567">
        <v>170</v>
      </c>
      <c r="B3567" t="s">
        <v>4809</v>
      </c>
      <c r="C3567" t="s">
        <v>4162</v>
      </c>
      <c r="D3567" s="2" t="s">
        <v>4163</v>
      </c>
      <c r="E3567" t="s">
        <v>2311</v>
      </c>
      <c r="F3567" t="s">
        <v>20</v>
      </c>
      <c r="G3567" t="s">
        <v>338</v>
      </c>
      <c r="H3567">
        <v>83716</v>
      </c>
      <c r="I3567" t="s">
        <v>23</v>
      </c>
      <c r="J3567" t="s">
        <v>40</v>
      </c>
      <c r="K3567" s="2" t="s">
        <v>2751</v>
      </c>
      <c r="L3567" t="s">
        <v>26</v>
      </c>
      <c r="M3567">
        <v>336576</v>
      </c>
      <c r="N3567">
        <v>1</v>
      </c>
      <c r="O3567" s="3">
        <v>76450</v>
      </c>
      <c r="P3567" s="3">
        <v>30263</v>
      </c>
      <c r="Q3567" s="5">
        <f t="shared" si="165"/>
        <v>64243.697478991598</v>
      </c>
      <c r="R3567" s="5">
        <f t="shared" si="166"/>
        <v>30263</v>
      </c>
      <c r="S3567" s="5">
        <f t="shared" si="167"/>
        <v>33980.697478991598</v>
      </c>
    </row>
    <row r="3568" spans="1:19" hidden="1" x14ac:dyDescent="0.3">
      <c r="A3568">
        <v>170</v>
      </c>
      <c r="B3568" t="s">
        <v>4809</v>
      </c>
      <c r="C3568" t="s">
        <v>5091</v>
      </c>
      <c r="D3568" s="2" t="s">
        <v>5092</v>
      </c>
      <c r="E3568" t="s">
        <v>4574</v>
      </c>
      <c r="F3568" t="s">
        <v>20</v>
      </c>
      <c r="G3568" t="s">
        <v>21</v>
      </c>
      <c r="H3568" t="s">
        <v>3028</v>
      </c>
      <c r="I3568" t="s">
        <v>23</v>
      </c>
      <c r="J3568" t="s">
        <v>35</v>
      </c>
      <c r="K3568" s="2" t="s">
        <v>2751</v>
      </c>
      <c r="L3568" t="s">
        <v>26</v>
      </c>
      <c r="M3568">
        <v>336577</v>
      </c>
      <c r="N3568">
        <v>1</v>
      </c>
      <c r="O3568" s="3">
        <v>99950</v>
      </c>
      <c r="P3568" s="3">
        <v>53748</v>
      </c>
      <c r="Q3568" s="5">
        <f t="shared" si="165"/>
        <v>83991.596638655465</v>
      </c>
      <c r="R3568" s="5">
        <f t="shared" si="166"/>
        <v>53748</v>
      </c>
      <c r="S3568" s="5">
        <f t="shared" si="167"/>
        <v>30243.596638655465</v>
      </c>
    </row>
    <row r="3569" spans="1:19" hidden="1" x14ac:dyDescent="0.3">
      <c r="A3569">
        <v>170</v>
      </c>
      <c r="B3569" t="s">
        <v>4809</v>
      </c>
      <c r="C3569" t="s">
        <v>2975</v>
      </c>
      <c r="D3569" s="2" t="s">
        <v>2976</v>
      </c>
      <c r="E3569" t="s">
        <v>1453</v>
      </c>
      <c r="F3569" t="s">
        <v>20</v>
      </c>
      <c r="G3569" t="s">
        <v>338</v>
      </c>
      <c r="H3569">
        <v>22410</v>
      </c>
      <c r="I3569" t="s">
        <v>23</v>
      </c>
      <c r="J3569" t="s">
        <v>49</v>
      </c>
      <c r="K3569" s="2" t="s">
        <v>2751</v>
      </c>
      <c r="L3569" t="s">
        <v>26</v>
      </c>
      <c r="M3569">
        <v>336578</v>
      </c>
      <c r="N3569">
        <v>1</v>
      </c>
      <c r="O3569" s="3">
        <v>69950</v>
      </c>
      <c r="P3569" s="3">
        <v>20848</v>
      </c>
      <c r="Q3569" s="5">
        <f t="shared" si="165"/>
        <v>58781.512605042022</v>
      </c>
      <c r="R3569" s="5">
        <f t="shared" si="166"/>
        <v>20848</v>
      </c>
      <c r="S3569" s="5">
        <f t="shared" si="167"/>
        <v>37933.512605042022</v>
      </c>
    </row>
    <row r="3570" spans="1:19" hidden="1" x14ac:dyDescent="0.3">
      <c r="A3570">
        <v>170</v>
      </c>
      <c r="B3570" t="s">
        <v>4809</v>
      </c>
      <c r="C3570" t="s">
        <v>3196</v>
      </c>
      <c r="D3570" s="2" t="s">
        <v>3197</v>
      </c>
      <c r="E3570" t="s">
        <v>717</v>
      </c>
      <c r="F3570" t="s">
        <v>20</v>
      </c>
      <c r="G3570" t="s">
        <v>21</v>
      </c>
      <c r="H3570" t="s">
        <v>718</v>
      </c>
      <c r="I3570" t="s">
        <v>23</v>
      </c>
      <c r="J3570" t="s">
        <v>49</v>
      </c>
      <c r="K3570" s="2" t="s">
        <v>2751</v>
      </c>
      <c r="L3570" t="s">
        <v>26</v>
      </c>
      <c r="M3570">
        <v>336579</v>
      </c>
      <c r="N3570">
        <v>1</v>
      </c>
      <c r="O3570" s="3">
        <v>39990</v>
      </c>
      <c r="P3570" s="3">
        <v>26658</v>
      </c>
      <c r="Q3570" s="5">
        <f t="shared" si="165"/>
        <v>33605.042016806721</v>
      </c>
      <c r="R3570" s="5">
        <f t="shared" si="166"/>
        <v>26658</v>
      </c>
      <c r="S3570" s="5">
        <f t="shared" si="167"/>
        <v>6947.0420168067212</v>
      </c>
    </row>
    <row r="3571" spans="1:19" hidden="1" x14ac:dyDescent="0.3">
      <c r="A3571">
        <v>170</v>
      </c>
      <c r="B3571" t="s">
        <v>4809</v>
      </c>
      <c r="C3571" t="s">
        <v>3198</v>
      </c>
      <c r="D3571" s="2" t="s">
        <v>3199</v>
      </c>
      <c r="E3571" t="s">
        <v>3122</v>
      </c>
      <c r="F3571" t="s">
        <v>20</v>
      </c>
      <c r="G3571" t="s">
        <v>21</v>
      </c>
      <c r="H3571" t="s">
        <v>718</v>
      </c>
      <c r="I3571" t="s">
        <v>23</v>
      </c>
      <c r="J3571" t="s">
        <v>49</v>
      </c>
      <c r="K3571" s="2" t="s">
        <v>2751</v>
      </c>
      <c r="L3571" t="s">
        <v>26</v>
      </c>
      <c r="M3571">
        <v>336579</v>
      </c>
      <c r="N3571">
        <v>1</v>
      </c>
      <c r="O3571" s="3">
        <v>39990</v>
      </c>
      <c r="P3571" s="3">
        <v>26647</v>
      </c>
      <c r="Q3571" s="5">
        <f t="shared" si="165"/>
        <v>33605.042016806721</v>
      </c>
      <c r="R3571" s="5">
        <f t="shared" si="166"/>
        <v>26647</v>
      </c>
      <c r="S3571" s="5">
        <f t="shared" si="167"/>
        <v>6958.0420168067212</v>
      </c>
    </row>
    <row r="3572" spans="1:19" hidden="1" x14ac:dyDescent="0.3">
      <c r="A3572">
        <v>170</v>
      </c>
      <c r="B3572" t="s">
        <v>4809</v>
      </c>
      <c r="C3572" t="s">
        <v>1977</v>
      </c>
      <c r="D3572" s="2" t="s">
        <v>1978</v>
      </c>
      <c r="E3572" t="s">
        <v>717</v>
      </c>
      <c r="F3572" t="s">
        <v>20</v>
      </c>
      <c r="G3572" t="s">
        <v>21</v>
      </c>
      <c r="H3572" t="s">
        <v>718</v>
      </c>
      <c r="I3572" t="s">
        <v>23</v>
      </c>
      <c r="J3572" t="s">
        <v>49</v>
      </c>
      <c r="K3572" s="2" t="s">
        <v>2751</v>
      </c>
      <c r="L3572" t="s">
        <v>26</v>
      </c>
      <c r="M3572">
        <v>336580</v>
      </c>
      <c r="N3572">
        <v>1</v>
      </c>
      <c r="O3572" s="3">
        <v>39990</v>
      </c>
      <c r="P3572" s="3">
        <v>26646</v>
      </c>
      <c r="Q3572" s="5">
        <f t="shared" si="165"/>
        <v>33605.042016806721</v>
      </c>
      <c r="R3572" s="5">
        <f t="shared" si="166"/>
        <v>26646</v>
      </c>
      <c r="S3572" s="5">
        <f t="shared" si="167"/>
        <v>6959.0420168067212</v>
      </c>
    </row>
    <row r="3573" spans="1:19" hidden="1" x14ac:dyDescent="0.3">
      <c r="A3573">
        <v>170</v>
      </c>
      <c r="B3573" t="s">
        <v>4809</v>
      </c>
      <c r="C3573" t="s">
        <v>3120</v>
      </c>
      <c r="D3573" s="2" t="s">
        <v>3121</v>
      </c>
      <c r="E3573" t="s">
        <v>3122</v>
      </c>
      <c r="F3573" t="s">
        <v>20</v>
      </c>
      <c r="G3573" t="s">
        <v>21</v>
      </c>
      <c r="H3573" t="s">
        <v>718</v>
      </c>
      <c r="I3573" t="s">
        <v>23</v>
      </c>
      <c r="J3573" t="s">
        <v>49</v>
      </c>
      <c r="K3573" s="2" t="s">
        <v>2751</v>
      </c>
      <c r="L3573" t="s">
        <v>26</v>
      </c>
      <c r="M3573">
        <v>336580</v>
      </c>
      <c r="N3573">
        <v>1</v>
      </c>
      <c r="O3573" s="3">
        <v>39990</v>
      </c>
      <c r="P3573" s="3">
        <v>26647</v>
      </c>
      <c r="Q3573" s="5">
        <f t="shared" si="165"/>
        <v>33605.042016806721</v>
      </c>
      <c r="R3573" s="5">
        <f t="shared" si="166"/>
        <v>26647</v>
      </c>
      <c r="S3573" s="5">
        <f t="shared" si="167"/>
        <v>6958.0420168067212</v>
      </c>
    </row>
    <row r="3574" spans="1:19" hidden="1" x14ac:dyDescent="0.3">
      <c r="A3574">
        <v>170</v>
      </c>
      <c r="B3574" t="s">
        <v>4809</v>
      </c>
      <c r="C3574" t="s">
        <v>4407</v>
      </c>
      <c r="D3574" s="2" t="s">
        <v>4408</v>
      </c>
      <c r="E3574" t="s">
        <v>3068</v>
      </c>
      <c r="F3574" t="s">
        <v>20</v>
      </c>
      <c r="G3574" t="s">
        <v>21</v>
      </c>
      <c r="H3574" t="s">
        <v>1286</v>
      </c>
      <c r="I3574" t="s">
        <v>23</v>
      </c>
      <c r="J3574" t="s">
        <v>40</v>
      </c>
      <c r="K3574" s="2" t="s">
        <v>2751</v>
      </c>
      <c r="L3574" t="s">
        <v>26</v>
      </c>
      <c r="M3574">
        <v>336581</v>
      </c>
      <c r="N3574">
        <v>1</v>
      </c>
      <c r="O3574" s="3">
        <v>69950</v>
      </c>
      <c r="P3574" s="3">
        <v>19604</v>
      </c>
      <c r="Q3574" s="5">
        <f t="shared" si="165"/>
        <v>58781.512605042022</v>
      </c>
      <c r="R3574" s="5">
        <f t="shared" si="166"/>
        <v>19604</v>
      </c>
      <c r="S3574" s="5">
        <f t="shared" si="167"/>
        <v>39177.512605042022</v>
      </c>
    </row>
    <row r="3575" spans="1:19" hidden="1" x14ac:dyDescent="0.3">
      <c r="A3575">
        <v>170</v>
      </c>
      <c r="B3575" t="s">
        <v>4809</v>
      </c>
      <c r="C3575" t="s">
        <v>5140</v>
      </c>
      <c r="D3575" s="2" t="s">
        <v>5141</v>
      </c>
      <c r="E3575" t="s">
        <v>3438</v>
      </c>
      <c r="F3575" t="s">
        <v>20</v>
      </c>
      <c r="G3575" t="s">
        <v>338</v>
      </c>
      <c r="H3575">
        <v>83707</v>
      </c>
      <c r="I3575" t="s">
        <v>23</v>
      </c>
      <c r="J3575" t="s">
        <v>40</v>
      </c>
      <c r="K3575" s="2" t="s">
        <v>2751</v>
      </c>
      <c r="L3575" t="s">
        <v>26</v>
      </c>
      <c r="M3575">
        <v>336582</v>
      </c>
      <c r="N3575">
        <v>1</v>
      </c>
      <c r="O3575" s="3">
        <v>76450</v>
      </c>
      <c r="P3575" s="3">
        <v>30263</v>
      </c>
      <c r="Q3575" s="5">
        <f t="shared" si="165"/>
        <v>64243.697478991598</v>
      </c>
      <c r="R3575" s="5">
        <f t="shared" si="166"/>
        <v>30263</v>
      </c>
      <c r="S3575" s="5">
        <f t="shared" si="167"/>
        <v>33980.697478991598</v>
      </c>
    </row>
    <row r="3576" spans="1:19" hidden="1" x14ac:dyDescent="0.3">
      <c r="A3576">
        <v>170</v>
      </c>
      <c r="B3576" t="s">
        <v>4809</v>
      </c>
      <c r="C3576" t="s">
        <v>3176</v>
      </c>
      <c r="D3576" s="2" t="s">
        <v>3177</v>
      </c>
      <c r="E3576" t="s">
        <v>2539</v>
      </c>
      <c r="F3576" t="s">
        <v>20</v>
      </c>
      <c r="G3576" t="s">
        <v>21</v>
      </c>
      <c r="H3576" t="s">
        <v>966</v>
      </c>
      <c r="I3576" t="s">
        <v>23</v>
      </c>
      <c r="J3576" t="s">
        <v>35</v>
      </c>
      <c r="K3576" s="2" t="s">
        <v>2751</v>
      </c>
      <c r="L3576" t="s">
        <v>26</v>
      </c>
      <c r="M3576">
        <v>336583</v>
      </c>
      <c r="N3576">
        <v>1</v>
      </c>
      <c r="O3576" s="3">
        <v>63700</v>
      </c>
      <c r="P3576" s="3">
        <v>27328</v>
      </c>
      <c r="Q3576" s="5">
        <f t="shared" si="165"/>
        <v>53529.411764705888</v>
      </c>
      <c r="R3576" s="5">
        <f t="shared" si="166"/>
        <v>27328</v>
      </c>
      <c r="S3576" s="5">
        <f t="shared" si="167"/>
        <v>26201.411764705888</v>
      </c>
    </row>
    <row r="3577" spans="1:19" hidden="1" x14ac:dyDescent="0.3">
      <c r="A3577">
        <v>170</v>
      </c>
      <c r="B3577" t="s">
        <v>4809</v>
      </c>
      <c r="C3577" t="s">
        <v>2649</v>
      </c>
      <c r="D3577" s="2" t="s">
        <v>2650</v>
      </c>
      <c r="E3577" t="s">
        <v>266</v>
      </c>
      <c r="F3577" t="s">
        <v>20</v>
      </c>
      <c r="G3577" t="s">
        <v>21</v>
      </c>
      <c r="H3577" t="s">
        <v>267</v>
      </c>
      <c r="I3577" t="s">
        <v>23</v>
      </c>
      <c r="J3577" t="s">
        <v>49</v>
      </c>
      <c r="K3577" s="2" t="s">
        <v>2751</v>
      </c>
      <c r="L3577" t="s">
        <v>26</v>
      </c>
      <c r="M3577">
        <v>336583</v>
      </c>
      <c r="N3577">
        <v>1</v>
      </c>
      <c r="O3577" s="3">
        <v>64950</v>
      </c>
      <c r="P3577" s="3">
        <v>24504</v>
      </c>
      <c r="Q3577" s="5">
        <f t="shared" si="165"/>
        <v>54579.831932773115</v>
      </c>
      <c r="R3577" s="5">
        <f t="shared" si="166"/>
        <v>24504</v>
      </c>
      <c r="S3577" s="5">
        <f t="shared" si="167"/>
        <v>30075.831932773115</v>
      </c>
    </row>
    <row r="3578" spans="1:19" hidden="1" x14ac:dyDescent="0.3">
      <c r="A3578">
        <v>170</v>
      </c>
      <c r="B3578" t="s">
        <v>4809</v>
      </c>
      <c r="C3578" t="s">
        <v>2485</v>
      </c>
      <c r="D3578" s="2" t="s">
        <v>2486</v>
      </c>
      <c r="E3578" t="s">
        <v>2487</v>
      </c>
      <c r="F3578" t="s">
        <v>377</v>
      </c>
      <c r="G3578" t="s">
        <v>21</v>
      </c>
      <c r="H3578" t="s">
        <v>378</v>
      </c>
      <c r="I3578" t="s">
        <v>23</v>
      </c>
      <c r="J3578" t="s">
        <v>379</v>
      </c>
      <c r="K3578" s="2" t="s">
        <v>2751</v>
      </c>
      <c r="L3578" t="s">
        <v>26</v>
      </c>
      <c r="M3578">
        <v>336584</v>
      </c>
      <c r="N3578">
        <v>1</v>
      </c>
      <c r="O3578" s="3">
        <v>5950</v>
      </c>
      <c r="P3578" s="3">
        <v>2243</v>
      </c>
      <c r="Q3578" s="5">
        <f t="shared" si="165"/>
        <v>5000</v>
      </c>
      <c r="R3578" s="5">
        <f t="shared" si="166"/>
        <v>2243</v>
      </c>
      <c r="S3578" s="5">
        <f t="shared" si="167"/>
        <v>2757</v>
      </c>
    </row>
    <row r="3579" spans="1:19" hidden="1" x14ac:dyDescent="0.3">
      <c r="A3579">
        <v>170</v>
      </c>
      <c r="B3579" t="s">
        <v>4809</v>
      </c>
      <c r="C3579" t="s">
        <v>5142</v>
      </c>
      <c r="D3579" s="2" t="s">
        <v>5143</v>
      </c>
      <c r="E3579" t="s">
        <v>3684</v>
      </c>
      <c r="F3579" t="s">
        <v>20</v>
      </c>
      <c r="G3579" t="s">
        <v>21</v>
      </c>
      <c r="H3579" t="s">
        <v>114</v>
      </c>
      <c r="I3579" t="s">
        <v>23</v>
      </c>
      <c r="J3579" t="s">
        <v>49</v>
      </c>
      <c r="K3579" s="2" t="s">
        <v>2751</v>
      </c>
      <c r="L3579" t="s">
        <v>26</v>
      </c>
      <c r="M3579">
        <v>336585</v>
      </c>
      <c r="N3579">
        <v>1</v>
      </c>
      <c r="O3579" s="3">
        <v>49990</v>
      </c>
      <c r="P3579" s="3">
        <v>23514</v>
      </c>
      <c r="Q3579" s="5">
        <f t="shared" si="165"/>
        <v>42008.403361344543</v>
      </c>
      <c r="R3579" s="5">
        <f t="shared" si="166"/>
        <v>23514</v>
      </c>
      <c r="S3579" s="5">
        <f t="shared" si="167"/>
        <v>18494.403361344543</v>
      </c>
    </row>
    <row r="3580" spans="1:19" hidden="1" x14ac:dyDescent="0.3">
      <c r="A3580">
        <v>170</v>
      </c>
      <c r="B3580" t="s">
        <v>4809</v>
      </c>
      <c r="C3580" t="s">
        <v>5144</v>
      </c>
      <c r="D3580" s="2" t="s">
        <v>5145</v>
      </c>
      <c r="E3580" t="s">
        <v>696</v>
      </c>
      <c r="F3580" t="s">
        <v>20</v>
      </c>
      <c r="G3580" t="s">
        <v>215</v>
      </c>
      <c r="H3580" t="s">
        <v>216</v>
      </c>
      <c r="I3580" t="s">
        <v>23</v>
      </c>
      <c r="J3580" t="s">
        <v>220</v>
      </c>
      <c r="K3580" s="2" t="s">
        <v>2751</v>
      </c>
      <c r="L3580" t="s">
        <v>26</v>
      </c>
      <c r="M3580">
        <v>336585</v>
      </c>
      <c r="N3580">
        <v>1</v>
      </c>
      <c r="O3580" s="3">
        <v>69990</v>
      </c>
      <c r="P3580" s="3">
        <v>40434</v>
      </c>
      <c r="Q3580" s="5">
        <f t="shared" si="165"/>
        <v>58815.126050420171</v>
      </c>
      <c r="R3580" s="5">
        <f t="shared" si="166"/>
        <v>40434</v>
      </c>
      <c r="S3580" s="5">
        <f t="shared" si="167"/>
        <v>18381.126050420171</v>
      </c>
    </row>
    <row r="3581" spans="1:19" hidden="1" x14ac:dyDescent="0.3">
      <c r="A3581">
        <v>170</v>
      </c>
      <c r="B3581" t="s">
        <v>4809</v>
      </c>
      <c r="C3581" t="s">
        <v>2926</v>
      </c>
      <c r="D3581" s="2" t="s">
        <v>2927</v>
      </c>
      <c r="E3581" t="s">
        <v>2110</v>
      </c>
      <c r="F3581" t="s">
        <v>20</v>
      </c>
      <c r="G3581" t="s">
        <v>21</v>
      </c>
      <c r="H3581" t="s">
        <v>22</v>
      </c>
      <c r="I3581" t="s">
        <v>23</v>
      </c>
      <c r="J3581" t="s">
        <v>24</v>
      </c>
      <c r="K3581" s="2" t="s">
        <v>2751</v>
      </c>
      <c r="L3581" t="s">
        <v>26</v>
      </c>
      <c r="M3581">
        <v>336586</v>
      </c>
      <c r="N3581">
        <v>1</v>
      </c>
      <c r="O3581" s="3">
        <v>79950</v>
      </c>
      <c r="P3581" s="3">
        <v>27748</v>
      </c>
      <c r="Q3581" s="5">
        <f t="shared" si="165"/>
        <v>67184.873949579836</v>
      </c>
      <c r="R3581" s="5">
        <f t="shared" si="166"/>
        <v>27748</v>
      </c>
      <c r="S3581" s="5">
        <f t="shared" si="167"/>
        <v>39436.873949579836</v>
      </c>
    </row>
    <row r="3582" spans="1:19" hidden="1" x14ac:dyDescent="0.3">
      <c r="A3582">
        <v>170</v>
      </c>
      <c r="B3582" t="s">
        <v>4809</v>
      </c>
      <c r="C3582" t="s">
        <v>4683</v>
      </c>
      <c r="D3582" s="2" t="s">
        <v>4684</v>
      </c>
      <c r="E3582" t="s">
        <v>2959</v>
      </c>
      <c r="F3582" t="s">
        <v>20</v>
      </c>
      <c r="G3582" t="s">
        <v>338</v>
      </c>
      <c r="H3582">
        <v>25529</v>
      </c>
      <c r="I3582" t="s">
        <v>23</v>
      </c>
      <c r="J3582" t="s">
        <v>31</v>
      </c>
      <c r="K3582" s="2" t="s">
        <v>2751</v>
      </c>
      <c r="L3582" t="s">
        <v>26</v>
      </c>
      <c r="M3582">
        <v>336586</v>
      </c>
      <c r="N3582">
        <v>1</v>
      </c>
      <c r="O3582" s="3">
        <v>149950</v>
      </c>
      <c r="P3582" s="3">
        <v>50690</v>
      </c>
      <c r="Q3582" s="5">
        <f t="shared" si="165"/>
        <v>126008.40336134455</v>
      </c>
      <c r="R3582" s="5">
        <f t="shared" si="166"/>
        <v>50690</v>
      </c>
      <c r="S3582" s="5">
        <f t="shared" si="167"/>
        <v>75318.40336134455</v>
      </c>
    </row>
    <row r="3583" spans="1:19" hidden="1" x14ac:dyDescent="0.3">
      <c r="A3583">
        <v>170</v>
      </c>
      <c r="B3583" t="s">
        <v>4809</v>
      </c>
      <c r="C3583" t="s">
        <v>2934</v>
      </c>
      <c r="D3583" s="2" t="s">
        <v>2935</v>
      </c>
      <c r="E3583" t="s">
        <v>2936</v>
      </c>
      <c r="F3583" t="s">
        <v>20</v>
      </c>
      <c r="G3583" t="s">
        <v>338</v>
      </c>
      <c r="H3583">
        <v>25357</v>
      </c>
      <c r="I3583" t="s">
        <v>23</v>
      </c>
      <c r="J3583" t="s">
        <v>35</v>
      </c>
      <c r="K3583" s="2" t="s">
        <v>2751</v>
      </c>
      <c r="L3583" t="s">
        <v>26</v>
      </c>
      <c r="M3583">
        <v>336587</v>
      </c>
      <c r="N3583">
        <v>1</v>
      </c>
      <c r="O3583" s="3">
        <v>79950</v>
      </c>
      <c r="P3583" s="3">
        <v>24482</v>
      </c>
      <c r="Q3583" s="5">
        <f t="shared" si="165"/>
        <v>67184.873949579836</v>
      </c>
      <c r="R3583" s="5">
        <f t="shared" si="166"/>
        <v>24482</v>
      </c>
      <c r="S3583" s="5">
        <f t="shared" si="167"/>
        <v>42702.873949579836</v>
      </c>
    </row>
    <row r="3584" spans="1:19" hidden="1" x14ac:dyDescent="0.3">
      <c r="A3584">
        <v>170</v>
      </c>
      <c r="B3584" t="s">
        <v>4809</v>
      </c>
      <c r="C3584" t="s">
        <v>3273</v>
      </c>
      <c r="D3584" s="2" t="s">
        <v>3274</v>
      </c>
      <c r="E3584" t="s">
        <v>499</v>
      </c>
      <c r="F3584" t="s">
        <v>20</v>
      </c>
      <c r="G3584" t="s">
        <v>21</v>
      </c>
      <c r="H3584" t="s">
        <v>500</v>
      </c>
      <c r="I3584" t="s">
        <v>23</v>
      </c>
      <c r="J3584" t="s">
        <v>40</v>
      </c>
      <c r="K3584" s="2" t="s">
        <v>2751</v>
      </c>
      <c r="L3584" t="s">
        <v>26</v>
      </c>
      <c r="M3584">
        <v>336588</v>
      </c>
      <c r="N3584">
        <v>1</v>
      </c>
      <c r="O3584" s="3">
        <v>59950</v>
      </c>
      <c r="P3584" s="3">
        <v>17416</v>
      </c>
      <c r="Q3584" s="5">
        <f t="shared" si="165"/>
        <v>50378.151260504201</v>
      </c>
      <c r="R3584" s="5">
        <f t="shared" si="166"/>
        <v>17416</v>
      </c>
      <c r="S3584" s="5">
        <f t="shared" si="167"/>
        <v>32962.151260504201</v>
      </c>
    </row>
    <row r="3585" spans="1:19" hidden="1" x14ac:dyDescent="0.3">
      <c r="A3585">
        <v>170</v>
      </c>
      <c r="B3585" t="s">
        <v>4809</v>
      </c>
      <c r="C3585">
        <v>1687976791</v>
      </c>
      <c r="D3585" s="2" t="s">
        <v>200</v>
      </c>
      <c r="E3585" t="s">
        <v>201</v>
      </c>
      <c r="F3585" t="s">
        <v>201</v>
      </c>
      <c r="G3585" t="s">
        <v>202</v>
      </c>
      <c r="H3585" t="s">
        <v>202</v>
      </c>
      <c r="I3585" t="s">
        <v>23</v>
      </c>
      <c r="J3585" t="s">
        <v>202</v>
      </c>
      <c r="K3585" s="2" t="s">
        <v>2751</v>
      </c>
      <c r="L3585" t="s">
        <v>26</v>
      </c>
      <c r="M3585">
        <v>336588</v>
      </c>
      <c r="N3585">
        <v>1</v>
      </c>
      <c r="O3585">
        <v>1</v>
      </c>
      <c r="P3585">
        <v>1</v>
      </c>
      <c r="Q3585" s="5">
        <f t="shared" si="165"/>
        <v>0.84033613445378152</v>
      </c>
      <c r="R3585" s="5">
        <f t="shared" si="166"/>
        <v>1</v>
      </c>
      <c r="S3585" s="5">
        <f t="shared" si="167"/>
        <v>-0.15966386554621848</v>
      </c>
    </row>
    <row r="3586" spans="1:19" hidden="1" x14ac:dyDescent="0.3">
      <c r="A3586">
        <v>170</v>
      </c>
      <c r="B3586" t="s">
        <v>4809</v>
      </c>
      <c r="C3586" t="s">
        <v>1037</v>
      </c>
      <c r="D3586" s="2" t="s">
        <v>1038</v>
      </c>
      <c r="E3586" t="s">
        <v>1039</v>
      </c>
      <c r="F3586" t="s">
        <v>377</v>
      </c>
      <c r="G3586" t="s">
        <v>21</v>
      </c>
      <c r="H3586" t="s">
        <v>378</v>
      </c>
      <c r="I3586" t="s">
        <v>23</v>
      </c>
      <c r="J3586" t="s">
        <v>379</v>
      </c>
      <c r="K3586" s="2" t="s">
        <v>2751</v>
      </c>
      <c r="L3586" t="s">
        <v>26</v>
      </c>
      <c r="M3586">
        <v>336588</v>
      </c>
      <c r="N3586">
        <v>1</v>
      </c>
      <c r="O3586" s="3">
        <v>5950</v>
      </c>
      <c r="P3586" s="3">
        <v>3257</v>
      </c>
      <c r="Q3586" s="5">
        <f t="shared" si="165"/>
        <v>5000</v>
      </c>
      <c r="R3586" s="5">
        <f t="shared" si="166"/>
        <v>3257</v>
      </c>
      <c r="S3586" s="5">
        <f t="shared" si="167"/>
        <v>1743</v>
      </c>
    </row>
    <row r="3587" spans="1:19" hidden="1" x14ac:dyDescent="0.3">
      <c r="A3587">
        <v>170</v>
      </c>
      <c r="B3587" t="s">
        <v>4809</v>
      </c>
      <c r="C3587" t="s">
        <v>5146</v>
      </c>
      <c r="D3587" s="2" t="s">
        <v>5147</v>
      </c>
      <c r="E3587" t="s">
        <v>4830</v>
      </c>
      <c r="F3587" t="s">
        <v>20</v>
      </c>
      <c r="G3587" t="s">
        <v>338</v>
      </c>
      <c r="H3587">
        <v>24239</v>
      </c>
      <c r="I3587" t="s">
        <v>23</v>
      </c>
      <c r="J3587" t="s">
        <v>95</v>
      </c>
      <c r="K3587" s="2" t="s">
        <v>2751</v>
      </c>
      <c r="L3587" t="s">
        <v>26</v>
      </c>
      <c r="M3587">
        <v>336589</v>
      </c>
      <c r="N3587">
        <v>1</v>
      </c>
      <c r="O3587" s="3">
        <v>59950</v>
      </c>
      <c r="P3587" s="3">
        <v>18677</v>
      </c>
      <c r="Q3587" s="5">
        <f t="shared" si="165"/>
        <v>50378.151260504201</v>
      </c>
      <c r="R3587" s="5">
        <f t="shared" si="166"/>
        <v>18677</v>
      </c>
      <c r="S3587" s="5">
        <f t="shared" si="167"/>
        <v>31701.151260504201</v>
      </c>
    </row>
    <row r="3588" spans="1:19" hidden="1" x14ac:dyDescent="0.3">
      <c r="A3588">
        <v>170</v>
      </c>
      <c r="B3588" t="s">
        <v>4809</v>
      </c>
      <c r="C3588" t="s">
        <v>4552</v>
      </c>
      <c r="D3588" s="2" t="s">
        <v>4553</v>
      </c>
      <c r="E3588" t="s">
        <v>4291</v>
      </c>
      <c r="F3588" t="s">
        <v>20</v>
      </c>
      <c r="G3588" t="s">
        <v>21</v>
      </c>
      <c r="H3588" t="s">
        <v>285</v>
      </c>
      <c r="I3588" t="s">
        <v>23</v>
      </c>
      <c r="J3588" t="s">
        <v>35</v>
      </c>
      <c r="K3588" s="2" t="s">
        <v>2751</v>
      </c>
      <c r="L3588" t="s">
        <v>26</v>
      </c>
      <c r="M3588">
        <v>336590</v>
      </c>
      <c r="N3588">
        <v>1</v>
      </c>
      <c r="O3588" s="3">
        <v>67950</v>
      </c>
      <c r="P3588" s="3">
        <v>31402</v>
      </c>
      <c r="Q3588" s="5">
        <f t="shared" si="165"/>
        <v>57100.840336134454</v>
      </c>
      <c r="R3588" s="5">
        <f t="shared" si="166"/>
        <v>31402</v>
      </c>
      <c r="S3588" s="5">
        <f t="shared" si="167"/>
        <v>25698.840336134454</v>
      </c>
    </row>
    <row r="3589" spans="1:19" hidden="1" x14ac:dyDescent="0.3">
      <c r="A3589">
        <v>170</v>
      </c>
      <c r="B3589" t="s">
        <v>4809</v>
      </c>
      <c r="C3589" t="s">
        <v>4065</v>
      </c>
      <c r="D3589" s="2" t="s">
        <v>4066</v>
      </c>
      <c r="E3589" t="s">
        <v>2787</v>
      </c>
      <c r="F3589" t="s">
        <v>20</v>
      </c>
      <c r="G3589" t="s">
        <v>21</v>
      </c>
      <c r="H3589" t="s">
        <v>1286</v>
      </c>
      <c r="I3589" t="s">
        <v>23</v>
      </c>
      <c r="J3589" t="s">
        <v>40</v>
      </c>
      <c r="K3589" s="2" t="s">
        <v>2751</v>
      </c>
      <c r="L3589" t="s">
        <v>26</v>
      </c>
      <c r="M3589">
        <v>336590</v>
      </c>
      <c r="N3589">
        <v>1</v>
      </c>
      <c r="O3589" s="3">
        <v>49990</v>
      </c>
      <c r="P3589" s="3">
        <v>24783</v>
      </c>
      <c r="Q3589" s="5">
        <f t="shared" si="165"/>
        <v>42008.403361344543</v>
      </c>
      <c r="R3589" s="5">
        <f t="shared" si="166"/>
        <v>24783</v>
      </c>
      <c r="S3589" s="5">
        <f t="shared" si="167"/>
        <v>17225.403361344543</v>
      </c>
    </row>
    <row r="3590" spans="1:19" hidden="1" x14ac:dyDescent="0.3">
      <c r="A3590">
        <v>170</v>
      </c>
      <c r="B3590" t="s">
        <v>4809</v>
      </c>
      <c r="C3590">
        <v>1687976791</v>
      </c>
      <c r="D3590" s="2" t="s">
        <v>200</v>
      </c>
      <c r="E3590" t="s">
        <v>201</v>
      </c>
      <c r="F3590" t="s">
        <v>201</v>
      </c>
      <c r="G3590" t="s">
        <v>202</v>
      </c>
      <c r="H3590" t="s">
        <v>202</v>
      </c>
      <c r="I3590" t="s">
        <v>23</v>
      </c>
      <c r="J3590" t="s">
        <v>202</v>
      </c>
      <c r="K3590" s="2" t="s">
        <v>2751</v>
      </c>
      <c r="L3590" t="s">
        <v>26</v>
      </c>
      <c r="M3590">
        <v>336591</v>
      </c>
      <c r="N3590">
        <v>1</v>
      </c>
      <c r="O3590">
        <v>1</v>
      </c>
      <c r="P3590">
        <v>1</v>
      </c>
      <c r="Q3590" s="5">
        <f t="shared" ref="Q3590:Q3653" si="168">O3590/1.19</f>
        <v>0.84033613445378152</v>
      </c>
      <c r="R3590" s="5">
        <f t="shared" ref="R3590:R3653" si="169">N3590*P3590</f>
        <v>1</v>
      </c>
      <c r="S3590" s="5">
        <f t="shared" ref="S3590:S3653" si="170">Q3590-R3590</f>
        <v>-0.15966386554621848</v>
      </c>
    </row>
    <row r="3591" spans="1:19" hidden="1" x14ac:dyDescent="0.3">
      <c r="A3591">
        <v>170</v>
      </c>
      <c r="B3591" t="s">
        <v>4809</v>
      </c>
      <c r="C3591" t="s">
        <v>5148</v>
      </c>
      <c r="D3591" s="2" t="s">
        <v>5149</v>
      </c>
      <c r="E3591" t="s">
        <v>3807</v>
      </c>
      <c r="F3591" t="s">
        <v>20</v>
      </c>
      <c r="G3591" t="s">
        <v>21</v>
      </c>
      <c r="H3591" t="s">
        <v>2782</v>
      </c>
      <c r="I3591" t="s">
        <v>23</v>
      </c>
      <c r="J3591" t="s">
        <v>40</v>
      </c>
      <c r="K3591" s="2" t="s">
        <v>2751</v>
      </c>
      <c r="L3591" t="s">
        <v>26</v>
      </c>
      <c r="M3591">
        <v>336591</v>
      </c>
      <c r="N3591">
        <v>1</v>
      </c>
      <c r="O3591" s="3">
        <v>69950</v>
      </c>
      <c r="P3591" s="3">
        <v>23697</v>
      </c>
      <c r="Q3591" s="5">
        <f t="shared" si="168"/>
        <v>58781.512605042022</v>
      </c>
      <c r="R3591" s="5">
        <f t="shared" si="169"/>
        <v>23697</v>
      </c>
      <c r="S3591" s="5">
        <f t="shared" si="170"/>
        <v>35084.512605042022</v>
      </c>
    </row>
    <row r="3592" spans="1:19" hidden="1" x14ac:dyDescent="0.3">
      <c r="A3592">
        <v>170</v>
      </c>
      <c r="B3592" t="s">
        <v>4809</v>
      </c>
      <c r="C3592" t="s">
        <v>2760</v>
      </c>
      <c r="D3592" s="2" t="s">
        <v>2761</v>
      </c>
      <c r="E3592" t="s">
        <v>1443</v>
      </c>
      <c r="F3592" t="s">
        <v>20</v>
      </c>
      <c r="G3592" t="s">
        <v>338</v>
      </c>
      <c r="H3592">
        <v>25301</v>
      </c>
      <c r="I3592" t="s">
        <v>23</v>
      </c>
      <c r="J3592" t="s">
        <v>35</v>
      </c>
      <c r="K3592" s="2" t="s">
        <v>2751</v>
      </c>
      <c r="L3592" t="s">
        <v>26</v>
      </c>
      <c r="M3592">
        <v>336592</v>
      </c>
      <c r="N3592">
        <v>1</v>
      </c>
      <c r="O3592" s="3">
        <v>84950</v>
      </c>
      <c r="P3592" s="3">
        <v>34157</v>
      </c>
      <c r="Q3592" s="5">
        <f t="shared" si="168"/>
        <v>71386.554621848743</v>
      </c>
      <c r="R3592" s="5">
        <f t="shared" si="169"/>
        <v>34157</v>
      </c>
      <c r="S3592" s="5">
        <f t="shared" si="170"/>
        <v>37229.554621848743</v>
      </c>
    </row>
    <row r="3593" spans="1:19" hidden="1" x14ac:dyDescent="0.3">
      <c r="A3593">
        <v>170</v>
      </c>
      <c r="B3593" t="s">
        <v>4809</v>
      </c>
      <c r="C3593" t="s">
        <v>2979</v>
      </c>
      <c r="D3593" s="2" t="s">
        <v>2980</v>
      </c>
      <c r="E3593" t="s">
        <v>2795</v>
      </c>
      <c r="F3593" t="s">
        <v>20</v>
      </c>
      <c r="G3593" t="s">
        <v>21</v>
      </c>
      <c r="H3593" t="s">
        <v>57</v>
      </c>
      <c r="I3593" t="s">
        <v>23</v>
      </c>
      <c r="J3593" t="s">
        <v>35</v>
      </c>
      <c r="K3593" s="2" t="s">
        <v>2751</v>
      </c>
      <c r="L3593" t="s">
        <v>26</v>
      </c>
      <c r="M3593">
        <v>336592</v>
      </c>
      <c r="N3593">
        <v>1</v>
      </c>
      <c r="O3593" s="3">
        <v>89950</v>
      </c>
      <c r="P3593" s="3">
        <v>31829</v>
      </c>
      <c r="Q3593" s="5">
        <f t="shared" si="168"/>
        <v>75588.23529411765</v>
      </c>
      <c r="R3593" s="5">
        <f t="shared" si="169"/>
        <v>31829</v>
      </c>
      <c r="S3593" s="5">
        <f t="shared" si="170"/>
        <v>43759.23529411765</v>
      </c>
    </row>
    <row r="3594" spans="1:19" hidden="1" x14ac:dyDescent="0.3">
      <c r="A3594">
        <v>170</v>
      </c>
      <c r="B3594" t="s">
        <v>4809</v>
      </c>
      <c r="C3594" t="s">
        <v>2884</v>
      </c>
      <c r="D3594" s="2" t="s">
        <v>2885</v>
      </c>
      <c r="E3594" t="s">
        <v>1330</v>
      </c>
      <c r="F3594" t="s">
        <v>20</v>
      </c>
      <c r="G3594" t="s">
        <v>338</v>
      </c>
      <c r="H3594">
        <v>25133</v>
      </c>
      <c r="I3594" t="s">
        <v>23</v>
      </c>
      <c r="J3594" t="s">
        <v>35</v>
      </c>
      <c r="K3594" s="2" t="s">
        <v>2751</v>
      </c>
      <c r="L3594" t="s">
        <v>26</v>
      </c>
      <c r="M3594">
        <v>336593</v>
      </c>
      <c r="N3594">
        <v>1</v>
      </c>
      <c r="O3594" s="3">
        <v>74950</v>
      </c>
      <c r="P3594" s="3">
        <v>21167</v>
      </c>
      <c r="Q3594" s="5">
        <f t="shared" si="168"/>
        <v>62983.193277310929</v>
      </c>
      <c r="R3594" s="5">
        <f t="shared" si="169"/>
        <v>21167</v>
      </c>
      <c r="S3594" s="5">
        <f t="shared" si="170"/>
        <v>41816.193277310929</v>
      </c>
    </row>
    <row r="3595" spans="1:19" hidden="1" x14ac:dyDescent="0.3">
      <c r="A3595">
        <v>170</v>
      </c>
      <c r="B3595" t="s">
        <v>4809</v>
      </c>
      <c r="C3595" t="s">
        <v>4633</v>
      </c>
      <c r="D3595" s="2" t="s">
        <v>4634</v>
      </c>
      <c r="E3595" t="s">
        <v>294</v>
      </c>
      <c r="F3595" t="s">
        <v>20</v>
      </c>
      <c r="G3595" t="s">
        <v>21</v>
      </c>
      <c r="H3595" t="s">
        <v>295</v>
      </c>
      <c r="I3595" t="s">
        <v>23</v>
      </c>
      <c r="J3595" t="s">
        <v>40</v>
      </c>
      <c r="K3595" s="2" t="s">
        <v>2751</v>
      </c>
      <c r="L3595" t="s">
        <v>26</v>
      </c>
      <c r="M3595">
        <v>336594</v>
      </c>
      <c r="N3595">
        <v>1</v>
      </c>
      <c r="O3595" s="3">
        <v>79950</v>
      </c>
      <c r="P3595" s="3">
        <v>26951</v>
      </c>
      <c r="Q3595" s="5">
        <f t="shared" si="168"/>
        <v>67184.873949579836</v>
      </c>
      <c r="R3595" s="5">
        <f t="shared" si="169"/>
        <v>26951</v>
      </c>
      <c r="S3595" s="5">
        <f t="shared" si="170"/>
        <v>40233.873949579836</v>
      </c>
    </row>
    <row r="3596" spans="1:19" hidden="1" x14ac:dyDescent="0.3">
      <c r="A3596">
        <v>170</v>
      </c>
      <c r="B3596" t="s">
        <v>4809</v>
      </c>
      <c r="C3596" t="s">
        <v>1756</v>
      </c>
      <c r="D3596" s="2" t="s">
        <v>1757</v>
      </c>
      <c r="E3596" t="s">
        <v>1758</v>
      </c>
      <c r="F3596" t="s">
        <v>20</v>
      </c>
      <c r="G3596" t="s">
        <v>338</v>
      </c>
      <c r="H3596">
        <v>25133</v>
      </c>
      <c r="I3596" t="s">
        <v>23</v>
      </c>
      <c r="J3596" t="s">
        <v>35</v>
      </c>
      <c r="K3596" s="2" t="s">
        <v>1152</v>
      </c>
      <c r="L3596" t="s">
        <v>26</v>
      </c>
      <c r="M3596">
        <v>336595</v>
      </c>
      <c r="N3596">
        <v>1</v>
      </c>
      <c r="O3596" s="3">
        <v>74950</v>
      </c>
      <c r="P3596" s="3">
        <v>21167</v>
      </c>
      <c r="Q3596" s="5">
        <f t="shared" si="168"/>
        <v>62983.193277310929</v>
      </c>
      <c r="R3596" s="5">
        <f t="shared" si="169"/>
        <v>21167</v>
      </c>
      <c r="S3596" s="5">
        <f t="shared" si="170"/>
        <v>41816.193277310929</v>
      </c>
    </row>
    <row r="3597" spans="1:19" hidden="1" x14ac:dyDescent="0.3">
      <c r="A3597">
        <v>170</v>
      </c>
      <c r="B3597" t="s">
        <v>4809</v>
      </c>
      <c r="C3597" t="s">
        <v>5150</v>
      </c>
      <c r="D3597" s="2" t="s">
        <v>5151</v>
      </c>
      <c r="E3597" t="s">
        <v>506</v>
      </c>
      <c r="F3597" t="s">
        <v>20</v>
      </c>
      <c r="G3597" t="s">
        <v>21</v>
      </c>
      <c r="H3597" t="s">
        <v>357</v>
      </c>
      <c r="I3597" t="s">
        <v>23</v>
      </c>
      <c r="J3597" t="s">
        <v>49</v>
      </c>
      <c r="K3597" s="2" t="s">
        <v>1152</v>
      </c>
      <c r="L3597" t="s">
        <v>26</v>
      </c>
      <c r="M3597">
        <v>336596</v>
      </c>
      <c r="N3597">
        <v>1</v>
      </c>
      <c r="O3597" s="3">
        <v>44990</v>
      </c>
      <c r="P3597" s="3">
        <v>26663</v>
      </c>
      <c r="Q3597" s="5">
        <f t="shared" si="168"/>
        <v>37806.722689075636</v>
      </c>
      <c r="R3597" s="5">
        <f t="shared" si="169"/>
        <v>26663</v>
      </c>
      <c r="S3597" s="5">
        <f t="shared" si="170"/>
        <v>11143.722689075636</v>
      </c>
    </row>
    <row r="3598" spans="1:19" hidden="1" x14ac:dyDescent="0.3">
      <c r="A3598">
        <v>170</v>
      </c>
      <c r="B3598" t="s">
        <v>4809</v>
      </c>
      <c r="C3598" t="s">
        <v>4671</v>
      </c>
      <c r="D3598" s="2" t="s">
        <v>4672</v>
      </c>
      <c r="E3598" t="s">
        <v>4673</v>
      </c>
      <c r="F3598" t="s">
        <v>377</v>
      </c>
      <c r="G3598" t="s">
        <v>21</v>
      </c>
      <c r="H3598" t="s">
        <v>378</v>
      </c>
      <c r="I3598" t="s">
        <v>23</v>
      </c>
      <c r="J3598" t="s">
        <v>379</v>
      </c>
      <c r="K3598" s="2" t="s">
        <v>1152</v>
      </c>
      <c r="L3598" t="s">
        <v>26</v>
      </c>
      <c r="M3598">
        <v>336597</v>
      </c>
      <c r="N3598">
        <v>1</v>
      </c>
      <c r="O3598" s="3">
        <v>6950</v>
      </c>
      <c r="P3598" s="3">
        <v>3551</v>
      </c>
      <c r="Q3598" s="5">
        <f t="shared" si="168"/>
        <v>5840.3361344537816</v>
      </c>
      <c r="R3598" s="5">
        <f t="shared" si="169"/>
        <v>3551</v>
      </c>
      <c r="S3598" s="5">
        <f t="shared" si="170"/>
        <v>2289.3361344537816</v>
      </c>
    </row>
    <row r="3599" spans="1:19" hidden="1" x14ac:dyDescent="0.3">
      <c r="A3599">
        <v>170</v>
      </c>
      <c r="B3599" t="s">
        <v>4809</v>
      </c>
      <c r="C3599" t="s">
        <v>4648</v>
      </c>
      <c r="D3599" s="2" t="s">
        <v>4649</v>
      </c>
      <c r="E3599" t="s">
        <v>4391</v>
      </c>
      <c r="F3599" t="s">
        <v>20</v>
      </c>
      <c r="G3599" t="s">
        <v>21</v>
      </c>
      <c r="H3599" t="s">
        <v>295</v>
      </c>
      <c r="I3599" t="s">
        <v>23</v>
      </c>
      <c r="J3599" t="s">
        <v>40</v>
      </c>
      <c r="K3599" s="2" t="s">
        <v>1152</v>
      </c>
      <c r="L3599" t="s">
        <v>26</v>
      </c>
      <c r="M3599">
        <v>336598</v>
      </c>
      <c r="N3599">
        <v>1</v>
      </c>
      <c r="O3599" s="3">
        <v>79950</v>
      </c>
      <c r="P3599" s="3">
        <v>26951</v>
      </c>
      <c r="Q3599" s="5">
        <f t="shared" si="168"/>
        <v>67184.873949579836</v>
      </c>
      <c r="R3599" s="5">
        <f t="shared" si="169"/>
        <v>26951</v>
      </c>
      <c r="S3599" s="5">
        <f t="shared" si="170"/>
        <v>40233.873949579836</v>
      </c>
    </row>
    <row r="3600" spans="1:19" hidden="1" x14ac:dyDescent="0.3">
      <c r="A3600">
        <v>170</v>
      </c>
      <c r="B3600" t="s">
        <v>4809</v>
      </c>
      <c r="C3600" t="s">
        <v>4970</v>
      </c>
      <c r="D3600" s="2" t="s">
        <v>4971</v>
      </c>
      <c r="E3600" t="s">
        <v>2741</v>
      </c>
      <c r="F3600" t="s">
        <v>20</v>
      </c>
      <c r="G3600" t="s">
        <v>21</v>
      </c>
      <c r="H3600" t="s">
        <v>2494</v>
      </c>
      <c r="I3600" t="s">
        <v>23</v>
      </c>
      <c r="J3600" t="s">
        <v>40</v>
      </c>
      <c r="K3600" s="2" t="s">
        <v>1152</v>
      </c>
      <c r="L3600" t="s">
        <v>26</v>
      </c>
      <c r="M3600">
        <v>336598</v>
      </c>
      <c r="N3600">
        <v>-1</v>
      </c>
      <c r="O3600" s="3">
        <v>-69950</v>
      </c>
      <c r="P3600" s="3">
        <v>23470</v>
      </c>
      <c r="Q3600" s="5">
        <f t="shared" si="168"/>
        <v>-58781.512605042022</v>
      </c>
      <c r="R3600" s="5">
        <f t="shared" si="169"/>
        <v>-23470</v>
      </c>
      <c r="S3600" s="5">
        <f t="shared" si="170"/>
        <v>-35311.512605042022</v>
      </c>
    </row>
    <row r="3601" spans="1:19" hidden="1" x14ac:dyDescent="0.3">
      <c r="A3601">
        <v>170</v>
      </c>
      <c r="B3601" t="s">
        <v>4809</v>
      </c>
      <c r="C3601" t="s">
        <v>2682</v>
      </c>
      <c r="D3601" s="2" t="s">
        <v>2683</v>
      </c>
      <c r="E3601" t="s">
        <v>1439</v>
      </c>
      <c r="F3601" t="s">
        <v>20</v>
      </c>
      <c r="G3601" t="s">
        <v>21</v>
      </c>
      <c r="H3601" t="s">
        <v>1440</v>
      </c>
      <c r="I3601" t="s">
        <v>23</v>
      </c>
      <c r="J3601" t="s">
        <v>40</v>
      </c>
      <c r="K3601" s="2" t="s">
        <v>1152</v>
      </c>
      <c r="L3601" t="s">
        <v>26</v>
      </c>
      <c r="M3601">
        <v>336599</v>
      </c>
      <c r="N3601">
        <v>1</v>
      </c>
      <c r="O3601" s="3">
        <v>64950</v>
      </c>
      <c r="P3601" s="3">
        <v>17328</v>
      </c>
      <c r="Q3601" s="5">
        <f t="shared" si="168"/>
        <v>54579.831932773115</v>
      </c>
      <c r="R3601" s="5">
        <f t="shared" si="169"/>
        <v>17328</v>
      </c>
      <c r="S3601" s="5">
        <f t="shared" si="170"/>
        <v>37251.831932773115</v>
      </c>
    </row>
    <row r="3602" spans="1:19" hidden="1" x14ac:dyDescent="0.3">
      <c r="A3602">
        <v>170</v>
      </c>
      <c r="B3602" t="s">
        <v>4809</v>
      </c>
      <c r="C3602" t="s">
        <v>1745</v>
      </c>
      <c r="D3602" s="2" t="s">
        <v>1746</v>
      </c>
      <c r="E3602" t="s">
        <v>869</v>
      </c>
      <c r="F3602" t="s">
        <v>20</v>
      </c>
      <c r="G3602" t="s">
        <v>21</v>
      </c>
      <c r="H3602" t="s">
        <v>870</v>
      </c>
      <c r="I3602" t="s">
        <v>23</v>
      </c>
      <c r="J3602" t="s">
        <v>35</v>
      </c>
      <c r="K3602" s="2" t="s">
        <v>1152</v>
      </c>
      <c r="L3602" t="s">
        <v>26</v>
      </c>
      <c r="M3602">
        <v>336600</v>
      </c>
      <c r="N3602">
        <v>1</v>
      </c>
      <c r="O3602" s="3">
        <v>69950</v>
      </c>
      <c r="P3602" s="3">
        <v>25434</v>
      </c>
      <c r="Q3602" s="5">
        <f t="shared" si="168"/>
        <v>58781.512605042022</v>
      </c>
      <c r="R3602" s="5">
        <f t="shared" si="169"/>
        <v>25434</v>
      </c>
      <c r="S3602" s="5">
        <f t="shared" si="170"/>
        <v>33347.512605042022</v>
      </c>
    </row>
    <row r="3603" spans="1:19" hidden="1" x14ac:dyDescent="0.3">
      <c r="A3603">
        <v>170</v>
      </c>
      <c r="B3603" t="s">
        <v>4809</v>
      </c>
      <c r="C3603" t="s">
        <v>4498</v>
      </c>
      <c r="D3603" s="2" t="s">
        <v>4499</v>
      </c>
      <c r="E3603" t="s">
        <v>2790</v>
      </c>
      <c r="F3603" t="s">
        <v>20</v>
      </c>
      <c r="G3603" t="s">
        <v>21</v>
      </c>
      <c r="H3603" t="s">
        <v>2759</v>
      </c>
      <c r="I3603" t="s">
        <v>23</v>
      </c>
      <c r="J3603" t="s">
        <v>35</v>
      </c>
      <c r="K3603" s="2" t="s">
        <v>1152</v>
      </c>
      <c r="L3603" t="s">
        <v>26</v>
      </c>
      <c r="M3603">
        <v>336601</v>
      </c>
      <c r="N3603">
        <v>1</v>
      </c>
      <c r="O3603" s="3">
        <v>76450</v>
      </c>
      <c r="P3603" s="3">
        <v>30972</v>
      </c>
      <c r="Q3603" s="5">
        <f t="shared" si="168"/>
        <v>64243.697478991598</v>
      </c>
      <c r="R3603" s="5">
        <f t="shared" si="169"/>
        <v>30972</v>
      </c>
      <c r="S3603" s="5">
        <f t="shared" si="170"/>
        <v>33271.697478991598</v>
      </c>
    </row>
    <row r="3604" spans="1:19" hidden="1" x14ac:dyDescent="0.3">
      <c r="A3604">
        <v>170</v>
      </c>
      <c r="B3604" t="s">
        <v>4809</v>
      </c>
      <c r="C3604" t="s">
        <v>3023</v>
      </c>
      <c r="D3604" s="2" t="s">
        <v>3024</v>
      </c>
      <c r="E3604" t="s">
        <v>938</v>
      </c>
      <c r="F3604" t="s">
        <v>20</v>
      </c>
      <c r="G3604" t="s">
        <v>21</v>
      </c>
      <c r="H3604" t="s">
        <v>317</v>
      </c>
      <c r="I3604" t="s">
        <v>23</v>
      </c>
      <c r="J3604" t="s">
        <v>35</v>
      </c>
      <c r="K3604" s="2" t="s">
        <v>1152</v>
      </c>
      <c r="L3604" t="s">
        <v>26</v>
      </c>
      <c r="M3604">
        <v>336602</v>
      </c>
      <c r="N3604">
        <v>1</v>
      </c>
      <c r="O3604" s="3">
        <v>69950</v>
      </c>
      <c r="P3604" s="3">
        <v>26455</v>
      </c>
      <c r="Q3604" s="5">
        <f t="shared" si="168"/>
        <v>58781.512605042022</v>
      </c>
      <c r="R3604" s="5">
        <f t="shared" si="169"/>
        <v>26455</v>
      </c>
      <c r="S3604" s="5">
        <f t="shared" si="170"/>
        <v>32326.512605042022</v>
      </c>
    </row>
    <row r="3605" spans="1:19" hidden="1" x14ac:dyDescent="0.3">
      <c r="A3605">
        <v>170</v>
      </c>
      <c r="B3605" t="s">
        <v>4809</v>
      </c>
      <c r="C3605" t="s">
        <v>2997</v>
      </c>
      <c r="D3605" s="2" t="s">
        <v>2998</v>
      </c>
      <c r="E3605" t="s">
        <v>2483</v>
      </c>
      <c r="F3605" t="s">
        <v>20</v>
      </c>
      <c r="G3605" t="s">
        <v>21</v>
      </c>
      <c r="H3605" t="s">
        <v>2484</v>
      </c>
      <c r="I3605" t="s">
        <v>23</v>
      </c>
      <c r="J3605" t="s">
        <v>40</v>
      </c>
      <c r="K3605" s="2" t="s">
        <v>1152</v>
      </c>
      <c r="L3605" t="s">
        <v>26</v>
      </c>
      <c r="M3605">
        <v>336603</v>
      </c>
      <c r="N3605">
        <v>1</v>
      </c>
      <c r="O3605" s="3">
        <v>59950</v>
      </c>
      <c r="P3605" s="3">
        <v>17503</v>
      </c>
      <c r="Q3605" s="5">
        <f t="shared" si="168"/>
        <v>50378.151260504201</v>
      </c>
      <c r="R3605" s="5">
        <f t="shared" si="169"/>
        <v>17503</v>
      </c>
      <c r="S3605" s="5">
        <f t="shared" si="170"/>
        <v>32875.151260504201</v>
      </c>
    </row>
    <row r="3606" spans="1:19" hidden="1" x14ac:dyDescent="0.3">
      <c r="A3606">
        <v>170</v>
      </c>
      <c r="B3606" t="s">
        <v>4809</v>
      </c>
      <c r="C3606" t="s">
        <v>5152</v>
      </c>
      <c r="D3606" s="2" t="s">
        <v>5153</v>
      </c>
      <c r="E3606" t="s">
        <v>2188</v>
      </c>
      <c r="F3606" t="s">
        <v>20</v>
      </c>
      <c r="G3606" t="s">
        <v>21</v>
      </c>
      <c r="H3606" t="s">
        <v>2189</v>
      </c>
      <c r="I3606" t="s">
        <v>23</v>
      </c>
      <c r="J3606" t="s">
        <v>40</v>
      </c>
      <c r="K3606" s="2" t="s">
        <v>1152</v>
      </c>
      <c r="L3606" t="s">
        <v>26</v>
      </c>
      <c r="M3606">
        <v>336604</v>
      </c>
      <c r="N3606">
        <v>-1</v>
      </c>
      <c r="O3606" s="3">
        <v>-74950</v>
      </c>
      <c r="P3606" s="3">
        <v>27722</v>
      </c>
      <c r="Q3606" s="5">
        <f t="shared" si="168"/>
        <v>-62983.193277310929</v>
      </c>
      <c r="R3606" s="5">
        <f t="shared" si="169"/>
        <v>-27722</v>
      </c>
      <c r="S3606" s="5">
        <f t="shared" si="170"/>
        <v>-35261.193277310929</v>
      </c>
    </row>
    <row r="3607" spans="1:19" hidden="1" x14ac:dyDescent="0.3">
      <c r="A3607">
        <v>170</v>
      </c>
      <c r="B3607" t="s">
        <v>4809</v>
      </c>
      <c r="C3607" t="s">
        <v>5154</v>
      </c>
      <c r="D3607" s="2" t="s">
        <v>5155</v>
      </c>
      <c r="E3607" t="s">
        <v>3048</v>
      </c>
      <c r="F3607" t="s">
        <v>20</v>
      </c>
      <c r="G3607" t="s">
        <v>21</v>
      </c>
      <c r="H3607" t="s">
        <v>2484</v>
      </c>
      <c r="I3607" t="s">
        <v>23</v>
      </c>
      <c r="J3607" t="s">
        <v>40</v>
      </c>
      <c r="K3607" s="2" t="s">
        <v>1152</v>
      </c>
      <c r="L3607" t="s">
        <v>26</v>
      </c>
      <c r="M3607">
        <v>336604</v>
      </c>
      <c r="N3607">
        <v>1</v>
      </c>
      <c r="O3607" s="3">
        <v>59950</v>
      </c>
      <c r="P3607" s="3">
        <v>17503</v>
      </c>
      <c r="Q3607" s="5">
        <f t="shared" si="168"/>
        <v>50378.151260504201</v>
      </c>
      <c r="R3607" s="5">
        <f t="shared" si="169"/>
        <v>17503</v>
      </c>
      <c r="S3607" s="5">
        <f t="shared" si="170"/>
        <v>32875.151260504201</v>
      </c>
    </row>
    <row r="3608" spans="1:19" hidden="1" x14ac:dyDescent="0.3">
      <c r="A3608">
        <v>170</v>
      </c>
      <c r="B3608" t="s">
        <v>4809</v>
      </c>
      <c r="C3608" t="s">
        <v>5035</v>
      </c>
      <c r="D3608" s="2" t="s">
        <v>5036</v>
      </c>
      <c r="E3608" t="s">
        <v>2619</v>
      </c>
      <c r="F3608" t="s">
        <v>377</v>
      </c>
      <c r="G3608" t="s">
        <v>21</v>
      </c>
      <c r="H3608" t="s">
        <v>378</v>
      </c>
      <c r="I3608" t="s">
        <v>23</v>
      </c>
      <c r="J3608" t="s">
        <v>2620</v>
      </c>
      <c r="K3608" s="2" t="s">
        <v>1152</v>
      </c>
      <c r="L3608" t="s">
        <v>26</v>
      </c>
      <c r="M3608">
        <v>336604</v>
      </c>
      <c r="N3608">
        <v>1</v>
      </c>
      <c r="O3608" s="3">
        <v>24950</v>
      </c>
      <c r="P3608" s="3">
        <v>13040</v>
      </c>
      <c r="Q3608" s="5">
        <f t="shared" si="168"/>
        <v>20966.386554621851</v>
      </c>
      <c r="R3608" s="5">
        <f t="shared" si="169"/>
        <v>13040</v>
      </c>
      <c r="S3608" s="5">
        <f t="shared" si="170"/>
        <v>7926.3865546218512</v>
      </c>
    </row>
    <row r="3609" spans="1:19" hidden="1" x14ac:dyDescent="0.3">
      <c r="A3609">
        <v>170</v>
      </c>
      <c r="B3609" t="s">
        <v>4809</v>
      </c>
      <c r="C3609" t="s">
        <v>2453</v>
      </c>
      <c r="D3609" s="2" t="s">
        <v>2454</v>
      </c>
      <c r="E3609" t="s">
        <v>2455</v>
      </c>
      <c r="F3609" t="s">
        <v>20</v>
      </c>
      <c r="G3609" t="s">
        <v>21</v>
      </c>
      <c r="H3609" t="s">
        <v>742</v>
      </c>
      <c r="I3609" t="s">
        <v>23</v>
      </c>
      <c r="J3609" t="s">
        <v>40</v>
      </c>
      <c r="K3609" s="2" t="s">
        <v>1152</v>
      </c>
      <c r="L3609" t="s">
        <v>26</v>
      </c>
      <c r="M3609">
        <v>336605</v>
      </c>
      <c r="N3609">
        <v>1</v>
      </c>
      <c r="O3609" s="3">
        <v>79950</v>
      </c>
      <c r="P3609" s="3">
        <v>28467</v>
      </c>
      <c r="Q3609" s="5">
        <f t="shared" si="168"/>
        <v>67184.873949579836</v>
      </c>
      <c r="R3609" s="5">
        <f t="shared" si="169"/>
        <v>28467</v>
      </c>
      <c r="S3609" s="5">
        <f t="shared" si="170"/>
        <v>38717.873949579836</v>
      </c>
    </row>
    <row r="3610" spans="1:19" hidden="1" x14ac:dyDescent="0.3">
      <c r="A3610">
        <v>170</v>
      </c>
      <c r="B3610" t="s">
        <v>4809</v>
      </c>
      <c r="C3610" t="s">
        <v>5156</v>
      </c>
      <c r="D3610" s="2" t="s">
        <v>5157</v>
      </c>
      <c r="E3610" t="s">
        <v>5158</v>
      </c>
      <c r="F3610" t="s">
        <v>20</v>
      </c>
      <c r="G3610" t="s">
        <v>21</v>
      </c>
      <c r="H3610" t="s">
        <v>2353</v>
      </c>
      <c r="I3610" t="s">
        <v>23</v>
      </c>
      <c r="J3610" t="s">
        <v>40</v>
      </c>
      <c r="K3610" s="2" t="s">
        <v>1152</v>
      </c>
      <c r="L3610" t="s">
        <v>26</v>
      </c>
      <c r="M3610">
        <v>336606</v>
      </c>
      <c r="N3610">
        <v>1</v>
      </c>
      <c r="O3610" s="3">
        <v>69990</v>
      </c>
      <c r="P3610" s="3">
        <v>31435</v>
      </c>
      <c r="Q3610" s="5">
        <f t="shared" si="168"/>
        <v>58815.126050420171</v>
      </c>
      <c r="R3610" s="5">
        <f t="shared" si="169"/>
        <v>31435</v>
      </c>
      <c r="S3610" s="5">
        <f t="shared" si="170"/>
        <v>27380.126050420171</v>
      </c>
    </row>
    <row r="3611" spans="1:19" hidden="1" x14ac:dyDescent="0.3">
      <c r="A3611">
        <v>170</v>
      </c>
      <c r="B3611" t="s">
        <v>4809</v>
      </c>
      <c r="C3611" t="s">
        <v>2485</v>
      </c>
      <c r="D3611" s="2" t="s">
        <v>2486</v>
      </c>
      <c r="E3611" t="s">
        <v>2487</v>
      </c>
      <c r="F3611" t="s">
        <v>377</v>
      </c>
      <c r="G3611" t="s">
        <v>21</v>
      </c>
      <c r="H3611" t="s">
        <v>378</v>
      </c>
      <c r="I3611" t="s">
        <v>23</v>
      </c>
      <c r="J3611" t="s">
        <v>379</v>
      </c>
      <c r="K3611" s="2" t="s">
        <v>1152</v>
      </c>
      <c r="L3611" t="s">
        <v>26</v>
      </c>
      <c r="M3611">
        <v>336607</v>
      </c>
      <c r="N3611">
        <v>1</v>
      </c>
      <c r="O3611" s="3">
        <v>5950</v>
      </c>
      <c r="P3611" s="3">
        <v>2243</v>
      </c>
      <c r="Q3611" s="5">
        <f t="shared" si="168"/>
        <v>5000</v>
      </c>
      <c r="R3611" s="5">
        <f t="shared" si="169"/>
        <v>2243</v>
      </c>
      <c r="S3611" s="5">
        <f t="shared" si="170"/>
        <v>2757</v>
      </c>
    </row>
    <row r="3612" spans="1:19" hidden="1" x14ac:dyDescent="0.3">
      <c r="A3612">
        <v>170</v>
      </c>
      <c r="B3612" t="s">
        <v>4809</v>
      </c>
      <c r="C3612" t="s">
        <v>2979</v>
      </c>
      <c r="D3612" s="2" t="s">
        <v>2980</v>
      </c>
      <c r="E3612" t="s">
        <v>2795</v>
      </c>
      <c r="F3612" t="s">
        <v>20</v>
      </c>
      <c r="G3612" t="s">
        <v>21</v>
      </c>
      <c r="H3612" t="s">
        <v>57</v>
      </c>
      <c r="I3612" t="s">
        <v>23</v>
      </c>
      <c r="J3612" t="s">
        <v>35</v>
      </c>
      <c r="K3612" s="2" t="s">
        <v>1152</v>
      </c>
      <c r="L3612" t="s">
        <v>26</v>
      </c>
      <c r="M3612">
        <v>336608</v>
      </c>
      <c r="N3612">
        <v>1</v>
      </c>
      <c r="O3612" s="3">
        <v>89950</v>
      </c>
      <c r="P3612" s="3">
        <v>31829</v>
      </c>
      <c r="Q3612" s="5">
        <f t="shared" si="168"/>
        <v>75588.23529411765</v>
      </c>
      <c r="R3612" s="5">
        <f t="shared" si="169"/>
        <v>31829</v>
      </c>
      <c r="S3612" s="5">
        <f t="shared" si="170"/>
        <v>43759.23529411765</v>
      </c>
    </row>
    <row r="3613" spans="1:19" hidden="1" x14ac:dyDescent="0.3">
      <c r="A3613">
        <v>170</v>
      </c>
      <c r="B3613" t="s">
        <v>4809</v>
      </c>
      <c r="C3613" t="s">
        <v>5159</v>
      </c>
      <c r="D3613" s="2" t="s">
        <v>5160</v>
      </c>
      <c r="E3613" t="s">
        <v>4291</v>
      </c>
      <c r="F3613" t="s">
        <v>20</v>
      </c>
      <c r="G3613" t="s">
        <v>21</v>
      </c>
      <c r="H3613" t="s">
        <v>285</v>
      </c>
      <c r="I3613" t="s">
        <v>23</v>
      </c>
      <c r="J3613" t="s">
        <v>35</v>
      </c>
      <c r="K3613" s="2" t="s">
        <v>1152</v>
      </c>
      <c r="L3613" t="s">
        <v>26</v>
      </c>
      <c r="M3613">
        <v>336609</v>
      </c>
      <c r="N3613">
        <v>1</v>
      </c>
      <c r="O3613" s="3">
        <v>79950</v>
      </c>
      <c r="P3613" s="3">
        <v>31258</v>
      </c>
      <c r="Q3613" s="5">
        <f t="shared" si="168"/>
        <v>67184.873949579836</v>
      </c>
      <c r="R3613" s="5">
        <f t="shared" si="169"/>
        <v>31258</v>
      </c>
      <c r="S3613" s="5">
        <f t="shared" si="170"/>
        <v>35926.873949579836</v>
      </c>
    </row>
    <row r="3614" spans="1:19" hidden="1" x14ac:dyDescent="0.3">
      <c r="A3614">
        <v>170</v>
      </c>
      <c r="B3614" t="s">
        <v>4809</v>
      </c>
      <c r="C3614" t="s">
        <v>5161</v>
      </c>
      <c r="D3614" s="2" t="s">
        <v>5162</v>
      </c>
      <c r="E3614" t="s">
        <v>3837</v>
      </c>
      <c r="F3614" t="s">
        <v>20</v>
      </c>
      <c r="G3614" t="s">
        <v>21</v>
      </c>
      <c r="H3614" t="s">
        <v>1457</v>
      </c>
      <c r="I3614" t="s">
        <v>23</v>
      </c>
      <c r="J3614" t="s">
        <v>40</v>
      </c>
      <c r="K3614" s="2" t="s">
        <v>1152</v>
      </c>
      <c r="L3614" t="s">
        <v>26</v>
      </c>
      <c r="M3614">
        <v>336610</v>
      </c>
      <c r="N3614">
        <v>1</v>
      </c>
      <c r="O3614" s="3">
        <v>64950</v>
      </c>
      <c r="P3614" s="3">
        <v>18239</v>
      </c>
      <c r="Q3614" s="5">
        <f t="shared" si="168"/>
        <v>54579.831932773115</v>
      </c>
      <c r="R3614" s="5">
        <f t="shared" si="169"/>
        <v>18239</v>
      </c>
      <c r="S3614" s="5">
        <f t="shared" si="170"/>
        <v>36340.831932773115</v>
      </c>
    </row>
    <row r="3615" spans="1:19" hidden="1" x14ac:dyDescent="0.3">
      <c r="A3615">
        <v>170</v>
      </c>
      <c r="B3615" t="s">
        <v>4809</v>
      </c>
      <c r="C3615" t="s">
        <v>403</v>
      </c>
      <c r="D3615" s="2" t="s">
        <v>404</v>
      </c>
      <c r="E3615" t="s">
        <v>405</v>
      </c>
      <c r="F3615" t="s">
        <v>20</v>
      </c>
      <c r="G3615" t="s">
        <v>21</v>
      </c>
      <c r="H3615" t="s">
        <v>406</v>
      </c>
      <c r="I3615" t="s">
        <v>23</v>
      </c>
      <c r="J3615" t="s">
        <v>407</v>
      </c>
      <c r="K3615" s="2" t="s">
        <v>1309</v>
      </c>
      <c r="L3615" t="s">
        <v>26</v>
      </c>
      <c r="M3615">
        <v>336611</v>
      </c>
      <c r="N3615">
        <v>1</v>
      </c>
      <c r="O3615" s="3">
        <v>64950</v>
      </c>
      <c r="P3615" s="3">
        <v>19806</v>
      </c>
      <c r="Q3615" s="5">
        <f t="shared" si="168"/>
        <v>54579.831932773115</v>
      </c>
      <c r="R3615" s="5">
        <f t="shared" si="169"/>
        <v>19806</v>
      </c>
      <c r="S3615" s="5">
        <f t="shared" si="170"/>
        <v>34773.831932773115</v>
      </c>
    </row>
    <row r="3616" spans="1:19" hidden="1" x14ac:dyDescent="0.3">
      <c r="A3616">
        <v>170</v>
      </c>
      <c r="B3616" t="s">
        <v>4809</v>
      </c>
      <c r="C3616" t="s">
        <v>3718</v>
      </c>
      <c r="D3616" s="2" t="s">
        <v>3719</v>
      </c>
      <c r="E3616" t="s">
        <v>1702</v>
      </c>
      <c r="F3616" t="s">
        <v>20</v>
      </c>
      <c r="G3616" t="s">
        <v>21</v>
      </c>
      <c r="H3616" t="s">
        <v>1703</v>
      </c>
      <c r="I3616" t="s">
        <v>23</v>
      </c>
      <c r="J3616" t="s">
        <v>49</v>
      </c>
      <c r="K3616" s="2" t="s">
        <v>1309</v>
      </c>
      <c r="L3616" t="s">
        <v>26</v>
      </c>
      <c r="M3616">
        <v>336612</v>
      </c>
      <c r="N3616">
        <v>-1</v>
      </c>
      <c r="O3616" s="3">
        <v>-59990</v>
      </c>
      <c r="P3616" s="3">
        <v>22989</v>
      </c>
      <c r="Q3616" s="5">
        <f t="shared" si="168"/>
        <v>-50411.764705882357</v>
      </c>
      <c r="R3616" s="5">
        <f t="shared" si="169"/>
        <v>-22989</v>
      </c>
      <c r="S3616" s="5">
        <f t="shared" si="170"/>
        <v>-27422.764705882357</v>
      </c>
    </row>
    <row r="3617" spans="1:19" hidden="1" x14ac:dyDescent="0.3">
      <c r="A3617">
        <v>170</v>
      </c>
      <c r="B3617" t="s">
        <v>4809</v>
      </c>
      <c r="C3617" t="s">
        <v>5163</v>
      </c>
      <c r="D3617" s="2" t="s">
        <v>5164</v>
      </c>
      <c r="E3617" t="s">
        <v>1702</v>
      </c>
      <c r="F3617" t="s">
        <v>20</v>
      </c>
      <c r="G3617" t="s">
        <v>21</v>
      </c>
      <c r="H3617" t="s">
        <v>1703</v>
      </c>
      <c r="I3617" t="s">
        <v>23</v>
      </c>
      <c r="J3617" t="s">
        <v>49</v>
      </c>
      <c r="K3617" s="2" t="s">
        <v>1309</v>
      </c>
      <c r="L3617" t="s">
        <v>26</v>
      </c>
      <c r="M3617">
        <v>336612</v>
      </c>
      <c r="N3617">
        <v>1</v>
      </c>
      <c r="O3617" s="3">
        <v>59991</v>
      </c>
      <c r="P3617" s="3">
        <v>22847</v>
      </c>
      <c r="Q3617" s="5">
        <f t="shared" si="168"/>
        <v>50412.60504201681</v>
      </c>
      <c r="R3617" s="5">
        <f t="shared" si="169"/>
        <v>22847</v>
      </c>
      <c r="S3617" s="5">
        <f t="shared" si="170"/>
        <v>27565.60504201681</v>
      </c>
    </row>
    <row r="3618" spans="1:19" hidden="1" x14ac:dyDescent="0.3">
      <c r="A3618">
        <v>170</v>
      </c>
      <c r="B3618" t="s">
        <v>4809</v>
      </c>
      <c r="C3618" t="s">
        <v>5165</v>
      </c>
      <c r="D3618" s="2" t="s">
        <v>5166</v>
      </c>
      <c r="E3618" t="s">
        <v>2671</v>
      </c>
      <c r="F3618" t="s">
        <v>20</v>
      </c>
      <c r="G3618" t="s">
        <v>21</v>
      </c>
      <c r="H3618" t="s">
        <v>874</v>
      </c>
      <c r="I3618" t="s">
        <v>23</v>
      </c>
      <c r="J3618" t="s">
        <v>95</v>
      </c>
      <c r="K3618" s="2" t="s">
        <v>1309</v>
      </c>
      <c r="L3618" t="s">
        <v>26</v>
      </c>
      <c r="M3618">
        <v>336613</v>
      </c>
      <c r="N3618">
        <v>1</v>
      </c>
      <c r="O3618" s="3">
        <v>39990</v>
      </c>
      <c r="P3618" s="3">
        <v>20699</v>
      </c>
      <c r="Q3618" s="5">
        <f t="shared" si="168"/>
        <v>33605.042016806721</v>
      </c>
      <c r="R3618" s="5">
        <f t="shared" si="169"/>
        <v>20699</v>
      </c>
      <c r="S3618" s="5">
        <f t="shared" si="170"/>
        <v>12906.042016806721</v>
      </c>
    </row>
    <row r="3619" spans="1:19" hidden="1" x14ac:dyDescent="0.3">
      <c r="A3619">
        <v>170</v>
      </c>
      <c r="B3619" t="s">
        <v>4809</v>
      </c>
      <c r="C3619" t="s">
        <v>5167</v>
      </c>
      <c r="D3619" s="2" t="s">
        <v>5168</v>
      </c>
      <c r="E3619" t="s">
        <v>5169</v>
      </c>
      <c r="F3619" t="s">
        <v>20</v>
      </c>
      <c r="G3619" t="s">
        <v>21</v>
      </c>
      <c r="H3619" t="s">
        <v>874</v>
      </c>
      <c r="I3619" t="s">
        <v>23</v>
      </c>
      <c r="J3619" t="s">
        <v>95</v>
      </c>
      <c r="K3619" s="2" t="s">
        <v>1309</v>
      </c>
      <c r="L3619" t="s">
        <v>26</v>
      </c>
      <c r="M3619">
        <v>336613</v>
      </c>
      <c r="N3619">
        <v>1</v>
      </c>
      <c r="O3619" s="3">
        <v>39990</v>
      </c>
      <c r="P3619" s="3">
        <v>20699</v>
      </c>
      <c r="Q3619" s="5">
        <f t="shared" si="168"/>
        <v>33605.042016806721</v>
      </c>
      <c r="R3619" s="5">
        <f t="shared" si="169"/>
        <v>20699</v>
      </c>
      <c r="S3619" s="5">
        <f t="shared" si="170"/>
        <v>12906.042016806721</v>
      </c>
    </row>
    <row r="3620" spans="1:19" hidden="1" x14ac:dyDescent="0.3">
      <c r="A3620">
        <v>170</v>
      </c>
      <c r="B3620" t="s">
        <v>4809</v>
      </c>
      <c r="C3620" t="s">
        <v>2241</v>
      </c>
      <c r="D3620" s="2" t="s">
        <v>2242</v>
      </c>
      <c r="E3620" t="s">
        <v>2243</v>
      </c>
      <c r="F3620" t="s">
        <v>20</v>
      </c>
      <c r="G3620" t="s">
        <v>21</v>
      </c>
      <c r="H3620" t="s">
        <v>565</v>
      </c>
      <c r="I3620" t="s">
        <v>23</v>
      </c>
      <c r="J3620" t="s">
        <v>49</v>
      </c>
      <c r="K3620" s="2" t="s">
        <v>1309</v>
      </c>
      <c r="L3620" t="s">
        <v>26</v>
      </c>
      <c r="M3620">
        <v>336614</v>
      </c>
      <c r="N3620">
        <v>1</v>
      </c>
      <c r="O3620" s="3">
        <v>49990</v>
      </c>
      <c r="P3620" s="3">
        <v>28440</v>
      </c>
      <c r="Q3620" s="5">
        <f t="shared" si="168"/>
        <v>42008.403361344543</v>
      </c>
      <c r="R3620" s="5">
        <f t="shared" si="169"/>
        <v>28440</v>
      </c>
      <c r="S3620" s="5">
        <f t="shared" si="170"/>
        <v>13568.403361344543</v>
      </c>
    </row>
    <row r="3621" spans="1:19" hidden="1" x14ac:dyDescent="0.3">
      <c r="A3621">
        <v>170</v>
      </c>
      <c r="B3621" t="s">
        <v>4809</v>
      </c>
      <c r="C3621" t="s">
        <v>5170</v>
      </c>
      <c r="D3621" s="2" t="s">
        <v>5171</v>
      </c>
      <c r="E3621" t="s">
        <v>5172</v>
      </c>
      <c r="F3621" t="s">
        <v>20</v>
      </c>
      <c r="G3621" t="s">
        <v>21</v>
      </c>
      <c r="H3621" t="s">
        <v>94</v>
      </c>
      <c r="I3621" t="s">
        <v>23</v>
      </c>
      <c r="J3621" t="s">
        <v>95</v>
      </c>
      <c r="K3621" s="2" t="s">
        <v>1309</v>
      </c>
      <c r="L3621" t="s">
        <v>26</v>
      </c>
      <c r="M3621">
        <v>336614</v>
      </c>
      <c r="N3621">
        <v>1</v>
      </c>
      <c r="O3621" s="3">
        <v>49990</v>
      </c>
      <c r="P3621" s="3">
        <v>25724</v>
      </c>
      <c r="Q3621" s="5">
        <f t="shared" si="168"/>
        <v>42008.403361344543</v>
      </c>
      <c r="R3621" s="5">
        <f t="shared" si="169"/>
        <v>25724</v>
      </c>
      <c r="S3621" s="5">
        <f t="shared" si="170"/>
        <v>16284.403361344543</v>
      </c>
    </row>
    <row r="3622" spans="1:19" hidden="1" x14ac:dyDescent="0.3">
      <c r="A3622">
        <v>170</v>
      </c>
      <c r="B3622" t="s">
        <v>4809</v>
      </c>
      <c r="C3622">
        <v>1687976791</v>
      </c>
      <c r="D3622" s="2" t="s">
        <v>200</v>
      </c>
      <c r="E3622" t="s">
        <v>201</v>
      </c>
      <c r="F3622" t="s">
        <v>201</v>
      </c>
      <c r="G3622" t="s">
        <v>202</v>
      </c>
      <c r="H3622" t="s">
        <v>202</v>
      </c>
      <c r="I3622" t="s">
        <v>23</v>
      </c>
      <c r="J3622" t="s">
        <v>202</v>
      </c>
      <c r="K3622" s="2" t="s">
        <v>1309</v>
      </c>
      <c r="L3622" t="s">
        <v>26</v>
      </c>
      <c r="M3622">
        <v>336615</v>
      </c>
      <c r="N3622">
        <v>1</v>
      </c>
      <c r="O3622">
        <v>1</v>
      </c>
      <c r="P3622">
        <v>1</v>
      </c>
      <c r="Q3622" s="5">
        <f t="shared" si="168"/>
        <v>0.84033613445378152</v>
      </c>
      <c r="R3622" s="5">
        <f t="shared" si="169"/>
        <v>1</v>
      </c>
      <c r="S3622" s="5">
        <f t="shared" si="170"/>
        <v>-0.15966386554621848</v>
      </c>
    </row>
    <row r="3623" spans="1:19" hidden="1" x14ac:dyDescent="0.3">
      <c r="A3623">
        <v>170</v>
      </c>
      <c r="B3623" t="s">
        <v>4809</v>
      </c>
      <c r="C3623" t="s">
        <v>4559</v>
      </c>
      <c r="D3623" s="2" t="s">
        <v>4560</v>
      </c>
      <c r="E3623" t="s">
        <v>564</v>
      </c>
      <c r="F3623" t="s">
        <v>20</v>
      </c>
      <c r="G3623" t="s">
        <v>21</v>
      </c>
      <c r="H3623" t="s">
        <v>565</v>
      </c>
      <c r="I3623" t="s">
        <v>23</v>
      </c>
      <c r="J3623" t="s">
        <v>49</v>
      </c>
      <c r="K3623" s="2" t="s">
        <v>1309</v>
      </c>
      <c r="L3623" t="s">
        <v>26</v>
      </c>
      <c r="M3623">
        <v>336615</v>
      </c>
      <c r="N3623">
        <v>1</v>
      </c>
      <c r="O3623" s="3">
        <v>49990</v>
      </c>
      <c r="P3623" s="3">
        <v>26922</v>
      </c>
      <c r="Q3623" s="5">
        <f t="shared" si="168"/>
        <v>42008.403361344543</v>
      </c>
      <c r="R3623" s="5">
        <f t="shared" si="169"/>
        <v>26922</v>
      </c>
      <c r="S3623" s="5">
        <f t="shared" si="170"/>
        <v>15086.403361344543</v>
      </c>
    </row>
    <row r="3624" spans="1:19" hidden="1" x14ac:dyDescent="0.3">
      <c r="A3624">
        <v>170</v>
      </c>
      <c r="B3624" t="s">
        <v>4809</v>
      </c>
      <c r="C3624" t="s">
        <v>5173</v>
      </c>
      <c r="D3624" s="2" t="s">
        <v>5174</v>
      </c>
      <c r="E3624" t="s">
        <v>3804</v>
      </c>
      <c r="F3624" t="s">
        <v>20</v>
      </c>
      <c r="G3624" t="s">
        <v>338</v>
      </c>
      <c r="H3624">
        <v>24200</v>
      </c>
      <c r="I3624" t="s">
        <v>23</v>
      </c>
      <c r="J3624" t="s">
        <v>95</v>
      </c>
      <c r="K3624" s="2" t="s">
        <v>1309</v>
      </c>
      <c r="L3624" t="s">
        <v>26</v>
      </c>
      <c r="M3624">
        <v>336616</v>
      </c>
      <c r="N3624">
        <v>1</v>
      </c>
      <c r="O3624" s="3">
        <v>84950</v>
      </c>
      <c r="P3624" s="3">
        <v>26465</v>
      </c>
      <c r="Q3624" s="5">
        <f t="shared" si="168"/>
        <v>71386.554621848743</v>
      </c>
      <c r="R3624" s="5">
        <f t="shared" si="169"/>
        <v>26465</v>
      </c>
      <c r="S3624" s="5">
        <f t="shared" si="170"/>
        <v>44921.554621848743</v>
      </c>
    </row>
    <row r="3625" spans="1:19" hidden="1" x14ac:dyDescent="0.3">
      <c r="A3625">
        <v>170</v>
      </c>
      <c r="B3625" t="s">
        <v>4809</v>
      </c>
      <c r="C3625" t="s">
        <v>5175</v>
      </c>
      <c r="D3625" s="2" t="s">
        <v>5176</v>
      </c>
      <c r="E3625" t="s">
        <v>2455</v>
      </c>
      <c r="F3625" t="s">
        <v>20</v>
      </c>
      <c r="G3625" t="s">
        <v>21</v>
      </c>
      <c r="H3625" t="s">
        <v>742</v>
      </c>
      <c r="I3625" t="s">
        <v>23</v>
      </c>
      <c r="J3625" t="s">
        <v>40</v>
      </c>
      <c r="K3625" s="2" t="s">
        <v>1309</v>
      </c>
      <c r="L3625" t="s">
        <v>26</v>
      </c>
      <c r="M3625">
        <v>336617</v>
      </c>
      <c r="N3625">
        <v>1</v>
      </c>
      <c r="O3625" s="3">
        <v>79950</v>
      </c>
      <c r="P3625" s="3">
        <v>28725</v>
      </c>
      <c r="Q3625" s="5">
        <f t="shared" si="168"/>
        <v>67184.873949579836</v>
      </c>
      <c r="R3625" s="5">
        <f t="shared" si="169"/>
        <v>28725</v>
      </c>
      <c r="S3625" s="5">
        <f t="shared" si="170"/>
        <v>38459.873949579836</v>
      </c>
    </row>
    <row r="3626" spans="1:19" hidden="1" x14ac:dyDescent="0.3">
      <c r="A3626">
        <v>170</v>
      </c>
      <c r="B3626" t="s">
        <v>4809</v>
      </c>
      <c r="C3626" t="s">
        <v>535</v>
      </c>
      <c r="D3626" s="2" t="s">
        <v>536</v>
      </c>
      <c r="E3626" t="s">
        <v>537</v>
      </c>
      <c r="F3626" t="s">
        <v>20</v>
      </c>
      <c r="G3626" t="s">
        <v>21</v>
      </c>
      <c r="H3626" t="s">
        <v>368</v>
      </c>
      <c r="I3626" t="s">
        <v>23</v>
      </c>
      <c r="J3626" t="s">
        <v>40</v>
      </c>
      <c r="K3626" s="2" t="s">
        <v>1309</v>
      </c>
      <c r="L3626" t="s">
        <v>26</v>
      </c>
      <c r="M3626">
        <v>336618</v>
      </c>
      <c r="N3626">
        <v>-1</v>
      </c>
      <c r="O3626" s="3">
        <v>-34990</v>
      </c>
      <c r="P3626" s="3">
        <v>21072</v>
      </c>
      <c r="Q3626" s="5">
        <f t="shared" si="168"/>
        <v>-29403.361344537818</v>
      </c>
      <c r="R3626" s="5">
        <f t="shared" si="169"/>
        <v>-21072</v>
      </c>
      <c r="S3626" s="5">
        <f t="shared" si="170"/>
        <v>-8331.3613445378178</v>
      </c>
    </row>
    <row r="3627" spans="1:19" hidden="1" x14ac:dyDescent="0.3">
      <c r="A3627">
        <v>170</v>
      </c>
      <c r="B3627" t="s">
        <v>4809</v>
      </c>
      <c r="C3627" t="s">
        <v>5177</v>
      </c>
      <c r="D3627" s="2" t="s">
        <v>5178</v>
      </c>
      <c r="E3627" t="s">
        <v>3406</v>
      </c>
      <c r="F3627" t="s">
        <v>20</v>
      </c>
      <c r="G3627" t="s">
        <v>338</v>
      </c>
      <c r="H3627">
        <v>26825</v>
      </c>
      <c r="I3627" t="s">
        <v>23</v>
      </c>
      <c r="J3627" t="s">
        <v>35</v>
      </c>
      <c r="K3627" s="2" t="s">
        <v>1309</v>
      </c>
      <c r="L3627" t="s">
        <v>26</v>
      </c>
      <c r="M3627">
        <v>336618</v>
      </c>
      <c r="N3627">
        <v>1</v>
      </c>
      <c r="O3627" s="3">
        <v>79950</v>
      </c>
      <c r="P3627" s="3">
        <v>23119</v>
      </c>
      <c r="Q3627" s="5">
        <f t="shared" si="168"/>
        <v>67184.873949579836</v>
      </c>
      <c r="R3627" s="5">
        <f t="shared" si="169"/>
        <v>23119</v>
      </c>
      <c r="S3627" s="5">
        <f t="shared" si="170"/>
        <v>44065.873949579836</v>
      </c>
    </row>
    <row r="3628" spans="1:19" hidden="1" x14ac:dyDescent="0.3">
      <c r="A3628">
        <v>170</v>
      </c>
      <c r="B3628" t="s">
        <v>4809</v>
      </c>
      <c r="C3628" t="s">
        <v>2525</v>
      </c>
      <c r="D3628" s="2" t="s">
        <v>2526</v>
      </c>
      <c r="E3628" t="s">
        <v>2527</v>
      </c>
      <c r="F3628" t="s">
        <v>377</v>
      </c>
      <c r="G3628" t="s">
        <v>21</v>
      </c>
      <c r="H3628" t="s">
        <v>378</v>
      </c>
      <c r="I3628" t="s">
        <v>23</v>
      </c>
      <c r="J3628" t="s">
        <v>2459</v>
      </c>
      <c r="K3628" s="2" t="s">
        <v>1309</v>
      </c>
      <c r="L3628" t="s">
        <v>26</v>
      </c>
      <c r="M3628">
        <v>336619</v>
      </c>
      <c r="N3628">
        <v>4</v>
      </c>
      <c r="O3628" s="3">
        <v>27800</v>
      </c>
      <c r="P3628" s="3">
        <v>2964</v>
      </c>
      <c r="Q3628" s="5">
        <f t="shared" si="168"/>
        <v>23361.344537815126</v>
      </c>
      <c r="R3628" s="5">
        <f t="shared" si="169"/>
        <v>11856</v>
      </c>
      <c r="S3628" s="5">
        <f t="shared" si="170"/>
        <v>11505.344537815126</v>
      </c>
    </row>
    <row r="3629" spans="1:19" hidden="1" x14ac:dyDescent="0.3">
      <c r="A3629">
        <v>170</v>
      </c>
      <c r="B3629" t="s">
        <v>4809</v>
      </c>
      <c r="C3629" t="s">
        <v>1756</v>
      </c>
      <c r="D3629" s="2" t="s">
        <v>1757</v>
      </c>
      <c r="E3629" t="s">
        <v>1758</v>
      </c>
      <c r="F3629" t="s">
        <v>20</v>
      </c>
      <c r="G3629" t="s">
        <v>338</v>
      </c>
      <c r="H3629">
        <v>25133</v>
      </c>
      <c r="I3629" t="s">
        <v>23</v>
      </c>
      <c r="J3629" t="s">
        <v>35</v>
      </c>
      <c r="K3629" s="2" t="s">
        <v>1309</v>
      </c>
      <c r="L3629" t="s">
        <v>26</v>
      </c>
      <c r="M3629">
        <v>336620</v>
      </c>
      <c r="N3629">
        <v>1</v>
      </c>
      <c r="O3629" s="3">
        <v>74950</v>
      </c>
      <c r="P3629" s="3">
        <v>21167</v>
      </c>
      <c r="Q3629" s="5">
        <f t="shared" si="168"/>
        <v>62983.193277310929</v>
      </c>
      <c r="R3629" s="5">
        <f t="shared" si="169"/>
        <v>21167</v>
      </c>
      <c r="S3629" s="5">
        <f t="shared" si="170"/>
        <v>41816.193277310929</v>
      </c>
    </row>
    <row r="3630" spans="1:19" hidden="1" x14ac:dyDescent="0.3">
      <c r="A3630">
        <v>170</v>
      </c>
      <c r="B3630" t="s">
        <v>4809</v>
      </c>
      <c r="C3630" t="s">
        <v>4692</v>
      </c>
      <c r="D3630" s="2" t="s">
        <v>4693</v>
      </c>
      <c r="E3630" t="s">
        <v>3202</v>
      </c>
      <c r="F3630" t="s">
        <v>20</v>
      </c>
      <c r="G3630" t="s">
        <v>338</v>
      </c>
      <c r="H3630">
        <v>25702</v>
      </c>
      <c r="I3630" t="s">
        <v>23</v>
      </c>
      <c r="J3630" t="s">
        <v>35</v>
      </c>
      <c r="K3630" s="2" t="s">
        <v>1309</v>
      </c>
      <c r="L3630" t="s">
        <v>26</v>
      </c>
      <c r="M3630">
        <v>336621</v>
      </c>
      <c r="N3630">
        <v>1</v>
      </c>
      <c r="O3630" s="3">
        <v>109950</v>
      </c>
      <c r="P3630" s="3">
        <v>34974</v>
      </c>
      <c r="Q3630" s="5">
        <f t="shared" si="168"/>
        <v>92394.957983193279</v>
      </c>
      <c r="R3630" s="5">
        <f t="shared" si="169"/>
        <v>34974</v>
      </c>
      <c r="S3630" s="5">
        <f t="shared" si="170"/>
        <v>57420.957983193279</v>
      </c>
    </row>
    <row r="3631" spans="1:19" hidden="1" x14ac:dyDescent="0.3">
      <c r="A3631">
        <v>170</v>
      </c>
      <c r="B3631" t="s">
        <v>4809</v>
      </c>
      <c r="C3631" t="s">
        <v>3193</v>
      </c>
      <c r="D3631" s="2" t="s">
        <v>3194</v>
      </c>
      <c r="E3631" t="s">
        <v>3195</v>
      </c>
      <c r="F3631" t="s">
        <v>20</v>
      </c>
      <c r="G3631" t="s">
        <v>338</v>
      </c>
      <c r="H3631">
        <v>25366</v>
      </c>
      <c r="I3631" t="s">
        <v>23</v>
      </c>
      <c r="J3631" t="s">
        <v>35</v>
      </c>
      <c r="K3631" s="2" t="s">
        <v>1309</v>
      </c>
      <c r="L3631" t="s">
        <v>26</v>
      </c>
      <c r="M3631">
        <v>336622</v>
      </c>
      <c r="N3631">
        <v>1</v>
      </c>
      <c r="O3631" s="3">
        <v>99950</v>
      </c>
      <c r="P3631" s="3">
        <v>33157</v>
      </c>
      <c r="Q3631" s="5">
        <f t="shared" si="168"/>
        <v>83991.596638655465</v>
      </c>
      <c r="R3631" s="5">
        <f t="shared" si="169"/>
        <v>33157</v>
      </c>
      <c r="S3631" s="5">
        <f t="shared" si="170"/>
        <v>50834.596638655465</v>
      </c>
    </row>
    <row r="3632" spans="1:19" hidden="1" x14ac:dyDescent="0.3">
      <c r="A3632">
        <v>170</v>
      </c>
      <c r="B3632" t="s">
        <v>4809</v>
      </c>
      <c r="C3632" t="s">
        <v>5179</v>
      </c>
      <c r="D3632" s="2" t="s">
        <v>5180</v>
      </c>
      <c r="E3632" t="s">
        <v>866</v>
      </c>
      <c r="F3632" t="s">
        <v>20</v>
      </c>
      <c r="G3632" t="s">
        <v>21</v>
      </c>
      <c r="H3632" t="s">
        <v>90</v>
      </c>
      <c r="I3632" t="s">
        <v>23</v>
      </c>
      <c r="J3632" t="s">
        <v>35</v>
      </c>
      <c r="K3632" s="2" t="s">
        <v>1309</v>
      </c>
      <c r="L3632" t="s">
        <v>26</v>
      </c>
      <c r="M3632">
        <v>336623</v>
      </c>
      <c r="N3632">
        <v>1</v>
      </c>
      <c r="O3632" s="3">
        <v>84950</v>
      </c>
      <c r="P3632" s="3">
        <v>35318</v>
      </c>
      <c r="Q3632" s="5">
        <f t="shared" si="168"/>
        <v>71386.554621848743</v>
      </c>
      <c r="R3632" s="5">
        <f t="shared" si="169"/>
        <v>35318</v>
      </c>
      <c r="S3632" s="5">
        <f t="shared" si="170"/>
        <v>36068.554621848743</v>
      </c>
    </row>
    <row r="3633" spans="1:19" hidden="1" x14ac:dyDescent="0.3">
      <c r="A3633">
        <v>170</v>
      </c>
      <c r="B3633" t="s">
        <v>4809</v>
      </c>
      <c r="C3633" t="s">
        <v>4502</v>
      </c>
      <c r="D3633" s="2" t="s">
        <v>4503</v>
      </c>
      <c r="E3633" t="s">
        <v>3914</v>
      </c>
      <c r="F3633" t="s">
        <v>20</v>
      </c>
      <c r="G3633" t="s">
        <v>338</v>
      </c>
      <c r="H3633">
        <v>24316</v>
      </c>
      <c r="I3633" t="s">
        <v>23</v>
      </c>
      <c r="J3633" t="s">
        <v>49</v>
      </c>
      <c r="K3633" s="2" t="s">
        <v>1309</v>
      </c>
      <c r="L3633" t="s">
        <v>26</v>
      </c>
      <c r="M3633">
        <v>336624</v>
      </c>
      <c r="N3633">
        <v>1</v>
      </c>
      <c r="O3633" s="3">
        <v>74950</v>
      </c>
      <c r="P3633" s="3">
        <v>23473</v>
      </c>
      <c r="Q3633" s="5">
        <f t="shared" si="168"/>
        <v>62983.193277310929</v>
      </c>
      <c r="R3633" s="5">
        <f t="shared" si="169"/>
        <v>23473</v>
      </c>
      <c r="S3633" s="5">
        <f t="shared" si="170"/>
        <v>39510.193277310929</v>
      </c>
    </row>
    <row r="3634" spans="1:19" hidden="1" x14ac:dyDescent="0.3">
      <c r="A3634">
        <v>170</v>
      </c>
      <c r="B3634" t="s">
        <v>4809</v>
      </c>
      <c r="C3634" t="s">
        <v>3762</v>
      </c>
      <c r="D3634" s="2" t="s">
        <v>3763</v>
      </c>
      <c r="E3634" t="s">
        <v>3764</v>
      </c>
      <c r="F3634" t="s">
        <v>20</v>
      </c>
      <c r="G3634" t="s">
        <v>21</v>
      </c>
      <c r="H3634" t="s">
        <v>1282</v>
      </c>
      <c r="I3634" t="s">
        <v>23</v>
      </c>
      <c r="J3634" t="s">
        <v>40</v>
      </c>
      <c r="K3634" s="2" t="s">
        <v>1309</v>
      </c>
      <c r="L3634" t="s">
        <v>26</v>
      </c>
      <c r="M3634">
        <v>336625</v>
      </c>
      <c r="N3634">
        <v>1</v>
      </c>
      <c r="O3634" s="3">
        <v>49950</v>
      </c>
      <c r="P3634" s="3">
        <v>13922</v>
      </c>
      <c r="Q3634" s="5">
        <f t="shared" si="168"/>
        <v>41974.789915966387</v>
      </c>
      <c r="R3634" s="5">
        <f t="shared" si="169"/>
        <v>13922</v>
      </c>
      <c r="S3634" s="5">
        <f t="shared" si="170"/>
        <v>28052.789915966387</v>
      </c>
    </row>
    <row r="3635" spans="1:19" hidden="1" x14ac:dyDescent="0.3">
      <c r="A3635">
        <v>170</v>
      </c>
      <c r="B3635" t="s">
        <v>4809</v>
      </c>
      <c r="C3635" t="s">
        <v>4516</v>
      </c>
      <c r="D3635" s="2" t="s">
        <v>4517</v>
      </c>
      <c r="E3635" t="s">
        <v>1443</v>
      </c>
      <c r="F3635" t="s">
        <v>20</v>
      </c>
      <c r="G3635" t="s">
        <v>338</v>
      </c>
      <c r="H3635">
        <v>25301</v>
      </c>
      <c r="I3635" t="s">
        <v>23</v>
      </c>
      <c r="J3635" t="s">
        <v>35</v>
      </c>
      <c r="K3635" s="2" t="s">
        <v>1309</v>
      </c>
      <c r="L3635" t="s">
        <v>26</v>
      </c>
      <c r="M3635">
        <v>336626</v>
      </c>
      <c r="N3635">
        <v>1</v>
      </c>
      <c r="O3635" s="3">
        <v>99950</v>
      </c>
      <c r="P3635" s="3">
        <v>34157</v>
      </c>
      <c r="Q3635" s="5">
        <f t="shared" si="168"/>
        <v>83991.596638655465</v>
      </c>
      <c r="R3635" s="5">
        <f t="shared" si="169"/>
        <v>34157</v>
      </c>
      <c r="S3635" s="5">
        <f t="shared" si="170"/>
        <v>49834.596638655465</v>
      </c>
    </row>
    <row r="3636" spans="1:19" hidden="1" x14ac:dyDescent="0.3">
      <c r="A3636">
        <v>170</v>
      </c>
      <c r="B3636" t="s">
        <v>4809</v>
      </c>
      <c r="C3636" t="s">
        <v>5181</v>
      </c>
      <c r="D3636" s="2" t="s">
        <v>5182</v>
      </c>
      <c r="E3636" t="s">
        <v>5183</v>
      </c>
      <c r="F3636" t="s">
        <v>20</v>
      </c>
      <c r="G3636" t="s">
        <v>21</v>
      </c>
      <c r="H3636" t="s">
        <v>835</v>
      </c>
      <c r="I3636" t="s">
        <v>23</v>
      </c>
      <c r="J3636" t="s">
        <v>40</v>
      </c>
      <c r="K3636" s="2" t="s">
        <v>1309</v>
      </c>
      <c r="L3636" t="s">
        <v>26</v>
      </c>
      <c r="M3636">
        <v>336627</v>
      </c>
      <c r="N3636">
        <v>-1</v>
      </c>
      <c r="O3636" s="3">
        <v>-39990</v>
      </c>
      <c r="P3636" s="3">
        <v>26569</v>
      </c>
      <c r="Q3636" s="5">
        <f t="shared" si="168"/>
        <v>-33605.042016806721</v>
      </c>
      <c r="R3636" s="5">
        <f t="shared" si="169"/>
        <v>-26569</v>
      </c>
      <c r="S3636" s="5">
        <f t="shared" si="170"/>
        <v>-7036.0420168067212</v>
      </c>
    </row>
    <row r="3637" spans="1:19" hidden="1" x14ac:dyDescent="0.3">
      <c r="A3637">
        <v>170</v>
      </c>
      <c r="B3637" t="s">
        <v>4809</v>
      </c>
      <c r="C3637" t="s">
        <v>3769</v>
      </c>
      <c r="D3637" s="2" t="s">
        <v>3770</v>
      </c>
      <c r="E3637" t="s">
        <v>2993</v>
      </c>
      <c r="F3637" t="s">
        <v>20</v>
      </c>
      <c r="G3637" t="s">
        <v>21</v>
      </c>
      <c r="H3637" t="s">
        <v>1887</v>
      </c>
      <c r="I3637" t="s">
        <v>23</v>
      </c>
      <c r="J3637" t="s">
        <v>40</v>
      </c>
      <c r="K3637" s="2" t="s">
        <v>1309</v>
      </c>
      <c r="L3637" t="s">
        <v>26</v>
      </c>
      <c r="M3637">
        <v>336627</v>
      </c>
      <c r="N3637">
        <v>1</v>
      </c>
      <c r="O3637" s="3">
        <v>69950</v>
      </c>
      <c r="P3637" s="3">
        <v>22018</v>
      </c>
      <c r="Q3637" s="5">
        <f t="shared" si="168"/>
        <v>58781.512605042022</v>
      </c>
      <c r="R3637" s="5">
        <f t="shared" si="169"/>
        <v>22018</v>
      </c>
      <c r="S3637" s="5">
        <f t="shared" si="170"/>
        <v>36763.512605042022</v>
      </c>
    </row>
    <row r="3638" spans="1:19" hidden="1" x14ac:dyDescent="0.3">
      <c r="A3638">
        <v>170</v>
      </c>
      <c r="B3638" t="s">
        <v>4809</v>
      </c>
      <c r="C3638" t="s">
        <v>5184</v>
      </c>
      <c r="D3638" s="2" t="s">
        <v>5185</v>
      </c>
      <c r="E3638" t="s">
        <v>4793</v>
      </c>
      <c r="F3638" t="s">
        <v>377</v>
      </c>
      <c r="G3638" t="s">
        <v>21</v>
      </c>
      <c r="H3638" t="s">
        <v>378</v>
      </c>
      <c r="I3638" t="s">
        <v>23</v>
      </c>
      <c r="J3638" t="s">
        <v>2620</v>
      </c>
      <c r="K3638" s="2" t="s">
        <v>1309</v>
      </c>
      <c r="L3638" t="s">
        <v>26</v>
      </c>
      <c r="M3638">
        <v>336628</v>
      </c>
      <c r="N3638">
        <v>1</v>
      </c>
      <c r="O3638" s="3">
        <v>26950</v>
      </c>
      <c r="P3638" s="3">
        <v>11734</v>
      </c>
      <c r="Q3638" s="5">
        <f t="shared" si="168"/>
        <v>22647.058823529413</v>
      </c>
      <c r="R3638" s="5">
        <f t="shared" si="169"/>
        <v>11734</v>
      </c>
      <c r="S3638" s="5">
        <f t="shared" si="170"/>
        <v>10913.058823529413</v>
      </c>
    </row>
    <row r="3639" spans="1:19" hidden="1" x14ac:dyDescent="0.3">
      <c r="A3639">
        <v>170</v>
      </c>
      <c r="B3639" t="s">
        <v>4809</v>
      </c>
      <c r="C3639" t="s">
        <v>5186</v>
      </c>
      <c r="D3639" s="2" t="s">
        <v>5187</v>
      </c>
      <c r="E3639" t="s">
        <v>3729</v>
      </c>
      <c r="F3639" t="s">
        <v>20</v>
      </c>
      <c r="G3639" t="s">
        <v>21</v>
      </c>
      <c r="H3639" t="s">
        <v>272</v>
      </c>
      <c r="I3639" t="s">
        <v>23</v>
      </c>
      <c r="J3639" t="s">
        <v>35</v>
      </c>
      <c r="K3639" s="2" t="s">
        <v>1309</v>
      </c>
      <c r="L3639" t="s">
        <v>26</v>
      </c>
      <c r="M3639">
        <v>336629</v>
      </c>
      <c r="N3639">
        <v>1</v>
      </c>
      <c r="O3639" s="3">
        <v>79950</v>
      </c>
      <c r="P3639" s="3">
        <v>28175</v>
      </c>
      <c r="Q3639" s="5">
        <f t="shared" si="168"/>
        <v>67184.873949579836</v>
      </c>
      <c r="R3639" s="5">
        <f t="shared" si="169"/>
        <v>28175</v>
      </c>
      <c r="S3639" s="5">
        <f t="shared" si="170"/>
        <v>39009.873949579836</v>
      </c>
    </row>
    <row r="3640" spans="1:19" hidden="1" x14ac:dyDescent="0.3">
      <c r="A3640">
        <v>170</v>
      </c>
      <c r="B3640" t="s">
        <v>4809</v>
      </c>
      <c r="C3640" t="s">
        <v>5080</v>
      </c>
      <c r="D3640" s="2" t="s">
        <v>5081</v>
      </c>
      <c r="E3640" t="s">
        <v>4540</v>
      </c>
      <c r="F3640" t="s">
        <v>20</v>
      </c>
      <c r="G3640" t="s">
        <v>338</v>
      </c>
      <c r="H3640">
        <v>25623</v>
      </c>
      <c r="I3640" t="s">
        <v>23</v>
      </c>
      <c r="J3640" t="s">
        <v>31</v>
      </c>
      <c r="K3640" s="2" t="s">
        <v>1309</v>
      </c>
      <c r="L3640" t="s">
        <v>26</v>
      </c>
      <c r="M3640">
        <v>336630</v>
      </c>
      <c r="N3640">
        <v>1</v>
      </c>
      <c r="O3640" s="3">
        <v>99950</v>
      </c>
      <c r="P3640" s="3">
        <v>33748</v>
      </c>
      <c r="Q3640" s="5">
        <f t="shared" si="168"/>
        <v>83991.596638655465</v>
      </c>
      <c r="R3640" s="5">
        <f t="shared" si="169"/>
        <v>33748</v>
      </c>
      <c r="S3640" s="5">
        <f t="shared" si="170"/>
        <v>50243.596638655465</v>
      </c>
    </row>
    <row r="3641" spans="1:19" hidden="1" x14ac:dyDescent="0.3">
      <c r="A3641">
        <v>170</v>
      </c>
      <c r="B3641" t="s">
        <v>4809</v>
      </c>
      <c r="C3641" t="s">
        <v>5188</v>
      </c>
      <c r="D3641" s="2" t="s">
        <v>5189</v>
      </c>
      <c r="E3641" t="s">
        <v>2473</v>
      </c>
      <c r="F3641" t="s">
        <v>20</v>
      </c>
      <c r="G3641" t="s">
        <v>21</v>
      </c>
      <c r="H3641" t="s">
        <v>114</v>
      </c>
      <c r="I3641" t="s">
        <v>23</v>
      </c>
      <c r="J3641" t="s">
        <v>49</v>
      </c>
      <c r="K3641" s="2" t="s">
        <v>1309</v>
      </c>
      <c r="L3641" t="s">
        <v>26</v>
      </c>
      <c r="M3641">
        <v>336631</v>
      </c>
      <c r="N3641">
        <v>-1</v>
      </c>
      <c r="O3641" s="3">
        <v>-49990</v>
      </c>
      <c r="P3641" s="3">
        <v>23514</v>
      </c>
      <c r="Q3641" s="5">
        <f t="shared" si="168"/>
        <v>-42008.403361344543</v>
      </c>
      <c r="R3641" s="5">
        <f t="shared" si="169"/>
        <v>-23514</v>
      </c>
      <c r="S3641" s="5">
        <f t="shared" si="170"/>
        <v>-18494.403361344543</v>
      </c>
    </row>
    <row r="3642" spans="1:19" hidden="1" x14ac:dyDescent="0.3">
      <c r="A3642">
        <v>170</v>
      </c>
      <c r="B3642" t="s">
        <v>4809</v>
      </c>
      <c r="C3642" t="s">
        <v>5190</v>
      </c>
      <c r="D3642" s="2" t="s">
        <v>5191</v>
      </c>
      <c r="E3642" t="s">
        <v>3684</v>
      </c>
      <c r="F3642" t="s">
        <v>20</v>
      </c>
      <c r="G3642" t="s">
        <v>21</v>
      </c>
      <c r="H3642" t="s">
        <v>114</v>
      </c>
      <c r="I3642" t="s">
        <v>23</v>
      </c>
      <c r="J3642" t="s">
        <v>49</v>
      </c>
      <c r="K3642" s="2" t="s">
        <v>1309</v>
      </c>
      <c r="L3642" t="s">
        <v>26</v>
      </c>
      <c r="M3642">
        <v>336631</v>
      </c>
      <c r="N3642">
        <v>-1</v>
      </c>
      <c r="O3642" s="3">
        <v>-49990</v>
      </c>
      <c r="P3642" s="3">
        <v>23514</v>
      </c>
      <c r="Q3642" s="5">
        <f t="shared" si="168"/>
        <v>-42008.403361344543</v>
      </c>
      <c r="R3642" s="5">
        <f t="shared" si="169"/>
        <v>-23514</v>
      </c>
      <c r="S3642" s="5">
        <f t="shared" si="170"/>
        <v>-18494.403361344543</v>
      </c>
    </row>
    <row r="3643" spans="1:19" hidden="1" x14ac:dyDescent="0.3">
      <c r="A3643">
        <v>170</v>
      </c>
      <c r="B3643" t="s">
        <v>4809</v>
      </c>
      <c r="C3643" t="s">
        <v>4538</v>
      </c>
      <c r="D3643" s="2" t="s">
        <v>4539</v>
      </c>
      <c r="E3643" t="s">
        <v>4540</v>
      </c>
      <c r="F3643" t="s">
        <v>20</v>
      </c>
      <c r="G3643" t="s">
        <v>338</v>
      </c>
      <c r="H3643">
        <v>25623</v>
      </c>
      <c r="I3643" t="s">
        <v>23</v>
      </c>
      <c r="J3643" t="s">
        <v>31</v>
      </c>
      <c r="K3643" s="2" t="s">
        <v>1309</v>
      </c>
      <c r="L3643" t="s">
        <v>26</v>
      </c>
      <c r="M3643">
        <v>336631</v>
      </c>
      <c r="N3643">
        <v>1</v>
      </c>
      <c r="O3643" s="3">
        <v>99981</v>
      </c>
      <c r="P3643" s="3">
        <v>33748</v>
      </c>
      <c r="Q3643" s="5">
        <f t="shared" si="168"/>
        <v>84017.647058823539</v>
      </c>
      <c r="R3643" s="5">
        <f t="shared" si="169"/>
        <v>33748</v>
      </c>
      <c r="S3643" s="5">
        <f t="shared" si="170"/>
        <v>50269.647058823539</v>
      </c>
    </row>
    <row r="3644" spans="1:19" hidden="1" x14ac:dyDescent="0.3">
      <c r="A3644">
        <v>170</v>
      </c>
      <c r="B3644" t="s">
        <v>4809</v>
      </c>
      <c r="C3644" t="s">
        <v>3032</v>
      </c>
      <c r="D3644" s="2" t="s">
        <v>3033</v>
      </c>
      <c r="E3644" t="s">
        <v>2653</v>
      </c>
      <c r="F3644" t="s">
        <v>20</v>
      </c>
      <c r="G3644" t="s">
        <v>21</v>
      </c>
      <c r="H3644" t="s">
        <v>2315</v>
      </c>
      <c r="I3644" t="s">
        <v>23</v>
      </c>
      <c r="J3644" t="s">
        <v>35</v>
      </c>
      <c r="K3644" s="2" t="s">
        <v>1309</v>
      </c>
      <c r="L3644" t="s">
        <v>26</v>
      </c>
      <c r="M3644">
        <v>336632</v>
      </c>
      <c r="N3644">
        <v>1</v>
      </c>
      <c r="O3644" s="3">
        <v>89950</v>
      </c>
      <c r="P3644" s="3">
        <v>30749</v>
      </c>
      <c r="Q3644" s="5">
        <f t="shared" si="168"/>
        <v>75588.23529411765</v>
      </c>
      <c r="R3644" s="5">
        <f t="shared" si="169"/>
        <v>30749</v>
      </c>
      <c r="S3644" s="5">
        <f t="shared" si="170"/>
        <v>44839.23529411765</v>
      </c>
    </row>
    <row r="3645" spans="1:19" hidden="1" x14ac:dyDescent="0.3">
      <c r="A3645">
        <v>170</v>
      </c>
      <c r="B3645" t="s">
        <v>4809</v>
      </c>
      <c r="C3645" t="s">
        <v>4711</v>
      </c>
      <c r="D3645" s="2" t="s">
        <v>4712</v>
      </c>
      <c r="E3645" t="s">
        <v>2748</v>
      </c>
      <c r="F3645" t="s">
        <v>20</v>
      </c>
      <c r="G3645" t="s">
        <v>338</v>
      </c>
      <c r="H3645">
        <v>26266</v>
      </c>
      <c r="I3645" t="s">
        <v>23</v>
      </c>
      <c r="J3645" t="s">
        <v>35</v>
      </c>
      <c r="K3645" s="2" t="s">
        <v>1309</v>
      </c>
      <c r="L3645" t="s">
        <v>26</v>
      </c>
      <c r="M3645">
        <v>336633</v>
      </c>
      <c r="N3645">
        <v>1</v>
      </c>
      <c r="O3645" s="3">
        <v>79950</v>
      </c>
      <c r="P3645" s="3">
        <v>25300</v>
      </c>
      <c r="Q3645" s="5">
        <f t="shared" si="168"/>
        <v>67184.873949579836</v>
      </c>
      <c r="R3645" s="5">
        <f t="shared" si="169"/>
        <v>25300</v>
      </c>
      <c r="S3645" s="5">
        <f t="shared" si="170"/>
        <v>41884.873949579836</v>
      </c>
    </row>
    <row r="3646" spans="1:19" hidden="1" x14ac:dyDescent="0.3">
      <c r="A3646">
        <v>170</v>
      </c>
      <c r="B3646" t="s">
        <v>4809</v>
      </c>
      <c r="C3646" t="s">
        <v>5192</v>
      </c>
      <c r="D3646" s="2" t="s">
        <v>5193</v>
      </c>
      <c r="E3646" t="s">
        <v>5194</v>
      </c>
      <c r="F3646" t="s">
        <v>377</v>
      </c>
      <c r="G3646" t="s">
        <v>21</v>
      </c>
      <c r="H3646" t="s">
        <v>378</v>
      </c>
      <c r="I3646" t="s">
        <v>23</v>
      </c>
      <c r="J3646" t="s">
        <v>2620</v>
      </c>
      <c r="K3646" s="2" t="s">
        <v>1365</v>
      </c>
      <c r="L3646" t="s">
        <v>2249</v>
      </c>
      <c r="M3646">
        <v>25392</v>
      </c>
      <c r="N3646">
        <v>-1</v>
      </c>
      <c r="O3646" s="3">
        <v>-19950</v>
      </c>
      <c r="P3646" s="3">
        <v>6890</v>
      </c>
      <c r="Q3646" s="5">
        <f t="shared" si="168"/>
        <v>-16764.705882352941</v>
      </c>
      <c r="R3646" s="5">
        <f t="shared" si="169"/>
        <v>-6890</v>
      </c>
      <c r="S3646" s="5">
        <f t="shared" si="170"/>
        <v>-9874.7058823529405</v>
      </c>
    </row>
    <row r="3647" spans="1:19" hidden="1" x14ac:dyDescent="0.3">
      <c r="A3647">
        <v>170</v>
      </c>
      <c r="B3647" t="s">
        <v>4809</v>
      </c>
      <c r="C3647" t="s">
        <v>3647</v>
      </c>
      <c r="D3647" s="2" t="s">
        <v>3648</v>
      </c>
      <c r="E3647" t="s">
        <v>316</v>
      </c>
      <c r="F3647" t="s">
        <v>20</v>
      </c>
      <c r="G3647" t="s">
        <v>21</v>
      </c>
      <c r="H3647" t="s">
        <v>317</v>
      </c>
      <c r="I3647" t="s">
        <v>23</v>
      </c>
      <c r="J3647" t="s">
        <v>35</v>
      </c>
      <c r="K3647" s="2" t="s">
        <v>1365</v>
      </c>
      <c r="L3647" t="s">
        <v>26</v>
      </c>
      <c r="M3647">
        <v>336634</v>
      </c>
      <c r="N3647">
        <v>1</v>
      </c>
      <c r="O3647" s="3">
        <v>69950</v>
      </c>
      <c r="P3647" s="3">
        <v>24893</v>
      </c>
      <c r="Q3647" s="5">
        <f t="shared" si="168"/>
        <v>58781.512605042022</v>
      </c>
      <c r="R3647" s="5">
        <f t="shared" si="169"/>
        <v>24893</v>
      </c>
      <c r="S3647" s="5">
        <f t="shared" si="170"/>
        <v>33888.512605042022</v>
      </c>
    </row>
    <row r="3648" spans="1:19" hidden="1" x14ac:dyDescent="0.3">
      <c r="A3648">
        <v>170</v>
      </c>
      <c r="B3648" t="s">
        <v>4809</v>
      </c>
      <c r="C3648" t="s">
        <v>3727</v>
      </c>
      <c r="D3648" s="2" t="s">
        <v>3728</v>
      </c>
      <c r="E3648" t="s">
        <v>3729</v>
      </c>
      <c r="F3648" t="s">
        <v>20</v>
      </c>
      <c r="G3648" t="s">
        <v>21</v>
      </c>
      <c r="H3648" t="s">
        <v>272</v>
      </c>
      <c r="I3648" t="s">
        <v>23</v>
      </c>
      <c r="J3648" t="s">
        <v>35</v>
      </c>
      <c r="K3648" s="2" t="s">
        <v>1365</v>
      </c>
      <c r="L3648" t="s">
        <v>26</v>
      </c>
      <c r="M3648">
        <v>336635</v>
      </c>
      <c r="N3648">
        <v>1</v>
      </c>
      <c r="O3648" s="3">
        <v>67950</v>
      </c>
      <c r="P3648" s="3">
        <v>28172</v>
      </c>
      <c r="Q3648" s="5">
        <f t="shared" si="168"/>
        <v>57100.840336134454</v>
      </c>
      <c r="R3648" s="5">
        <f t="shared" si="169"/>
        <v>28172</v>
      </c>
      <c r="S3648" s="5">
        <f t="shared" si="170"/>
        <v>28928.840336134454</v>
      </c>
    </row>
    <row r="3649" spans="1:19" hidden="1" x14ac:dyDescent="0.3">
      <c r="A3649">
        <v>170</v>
      </c>
      <c r="B3649" t="s">
        <v>4809</v>
      </c>
      <c r="C3649" t="s">
        <v>1200</v>
      </c>
      <c r="D3649" s="2" t="s">
        <v>1201</v>
      </c>
      <c r="E3649" t="s">
        <v>938</v>
      </c>
      <c r="F3649" t="s">
        <v>20</v>
      </c>
      <c r="G3649" t="s">
        <v>21</v>
      </c>
      <c r="H3649" t="s">
        <v>317</v>
      </c>
      <c r="I3649" t="s">
        <v>23</v>
      </c>
      <c r="J3649" t="s">
        <v>35</v>
      </c>
      <c r="K3649" s="2" t="s">
        <v>1365</v>
      </c>
      <c r="L3649" t="s">
        <v>26</v>
      </c>
      <c r="M3649">
        <v>336635</v>
      </c>
      <c r="N3649">
        <v>1</v>
      </c>
      <c r="O3649" s="3">
        <v>69950</v>
      </c>
      <c r="P3649" s="3">
        <v>26288</v>
      </c>
      <c r="Q3649" s="5">
        <f t="shared" si="168"/>
        <v>58781.512605042022</v>
      </c>
      <c r="R3649" s="5">
        <f t="shared" si="169"/>
        <v>26288</v>
      </c>
      <c r="S3649" s="5">
        <f t="shared" si="170"/>
        <v>32493.512605042022</v>
      </c>
    </row>
    <row r="3650" spans="1:19" hidden="1" x14ac:dyDescent="0.3">
      <c r="A3650">
        <v>170</v>
      </c>
      <c r="B3650" t="s">
        <v>4809</v>
      </c>
      <c r="C3650" t="s">
        <v>1169</v>
      </c>
      <c r="D3650" s="2" t="s">
        <v>1170</v>
      </c>
      <c r="E3650" t="s">
        <v>1171</v>
      </c>
      <c r="F3650" t="s">
        <v>20</v>
      </c>
      <c r="G3650" t="s">
        <v>21</v>
      </c>
      <c r="H3650" t="s">
        <v>500</v>
      </c>
      <c r="I3650" t="s">
        <v>23</v>
      </c>
      <c r="J3650" t="s">
        <v>40</v>
      </c>
      <c r="K3650" s="2" t="s">
        <v>1365</v>
      </c>
      <c r="L3650" t="s">
        <v>26</v>
      </c>
      <c r="M3650">
        <v>336636</v>
      </c>
      <c r="N3650">
        <v>1</v>
      </c>
      <c r="O3650" s="3">
        <v>59950</v>
      </c>
      <c r="P3650" s="3">
        <v>17416</v>
      </c>
      <c r="Q3650" s="5">
        <f t="shared" si="168"/>
        <v>50378.151260504201</v>
      </c>
      <c r="R3650" s="5">
        <f t="shared" si="169"/>
        <v>17416</v>
      </c>
      <c r="S3650" s="5">
        <f t="shared" si="170"/>
        <v>32962.151260504201</v>
      </c>
    </row>
    <row r="3651" spans="1:19" hidden="1" x14ac:dyDescent="0.3">
      <c r="A3651">
        <v>170</v>
      </c>
      <c r="B3651" t="s">
        <v>4809</v>
      </c>
      <c r="C3651" t="s">
        <v>5195</v>
      </c>
      <c r="D3651" s="2" t="s">
        <v>5196</v>
      </c>
      <c r="E3651" t="s">
        <v>3268</v>
      </c>
      <c r="F3651" t="s">
        <v>20</v>
      </c>
      <c r="G3651" t="s">
        <v>21</v>
      </c>
      <c r="H3651" t="s">
        <v>2189</v>
      </c>
      <c r="I3651" t="s">
        <v>23</v>
      </c>
      <c r="J3651" t="s">
        <v>40</v>
      </c>
      <c r="K3651" s="2" t="s">
        <v>1365</v>
      </c>
      <c r="L3651" t="s">
        <v>26</v>
      </c>
      <c r="M3651">
        <v>336637</v>
      </c>
      <c r="N3651">
        <v>1</v>
      </c>
      <c r="O3651" s="3">
        <v>74950</v>
      </c>
      <c r="P3651" s="3">
        <v>27727</v>
      </c>
      <c r="Q3651" s="5">
        <f t="shared" si="168"/>
        <v>62983.193277310929</v>
      </c>
      <c r="R3651" s="5">
        <f t="shared" si="169"/>
        <v>27727</v>
      </c>
      <c r="S3651" s="5">
        <f t="shared" si="170"/>
        <v>35256.193277310929</v>
      </c>
    </row>
    <row r="3652" spans="1:19" hidden="1" x14ac:dyDescent="0.3">
      <c r="A3652">
        <v>170</v>
      </c>
      <c r="B3652" t="s">
        <v>4809</v>
      </c>
      <c r="C3652" t="s">
        <v>5197</v>
      </c>
      <c r="D3652" s="2" t="s">
        <v>5198</v>
      </c>
      <c r="E3652" t="s">
        <v>3323</v>
      </c>
      <c r="F3652" t="s">
        <v>20</v>
      </c>
      <c r="G3652" t="s">
        <v>21</v>
      </c>
      <c r="H3652" t="s">
        <v>625</v>
      </c>
      <c r="I3652" t="s">
        <v>23</v>
      </c>
      <c r="J3652" t="s">
        <v>35</v>
      </c>
      <c r="K3652" s="2" t="s">
        <v>1365</v>
      </c>
      <c r="L3652" t="s">
        <v>26</v>
      </c>
      <c r="M3652">
        <v>336638</v>
      </c>
      <c r="N3652">
        <v>1</v>
      </c>
      <c r="O3652" s="3">
        <v>69950</v>
      </c>
      <c r="P3652" s="3">
        <v>24956</v>
      </c>
      <c r="Q3652" s="5">
        <f t="shared" si="168"/>
        <v>58781.512605042022</v>
      </c>
      <c r="R3652" s="5">
        <f t="shared" si="169"/>
        <v>24956</v>
      </c>
      <c r="S3652" s="5">
        <f t="shared" si="170"/>
        <v>33825.512605042022</v>
      </c>
    </row>
    <row r="3653" spans="1:19" hidden="1" x14ac:dyDescent="0.3">
      <c r="A3653">
        <v>170</v>
      </c>
      <c r="B3653" t="s">
        <v>4809</v>
      </c>
      <c r="C3653" t="s">
        <v>3298</v>
      </c>
      <c r="D3653" s="2" t="s">
        <v>3299</v>
      </c>
      <c r="E3653" t="s">
        <v>2185</v>
      </c>
      <c r="F3653" t="s">
        <v>20</v>
      </c>
      <c r="G3653" t="s">
        <v>21</v>
      </c>
      <c r="H3653" t="s">
        <v>614</v>
      </c>
      <c r="I3653" t="s">
        <v>23</v>
      </c>
      <c r="J3653" t="s">
        <v>40</v>
      </c>
      <c r="K3653" s="2" t="s">
        <v>1365</v>
      </c>
      <c r="L3653" t="s">
        <v>26</v>
      </c>
      <c r="M3653">
        <v>336639</v>
      </c>
      <c r="N3653">
        <v>1</v>
      </c>
      <c r="O3653" s="3">
        <v>54950</v>
      </c>
      <c r="P3653" s="3">
        <v>17386</v>
      </c>
      <c r="Q3653" s="5">
        <f t="shared" si="168"/>
        <v>46176.470588235294</v>
      </c>
      <c r="R3653" s="5">
        <f t="shared" si="169"/>
        <v>17386</v>
      </c>
      <c r="S3653" s="5">
        <f t="shared" si="170"/>
        <v>28790.470588235294</v>
      </c>
    </row>
    <row r="3654" spans="1:19" hidden="1" x14ac:dyDescent="0.3">
      <c r="A3654">
        <v>170</v>
      </c>
      <c r="B3654" t="s">
        <v>4809</v>
      </c>
      <c r="C3654" t="s">
        <v>3396</v>
      </c>
      <c r="D3654" s="2" t="s">
        <v>3397</v>
      </c>
      <c r="E3654" t="s">
        <v>494</v>
      </c>
      <c r="F3654" t="s">
        <v>20</v>
      </c>
      <c r="G3654" t="s">
        <v>21</v>
      </c>
      <c r="H3654" t="s">
        <v>317</v>
      </c>
      <c r="I3654" t="s">
        <v>23</v>
      </c>
      <c r="J3654" t="s">
        <v>35</v>
      </c>
      <c r="K3654" s="2" t="s">
        <v>1365</v>
      </c>
      <c r="L3654" t="s">
        <v>26</v>
      </c>
      <c r="M3654">
        <v>336640</v>
      </c>
      <c r="N3654">
        <v>1</v>
      </c>
      <c r="O3654" s="3">
        <v>69950</v>
      </c>
      <c r="P3654" s="3">
        <v>23619</v>
      </c>
      <c r="Q3654" s="5">
        <f t="shared" ref="Q3654:Q3717" si="171">O3654/1.19</f>
        <v>58781.512605042022</v>
      </c>
      <c r="R3654" s="5">
        <f t="shared" ref="R3654:R3717" si="172">N3654*P3654</f>
        <v>23619</v>
      </c>
      <c r="S3654" s="5">
        <f t="shared" ref="S3654:S3717" si="173">Q3654-R3654</f>
        <v>35162.512605042022</v>
      </c>
    </row>
    <row r="3655" spans="1:19" hidden="1" x14ac:dyDescent="0.3">
      <c r="A3655">
        <v>170</v>
      </c>
      <c r="B3655" t="s">
        <v>4809</v>
      </c>
      <c r="C3655" t="s">
        <v>2575</v>
      </c>
      <c r="D3655" s="2" t="s">
        <v>2576</v>
      </c>
      <c r="E3655" t="s">
        <v>2577</v>
      </c>
      <c r="F3655" t="s">
        <v>377</v>
      </c>
      <c r="G3655" t="s">
        <v>21</v>
      </c>
      <c r="H3655" t="s">
        <v>378</v>
      </c>
      <c r="I3655" t="s">
        <v>23</v>
      </c>
      <c r="J3655" t="s">
        <v>379</v>
      </c>
      <c r="K3655" s="2" t="s">
        <v>1365</v>
      </c>
      <c r="L3655" t="s">
        <v>26</v>
      </c>
      <c r="M3655">
        <v>336640</v>
      </c>
      <c r="N3655">
        <v>1</v>
      </c>
      <c r="O3655" s="3">
        <v>5950</v>
      </c>
      <c r="P3655" s="3">
        <v>3307</v>
      </c>
      <c r="Q3655" s="5">
        <f t="shared" si="171"/>
        <v>5000</v>
      </c>
      <c r="R3655" s="5">
        <f t="shared" si="172"/>
        <v>3307</v>
      </c>
      <c r="S3655" s="5">
        <f t="shared" si="173"/>
        <v>1693</v>
      </c>
    </row>
    <row r="3656" spans="1:19" hidden="1" x14ac:dyDescent="0.3">
      <c r="A3656">
        <v>170</v>
      </c>
      <c r="B3656" t="s">
        <v>4809</v>
      </c>
      <c r="C3656" t="s">
        <v>5199</v>
      </c>
      <c r="D3656" s="2" t="s">
        <v>5200</v>
      </c>
      <c r="E3656" t="s">
        <v>4109</v>
      </c>
      <c r="F3656" t="s">
        <v>20</v>
      </c>
      <c r="G3656" t="s">
        <v>21</v>
      </c>
      <c r="H3656" t="s">
        <v>818</v>
      </c>
      <c r="I3656" t="s">
        <v>23</v>
      </c>
      <c r="J3656" t="s">
        <v>35</v>
      </c>
      <c r="K3656" s="2" t="s">
        <v>1365</v>
      </c>
      <c r="L3656" t="s">
        <v>26</v>
      </c>
      <c r="M3656">
        <v>336641</v>
      </c>
      <c r="N3656">
        <v>1</v>
      </c>
      <c r="O3656" s="3">
        <v>89950</v>
      </c>
      <c r="P3656" s="3">
        <v>32745</v>
      </c>
      <c r="Q3656" s="5">
        <f t="shared" si="171"/>
        <v>75588.23529411765</v>
      </c>
      <c r="R3656" s="5">
        <f t="shared" si="172"/>
        <v>32745</v>
      </c>
      <c r="S3656" s="5">
        <f t="shared" si="173"/>
        <v>42843.23529411765</v>
      </c>
    </row>
    <row r="3657" spans="1:19" hidden="1" x14ac:dyDescent="0.3">
      <c r="A3657">
        <v>170</v>
      </c>
      <c r="B3657" t="s">
        <v>4809</v>
      </c>
      <c r="C3657" t="s">
        <v>5201</v>
      </c>
      <c r="D3657" s="2" t="s">
        <v>5202</v>
      </c>
      <c r="E3657" t="s">
        <v>2658</v>
      </c>
      <c r="F3657" t="s">
        <v>20</v>
      </c>
      <c r="G3657" t="s">
        <v>21</v>
      </c>
      <c r="H3657" t="s">
        <v>500</v>
      </c>
      <c r="I3657" t="s">
        <v>23</v>
      </c>
      <c r="J3657" t="s">
        <v>40</v>
      </c>
      <c r="K3657" s="2" t="s">
        <v>1365</v>
      </c>
      <c r="L3657" t="s">
        <v>26</v>
      </c>
      <c r="M3657">
        <v>336642</v>
      </c>
      <c r="N3657">
        <v>1</v>
      </c>
      <c r="O3657" s="3">
        <v>59950</v>
      </c>
      <c r="P3657" s="3">
        <v>16978</v>
      </c>
      <c r="Q3657" s="5">
        <f t="shared" si="171"/>
        <v>50378.151260504201</v>
      </c>
      <c r="R3657" s="5">
        <f t="shared" si="172"/>
        <v>16978</v>
      </c>
      <c r="S3657" s="5">
        <f t="shared" si="173"/>
        <v>33400.151260504201</v>
      </c>
    </row>
    <row r="3658" spans="1:19" hidden="1" x14ac:dyDescent="0.3">
      <c r="A3658">
        <v>170</v>
      </c>
      <c r="B3658" t="s">
        <v>4809</v>
      </c>
      <c r="C3658" t="s">
        <v>3396</v>
      </c>
      <c r="D3658" s="2" t="s">
        <v>3397</v>
      </c>
      <c r="E3658" t="s">
        <v>494</v>
      </c>
      <c r="F3658" t="s">
        <v>20</v>
      </c>
      <c r="G3658" t="s">
        <v>21</v>
      </c>
      <c r="H3658" t="s">
        <v>317</v>
      </c>
      <c r="I3658" t="s">
        <v>23</v>
      </c>
      <c r="J3658" t="s">
        <v>35</v>
      </c>
      <c r="K3658" s="2" t="s">
        <v>1365</v>
      </c>
      <c r="L3658" t="s">
        <v>26</v>
      </c>
      <c r="M3658">
        <v>336643</v>
      </c>
      <c r="N3658">
        <v>1</v>
      </c>
      <c r="O3658" s="3">
        <v>69950</v>
      </c>
      <c r="P3658" s="3">
        <v>23619</v>
      </c>
      <c r="Q3658" s="5">
        <f t="shared" si="171"/>
        <v>58781.512605042022</v>
      </c>
      <c r="R3658" s="5">
        <f t="shared" si="172"/>
        <v>23619</v>
      </c>
      <c r="S3658" s="5">
        <f t="shared" si="173"/>
        <v>35162.512605042022</v>
      </c>
    </row>
    <row r="3659" spans="1:19" hidden="1" x14ac:dyDescent="0.3">
      <c r="A3659">
        <v>170</v>
      </c>
      <c r="B3659" t="s">
        <v>4809</v>
      </c>
      <c r="C3659" t="s">
        <v>3009</v>
      </c>
      <c r="D3659" s="2" t="s">
        <v>3010</v>
      </c>
      <c r="E3659" t="s">
        <v>2208</v>
      </c>
      <c r="F3659" t="s">
        <v>20</v>
      </c>
      <c r="G3659" t="s">
        <v>338</v>
      </c>
      <c r="H3659">
        <v>25823</v>
      </c>
      <c r="I3659" t="s">
        <v>23</v>
      </c>
      <c r="J3659" t="s">
        <v>35</v>
      </c>
      <c r="K3659" s="2" t="s">
        <v>1365</v>
      </c>
      <c r="L3659" t="s">
        <v>26</v>
      </c>
      <c r="M3659">
        <v>336644</v>
      </c>
      <c r="N3659">
        <v>1</v>
      </c>
      <c r="O3659" s="3">
        <v>99950</v>
      </c>
      <c r="P3659" s="3">
        <v>33748</v>
      </c>
      <c r="Q3659" s="5">
        <f t="shared" si="171"/>
        <v>83991.596638655465</v>
      </c>
      <c r="R3659" s="5">
        <f t="shared" si="172"/>
        <v>33748</v>
      </c>
      <c r="S3659" s="5">
        <f t="shared" si="173"/>
        <v>50243.596638655465</v>
      </c>
    </row>
    <row r="3660" spans="1:19" hidden="1" x14ac:dyDescent="0.3">
      <c r="A3660">
        <v>170</v>
      </c>
      <c r="B3660" t="s">
        <v>4809</v>
      </c>
      <c r="C3660" t="s">
        <v>3161</v>
      </c>
      <c r="D3660" s="2" t="s">
        <v>3162</v>
      </c>
      <c r="E3660" t="s">
        <v>2996</v>
      </c>
      <c r="F3660" t="s">
        <v>20</v>
      </c>
      <c r="G3660" t="s">
        <v>338</v>
      </c>
      <c r="H3660">
        <v>25823</v>
      </c>
      <c r="I3660" t="s">
        <v>23</v>
      </c>
      <c r="J3660" t="s">
        <v>35</v>
      </c>
      <c r="K3660" s="2" t="s">
        <v>1365</v>
      </c>
      <c r="L3660" t="s">
        <v>26</v>
      </c>
      <c r="M3660">
        <v>336644</v>
      </c>
      <c r="N3660">
        <v>1</v>
      </c>
      <c r="O3660" s="3">
        <v>99950</v>
      </c>
      <c r="P3660" s="3">
        <v>33748</v>
      </c>
      <c r="Q3660" s="5">
        <f t="shared" si="171"/>
        <v>83991.596638655465</v>
      </c>
      <c r="R3660" s="5">
        <f t="shared" si="172"/>
        <v>33748</v>
      </c>
      <c r="S3660" s="5">
        <f t="shared" si="173"/>
        <v>50243.596638655465</v>
      </c>
    </row>
    <row r="3661" spans="1:19" hidden="1" x14ac:dyDescent="0.3">
      <c r="A3661">
        <v>170</v>
      </c>
      <c r="B3661" t="s">
        <v>4809</v>
      </c>
      <c r="C3661" t="s">
        <v>5203</v>
      </c>
      <c r="D3661" s="2" t="s">
        <v>5204</v>
      </c>
      <c r="E3661" t="s">
        <v>5205</v>
      </c>
      <c r="F3661" t="s">
        <v>20</v>
      </c>
      <c r="G3661" t="s">
        <v>21</v>
      </c>
      <c r="H3661" t="s">
        <v>5206</v>
      </c>
      <c r="I3661" t="s">
        <v>23</v>
      </c>
      <c r="J3661" t="s">
        <v>35</v>
      </c>
      <c r="K3661" s="2" t="s">
        <v>1365</v>
      </c>
      <c r="L3661" t="s">
        <v>26</v>
      </c>
      <c r="M3661">
        <v>336645</v>
      </c>
      <c r="N3661">
        <v>1</v>
      </c>
      <c r="O3661" s="3">
        <v>89950</v>
      </c>
      <c r="P3661" s="3">
        <v>36230</v>
      </c>
      <c r="Q3661" s="5">
        <f t="shared" si="171"/>
        <v>75588.23529411765</v>
      </c>
      <c r="R3661" s="5">
        <f t="shared" si="172"/>
        <v>36230</v>
      </c>
      <c r="S3661" s="5">
        <f t="shared" si="173"/>
        <v>39358.23529411765</v>
      </c>
    </row>
    <row r="3662" spans="1:19" hidden="1" x14ac:dyDescent="0.3">
      <c r="A3662">
        <v>170</v>
      </c>
      <c r="B3662" t="s">
        <v>4809</v>
      </c>
      <c r="C3662" t="s">
        <v>2599</v>
      </c>
      <c r="D3662" s="2" t="s">
        <v>2600</v>
      </c>
      <c r="E3662" t="s">
        <v>2601</v>
      </c>
      <c r="F3662" t="s">
        <v>20</v>
      </c>
      <c r="G3662" t="s">
        <v>21</v>
      </c>
      <c r="H3662" t="s">
        <v>783</v>
      </c>
      <c r="I3662" t="s">
        <v>23</v>
      </c>
      <c r="J3662" t="s">
        <v>40</v>
      </c>
      <c r="K3662" s="2" t="s">
        <v>1365</v>
      </c>
      <c r="L3662" t="s">
        <v>26</v>
      </c>
      <c r="M3662">
        <v>336646</v>
      </c>
      <c r="N3662">
        <v>1</v>
      </c>
      <c r="O3662" s="3">
        <v>54950</v>
      </c>
      <c r="P3662" s="3">
        <v>19451</v>
      </c>
      <c r="Q3662" s="5">
        <f t="shared" si="171"/>
        <v>46176.470588235294</v>
      </c>
      <c r="R3662" s="5">
        <f t="shared" si="172"/>
        <v>19451</v>
      </c>
      <c r="S3662" s="5">
        <f t="shared" si="173"/>
        <v>26725.470588235294</v>
      </c>
    </row>
    <row r="3663" spans="1:19" hidden="1" x14ac:dyDescent="0.3">
      <c r="A3663">
        <v>170</v>
      </c>
      <c r="B3663" t="s">
        <v>4809</v>
      </c>
      <c r="C3663" t="s">
        <v>2973</v>
      </c>
      <c r="D3663" s="2" t="s">
        <v>2974</v>
      </c>
      <c r="E3663" t="s">
        <v>1886</v>
      </c>
      <c r="F3663" t="s">
        <v>20</v>
      </c>
      <c r="G3663" t="s">
        <v>21</v>
      </c>
      <c r="H3663" t="s">
        <v>1887</v>
      </c>
      <c r="I3663" t="s">
        <v>23</v>
      </c>
      <c r="J3663" t="s">
        <v>40</v>
      </c>
      <c r="K3663" s="2" t="s">
        <v>1365</v>
      </c>
      <c r="L3663" t="s">
        <v>26</v>
      </c>
      <c r="M3663">
        <v>336647</v>
      </c>
      <c r="N3663">
        <v>1</v>
      </c>
      <c r="O3663" s="3">
        <v>69950</v>
      </c>
      <c r="P3663" s="3">
        <v>21623</v>
      </c>
      <c r="Q3663" s="5">
        <f t="shared" si="171"/>
        <v>58781.512605042022</v>
      </c>
      <c r="R3663" s="5">
        <f t="shared" si="172"/>
        <v>21623</v>
      </c>
      <c r="S3663" s="5">
        <f t="shared" si="173"/>
        <v>37158.512605042022</v>
      </c>
    </row>
    <row r="3664" spans="1:19" hidden="1" x14ac:dyDescent="0.3">
      <c r="A3664">
        <v>170</v>
      </c>
      <c r="B3664" t="s">
        <v>4809</v>
      </c>
      <c r="C3664" t="s">
        <v>2793</v>
      </c>
      <c r="D3664" s="2" t="s">
        <v>2794</v>
      </c>
      <c r="E3664" t="s">
        <v>2795</v>
      </c>
      <c r="F3664" t="s">
        <v>20</v>
      </c>
      <c r="G3664" t="s">
        <v>21</v>
      </c>
      <c r="H3664" t="s">
        <v>57</v>
      </c>
      <c r="I3664" t="s">
        <v>23</v>
      </c>
      <c r="J3664" t="s">
        <v>35</v>
      </c>
      <c r="K3664" s="2" t="s">
        <v>1365</v>
      </c>
      <c r="L3664" t="s">
        <v>26</v>
      </c>
      <c r="M3664">
        <v>336648</v>
      </c>
      <c r="N3664">
        <v>1</v>
      </c>
      <c r="O3664" s="3">
        <v>76450</v>
      </c>
      <c r="P3664" s="3">
        <v>31631</v>
      </c>
      <c r="Q3664" s="5">
        <f t="shared" si="171"/>
        <v>64243.697478991598</v>
      </c>
      <c r="R3664" s="5">
        <f t="shared" si="172"/>
        <v>31631</v>
      </c>
      <c r="S3664" s="5">
        <f t="shared" si="173"/>
        <v>32612.697478991598</v>
      </c>
    </row>
    <row r="3665" spans="1:19" hidden="1" x14ac:dyDescent="0.3">
      <c r="A3665">
        <v>170</v>
      </c>
      <c r="B3665" t="s">
        <v>4809</v>
      </c>
      <c r="C3665" t="s">
        <v>2716</v>
      </c>
      <c r="D3665" s="2" t="s">
        <v>2717</v>
      </c>
      <c r="E3665" t="s">
        <v>2718</v>
      </c>
      <c r="F3665" t="s">
        <v>20</v>
      </c>
      <c r="G3665" t="s">
        <v>21</v>
      </c>
      <c r="H3665" t="s">
        <v>1887</v>
      </c>
      <c r="I3665" t="s">
        <v>23</v>
      </c>
      <c r="J3665" t="s">
        <v>40</v>
      </c>
      <c r="K3665" s="2" t="s">
        <v>1365</v>
      </c>
      <c r="L3665" t="s">
        <v>26</v>
      </c>
      <c r="M3665">
        <v>336649</v>
      </c>
      <c r="N3665">
        <v>1</v>
      </c>
      <c r="O3665" s="3">
        <v>59450</v>
      </c>
      <c r="P3665" s="3">
        <v>22018</v>
      </c>
      <c r="Q3665" s="5">
        <f t="shared" si="171"/>
        <v>49957.983193277316</v>
      </c>
      <c r="R3665" s="5">
        <f t="shared" si="172"/>
        <v>22018</v>
      </c>
      <c r="S3665" s="5">
        <f t="shared" si="173"/>
        <v>27939.983193277316</v>
      </c>
    </row>
    <row r="3666" spans="1:19" hidden="1" x14ac:dyDescent="0.3">
      <c r="A3666">
        <v>170</v>
      </c>
      <c r="B3666" t="s">
        <v>4809</v>
      </c>
      <c r="C3666" t="s">
        <v>2319</v>
      </c>
      <c r="D3666" s="2" t="s">
        <v>2320</v>
      </c>
      <c r="E3666" t="s">
        <v>954</v>
      </c>
      <c r="F3666" t="s">
        <v>20</v>
      </c>
      <c r="G3666" t="s">
        <v>21</v>
      </c>
      <c r="H3666" t="s">
        <v>557</v>
      </c>
      <c r="I3666" t="s">
        <v>23</v>
      </c>
      <c r="J3666" t="s">
        <v>40</v>
      </c>
      <c r="K3666" s="2" t="s">
        <v>1365</v>
      </c>
      <c r="L3666" t="s">
        <v>26</v>
      </c>
      <c r="M3666">
        <v>336650</v>
      </c>
      <c r="N3666">
        <v>1</v>
      </c>
      <c r="O3666" s="3">
        <v>79950</v>
      </c>
      <c r="P3666" s="3">
        <v>26791</v>
      </c>
      <c r="Q3666" s="5">
        <f t="shared" si="171"/>
        <v>67184.873949579836</v>
      </c>
      <c r="R3666" s="5">
        <f t="shared" si="172"/>
        <v>26791</v>
      </c>
      <c r="S3666" s="5">
        <f t="shared" si="173"/>
        <v>40393.873949579836</v>
      </c>
    </row>
    <row r="3667" spans="1:19" hidden="1" x14ac:dyDescent="0.3">
      <c r="A3667">
        <v>170</v>
      </c>
      <c r="B3667" t="s">
        <v>4809</v>
      </c>
      <c r="C3667" t="s">
        <v>5207</v>
      </c>
      <c r="D3667" s="2" t="s">
        <v>5208</v>
      </c>
      <c r="E3667" t="s">
        <v>1177</v>
      </c>
      <c r="F3667" t="s">
        <v>20</v>
      </c>
      <c r="G3667" t="s">
        <v>338</v>
      </c>
      <c r="H3667">
        <v>23724</v>
      </c>
      <c r="I3667" t="s">
        <v>23</v>
      </c>
      <c r="J3667" t="s">
        <v>40</v>
      </c>
      <c r="K3667" s="2" t="s">
        <v>1365</v>
      </c>
      <c r="L3667" t="s">
        <v>26</v>
      </c>
      <c r="M3667">
        <v>336651</v>
      </c>
      <c r="N3667">
        <v>1</v>
      </c>
      <c r="O3667" s="3">
        <v>79950</v>
      </c>
      <c r="P3667" s="3">
        <v>26083</v>
      </c>
      <c r="Q3667" s="5">
        <f t="shared" si="171"/>
        <v>67184.873949579836</v>
      </c>
      <c r="R3667" s="5">
        <f t="shared" si="172"/>
        <v>26083</v>
      </c>
      <c r="S3667" s="5">
        <f t="shared" si="173"/>
        <v>41101.873949579836</v>
      </c>
    </row>
    <row r="3668" spans="1:19" hidden="1" x14ac:dyDescent="0.3">
      <c r="A3668">
        <v>170</v>
      </c>
      <c r="B3668" t="s">
        <v>4809</v>
      </c>
      <c r="C3668" t="s">
        <v>5209</v>
      </c>
      <c r="D3668" s="2" t="s">
        <v>5210</v>
      </c>
      <c r="E3668" t="s">
        <v>1177</v>
      </c>
      <c r="F3668" t="s">
        <v>20</v>
      </c>
      <c r="G3668" t="s">
        <v>338</v>
      </c>
      <c r="H3668">
        <v>23724</v>
      </c>
      <c r="I3668" t="s">
        <v>23</v>
      </c>
      <c r="J3668" t="s">
        <v>40</v>
      </c>
      <c r="K3668" s="2" t="s">
        <v>1365</v>
      </c>
      <c r="L3668" t="s">
        <v>26</v>
      </c>
      <c r="M3668">
        <v>336652</v>
      </c>
      <c r="N3668">
        <v>1</v>
      </c>
      <c r="O3668" s="3">
        <v>79950</v>
      </c>
      <c r="P3668" s="3">
        <v>26199</v>
      </c>
      <c r="Q3668" s="5">
        <f t="shared" si="171"/>
        <v>67184.873949579836</v>
      </c>
      <c r="R3668" s="5">
        <f t="shared" si="172"/>
        <v>26199</v>
      </c>
      <c r="S3668" s="5">
        <f t="shared" si="173"/>
        <v>40985.873949579836</v>
      </c>
    </row>
    <row r="3669" spans="1:19" hidden="1" x14ac:dyDescent="0.3">
      <c r="A3669">
        <v>170</v>
      </c>
      <c r="B3669" t="s">
        <v>4809</v>
      </c>
      <c r="C3669" t="s">
        <v>5211</v>
      </c>
      <c r="D3669" s="2" t="s">
        <v>5212</v>
      </c>
      <c r="E3669" t="s">
        <v>1446</v>
      </c>
      <c r="F3669" t="s">
        <v>20</v>
      </c>
      <c r="G3669" t="s">
        <v>338</v>
      </c>
      <c r="H3669">
        <v>25321</v>
      </c>
      <c r="I3669" t="s">
        <v>23</v>
      </c>
      <c r="J3669" t="s">
        <v>35</v>
      </c>
      <c r="K3669" s="2" t="s">
        <v>1365</v>
      </c>
      <c r="L3669" t="s">
        <v>26</v>
      </c>
      <c r="M3669">
        <v>336653</v>
      </c>
      <c r="N3669">
        <v>1</v>
      </c>
      <c r="O3669" s="3">
        <v>93450</v>
      </c>
      <c r="P3669" s="3">
        <v>33748</v>
      </c>
      <c r="Q3669" s="5">
        <f t="shared" si="171"/>
        <v>78529.411764705888</v>
      </c>
      <c r="R3669" s="5">
        <f t="shared" si="172"/>
        <v>33748</v>
      </c>
      <c r="S3669" s="5">
        <f t="shared" si="173"/>
        <v>44781.411764705888</v>
      </c>
    </row>
    <row r="3670" spans="1:19" hidden="1" x14ac:dyDescent="0.3">
      <c r="A3670">
        <v>170</v>
      </c>
      <c r="B3670" t="s">
        <v>4809</v>
      </c>
      <c r="C3670" t="s">
        <v>2746</v>
      </c>
      <c r="D3670" s="2" t="s">
        <v>2747</v>
      </c>
      <c r="E3670" t="s">
        <v>2748</v>
      </c>
      <c r="F3670" t="s">
        <v>20</v>
      </c>
      <c r="G3670" t="s">
        <v>338</v>
      </c>
      <c r="H3670">
        <v>26266</v>
      </c>
      <c r="I3670" t="s">
        <v>23</v>
      </c>
      <c r="J3670" t="s">
        <v>35</v>
      </c>
      <c r="K3670" s="2" t="s">
        <v>1365</v>
      </c>
      <c r="L3670" t="s">
        <v>26</v>
      </c>
      <c r="M3670">
        <v>336653</v>
      </c>
      <c r="N3670">
        <v>1</v>
      </c>
      <c r="O3670" s="3">
        <v>79950</v>
      </c>
      <c r="P3670" s="3">
        <v>25300</v>
      </c>
      <c r="Q3670" s="5">
        <f t="shared" si="171"/>
        <v>67184.873949579836</v>
      </c>
      <c r="R3670" s="5">
        <f t="shared" si="172"/>
        <v>25300</v>
      </c>
      <c r="S3670" s="5">
        <f t="shared" si="173"/>
        <v>41884.873949579836</v>
      </c>
    </row>
    <row r="3671" spans="1:19" hidden="1" x14ac:dyDescent="0.3">
      <c r="A3671">
        <v>170</v>
      </c>
      <c r="B3671" t="s">
        <v>4809</v>
      </c>
      <c r="C3671" t="s">
        <v>5213</v>
      </c>
      <c r="D3671" s="2" t="s">
        <v>5214</v>
      </c>
      <c r="E3671" t="s">
        <v>2284</v>
      </c>
      <c r="F3671" t="s">
        <v>20</v>
      </c>
      <c r="G3671" t="s">
        <v>21</v>
      </c>
      <c r="H3671" t="s">
        <v>247</v>
      </c>
      <c r="I3671" t="s">
        <v>23</v>
      </c>
      <c r="J3671" t="s">
        <v>40</v>
      </c>
      <c r="K3671" s="2" t="s">
        <v>1365</v>
      </c>
      <c r="L3671" t="s">
        <v>26</v>
      </c>
      <c r="M3671">
        <v>336654</v>
      </c>
      <c r="N3671">
        <v>1</v>
      </c>
      <c r="O3671" s="3">
        <v>59950</v>
      </c>
      <c r="P3671" s="3">
        <v>16541</v>
      </c>
      <c r="Q3671" s="5">
        <f t="shared" si="171"/>
        <v>50378.151260504201</v>
      </c>
      <c r="R3671" s="5">
        <f t="shared" si="172"/>
        <v>16541</v>
      </c>
      <c r="S3671" s="5">
        <f t="shared" si="173"/>
        <v>33837.151260504201</v>
      </c>
    </row>
    <row r="3672" spans="1:19" hidden="1" x14ac:dyDescent="0.3">
      <c r="A3672">
        <v>170</v>
      </c>
      <c r="B3672" t="s">
        <v>4809</v>
      </c>
      <c r="C3672" t="s">
        <v>3259</v>
      </c>
      <c r="D3672" s="2" t="s">
        <v>3260</v>
      </c>
      <c r="E3672" t="s">
        <v>3261</v>
      </c>
      <c r="F3672" t="s">
        <v>377</v>
      </c>
      <c r="G3672" t="s">
        <v>21</v>
      </c>
      <c r="H3672" t="s">
        <v>378</v>
      </c>
      <c r="I3672" t="s">
        <v>23</v>
      </c>
      <c r="J3672" t="s">
        <v>3262</v>
      </c>
      <c r="K3672" s="2" t="s">
        <v>1365</v>
      </c>
      <c r="L3672" t="s">
        <v>26</v>
      </c>
      <c r="M3672">
        <v>336655</v>
      </c>
      <c r="N3672">
        <v>1</v>
      </c>
      <c r="O3672" s="3">
        <v>24950</v>
      </c>
      <c r="P3672" s="3">
        <v>10900</v>
      </c>
      <c r="Q3672" s="5">
        <f t="shared" si="171"/>
        <v>20966.386554621851</v>
      </c>
      <c r="R3672" s="5">
        <f t="shared" si="172"/>
        <v>10900</v>
      </c>
      <c r="S3672" s="5">
        <f t="shared" si="173"/>
        <v>10066.386554621851</v>
      </c>
    </row>
    <row r="3673" spans="1:19" hidden="1" x14ac:dyDescent="0.3">
      <c r="A3673">
        <v>170</v>
      </c>
      <c r="B3673" t="s">
        <v>4809</v>
      </c>
      <c r="C3673" t="s">
        <v>2224</v>
      </c>
      <c r="D3673" s="2" t="s">
        <v>2225</v>
      </c>
      <c r="E3673" t="s">
        <v>2226</v>
      </c>
      <c r="F3673" t="s">
        <v>20</v>
      </c>
      <c r="G3673" t="s">
        <v>21</v>
      </c>
      <c r="H3673" t="s">
        <v>53</v>
      </c>
      <c r="I3673" t="s">
        <v>23</v>
      </c>
      <c r="J3673" t="s">
        <v>49</v>
      </c>
      <c r="K3673" s="2" t="s">
        <v>1365</v>
      </c>
      <c r="L3673" t="s">
        <v>26</v>
      </c>
      <c r="M3673">
        <v>336656</v>
      </c>
      <c r="N3673">
        <v>1</v>
      </c>
      <c r="O3673" s="3">
        <v>69950</v>
      </c>
      <c r="P3673" s="3">
        <v>20951</v>
      </c>
      <c r="Q3673" s="5">
        <f t="shared" si="171"/>
        <v>58781.512605042022</v>
      </c>
      <c r="R3673" s="5">
        <f t="shared" si="172"/>
        <v>20951</v>
      </c>
      <c r="S3673" s="5">
        <f t="shared" si="173"/>
        <v>37830.512605042022</v>
      </c>
    </row>
    <row r="3674" spans="1:19" hidden="1" x14ac:dyDescent="0.3">
      <c r="A3674">
        <v>170</v>
      </c>
      <c r="B3674" t="s">
        <v>4809</v>
      </c>
      <c r="C3674" t="s">
        <v>5192</v>
      </c>
      <c r="D3674" s="2" t="s">
        <v>5193</v>
      </c>
      <c r="E3674" t="s">
        <v>5194</v>
      </c>
      <c r="F3674" t="s">
        <v>377</v>
      </c>
      <c r="G3674" t="s">
        <v>21</v>
      </c>
      <c r="H3674" t="s">
        <v>378</v>
      </c>
      <c r="I3674" t="s">
        <v>23</v>
      </c>
      <c r="J3674" t="s">
        <v>2620</v>
      </c>
      <c r="K3674" s="2" t="s">
        <v>1365</v>
      </c>
      <c r="L3674" t="s">
        <v>26</v>
      </c>
      <c r="M3674">
        <v>336657</v>
      </c>
      <c r="N3674">
        <v>1</v>
      </c>
      <c r="O3674" s="3">
        <v>19950</v>
      </c>
      <c r="P3674" s="3">
        <v>6890</v>
      </c>
      <c r="Q3674" s="5">
        <f t="shared" si="171"/>
        <v>16764.705882352941</v>
      </c>
      <c r="R3674" s="5">
        <f t="shared" si="172"/>
        <v>6890</v>
      </c>
      <c r="S3674" s="5">
        <f t="shared" si="173"/>
        <v>9874.7058823529405</v>
      </c>
    </row>
    <row r="3675" spans="1:19" hidden="1" x14ac:dyDescent="0.3">
      <c r="A3675">
        <v>170</v>
      </c>
      <c r="B3675" t="s">
        <v>4809</v>
      </c>
      <c r="C3675" t="s">
        <v>5215</v>
      </c>
      <c r="D3675" s="2" t="s">
        <v>5216</v>
      </c>
      <c r="E3675" t="s">
        <v>2455</v>
      </c>
      <c r="F3675" t="s">
        <v>20</v>
      </c>
      <c r="G3675" t="s">
        <v>21</v>
      </c>
      <c r="H3675" t="s">
        <v>742</v>
      </c>
      <c r="I3675" t="s">
        <v>23</v>
      </c>
      <c r="J3675" t="s">
        <v>40</v>
      </c>
      <c r="K3675" s="2" t="s">
        <v>1365</v>
      </c>
      <c r="L3675" t="s">
        <v>26</v>
      </c>
      <c r="M3675">
        <v>336658</v>
      </c>
      <c r="N3675">
        <v>1</v>
      </c>
      <c r="O3675" s="3">
        <v>79950</v>
      </c>
      <c r="P3675" s="3">
        <v>28515</v>
      </c>
      <c r="Q3675" s="5">
        <f t="shared" si="171"/>
        <v>67184.873949579836</v>
      </c>
      <c r="R3675" s="5">
        <f t="shared" si="172"/>
        <v>28515</v>
      </c>
      <c r="S3675" s="5">
        <f t="shared" si="173"/>
        <v>38669.873949579836</v>
      </c>
    </row>
    <row r="3676" spans="1:19" hidden="1" x14ac:dyDescent="0.3">
      <c r="A3676">
        <v>170</v>
      </c>
      <c r="B3676" t="s">
        <v>4809</v>
      </c>
      <c r="C3676" t="s">
        <v>5217</v>
      </c>
      <c r="D3676" s="2" t="s">
        <v>5218</v>
      </c>
      <c r="E3676" t="s">
        <v>1120</v>
      </c>
      <c r="F3676" t="s">
        <v>20</v>
      </c>
      <c r="G3676" t="s">
        <v>21</v>
      </c>
      <c r="H3676" t="s">
        <v>285</v>
      </c>
      <c r="I3676" t="s">
        <v>23</v>
      </c>
      <c r="J3676" t="s">
        <v>49</v>
      </c>
      <c r="K3676" s="2" t="s">
        <v>1450</v>
      </c>
      <c r="L3676" t="s">
        <v>26</v>
      </c>
      <c r="M3676">
        <v>336659</v>
      </c>
      <c r="N3676">
        <v>1</v>
      </c>
      <c r="O3676" s="3">
        <v>59990</v>
      </c>
      <c r="P3676" s="3">
        <v>27802</v>
      </c>
      <c r="Q3676" s="5">
        <f t="shared" si="171"/>
        <v>50411.764705882357</v>
      </c>
      <c r="R3676" s="5">
        <f t="shared" si="172"/>
        <v>27802</v>
      </c>
      <c r="S3676" s="5">
        <f t="shared" si="173"/>
        <v>22609.764705882357</v>
      </c>
    </row>
    <row r="3677" spans="1:19" hidden="1" x14ac:dyDescent="0.3">
      <c r="A3677">
        <v>170</v>
      </c>
      <c r="B3677" t="s">
        <v>4809</v>
      </c>
      <c r="C3677" t="s">
        <v>3220</v>
      </c>
      <c r="D3677" s="2" t="s">
        <v>3221</v>
      </c>
      <c r="E3677" t="s">
        <v>2661</v>
      </c>
      <c r="F3677" t="s">
        <v>20</v>
      </c>
      <c r="G3677" t="s">
        <v>21</v>
      </c>
      <c r="H3677" t="s">
        <v>317</v>
      </c>
      <c r="I3677" t="s">
        <v>23</v>
      </c>
      <c r="J3677" t="s">
        <v>35</v>
      </c>
      <c r="K3677" s="2" t="s">
        <v>1450</v>
      </c>
      <c r="L3677" t="s">
        <v>26</v>
      </c>
      <c r="M3677">
        <v>336660</v>
      </c>
      <c r="N3677">
        <v>1</v>
      </c>
      <c r="O3677" s="3">
        <v>69951</v>
      </c>
      <c r="P3677" s="3">
        <v>26119</v>
      </c>
      <c r="Q3677" s="5">
        <f t="shared" si="171"/>
        <v>58782.352941176476</v>
      </c>
      <c r="R3677" s="5">
        <f t="shared" si="172"/>
        <v>26119</v>
      </c>
      <c r="S3677" s="5">
        <f t="shared" si="173"/>
        <v>32663.352941176476</v>
      </c>
    </row>
    <row r="3678" spans="1:19" hidden="1" x14ac:dyDescent="0.3">
      <c r="A3678">
        <v>170</v>
      </c>
      <c r="B3678" t="s">
        <v>4809</v>
      </c>
      <c r="C3678" t="s">
        <v>3647</v>
      </c>
      <c r="D3678" s="2" t="s">
        <v>3648</v>
      </c>
      <c r="E3678" t="s">
        <v>316</v>
      </c>
      <c r="F3678" t="s">
        <v>20</v>
      </c>
      <c r="G3678" t="s">
        <v>21</v>
      </c>
      <c r="H3678" t="s">
        <v>317</v>
      </c>
      <c r="I3678" t="s">
        <v>23</v>
      </c>
      <c r="J3678" t="s">
        <v>35</v>
      </c>
      <c r="K3678" s="2" t="s">
        <v>1450</v>
      </c>
      <c r="L3678" t="s">
        <v>26</v>
      </c>
      <c r="M3678">
        <v>336660</v>
      </c>
      <c r="N3678">
        <v>-1</v>
      </c>
      <c r="O3678" s="3">
        <v>-69950</v>
      </c>
      <c r="P3678" s="3">
        <v>24893</v>
      </c>
      <c r="Q3678" s="5">
        <f t="shared" si="171"/>
        <v>-58781.512605042022</v>
      </c>
      <c r="R3678" s="5">
        <f t="shared" si="172"/>
        <v>-24893</v>
      </c>
      <c r="S3678" s="5">
        <f t="shared" si="173"/>
        <v>-33888.512605042022</v>
      </c>
    </row>
    <row r="3679" spans="1:19" hidden="1" x14ac:dyDescent="0.3">
      <c r="A3679">
        <v>170</v>
      </c>
      <c r="B3679" t="s">
        <v>4809</v>
      </c>
      <c r="C3679">
        <v>1687976791</v>
      </c>
      <c r="D3679" s="2" t="s">
        <v>200</v>
      </c>
      <c r="E3679" t="s">
        <v>201</v>
      </c>
      <c r="F3679" t="s">
        <v>201</v>
      </c>
      <c r="G3679" t="s">
        <v>202</v>
      </c>
      <c r="H3679" t="s">
        <v>202</v>
      </c>
      <c r="I3679" t="s">
        <v>23</v>
      </c>
      <c r="J3679" t="s">
        <v>202</v>
      </c>
      <c r="K3679" s="2" t="s">
        <v>1450</v>
      </c>
      <c r="L3679" t="s">
        <v>26</v>
      </c>
      <c r="M3679">
        <v>336661</v>
      </c>
      <c r="N3679">
        <v>1</v>
      </c>
      <c r="O3679" s="3">
        <v>3400</v>
      </c>
      <c r="P3679">
        <v>1</v>
      </c>
      <c r="Q3679" s="5">
        <f t="shared" si="171"/>
        <v>2857.1428571428573</v>
      </c>
      <c r="R3679" s="5">
        <f t="shared" si="172"/>
        <v>1</v>
      </c>
      <c r="S3679" s="5">
        <f t="shared" si="173"/>
        <v>2856.1428571428573</v>
      </c>
    </row>
    <row r="3680" spans="1:19" hidden="1" x14ac:dyDescent="0.3">
      <c r="A3680">
        <v>170</v>
      </c>
      <c r="B3680" t="s">
        <v>4809</v>
      </c>
      <c r="C3680" t="s">
        <v>5219</v>
      </c>
      <c r="D3680" s="2" t="s">
        <v>5220</v>
      </c>
      <c r="E3680" t="s">
        <v>2085</v>
      </c>
      <c r="F3680" t="s">
        <v>20</v>
      </c>
      <c r="G3680" t="s">
        <v>21</v>
      </c>
      <c r="H3680" t="s">
        <v>870</v>
      </c>
      <c r="I3680" t="s">
        <v>23</v>
      </c>
      <c r="J3680" t="s">
        <v>49</v>
      </c>
      <c r="K3680" s="2" t="s">
        <v>1450</v>
      </c>
      <c r="L3680" t="s">
        <v>26</v>
      </c>
      <c r="M3680">
        <v>336661</v>
      </c>
      <c r="N3680">
        <v>1</v>
      </c>
      <c r="O3680" s="3">
        <v>39990</v>
      </c>
      <c r="P3680" s="3">
        <v>22955</v>
      </c>
      <c r="Q3680" s="5">
        <f t="shared" si="171"/>
        <v>33605.042016806721</v>
      </c>
      <c r="R3680" s="5">
        <f t="shared" si="172"/>
        <v>22955</v>
      </c>
      <c r="S3680" s="5">
        <f t="shared" si="173"/>
        <v>10650.042016806721</v>
      </c>
    </row>
    <row r="3681" spans="1:19" hidden="1" x14ac:dyDescent="0.3">
      <c r="A3681">
        <v>170</v>
      </c>
      <c r="B3681" t="s">
        <v>4809</v>
      </c>
      <c r="C3681" t="s">
        <v>5219</v>
      </c>
      <c r="D3681" s="2" t="s">
        <v>5220</v>
      </c>
      <c r="E3681" t="s">
        <v>2085</v>
      </c>
      <c r="F3681" t="s">
        <v>20</v>
      </c>
      <c r="G3681" t="s">
        <v>21</v>
      </c>
      <c r="H3681" t="s">
        <v>870</v>
      </c>
      <c r="I3681" t="s">
        <v>23</v>
      </c>
      <c r="J3681" t="s">
        <v>49</v>
      </c>
      <c r="K3681" s="2" t="s">
        <v>1450</v>
      </c>
      <c r="L3681" t="s">
        <v>26</v>
      </c>
      <c r="M3681">
        <v>336662</v>
      </c>
      <c r="N3681">
        <v>-1</v>
      </c>
      <c r="O3681" s="3">
        <v>-39990</v>
      </c>
      <c r="P3681" s="3">
        <v>22955</v>
      </c>
      <c r="Q3681" s="5">
        <f t="shared" si="171"/>
        <v>-33605.042016806721</v>
      </c>
      <c r="R3681" s="5">
        <f t="shared" si="172"/>
        <v>-22955</v>
      </c>
      <c r="S3681" s="5">
        <f t="shared" si="173"/>
        <v>-10650.042016806721</v>
      </c>
    </row>
    <row r="3682" spans="1:19" hidden="1" x14ac:dyDescent="0.3">
      <c r="A3682">
        <v>170</v>
      </c>
      <c r="B3682" t="s">
        <v>4809</v>
      </c>
      <c r="C3682" t="s">
        <v>2556</v>
      </c>
      <c r="D3682" s="2" t="s">
        <v>2557</v>
      </c>
      <c r="E3682" t="s">
        <v>2558</v>
      </c>
      <c r="F3682" t="s">
        <v>20</v>
      </c>
      <c r="G3682" t="s">
        <v>21</v>
      </c>
      <c r="H3682" t="s">
        <v>870</v>
      </c>
      <c r="I3682" t="s">
        <v>23</v>
      </c>
      <c r="J3682" t="s">
        <v>49</v>
      </c>
      <c r="K3682" s="2" t="s">
        <v>1450</v>
      </c>
      <c r="L3682" t="s">
        <v>26</v>
      </c>
      <c r="M3682">
        <v>336662</v>
      </c>
      <c r="N3682">
        <v>1</v>
      </c>
      <c r="O3682" s="3">
        <v>64950</v>
      </c>
      <c r="P3682" s="3">
        <v>22955</v>
      </c>
      <c r="Q3682" s="5">
        <f t="shared" si="171"/>
        <v>54579.831932773115</v>
      </c>
      <c r="R3682" s="5">
        <f t="shared" si="172"/>
        <v>22955</v>
      </c>
      <c r="S3682" s="5">
        <f t="shared" si="173"/>
        <v>31624.831932773115</v>
      </c>
    </row>
    <row r="3683" spans="1:19" hidden="1" x14ac:dyDescent="0.3">
      <c r="A3683">
        <v>170</v>
      </c>
      <c r="B3683" t="s">
        <v>4809</v>
      </c>
      <c r="C3683" t="s">
        <v>2111</v>
      </c>
      <c r="D3683" s="2" t="s">
        <v>2112</v>
      </c>
      <c r="E3683" t="s">
        <v>896</v>
      </c>
      <c r="F3683" t="s">
        <v>20</v>
      </c>
      <c r="G3683" t="s">
        <v>21</v>
      </c>
      <c r="H3683" t="s">
        <v>114</v>
      </c>
      <c r="I3683" t="s">
        <v>23</v>
      </c>
      <c r="J3683" t="s">
        <v>35</v>
      </c>
      <c r="K3683" s="2" t="s">
        <v>1450</v>
      </c>
      <c r="L3683" t="s">
        <v>26</v>
      </c>
      <c r="M3683">
        <v>336663</v>
      </c>
      <c r="N3683">
        <v>-1</v>
      </c>
      <c r="O3683" s="3">
        <v>-69990</v>
      </c>
      <c r="P3683" s="3">
        <v>34879</v>
      </c>
      <c r="Q3683" s="5">
        <f t="shared" si="171"/>
        <v>-58815.126050420171</v>
      </c>
      <c r="R3683" s="5">
        <f t="shared" si="172"/>
        <v>-34879</v>
      </c>
      <c r="S3683" s="5">
        <f t="shared" si="173"/>
        <v>-23936.126050420171</v>
      </c>
    </row>
    <row r="3684" spans="1:19" hidden="1" x14ac:dyDescent="0.3">
      <c r="A3684">
        <v>170</v>
      </c>
      <c r="B3684" t="s">
        <v>4809</v>
      </c>
      <c r="C3684" t="s">
        <v>314</v>
      </c>
      <c r="D3684" s="2" t="s">
        <v>315</v>
      </c>
      <c r="E3684" t="s">
        <v>316</v>
      </c>
      <c r="F3684" t="s">
        <v>20</v>
      </c>
      <c r="G3684" t="s">
        <v>21</v>
      </c>
      <c r="H3684" t="s">
        <v>317</v>
      </c>
      <c r="I3684" t="s">
        <v>23</v>
      </c>
      <c r="J3684" t="s">
        <v>35</v>
      </c>
      <c r="K3684" s="2" t="s">
        <v>1450</v>
      </c>
      <c r="L3684" t="s">
        <v>26</v>
      </c>
      <c r="M3684">
        <v>336663</v>
      </c>
      <c r="N3684">
        <v>1</v>
      </c>
      <c r="O3684" s="3">
        <v>69991</v>
      </c>
      <c r="P3684" s="3">
        <v>24517</v>
      </c>
      <c r="Q3684" s="5">
        <f t="shared" si="171"/>
        <v>58815.966386554624</v>
      </c>
      <c r="R3684" s="5">
        <f t="shared" si="172"/>
        <v>24517</v>
      </c>
      <c r="S3684" s="5">
        <f t="shared" si="173"/>
        <v>34298.966386554624</v>
      </c>
    </row>
    <row r="3685" spans="1:19" hidden="1" x14ac:dyDescent="0.3">
      <c r="A3685">
        <v>170</v>
      </c>
      <c r="B3685" t="s">
        <v>4809</v>
      </c>
      <c r="C3685" t="s">
        <v>1704</v>
      </c>
      <c r="D3685" s="2" t="s">
        <v>1705</v>
      </c>
      <c r="E3685" t="s">
        <v>1706</v>
      </c>
      <c r="F3685" t="s">
        <v>20</v>
      </c>
      <c r="G3685" t="s">
        <v>338</v>
      </c>
      <c r="H3685">
        <v>23201</v>
      </c>
      <c r="I3685" t="s">
        <v>23</v>
      </c>
      <c r="J3685" t="s">
        <v>49</v>
      </c>
      <c r="K3685" s="2" t="s">
        <v>1450</v>
      </c>
      <c r="L3685" t="s">
        <v>26</v>
      </c>
      <c r="M3685">
        <v>336664</v>
      </c>
      <c r="N3685">
        <v>1</v>
      </c>
      <c r="O3685" s="3">
        <v>84950</v>
      </c>
      <c r="P3685" s="3">
        <v>26390</v>
      </c>
      <c r="Q3685" s="5">
        <f t="shared" si="171"/>
        <v>71386.554621848743</v>
      </c>
      <c r="R3685" s="5">
        <f t="shared" si="172"/>
        <v>26390</v>
      </c>
      <c r="S3685" s="5">
        <f t="shared" si="173"/>
        <v>44996.554621848743</v>
      </c>
    </row>
    <row r="3686" spans="1:19" hidden="1" x14ac:dyDescent="0.3">
      <c r="A3686">
        <v>170</v>
      </c>
      <c r="B3686" t="s">
        <v>4809</v>
      </c>
      <c r="C3686" t="s">
        <v>5221</v>
      </c>
      <c r="D3686" s="2" t="s">
        <v>5222</v>
      </c>
      <c r="E3686" t="s">
        <v>2433</v>
      </c>
      <c r="F3686" t="s">
        <v>20</v>
      </c>
      <c r="G3686" t="s">
        <v>338</v>
      </c>
      <c r="H3686">
        <v>24722</v>
      </c>
      <c r="I3686" t="s">
        <v>23</v>
      </c>
      <c r="J3686" t="s">
        <v>95</v>
      </c>
      <c r="K3686" s="2" t="s">
        <v>1450</v>
      </c>
      <c r="L3686" t="s">
        <v>26</v>
      </c>
      <c r="M3686">
        <v>336665</v>
      </c>
      <c r="N3686">
        <v>1</v>
      </c>
      <c r="O3686" s="3">
        <v>89950</v>
      </c>
      <c r="P3686" s="3">
        <v>30987</v>
      </c>
      <c r="Q3686" s="5">
        <f t="shared" si="171"/>
        <v>75588.23529411765</v>
      </c>
      <c r="R3686" s="5">
        <f t="shared" si="172"/>
        <v>30987</v>
      </c>
      <c r="S3686" s="5">
        <f t="shared" si="173"/>
        <v>44601.23529411765</v>
      </c>
    </row>
    <row r="3687" spans="1:19" hidden="1" x14ac:dyDescent="0.3">
      <c r="A3687">
        <v>170</v>
      </c>
      <c r="B3687" t="s">
        <v>4809</v>
      </c>
      <c r="C3687" t="s">
        <v>2664</v>
      </c>
      <c r="D3687" s="2" t="s">
        <v>2665</v>
      </c>
      <c r="E3687" t="s">
        <v>2666</v>
      </c>
      <c r="F3687" t="s">
        <v>20</v>
      </c>
      <c r="G3687" t="s">
        <v>21</v>
      </c>
      <c r="H3687" t="s">
        <v>65</v>
      </c>
      <c r="I3687" t="s">
        <v>23</v>
      </c>
      <c r="J3687" t="s">
        <v>49</v>
      </c>
      <c r="K3687" s="2" t="s">
        <v>1450</v>
      </c>
      <c r="L3687" t="s">
        <v>26</v>
      </c>
      <c r="M3687">
        <v>336666</v>
      </c>
      <c r="N3687">
        <v>-1</v>
      </c>
      <c r="O3687" s="3">
        <v>-64950</v>
      </c>
      <c r="P3687" s="3">
        <v>22802</v>
      </c>
      <c r="Q3687" s="5">
        <f t="shared" si="171"/>
        <v>-54579.831932773115</v>
      </c>
      <c r="R3687" s="5">
        <f t="shared" si="172"/>
        <v>-22802</v>
      </c>
      <c r="S3687" s="5">
        <f t="shared" si="173"/>
        <v>-31777.831932773115</v>
      </c>
    </row>
    <row r="3688" spans="1:19" hidden="1" x14ac:dyDescent="0.3">
      <c r="A3688">
        <v>170</v>
      </c>
      <c r="B3688" t="s">
        <v>4809</v>
      </c>
      <c r="C3688" t="s">
        <v>5223</v>
      </c>
      <c r="D3688" s="2" t="s">
        <v>5224</v>
      </c>
      <c r="E3688" t="s">
        <v>2899</v>
      </c>
      <c r="F3688" t="s">
        <v>20</v>
      </c>
      <c r="G3688" t="s">
        <v>21</v>
      </c>
      <c r="H3688" t="s">
        <v>295</v>
      </c>
      <c r="I3688" t="s">
        <v>23</v>
      </c>
      <c r="J3688" t="s">
        <v>40</v>
      </c>
      <c r="K3688" s="2" t="s">
        <v>1450</v>
      </c>
      <c r="L3688" t="s">
        <v>26</v>
      </c>
      <c r="M3688">
        <v>336666</v>
      </c>
      <c r="N3688">
        <v>1</v>
      </c>
      <c r="O3688" s="3">
        <v>79950</v>
      </c>
      <c r="P3688" s="3">
        <v>26951</v>
      </c>
      <c r="Q3688" s="5">
        <f t="shared" si="171"/>
        <v>67184.873949579836</v>
      </c>
      <c r="R3688" s="5">
        <f t="shared" si="172"/>
        <v>26951</v>
      </c>
      <c r="S3688" s="5">
        <f t="shared" si="173"/>
        <v>40233.873949579836</v>
      </c>
    </row>
    <row r="3689" spans="1:19" hidden="1" x14ac:dyDescent="0.3">
      <c r="A3689">
        <v>170</v>
      </c>
      <c r="B3689" t="s">
        <v>4809</v>
      </c>
      <c r="C3689" t="s">
        <v>510</v>
      </c>
      <c r="D3689" s="2" t="s">
        <v>511</v>
      </c>
      <c r="E3689" t="s">
        <v>512</v>
      </c>
      <c r="F3689" t="s">
        <v>20</v>
      </c>
      <c r="G3689" t="s">
        <v>21</v>
      </c>
      <c r="H3689" t="s">
        <v>513</v>
      </c>
      <c r="I3689" t="s">
        <v>23</v>
      </c>
      <c r="J3689" t="s">
        <v>35</v>
      </c>
      <c r="K3689" s="2" t="s">
        <v>1450</v>
      </c>
      <c r="L3689" t="s">
        <v>26</v>
      </c>
      <c r="M3689">
        <v>336667</v>
      </c>
      <c r="N3689">
        <v>1</v>
      </c>
      <c r="O3689" s="3">
        <v>119950</v>
      </c>
      <c r="P3689" s="3">
        <v>63050</v>
      </c>
      <c r="Q3689" s="5">
        <f t="shared" si="171"/>
        <v>100798.31932773109</v>
      </c>
      <c r="R3689" s="5">
        <f t="shared" si="172"/>
        <v>63050</v>
      </c>
      <c r="S3689" s="5">
        <f t="shared" si="173"/>
        <v>37748.319327731093</v>
      </c>
    </row>
    <row r="3690" spans="1:19" hidden="1" x14ac:dyDescent="0.3">
      <c r="A3690">
        <v>170</v>
      </c>
      <c r="B3690" t="s">
        <v>4809</v>
      </c>
      <c r="C3690" t="s">
        <v>5225</v>
      </c>
      <c r="D3690" s="2" t="s">
        <v>5226</v>
      </c>
      <c r="E3690" t="s">
        <v>2518</v>
      </c>
      <c r="F3690" t="s">
        <v>20</v>
      </c>
      <c r="G3690" t="s">
        <v>338</v>
      </c>
      <c r="H3690">
        <v>23724</v>
      </c>
      <c r="I3690" t="s">
        <v>23</v>
      </c>
      <c r="J3690" t="s">
        <v>40</v>
      </c>
      <c r="K3690" s="2" t="s">
        <v>1450</v>
      </c>
      <c r="L3690" t="s">
        <v>26</v>
      </c>
      <c r="M3690">
        <v>336668</v>
      </c>
      <c r="N3690">
        <v>1</v>
      </c>
      <c r="O3690" s="3">
        <v>79951</v>
      </c>
      <c r="P3690" s="3">
        <v>26332</v>
      </c>
      <c r="Q3690" s="5">
        <f t="shared" si="171"/>
        <v>67185.71428571429</v>
      </c>
      <c r="R3690" s="5">
        <f t="shared" si="172"/>
        <v>26332</v>
      </c>
      <c r="S3690" s="5">
        <f t="shared" si="173"/>
        <v>40853.71428571429</v>
      </c>
    </row>
    <row r="3691" spans="1:19" hidden="1" x14ac:dyDescent="0.3">
      <c r="A3691">
        <v>170</v>
      </c>
      <c r="B3691" t="s">
        <v>4809</v>
      </c>
      <c r="C3691" t="s">
        <v>5207</v>
      </c>
      <c r="D3691" s="2" t="s">
        <v>5208</v>
      </c>
      <c r="E3691" t="s">
        <v>1177</v>
      </c>
      <c r="F3691" t="s">
        <v>20</v>
      </c>
      <c r="G3691" t="s">
        <v>338</v>
      </c>
      <c r="H3691">
        <v>23724</v>
      </c>
      <c r="I3691" t="s">
        <v>23</v>
      </c>
      <c r="J3691" t="s">
        <v>40</v>
      </c>
      <c r="K3691" s="2" t="s">
        <v>1450</v>
      </c>
      <c r="L3691" t="s">
        <v>26</v>
      </c>
      <c r="M3691">
        <v>336668</v>
      </c>
      <c r="N3691">
        <v>-1</v>
      </c>
      <c r="O3691" s="3">
        <v>-79950</v>
      </c>
      <c r="P3691" s="3">
        <v>26083</v>
      </c>
      <c r="Q3691" s="5">
        <f t="shared" si="171"/>
        <v>-67184.873949579836</v>
      </c>
      <c r="R3691" s="5">
        <f t="shared" si="172"/>
        <v>-26083</v>
      </c>
      <c r="S3691" s="5">
        <f t="shared" si="173"/>
        <v>-41101.873949579836</v>
      </c>
    </row>
    <row r="3692" spans="1:19" hidden="1" x14ac:dyDescent="0.3">
      <c r="A3692">
        <v>170</v>
      </c>
      <c r="B3692" t="s">
        <v>4809</v>
      </c>
      <c r="C3692" t="s">
        <v>3381</v>
      </c>
      <c r="D3692" s="2" t="s">
        <v>3382</v>
      </c>
      <c r="E3692" t="s">
        <v>2002</v>
      </c>
      <c r="F3692" t="s">
        <v>20</v>
      </c>
      <c r="G3692" t="s">
        <v>338</v>
      </c>
      <c r="H3692">
        <v>25026</v>
      </c>
      <c r="I3692" t="s">
        <v>23</v>
      </c>
      <c r="J3692" t="s">
        <v>35</v>
      </c>
      <c r="K3692" s="2" t="s">
        <v>1450</v>
      </c>
      <c r="L3692" t="s">
        <v>26</v>
      </c>
      <c r="M3692">
        <v>336669</v>
      </c>
      <c r="N3692">
        <v>-1</v>
      </c>
      <c r="O3692" s="3">
        <v>-89950</v>
      </c>
      <c r="P3692" s="3">
        <v>28454</v>
      </c>
      <c r="Q3692" s="5">
        <f t="shared" si="171"/>
        <v>-75588.23529411765</v>
      </c>
      <c r="R3692" s="5">
        <f t="shared" si="172"/>
        <v>-28454</v>
      </c>
      <c r="S3692" s="5">
        <f t="shared" si="173"/>
        <v>-47134.23529411765</v>
      </c>
    </row>
    <row r="3693" spans="1:19" hidden="1" x14ac:dyDescent="0.3">
      <c r="A3693">
        <v>170</v>
      </c>
      <c r="B3693" t="s">
        <v>4809</v>
      </c>
      <c r="C3693" t="s">
        <v>3796</v>
      </c>
      <c r="D3693" s="2" t="s">
        <v>3797</v>
      </c>
      <c r="E3693" t="s">
        <v>3195</v>
      </c>
      <c r="F3693" t="s">
        <v>20</v>
      </c>
      <c r="G3693" t="s">
        <v>338</v>
      </c>
      <c r="H3693">
        <v>25366</v>
      </c>
      <c r="I3693" t="s">
        <v>23</v>
      </c>
      <c r="J3693" t="s">
        <v>35</v>
      </c>
      <c r="K3693" s="2" t="s">
        <v>1450</v>
      </c>
      <c r="L3693" t="s">
        <v>26</v>
      </c>
      <c r="M3693">
        <v>336669</v>
      </c>
      <c r="N3693">
        <v>1</v>
      </c>
      <c r="O3693" s="3">
        <v>99950</v>
      </c>
      <c r="P3693" s="3">
        <v>33157</v>
      </c>
      <c r="Q3693" s="5">
        <f t="shared" si="171"/>
        <v>83991.596638655465</v>
      </c>
      <c r="R3693" s="5">
        <f t="shared" si="172"/>
        <v>33157</v>
      </c>
      <c r="S3693" s="5">
        <f t="shared" si="173"/>
        <v>50834.596638655465</v>
      </c>
    </row>
    <row r="3694" spans="1:19" hidden="1" x14ac:dyDescent="0.3">
      <c r="A3694">
        <v>170</v>
      </c>
      <c r="B3694" t="s">
        <v>4809</v>
      </c>
      <c r="C3694" t="s">
        <v>4862</v>
      </c>
      <c r="D3694" s="2" t="s">
        <v>4863</v>
      </c>
      <c r="E3694" t="s">
        <v>1281</v>
      </c>
      <c r="F3694" t="s">
        <v>20</v>
      </c>
      <c r="G3694" t="s">
        <v>21</v>
      </c>
      <c r="H3694" t="s">
        <v>1282</v>
      </c>
      <c r="I3694" t="s">
        <v>23</v>
      </c>
      <c r="J3694" t="s">
        <v>40</v>
      </c>
      <c r="K3694" s="2" t="s">
        <v>1450</v>
      </c>
      <c r="L3694" t="s">
        <v>26</v>
      </c>
      <c r="M3694">
        <v>336670</v>
      </c>
      <c r="N3694">
        <v>1</v>
      </c>
      <c r="O3694" s="3">
        <v>49950</v>
      </c>
      <c r="P3694" s="3">
        <v>13922</v>
      </c>
      <c r="Q3694" s="5">
        <f t="shared" si="171"/>
        <v>41974.789915966387</v>
      </c>
      <c r="R3694" s="5">
        <f t="shared" si="172"/>
        <v>13922</v>
      </c>
      <c r="S3694" s="5">
        <f t="shared" si="173"/>
        <v>28052.789915966387</v>
      </c>
    </row>
    <row r="3695" spans="1:19" hidden="1" x14ac:dyDescent="0.3">
      <c r="A3695">
        <v>170</v>
      </c>
      <c r="B3695" t="s">
        <v>4809</v>
      </c>
      <c r="C3695" t="s">
        <v>3605</v>
      </c>
      <c r="D3695" s="2" t="s">
        <v>3606</v>
      </c>
      <c r="E3695" t="s">
        <v>2284</v>
      </c>
      <c r="F3695" t="s">
        <v>20</v>
      </c>
      <c r="G3695" t="s">
        <v>21</v>
      </c>
      <c r="H3695" t="s">
        <v>247</v>
      </c>
      <c r="I3695" t="s">
        <v>23</v>
      </c>
      <c r="J3695" t="s">
        <v>40</v>
      </c>
      <c r="K3695" s="2" t="s">
        <v>1450</v>
      </c>
      <c r="L3695" t="s">
        <v>26</v>
      </c>
      <c r="M3695">
        <v>336670</v>
      </c>
      <c r="N3695">
        <v>1</v>
      </c>
      <c r="O3695" s="3">
        <v>50950</v>
      </c>
      <c r="P3695" s="3">
        <v>16541</v>
      </c>
      <c r="Q3695" s="5">
        <f t="shared" si="171"/>
        <v>42815.126050420171</v>
      </c>
      <c r="R3695" s="5">
        <f t="shared" si="172"/>
        <v>16541</v>
      </c>
      <c r="S3695" s="5">
        <f t="shared" si="173"/>
        <v>26274.126050420171</v>
      </c>
    </row>
    <row r="3696" spans="1:19" hidden="1" x14ac:dyDescent="0.3">
      <c r="A3696">
        <v>170</v>
      </c>
      <c r="B3696" t="s">
        <v>4809</v>
      </c>
      <c r="C3696" t="s">
        <v>3106</v>
      </c>
      <c r="D3696" s="2" t="s">
        <v>3107</v>
      </c>
      <c r="E3696" t="s">
        <v>3108</v>
      </c>
      <c r="F3696" t="s">
        <v>377</v>
      </c>
      <c r="G3696" t="s">
        <v>21</v>
      </c>
      <c r="H3696" t="s">
        <v>378</v>
      </c>
      <c r="I3696" t="s">
        <v>23</v>
      </c>
      <c r="J3696" t="s">
        <v>2620</v>
      </c>
      <c r="K3696" s="2" t="s">
        <v>1450</v>
      </c>
      <c r="L3696" t="s">
        <v>26</v>
      </c>
      <c r="M3696">
        <v>336671</v>
      </c>
      <c r="N3696">
        <v>1</v>
      </c>
      <c r="O3696" s="3">
        <v>26950</v>
      </c>
      <c r="P3696" s="3">
        <v>13329</v>
      </c>
      <c r="Q3696" s="5">
        <f t="shared" si="171"/>
        <v>22647.058823529413</v>
      </c>
      <c r="R3696" s="5">
        <f t="shared" si="172"/>
        <v>13329</v>
      </c>
      <c r="S3696" s="5">
        <f t="shared" si="173"/>
        <v>9318.0588235294126</v>
      </c>
    </row>
    <row r="3697" spans="1:19" hidden="1" x14ac:dyDescent="0.3">
      <c r="A3697">
        <v>170</v>
      </c>
      <c r="B3697" t="s">
        <v>4809</v>
      </c>
      <c r="C3697" t="s">
        <v>2900</v>
      </c>
      <c r="D3697" s="2" t="s">
        <v>2901</v>
      </c>
      <c r="E3697" t="s">
        <v>2902</v>
      </c>
      <c r="F3697" t="s">
        <v>20</v>
      </c>
      <c r="G3697" t="s">
        <v>21</v>
      </c>
      <c r="H3697" t="s">
        <v>267</v>
      </c>
      <c r="I3697" t="s">
        <v>23</v>
      </c>
      <c r="J3697" t="s">
        <v>49</v>
      </c>
      <c r="K3697" s="2" t="s">
        <v>1450</v>
      </c>
      <c r="L3697" t="s">
        <v>26</v>
      </c>
      <c r="M3697">
        <v>336672</v>
      </c>
      <c r="N3697">
        <v>1</v>
      </c>
      <c r="O3697" s="3">
        <v>64950</v>
      </c>
      <c r="P3697" s="3">
        <v>24504</v>
      </c>
      <c r="Q3697" s="5">
        <f t="shared" si="171"/>
        <v>54579.831932773115</v>
      </c>
      <c r="R3697" s="5">
        <f t="shared" si="172"/>
        <v>24504</v>
      </c>
      <c r="S3697" s="5">
        <f t="shared" si="173"/>
        <v>30075.831932773115</v>
      </c>
    </row>
    <row r="3698" spans="1:19" hidden="1" x14ac:dyDescent="0.3">
      <c r="A3698">
        <v>170</v>
      </c>
      <c r="B3698" t="s">
        <v>4809</v>
      </c>
      <c r="C3698" t="s">
        <v>4231</v>
      </c>
      <c r="D3698" s="2" t="s">
        <v>4232</v>
      </c>
      <c r="E3698" t="s">
        <v>2844</v>
      </c>
      <c r="F3698" t="s">
        <v>20</v>
      </c>
      <c r="G3698" t="s">
        <v>338</v>
      </c>
      <c r="H3698">
        <v>24722</v>
      </c>
      <c r="I3698" t="s">
        <v>23</v>
      </c>
      <c r="J3698" t="s">
        <v>95</v>
      </c>
      <c r="K3698" s="2" t="s">
        <v>1450</v>
      </c>
      <c r="L3698" t="s">
        <v>26</v>
      </c>
      <c r="M3698">
        <v>336673</v>
      </c>
      <c r="N3698">
        <v>1</v>
      </c>
      <c r="O3698" s="3">
        <v>89950</v>
      </c>
      <c r="P3698" s="3">
        <v>30987</v>
      </c>
      <c r="Q3698" s="5">
        <f t="shared" si="171"/>
        <v>75588.23529411765</v>
      </c>
      <c r="R3698" s="5">
        <f t="shared" si="172"/>
        <v>30987</v>
      </c>
      <c r="S3698" s="5">
        <f t="shared" si="173"/>
        <v>44601.23529411765</v>
      </c>
    </row>
    <row r="3699" spans="1:19" hidden="1" x14ac:dyDescent="0.3">
      <c r="A3699">
        <v>170</v>
      </c>
      <c r="B3699" t="s">
        <v>4809</v>
      </c>
      <c r="C3699" t="s">
        <v>2097</v>
      </c>
      <c r="D3699" s="2" t="s">
        <v>2098</v>
      </c>
      <c r="E3699" t="s">
        <v>494</v>
      </c>
      <c r="F3699" t="s">
        <v>20</v>
      </c>
      <c r="G3699" t="s">
        <v>21</v>
      </c>
      <c r="H3699" t="s">
        <v>317</v>
      </c>
      <c r="I3699" t="s">
        <v>23</v>
      </c>
      <c r="J3699" t="s">
        <v>35</v>
      </c>
      <c r="K3699" s="2" t="s">
        <v>1450</v>
      </c>
      <c r="L3699" t="s">
        <v>26</v>
      </c>
      <c r="M3699">
        <v>336674</v>
      </c>
      <c r="N3699">
        <v>1</v>
      </c>
      <c r="O3699" s="3">
        <v>69950</v>
      </c>
      <c r="P3699" s="3">
        <v>23619</v>
      </c>
      <c r="Q3699" s="5">
        <f t="shared" si="171"/>
        <v>58781.512605042022</v>
      </c>
      <c r="R3699" s="5">
        <f t="shared" si="172"/>
        <v>23619</v>
      </c>
      <c r="S3699" s="5">
        <f t="shared" si="173"/>
        <v>35162.512605042022</v>
      </c>
    </row>
    <row r="3700" spans="1:19" hidden="1" x14ac:dyDescent="0.3">
      <c r="A3700">
        <v>170</v>
      </c>
      <c r="B3700" t="s">
        <v>4809</v>
      </c>
      <c r="C3700" t="s">
        <v>562</v>
      </c>
      <c r="D3700" s="2" t="s">
        <v>563</v>
      </c>
      <c r="E3700" t="s">
        <v>564</v>
      </c>
      <c r="F3700" t="s">
        <v>20</v>
      </c>
      <c r="G3700" t="s">
        <v>21</v>
      </c>
      <c r="H3700" t="s">
        <v>565</v>
      </c>
      <c r="I3700" t="s">
        <v>23</v>
      </c>
      <c r="J3700" t="s">
        <v>49</v>
      </c>
      <c r="K3700" s="2" t="s">
        <v>1450</v>
      </c>
      <c r="L3700" t="s">
        <v>26</v>
      </c>
      <c r="M3700">
        <v>336675</v>
      </c>
      <c r="N3700">
        <v>1</v>
      </c>
      <c r="O3700" s="3">
        <v>49991</v>
      </c>
      <c r="P3700" s="3">
        <v>27663</v>
      </c>
      <c r="Q3700" s="5">
        <f t="shared" si="171"/>
        <v>42009.243697478996</v>
      </c>
      <c r="R3700" s="5">
        <f t="shared" si="172"/>
        <v>27663</v>
      </c>
      <c r="S3700" s="5">
        <f t="shared" si="173"/>
        <v>14346.243697478996</v>
      </c>
    </row>
    <row r="3701" spans="1:19" hidden="1" x14ac:dyDescent="0.3">
      <c r="A3701">
        <v>170</v>
      </c>
      <c r="B3701" t="s">
        <v>4809</v>
      </c>
      <c r="C3701" t="s">
        <v>5227</v>
      </c>
      <c r="D3701" s="2" t="s">
        <v>5228</v>
      </c>
      <c r="E3701" t="s">
        <v>394</v>
      </c>
      <c r="F3701" t="s">
        <v>20</v>
      </c>
      <c r="G3701" t="s">
        <v>21</v>
      </c>
      <c r="H3701" t="s">
        <v>395</v>
      </c>
      <c r="I3701" t="s">
        <v>23</v>
      </c>
      <c r="J3701" t="s">
        <v>49</v>
      </c>
      <c r="K3701" s="2" t="s">
        <v>1450</v>
      </c>
      <c r="L3701" t="s">
        <v>26</v>
      </c>
      <c r="M3701">
        <v>336675</v>
      </c>
      <c r="N3701">
        <v>-1</v>
      </c>
      <c r="O3701" s="3">
        <v>-49990</v>
      </c>
      <c r="P3701" s="3">
        <v>29023</v>
      </c>
      <c r="Q3701" s="5">
        <f t="shared" si="171"/>
        <v>-42008.403361344543</v>
      </c>
      <c r="R3701" s="5">
        <f t="shared" si="172"/>
        <v>-29023</v>
      </c>
      <c r="S3701" s="5">
        <f t="shared" si="173"/>
        <v>-12985.403361344543</v>
      </c>
    </row>
    <row r="3702" spans="1:19" hidden="1" x14ac:dyDescent="0.3">
      <c r="A3702">
        <v>170</v>
      </c>
      <c r="B3702" t="s">
        <v>4809</v>
      </c>
      <c r="C3702" t="s">
        <v>5117</v>
      </c>
      <c r="D3702" s="2" t="s">
        <v>5118</v>
      </c>
      <c r="E3702" t="s">
        <v>5119</v>
      </c>
      <c r="F3702" t="s">
        <v>20</v>
      </c>
      <c r="G3702" t="s">
        <v>21</v>
      </c>
      <c r="H3702" t="s">
        <v>2782</v>
      </c>
      <c r="I3702" t="s">
        <v>23</v>
      </c>
      <c r="J3702" t="s">
        <v>35</v>
      </c>
      <c r="K3702" s="2" t="s">
        <v>1450</v>
      </c>
      <c r="L3702" t="s">
        <v>26</v>
      </c>
      <c r="M3702">
        <v>336676</v>
      </c>
      <c r="N3702">
        <v>1</v>
      </c>
      <c r="O3702" s="3">
        <v>74950</v>
      </c>
      <c r="P3702" s="3">
        <v>24388</v>
      </c>
      <c r="Q3702" s="5">
        <f t="shared" si="171"/>
        <v>62983.193277310929</v>
      </c>
      <c r="R3702" s="5">
        <f t="shared" si="172"/>
        <v>24388</v>
      </c>
      <c r="S3702" s="5">
        <f t="shared" si="173"/>
        <v>38595.193277310929</v>
      </c>
    </row>
    <row r="3703" spans="1:19" hidden="1" x14ac:dyDescent="0.3">
      <c r="A3703">
        <v>170</v>
      </c>
      <c r="B3703" t="s">
        <v>4809</v>
      </c>
      <c r="C3703" t="s">
        <v>2485</v>
      </c>
      <c r="D3703" s="2" t="s">
        <v>2486</v>
      </c>
      <c r="E3703" t="s">
        <v>2487</v>
      </c>
      <c r="F3703" t="s">
        <v>377</v>
      </c>
      <c r="G3703" t="s">
        <v>21</v>
      </c>
      <c r="H3703" t="s">
        <v>378</v>
      </c>
      <c r="I3703" t="s">
        <v>23</v>
      </c>
      <c r="J3703" t="s">
        <v>379</v>
      </c>
      <c r="K3703" s="2" t="s">
        <v>1450</v>
      </c>
      <c r="L3703" t="s">
        <v>26</v>
      </c>
      <c r="M3703">
        <v>336677</v>
      </c>
      <c r="N3703">
        <v>1</v>
      </c>
      <c r="O3703" s="3">
        <v>5950</v>
      </c>
      <c r="P3703" s="3">
        <v>2243</v>
      </c>
      <c r="Q3703" s="5">
        <f t="shared" si="171"/>
        <v>5000</v>
      </c>
      <c r="R3703" s="5">
        <f t="shared" si="172"/>
        <v>2243</v>
      </c>
      <c r="S3703" s="5">
        <f t="shared" si="173"/>
        <v>2757</v>
      </c>
    </row>
    <row r="3704" spans="1:19" hidden="1" x14ac:dyDescent="0.3">
      <c r="A3704">
        <v>170</v>
      </c>
      <c r="B3704" t="s">
        <v>4809</v>
      </c>
      <c r="C3704" t="s">
        <v>4189</v>
      </c>
      <c r="D3704" s="2" t="s">
        <v>4190</v>
      </c>
      <c r="E3704" t="s">
        <v>3472</v>
      </c>
      <c r="F3704" t="s">
        <v>20</v>
      </c>
      <c r="G3704" t="s">
        <v>338</v>
      </c>
      <c r="H3704">
        <v>25336</v>
      </c>
      <c r="I3704" t="s">
        <v>23</v>
      </c>
      <c r="J3704" t="s">
        <v>35</v>
      </c>
      <c r="K3704" s="2" t="s">
        <v>1450</v>
      </c>
      <c r="L3704" t="s">
        <v>26</v>
      </c>
      <c r="M3704">
        <v>336678</v>
      </c>
      <c r="N3704">
        <v>1</v>
      </c>
      <c r="O3704" s="3">
        <v>99950</v>
      </c>
      <c r="P3704" s="3">
        <v>31886</v>
      </c>
      <c r="Q3704" s="5">
        <f t="shared" si="171"/>
        <v>83991.596638655465</v>
      </c>
      <c r="R3704" s="5">
        <f t="shared" si="172"/>
        <v>31886</v>
      </c>
      <c r="S3704" s="5">
        <f t="shared" si="173"/>
        <v>52105.596638655465</v>
      </c>
    </row>
    <row r="3705" spans="1:19" hidden="1" x14ac:dyDescent="0.3">
      <c r="A3705">
        <v>170</v>
      </c>
      <c r="B3705" t="s">
        <v>4809</v>
      </c>
      <c r="C3705" t="s">
        <v>3631</v>
      </c>
      <c r="D3705" s="2" t="s">
        <v>3632</v>
      </c>
      <c r="E3705" t="s">
        <v>3633</v>
      </c>
      <c r="F3705" t="s">
        <v>20</v>
      </c>
      <c r="G3705" t="s">
        <v>21</v>
      </c>
      <c r="H3705" t="s">
        <v>1689</v>
      </c>
      <c r="I3705" t="s">
        <v>23</v>
      </c>
      <c r="J3705" t="s">
        <v>49</v>
      </c>
      <c r="K3705" s="2" t="s">
        <v>1450</v>
      </c>
      <c r="L3705" t="s">
        <v>26</v>
      </c>
      <c r="M3705">
        <v>336679</v>
      </c>
      <c r="N3705">
        <v>1</v>
      </c>
      <c r="O3705" s="3">
        <v>89950</v>
      </c>
      <c r="P3705" s="3">
        <v>39837</v>
      </c>
      <c r="Q3705" s="5">
        <f t="shared" si="171"/>
        <v>75588.23529411765</v>
      </c>
      <c r="R3705" s="5">
        <f t="shared" si="172"/>
        <v>39837</v>
      </c>
      <c r="S3705" s="5">
        <f t="shared" si="173"/>
        <v>35751.23529411765</v>
      </c>
    </row>
    <row r="3706" spans="1:19" hidden="1" x14ac:dyDescent="0.3">
      <c r="A3706">
        <v>170</v>
      </c>
      <c r="B3706" t="s">
        <v>4809</v>
      </c>
      <c r="C3706" t="s">
        <v>2365</v>
      </c>
      <c r="D3706" s="2" t="s">
        <v>2366</v>
      </c>
      <c r="E3706" t="s">
        <v>2367</v>
      </c>
      <c r="F3706" t="s">
        <v>377</v>
      </c>
      <c r="G3706" t="s">
        <v>21</v>
      </c>
      <c r="H3706" t="s">
        <v>378</v>
      </c>
      <c r="I3706" t="s">
        <v>23</v>
      </c>
      <c r="J3706" t="s">
        <v>379</v>
      </c>
      <c r="K3706" s="2" t="s">
        <v>1450</v>
      </c>
      <c r="L3706" t="s">
        <v>26</v>
      </c>
      <c r="M3706">
        <v>336679</v>
      </c>
      <c r="N3706">
        <v>1</v>
      </c>
      <c r="O3706" s="3">
        <v>6950</v>
      </c>
      <c r="P3706" s="3">
        <v>3759</v>
      </c>
      <c r="Q3706" s="5">
        <f t="shared" si="171"/>
        <v>5840.3361344537816</v>
      </c>
      <c r="R3706" s="5">
        <f t="shared" si="172"/>
        <v>3759</v>
      </c>
      <c r="S3706" s="5">
        <f t="shared" si="173"/>
        <v>2081.3361344537816</v>
      </c>
    </row>
    <row r="3707" spans="1:19" hidden="1" x14ac:dyDescent="0.3">
      <c r="A3707">
        <v>170</v>
      </c>
      <c r="B3707" t="s">
        <v>4809</v>
      </c>
      <c r="C3707" t="s">
        <v>3069</v>
      </c>
      <c r="D3707" s="2" t="s">
        <v>3070</v>
      </c>
      <c r="E3707" t="s">
        <v>3027</v>
      </c>
      <c r="F3707" t="s">
        <v>20</v>
      </c>
      <c r="G3707" t="s">
        <v>21</v>
      </c>
      <c r="H3707" t="s">
        <v>3028</v>
      </c>
      <c r="I3707" t="s">
        <v>23</v>
      </c>
      <c r="J3707" t="s">
        <v>35</v>
      </c>
      <c r="K3707" s="2" t="s">
        <v>1450</v>
      </c>
      <c r="L3707" t="s">
        <v>26</v>
      </c>
      <c r="M3707">
        <v>336680</v>
      </c>
      <c r="N3707">
        <v>1</v>
      </c>
      <c r="O3707" s="3">
        <v>99950</v>
      </c>
      <c r="P3707" s="3">
        <v>53748</v>
      </c>
      <c r="Q3707" s="5">
        <f t="shared" si="171"/>
        <v>83991.596638655465</v>
      </c>
      <c r="R3707" s="5">
        <f t="shared" si="172"/>
        <v>53748</v>
      </c>
      <c r="S3707" s="5">
        <f t="shared" si="173"/>
        <v>30243.596638655465</v>
      </c>
    </row>
    <row r="3708" spans="1:19" hidden="1" x14ac:dyDescent="0.3">
      <c r="A3708">
        <v>170</v>
      </c>
      <c r="B3708" t="s">
        <v>4809</v>
      </c>
      <c r="C3708" t="s">
        <v>5229</v>
      </c>
      <c r="D3708" s="2" t="s">
        <v>5230</v>
      </c>
      <c r="E3708" t="s">
        <v>3016</v>
      </c>
      <c r="F3708" t="s">
        <v>20</v>
      </c>
      <c r="G3708" t="s">
        <v>338</v>
      </c>
      <c r="H3708">
        <v>25301</v>
      </c>
      <c r="I3708" t="s">
        <v>23</v>
      </c>
      <c r="J3708" t="s">
        <v>35</v>
      </c>
      <c r="K3708" s="2" t="s">
        <v>1525</v>
      </c>
      <c r="L3708" t="s">
        <v>26</v>
      </c>
      <c r="M3708">
        <v>336681</v>
      </c>
      <c r="N3708">
        <v>1</v>
      </c>
      <c r="O3708" s="3">
        <v>99950</v>
      </c>
      <c r="P3708" s="3">
        <v>34679</v>
      </c>
      <c r="Q3708" s="5">
        <f t="shared" si="171"/>
        <v>83991.596638655465</v>
      </c>
      <c r="R3708" s="5">
        <f t="shared" si="172"/>
        <v>34679</v>
      </c>
      <c r="S3708" s="5">
        <f t="shared" si="173"/>
        <v>49312.596638655465</v>
      </c>
    </row>
    <row r="3709" spans="1:19" hidden="1" x14ac:dyDescent="0.3">
      <c r="A3709">
        <v>170</v>
      </c>
      <c r="B3709" t="s">
        <v>4809</v>
      </c>
      <c r="C3709" t="s">
        <v>2365</v>
      </c>
      <c r="D3709" s="2" t="s">
        <v>2366</v>
      </c>
      <c r="E3709" t="s">
        <v>2367</v>
      </c>
      <c r="F3709" t="s">
        <v>377</v>
      </c>
      <c r="G3709" t="s">
        <v>21</v>
      </c>
      <c r="H3709" t="s">
        <v>378</v>
      </c>
      <c r="I3709" t="s">
        <v>23</v>
      </c>
      <c r="J3709" t="s">
        <v>379</v>
      </c>
      <c r="K3709" s="2" t="s">
        <v>1525</v>
      </c>
      <c r="L3709" t="s">
        <v>26</v>
      </c>
      <c r="M3709">
        <v>336681</v>
      </c>
      <c r="N3709">
        <v>1</v>
      </c>
      <c r="O3709" s="3">
        <v>6950</v>
      </c>
      <c r="P3709" s="3">
        <v>3759</v>
      </c>
      <c r="Q3709" s="5">
        <f t="shared" si="171"/>
        <v>5840.3361344537816</v>
      </c>
      <c r="R3709" s="5">
        <f t="shared" si="172"/>
        <v>3759</v>
      </c>
      <c r="S3709" s="5">
        <f t="shared" si="173"/>
        <v>2081.3361344537816</v>
      </c>
    </row>
    <row r="3710" spans="1:19" hidden="1" x14ac:dyDescent="0.3">
      <c r="A3710">
        <v>170</v>
      </c>
      <c r="B3710" t="s">
        <v>4809</v>
      </c>
      <c r="C3710" t="s">
        <v>4605</v>
      </c>
      <c r="D3710" s="2" t="s">
        <v>4606</v>
      </c>
      <c r="E3710" t="s">
        <v>2933</v>
      </c>
      <c r="F3710" t="s">
        <v>20</v>
      </c>
      <c r="G3710" t="s">
        <v>338</v>
      </c>
      <c r="H3710">
        <v>25539</v>
      </c>
      <c r="I3710" t="s">
        <v>23</v>
      </c>
      <c r="J3710" t="s">
        <v>31</v>
      </c>
      <c r="K3710" s="2" t="s">
        <v>1525</v>
      </c>
      <c r="L3710" t="s">
        <v>26</v>
      </c>
      <c r="M3710">
        <v>336682</v>
      </c>
      <c r="N3710">
        <v>1</v>
      </c>
      <c r="O3710" s="3">
        <v>118950</v>
      </c>
      <c r="P3710" s="3">
        <v>46011</v>
      </c>
      <c r="Q3710" s="5">
        <f t="shared" si="171"/>
        <v>99957.983193277309</v>
      </c>
      <c r="R3710" s="5">
        <f t="shared" si="172"/>
        <v>46011</v>
      </c>
      <c r="S3710" s="5">
        <f t="shared" si="173"/>
        <v>53946.983193277309</v>
      </c>
    </row>
    <row r="3711" spans="1:19" hidden="1" x14ac:dyDescent="0.3">
      <c r="A3711">
        <v>170</v>
      </c>
      <c r="B3711" t="s">
        <v>4809</v>
      </c>
      <c r="C3711" t="s">
        <v>2206</v>
      </c>
      <c r="D3711" s="2" t="s">
        <v>2207</v>
      </c>
      <c r="E3711" t="s">
        <v>2208</v>
      </c>
      <c r="F3711" t="s">
        <v>20</v>
      </c>
      <c r="G3711" t="s">
        <v>338</v>
      </c>
      <c r="H3711">
        <v>25823</v>
      </c>
      <c r="I3711" t="s">
        <v>23</v>
      </c>
      <c r="J3711" t="s">
        <v>35</v>
      </c>
      <c r="K3711" s="2" t="s">
        <v>1525</v>
      </c>
      <c r="L3711" t="s">
        <v>26</v>
      </c>
      <c r="M3711">
        <v>336682</v>
      </c>
      <c r="N3711">
        <v>1</v>
      </c>
      <c r="O3711" s="3">
        <v>99950</v>
      </c>
      <c r="P3711" s="3">
        <v>33748</v>
      </c>
      <c r="Q3711" s="5">
        <f t="shared" si="171"/>
        <v>83991.596638655465</v>
      </c>
      <c r="R3711" s="5">
        <f t="shared" si="172"/>
        <v>33748</v>
      </c>
      <c r="S3711" s="5">
        <f t="shared" si="173"/>
        <v>50243.596638655465</v>
      </c>
    </row>
    <row r="3712" spans="1:19" hidden="1" x14ac:dyDescent="0.3">
      <c r="A3712">
        <v>170</v>
      </c>
      <c r="B3712" t="s">
        <v>4809</v>
      </c>
      <c r="C3712" t="s">
        <v>4340</v>
      </c>
      <c r="D3712" s="2" t="s">
        <v>4341</v>
      </c>
      <c r="E3712" t="s">
        <v>1174</v>
      </c>
      <c r="F3712" t="s">
        <v>20</v>
      </c>
      <c r="G3712" t="s">
        <v>21</v>
      </c>
      <c r="H3712" t="s">
        <v>272</v>
      </c>
      <c r="I3712" t="s">
        <v>23</v>
      </c>
      <c r="J3712" t="s">
        <v>40</v>
      </c>
      <c r="K3712" s="2" t="s">
        <v>1525</v>
      </c>
      <c r="L3712" t="s">
        <v>26</v>
      </c>
      <c r="M3712">
        <v>336683</v>
      </c>
      <c r="N3712">
        <v>1</v>
      </c>
      <c r="O3712" s="3">
        <v>74950</v>
      </c>
      <c r="P3712" s="3">
        <v>25232</v>
      </c>
      <c r="Q3712" s="5">
        <f t="shared" si="171"/>
        <v>62983.193277310929</v>
      </c>
      <c r="R3712" s="5">
        <f t="shared" si="172"/>
        <v>25232</v>
      </c>
      <c r="S3712" s="5">
        <f t="shared" si="173"/>
        <v>37751.193277310929</v>
      </c>
    </row>
    <row r="3713" spans="1:19" hidden="1" x14ac:dyDescent="0.3">
      <c r="A3713">
        <v>170</v>
      </c>
      <c r="B3713" t="s">
        <v>4809</v>
      </c>
      <c r="C3713" t="s">
        <v>2395</v>
      </c>
      <c r="D3713" s="2" t="s">
        <v>2396</v>
      </c>
      <c r="E3713" t="s">
        <v>425</v>
      </c>
      <c r="F3713" t="s">
        <v>20</v>
      </c>
      <c r="G3713" t="s">
        <v>21</v>
      </c>
      <c r="H3713" t="s">
        <v>22</v>
      </c>
      <c r="I3713" t="s">
        <v>23</v>
      </c>
      <c r="J3713" t="s">
        <v>24</v>
      </c>
      <c r="K3713" s="2" t="s">
        <v>1525</v>
      </c>
      <c r="L3713" t="s">
        <v>26</v>
      </c>
      <c r="M3713">
        <v>336684</v>
      </c>
      <c r="N3713">
        <v>1</v>
      </c>
      <c r="O3713" s="3">
        <v>79950</v>
      </c>
      <c r="P3713" s="3">
        <v>27848</v>
      </c>
      <c r="Q3713" s="5">
        <f t="shared" si="171"/>
        <v>67184.873949579836</v>
      </c>
      <c r="R3713" s="5">
        <f t="shared" si="172"/>
        <v>27848</v>
      </c>
      <c r="S3713" s="5">
        <f t="shared" si="173"/>
        <v>39336.873949579836</v>
      </c>
    </row>
    <row r="3714" spans="1:19" hidden="1" x14ac:dyDescent="0.3">
      <c r="A3714">
        <v>170</v>
      </c>
      <c r="B3714" t="s">
        <v>4809</v>
      </c>
      <c r="C3714" t="s">
        <v>3443</v>
      </c>
      <c r="D3714" s="2" t="s">
        <v>3444</v>
      </c>
      <c r="E3714" t="s">
        <v>1791</v>
      </c>
      <c r="F3714" t="s">
        <v>20</v>
      </c>
      <c r="G3714" t="s">
        <v>21</v>
      </c>
      <c r="H3714" t="s">
        <v>742</v>
      </c>
      <c r="I3714" t="s">
        <v>23</v>
      </c>
      <c r="J3714" t="s">
        <v>40</v>
      </c>
      <c r="K3714" s="2" t="s">
        <v>1525</v>
      </c>
      <c r="L3714" t="s">
        <v>26</v>
      </c>
      <c r="M3714">
        <v>336685</v>
      </c>
      <c r="N3714">
        <v>1</v>
      </c>
      <c r="O3714" s="3">
        <v>79950</v>
      </c>
      <c r="P3714" s="3">
        <v>26517</v>
      </c>
      <c r="Q3714" s="5">
        <f t="shared" si="171"/>
        <v>67184.873949579836</v>
      </c>
      <c r="R3714" s="5">
        <f t="shared" si="172"/>
        <v>26517</v>
      </c>
      <c r="S3714" s="5">
        <f t="shared" si="173"/>
        <v>40667.873949579836</v>
      </c>
    </row>
    <row r="3715" spans="1:19" hidden="1" x14ac:dyDescent="0.3">
      <c r="A3715">
        <v>170</v>
      </c>
      <c r="B3715" t="s">
        <v>4809</v>
      </c>
      <c r="C3715" t="s">
        <v>5231</v>
      </c>
      <c r="D3715" s="2" t="s">
        <v>5232</v>
      </c>
      <c r="E3715" t="s">
        <v>506</v>
      </c>
      <c r="F3715" t="s">
        <v>20</v>
      </c>
      <c r="G3715" t="s">
        <v>21</v>
      </c>
      <c r="H3715" t="s">
        <v>357</v>
      </c>
      <c r="I3715" t="s">
        <v>23</v>
      </c>
      <c r="J3715" t="s">
        <v>49</v>
      </c>
      <c r="K3715" s="2" t="s">
        <v>1525</v>
      </c>
      <c r="L3715" t="s">
        <v>26</v>
      </c>
      <c r="M3715">
        <v>336686</v>
      </c>
      <c r="N3715">
        <v>1</v>
      </c>
      <c r="O3715" s="3">
        <v>44990</v>
      </c>
      <c r="P3715" s="3">
        <v>26637</v>
      </c>
      <c r="Q3715" s="5">
        <f t="shared" si="171"/>
        <v>37806.722689075636</v>
      </c>
      <c r="R3715" s="5">
        <f t="shared" si="172"/>
        <v>26637</v>
      </c>
      <c r="S3715" s="5">
        <f t="shared" si="173"/>
        <v>11169.722689075636</v>
      </c>
    </row>
    <row r="3716" spans="1:19" hidden="1" x14ac:dyDescent="0.3">
      <c r="A3716">
        <v>170</v>
      </c>
      <c r="B3716" t="s">
        <v>4809</v>
      </c>
      <c r="C3716" t="s">
        <v>2880</v>
      </c>
      <c r="D3716" s="2" t="s">
        <v>2881</v>
      </c>
      <c r="E3716" t="s">
        <v>1913</v>
      </c>
      <c r="F3716" t="s">
        <v>20</v>
      </c>
      <c r="G3716" t="s">
        <v>21</v>
      </c>
      <c r="H3716" t="s">
        <v>1914</v>
      </c>
      <c r="I3716" t="s">
        <v>23</v>
      </c>
      <c r="J3716" t="s">
        <v>35</v>
      </c>
      <c r="K3716" s="2" t="s">
        <v>1525</v>
      </c>
      <c r="L3716" t="s">
        <v>26</v>
      </c>
      <c r="M3716">
        <v>336686</v>
      </c>
      <c r="N3716">
        <v>1</v>
      </c>
      <c r="O3716" s="3">
        <v>76450</v>
      </c>
      <c r="P3716" s="3">
        <v>28298</v>
      </c>
      <c r="Q3716" s="5">
        <f t="shared" si="171"/>
        <v>64243.697478991598</v>
      </c>
      <c r="R3716" s="5">
        <f t="shared" si="172"/>
        <v>28298</v>
      </c>
      <c r="S3716" s="5">
        <f t="shared" si="173"/>
        <v>35945.697478991598</v>
      </c>
    </row>
    <row r="3717" spans="1:19" hidden="1" x14ac:dyDescent="0.3">
      <c r="A3717">
        <v>170</v>
      </c>
      <c r="B3717" t="s">
        <v>4809</v>
      </c>
      <c r="C3717" t="s">
        <v>2250</v>
      </c>
      <c r="D3717" s="2" t="s">
        <v>2251</v>
      </c>
      <c r="E3717" t="s">
        <v>2252</v>
      </c>
      <c r="F3717" t="s">
        <v>20</v>
      </c>
      <c r="G3717" t="s">
        <v>21</v>
      </c>
      <c r="H3717" t="s">
        <v>970</v>
      </c>
      <c r="I3717" t="s">
        <v>23</v>
      </c>
      <c r="J3717" t="s">
        <v>40</v>
      </c>
      <c r="K3717" s="2" t="s">
        <v>1525</v>
      </c>
      <c r="L3717" t="s">
        <v>26</v>
      </c>
      <c r="M3717">
        <v>336687</v>
      </c>
      <c r="N3717">
        <v>1</v>
      </c>
      <c r="O3717" s="3">
        <v>59950</v>
      </c>
      <c r="P3717" s="3">
        <v>15928</v>
      </c>
      <c r="Q3717" s="5">
        <f t="shared" si="171"/>
        <v>50378.151260504201</v>
      </c>
      <c r="R3717" s="5">
        <f t="shared" si="172"/>
        <v>15928</v>
      </c>
      <c r="S3717" s="5">
        <f t="shared" si="173"/>
        <v>34450.151260504201</v>
      </c>
    </row>
    <row r="3718" spans="1:19" hidden="1" x14ac:dyDescent="0.3">
      <c r="A3718">
        <v>170</v>
      </c>
      <c r="B3718" t="s">
        <v>4809</v>
      </c>
      <c r="C3718" t="s">
        <v>5233</v>
      </c>
      <c r="D3718" s="2" t="s">
        <v>5234</v>
      </c>
      <c r="E3718" t="s">
        <v>4257</v>
      </c>
      <c r="F3718" t="s">
        <v>20</v>
      </c>
      <c r="G3718" t="s">
        <v>338</v>
      </c>
      <c r="H3718">
        <v>25702</v>
      </c>
      <c r="I3718" t="s">
        <v>23</v>
      </c>
      <c r="J3718" t="s">
        <v>35</v>
      </c>
      <c r="K3718" s="2" t="s">
        <v>1525</v>
      </c>
      <c r="L3718" t="s">
        <v>26</v>
      </c>
      <c r="M3718">
        <v>336688</v>
      </c>
      <c r="N3718">
        <v>1</v>
      </c>
      <c r="O3718" s="3">
        <v>109950</v>
      </c>
      <c r="P3718" s="3">
        <v>34974</v>
      </c>
      <c r="Q3718" s="5">
        <f t="shared" ref="Q3718:Q3781" si="174">O3718/1.19</f>
        <v>92394.957983193279</v>
      </c>
      <c r="R3718" s="5">
        <f t="shared" ref="R3718:R3781" si="175">N3718*P3718</f>
        <v>34974</v>
      </c>
      <c r="S3718" s="5">
        <f t="shared" ref="S3718:S3781" si="176">Q3718-R3718</f>
        <v>57420.957983193279</v>
      </c>
    </row>
    <row r="3719" spans="1:19" hidden="1" x14ac:dyDescent="0.3">
      <c r="A3719">
        <v>170</v>
      </c>
      <c r="B3719" t="s">
        <v>4809</v>
      </c>
      <c r="C3719" t="s">
        <v>5235</v>
      </c>
      <c r="D3719" s="2" t="s">
        <v>5236</v>
      </c>
      <c r="E3719" t="s">
        <v>2787</v>
      </c>
      <c r="F3719" t="s">
        <v>20</v>
      </c>
      <c r="G3719" t="s">
        <v>21</v>
      </c>
      <c r="H3719" t="s">
        <v>1286</v>
      </c>
      <c r="I3719" t="s">
        <v>23</v>
      </c>
      <c r="J3719" t="s">
        <v>40</v>
      </c>
      <c r="K3719" s="2" t="s">
        <v>1525</v>
      </c>
      <c r="L3719" t="s">
        <v>26</v>
      </c>
      <c r="M3719">
        <v>336689</v>
      </c>
      <c r="N3719">
        <v>1</v>
      </c>
      <c r="O3719" s="3">
        <v>49990</v>
      </c>
      <c r="P3719" s="3">
        <v>24783</v>
      </c>
      <c r="Q3719" s="5">
        <f t="shared" si="174"/>
        <v>42008.403361344543</v>
      </c>
      <c r="R3719" s="5">
        <f t="shared" si="175"/>
        <v>24783</v>
      </c>
      <c r="S3719" s="5">
        <f t="shared" si="176"/>
        <v>17225.403361344543</v>
      </c>
    </row>
    <row r="3720" spans="1:19" hidden="1" x14ac:dyDescent="0.3">
      <c r="A3720">
        <v>170</v>
      </c>
      <c r="B3720" t="s">
        <v>4809</v>
      </c>
      <c r="C3720" t="s">
        <v>4554</v>
      </c>
      <c r="D3720" s="2" t="s">
        <v>4555</v>
      </c>
      <c r="E3720" t="s">
        <v>4556</v>
      </c>
      <c r="F3720" t="s">
        <v>20</v>
      </c>
      <c r="G3720" t="s">
        <v>21</v>
      </c>
      <c r="H3720" t="s">
        <v>1987</v>
      </c>
      <c r="I3720" t="s">
        <v>23</v>
      </c>
      <c r="J3720" t="s">
        <v>35</v>
      </c>
      <c r="K3720" s="2" t="s">
        <v>1525</v>
      </c>
      <c r="L3720" t="s">
        <v>26</v>
      </c>
      <c r="M3720">
        <v>336690</v>
      </c>
      <c r="N3720">
        <v>1</v>
      </c>
      <c r="O3720" s="3">
        <v>76450</v>
      </c>
      <c r="P3720" s="3">
        <v>29858</v>
      </c>
      <c r="Q3720" s="5">
        <f t="shared" si="174"/>
        <v>64243.697478991598</v>
      </c>
      <c r="R3720" s="5">
        <f t="shared" si="175"/>
        <v>29858</v>
      </c>
      <c r="S3720" s="5">
        <f t="shared" si="176"/>
        <v>34385.697478991598</v>
      </c>
    </row>
    <row r="3721" spans="1:19" hidden="1" x14ac:dyDescent="0.3">
      <c r="A3721">
        <v>170</v>
      </c>
      <c r="B3721" t="s">
        <v>4809</v>
      </c>
      <c r="C3721" t="s">
        <v>1037</v>
      </c>
      <c r="D3721" s="2" t="s">
        <v>1038</v>
      </c>
      <c r="E3721" t="s">
        <v>1039</v>
      </c>
      <c r="F3721" t="s">
        <v>377</v>
      </c>
      <c r="G3721" t="s">
        <v>21</v>
      </c>
      <c r="H3721" t="s">
        <v>378</v>
      </c>
      <c r="I3721" t="s">
        <v>23</v>
      </c>
      <c r="J3721" t="s">
        <v>379</v>
      </c>
      <c r="K3721" s="2" t="s">
        <v>1525</v>
      </c>
      <c r="L3721" t="s">
        <v>26</v>
      </c>
      <c r="M3721">
        <v>336690</v>
      </c>
      <c r="N3721">
        <v>1</v>
      </c>
      <c r="O3721" s="3">
        <v>5950</v>
      </c>
      <c r="P3721" s="3">
        <v>3257</v>
      </c>
      <c r="Q3721" s="5">
        <f t="shared" si="174"/>
        <v>5000</v>
      </c>
      <c r="R3721" s="5">
        <f t="shared" si="175"/>
        <v>3257</v>
      </c>
      <c r="S3721" s="5">
        <f t="shared" si="176"/>
        <v>1743</v>
      </c>
    </row>
    <row r="3722" spans="1:19" hidden="1" x14ac:dyDescent="0.3">
      <c r="A3722">
        <v>170</v>
      </c>
      <c r="B3722" t="s">
        <v>4809</v>
      </c>
      <c r="C3722" t="s">
        <v>5237</v>
      </c>
      <c r="D3722" s="2" t="s">
        <v>5238</v>
      </c>
      <c r="E3722" t="s">
        <v>3486</v>
      </c>
      <c r="F3722" t="s">
        <v>20</v>
      </c>
      <c r="G3722" t="s">
        <v>21</v>
      </c>
      <c r="H3722" t="s">
        <v>247</v>
      </c>
      <c r="I3722" t="s">
        <v>23</v>
      </c>
      <c r="J3722" t="s">
        <v>40</v>
      </c>
      <c r="K3722" s="2" t="s">
        <v>1525</v>
      </c>
      <c r="L3722" t="s">
        <v>26</v>
      </c>
      <c r="M3722">
        <v>336691</v>
      </c>
      <c r="N3722">
        <v>1</v>
      </c>
      <c r="O3722" s="3">
        <v>59950</v>
      </c>
      <c r="P3722" s="3">
        <v>16103</v>
      </c>
      <c r="Q3722" s="5">
        <f t="shared" si="174"/>
        <v>50378.151260504201</v>
      </c>
      <c r="R3722" s="5">
        <f t="shared" si="175"/>
        <v>16103</v>
      </c>
      <c r="S3722" s="5">
        <f t="shared" si="176"/>
        <v>34275.151260504201</v>
      </c>
    </row>
    <row r="3723" spans="1:19" hidden="1" x14ac:dyDescent="0.3">
      <c r="A3723">
        <v>170</v>
      </c>
      <c r="B3723" t="s">
        <v>4809</v>
      </c>
      <c r="C3723" t="s">
        <v>2623</v>
      </c>
      <c r="D3723" s="2" t="s">
        <v>2624</v>
      </c>
      <c r="E3723" t="s">
        <v>2278</v>
      </c>
      <c r="F3723" t="s">
        <v>20</v>
      </c>
      <c r="G3723" t="s">
        <v>21</v>
      </c>
      <c r="H3723" t="s">
        <v>346</v>
      </c>
      <c r="I3723" t="s">
        <v>23</v>
      </c>
      <c r="J3723" t="s">
        <v>49</v>
      </c>
      <c r="K3723" s="2" t="s">
        <v>1525</v>
      </c>
      <c r="L3723" t="s">
        <v>26</v>
      </c>
      <c r="M3723">
        <v>336691</v>
      </c>
      <c r="N3723">
        <v>-1</v>
      </c>
      <c r="O3723" s="3">
        <v>-49990</v>
      </c>
      <c r="P3723" s="3">
        <v>23234</v>
      </c>
      <c r="Q3723" s="5">
        <f t="shared" si="174"/>
        <v>-42008.403361344543</v>
      </c>
      <c r="R3723" s="5">
        <f t="shared" si="175"/>
        <v>-23234</v>
      </c>
      <c r="S3723" s="5">
        <f t="shared" si="176"/>
        <v>-18774.403361344543</v>
      </c>
    </row>
    <row r="3724" spans="1:19" hidden="1" x14ac:dyDescent="0.3">
      <c r="A3724">
        <v>170</v>
      </c>
      <c r="B3724" t="s">
        <v>4809</v>
      </c>
      <c r="C3724" t="s">
        <v>2338</v>
      </c>
      <c r="D3724" s="2" t="s">
        <v>2339</v>
      </c>
      <c r="E3724" t="s">
        <v>2340</v>
      </c>
      <c r="F3724" t="s">
        <v>20</v>
      </c>
      <c r="G3724" t="s">
        <v>21</v>
      </c>
      <c r="H3724" t="s">
        <v>1914</v>
      </c>
      <c r="I3724" t="s">
        <v>23</v>
      </c>
      <c r="J3724" t="s">
        <v>35</v>
      </c>
      <c r="K3724" s="2" t="s">
        <v>1525</v>
      </c>
      <c r="L3724" t="s">
        <v>26</v>
      </c>
      <c r="M3724">
        <v>336692</v>
      </c>
      <c r="N3724">
        <v>1</v>
      </c>
      <c r="O3724" s="3">
        <v>89950</v>
      </c>
      <c r="P3724" s="3">
        <v>27630</v>
      </c>
      <c r="Q3724" s="5">
        <f t="shared" si="174"/>
        <v>75588.23529411765</v>
      </c>
      <c r="R3724" s="5">
        <f t="shared" si="175"/>
        <v>27630</v>
      </c>
      <c r="S3724" s="5">
        <f t="shared" si="176"/>
        <v>47958.23529411765</v>
      </c>
    </row>
    <row r="3725" spans="1:19" hidden="1" x14ac:dyDescent="0.3">
      <c r="A3725">
        <v>170</v>
      </c>
      <c r="B3725" t="s">
        <v>4809</v>
      </c>
      <c r="C3725" t="s">
        <v>2989</v>
      </c>
      <c r="D3725" s="2" t="s">
        <v>2990</v>
      </c>
      <c r="E3725" t="s">
        <v>2208</v>
      </c>
      <c r="F3725" t="s">
        <v>20</v>
      </c>
      <c r="G3725" t="s">
        <v>338</v>
      </c>
      <c r="H3725">
        <v>25823</v>
      </c>
      <c r="I3725" t="s">
        <v>23</v>
      </c>
      <c r="J3725" t="s">
        <v>35</v>
      </c>
      <c r="K3725" s="2" t="s">
        <v>1525</v>
      </c>
      <c r="L3725" t="s">
        <v>26</v>
      </c>
      <c r="M3725">
        <v>336692</v>
      </c>
      <c r="N3725">
        <v>1</v>
      </c>
      <c r="O3725" s="3">
        <v>84950</v>
      </c>
      <c r="P3725" s="3">
        <v>33748</v>
      </c>
      <c r="Q3725" s="5">
        <f t="shared" si="174"/>
        <v>71386.554621848743</v>
      </c>
      <c r="R3725" s="5">
        <f t="shared" si="175"/>
        <v>33748</v>
      </c>
      <c r="S3725" s="5">
        <f t="shared" si="176"/>
        <v>37638.554621848743</v>
      </c>
    </row>
    <row r="3726" spans="1:19" hidden="1" x14ac:dyDescent="0.3">
      <c r="A3726">
        <v>170</v>
      </c>
      <c r="B3726" t="s">
        <v>4809</v>
      </c>
      <c r="C3726" t="s">
        <v>3251</v>
      </c>
      <c r="D3726" s="2" t="s">
        <v>3252</v>
      </c>
      <c r="E3726" t="s">
        <v>2226</v>
      </c>
      <c r="F3726" t="s">
        <v>20</v>
      </c>
      <c r="G3726" t="s">
        <v>21</v>
      </c>
      <c r="H3726" t="s">
        <v>53</v>
      </c>
      <c r="I3726" t="s">
        <v>23</v>
      </c>
      <c r="J3726" t="s">
        <v>49</v>
      </c>
      <c r="K3726" s="2" t="s">
        <v>1525</v>
      </c>
      <c r="L3726" t="s">
        <v>26</v>
      </c>
      <c r="M3726">
        <v>336693</v>
      </c>
      <c r="N3726">
        <v>1</v>
      </c>
      <c r="O3726" s="3">
        <v>69950</v>
      </c>
      <c r="P3726" s="3">
        <v>20749</v>
      </c>
      <c r="Q3726" s="5">
        <f t="shared" si="174"/>
        <v>58781.512605042022</v>
      </c>
      <c r="R3726" s="5">
        <f t="shared" si="175"/>
        <v>20749</v>
      </c>
      <c r="S3726" s="5">
        <f t="shared" si="176"/>
        <v>38032.512605042022</v>
      </c>
    </row>
    <row r="3727" spans="1:19" hidden="1" x14ac:dyDescent="0.3">
      <c r="A3727">
        <v>170</v>
      </c>
      <c r="B3727" t="s">
        <v>4809</v>
      </c>
      <c r="C3727" t="s">
        <v>5239</v>
      </c>
      <c r="D3727" s="2" t="s">
        <v>5240</v>
      </c>
      <c r="E3727" t="s">
        <v>5132</v>
      </c>
      <c r="F3727" t="s">
        <v>20</v>
      </c>
      <c r="G3727" t="s">
        <v>21</v>
      </c>
      <c r="H3727" t="s">
        <v>243</v>
      </c>
      <c r="I3727" t="s">
        <v>23</v>
      </c>
      <c r="J3727" t="s">
        <v>35</v>
      </c>
      <c r="K3727" s="2" t="s">
        <v>1525</v>
      </c>
      <c r="L3727" t="s">
        <v>26</v>
      </c>
      <c r="M3727">
        <v>336694</v>
      </c>
      <c r="N3727">
        <v>1</v>
      </c>
      <c r="O3727" s="3">
        <v>99950</v>
      </c>
      <c r="P3727" s="3">
        <v>53269</v>
      </c>
      <c r="Q3727" s="5">
        <f t="shared" si="174"/>
        <v>83991.596638655465</v>
      </c>
      <c r="R3727" s="5">
        <f t="shared" si="175"/>
        <v>53269</v>
      </c>
      <c r="S3727" s="5">
        <f t="shared" si="176"/>
        <v>30722.596638655465</v>
      </c>
    </row>
    <row r="3728" spans="1:19" hidden="1" x14ac:dyDescent="0.3">
      <c r="A3728">
        <v>170</v>
      </c>
      <c r="B3728" t="s">
        <v>4809</v>
      </c>
      <c r="C3728" t="s">
        <v>4283</v>
      </c>
      <c r="D3728" s="2" t="s">
        <v>4284</v>
      </c>
      <c r="E3728" t="s">
        <v>3449</v>
      </c>
      <c r="F3728" t="s">
        <v>20</v>
      </c>
      <c r="G3728" t="s">
        <v>338</v>
      </c>
      <c r="H3728">
        <v>25366</v>
      </c>
      <c r="I3728" t="s">
        <v>23</v>
      </c>
      <c r="J3728" t="s">
        <v>35</v>
      </c>
      <c r="K3728" s="2" t="s">
        <v>1525</v>
      </c>
      <c r="L3728" t="s">
        <v>26</v>
      </c>
      <c r="M3728">
        <v>336694</v>
      </c>
      <c r="N3728">
        <v>1</v>
      </c>
      <c r="O3728" s="3">
        <v>84950</v>
      </c>
      <c r="P3728" s="3">
        <v>33157</v>
      </c>
      <c r="Q3728" s="5">
        <f t="shared" si="174"/>
        <v>71386.554621848743</v>
      </c>
      <c r="R3728" s="5">
        <f t="shared" si="175"/>
        <v>33157</v>
      </c>
      <c r="S3728" s="5">
        <f t="shared" si="176"/>
        <v>38229.554621848743</v>
      </c>
    </row>
    <row r="3729" spans="1:19" hidden="1" x14ac:dyDescent="0.3">
      <c r="A3729">
        <v>170</v>
      </c>
      <c r="B3729" t="s">
        <v>4809</v>
      </c>
      <c r="C3729">
        <v>1687976791</v>
      </c>
      <c r="D3729" s="2" t="s">
        <v>200</v>
      </c>
      <c r="E3729" t="s">
        <v>201</v>
      </c>
      <c r="F3729" t="s">
        <v>201</v>
      </c>
      <c r="G3729" t="s">
        <v>202</v>
      </c>
      <c r="H3729" t="s">
        <v>202</v>
      </c>
      <c r="I3729" t="s">
        <v>23</v>
      </c>
      <c r="J3729" t="s">
        <v>202</v>
      </c>
      <c r="K3729" s="2" t="s">
        <v>1525</v>
      </c>
      <c r="L3729" t="s">
        <v>26</v>
      </c>
      <c r="M3729">
        <v>336695</v>
      </c>
      <c r="N3729">
        <v>1</v>
      </c>
      <c r="O3729">
        <v>1</v>
      </c>
      <c r="P3729">
        <v>1</v>
      </c>
      <c r="Q3729" s="5">
        <f t="shared" si="174"/>
        <v>0.84033613445378152</v>
      </c>
      <c r="R3729" s="5">
        <f t="shared" si="175"/>
        <v>1</v>
      </c>
      <c r="S3729" s="5">
        <f t="shared" si="176"/>
        <v>-0.15966386554621848</v>
      </c>
    </row>
    <row r="3730" spans="1:19" hidden="1" x14ac:dyDescent="0.3">
      <c r="A3730">
        <v>170</v>
      </c>
      <c r="B3730" t="s">
        <v>4809</v>
      </c>
      <c r="C3730" t="s">
        <v>5241</v>
      </c>
      <c r="D3730" s="2" t="s">
        <v>5242</v>
      </c>
      <c r="E3730" t="s">
        <v>2373</v>
      </c>
      <c r="F3730" t="s">
        <v>20</v>
      </c>
      <c r="G3730" t="s">
        <v>338</v>
      </c>
      <c r="H3730">
        <v>24239</v>
      </c>
      <c r="I3730" t="s">
        <v>23</v>
      </c>
      <c r="J3730" t="s">
        <v>95</v>
      </c>
      <c r="K3730" s="2" t="s">
        <v>1525</v>
      </c>
      <c r="L3730" t="s">
        <v>26</v>
      </c>
      <c r="M3730">
        <v>336695</v>
      </c>
      <c r="N3730">
        <v>1</v>
      </c>
      <c r="O3730" s="3">
        <v>59950</v>
      </c>
      <c r="P3730" s="3">
        <v>18677</v>
      </c>
      <c r="Q3730" s="5">
        <f t="shared" si="174"/>
        <v>50378.151260504201</v>
      </c>
      <c r="R3730" s="5">
        <f t="shared" si="175"/>
        <v>18677</v>
      </c>
      <c r="S3730" s="5">
        <f t="shared" si="176"/>
        <v>31701.151260504201</v>
      </c>
    </row>
    <row r="3731" spans="1:19" hidden="1" x14ac:dyDescent="0.3">
      <c r="A3731">
        <v>170</v>
      </c>
      <c r="B3731" t="s">
        <v>4809</v>
      </c>
      <c r="C3731" t="s">
        <v>5243</v>
      </c>
      <c r="D3731" s="2" t="s">
        <v>5244</v>
      </c>
      <c r="E3731" t="s">
        <v>2611</v>
      </c>
      <c r="F3731" t="s">
        <v>20</v>
      </c>
      <c r="G3731" t="s">
        <v>338</v>
      </c>
      <c r="H3731">
        <v>25312</v>
      </c>
      <c r="I3731" t="s">
        <v>23</v>
      </c>
      <c r="J3731" t="s">
        <v>35</v>
      </c>
      <c r="K3731" s="2" t="s">
        <v>1525</v>
      </c>
      <c r="L3731" t="s">
        <v>26</v>
      </c>
      <c r="M3731">
        <v>336696</v>
      </c>
      <c r="N3731">
        <v>1</v>
      </c>
      <c r="O3731" s="3">
        <v>59450</v>
      </c>
      <c r="P3731" s="3">
        <v>21167</v>
      </c>
      <c r="Q3731" s="5">
        <f t="shared" si="174"/>
        <v>49957.983193277316</v>
      </c>
      <c r="R3731" s="5">
        <f t="shared" si="175"/>
        <v>21167</v>
      </c>
      <c r="S3731" s="5">
        <f t="shared" si="176"/>
        <v>28790.983193277316</v>
      </c>
    </row>
    <row r="3732" spans="1:19" hidden="1" x14ac:dyDescent="0.3">
      <c r="A3732">
        <v>170</v>
      </c>
      <c r="B3732" t="s">
        <v>4809</v>
      </c>
      <c r="C3732">
        <v>1687976791</v>
      </c>
      <c r="D3732" s="2" t="s">
        <v>200</v>
      </c>
      <c r="E3732" t="s">
        <v>201</v>
      </c>
      <c r="F3732" t="s">
        <v>201</v>
      </c>
      <c r="G3732" t="s">
        <v>202</v>
      </c>
      <c r="H3732" t="s">
        <v>202</v>
      </c>
      <c r="I3732" t="s">
        <v>23</v>
      </c>
      <c r="J3732" t="s">
        <v>202</v>
      </c>
      <c r="K3732" s="2" t="s">
        <v>1525</v>
      </c>
      <c r="L3732" t="s">
        <v>26</v>
      </c>
      <c r="M3732">
        <v>336697</v>
      </c>
      <c r="N3732">
        <v>1</v>
      </c>
      <c r="O3732">
        <v>1</v>
      </c>
      <c r="P3732">
        <v>1</v>
      </c>
      <c r="Q3732" s="5">
        <f t="shared" si="174"/>
        <v>0.84033613445378152</v>
      </c>
      <c r="R3732" s="5">
        <f t="shared" si="175"/>
        <v>1</v>
      </c>
      <c r="S3732" s="5">
        <f t="shared" si="176"/>
        <v>-0.15966386554621848</v>
      </c>
    </row>
    <row r="3733" spans="1:19" hidden="1" x14ac:dyDescent="0.3">
      <c r="A3733">
        <v>170</v>
      </c>
      <c r="B3733" t="s">
        <v>4809</v>
      </c>
      <c r="C3733" t="s">
        <v>4833</v>
      </c>
      <c r="D3733" s="2" t="s">
        <v>4834</v>
      </c>
      <c r="E3733" t="s">
        <v>3003</v>
      </c>
      <c r="F3733" t="s">
        <v>20</v>
      </c>
      <c r="G3733" t="s">
        <v>338</v>
      </c>
      <c r="H3733">
        <v>25312</v>
      </c>
      <c r="I3733" t="s">
        <v>23</v>
      </c>
      <c r="J3733" t="s">
        <v>35</v>
      </c>
      <c r="K3733" s="2" t="s">
        <v>1525</v>
      </c>
      <c r="L3733" t="s">
        <v>26</v>
      </c>
      <c r="M3733">
        <v>336697</v>
      </c>
      <c r="N3733">
        <v>1</v>
      </c>
      <c r="O3733" s="3">
        <v>69950</v>
      </c>
      <c r="P3733" s="3">
        <v>21167</v>
      </c>
      <c r="Q3733" s="5">
        <f t="shared" si="174"/>
        <v>58781.512605042022</v>
      </c>
      <c r="R3733" s="5">
        <f t="shared" si="175"/>
        <v>21167</v>
      </c>
      <c r="S3733" s="5">
        <f t="shared" si="176"/>
        <v>37614.512605042022</v>
      </c>
    </row>
    <row r="3734" spans="1:19" hidden="1" x14ac:dyDescent="0.3">
      <c r="A3734">
        <v>170</v>
      </c>
      <c r="B3734" t="s">
        <v>4809</v>
      </c>
      <c r="C3734" t="s">
        <v>5245</v>
      </c>
      <c r="D3734" s="2" t="s">
        <v>5246</v>
      </c>
      <c r="E3734" t="s">
        <v>4643</v>
      </c>
      <c r="F3734" t="s">
        <v>20</v>
      </c>
      <c r="G3734" t="s">
        <v>338</v>
      </c>
      <c r="H3734">
        <v>85101</v>
      </c>
      <c r="I3734" t="s">
        <v>23</v>
      </c>
      <c r="J3734" t="s">
        <v>35</v>
      </c>
      <c r="K3734" s="2" t="s">
        <v>1525</v>
      </c>
      <c r="L3734" t="s">
        <v>26</v>
      </c>
      <c r="M3734">
        <v>336698</v>
      </c>
      <c r="N3734">
        <v>1</v>
      </c>
      <c r="O3734" s="3">
        <v>99950</v>
      </c>
      <c r="P3734" s="3">
        <v>33793</v>
      </c>
      <c r="Q3734" s="5">
        <f t="shared" si="174"/>
        <v>83991.596638655465</v>
      </c>
      <c r="R3734" s="5">
        <f t="shared" si="175"/>
        <v>33793</v>
      </c>
      <c r="S3734" s="5">
        <f t="shared" si="176"/>
        <v>50198.596638655465</v>
      </c>
    </row>
    <row r="3735" spans="1:19" hidden="1" x14ac:dyDescent="0.3">
      <c r="A3735">
        <v>170</v>
      </c>
      <c r="B3735" t="s">
        <v>4809</v>
      </c>
      <c r="C3735" t="s">
        <v>2365</v>
      </c>
      <c r="D3735" s="2" t="s">
        <v>2366</v>
      </c>
      <c r="E3735" t="s">
        <v>2367</v>
      </c>
      <c r="F3735" t="s">
        <v>377</v>
      </c>
      <c r="G3735" t="s">
        <v>21</v>
      </c>
      <c r="H3735" t="s">
        <v>378</v>
      </c>
      <c r="I3735" t="s">
        <v>23</v>
      </c>
      <c r="J3735" t="s">
        <v>379</v>
      </c>
      <c r="K3735" s="2" t="s">
        <v>1525</v>
      </c>
      <c r="L3735" t="s">
        <v>26</v>
      </c>
      <c r="M3735">
        <v>336698</v>
      </c>
      <c r="N3735">
        <v>1</v>
      </c>
      <c r="O3735" s="3">
        <v>6950</v>
      </c>
      <c r="P3735" s="3">
        <v>3759</v>
      </c>
      <c r="Q3735" s="5">
        <f t="shared" si="174"/>
        <v>5840.3361344537816</v>
      </c>
      <c r="R3735" s="5">
        <f t="shared" si="175"/>
        <v>3759</v>
      </c>
      <c r="S3735" s="5">
        <f t="shared" si="176"/>
        <v>2081.3361344537816</v>
      </c>
    </row>
    <row r="3736" spans="1:19" hidden="1" x14ac:dyDescent="0.3">
      <c r="A3736">
        <v>170</v>
      </c>
      <c r="B3736" t="s">
        <v>4809</v>
      </c>
      <c r="C3736" t="s">
        <v>2365</v>
      </c>
      <c r="D3736" s="2" t="s">
        <v>2366</v>
      </c>
      <c r="E3736" t="s">
        <v>2367</v>
      </c>
      <c r="F3736" t="s">
        <v>377</v>
      </c>
      <c r="G3736" t="s">
        <v>21</v>
      </c>
      <c r="H3736" t="s">
        <v>378</v>
      </c>
      <c r="I3736" t="s">
        <v>23</v>
      </c>
      <c r="J3736" t="s">
        <v>379</v>
      </c>
      <c r="K3736" s="2" t="s">
        <v>1525</v>
      </c>
      <c r="L3736" t="s">
        <v>26</v>
      </c>
      <c r="M3736">
        <v>336699</v>
      </c>
      <c r="N3736">
        <v>1</v>
      </c>
      <c r="O3736" s="3">
        <v>6950</v>
      </c>
      <c r="P3736" s="3">
        <v>3759</v>
      </c>
      <c r="Q3736" s="5">
        <f t="shared" si="174"/>
        <v>5840.3361344537816</v>
      </c>
      <c r="R3736" s="5">
        <f t="shared" si="175"/>
        <v>3759</v>
      </c>
      <c r="S3736" s="5">
        <f t="shared" si="176"/>
        <v>2081.3361344537816</v>
      </c>
    </row>
    <row r="3737" spans="1:19" hidden="1" x14ac:dyDescent="0.3">
      <c r="A3737">
        <v>170</v>
      </c>
      <c r="B3737" t="s">
        <v>4809</v>
      </c>
      <c r="C3737" t="s">
        <v>4447</v>
      </c>
      <c r="D3737" s="2" t="s">
        <v>4448</v>
      </c>
      <c r="E3737" t="s">
        <v>2373</v>
      </c>
      <c r="F3737" t="s">
        <v>20</v>
      </c>
      <c r="G3737" t="s">
        <v>338</v>
      </c>
      <c r="H3737">
        <v>24239</v>
      </c>
      <c r="I3737" t="s">
        <v>23</v>
      </c>
      <c r="J3737" t="s">
        <v>95</v>
      </c>
      <c r="K3737" s="2" t="s">
        <v>1525</v>
      </c>
      <c r="L3737" t="s">
        <v>26</v>
      </c>
      <c r="M3737">
        <v>336700</v>
      </c>
      <c r="N3737">
        <v>1</v>
      </c>
      <c r="O3737" s="3">
        <v>59950</v>
      </c>
      <c r="P3737" s="3">
        <v>18677</v>
      </c>
      <c r="Q3737" s="5">
        <f t="shared" si="174"/>
        <v>50378.151260504201</v>
      </c>
      <c r="R3737" s="5">
        <f t="shared" si="175"/>
        <v>18677</v>
      </c>
      <c r="S3737" s="5">
        <f t="shared" si="176"/>
        <v>31701.151260504201</v>
      </c>
    </row>
    <row r="3738" spans="1:19" hidden="1" x14ac:dyDescent="0.3">
      <c r="A3738">
        <v>170</v>
      </c>
      <c r="B3738" t="s">
        <v>4809</v>
      </c>
      <c r="C3738" t="s">
        <v>1149</v>
      </c>
      <c r="D3738" s="2" t="s">
        <v>1150</v>
      </c>
      <c r="E3738" t="s">
        <v>1151</v>
      </c>
      <c r="F3738" t="s">
        <v>20</v>
      </c>
      <c r="G3738" t="s">
        <v>338</v>
      </c>
      <c r="H3738">
        <v>25362</v>
      </c>
      <c r="I3738" t="s">
        <v>23</v>
      </c>
      <c r="J3738" t="s">
        <v>35</v>
      </c>
      <c r="K3738" s="2" t="s">
        <v>1525</v>
      </c>
      <c r="L3738" t="s">
        <v>26</v>
      </c>
      <c r="M3738">
        <v>336701</v>
      </c>
      <c r="N3738">
        <v>1</v>
      </c>
      <c r="O3738" s="3">
        <v>74950</v>
      </c>
      <c r="P3738" s="3">
        <v>23473</v>
      </c>
      <c r="Q3738" s="5">
        <f t="shared" si="174"/>
        <v>62983.193277310929</v>
      </c>
      <c r="R3738" s="5">
        <f t="shared" si="175"/>
        <v>23473</v>
      </c>
      <c r="S3738" s="5">
        <f t="shared" si="176"/>
        <v>39510.193277310929</v>
      </c>
    </row>
    <row r="3739" spans="1:19" hidden="1" x14ac:dyDescent="0.3">
      <c r="A3739">
        <v>170</v>
      </c>
      <c r="B3739" t="s">
        <v>4809</v>
      </c>
      <c r="C3739" t="s">
        <v>5247</v>
      </c>
      <c r="D3739" s="2" t="s">
        <v>5248</v>
      </c>
      <c r="E3739" t="s">
        <v>5249</v>
      </c>
      <c r="F3739" t="s">
        <v>20</v>
      </c>
      <c r="G3739" t="s">
        <v>21</v>
      </c>
      <c r="H3739" t="s">
        <v>5250</v>
      </c>
      <c r="I3739" t="s">
        <v>23</v>
      </c>
      <c r="J3739" t="s">
        <v>49</v>
      </c>
      <c r="K3739" s="2" t="s">
        <v>1525</v>
      </c>
      <c r="L3739" t="s">
        <v>26</v>
      </c>
      <c r="M3739">
        <v>336702</v>
      </c>
      <c r="N3739">
        <v>1</v>
      </c>
      <c r="O3739" s="3">
        <v>74950</v>
      </c>
      <c r="P3739" s="3">
        <v>30925</v>
      </c>
      <c r="Q3739" s="5">
        <f t="shared" si="174"/>
        <v>62983.193277310929</v>
      </c>
      <c r="R3739" s="5">
        <f t="shared" si="175"/>
        <v>30925</v>
      </c>
      <c r="S3739" s="5">
        <f t="shared" si="176"/>
        <v>32058.193277310929</v>
      </c>
    </row>
    <row r="3740" spans="1:19" hidden="1" x14ac:dyDescent="0.3">
      <c r="A3740">
        <v>170</v>
      </c>
      <c r="B3740" t="s">
        <v>4809</v>
      </c>
      <c r="C3740" t="s">
        <v>5251</v>
      </c>
      <c r="D3740" s="2" t="s">
        <v>5252</v>
      </c>
      <c r="E3740" t="s">
        <v>3108</v>
      </c>
      <c r="F3740" t="s">
        <v>377</v>
      </c>
      <c r="G3740" t="s">
        <v>21</v>
      </c>
      <c r="H3740" t="s">
        <v>378</v>
      </c>
      <c r="I3740" t="s">
        <v>23</v>
      </c>
      <c r="J3740" t="s">
        <v>2620</v>
      </c>
      <c r="K3740" s="2" t="s">
        <v>1525</v>
      </c>
      <c r="L3740" t="s">
        <v>26</v>
      </c>
      <c r="M3740">
        <v>336703</v>
      </c>
      <c r="N3740">
        <v>1</v>
      </c>
      <c r="O3740" s="3">
        <v>26950</v>
      </c>
      <c r="P3740" s="3">
        <v>13329</v>
      </c>
      <c r="Q3740" s="5">
        <f t="shared" si="174"/>
        <v>22647.058823529413</v>
      </c>
      <c r="R3740" s="5">
        <f t="shared" si="175"/>
        <v>13329</v>
      </c>
      <c r="S3740" s="5">
        <f t="shared" si="176"/>
        <v>9318.0588235294126</v>
      </c>
    </row>
    <row r="3741" spans="1:19" hidden="1" x14ac:dyDescent="0.3">
      <c r="A3741">
        <v>170</v>
      </c>
      <c r="B3741" t="s">
        <v>4809</v>
      </c>
      <c r="C3741" t="s">
        <v>5253</v>
      </c>
      <c r="D3741" s="2" t="s">
        <v>5254</v>
      </c>
      <c r="E3741" t="s">
        <v>4038</v>
      </c>
      <c r="F3741" t="s">
        <v>20</v>
      </c>
      <c r="G3741" t="s">
        <v>21</v>
      </c>
      <c r="H3741" t="s">
        <v>2469</v>
      </c>
      <c r="I3741" t="s">
        <v>23</v>
      </c>
      <c r="J3741" t="s">
        <v>35</v>
      </c>
      <c r="K3741" s="2" t="s">
        <v>1525</v>
      </c>
      <c r="L3741" t="s">
        <v>26</v>
      </c>
      <c r="M3741">
        <v>336704</v>
      </c>
      <c r="N3741">
        <v>1</v>
      </c>
      <c r="O3741" s="3">
        <v>84950</v>
      </c>
      <c r="P3741" s="3">
        <v>29635</v>
      </c>
      <c r="Q3741" s="5">
        <f t="shared" si="174"/>
        <v>71386.554621848743</v>
      </c>
      <c r="R3741" s="5">
        <f t="shared" si="175"/>
        <v>29635</v>
      </c>
      <c r="S3741" s="5">
        <f t="shared" si="176"/>
        <v>41751.554621848743</v>
      </c>
    </row>
    <row r="3742" spans="1:19" hidden="1" x14ac:dyDescent="0.3">
      <c r="A3742">
        <v>170</v>
      </c>
      <c r="B3742" t="s">
        <v>4809</v>
      </c>
      <c r="C3742" t="s">
        <v>2955</v>
      </c>
      <c r="D3742" s="2" t="s">
        <v>2956</v>
      </c>
      <c r="E3742" t="s">
        <v>1758</v>
      </c>
      <c r="F3742" t="s">
        <v>20</v>
      </c>
      <c r="G3742" t="s">
        <v>338</v>
      </c>
      <c r="H3742">
        <v>25133</v>
      </c>
      <c r="I3742" t="s">
        <v>23</v>
      </c>
      <c r="J3742" t="s">
        <v>35</v>
      </c>
      <c r="K3742" s="2" t="s">
        <v>1525</v>
      </c>
      <c r="L3742" t="s">
        <v>26</v>
      </c>
      <c r="M3742">
        <v>336705</v>
      </c>
      <c r="N3742">
        <v>1</v>
      </c>
      <c r="O3742" s="3">
        <v>74950</v>
      </c>
      <c r="P3742" s="3">
        <v>21167</v>
      </c>
      <c r="Q3742" s="5">
        <f t="shared" si="174"/>
        <v>62983.193277310929</v>
      </c>
      <c r="R3742" s="5">
        <f t="shared" si="175"/>
        <v>21167</v>
      </c>
      <c r="S3742" s="5">
        <f t="shared" si="176"/>
        <v>41816.193277310929</v>
      </c>
    </row>
    <row r="3743" spans="1:19" hidden="1" x14ac:dyDescent="0.3">
      <c r="A3743">
        <v>170</v>
      </c>
      <c r="B3743" t="s">
        <v>4809</v>
      </c>
      <c r="C3743" t="s">
        <v>5255</v>
      </c>
      <c r="D3743" s="2" t="s">
        <v>5256</v>
      </c>
      <c r="E3743" t="s">
        <v>4574</v>
      </c>
      <c r="F3743" t="s">
        <v>20</v>
      </c>
      <c r="G3743" t="s">
        <v>21</v>
      </c>
      <c r="H3743" t="s">
        <v>3028</v>
      </c>
      <c r="I3743" t="s">
        <v>23</v>
      </c>
      <c r="J3743" t="s">
        <v>35</v>
      </c>
      <c r="K3743" s="2" t="s">
        <v>1525</v>
      </c>
      <c r="L3743" t="s">
        <v>26</v>
      </c>
      <c r="M3743">
        <v>336706</v>
      </c>
      <c r="N3743">
        <v>1</v>
      </c>
      <c r="O3743" s="3">
        <v>99950</v>
      </c>
      <c r="P3743" s="3">
        <v>53748</v>
      </c>
      <c r="Q3743" s="5">
        <f t="shared" si="174"/>
        <v>83991.596638655465</v>
      </c>
      <c r="R3743" s="5">
        <f t="shared" si="175"/>
        <v>53748</v>
      </c>
      <c r="S3743" s="5">
        <f t="shared" si="176"/>
        <v>30243.596638655465</v>
      </c>
    </row>
    <row r="3744" spans="1:19" hidden="1" x14ac:dyDescent="0.3">
      <c r="A3744">
        <v>170</v>
      </c>
      <c r="B3744" t="s">
        <v>4809</v>
      </c>
      <c r="C3744" t="s">
        <v>5257</v>
      </c>
      <c r="D3744" s="2" t="s">
        <v>5258</v>
      </c>
      <c r="E3744" t="s">
        <v>3027</v>
      </c>
      <c r="F3744" t="s">
        <v>20</v>
      </c>
      <c r="G3744" t="s">
        <v>21</v>
      </c>
      <c r="H3744" t="s">
        <v>3028</v>
      </c>
      <c r="I3744" t="s">
        <v>23</v>
      </c>
      <c r="J3744" t="s">
        <v>35</v>
      </c>
      <c r="K3744" s="2" t="s">
        <v>1525</v>
      </c>
      <c r="L3744" t="s">
        <v>26</v>
      </c>
      <c r="M3744">
        <v>336706</v>
      </c>
      <c r="N3744">
        <v>1</v>
      </c>
      <c r="O3744" s="3">
        <v>84950</v>
      </c>
      <c r="P3744" s="3">
        <v>53748</v>
      </c>
      <c r="Q3744" s="5">
        <f t="shared" si="174"/>
        <v>71386.554621848743</v>
      </c>
      <c r="R3744" s="5">
        <f t="shared" si="175"/>
        <v>53748</v>
      </c>
      <c r="S3744" s="5">
        <f t="shared" si="176"/>
        <v>17638.554621848743</v>
      </c>
    </row>
    <row r="3745" spans="1:19" hidden="1" x14ac:dyDescent="0.3">
      <c r="A3745">
        <v>170</v>
      </c>
      <c r="B3745" t="s">
        <v>4809</v>
      </c>
      <c r="C3745" t="s">
        <v>5006</v>
      </c>
      <c r="D3745" s="2" t="s">
        <v>5007</v>
      </c>
      <c r="E3745" t="s">
        <v>1223</v>
      </c>
      <c r="F3745" t="s">
        <v>20</v>
      </c>
      <c r="G3745" t="s">
        <v>21</v>
      </c>
      <c r="H3745" t="s">
        <v>500</v>
      </c>
      <c r="I3745" t="s">
        <v>23</v>
      </c>
      <c r="J3745" t="s">
        <v>40</v>
      </c>
      <c r="K3745" s="2" t="s">
        <v>1525</v>
      </c>
      <c r="L3745" t="s">
        <v>26</v>
      </c>
      <c r="M3745">
        <v>336707</v>
      </c>
      <c r="N3745">
        <v>1</v>
      </c>
      <c r="O3745" s="3">
        <v>49990</v>
      </c>
      <c r="P3745" s="3">
        <v>20043</v>
      </c>
      <c r="Q3745" s="5">
        <f t="shared" si="174"/>
        <v>42008.403361344543</v>
      </c>
      <c r="R3745" s="5">
        <f t="shared" si="175"/>
        <v>20043</v>
      </c>
      <c r="S3745" s="5">
        <f t="shared" si="176"/>
        <v>21965.403361344543</v>
      </c>
    </row>
    <row r="3746" spans="1:19" hidden="1" x14ac:dyDescent="0.3">
      <c r="A3746">
        <v>170</v>
      </c>
      <c r="B3746" t="s">
        <v>4809</v>
      </c>
      <c r="C3746" t="s">
        <v>715</v>
      </c>
      <c r="D3746" s="2" t="s">
        <v>716</v>
      </c>
      <c r="E3746" t="s">
        <v>717</v>
      </c>
      <c r="F3746" t="s">
        <v>20</v>
      </c>
      <c r="G3746" t="s">
        <v>21</v>
      </c>
      <c r="H3746" t="s">
        <v>718</v>
      </c>
      <c r="I3746" t="s">
        <v>23</v>
      </c>
      <c r="J3746" t="s">
        <v>49</v>
      </c>
      <c r="K3746" s="2" t="s">
        <v>2983</v>
      </c>
      <c r="L3746" t="s">
        <v>2249</v>
      </c>
      <c r="M3746">
        <v>25393</v>
      </c>
      <c r="N3746">
        <v>-1</v>
      </c>
      <c r="O3746" s="3">
        <v>-39990</v>
      </c>
      <c r="P3746" s="3">
        <v>26649</v>
      </c>
      <c r="Q3746" s="5">
        <f t="shared" si="174"/>
        <v>-33605.042016806721</v>
      </c>
      <c r="R3746" s="5">
        <f t="shared" si="175"/>
        <v>-26649</v>
      </c>
      <c r="S3746" s="5">
        <f t="shared" si="176"/>
        <v>-6956.0420168067212</v>
      </c>
    </row>
    <row r="3747" spans="1:19" hidden="1" x14ac:dyDescent="0.3">
      <c r="A3747">
        <v>170</v>
      </c>
      <c r="B3747" t="s">
        <v>4809</v>
      </c>
      <c r="C3747" t="s">
        <v>5259</v>
      </c>
      <c r="D3747" s="2" t="s">
        <v>5260</v>
      </c>
      <c r="E3747" t="s">
        <v>2686</v>
      </c>
      <c r="F3747" t="s">
        <v>20</v>
      </c>
      <c r="G3747" t="s">
        <v>21</v>
      </c>
      <c r="H3747" t="s">
        <v>48</v>
      </c>
      <c r="I3747" t="s">
        <v>23</v>
      </c>
      <c r="J3747" t="s">
        <v>49</v>
      </c>
      <c r="K3747" s="2" t="s">
        <v>2983</v>
      </c>
      <c r="L3747" t="s">
        <v>26</v>
      </c>
      <c r="M3747">
        <v>336708</v>
      </c>
      <c r="N3747">
        <v>1</v>
      </c>
      <c r="O3747" s="3">
        <v>39990</v>
      </c>
      <c r="P3747" s="3">
        <v>26980</v>
      </c>
      <c r="Q3747" s="5">
        <f t="shared" si="174"/>
        <v>33605.042016806721</v>
      </c>
      <c r="R3747" s="5">
        <f t="shared" si="175"/>
        <v>26980</v>
      </c>
      <c r="S3747" s="5">
        <f t="shared" si="176"/>
        <v>6625.0420168067212</v>
      </c>
    </row>
    <row r="3748" spans="1:19" hidden="1" x14ac:dyDescent="0.3">
      <c r="A3748">
        <v>170</v>
      </c>
      <c r="B3748" t="s">
        <v>4809</v>
      </c>
      <c r="C3748" t="s">
        <v>5261</v>
      </c>
      <c r="D3748" s="2" t="s">
        <v>5262</v>
      </c>
      <c r="E3748" t="s">
        <v>2714</v>
      </c>
      <c r="F3748" t="s">
        <v>20</v>
      </c>
      <c r="G3748" t="s">
        <v>21</v>
      </c>
      <c r="H3748" t="s">
        <v>2715</v>
      </c>
      <c r="I3748" t="s">
        <v>23</v>
      </c>
      <c r="J3748" t="s">
        <v>49</v>
      </c>
      <c r="K3748" s="2" t="s">
        <v>2983</v>
      </c>
      <c r="L3748" t="s">
        <v>26</v>
      </c>
      <c r="M3748">
        <v>336709</v>
      </c>
      <c r="N3748">
        <v>1</v>
      </c>
      <c r="O3748" s="3">
        <v>74950</v>
      </c>
      <c r="P3748" s="3">
        <v>28430</v>
      </c>
      <c r="Q3748" s="5">
        <f t="shared" si="174"/>
        <v>62983.193277310929</v>
      </c>
      <c r="R3748" s="5">
        <f t="shared" si="175"/>
        <v>28430</v>
      </c>
      <c r="S3748" s="5">
        <f t="shared" si="176"/>
        <v>34553.193277310929</v>
      </c>
    </row>
    <row r="3749" spans="1:19" hidden="1" x14ac:dyDescent="0.3">
      <c r="A3749">
        <v>170</v>
      </c>
      <c r="B3749" t="s">
        <v>4809</v>
      </c>
      <c r="C3749" t="s">
        <v>2627</v>
      </c>
      <c r="D3749" s="2" t="s">
        <v>2628</v>
      </c>
      <c r="E3749" t="s">
        <v>2629</v>
      </c>
      <c r="F3749" t="s">
        <v>20</v>
      </c>
      <c r="G3749" t="s">
        <v>21</v>
      </c>
      <c r="H3749" t="s">
        <v>1987</v>
      </c>
      <c r="I3749" t="s">
        <v>23</v>
      </c>
      <c r="J3749" t="s">
        <v>49</v>
      </c>
      <c r="K3749" s="2" t="s">
        <v>2983</v>
      </c>
      <c r="L3749" t="s">
        <v>26</v>
      </c>
      <c r="M3749">
        <v>336710</v>
      </c>
      <c r="N3749">
        <v>1</v>
      </c>
      <c r="O3749" s="3">
        <v>74950</v>
      </c>
      <c r="P3749" s="3">
        <v>23391</v>
      </c>
      <c r="Q3749" s="5">
        <f t="shared" si="174"/>
        <v>62983.193277310929</v>
      </c>
      <c r="R3749" s="5">
        <f t="shared" si="175"/>
        <v>23391</v>
      </c>
      <c r="S3749" s="5">
        <f t="shared" si="176"/>
        <v>39592.193277310929</v>
      </c>
    </row>
    <row r="3750" spans="1:19" hidden="1" x14ac:dyDescent="0.3">
      <c r="A3750">
        <v>170</v>
      </c>
      <c r="B3750" t="s">
        <v>4809</v>
      </c>
      <c r="C3750" t="s">
        <v>5263</v>
      </c>
      <c r="D3750" s="2" t="s">
        <v>5264</v>
      </c>
      <c r="E3750" t="s">
        <v>2493</v>
      </c>
      <c r="F3750" t="s">
        <v>20</v>
      </c>
      <c r="G3750" t="s">
        <v>21</v>
      </c>
      <c r="H3750" t="s">
        <v>2494</v>
      </c>
      <c r="I3750" t="s">
        <v>23</v>
      </c>
      <c r="J3750" t="s">
        <v>40</v>
      </c>
      <c r="K3750" s="2" t="s">
        <v>2983</v>
      </c>
      <c r="L3750" t="s">
        <v>26</v>
      </c>
      <c r="M3750">
        <v>336711</v>
      </c>
      <c r="N3750">
        <v>1</v>
      </c>
      <c r="O3750" s="3">
        <v>69950</v>
      </c>
      <c r="P3750" s="3">
        <v>22206</v>
      </c>
      <c r="Q3750" s="5">
        <f t="shared" si="174"/>
        <v>58781.512605042022</v>
      </c>
      <c r="R3750" s="5">
        <f t="shared" si="175"/>
        <v>22206</v>
      </c>
      <c r="S3750" s="5">
        <f t="shared" si="176"/>
        <v>36575.512605042022</v>
      </c>
    </row>
    <row r="3751" spans="1:19" hidden="1" x14ac:dyDescent="0.3">
      <c r="A3751">
        <v>170</v>
      </c>
      <c r="B3751" t="s">
        <v>4809</v>
      </c>
      <c r="C3751" t="s">
        <v>2678</v>
      </c>
      <c r="D3751" s="2" t="s">
        <v>2679</v>
      </c>
      <c r="E3751" t="s">
        <v>2632</v>
      </c>
      <c r="F3751" t="s">
        <v>20</v>
      </c>
      <c r="G3751" t="s">
        <v>21</v>
      </c>
      <c r="H3751" t="s">
        <v>2469</v>
      </c>
      <c r="I3751" t="s">
        <v>23</v>
      </c>
      <c r="J3751" t="s">
        <v>49</v>
      </c>
      <c r="K3751" s="2" t="s">
        <v>2983</v>
      </c>
      <c r="L3751" t="s">
        <v>26</v>
      </c>
      <c r="M3751">
        <v>336712</v>
      </c>
      <c r="N3751">
        <v>1</v>
      </c>
      <c r="O3751" s="3">
        <v>64950</v>
      </c>
      <c r="P3751" s="3">
        <v>21368</v>
      </c>
      <c r="Q3751" s="5">
        <f t="shared" si="174"/>
        <v>54579.831932773115</v>
      </c>
      <c r="R3751" s="5">
        <f t="shared" si="175"/>
        <v>21368</v>
      </c>
      <c r="S3751" s="5">
        <f t="shared" si="176"/>
        <v>33211.831932773115</v>
      </c>
    </row>
    <row r="3752" spans="1:19" hidden="1" x14ac:dyDescent="0.3">
      <c r="A3752">
        <v>170</v>
      </c>
      <c r="B3752" t="s">
        <v>4809</v>
      </c>
      <c r="C3752" t="s">
        <v>4061</v>
      </c>
      <c r="D3752" s="2" t="s">
        <v>4062</v>
      </c>
      <c r="E3752" t="s">
        <v>2208</v>
      </c>
      <c r="F3752" t="s">
        <v>20</v>
      </c>
      <c r="G3752" t="s">
        <v>338</v>
      </c>
      <c r="H3752">
        <v>25823</v>
      </c>
      <c r="I3752" t="s">
        <v>23</v>
      </c>
      <c r="J3752" t="s">
        <v>35</v>
      </c>
      <c r="K3752" s="2" t="s">
        <v>2983</v>
      </c>
      <c r="L3752" t="s">
        <v>26</v>
      </c>
      <c r="M3752">
        <v>336713</v>
      </c>
      <c r="N3752">
        <v>1</v>
      </c>
      <c r="O3752" s="3">
        <v>99950</v>
      </c>
      <c r="P3752" s="3">
        <v>33748</v>
      </c>
      <c r="Q3752" s="5">
        <f t="shared" si="174"/>
        <v>83991.596638655465</v>
      </c>
      <c r="R3752" s="5">
        <f t="shared" si="175"/>
        <v>33748</v>
      </c>
      <c r="S3752" s="5">
        <f t="shared" si="176"/>
        <v>50243.596638655465</v>
      </c>
    </row>
    <row r="3753" spans="1:19" hidden="1" x14ac:dyDescent="0.3">
      <c r="A3753">
        <v>170</v>
      </c>
      <c r="B3753" t="s">
        <v>4809</v>
      </c>
      <c r="C3753" t="s">
        <v>3023</v>
      </c>
      <c r="D3753" s="2" t="s">
        <v>3024</v>
      </c>
      <c r="E3753" t="s">
        <v>938</v>
      </c>
      <c r="F3753" t="s">
        <v>20</v>
      </c>
      <c r="G3753" t="s">
        <v>21</v>
      </c>
      <c r="H3753" t="s">
        <v>317</v>
      </c>
      <c r="I3753" t="s">
        <v>23</v>
      </c>
      <c r="J3753" t="s">
        <v>35</v>
      </c>
      <c r="K3753" s="2" t="s">
        <v>2983</v>
      </c>
      <c r="L3753" t="s">
        <v>26</v>
      </c>
      <c r="M3753">
        <v>336714</v>
      </c>
      <c r="N3753">
        <v>1</v>
      </c>
      <c r="O3753" s="3">
        <v>59450</v>
      </c>
      <c r="P3753" s="3">
        <v>26455</v>
      </c>
      <c r="Q3753" s="5">
        <f t="shared" si="174"/>
        <v>49957.983193277316</v>
      </c>
      <c r="R3753" s="5">
        <f t="shared" si="175"/>
        <v>26455</v>
      </c>
      <c r="S3753" s="5">
        <f t="shared" si="176"/>
        <v>23502.983193277316</v>
      </c>
    </row>
    <row r="3754" spans="1:19" hidden="1" x14ac:dyDescent="0.3">
      <c r="A3754">
        <v>170</v>
      </c>
      <c r="B3754" t="s">
        <v>4809</v>
      </c>
      <c r="C3754" t="s">
        <v>3341</v>
      </c>
      <c r="D3754" s="2" t="s">
        <v>3342</v>
      </c>
      <c r="E3754" t="s">
        <v>2661</v>
      </c>
      <c r="F3754" t="s">
        <v>20</v>
      </c>
      <c r="G3754" t="s">
        <v>21</v>
      </c>
      <c r="H3754" t="s">
        <v>317</v>
      </c>
      <c r="I3754" t="s">
        <v>23</v>
      </c>
      <c r="J3754" t="s">
        <v>35</v>
      </c>
      <c r="K3754" s="2" t="s">
        <v>2983</v>
      </c>
      <c r="L3754" t="s">
        <v>26</v>
      </c>
      <c r="M3754">
        <v>336714</v>
      </c>
      <c r="N3754">
        <v>1</v>
      </c>
      <c r="O3754" s="3">
        <v>69950</v>
      </c>
      <c r="P3754" s="3">
        <v>25924</v>
      </c>
      <c r="Q3754" s="5">
        <f t="shared" si="174"/>
        <v>58781.512605042022</v>
      </c>
      <c r="R3754" s="5">
        <f t="shared" si="175"/>
        <v>25924</v>
      </c>
      <c r="S3754" s="5">
        <f t="shared" si="176"/>
        <v>32857.512605042022</v>
      </c>
    </row>
    <row r="3755" spans="1:19" hidden="1" x14ac:dyDescent="0.3">
      <c r="A3755">
        <v>170</v>
      </c>
      <c r="B3755" t="s">
        <v>4809</v>
      </c>
      <c r="C3755" t="s">
        <v>983</v>
      </c>
      <c r="D3755" s="2" t="s">
        <v>984</v>
      </c>
      <c r="E3755" t="s">
        <v>985</v>
      </c>
      <c r="F3755" t="s">
        <v>20</v>
      </c>
      <c r="G3755" t="s">
        <v>21</v>
      </c>
      <c r="H3755" t="s">
        <v>565</v>
      </c>
      <c r="I3755" t="s">
        <v>23</v>
      </c>
      <c r="J3755" t="s">
        <v>49</v>
      </c>
      <c r="K3755" s="2" t="s">
        <v>2983</v>
      </c>
      <c r="L3755" t="s">
        <v>26</v>
      </c>
      <c r="M3755">
        <v>336715</v>
      </c>
      <c r="N3755">
        <v>1</v>
      </c>
      <c r="O3755" s="3">
        <v>69950</v>
      </c>
      <c r="P3755" s="3">
        <v>27883</v>
      </c>
      <c r="Q3755" s="5">
        <f t="shared" si="174"/>
        <v>58781.512605042022</v>
      </c>
      <c r="R3755" s="5">
        <f t="shared" si="175"/>
        <v>27883</v>
      </c>
      <c r="S3755" s="5">
        <f t="shared" si="176"/>
        <v>30898.512605042022</v>
      </c>
    </row>
    <row r="3756" spans="1:19" hidden="1" x14ac:dyDescent="0.3">
      <c r="A3756">
        <v>170</v>
      </c>
      <c r="B3756" t="s">
        <v>4809</v>
      </c>
      <c r="C3756" t="s">
        <v>1761</v>
      </c>
      <c r="D3756" s="2" t="s">
        <v>1762</v>
      </c>
      <c r="E3756" t="s">
        <v>1763</v>
      </c>
      <c r="F3756" t="s">
        <v>377</v>
      </c>
      <c r="G3756" t="s">
        <v>21</v>
      </c>
      <c r="H3756" t="s">
        <v>378</v>
      </c>
      <c r="I3756" t="s">
        <v>23</v>
      </c>
      <c r="J3756" t="s">
        <v>379</v>
      </c>
      <c r="K3756" s="2" t="s">
        <v>2983</v>
      </c>
      <c r="L3756" t="s">
        <v>26</v>
      </c>
      <c r="M3756">
        <v>336715</v>
      </c>
      <c r="N3756">
        <v>1</v>
      </c>
      <c r="O3756" s="3">
        <v>5950</v>
      </c>
      <c r="P3756" s="3">
        <v>3279</v>
      </c>
      <c r="Q3756" s="5">
        <f t="shared" si="174"/>
        <v>5000</v>
      </c>
      <c r="R3756" s="5">
        <f t="shared" si="175"/>
        <v>3279</v>
      </c>
      <c r="S3756" s="5">
        <f t="shared" si="176"/>
        <v>1721</v>
      </c>
    </row>
    <row r="3757" spans="1:19" hidden="1" x14ac:dyDescent="0.3">
      <c r="A3757">
        <v>170</v>
      </c>
      <c r="B3757" t="s">
        <v>4809</v>
      </c>
      <c r="C3757" t="s">
        <v>1105</v>
      </c>
      <c r="D3757" s="2" t="s">
        <v>1106</v>
      </c>
      <c r="E3757" t="s">
        <v>316</v>
      </c>
      <c r="F3757" t="s">
        <v>20</v>
      </c>
      <c r="G3757" t="s">
        <v>21</v>
      </c>
      <c r="H3757" t="s">
        <v>317</v>
      </c>
      <c r="I3757" t="s">
        <v>23</v>
      </c>
      <c r="J3757" t="s">
        <v>35</v>
      </c>
      <c r="K3757" s="2" t="s">
        <v>2983</v>
      </c>
      <c r="L3757" t="s">
        <v>26</v>
      </c>
      <c r="M3757">
        <v>336716</v>
      </c>
      <c r="N3757">
        <v>1</v>
      </c>
      <c r="O3757" s="3">
        <v>69950</v>
      </c>
      <c r="P3757" s="3">
        <v>24908</v>
      </c>
      <c r="Q3757" s="5">
        <f t="shared" si="174"/>
        <v>58781.512605042022</v>
      </c>
      <c r="R3757" s="5">
        <f t="shared" si="175"/>
        <v>24908</v>
      </c>
      <c r="S3757" s="5">
        <f t="shared" si="176"/>
        <v>33873.512605042022</v>
      </c>
    </row>
    <row r="3758" spans="1:19" hidden="1" x14ac:dyDescent="0.3">
      <c r="A3758">
        <v>170</v>
      </c>
      <c r="B3758" t="s">
        <v>4809</v>
      </c>
      <c r="C3758" t="s">
        <v>5084</v>
      </c>
      <c r="D3758" s="2" t="s">
        <v>5085</v>
      </c>
      <c r="E3758" t="s">
        <v>845</v>
      </c>
      <c r="F3758" t="s">
        <v>20</v>
      </c>
      <c r="G3758" t="s">
        <v>21</v>
      </c>
      <c r="H3758" t="s">
        <v>243</v>
      </c>
      <c r="I3758" t="s">
        <v>23</v>
      </c>
      <c r="J3758" t="s">
        <v>35</v>
      </c>
      <c r="K3758" s="2" t="s">
        <v>2983</v>
      </c>
      <c r="L3758" t="s">
        <v>26</v>
      </c>
      <c r="M3758">
        <v>336717</v>
      </c>
      <c r="N3758">
        <v>1</v>
      </c>
      <c r="O3758" s="3">
        <v>93450</v>
      </c>
      <c r="P3758" s="3">
        <v>62858</v>
      </c>
      <c r="Q3758" s="5">
        <f t="shared" si="174"/>
        <v>78529.411764705888</v>
      </c>
      <c r="R3758" s="5">
        <f t="shared" si="175"/>
        <v>62858</v>
      </c>
      <c r="S3758" s="5">
        <f t="shared" si="176"/>
        <v>15671.411764705888</v>
      </c>
    </row>
    <row r="3759" spans="1:19" hidden="1" x14ac:dyDescent="0.3">
      <c r="A3759">
        <v>170</v>
      </c>
      <c r="B3759" t="s">
        <v>4809</v>
      </c>
      <c r="C3759" t="s">
        <v>5265</v>
      </c>
      <c r="D3759" s="2" t="s">
        <v>5266</v>
      </c>
      <c r="E3759" t="s">
        <v>2265</v>
      </c>
      <c r="F3759" t="s">
        <v>20</v>
      </c>
      <c r="G3759" t="s">
        <v>21</v>
      </c>
      <c r="H3759" t="s">
        <v>2070</v>
      </c>
      <c r="I3759" t="s">
        <v>23</v>
      </c>
      <c r="J3759" t="s">
        <v>35</v>
      </c>
      <c r="K3759" s="2" t="s">
        <v>2983</v>
      </c>
      <c r="L3759" t="s">
        <v>26</v>
      </c>
      <c r="M3759">
        <v>336717</v>
      </c>
      <c r="N3759">
        <v>1</v>
      </c>
      <c r="O3759" s="3">
        <v>89950</v>
      </c>
      <c r="P3759" s="3">
        <v>29635</v>
      </c>
      <c r="Q3759" s="5">
        <f t="shared" si="174"/>
        <v>75588.23529411765</v>
      </c>
      <c r="R3759" s="5">
        <f t="shared" si="175"/>
        <v>29635</v>
      </c>
      <c r="S3759" s="5">
        <f t="shared" si="176"/>
        <v>45953.23529411765</v>
      </c>
    </row>
    <row r="3760" spans="1:19" hidden="1" x14ac:dyDescent="0.3">
      <c r="A3760">
        <v>170</v>
      </c>
      <c r="B3760" t="s">
        <v>4809</v>
      </c>
      <c r="C3760" t="s">
        <v>4061</v>
      </c>
      <c r="D3760" s="2" t="s">
        <v>4062</v>
      </c>
      <c r="E3760" t="s">
        <v>2208</v>
      </c>
      <c r="F3760" t="s">
        <v>20</v>
      </c>
      <c r="G3760" t="s">
        <v>338</v>
      </c>
      <c r="H3760">
        <v>25823</v>
      </c>
      <c r="I3760" t="s">
        <v>23</v>
      </c>
      <c r="J3760" t="s">
        <v>35</v>
      </c>
      <c r="K3760" s="2" t="s">
        <v>2983</v>
      </c>
      <c r="L3760" t="s">
        <v>26</v>
      </c>
      <c r="M3760">
        <v>336717</v>
      </c>
      <c r="N3760">
        <v>-1</v>
      </c>
      <c r="O3760" s="3">
        <v>-99950</v>
      </c>
      <c r="P3760" s="3">
        <v>33748</v>
      </c>
      <c r="Q3760" s="5">
        <f t="shared" si="174"/>
        <v>-83991.596638655465</v>
      </c>
      <c r="R3760" s="5">
        <f t="shared" si="175"/>
        <v>-33748</v>
      </c>
      <c r="S3760" s="5">
        <f t="shared" si="176"/>
        <v>-50243.596638655465</v>
      </c>
    </row>
    <row r="3761" spans="1:19" hidden="1" x14ac:dyDescent="0.3">
      <c r="A3761">
        <v>170</v>
      </c>
      <c r="B3761" t="s">
        <v>4809</v>
      </c>
      <c r="C3761" t="s">
        <v>2602</v>
      </c>
      <c r="D3761" s="2" t="s">
        <v>2603</v>
      </c>
      <c r="E3761" t="s">
        <v>2533</v>
      </c>
      <c r="F3761" t="s">
        <v>20</v>
      </c>
      <c r="G3761" t="s">
        <v>21</v>
      </c>
      <c r="H3761" t="s">
        <v>500</v>
      </c>
      <c r="I3761" t="s">
        <v>23</v>
      </c>
      <c r="J3761" t="s">
        <v>40</v>
      </c>
      <c r="K3761" s="2" t="s">
        <v>2983</v>
      </c>
      <c r="L3761" t="s">
        <v>26</v>
      </c>
      <c r="M3761">
        <v>336718</v>
      </c>
      <c r="N3761">
        <v>1</v>
      </c>
      <c r="O3761" s="3">
        <v>49990</v>
      </c>
      <c r="P3761" s="3">
        <v>20043</v>
      </c>
      <c r="Q3761" s="5">
        <f t="shared" si="174"/>
        <v>42008.403361344543</v>
      </c>
      <c r="R3761" s="5">
        <f t="shared" si="175"/>
        <v>20043</v>
      </c>
      <c r="S3761" s="5">
        <f t="shared" si="176"/>
        <v>21965.403361344543</v>
      </c>
    </row>
    <row r="3762" spans="1:19" hidden="1" x14ac:dyDescent="0.3">
      <c r="A3762">
        <v>170</v>
      </c>
      <c r="B3762" t="s">
        <v>4809</v>
      </c>
      <c r="C3762" t="s">
        <v>4853</v>
      </c>
      <c r="D3762" s="2" t="s">
        <v>4854</v>
      </c>
      <c r="E3762" t="s">
        <v>3814</v>
      </c>
      <c r="F3762" t="s">
        <v>20</v>
      </c>
      <c r="G3762" t="s">
        <v>21</v>
      </c>
      <c r="H3762" t="s">
        <v>500</v>
      </c>
      <c r="I3762" t="s">
        <v>23</v>
      </c>
      <c r="J3762" t="s">
        <v>40</v>
      </c>
      <c r="K3762" s="2" t="s">
        <v>2983</v>
      </c>
      <c r="L3762" t="s">
        <v>26</v>
      </c>
      <c r="M3762">
        <v>336718</v>
      </c>
      <c r="N3762">
        <v>1</v>
      </c>
      <c r="O3762" s="3">
        <v>49990</v>
      </c>
      <c r="P3762" s="3">
        <v>20043</v>
      </c>
      <c r="Q3762" s="5">
        <f t="shared" si="174"/>
        <v>42008.403361344543</v>
      </c>
      <c r="R3762" s="5">
        <f t="shared" si="175"/>
        <v>20043</v>
      </c>
      <c r="S3762" s="5">
        <f t="shared" si="176"/>
        <v>21965.403361344543</v>
      </c>
    </row>
    <row r="3763" spans="1:19" hidden="1" x14ac:dyDescent="0.3">
      <c r="A3763">
        <v>170</v>
      </c>
      <c r="B3763" t="s">
        <v>4809</v>
      </c>
      <c r="C3763" t="s">
        <v>2830</v>
      </c>
      <c r="D3763" s="2" t="s">
        <v>2831</v>
      </c>
      <c r="E3763" t="s">
        <v>1330</v>
      </c>
      <c r="F3763" t="s">
        <v>20</v>
      </c>
      <c r="G3763" t="s">
        <v>338</v>
      </c>
      <c r="H3763">
        <v>25133</v>
      </c>
      <c r="I3763" t="s">
        <v>23</v>
      </c>
      <c r="J3763" t="s">
        <v>35</v>
      </c>
      <c r="K3763" s="2" t="s">
        <v>2983</v>
      </c>
      <c r="L3763" t="s">
        <v>26</v>
      </c>
      <c r="M3763">
        <v>336719</v>
      </c>
      <c r="N3763">
        <v>1</v>
      </c>
      <c r="O3763" s="3">
        <v>74950</v>
      </c>
      <c r="P3763" s="3">
        <v>21167</v>
      </c>
      <c r="Q3763" s="5">
        <f t="shared" si="174"/>
        <v>62983.193277310929</v>
      </c>
      <c r="R3763" s="5">
        <f t="shared" si="175"/>
        <v>21167</v>
      </c>
      <c r="S3763" s="5">
        <f t="shared" si="176"/>
        <v>41816.193277310929</v>
      </c>
    </row>
    <row r="3764" spans="1:19" hidden="1" x14ac:dyDescent="0.3">
      <c r="A3764">
        <v>170</v>
      </c>
      <c r="B3764" t="s">
        <v>4809</v>
      </c>
      <c r="C3764" t="s">
        <v>5082</v>
      </c>
      <c r="D3764" s="2" t="s">
        <v>5083</v>
      </c>
      <c r="E3764" t="s">
        <v>2208</v>
      </c>
      <c r="F3764" t="s">
        <v>20</v>
      </c>
      <c r="G3764" t="s">
        <v>338</v>
      </c>
      <c r="H3764">
        <v>25823</v>
      </c>
      <c r="I3764" t="s">
        <v>23</v>
      </c>
      <c r="J3764" t="s">
        <v>35</v>
      </c>
      <c r="K3764" s="2" t="s">
        <v>2983</v>
      </c>
      <c r="L3764" t="s">
        <v>26</v>
      </c>
      <c r="M3764">
        <v>336719</v>
      </c>
      <c r="N3764">
        <v>1</v>
      </c>
      <c r="O3764" s="3">
        <v>84950</v>
      </c>
      <c r="P3764" s="3">
        <v>33748</v>
      </c>
      <c r="Q3764" s="5">
        <f t="shared" si="174"/>
        <v>71386.554621848743</v>
      </c>
      <c r="R3764" s="5">
        <f t="shared" si="175"/>
        <v>33748</v>
      </c>
      <c r="S3764" s="5">
        <f t="shared" si="176"/>
        <v>37638.554621848743</v>
      </c>
    </row>
    <row r="3765" spans="1:19" hidden="1" x14ac:dyDescent="0.3">
      <c r="A3765">
        <v>170</v>
      </c>
      <c r="B3765" t="s">
        <v>4809</v>
      </c>
      <c r="C3765" t="s">
        <v>5267</v>
      </c>
      <c r="D3765" s="2" t="s">
        <v>5268</v>
      </c>
      <c r="E3765" t="s">
        <v>1907</v>
      </c>
      <c r="F3765" t="s">
        <v>20</v>
      </c>
      <c r="G3765" t="s">
        <v>21</v>
      </c>
      <c r="H3765" t="s">
        <v>1227</v>
      </c>
      <c r="I3765" t="s">
        <v>23</v>
      </c>
      <c r="J3765" t="s">
        <v>35</v>
      </c>
      <c r="K3765" s="2" t="s">
        <v>2983</v>
      </c>
      <c r="L3765" t="s">
        <v>26</v>
      </c>
      <c r="M3765">
        <v>336720</v>
      </c>
      <c r="N3765">
        <v>1</v>
      </c>
      <c r="O3765" s="3">
        <v>84950</v>
      </c>
      <c r="P3765" s="3">
        <v>52118</v>
      </c>
      <c r="Q3765" s="5">
        <f t="shared" si="174"/>
        <v>71386.554621848743</v>
      </c>
      <c r="R3765" s="5">
        <f t="shared" si="175"/>
        <v>52118</v>
      </c>
      <c r="S3765" s="5">
        <f t="shared" si="176"/>
        <v>19268.554621848743</v>
      </c>
    </row>
    <row r="3766" spans="1:19" hidden="1" x14ac:dyDescent="0.3">
      <c r="A3766">
        <v>170</v>
      </c>
      <c r="B3766" t="s">
        <v>4809</v>
      </c>
      <c r="C3766" t="s">
        <v>5269</v>
      </c>
      <c r="D3766" s="2" t="s">
        <v>5270</v>
      </c>
      <c r="E3766" t="s">
        <v>2632</v>
      </c>
      <c r="F3766" t="s">
        <v>20</v>
      </c>
      <c r="G3766" t="s">
        <v>21</v>
      </c>
      <c r="H3766" t="s">
        <v>2469</v>
      </c>
      <c r="I3766" t="s">
        <v>23</v>
      </c>
      <c r="J3766" t="s">
        <v>49</v>
      </c>
      <c r="K3766" s="2" t="s">
        <v>2983</v>
      </c>
      <c r="L3766" t="s">
        <v>26</v>
      </c>
      <c r="M3766">
        <v>336721</v>
      </c>
      <c r="N3766">
        <v>1</v>
      </c>
      <c r="O3766" s="3">
        <v>64950</v>
      </c>
      <c r="P3766" s="3">
        <v>21390</v>
      </c>
      <c r="Q3766" s="5">
        <f t="shared" si="174"/>
        <v>54579.831932773115</v>
      </c>
      <c r="R3766" s="5">
        <f t="shared" si="175"/>
        <v>21390</v>
      </c>
      <c r="S3766" s="5">
        <f t="shared" si="176"/>
        <v>33189.831932773115</v>
      </c>
    </row>
    <row r="3767" spans="1:19" hidden="1" x14ac:dyDescent="0.3">
      <c r="A3767">
        <v>170</v>
      </c>
      <c r="B3767" t="s">
        <v>4809</v>
      </c>
      <c r="C3767" t="s">
        <v>3224</v>
      </c>
      <c r="D3767" s="2" t="s">
        <v>3225</v>
      </c>
      <c r="E3767" t="s">
        <v>3226</v>
      </c>
      <c r="F3767" t="s">
        <v>20</v>
      </c>
      <c r="G3767" t="s">
        <v>21</v>
      </c>
      <c r="H3767" t="s">
        <v>557</v>
      </c>
      <c r="I3767" t="s">
        <v>23</v>
      </c>
      <c r="J3767" t="s">
        <v>40</v>
      </c>
      <c r="K3767" s="2" t="s">
        <v>2983</v>
      </c>
      <c r="L3767" t="s">
        <v>26</v>
      </c>
      <c r="M3767">
        <v>336722</v>
      </c>
      <c r="N3767">
        <v>1</v>
      </c>
      <c r="O3767" s="3">
        <v>69990</v>
      </c>
      <c r="P3767" s="3">
        <v>26810</v>
      </c>
      <c r="Q3767" s="5">
        <f t="shared" si="174"/>
        <v>58815.126050420171</v>
      </c>
      <c r="R3767" s="5">
        <f t="shared" si="175"/>
        <v>26810</v>
      </c>
      <c r="S3767" s="5">
        <f t="shared" si="176"/>
        <v>32005.126050420171</v>
      </c>
    </row>
    <row r="3768" spans="1:19" hidden="1" x14ac:dyDescent="0.3">
      <c r="A3768">
        <v>170</v>
      </c>
      <c r="B3768" t="s">
        <v>4809</v>
      </c>
      <c r="C3768" t="s">
        <v>5271</v>
      </c>
      <c r="D3768" s="2" t="s">
        <v>5272</v>
      </c>
      <c r="E3768" t="s">
        <v>3202</v>
      </c>
      <c r="F3768" t="s">
        <v>20</v>
      </c>
      <c r="G3768" t="s">
        <v>338</v>
      </c>
      <c r="H3768">
        <v>25702</v>
      </c>
      <c r="I3768" t="s">
        <v>23</v>
      </c>
      <c r="J3768" t="s">
        <v>35</v>
      </c>
      <c r="K3768" s="2" t="s">
        <v>2983</v>
      </c>
      <c r="L3768" t="s">
        <v>26</v>
      </c>
      <c r="M3768">
        <v>336723</v>
      </c>
      <c r="N3768">
        <v>1</v>
      </c>
      <c r="O3768" s="3">
        <v>109950</v>
      </c>
      <c r="P3768" s="3">
        <v>34974</v>
      </c>
      <c r="Q3768" s="5">
        <f t="shared" si="174"/>
        <v>92394.957983193279</v>
      </c>
      <c r="R3768" s="5">
        <f t="shared" si="175"/>
        <v>34974</v>
      </c>
      <c r="S3768" s="5">
        <f t="shared" si="176"/>
        <v>57420.957983193279</v>
      </c>
    </row>
    <row r="3769" spans="1:19" hidden="1" x14ac:dyDescent="0.3">
      <c r="A3769">
        <v>170</v>
      </c>
      <c r="B3769" t="s">
        <v>4809</v>
      </c>
      <c r="C3769" t="s">
        <v>5273</v>
      </c>
      <c r="D3769" s="2" t="s">
        <v>5274</v>
      </c>
      <c r="E3769" t="s">
        <v>4796</v>
      </c>
      <c r="F3769" t="s">
        <v>20</v>
      </c>
      <c r="G3769" t="s">
        <v>338</v>
      </c>
      <c r="H3769">
        <v>85411</v>
      </c>
      <c r="I3769" t="s">
        <v>23</v>
      </c>
      <c r="J3769" t="s">
        <v>35</v>
      </c>
      <c r="K3769" s="2" t="s">
        <v>2983</v>
      </c>
      <c r="L3769" t="s">
        <v>26</v>
      </c>
      <c r="M3769">
        <v>336723</v>
      </c>
      <c r="N3769">
        <v>1</v>
      </c>
      <c r="O3769" s="3">
        <v>101950</v>
      </c>
      <c r="P3769" s="3">
        <v>36428</v>
      </c>
      <c r="Q3769" s="5">
        <f t="shared" si="174"/>
        <v>85672.268907563033</v>
      </c>
      <c r="R3769" s="5">
        <f t="shared" si="175"/>
        <v>36428</v>
      </c>
      <c r="S3769" s="5">
        <f t="shared" si="176"/>
        <v>49244.268907563033</v>
      </c>
    </row>
    <row r="3770" spans="1:19" hidden="1" x14ac:dyDescent="0.3">
      <c r="A3770">
        <v>170</v>
      </c>
      <c r="B3770" t="s">
        <v>4809</v>
      </c>
      <c r="C3770" t="s">
        <v>5275</v>
      </c>
      <c r="D3770" s="2" t="s">
        <v>5276</v>
      </c>
      <c r="E3770" t="s">
        <v>741</v>
      </c>
      <c r="F3770" t="s">
        <v>20</v>
      </c>
      <c r="G3770" t="s">
        <v>21</v>
      </c>
      <c r="H3770" t="s">
        <v>742</v>
      </c>
      <c r="I3770" t="s">
        <v>23</v>
      </c>
      <c r="J3770" t="s">
        <v>40</v>
      </c>
      <c r="K3770" s="2" t="s">
        <v>2983</v>
      </c>
      <c r="L3770" t="s">
        <v>26</v>
      </c>
      <c r="M3770">
        <v>336724</v>
      </c>
      <c r="N3770">
        <v>1</v>
      </c>
      <c r="O3770" s="3">
        <v>63700</v>
      </c>
      <c r="P3770" s="3">
        <v>24229</v>
      </c>
      <c r="Q3770" s="5">
        <f t="shared" si="174"/>
        <v>53529.411764705888</v>
      </c>
      <c r="R3770" s="5">
        <f t="shared" si="175"/>
        <v>24229</v>
      </c>
      <c r="S3770" s="5">
        <f t="shared" si="176"/>
        <v>29300.411764705888</v>
      </c>
    </row>
    <row r="3771" spans="1:19" hidden="1" x14ac:dyDescent="0.3">
      <c r="A3771">
        <v>170</v>
      </c>
      <c r="B3771" t="s">
        <v>4809</v>
      </c>
      <c r="C3771" t="s">
        <v>3341</v>
      </c>
      <c r="D3771" s="2" t="s">
        <v>3342</v>
      </c>
      <c r="E3771" t="s">
        <v>2661</v>
      </c>
      <c r="F3771" t="s">
        <v>20</v>
      </c>
      <c r="G3771" t="s">
        <v>21</v>
      </c>
      <c r="H3771" t="s">
        <v>317</v>
      </c>
      <c r="I3771" t="s">
        <v>23</v>
      </c>
      <c r="J3771" t="s">
        <v>35</v>
      </c>
      <c r="K3771" s="2" t="s">
        <v>2983</v>
      </c>
      <c r="L3771" t="s">
        <v>26</v>
      </c>
      <c r="M3771">
        <v>336724</v>
      </c>
      <c r="N3771">
        <v>1</v>
      </c>
      <c r="O3771" s="3">
        <v>69950</v>
      </c>
      <c r="P3771" s="3">
        <v>25924</v>
      </c>
      <c r="Q3771" s="5">
        <f t="shared" si="174"/>
        <v>58781.512605042022</v>
      </c>
      <c r="R3771" s="5">
        <f t="shared" si="175"/>
        <v>25924</v>
      </c>
      <c r="S3771" s="5">
        <f t="shared" si="176"/>
        <v>32857.512605042022</v>
      </c>
    </row>
    <row r="3772" spans="1:19" hidden="1" x14ac:dyDescent="0.3">
      <c r="A3772">
        <v>170</v>
      </c>
      <c r="B3772" t="s">
        <v>4809</v>
      </c>
      <c r="C3772" t="s">
        <v>2170</v>
      </c>
      <c r="D3772" s="2" t="s">
        <v>2171</v>
      </c>
      <c r="E3772" t="s">
        <v>1226</v>
      </c>
      <c r="F3772" t="s">
        <v>20</v>
      </c>
      <c r="G3772" t="s">
        <v>21</v>
      </c>
      <c r="H3772" t="s">
        <v>1227</v>
      </c>
      <c r="I3772" t="s">
        <v>23</v>
      </c>
      <c r="J3772" t="s">
        <v>35</v>
      </c>
      <c r="K3772" s="2" t="s">
        <v>2983</v>
      </c>
      <c r="L3772" t="s">
        <v>26</v>
      </c>
      <c r="M3772">
        <v>336725</v>
      </c>
      <c r="N3772">
        <v>1</v>
      </c>
      <c r="O3772" s="3">
        <v>99950</v>
      </c>
      <c r="P3772" s="3">
        <v>52118</v>
      </c>
      <c r="Q3772" s="5">
        <f t="shared" si="174"/>
        <v>83991.596638655465</v>
      </c>
      <c r="R3772" s="5">
        <f t="shared" si="175"/>
        <v>52118</v>
      </c>
      <c r="S3772" s="5">
        <f t="shared" si="176"/>
        <v>31873.596638655465</v>
      </c>
    </row>
    <row r="3773" spans="1:19" hidden="1" x14ac:dyDescent="0.3">
      <c r="A3773">
        <v>170</v>
      </c>
      <c r="B3773" t="s">
        <v>4809</v>
      </c>
      <c r="C3773" t="s">
        <v>2847</v>
      </c>
      <c r="D3773" s="2" t="s">
        <v>2848</v>
      </c>
      <c r="E3773" t="s">
        <v>2195</v>
      </c>
      <c r="F3773" t="s">
        <v>20</v>
      </c>
      <c r="G3773" t="s">
        <v>338</v>
      </c>
      <c r="H3773">
        <v>24722</v>
      </c>
      <c r="I3773" t="s">
        <v>23</v>
      </c>
      <c r="J3773" t="s">
        <v>95</v>
      </c>
      <c r="K3773" s="2" t="s">
        <v>2983</v>
      </c>
      <c r="L3773" t="s">
        <v>26</v>
      </c>
      <c r="M3773">
        <v>336726</v>
      </c>
      <c r="N3773">
        <v>1</v>
      </c>
      <c r="O3773" s="3">
        <v>89950</v>
      </c>
      <c r="P3773" s="3">
        <v>30987</v>
      </c>
      <c r="Q3773" s="5">
        <f t="shared" si="174"/>
        <v>75588.23529411765</v>
      </c>
      <c r="R3773" s="5">
        <f t="shared" si="175"/>
        <v>30987</v>
      </c>
      <c r="S3773" s="5">
        <f t="shared" si="176"/>
        <v>44601.23529411765</v>
      </c>
    </row>
    <row r="3774" spans="1:19" hidden="1" x14ac:dyDescent="0.3">
      <c r="A3774">
        <v>170</v>
      </c>
      <c r="B3774" t="s">
        <v>4809</v>
      </c>
      <c r="C3774" t="s">
        <v>3032</v>
      </c>
      <c r="D3774" s="2" t="s">
        <v>3033</v>
      </c>
      <c r="E3774" t="s">
        <v>2653</v>
      </c>
      <c r="F3774" t="s">
        <v>20</v>
      </c>
      <c r="G3774" t="s">
        <v>21</v>
      </c>
      <c r="H3774" t="s">
        <v>2315</v>
      </c>
      <c r="I3774" t="s">
        <v>23</v>
      </c>
      <c r="J3774" t="s">
        <v>35</v>
      </c>
      <c r="K3774" s="2" t="s">
        <v>2983</v>
      </c>
      <c r="L3774" t="s">
        <v>26</v>
      </c>
      <c r="M3774">
        <v>336727</v>
      </c>
      <c r="N3774">
        <v>1</v>
      </c>
      <c r="O3774" s="3">
        <v>89950</v>
      </c>
      <c r="P3774" s="3">
        <v>30749</v>
      </c>
      <c r="Q3774" s="5">
        <f t="shared" si="174"/>
        <v>75588.23529411765</v>
      </c>
      <c r="R3774" s="5">
        <f t="shared" si="175"/>
        <v>30749</v>
      </c>
      <c r="S3774" s="5">
        <f t="shared" si="176"/>
        <v>44839.23529411765</v>
      </c>
    </row>
    <row r="3775" spans="1:19" hidden="1" x14ac:dyDescent="0.3">
      <c r="A3775">
        <v>170</v>
      </c>
      <c r="B3775" t="s">
        <v>4809</v>
      </c>
      <c r="C3775" t="s">
        <v>5277</v>
      </c>
      <c r="D3775" s="2" t="s">
        <v>5278</v>
      </c>
      <c r="E3775" t="s">
        <v>2834</v>
      </c>
      <c r="F3775" t="s">
        <v>20</v>
      </c>
      <c r="G3775" t="s">
        <v>21</v>
      </c>
      <c r="H3775" t="s">
        <v>870</v>
      </c>
      <c r="I3775" t="s">
        <v>23</v>
      </c>
      <c r="J3775" t="s">
        <v>49</v>
      </c>
      <c r="K3775" s="2" t="s">
        <v>2983</v>
      </c>
      <c r="L3775" t="s">
        <v>26</v>
      </c>
      <c r="M3775">
        <v>336728</v>
      </c>
      <c r="N3775">
        <v>1</v>
      </c>
      <c r="O3775" s="3">
        <v>64950</v>
      </c>
      <c r="P3775" s="3">
        <v>23542</v>
      </c>
      <c r="Q3775" s="5">
        <f t="shared" si="174"/>
        <v>54579.831932773115</v>
      </c>
      <c r="R3775" s="5">
        <f t="shared" si="175"/>
        <v>23542</v>
      </c>
      <c r="S3775" s="5">
        <f t="shared" si="176"/>
        <v>31037.831932773115</v>
      </c>
    </row>
    <row r="3776" spans="1:19" hidden="1" x14ac:dyDescent="0.3">
      <c r="A3776">
        <v>170</v>
      </c>
      <c r="B3776" t="s">
        <v>4809</v>
      </c>
      <c r="C3776" t="s">
        <v>3507</v>
      </c>
      <c r="D3776" s="2" t="s">
        <v>3508</v>
      </c>
      <c r="E3776" t="s">
        <v>2323</v>
      </c>
      <c r="F3776" t="s">
        <v>20</v>
      </c>
      <c r="G3776" t="s">
        <v>21</v>
      </c>
      <c r="H3776" t="s">
        <v>1887</v>
      </c>
      <c r="I3776" t="s">
        <v>23</v>
      </c>
      <c r="J3776" t="s">
        <v>40</v>
      </c>
      <c r="K3776" s="2" t="s">
        <v>2983</v>
      </c>
      <c r="L3776" t="s">
        <v>26</v>
      </c>
      <c r="M3776">
        <v>336729</v>
      </c>
      <c r="N3776">
        <v>1</v>
      </c>
      <c r="O3776" s="3">
        <v>69950</v>
      </c>
      <c r="P3776" s="3">
        <v>21623</v>
      </c>
      <c r="Q3776" s="5">
        <f t="shared" si="174"/>
        <v>58781.512605042022</v>
      </c>
      <c r="R3776" s="5">
        <f t="shared" si="175"/>
        <v>21623</v>
      </c>
      <c r="S3776" s="5">
        <f t="shared" si="176"/>
        <v>37158.512605042022</v>
      </c>
    </row>
    <row r="3777" spans="1:19" hidden="1" x14ac:dyDescent="0.3">
      <c r="A3777">
        <v>170</v>
      </c>
      <c r="B3777" t="s">
        <v>4809</v>
      </c>
      <c r="C3777" t="s">
        <v>715</v>
      </c>
      <c r="D3777" s="2" t="s">
        <v>716</v>
      </c>
      <c r="E3777" t="s">
        <v>717</v>
      </c>
      <c r="F3777" t="s">
        <v>20</v>
      </c>
      <c r="G3777" t="s">
        <v>21</v>
      </c>
      <c r="H3777" t="s">
        <v>718</v>
      </c>
      <c r="I3777" t="s">
        <v>23</v>
      </c>
      <c r="J3777" t="s">
        <v>49</v>
      </c>
      <c r="K3777" s="2" t="s">
        <v>2983</v>
      </c>
      <c r="L3777" t="s">
        <v>26</v>
      </c>
      <c r="M3777">
        <v>336730</v>
      </c>
      <c r="N3777">
        <v>1</v>
      </c>
      <c r="O3777" s="3">
        <v>39990</v>
      </c>
      <c r="P3777" s="3">
        <v>26649</v>
      </c>
      <c r="Q3777" s="5">
        <f t="shared" si="174"/>
        <v>33605.042016806721</v>
      </c>
      <c r="R3777" s="5">
        <f t="shared" si="175"/>
        <v>26649</v>
      </c>
      <c r="S3777" s="5">
        <f t="shared" si="176"/>
        <v>6956.0420168067212</v>
      </c>
    </row>
    <row r="3778" spans="1:19" hidden="1" x14ac:dyDescent="0.3">
      <c r="A3778">
        <v>170</v>
      </c>
      <c r="B3778" t="s">
        <v>4809</v>
      </c>
      <c r="C3778" t="s">
        <v>2625</v>
      </c>
      <c r="D3778" s="2" t="s">
        <v>2626</v>
      </c>
      <c r="E3778" t="s">
        <v>2539</v>
      </c>
      <c r="F3778" t="s">
        <v>20</v>
      </c>
      <c r="G3778" t="s">
        <v>21</v>
      </c>
      <c r="H3778" t="s">
        <v>966</v>
      </c>
      <c r="I3778" t="s">
        <v>23</v>
      </c>
      <c r="J3778" t="s">
        <v>35</v>
      </c>
      <c r="K3778" s="2" t="s">
        <v>2983</v>
      </c>
      <c r="L3778" t="s">
        <v>26</v>
      </c>
      <c r="M3778">
        <v>336731</v>
      </c>
      <c r="N3778">
        <v>1</v>
      </c>
      <c r="O3778" s="3">
        <v>63700</v>
      </c>
      <c r="P3778" s="3">
        <v>27026</v>
      </c>
      <c r="Q3778" s="5">
        <f t="shared" si="174"/>
        <v>53529.411764705888</v>
      </c>
      <c r="R3778" s="5">
        <f t="shared" si="175"/>
        <v>27026</v>
      </c>
      <c r="S3778" s="5">
        <f t="shared" si="176"/>
        <v>26503.411764705888</v>
      </c>
    </row>
    <row r="3779" spans="1:19" hidden="1" x14ac:dyDescent="0.3">
      <c r="A3779">
        <v>170</v>
      </c>
      <c r="B3779" t="s">
        <v>4809</v>
      </c>
      <c r="C3779" t="s">
        <v>3286</v>
      </c>
      <c r="D3779" s="2" t="s">
        <v>3287</v>
      </c>
      <c r="E3779" t="s">
        <v>2226</v>
      </c>
      <c r="F3779" t="s">
        <v>20</v>
      </c>
      <c r="G3779" t="s">
        <v>21</v>
      </c>
      <c r="H3779" t="s">
        <v>53</v>
      </c>
      <c r="I3779" t="s">
        <v>23</v>
      </c>
      <c r="J3779" t="s">
        <v>49</v>
      </c>
      <c r="K3779" s="2" t="s">
        <v>2983</v>
      </c>
      <c r="L3779" t="s">
        <v>26</v>
      </c>
      <c r="M3779">
        <v>336731</v>
      </c>
      <c r="N3779">
        <v>1</v>
      </c>
      <c r="O3779" s="3">
        <v>69950</v>
      </c>
      <c r="P3779" s="3">
        <v>20849</v>
      </c>
      <c r="Q3779" s="5">
        <f t="shared" si="174"/>
        <v>58781.512605042022</v>
      </c>
      <c r="R3779" s="5">
        <f t="shared" si="175"/>
        <v>20849</v>
      </c>
      <c r="S3779" s="5">
        <f t="shared" si="176"/>
        <v>37932.512605042022</v>
      </c>
    </row>
    <row r="3780" spans="1:19" hidden="1" x14ac:dyDescent="0.3">
      <c r="A3780">
        <v>170</v>
      </c>
      <c r="B3780" t="s">
        <v>4809</v>
      </c>
      <c r="C3780" t="s">
        <v>2749</v>
      </c>
      <c r="D3780" s="2" t="s">
        <v>2750</v>
      </c>
      <c r="E3780" t="s">
        <v>2629</v>
      </c>
      <c r="F3780" t="s">
        <v>20</v>
      </c>
      <c r="G3780" t="s">
        <v>21</v>
      </c>
      <c r="H3780" t="s">
        <v>1987</v>
      </c>
      <c r="I3780" t="s">
        <v>23</v>
      </c>
      <c r="J3780" t="s">
        <v>49</v>
      </c>
      <c r="K3780" s="2" t="s">
        <v>2983</v>
      </c>
      <c r="L3780" t="s">
        <v>26</v>
      </c>
      <c r="M3780">
        <v>336732</v>
      </c>
      <c r="N3780">
        <v>1</v>
      </c>
      <c r="O3780" s="3">
        <v>74950</v>
      </c>
      <c r="P3780" s="3">
        <v>23391</v>
      </c>
      <c r="Q3780" s="5">
        <f t="shared" si="174"/>
        <v>62983.193277310929</v>
      </c>
      <c r="R3780" s="5">
        <f t="shared" si="175"/>
        <v>23391</v>
      </c>
      <c r="S3780" s="5">
        <f t="shared" si="176"/>
        <v>39592.193277310929</v>
      </c>
    </row>
    <row r="3781" spans="1:19" hidden="1" x14ac:dyDescent="0.3">
      <c r="A3781">
        <v>170</v>
      </c>
      <c r="B3781" t="s">
        <v>4809</v>
      </c>
      <c r="C3781" t="s">
        <v>5279</v>
      </c>
      <c r="D3781" s="2" t="s">
        <v>5280</v>
      </c>
      <c r="E3781" t="s">
        <v>2781</v>
      </c>
      <c r="F3781" t="s">
        <v>20</v>
      </c>
      <c r="G3781" t="s">
        <v>21</v>
      </c>
      <c r="H3781" t="s">
        <v>2782</v>
      </c>
      <c r="I3781" t="s">
        <v>23</v>
      </c>
      <c r="J3781" t="s">
        <v>35</v>
      </c>
      <c r="K3781" s="2" t="s">
        <v>2983</v>
      </c>
      <c r="L3781" t="s">
        <v>26</v>
      </c>
      <c r="M3781">
        <v>336732</v>
      </c>
      <c r="N3781">
        <v>1</v>
      </c>
      <c r="O3781" s="3">
        <v>63700</v>
      </c>
      <c r="P3781" s="3">
        <v>24388</v>
      </c>
      <c r="Q3781" s="5">
        <f t="shared" si="174"/>
        <v>53529.411764705888</v>
      </c>
      <c r="R3781" s="5">
        <f t="shared" si="175"/>
        <v>24388</v>
      </c>
      <c r="S3781" s="5">
        <f t="shared" si="176"/>
        <v>29141.411764705888</v>
      </c>
    </row>
    <row r="3782" spans="1:19" hidden="1" x14ac:dyDescent="0.3">
      <c r="A3782">
        <v>170</v>
      </c>
      <c r="B3782" t="s">
        <v>4809</v>
      </c>
      <c r="C3782" t="s">
        <v>5281</v>
      </c>
      <c r="D3782" s="2" t="s">
        <v>5282</v>
      </c>
      <c r="E3782" t="s">
        <v>4077</v>
      </c>
      <c r="F3782" t="s">
        <v>20</v>
      </c>
      <c r="G3782" t="s">
        <v>338</v>
      </c>
      <c r="H3782">
        <v>84316</v>
      </c>
      <c r="I3782" t="s">
        <v>23</v>
      </c>
      <c r="J3782" t="s">
        <v>49</v>
      </c>
      <c r="K3782" s="2" t="s">
        <v>2983</v>
      </c>
      <c r="L3782" t="s">
        <v>26</v>
      </c>
      <c r="M3782">
        <v>336733</v>
      </c>
      <c r="N3782">
        <v>1</v>
      </c>
      <c r="O3782" s="3">
        <v>89950</v>
      </c>
      <c r="P3782" s="3">
        <v>31128</v>
      </c>
      <c r="Q3782" s="5">
        <f t="shared" ref="Q3782:Q3845" si="177">O3782/1.19</f>
        <v>75588.23529411765</v>
      </c>
      <c r="R3782" s="5">
        <f t="shared" ref="R3782:R3845" si="178">N3782*P3782</f>
        <v>31128</v>
      </c>
      <c r="S3782" s="5">
        <f t="shared" ref="S3782:S3845" si="179">Q3782-R3782</f>
        <v>44460.23529411765</v>
      </c>
    </row>
    <row r="3783" spans="1:19" hidden="1" x14ac:dyDescent="0.3">
      <c r="A3783">
        <v>170</v>
      </c>
      <c r="B3783" t="s">
        <v>4809</v>
      </c>
      <c r="C3783" t="s">
        <v>5283</v>
      </c>
      <c r="D3783" s="2" t="s">
        <v>5284</v>
      </c>
      <c r="E3783" t="s">
        <v>2462</v>
      </c>
      <c r="F3783" t="s">
        <v>20</v>
      </c>
      <c r="G3783" t="s">
        <v>21</v>
      </c>
      <c r="H3783" t="s">
        <v>65</v>
      </c>
      <c r="I3783" t="s">
        <v>23</v>
      </c>
      <c r="J3783" t="s">
        <v>49</v>
      </c>
      <c r="K3783" s="2" t="s">
        <v>2983</v>
      </c>
      <c r="L3783" t="s">
        <v>26</v>
      </c>
      <c r="M3783">
        <v>336734</v>
      </c>
      <c r="N3783">
        <v>-1</v>
      </c>
      <c r="O3783" s="3">
        <v>-64950</v>
      </c>
      <c r="P3783" s="3">
        <v>20381</v>
      </c>
      <c r="Q3783" s="5">
        <f t="shared" si="177"/>
        <v>-54579.831932773115</v>
      </c>
      <c r="R3783" s="5">
        <f t="shared" si="178"/>
        <v>-20381</v>
      </c>
      <c r="S3783" s="5">
        <f t="shared" si="179"/>
        <v>-34198.831932773115</v>
      </c>
    </row>
    <row r="3784" spans="1:19" hidden="1" x14ac:dyDescent="0.3">
      <c r="A3784">
        <v>170</v>
      </c>
      <c r="B3784" t="s">
        <v>4809</v>
      </c>
      <c r="C3784" t="s">
        <v>5285</v>
      </c>
      <c r="D3784" s="2" t="s">
        <v>5286</v>
      </c>
      <c r="E3784" t="s">
        <v>2455</v>
      </c>
      <c r="F3784" t="s">
        <v>20</v>
      </c>
      <c r="G3784" t="s">
        <v>21</v>
      </c>
      <c r="H3784" t="s">
        <v>742</v>
      </c>
      <c r="I3784" t="s">
        <v>23</v>
      </c>
      <c r="J3784" t="s">
        <v>40</v>
      </c>
      <c r="K3784" s="2" t="s">
        <v>2983</v>
      </c>
      <c r="L3784" t="s">
        <v>26</v>
      </c>
      <c r="M3784">
        <v>336734</v>
      </c>
      <c r="N3784">
        <v>1</v>
      </c>
      <c r="O3784" s="3">
        <v>79950</v>
      </c>
      <c r="P3784" s="3">
        <v>28467</v>
      </c>
      <c r="Q3784" s="5">
        <f t="shared" si="177"/>
        <v>67184.873949579836</v>
      </c>
      <c r="R3784" s="5">
        <f t="shared" si="178"/>
        <v>28467</v>
      </c>
      <c r="S3784" s="5">
        <f t="shared" si="179"/>
        <v>38717.873949579836</v>
      </c>
    </row>
    <row r="3785" spans="1:19" hidden="1" x14ac:dyDescent="0.3">
      <c r="A3785">
        <v>170</v>
      </c>
      <c r="B3785" t="s">
        <v>4809</v>
      </c>
      <c r="C3785" t="s">
        <v>3692</v>
      </c>
      <c r="D3785" s="2" t="s">
        <v>3693</v>
      </c>
      <c r="E3785" t="s">
        <v>1758</v>
      </c>
      <c r="F3785" t="s">
        <v>20</v>
      </c>
      <c r="G3785" t="s">
        <v>338</v>
      </c>
      <c r="H3785">
        <v>25133</v>
      </c>
      <c r="I3785" t="s">
        <v>23</v>
      </c>
      <c r="J3785" t="s">
        <v>35</v>
      </c>
      <c r="K3785" s="2" t="s">
        <v>2983</v>
      </c>
      <c r="L3785" t="s">
        <v>26</v>
      </c>
      <c r="M3785">
        <v>336735</v>
      </c>
      <c r="N3785">
        <v>1</v>
      </c>
      <c r="O3785" s="3">
        <v>74950</v>
      </c>
      <c r="P3785" s="3">
        <v>21167</v>
      </c>
      <c r="Q3785" s="5">
        <f t="shared" si="177"/>
        <v>62983.193277310929</v>
      </c>
      <c r="R3785" s="5">
        <f t="shared" si="178"/>
        <v>21167</v>
      </c>
      <c r="S3785" s="5">
        <f t="shared" si="179"/>
        <v>41816.193277310929</v>
      </c>
    </row>
    <row r="3786" spans="1:19" hidden="1" x14ac:dyDescent="0.3">
      <c r="A3786">
        <v>170</v>
      </c>
      <c r="B3786" t="s">
        <v>4809</v>
      </c>
      <c r="C3786" t="s">
        <v>4942</v>
      </c>
      <c r="D3786" s="2" t="s">
        <v>4943</v>
      </c>
      <c r="E3786" t="s">
        <v>1825</v>
      </c>
      <c r="F3786" t="s">
        <v>20</v>
      </c>
      <c r="G3786" t="s">
        <v>21</v>
      </c>
      <c r="H3786" t="s">
        <v>686</v>
      </c>
      <c r="I3786" t="s">
        <v>23</v>
      </c>
      <c r="J3786" t="s">
        <v>35</v>
      </c>
      <c r="K3786" s="2" t="s">
        <v>2983</v>
      </c>
      <c r="L3786" t="s">
        <v>26</v>
      </c>
      <c r="M3786">
        <v>336736</v>
      </c>
      <c r="N3786">
        <v>1</v>
      </c>
      <c r="O3786" s="3">
        <v>99950</v>
      </c>
      <c r="P3786" s="3">
        <v>48762</v>
      </c>
      <c r="Q3786" s="5">
        <f t="shared" si="177"/>
        <v>83991.596638655465</v>
      </c>
      <c r="R3786" s="5">
        <f t="shared" si="178"/>
        <v>48762</v>
      </c>
      <c r="S3786" s="5">
        <f t="shared" si="179"/>
        <v>35229.596638655465</v>
      </c>
    </row>
    <row r="3787" spans="1:19" hidden="1" x14ac:dyDescent="0.3">
      <c r="A3787">
        <v>170</v>
      </c>
      <c r="B3787" t="s">
        <v>4809</v>
      </c>
      <c r="C3787" t="s">
        <v>2979</v>
      </c>
      <c r="D3787" s="2" t="s">
        <v>2980</v>
      </c>
      <c r="E3787" t="s">
        <v>2795</v>
      </c>
      <c r="F3787" t="s">
        <v>20</v>
      </c>
      <c r="G3787" t="s">
        <v>21</v>
      </c>
      <c r="H3787" t="s">
        <v>57</v>
      </c>
      <c r="I3787" t="s">
        <v>23</v>
      </c>
      <c r="J3787" t="s">
        <v>35</v>
      </c>
      <c r="K3787" s="2" t="s">
        <v>2983</v>
      </c>
      <c r="L3787" t="s">
        <v>26</v>
      </c>
      <c r="M3787">
        <v>336736</v>
      </c>
      <c r="N3787">
        <v>-1</v>
      </c>
      <c r="O3787" s="3">
        <v>-89950</v>
      </c>
      <c r="P3787" s="3">
        <v>31829</v>
      </c>
      <c r="Q3787" s="5">
        <f t="shared" si="177"/>
        <v>-75588.23529411765</v>
      </c>
      <c r="R3787" s="5">
        <f t="shared" si="178"/>
        <v>-31829</v>
      </c>
      <c r="S3787" s="5">
        <f t="shared" si="179"/>
        <v>-43759.23529411765</v>
      </c>
    </row>
    <row r="3788" spans="1:19" hidden="1" x14ac:dyDescent="0.3">
      <c r="A3788">
        <v>170</v>
      </c>
      <c r="B3788" t="s">
        <v>4809</v>
      </c>
      <c r="C3788" t="s">
        <v>5287</v>
      </c>
      <c r="D3788" s="2" t="s">
        <v>5288</v>
      </c>
      <c r="E3788" t="s">
        <v>985</v>
      </c>
      <c r="F3788" t="s">
        <v>20</v>
      </c>
      <c r="G3788" t="s">
        <v>21</v>
      </c>
      <c r="H3788" t="s">
        <v>565</v>
      </c>
      <c r="I3788" t="s">
        <v>23</v>
      </c>
      <c r="J3788" t="s">
        <v>49</v>
      </c>
      <c r="K3788" s="2" t="s">
        <v>2983</v>
      </c>
      <c r="L3788" t="s">
        <v>26</v>
      </c>
      <c r="M3788">
        <v>336737</v>
      </c>
      <c r="N3788">
        <v>1</v>
      </c>
      <c r="O3788" s="3">
        <v>69950</v>
      </c>
      <c r="P3788" s="3">
        <v>27832</v>
      </c>
      <c r="Q3788" s="5">
        <f t="shared" si="177"/>
        <v>58781.512605042022</v>
      </c>
      <c r="R3788" s="5">
        <f t="shared" si="178"/>
        <v>27832</v>
      </c>
      <c r="S3788" s="5">
        <f t="shared" si="179"/>
        <v>30949.512605042022</v>
      </c>
    </row>
    <row r="3789" spans="1:19" hidden="1" x14ac:dyDescent="0.3">
      <c r="A3789">
        <v>170</v>
      </c>
      <c r="B3789" t="s">
        <v>4809</v>
      </c>
      <c r="C3789" t="s">
        <v>3605</v>
      </c>
      <c r="D3789" s="2" t="s">
        <v>3606</v>
      </c>
      <c r="E3789" t="s">
        <v>2284</v>
      </c>
      <c r="F3789" t="s">
        <v>20</v>
      </c>
      <c r="G3789" t="s">
        <v>21</v>
      </c>
      <c r="H3789" t="s">
        <v>247</v>
      </c>
      <c r="I3789" t="s">
        <v>23</v>
      </c>
      <c r="J3789" t="s">
        <v>40</v>
      </c>
      <c r="K3789" s="2" t="s">
        <v>2983</v>
      </c>
      <c r="L3789" t="s">
        <v>26</v>
      </c>
      <c r="M3789">
        <v>336738</v>
      </c>
      <c r="N3789">
        <v>1</v>
      </c>
      <c r="O3789" s="3">
        <v>59950</v>
      </c>
      <c r="P3789" s="3">
        <v>16541</v>
      </c>
      <c r="Q3789" s="5">
        <f t="shared" si="177"/>
        <v>50378.151260504201</v>
      </c>
      <c r="R3789" s="5">
        <f t="shared" si="178"/>
        <v>16541</v>
      </c>
      <c r="S3789" s="5">
        <f t="shared" si="179"/>
        <v>33837.151260504201</v>
      </c>
    </row>
    <row r="3790" spans="1:19" hidden="1" x14ac:dyDescent="0.3">
      <c r="A3790">
        <v>170</v>
      </c>
      <c r="B3790" t="s">
        <v>4809</v>
      </c>
      <c r="C3790" t="s">
        <v>3188</v>
      </c>
      <c r="D3790" s="2" t="s">
        <v>3189</v>
      </c>
      <c r="E3790" t="s">
        <v>3190</v>
      </c>
      <c r="F3790" t="s">
        <v>20</v>
      </c>
      <c r="G3790" t="s">
        <v>21</v>
      </c>
      <c r="H3790" t="s">
        <v>1440</v>
      </c>
      <c r="I3790" t="s">
        <v>23</v>
      </c>
      <c r="J3790" t="s">
        <v>40</v>
      </c>
      <c r="K3790" s="2" t="s">
        <v>2983</v>
      </c>
      <c r="L3790" t="s">
        <v>26</v>
      </c>
      <c r="M3790">
        <v>336738</v>
      </c>
      <c r="N3790">
        <v>1</v>
      </c>
      <c r="O3790" s="3">
        <v>55200</v>
      </c>
      <c r="P3790" s="3">
        <v>17328</v>
      </c>
      <c r="Q3790" s="5">
        <f t="shared" si="177"/>
        <v>46386.554621848743</v>
      </c>
      <c r="R3790" s="5">
        <f t="shared" si="178"/>
        <v>17328</v>
      </c>
      <c r="S3790" s="5">
        <f t="shared" si="179"/>
        <v>29058.554621848743</v>
      </c>
    </row>
    <row r="3791" spans="1:19" hidden="1" x14ac:dyDescent="0.3">
      <c r="A3791">
        <v>170</v>
      </c>
      <c r="B3791" t="s">
        <v>4809</v>
      </c>
      <c r="C3791" t="s">
        <v>715</v>
      </c>
      <c r="D3791" s="2" t="s">
        <v>716</v>
      </c>
      <c r="E3791" t="s">
        <v>717</v>
      </c>
      <c r="F3791" t="s">
        <v>20</v>
      </c>
      <c r="G3791" t="s">
        <v>21</v>
      </c>
      <c r="H3791" t="s">
        <v>718</v>
      </c>
      <c r="I3791" t="s">
        <v>23</v>
      </c>
      <c r="J3791" t="s">
        <v>49</v>
      </c>
      <c r="K3791" s="2" t="s">
        <v>2983</v>
      </c>
      <c r="L3791" t="s">
        <v>26</v>
      </c>
      <c r="M3791">
        <v>336739</v>
      </c>
      <c r="N3791">
        <v>1</v>
      </c>
      <c r="O3791" s="3">
        <v>39990</v>
      </c>
      <c r="P3791" s="3">
        <v>26649</v>
      </c>
      <c r="Q3791" s="5">
        <f t="shared" si="177"/>
        <v>33605.042016806721</v>
      </c>
      <c r="R3791" s="5">
        <f t="shared" si="178"/>
        <v>26649</v>
      </c>
      <c r="S3791" s="5">
        <f t="shared" si="179"/>
        <v>6956.0420168067212</v>
      </c>
    </row>
    <row r="3792" spans="1:19" hidden="1" x14ac:dyDescent="0.3">
      <c r="A3792">
        <v>170</v>
      </c>
      <c r="B3792" t="s">
        <v>4809</v>
      </c>
      <c r="C3792" t="s">
        <v>4412</v>
      </c>
      <c r="D3792" s="2" t="s">
        <v>4413</v>
      </c>
      <c r="E3792" t="s">
        <v>3195</v>
      </c>
      <c r="F3792" t="s">
        <v>20</v>
      </c>
      <c r="G3792" t="s">
        <v>338</v>
      </c>
      <c r="H3792">
        <v>25366</v>
      </c>
      <c r="I3792" t="s">
        <v>23</v>
      </c>
      <c r="J3792" t="s">
        <v>35</v>
      </c>
      <c r="K3792" s="2" t="s">
        <v>2983</v>
      </c>
      <c r="L3792" t="s">
        <v>26</v>
      </c>
      <c r="M3792">
        <v>336740</v>
      </c>
      <c r="N3792">
        <v>1</v>
      </c>
      <c r="O3792" s="3">
        <v>99950</v>
      </c>
      <c r="P3792" s="3">
        <v>33157</v>
      </c>
      <c r="Q3792" s="5">
        <f t="shared" si="177"/>
        <v>83991.596638655465</v>
      </c>
      <c r="R3792" s="5">
        <f t="shared" si="178"/>
        <v>33157</v>
      </c>
      <c r="S3792" s="5">
        <f t="shared" si="179"/>
        <v>50834.596638655465</v>
      </c>
    </row>
    <row r="3793" spans="1:19" hidden="1" x14ac:dyDescent="0.3">
      <c r="A3793">
        <v>170</v>
      </c>
      <c r="B3793" t="s">
        <v>4809</v>
      </c>
      <c r="C3793" t="s">
        <v>1037</v>
      </c>
      <c r="D3793" s="2" t="s">
        <v>1038</v>
      </c>
      <c r="E3793" t="s">
        <v>1039</v>
      </c>
      <c r="F3793" t="s">
        <v>377</v>
      </c>
      <c r="G3793" t="s">
        <v>21</v>
      </c>
      <c r="H3793" t="s">
        <v>378</v>
      </c>
      <c r="I3793" t="s">
        <v>23</v>
      </c>
      <c r="J3793" t="s">
        <v>379</v>
      </c>
      <c r="K3793" s="2" t="s">
        <v>2983</v>
      </c>
      <c r="L3793" t="s">
        <v>26</v>
      </c>
      <c r="M3793">
        <v>336740</v>
      </c>
      <c r="N3793">
        <v>1</v>
      </c>
      <c r="O3793" s="3">
        <v>5950</v>
      </c>
      <c r="P3793" s="3">
        <v>3257</v>
      </c>
      <c r="Q3793" s="5">
        <f t="shared" si="177"/>
        <v>5000</v>
      </c>
      <c r="R3793" s="5">
        <f t="shared" si="178"/>
        <v>3257</v>
      </c>
      <c r="S3793" s="5">
        <f t="shared" si="179"/>
        <v>1743</v>
      </c>
    </row>
    <row r="3794" spans="1:19" hidden="1" x14ac:dyDescent="0.3">
      <c r="A3794">
        <v>170</v>
      </c>
      <c r="B3794" t="s">
        <v>4809</v>
      </c>
      <c r="C3794" t="s">
        <v>5289</v>
      </c>
      <c r="D3794" s="2" t="s">
        <v>5290</v>
      </c>
      <c r="E3794" t="s">
        <v>3542</v>
      </c>
      <c r="F3794" t="s">
        <v>20</v>
      </c>
      <c r="G3794" t="s">
        <v>338</v>
      </c>
      <c r="H3794">
        <v>83717</v>
      </c>
      <c r="I3794" t="s">
        <v>23</v>
      </c>
      <c r="J3794" t="s">
        <v>40</v>
      </c>
      <c r="K3794" s="2" t="s">
        <v>2983</v>
      </c>
      <c r="L3794" t="s">
        <v>26</v>
      </c>
      <c r="M3794">
        <v>336741</v>
      </c>
      <c r="N3794">
        <v>1</v>
      </c>
      <c r="O3794" s="3">
        <v>89950</v>
      </c>
      <c r="P3794" s="3">
        <v>30263</v>
      </c>
      <c r="Q3794" s="5">
        <f t="shared" si="177"/>
        <v>75588.23529411765</v>
      </c>
      <c r="R3794" s="5">
        <f t="shared" si="178"/>
        <v>30263</v>
      </c>
      <c r="S3794" s="5">
        <f t="shared" si="179"/>
        <v>45325.23529411765</v>
      </c>
    </row>
    <row r="3795" spans="1:19" hidden="1" x14ac:dyDescent="0.3">
      <c r="A3795">
        <v>170</v>
      </c>
      <c r="B3795" t="s">
        <v>4809</v>
      </c>
      <c r="C3795" t="s">
        <v>3710</v>
      </c>
      <c r="D3795" s="2" t="s">
        <v>3711</v>
      </c>
      <c r="E3795" t="s">
        <v>294</v>
      </c>
      <c r="F3795" t="s">
        <v>20</v>
      </c>
      <c r="G3795" t="s">
        <v>21</v>
      </c>
      <c r="H3795" t="s">
        <v>295</v>
      </c>
      <c r="I3795" t="s">
        <v>23</v>
      </c>
      <c r="J3795" t="s">
        <v>40</v>
      </c>
      <c r="K3795" s="2" t="s">
        <v>2983</v>
      </c>
      <c r="L3795" t="s">
        <v>26</v>
      </c>
      <c r="M3795">
        <v>336742</v>
      </c>
      <c r="N3795">
        <v>1</v>
      </c>
      <c r="O3795" s="3">
        <v>79950</v>
      </c>
      <c r="P3795" s="3">
        <v>26951</v>
      </c>
      <c r="Q3795" s="5">
        <f t="shared" si="177"/>
        <v>67184.873949579836</v>
      </c>
      <c r="R3795" s="5">
        <f t="shared" si="178"/>
        <v>26951</v>
      </c>
      <c r="S3795" s="5">
        <f t="shared" si="179"/>
        <v>40233.873949579836</v>
      </c>
    </row>
    <row r="3796" spans="1:19" hidden="1" x14ac:dyDescent="0.3">
      <c r="A3796">
        <v>170</v>
      </c>
      <c r="B3796" t="s">
        <v>4809</v>
      </c>
      <c r="C3796" t="s">
        <v>5291</v>
      </c>
      <c r="D3796" s="2" t="s">
        <v>5292</v>
      </c>
      <c r="E3796" t="s">
        <v>4346</v>
      </c>
      <c r="F3796" t="s">
        <v>20</v>
      </c>
      <c r="G3796" t="s">
        <v>21</v>
      </c>
      <c r="H3796" t="s">
        <v>1755</v>
      </c>
      <c r="I3796" t="s">
        <v>23</v>
      </c>
      <c r="J3796" t="s">
        <v>35</v>
      </c>
      <c r="K3796" s="2" t="s">
        <v>2983</v>
      </c>
      <c r="L3796" t="s">
        <v>26</v>
      </c>
      <c r="M3796">
        <v>336743</v>
      </c>
      <c r="N3796">
        <v>1</v>
      </c>
      <c r="O3796" s="3">
        <v>59990</v>
      </c>
      <c r="P3796" s="3">
        <v>28298</v>
      </c>
      <c r="Q3796" s="5">
        <f t="shared" si="177"/>
        <v>50411.764705882357</v>
      </c>
      <c r="R3796" s="5">
        <f t="shared" si="178"/>
        <v>28298</v>
      </c>
      <c r="S3796" s="5">
        <f t="shared" si="179"/>
        <v>22113.764705882357</v>
      </c>
    </row>
    <row r="3797" spans="1:19" hidden="1" x14ac:dyDescent="0.3">
      <c r="A3797">
        <v>170</v>
      </c>
      <c r="B3797" t="s">
        <v>4809</v>
      </c>
      <c r="C3797" t="s">
        <v>5293</v>
      </c>
      <c r="D3797" s="2" t="s">
        <v>5294</v>
      </c>
      <c r="E3797" t="s">
        <v>3421</v>
      </c>
      <c r="F3797" t="s">
        <v>20</v>
      </c>
      <c r="G3797" t="s">
        <v>21</v>
      </c>
      <c r="H3797" t="s">
        <v>1755</v>
      </c>
      <c r="I3797" t="s">
        <v>23</v>
      </c>
      <c r="J3797" t="s">
        <v>35</v>
      </c>
      <c r="K3797" s="2" t="s">
        <v>2983</v>
      </c>
      <c r="L3797" t="s">
        <v>26</v>
      </c>
      <c r="M3797">
        <v>336744</v>
      </c>
      <c r="N3797">
        <v>1</v>
      </c>
      <c r="O3797" s="3">
        <v>59990</v>
      </c>
      <c r="P3797" s="3">
        <v>28298</v>
      </c>
      <c r="Q3797" s="5">
        <f t="shared" si="177"/>
        <v>50411.764705882357</v>
      </c>
      <c r="R3797" s="5">
        <f t="shared" si="178"/>
        <v>28298</v>
      </c>
      <c r="S3797" s="5">
        <f t="shared" si="179"/>
        <v>22113.764705882357</v>
      </c>
    </row>
    <row r="3798" spans="1:19" hidden="1" x14ac:dyDescent="0.3">
      <c r="A3798">
        <v>170</v>
      </c>
      <c r="B3798" t="s">
        <v>4809</v>
      </c>
      <c r="C3798" t="s">
        <v>3387</v>
      </c>
      <c r="D3798" s="2" t="s">
        <v>3388</v>
      </c>
      <c r="E3798" t="s">
        <v>3019</v>
      </c>
      <c r="F3798" t="s">
        <v>20</v>
      </c>
      <c r="G3798" t="s">
        <v>338</v>
      </c>
      <c r="H3798">
        <v>85408</v>
      </c>
      <c r="I3798" t="s">
        <v>23</v>
      </c>
      <c r="J3798" t="s">
        <v>35</v>
      </c>
      <c r="K3798" s="2" t="s">
        <v>2983</v>
      </c>
      <c r="L3798" t="s">
        <v>26</v>
      </c>
      <c r="M3798">
        <v>336744</v>
      </c>
      <c r="N3798">
        <v>1</v>
      </c>
      <c r="O3798" s="3">
        <v>93450</v>
      </c>
      <c r="P3798" s="3">
        <v>33793</v>
      </c>
      <c r="Q3798" s="5">
        <f t="shared" si="177"/>
        <v>78529.411764705888</v>
      </c>
      <c r="R3798" s="5">
        <f t="shared" si="178"/>
        <v>33793</v>
      </c>
      <c r="S3798" s="5">
        <f t="shared" si="179"/>
        <v>44736.411764705888</v>
      </c>
    </row>
    <row r="3799" spans="1:19" hidden="1" x14ac:dyDescent="0.3">
      <c r="A3799">
        <v>170</v>
      </c>
      <c r="B3799" t="s">
        <v>4809</v>
      </c>
      <c r="C3799" t="s">
        <v>5295</v>
      </c>
      <c r="D3799" s="2" t="s">
        <v>5296</v>
      </c>
      <c r="E3799" t="s">
        <v>4736</v>
      </c>
      <c r="F3799" t="s">
        <v>20</v>
      </c>
      <c r="G3799" t="s">
        <v>21</v>
      </c>
      <c r="H3799" t="s">
        <v>1914</v>
      </c>
      <c r="I3799" t="s">
        <v>23</v>
      </c>
      <c r="J3799" t="s">
        <v>49</v>
      </c>
      <c r="K3799" s="2" t="s">
        <v>2983</v>
      </c>
      <c r="L3799" t="s">
        <v>26</v>
      </c>
      <c r="M3799">
        <v>336745</v>
      </c>
      <c r="N3799">
        <v>1</v>
      </c>
      <c r="O3799" s="3">
        <v>74950</v>
      </c>
      <c r="P3799" s="3">
        <v>24728</v>
      </c>
      <c r="Q3799" s="5">
        <f t="shared" si="177"/>
        <v>62983.193277310929</v>
      </c>
      <c r="R3799" s="5">
        <f t="shared" si="178"/>
        <v>24728</v>
      </c>
      <c r="S3799" s="5">
        <f t="shared" si="179"/>
        <v>38255.193277310929</v>
      </c>
    </row>
    <row r="3800" spans="1:19" hidden="1" x14ac:dyDescent="0.3">
      <c r="A3800">
        <v>170</v>
      </c>
      <c r="B3800" t="s">
        <v>4809</v>
      </c>
      <c r="C3800" t="s">
        <v>5297</v>
      </c>
      <c r="D3800" s="2" t="s">
        <v>5298</v>
      </c>
      <c r="E3800" t="s">
        <v>1174</v>
      </c>
      <c r="F3800" t="s">
        <v>20</v>
      </c>
      <c r="G3800" t="s">
        <v>21</v>
      </c>
      <c r="H3800" t="s">
        <v>272</v>
      </c>
      <c r="I3800" t="s">
        <v>23</v>
      </c>
      <c r="J3800" t="s">
        <v>40</v>
      </c>
      <c r="K3800" s="2" t="s">
        <v>2983</v>
      </c>
      <c r="L3800" t="s">
        <v>26</v>
      </c>
      <c r="M3800">
        <v>336746</v>
      </c>
      <c r="N3800">
        <v>1</v>
      </c>
      <c r="O3800" s="3">
        <v>59990</v>
      </c>
      <c r="P3800" s="3">
        <v>25134</v>
      </c>
      <c r="Q3800" s="5">
        <f t="shared" si="177"/>
        <v>50411.764705882357</v>
      </c>
      <c r="R3800" s="5">
        <f t="shared" si="178"/>
        <v>25134</v>
      </c>
      <c r="S3800" s="5">
        <f t="shared" si="179"/>
        <v>25277.764705882357</v>
      </c>
    </row>
    <row r="3801" spans="1:19" hidden="1" x14ac:dyDescent="0.3">
      <c r="A3801">
        <v>170</v>
      </c>
      <c r="B3801" t="s">
        <v>4809</v>
      </c>
      <c r="C3801" t="s">
        <v>3281</v>
      </c>
      <c r="D3801" s="2" t="s">
        <v>3282</v>
      </c>
      <c r="E3801" t="s">
        <v>3283</v>
      </c>
      <c r="F3801" t="s">
        <v>20</v>
      </c>
      <c r="G3801" t="s">
        <v>21</v>
      </c>
      <c r="H3801" t="s">
        <v>2494</v>
      </c>
      <c r="I3801" t="s">
        <v>23</v>
      </c>
      <c r="J3801" t="s">
        <v>40</v>
      </c>
      <c r="K3801" s="2" t="s">
        <v>2983</v>
      </c>
      <c r="L3801" t="s">
        <v>26</v>
      </c>
      <c r="M3801">
        <v>336746</v>
      </c>
      <c r="N3801">
        <v>1</v>
      </c>
      <c r="O3801" s="3">
        <v>59450</v>
      </c>
      <c r="P3801" s="3">
        <v>23470</v>
      </c>
      <c r="Q3801" s="5">
        <f t="shared" si="177"/>
        <v>49957.983193277316</v>
      </c>
      <c r="R3801" s="5">
        <f t="shared" si="178"/>
        <v>23470</v>
      </c>
      <c r="S3801" s="5">
        <f t="shared" si="179"/>
        <v>26487.983193277316</v>
      </c>
    </row>
    <row r="3802" spans="1:19" hidden="1" x14ac:dyDescent="0.3">
      <c r="A3802">
        <v>170</v>
      </c>
      <c r="B3802" t="s">
        <v>4809</v>
      </c>
      <c r="C3802" t="s">
        <v>5084</v>
      </c>
      <c r="D3802" s="2" t="s">
        <v>5085</v>
      </c>
      <c r="E3802" t="s">
        <v>845</v>
      </c>
      <c r="F3802" t="s">
        <v>20</v>
      </c>
      <c r="G3802" t="s">
        <v>21</v>
      </c>
      <c r="H3802" t="s">
        <v>243</v>
      </c>
      <c r="I3802" t="s">
        <v>23</v>
      </c>
      <c r="J3802" t="s">
        <v>35</v>
      </c>
      <c r="K3802" s="2" t="s">
        <v>2983</v>
      </c>
      <c r="L3802" t="s">
        <v>26</v>
      </c>
      <c r="M3802">
        <v>336747</v>
      </c>
      <c r="N3802">
        <v>1</v>
      </c>
      <c r="O3802" s="3">
        <v>93450</v>
      </c>
      <c r="P3802" s="3">
        <v>62858</v>
      </c>
      <c r="Q3802" s="5">
        <f t="shared" si="177"/>
        <v>78529.411764705888</v>
      </c>
      <c r="R3802" s="5">
        <f t="shared" si="178"/>
        <v>62858</v>
      </c>
      <c r="S3802" s="5">
        <f t="shared" si="179"/>
        <v>15671.411764705888</v>
      </c>
    </row>
    <row r="3803" spans="1:19" hidden="1" x14ac:dyDescent="0.3">
      <c r="A3803">
        <v>170</v>
      </c>
      <c r="B3803" t="s">
        <v>4809</v>
      </c>
      <c r="C3803" t="s">
        <v>4071</v>
      </c>
      <c r="D3803" s="2" t="s">
        <v>4072</v>
      </c>
      <c r="E3803" t="s">
        <v>3395</v>
      </c>
      <c r="F3803" t="s">
        <v>20</v>
      </c>
      <c r="G3803" t="s">
        <v>338</v>
      </c>
      <c r="H3803">
        <v>25459</v>
      </c>
      <c r="I3803" t="s">
        <v>23</v>
      </c>
      <c r="J3803" t="s">
        <v>35</v>
      </c>
      <c r="K3803" s="2" t="s">
        <v>2983</v>
      </c>
      <c r="L3803" t="s">
        <v>26</v>
      </c>
      <c r="M3803">
        <v>336747</v>
      </c>
      <c r="N3803">
        <v>1</v>
      </c>
      <c r="O3803" s="3">
        <v>99950</v>
      </c>
      <c r="P3803" s="3">
        <v>32113</v>
      </c>
      <c r="Q3803" s="5">
        <f t="shared" si="177"/>
        <v>83991.596638655465</v>
      </c>
      <c r="R3803" s="5">
        <f t="shared" si="178"/>
        <v>32113</v>
      </c>
      <c r="S3803" s="5">
        <f t="shared" si="179"/>
        <v>51878.596638655465</v>
      </c>
    </row>
    <row r="3804" spans="1:19" hidden="1" x14ac:dyDescent="0.3">
      <c r="A3804">
        <v>170</v>
      </c>
      <c r="B3804" t="s">
        <v>4809</v>
      </c>
      <c r="C3804" t="s">
        <v>3741</v>
      </c>
      <c r="D3804" s="2" t="s">
        <v>3742</v>
      </c>
      <c r="E3804" t="s">
        <v>3148</v>
      </c>
      <c r="F3804" t="s">
        <v>20</v>
      </c>
      <c r="G3804" t="s">
        <v>338</v>
      </c>
      <c r="H3804">
        <v>23313</v>
      </c>
      <c r="I3804" t="s">
        <v>23</v>
      </c>
      <c r="J3804" t="s">
        <v>40</v>
      </c>
      <c r="K3804" s="2" t="s">
        <v>2983</v>
      </c>
      <c r="L3804" t="s">
        <v>26</v>
      </c>
      <c r="M3804">
        <v>336748</v>
      </c>
      <c r="N3804">
        <v>1</v>
      </c>
      <c r="O3804" s="3">
        <v>49990</v>
      </c>
      <c r="P3804" s="3">
        <v>23474</v>
      </c>
      <c r="Q3804" s="5">
        <f t="shared" si="177"/>
        <v>42008.403361344543</v>
      </c>
      <c r="R3804" s="5">
        <f t="shared" si="178"/>
        <v>23474</v>
      </c>
      <c r="S3804" s="5">
        <f t="shared" si="179"/>
        <v>18534.403361344543</v>
      </c>
    </row>
    <row r="3805" spans="1:19" hidden="1" x14ac:dyDescent="0.3">
      <c r="A3805">
        <v>170</v>
      </c>
      <c r="B3805" t="s">
        <v>4809</v>
      </c>
      <c r="C3805" t="s">
        <v>5299</v>
      </c>
      <c r="D3805" s="2" t="s">
        <v>5300</v>
      </c>
      <c r="E3805" t="s">
        <v>2781</v>
      </c>
      <c r="F3805" t="s">
        <v>20</v>
      </c>
      <c r="G3805" t="s">
        <v>21</v>
      </c>
      <c r="H3805" t="s">
        <v>2782</v>
      </c>
      <c r="I3805" t="s">
        <v>23</v>
      </c>
      <c r="J3805" t="s">
        <v>35</v>
      </c>
      <c r="K3805" s="2" t="s">
        <v>2983</v>
      </c>
      <c r="L3805" t="s">
        <v>26</v>
      </c>
      <c r="M3805">
        <v>336749</v>
      </c>
      <c r="N3805">
        <v>1</v>
      </c>
      <c r="O3805" s="3">
        <v>74950</v>
      </c>
      <c r="P3805" s="3">
        <v>24388</v>
      </c>
      <c r="Q3805" s="5">
        <f t="shared" si="177"/>
        <v>62983.193277310929</v>
      </c>
      <c r="R3805" s="5">
        <f t="shared" si="178"/>
        <v>24388</v>
      </c>
      <c r="S3805" s="5">
        <f t="shared" si="179"/>
        <v>38595.193277310929</v>
      </c>
    </row>
    <row r="3806" spans="1:19" hidden="1" x14ac:dyDescent="0.3">
      <c r="A3806">
        <v>170</v>
      </c>
      <c r="B3806" t="s">
        <v>4809</v>
      </c>
      <c r="C3806" t="s">
        <v>5301</v>
      </c>
      <c r="D3806" s="2" t="s">
        <v>5302</v>
      </c>
      <c r="E3806" t="s">
        <v>1295</v>
      </c>
      <c r="F3806" t="s">
        <v>20</v>
      </c>
      <c r="G3806" t="s">
        <v>21</v>
      </c>
      <c r="H3806" t="s">
        <v>1296</v>
      </c>
      <c r="I3806" t="s">
        <v>23</v>
      </c>
      <c r="J3806" t="s">
        <v>35</v>
      </c>
      <c r="K3806" s="2" t="s">
        <v>2983</v>
      </c>
      <c r="L3806" t="s">
        <v>26</v>
      </c>
      <c r="M3806">
        <v>336750</v>
      </c>
      <c r="N3806">
        <v>1</v>
      </c>
      <c r="O3806" s="3">
        <v>59990</v>
      </c>
      <c r="P3806" s="3">
        <v>34319</v>
      </c>
      <c r="Q3806" s="5">
        <f t="shared" si="177"/>
        <v>50411.764705882357</v>
      </c>
      <c r="R3806" s="5">
        <f t="shared" si="178"/>
        <v>34319</v>
      </c>
      <c r="S3806" s="5">
        <f t="shared" si="179"/>
        <v>16092.764705882357</v>
      </c>
    </row>
    <row r="3807" spans="1:19" hidden="1" x14ac:dyDescent="0.3">
      <c r="A3807">
        <v>170</v>
      </c>
      <c r="B3807" t="s">
        <v>4809</v>
      </c>
      <c r="C3807">
        <v>1687976791</v>
      </c>
      <c r="D3807" s="2" t="s">
        <v>200</v>
      </c>
      <c r="E3807" t="s">
        <v>201</v>
      </c>
      <c r="F3807" t="s">
        <v>201</v>
      </c>
      <c r="G3807" t="s">
        <v>202</v>
      </c>
      <c r="H3807" t="s">
        <v>202</v>
      </c>
      <c r="I3807" t="s">
        <v>23</v>
      </c>
      <c r="J3807" t="s">
        <v>202</v>
      </c>
      <c r="K3807" s="2" t="s">
        <v>2983</v>
      </c>
      <c r="L3807" t="s">
        <v>26</v>
      </c>
      <c r="M3807">
        <v>336750</v>
      </c>
      <c r="N3807">
        <v>1</v>
      </c>
      <c r="O3807" s="3">
        <v>2000</v>
      </c>
      <c r="P3807">
        <v>1</v>
      </c>
      <c r="Q3807" s="5">
        <f t="shared" si="177"/>
        <v>1680.6722689075632</v>
      </c>
      <c r="R3807" s="5">
        <f t="shared" si="178"/>
        <v>1</v>
      </c>
      <c r="S3807" s="5">
        <f t="shared" si="179"/>
        <v>1679.6722689075632</v>
      </c>
    </row>
    <row r="3808" spans="1:19" hidden="1" x14ac:dyDescent="0.3">
      <c r="A3808">
        <v>170</v>
      </c>
      <c r="B3808" t="s">
        <v>4809</v>
      </c>
      <c r="C3808" t="s">
        <v>3762</v>
      </c>
      <c r="D3808" s="2" t="s">
        <v>3763</v>
      </c>
      <c r="E3808" t="s">
        <v>3764</v>
      </c>
      <c r="F3808" t="s">
        <v>20</v>
      </c>
      <c r="G3808" t="s">
        <v>21</v>
      </c>
      <c r="H3808" t="s">
        <v>1282</v>
      </c>
      <c r="I3808" t="s">
        <v>23</v>
      </c>
      <c r="J3808" t="s">
        <v>40</v>
      </c>
      <c r="K3808" s="2" t="s">
        <v>2983</v>
      </c>
      <c r="L3808" t="s">
        <v>26</v>
      </c>
      <c r="M3808">
        <v>336751</v>
      </c>
      <c r="N3808">
        <v>1</v>
      </c>
      <c r="O3808" s="3">
        <v>49950</v>
      </c>
      <c r="P3808" s="3">
        <v>13922</v>
      </c>
      <c r="Q3808" s="5">
        <f t="shared" si="177"/>
        <v>41974.789915966387</v>
      </c>
      <c r="R3808" s="5">
        <f t="shared" si="178"/>
        <v>13922</v>
      </c>
      <c r="S3808" s="5">
        <f t="shared" si="179"/>
        <v>28052.789915966387</v>
      </c>
    </row>
    <row r="3809" spans="1:19" hidden="1" x14ac:dyDescent="0.3">
      <c r="A3809">
        <v>170</v>
      </c>
      <c r="B3809" t="s">
        <v>4809</v>
      </c>
      <c r="C3809" t="s">
        <v>1037</v>
      </c>
      <c r="D3809" s="2" t="s">
        <v>1038</v>
      </c>
      <c r="E3809" t="s">
        <v>1039</v>
      </c>
      <c r="F3809" t="s">
        <v>377</v>
      </c>
      <c r="G3809" t="s">
        <v>21</v>
      </c>
      <c r="H3809" t="s">
        <v>378</v>
      </c>
      <c r="I3809" t="s">
        <v>23</v>
      </c>
      <c r="J3809" t="s">
        <v>379</v>
      </c>
      <c r="K3809" s="2" t="s">
        <v>2983</v>
      </c>
      <c r="L3809" t="s">
        <v>26</v>
      </c>
      <c r="M3809">
        <v>336752</v>
      </c>
      <c r="N3809">
        <v>1</v>
      </c>
      <c r="O3809" s="3">
        <v>4460</v>
      </c>
      <c r="P3809" s="3">
        <v>3257</v>
      </c>
      <c r="Q3809" s="5">
        <f t="shared" si="177"/>
        <v>3747.8991596638657</v>
      </c>
      <c r="R3809" s="5">
        <f t="shared" si="178"/>
        <v>3257</v>
      </c>
      <c r="S3809" s="5">
        <f t="shared" si="179"/>
        <v>490.8991596638657</v>
      </c>
    </row>
    <row r="3810" spans="1:19" hidden="1" x14ac:dyDescent="0.3">
      <c r="A3810">
        <v>170</v>
      </c>
      <c r="B3810" t="s">
        <v>4809</v>
      </c>
      <c r="C3810" t="s">
        <v>2602</v>
      </c>
      <c r="D3810" s="2" t="s">
        <v>2603</v>
      </c>
      <c r="E3810" t="s">
        <v>2533</v>
      </c>
      <c r="F3810" t="s">
        <v>20</v>
      </c>
      <c r="G3810" t="s">
        <v>21</v>
      </c>
      <c r="H3810" t="s">
        <v>500</v>
      </c>
      <c r="I3810" t="s">
        <v>23</v>
      </c>
      <c r="J3810" t="s">
        <v>40</v>
      </c>
      <c r="K3810" s="2" t="s">
        <v>2983</v>
      </c>
      <c r="L3810" t="s">
        <v>26</v>
      </c>
      <c r="M3810">
        <v>336753</v>
      </c>
      <c r="N3810">
        <v>1</v>
      </c>
      <c r="O3810" s="3">
        <v>49990</v>
      </c>
      <c r="P3810" s="3">
        <v>20043</v>
      </c>
      <c r="Q3810" s="5">
        <f t="shared" si="177"/>
        <v>42008.403361344543</v>
      </c>
      <c r="R3810" s="5">
        <f t="shared" si="178"/>
        <v>20043</v>
      </c>
      <c r="S3810" s="5">
        <f t="shared" si="179"/>
        <v>21965.403361344543</v>
      </c>
    </row>
    <row r="3811" spans="1:19" hidden="1" x14ac:dyDescent="0.3">
      <c r="A3811">
        <v>170</v>
      </c>
      <c r="B3811" t="s">
        <v>4809</v>
      </c>
      <c r="C3811" t="s">
        <v>3246</v>
      </c>
      <c r="D3811" s="2" t="s">
        <v>3247</v>
      </c>
      <c r="E3811" t="s">
        <v>3248</v>
      </c>
      <c r="F3811" t="s">
        <v>20</v>
      </c>
      <c r="G3811" t="s">
        <v>338</v>
      </c>
      <c r="H3811">
        <v>23201</v>
      </c>
      <c r="I3811" t="s">
        <v>23</v>
      </c>
      <c r="J3811" t="s">
        <v>49</v>
      </c>
      <c r="K3811" s="2" t="s">
        <v>2983</v>
      </c>
      <c r="L3811" t="s">
        <v>26</v>
      </c>
      <c r="M3811">
        <v>336753</v>
      </c>
      <c r="N3811">
        <v>1</v>
      </c>
      <c r="O3811" s="3">
        <v>72200</v>
      </c>
      <c r="P3811" s="3">
        <v>26390</v>
      </c>
      <c r="Q3811" s="5">
        <f t="shared" si="177"/>
        <v>60672.268907563026</v>
      </c>
      <c r="R3811" s="5">
        <f t="shared" si="178"/>
        <v>26390</v>
      </c>
      <c r="S3811" s="5">
        <f t="shared" si="179"/>
        <v>34282.268907563026</v>
      </c>
    </row>
    <row r="3812" spans="1:19" hidden="1" x14ac:dyDescent="0.3">
      <c r="A3812">
        <v>170</v>
      </c>
      <c r="B3812" t="s">
        <v>4809</v>
      </c>
      <c r="C3812" t="s">
        <v>3416</v>
      </c>
      <c r="D3812" s="2" t="s">
        <v>3417</v>
      </c>
      <c r="E3812" t="s">
        <v>3418</v>
      </c>
      <c r="F3812" t="s">
        <v>20</v>
      </c>
      <c r="G3812" t="s">
        <v>21</v>
      </c>
      <c r="H3812" t="s">
        <v>1418</v>
      </c>
      <c r="I3812" t="s">
        <v>23</v>
      </c>
      <c r="J3812" t="s">
        <v>35</v>
      </c>
      <c r="K3812" s="2" t="s">
        <v>2983</v>
      </c>
      <c r="L3812" t="s">
        <v>26</v>
      </c>
      <c r="M3812">
        <v>336754</v>
      </c>
      <c r="N3812">
        <v>1</v>
      </c>
      <c r="O3812" s="3">
        <v>94950</v>
      </c>
      <c r="P3812" s="3">
        <v>30749</v>
      </c>
      <c r="Q3812" s="5">
        <f t="shared" si="177"/>
        <v>79789.915966386558</v>
      </c>
      <c r="R3812" s="5">
        <f t="shared" si="178"/>
        <v>30749</v>
      </c>
      <c r="S3812" s="5">
        <f t="shared" si="179"/>
        <v>49040.915966386558</v>
      </c>
    </row>
    <row r="3813" spans="1:19" hidden="1" x14ac:dyDescent="0.3">
      <c r="A3813">
        <v>170</v>
      </c>
      <c r="B3813" t="s">
        <v>4809</v>
      </c>
      <c r="C3813" t="s">
        <v>3393</v>
      </c>
      <c r="D3813" s="2" t="s">
        <v>3394</v>
      </c>
      <c r="E3813" t="s">
        <v>3395</v>
      </c>
      <c r="F3813" t="s">
        <v>20</v>
      </c>
      <c r="G3813" t="s">
        <v>338</v>
      </c>
      <c r="H3813">
        <v>25459</v>
      </c>
      <c r="I3813" t="s">
        <v>23</v>
      </c>
      <c r="J3813" t="s">
        <v>35</v>
      </c>
      <c r="K3813" s="2" t="s">
        <v>2983</v>
      </c>
      <c r="L3813" t="s">
        <v>26</v>
      </c>
      <c r="M3813">
        <v>336754</v>
      </c>
      <c r="N3813">
        <v>1</v>
      </c>
      <c r="O3813" s="3">
        <v>84950</v>
      </c>
      <c r="P3813" s="3">
        <v>32113</v>
      </c>
      <c r="Q3813" s="5">
        <f t="shared" si="177"/>
        <v>71386.554621848743</v>
      </c>
      <c r="R3813" s="5">
        <f t="shared" si="178"/>
        <v>32113</v>
      </c>
      <c r="S3813" s="5">
        <f t="shared" si="179"/>
        <v>39273.554621848743</v>
      </c>
    </row>
    <row r="3814" spans="1:19" hidden="1" x14ac:dyDescent="0.3">
      <c r="A3814">
        <v>170</v>
      </c>
      <c r="B3814" t="s">
        <v>4809</v>
      </c>
      <c r="C3814" t="s">
        <v>3116</v>
      </c>
      <c r="D3814" s="2" t="s">
        <v>3117</v>
      </c>
      <c r="E3814" t="s">
        <v>2185</v>
      </c>
      <c r="F3814" t="s">
        <v>20</v>
      </c>
      <c r="G3814" t="s">
        <v>21</v>
      </c>
      <c r="H3814" t="s">
        <v>614</v>
      </c>
      <c r="I3814" t="s">
        <v>23</v>
      </c>
      <c r="J3814" t="s">
        <v>40</v>
      </c>
      <c r="K3814" s="2" t="s">
        <v>2983</v>
      </c>
      <c r="L3814" t="s">
        <v>26</v>
      </c>
      <c r="M3814">
        <v>336755</v>
      </c>
      <c r="N3814">
        <v>1</v>
      </c>
      <c r="O3814" s="3">
        <v>44991</v>
      </c>
      <c r="P3814" s="3">
        <v>17389</v>
      </c>
      <c r="Q3814" s="5">
        <f t="shared" si="177"/>
        <v>37807.563025210089</v>
      </c>
      <c r="R3814" s="5">
        <f t="shared" si="178"/>
        <v>17389</v>
      </c>
      <c r="S3814" s="5">
        <f t="shared" si="179"/>
        <v>20418.563025210089</v>
      </c>
    </row>
    <row r="3815" spans="1:19" hidden="1" x14ac:dyDescent="0.3">
      <c r="A3815">
        <v>170</v>
      </c>
      <c r="B3815" t="s">
        <v>4809</v>
      </c>
      <c r="C3815" t="s">
        <v>3298</v>
      </c>
      <c r="D3815" s="2" t="s">
        <v>3299</v>
      </c>
      <c r="E3815" t="s">
        <v>2185</v>
      </c>
      <c r="F3815" t="s">
        <v>20</v>
      </c>
      <c r="G3815" t="s">
        <v>21</v>
      </c>
      <c r="H3815" t="s">
        <v>614</v>
      </c>
      <c r="I3815" t="s">
        <v>23</v>
      </c>
      <c r="J3815" t="s">
        <v>40</v>
      </c>
      <c r="K3815" s="2" t="s">
        <v>2983</v>
      </c>
      <c r="L3815" t="s">
        <v>26</v>
      </c>
      <c r="M3815">
        <v>336755</v>
      </c>
      <c r="N3815">
        <v>-1</v>
      </c>
      <c r="O3815" s="3">
        <v>-44990</v>
      </c>
      <c r="P3815" s="3">
        <v>17386</v>
      </c>
      <c r="Q3815" s="5">
        <f t="shared" si="177"/>
        <v>-37806.722689075636</v>
      </c>
      <c r="R3815" s="5">
        <f t="shared" si="178"/>
        <v>-17386</v>
      </c>
      <c r="S3815" s="5">
        <f t="shared" si="179"/>
        <v>-20420.722689075636</v>
      </c>
    </row>
    <row r="3816" spans="1:19" hidden="1" x14ac:dyDescent="0.3">
      <c r="A3816">
        <v>170</v>
      </c>
      <c r="B3816" t="s">
        <v>4809</v>
      </c>
      <c r="C3816" t="s">
        <v>4745</v>
      </c>
      <c r="D3816" s="2" t="s">
        <v>4746</v>
      </c>
      <c r="E3816" t="s">
        <v>3091</v>
      </c>
      <c r="F3816" t="s">
        <v>20</v>
      </c>
      <c r="G3816" t="s">
        <v>338</v>
      </c>
      <c r="H3816">
        <v>26266</v>
      </c>
      <c r="I3816" t="s">
        <v>23</v>
      </c>
      <c r="J3816" t="s">
        <v>35</v>
      </c>
      <c r="K3816" s="2" t="s">
        <v>2983</v>
      </c>
      <c r="L3816" t="s">
        <v>26</v>
      </c>
      <c r="M3816">
        <v>336756</v>
      </c>
      <c r="N3816">
        <v>1</v>
      </c>
      <c r="O3816" s="3">
        <v>79950</v>
      </c>
      <c r="P3816" s="3">
        <v>25300</v>
      </c>
      <c r="Q3816" s="5">
        <f t="shared" si="177"/>
        <v>67184.873949579836</v>
      </c>
      <c r="R3816" s="5">
        <f t="shared" si="178"/>
        <v>25300</v>
      </c>
      <c r="S3816" s="5">
        <f t="shared" si="179"/>
        <v>41884.873949579836</v>
      </c>
    </row>
    <row r="3817" spans="1:19" hidden="1" x14ac:dyDescent="0.3">
      <c r="A3817">
        <v>170</v>
      </c>
      <c r="B3817" t="s">
        <v>4809</v>
      </c>
      <c r="C3817" t="s">
        <v>3487</v>
      </c>
      <c r="D3817" s="2" t="s">
        <v>3488</v>
      </c>
      <c r="E3817" t="s">
        <v>2795</v>
      </c>
      <c r="F3817" t="s">
        <v>20</v>
      </c>
      <c r="G3817" t="s">
        <v>21</v>
      </c>
      <c r="H3817" t="s">
        <v>57</v>
      </c>
      <c r="I3817" t="s">
        <v>23</v>
      </c>
      <c r="J3817" t="s">
        <v>35</v>
      </c>
      <c r="K3817" s="2" t="s">
        <v>2983</v>
      </c>
      <c r="L3817" t="s">
        <v>26</v>
      </c>
      <c r="M3817">
        <v>336756</v>
      </c>
      <c r="N3817">
        <v>1</v>
      </c>
      <c r="O3817" s="3">
        <v>76450</v>
      </c>
      <c r="P3817" s="3">
        <v>31783</v>
      </c>
      <c r="Q3817" s="5">
        <f t="shared" si="177"/>
        <v>64243.697478991598</v>
      </c>
      <c r="R3817" s="5">
        <f t="shared" si="178"/>
        <v>31783</v>
      </c>
      <c r="S3817" s="5">
        <f t="shared" si="179"/>
        <v>32460.697478991598</v>
      </c>
    </row>
    <row r="3818" spans="1:19" hidden="1" x14ac:dyDescent="0.3">
      <c r="A3818">
        <v>170</v>
      </c>
      <c r="B3818" t="s">
        <v>4809</v>
      </c>
      <c r="C3818" t="s">
        <v>3188</v>
      </c>
      <c r="D3818" s="2" t="s">
        <v>3189</v>
      </c>
      <c r="E3818" t="s">
        <v>3190</v>
      </c>
      <c r="F3818" t="s">
        <v>20</v>
      </c>
      <c r="G3818" t="s">
        <v>21</v>
      </c>
      <c r="H3818" t="s">
        <v>1440</v>
      </c>
      <c r="I3818" t="s">
        <v>23</v>
      </c>
      <c r="J3818" t="s">
        <v>40</v>
      </c>
      <c r="K3818" s="2" t="s">
        <v>3074</v>
      </c>
      <c r="L3818" t="s">
        <v>26</v>
      </c>
      <c r="M3818">
        <v>336757</v>
      </c>
      <c r="N3818">
        <v>-1</v>
      </c>
      <c r="O3818" s="3">
        <v>-55200</v>
      </c>
      <c r="P3818" s="3">
        <v>17328</v>
      </c>
      <c r="Q3818" s="5">
        <f t="shared" si="177"/>
        <v>-46386.554621848743</v>
      </c>
      <c r="R3818" s="5">
        <f t="shared" si="178"/>
        <v>-17328</v>
      </c>
      <c r="S3818" s="5">
        <f t="shared" si="179"/>
        <v>-29058.554621848743</v>
      </c>
    </row>
    <row r="3819" spans="1:19" hidden="1" x14ac:dyDescent="0.3">
      <c r="A3819">
        <v>170</v>
      </c>
      <c r="B3819" t="s">
        <v>4809</v>
      </c>
      <c r="C3819" t="s">
        <v>2682</v>
      </c>
      <c r="D3819" s="2" t="s">
        <v>2683</v>
      </c>
      <c r="E3819" t="s">
        <v>1439</v>
      </c>
      <c r="F3819" t="s">
        <v>20</v>
      </c>
      <c r="G3819" t="s">
        <v>21</v>
      </c>
      <c r="H3819" t="s">
        <v>1440</v>
      </c>
      <c r="I3819" t="s">
        <v>23</v>
      </c>
      <c r="J3819" t="s">
        <v>40</v>
      </c>
      <c r="K3819" s="2" t="s">
        <v>3074</v>
      </c>
      <c r="L3819" t="s">
        <v>26</v>
      </c>
      <c r="M3819">
        <v>336757</v>
      </c>
      <c r="N3819">
        <v>1</v>
      </c>
      <c r="O3819" s="3">
        <v>55250</v>
      </c>
      <c r="P3819" s="3">
        <v>17328</v>
      </c>
      <c r="Q3819" s="5">
        <f t="shared" si="177"/>
        <v>46428.571428571428</v>
      </c>
      <c r="R3819" s="5">
        <f t="shared" si="178"/>
        <v>17328</v>
      </c>
      <c r="S3819" s="5">
        <f t="shared" si="179"/>
        <v>29100.571428571428</v>
      </c>
    </row>
    <row r="3820" spans="1:19" hidden="1" x14ac:dyDescent="0.3">
      <c r="A3820">
        <v>170</v>
      </c>
      <c r="B3820" t="s">
        <v>4809</v>
      </c>
      <c r="C3820" t="s">
        <v>5303</v>
      </c>
      <c r="D3820" s="2" t="s">
        <v>5304</v>
      </c>
      <c r="E3820" t="s">
        <v>4846</v>
      </c>
      <c r="F3820" t="s">
        <v>20</v>
      </c>
      <c r="G3820" t="s">
        <v>21</v>
      </c>
      <c r="H3820" t="s">
        <v>3128</v>
      </c>
      <c r="I3820" t="s">
        <v>23</v>
      </c>
      <c r="J3820" t="s">
        <v>49</v>
      </c>
      <c r="K3820" s="2" t="s">
        <v>3074</v>
      </c>
      <c r="L3820" t="s">
        <v>26</v>
      </c>
      <c r="M3820">
        <v>336758</v>
      </c>
      <c r="N3820">
        <v>1</v>
      </c>
      <c r="O3820" s="3">
        <v>79950</v>
      </c>
      <c r="P3820" s="3">
        <v>29986</v>
      </c>
      <c r="Q3820" s="5">
        <f t="shared" si="177"/>
        <v>67184.873949579836</v>
      </c>
      <c r="R3820" s="5">
        <f t="shared" si="178"/>
        <v>29986</v>
      </c>
      <c r="S3820" s="5">
        <f t="shared" si="179"/>
        <v>37198.873949579836</v>
      </c>
    </row>
    <row r="3821" spans="1:19" hidden="1" x14ac:dyDescent="0.3">
      <c r="A3821">
        <v>170</v>
      </c>
      <c r="B3821" t="s">
        <v>4809</v>
      </c>
      <c r="C3821" t="s">
        <v>5305</v>
      </c>
      <c r="D3821" s="2" t="s">
        <v>5306</v>
      </c>
      <c r="E3821" t="s">
        <v>3036</v>
      </c>
      <c r="F3821" t="s">
        <v>20</v>
      </c>
      <c r="G3821" t="s">
        <v>338</v>
      </c>
      <c r="H3821">
        <v>25273</v>
      </c>
      <c r="I3821" t="s">
        <v>23</v>
      </c>
      <c r="J3821" t="s">
        <v>35</v>
      </c>
      <c r="K3821" s="2" t="s">
        <v>3074</v>
      </c>
      <c r="L3821" t="s">
        <v>26</v>
      </c>
      <c r="M3821">
        <v>336759</v>
      </c>
      <c r="N3821">
        <v>1</v>
      </c>
      <c r="O3821" s="3">
        <v>99950</v>
      </c>
      <c r="P3821" s="3">
        <v>32658</v>
      </c>
      <c r="Q3821" s="5">
        <f t="shared" si="177"/>
        <v>83991.596638655465</v>
      </c>
      <c r="R3821" s="5">
        <f t="shared" si="178"/>
        <v>32658</v>
      </c>
      <c r="S3821" s="5">
        <f t="shared" si="179"/>
        <v>51333.596638655465</v>
      </c>
    </row>
    <row r="3822" spans="1:19" hidden="1" x14ac:dyDescent="0.3">
      <c r="A3822">
        <v>170</v>
      </c>
      <c r="B3822" t="s">
        <v>4809</v>
      </c>
      <c r="C3822" t="s">
        <v>4909</v>
      </c>
      <c r="D3822" s="2" t="s">
        <v>4910</v>
      </c>
      <c r="E3822" t="s">
        <v>3780</v>
      </c>
      <c r="F3822" t="s">
        <v>20</v>
      </c>
      <c r="G3822" t="s">
        <v>21</v>
      </c>
      <c r="H3822" t="s">
        <v>970</v>
      </c>
      <c r="I3822" t="s">
        <v>23</v>
      </c>
      <c r="J3822" t="s">
        <v>40</v>
      </c>
      <c r="K3822" s="2" t="s">
        <v>3074</v>
      </c>
      <c r="L3822" t="s">
        <v>26</v>
      </c>
      <c r="M3822">
        <v>336760</v>
      </c>
      <c r="N3822">
        <v>1</v>
      </c>
      <c r="O3822" s="3">
        <v>50950</v>
      </c>
      <c r="P3822" s="3">
        <v>15928</v>
      </c>
      <c r="Q3822" s="5">
        <f t="shared" si="177"/>
        <v>42815.126050420171</v>
      </c>
      <c r="R3822" s="5">
        <f t="shared" si="178"/>
        <v>15928</v>
      </c>
      <c r="S3822" s="5">
        <f t="shared" si="179"/>
        <v>26887.126050420171</v>
      </c>
    </row>
    <row r="3823" spans="1:19" hidden="1" x14ac:dyDescent="0.3">
      <c r="A3823">
        <v>170</v>
      </c>
      <c r="B3823" t="s">
        <v>4809</v>
      </c>
      <c r="C3823" t="s">
        <v>5039</v>
      </c>
      <c r="D3823" s="2" t="s">
        <v>5040</v>
      </c>
      <c r="E3823" t="s">
        <v>2552</v>
      </c>
      <c r="F3823" t="s">
        <v>20</v>
      </c>
      <c r="G3823" t="s">
        <v>21</v>
      </c>
      <c r="H3823" t="s">
        <v>2353</v>
      </c>
      <c r="I3823" t="s">
        <v>23</v>
      </c>
      <c r="J3823" t="s">
        <v>40</v>
      </c>
      <c r="K3823" s="2" t="s">
        <v>3074</v>
      </c>
      <c r="L3823" t="s">
        <v>26</v>
      </c>
      <c r="M3823">
        <v>336760</v>
      </c>
      <c r="N3823">
        <v>-1</v>
      </c>
      <c r="O3823" s="3">
        <v>-84950</v>
      </c>
      <c r="P3823" s="3">
        <v>31436</v>
      </c>
      <c r="Q3823" s="5">
        <f t="shared" si="177"/>
        <v>-71386.554621848743</v>
      </c>
      <c r="R3823" s="5">
        <f t="shared" si="178"/>
        <v>-31436</v>
      </c>
      <c r="S3823" s="5">
        <f t="shared" si="179"/>
        <v>-39950.554621848743</v>
      </c>
    </row>
    <row r="3824" spans="1:19" hidden="1" x14ac:dyDescent="0.3">
      <c r="A3824">
        <v>170</v>
      </c>
      <c r="B3824" t="s">
        <v>4809</v>
      </c>
      <c r="C3824" t="s">
        <v>5307</v>
      </c>
      <c r="D3824" s="2" t="s">
        <v>5308</v>
      </c>
      <c r="E3824" t="s">
        <v>5119</v>
      </c>
      <c r="F3824" t="s">
        <v>20</v>
      </c>
      <c r="G3824" t="s">
        <v>21</v>
      </c>
      <c r="H3824" t="s">
        <v>2782</v>
      </c>
      <c r="I3824" t="s">
        <v>23</v>
      </c>
      <c r="J3824" t="s">
        <v>35</v>
      </c>
      <c r="K3824" s="2" t="s">
        <v>3074</v>
      </c>
      <c r="L3824" t="s">
        <v>26</v>
      </c>
      <c r="M3824">
        <v>336760</v>
      </c>
      <c r="N3824">
        <v>1</v>
      </c>
      <c r="O3824" s="3">
        <v>74950</v>
      </c>
      <c r="P3824" s="3">
        <v>24388</v>
      </c>
      <c r="Q3824" s="5">
        <f t="shared" si="177"/>
        <v>62983.193277310929</v>
      </c>
      <c r="R3824" s="5">
        <f t="shared" si="178"/>
        <v>24388</v>
      </c>
      <c r="S3824" s="5">
        <f t="shared" si="179"/>
        <v>38595.193277310929</v>
      </c>
    </row>
    <row r="3825" spans="1:19" hidden="1" x14ac:dyDescent="0.3">
      <c r="A3825">
        <v>170</v>
      </c>
      <c r="B3825" t="s">
        <v>4809</v>
      </c>
      <c r="C3825" t="s">
        <v>4212</v>
      </c>
      <c r="D3825" s="2" t="s">
        <v>4213</v>
      </c>
      <c r="E3825" t="s">
        <v>1443</v>
      </c>
      <c r="F3825" t="s">
        <v>20</v>
      </c>
      <c r="G3825" t="s">
        <v>338</v>
      </c>
      <c r="H3825">
        <v>25301</v>
      </c>
      <c r="I3825" t="s">
        <v>23</v>
      </c>
      <c r="J3825" t="s">
        <v>35</v>
      </c>
      <c r="K3825" s="2" t="s">
        <v>3074</v>
      </c>
      <c r="L3825" t="s">
        <v>26</v>
      </c>
      <c r="M3825">
        <v>336761</v>
      </c>
      <c r="N3825">
        <v>1</v>
      </c>
      <c r="O3825" s="3">
        <v>99950</v>
      </c>
      <c r="P3825" s="3">
        <v>34157</v>
      </c>
      <c r="Q3825" s="5">
        <f t="shared" si="177"/>
        <v>83991.596638655465</v>
      </c>
      <c r="R3825" s="5">
        <f t="shared" si="178"/>
        <v>34157</v>
      </c>
      <c r="S3825" s="5">
        <f t="shared" si="179"/>
        <v>49834.596638655465</v>
      </c>
    </row>
    <row r="3826" spans="1:19" hidden="1" x14ac:dyDescent="0.3">
      <c r="A3826">
        <v>170</v>
      </c>
      <c r="B3826" t="s">
        <v>4809</v>
      </c>
      <c r="C3826" t="s">
        <v>2371</v>
      </c>
      <c r="D3826" s="2" t="s">
        <v>2372</v>
      </c>
      <c r="E3826" t="s">
        <v>2373</v>
      </c>
      <c r="F3826" t="s">
        <v>20</v>
      </c>
      <c r="G3826" t="s">
        <v>338</v>
      </c>
      <c r="H3826">
        <v>24239</v>
      </c>
      <c r="I3826" t="s">
        <v>23</v>
      </c>
      <c r="J3826" t="s">
        <v>95</v>
      </c>
      <c r="K3826" s="2" t="s">
        <v>3074</v>
      </c>
      <c r="L3826" t="s">
        <v>26</v>
      </c>
      <c r="M3826">
        <v>336762</v>
      </c>
      <c r="N3826">
        <v>1</v>
      </c>
      <c r="O3826" s="3">
        <v>59950</v>
      </c>
      <c r="P3826" s="3">
        <v>18677</v>
      </c>
      <c r="Q3826" s="5">
        <f t="shared" si="177"/>
        <v>50378.151260504201</v>
      </c>
      <c r="R3826" s="5">
        <f t="shared" si="178"/>
        <v>18677</v>
      </c>
      <c r="S3826" s="5">
        <f t="shared" si="179"/>
        <v>31701.151260504201</v>
      </c>
    </row>
    <row r="3827" spans="1:19" hidden="1" x14ac:dyDescent="0.3">
      <c r="A3827">
        <v>170</v>
      </c>
      <c r="B3827" t="s">
        <v>4809</v>
      </c>
      <c r="C3827" t="s">
        <v>4491</v>
      </c>
      <c r="D3827" s="2" t="s">
        <v>4492</v>
      </c>
      <c r="E3827" t="s">
        <v>3449</v>
      </c>
      <c r="F3827" t="s">
        <v>20</v>
      </c>
      <c r="G3827" t="s">
        <v>338</v>
      </c>
      <c r="H3827">
        <v>25366</v>
      </c>
      <c r="I3827" t="s">
        <v>23</v>
      </c>
      <c r="J3827" t="s">
        <v>35</v>
      </c>
      <c r="K3827" s="2" t="s">
        <v>3074</v>
      </c>
      <c r="L3827" t="s">
        <v>26</v>
      </c>
      <c r="M3827">
        <v>336762</v>
      </c>
      <c r="N3827">
        <v>1</v>
      </c>
      <c r="O3827" s="3">
        <v>84950</v>
      </c>
      <c r="P3827" s="3">
        <v>33157</v>
      </c>
      <c r="Q3827" s="5">
        <f t="shared" si="177"/>
        <v>71386.554621848743</v>
      </c>
      <c r="R3827" s="5">
        <f t="shared" si="178"/>
        <v>33157</v>
      </c>
      <c r="S3827" s="5">
        <f t="shared" si="179"/>
        <v>38229.554621848743</v>
      </c>
    </row>
    <row r="3828" spans="1:19" hidden="1" x14ac:dyDescent="0.3">
      <c r="A3828">
        <v>170</v>
      </c>
      <c r="B3828" t="s">
        <v>4809</v>
      </c>
      <c r="C3828" t="s">
        <v>1761</v>
      </c>
      <c r="D3828" s="2" t="s">
        <v>1762</v>
      </c>
      <c r="E3828" t="s">
        <v>1763</v>
      </c>
      <c r="F3828" t="s">
        <v>377</v>
      </c>
      <c r="G3828" t="s">
        <v>21</v>
      </c>
      <c r="H3828" t="s">
        <v>378</v>
      </c>
      <c r="I3828" t="s">
        <v>23</v>
      </c>
      <c r="J3828" t="s">
        <v>379</v>
      </c>
      <c r="K3828" s="2" t="s">
        <v>3074</v>
      </c>
      <c r="L3828" t="s">
        <v>26</v>
      </c>
      <c r="M3828">
        <v>336762</v>
      </c>
      <c r="N3828">
        <v>1</v>
      </c>
      <c r="O3828" s="3">
        <v>5950</v>
      </c>
      <c r="P3828" s="3">
        <v>3279</v>
      </c>
      <c r="Q3828" s="5">
        <f t="shared" si="177"/>
        <v>5000</v>
      </c>
      <c r="R3828" s="5">
        <f t="shared" si="178"/>
        <v>3279</v>
      </c>
      <c r="S3828" s="5">
        <f t="shared" si="179"/>
        <v>1721</v>
      </c>
    </row>
    <row r="3829" spans="1:19" hidden="1" x14ac:dyDescent="0.3">
      <c r="A3829">
        <v>170</v>
      </c>
      <c r="B3829" t="s">
        <v>4809</v>
      </c>
      <c r="C3829" t="s">
        <v>4061</v>
      </c>
      <c r="D3829" s="2" t="s">
        <v>4062</v>
      </c>
      <c r="E3829" t="s">
        <v>2208</v>
      </c>
      <c r="F3829" t="s">
        <v>20</v>
      </c>
      <c r="G3829" t="s">
        <v>338</v>
      </c>
      <c r="H3829">
        <v>25823</v>
      </c>
      <c r="I3829" t="s">
        <v>23</v>
      </c>
      <c r="J3829" t="s">
        <v>35</v>
      </c>
      <c r="K3829" s="2" t="s">
        <v>3074</v>
      </c>
      <c r="L3829" t="s">
        <v>26</v>
      </c>
      <c r="M3829">
        <v>336763</v>
      </c>
      <c r="N3829">
        <v>1</v>
      </c>
      <c r="O3829" s="3">
        <v>84950</v>
      </c>
      <c r="P3829" s="3">
        <v>33748</v>
      </c>
      <c r="Q3829" s="5">
        <f t="shared" si="177"/>
        <v>71386.554621848743</v>
      </c>
      <c r="R3829" s="5">
        <f t="shared" si="178"/>
        <v>33748</v>
      </c>
      <c r="S3829" s="5">
        <f t="shared" si="179"/>
        <v>37638.554621848743</v>
      </c>
    </row>
    <row r="3830" spans="1:19" hidden="1" x14ac:dyDescent="0.3">
      <c r="A3830">
        <v>170</v>
      </c>
      <c r="B3830" t="s">
        <v>4809</v>
      </c>
      <c r="C3830" t="s">
        <v>5309</v>
      </c>
      <c r="D3830" s="2" t="s">
        <v>5310</v>
      </c>
      <c r="E3830" t="s">
        <v>2936</v>
      </c>
      <c r="F3830" t="s">
        <v>20</v>
      </c>
      <c r="G3830" t="s">
        <v>338</v>
      </c>
      <c r="H3830">
        <v>25357</v>
      </c>
      <c r="I3830" t="s">
        <v>23</v>
      </c>
      <c r="J3830" t="s">
        <v>35</v>
      </c>
      <c r="K3830" s="2" t="s">
        <v>3074</v>
      </c>
      <c r="L3830" t="s">
        <v>26</v>
      </c>
      <c r="M3830">
        <v>336764</v>
      </c>
      <c r="N3830">
        <v>1</v>
      </c>
      <c r="O3830" s="3">
        <v>79950</v>
      </c>
      <c r="P3830" s="3">
        <v>24482</v>
      </c>
      <c r="Q3830" s="5">
        <f t="shared" si="177"/>
        <v>67184.873949579836</v>
      </c>
      <c r="R3830" s="5">
        <f t="shared" si="178"/>
        <v>24482</v>
      </c>
      <c r="S3830" s="5">
        <f t="shared" si="179"/>
        <v>42702.873949579836</v>
      </c>
    </row>
    <row r="3831" spans="1:19" hidden="1" x14ac:dyDescent="0.3">
      <c r="A3831">
        <v>170</v>
      </c>
      <c r="B3831" t="s">
        <v>4809</v>
      </c>
      <c r="C3831" t="s">
        <v>2525</v>
      </c>
      <c r="D3831" s="2" t="s">
        <v>2526</v>
      </c>
      <c r="E3831" t="s">
        <v>2527</v>
      </c>
      <c r="F3831" t="s">
        <v>377</v>
      </c>
      <c r="G3831" t="s">
        <v>21</v>
      </c>
      <c r="H3831" t="s">
        <v>378</v>
      </c>
      <c r="I3831" t="s">
        <v>23</v>
      </c>
      <c r="J3831" t="s">
        <v>2459</v>
      </c>
      <c r="K3831" s="2" t="s">
        <v>3074</v>
      </c>
      <c r="L3831" t="s">
        <v>26</v>
      </c>
      <c r="M3831">
        <v>336764</v>
      </c>
      <c r="N3831">
        <v>1</v>
      </c>
      <c r="O3831" s="3">
        <v>6950</v>
      </c>
      <c r="P3831" s="3">
        <v>2964</v>
      </c>
      <c r="Q3831" s="5">
        <f t="shared" si="177"/>
        <v>5840.3361344537816</v>
      </c>
      <c r="R3831" s="5">
        <f t="shared" si="178"/>
        <v>2964</v>
      </c>
      <c r="S3831" s="5">
        <f t="shared" si="179"/>
        <v>2876.3361344537816</v>
      </c>
    </row>
    <row r="3832" spans="1:19" hidden="1" x14ac:dyDescent="0.3">
      <c r="A3832">
        <v>170</v>
      </c>
      <c r="B3832" t="s">
        <v>4809</v>
      </c>
      <c r="C3832" t="s">
        <v>2481</v>
      </c>
      <c r="D3832" s="2" t="s">
        <v>2482</v>
      </c>
      <c r="E3832" t="s">
        <v>2483</v>
      </c>
      <c r="F3832" t="s">
        <v>20</v>
      </c>
      <c r="G3832" t="s">
        <v>21</v>
      </c>
      <c r="H3832" t="s">
        <v>2484</v>
      </c>
      <c r="I3832" t="s">
        <v>23</v>
      </c>
      <c r="J3832" t="s">
        <v>40</v>
      </c>
      <c r="K3832" s="2" t="s">
        <v>3074</v>
      </c>
      <c r="L3832" t="s">
        <v>26</v>
      </c>
      <c r="M3832">
        <v>336765</v>
      </c>
      <c r="N3832">
        <v>1</v>
      </c>
      <c r="O3832" s="3">
        <v>59950</v>
      </c>
      <c r="P3832" s="3">
        <v>17503</v>
      </c>
      <c r="Q3832" s="5">
        <f t="shared" si="177"/>
        <v>50378.151260504201</v>
      </c>
      <c r="R3832" s="5">
        <f t="shared" si="178"/>
        <v>17503</v>
      </c>
      <c r="S3832" s="5">
        <f t="shared" si="179"/>
        <v>32875.151260504201</v>
      </c>
    </row>
    <row r="3833" spans="1:19" hidden="1" x14ac:dyDescent="0.3">
      <c r="A3833">
        <v>170</v>
      </c>
      <c r="B3833" t="s">
        <v>4809</v>
      </c>
      <c r="C3833" t="s">
        <v>5055</v>
      </c>
      <c r="D3833" s="2" t="s">
        <v>5056</v>
      </c>
      <c r="E3833" t="s">
        <v>3328</v>
      </c>
      <c r="F3833" t="s">
        <v>20</v>
      </c>
      <c r="G3833" t="s">
        <v>338</v>
      </c>
      <c r="H3833">
        <v>23720</v>
      </c>
      <c r="I3833" t="s">
        <v>23</v>
      </c>
      <c r="J3833" t="s">
        <v>40</v>
      </c>
      <c r="K3833" s="2" t="s">
        <v>3074</v>
      </c>
      <c r="L3833" t="s">
        <v>26</v>
      </c>
      <c r="M3833">
        <v>336766</v>
      </c>
      <c r="N3833">
        <v>1</v>
      </c>
      <c r="O3833" s="3">
        <v>59950</v>
      </c>
      <c r="P3833" s="3">
        <v>19579</v>
      </c>
      <c r="Q3833" s="5">
        <f t="shared" si="177"/>
        <v>50378.151260504201</v>
      </c>
      <c r="R3833" s="5">
        <f t="shared" si="178"/>
        <v>19579</v>
      </c>
      <c r="S3833" s="5">
        <f t="shared" si="179"/>
        <v>30799.151260504201</v>
      </c>
    </row>
    <row r="3834" spans="1:19" hidden="1" x14ac:dyDescent="0.3">
      <c r="A3834">
        <v>170</v>
      </c>
      <c r="B3834" t="s">
        <v>4809</v>
      </c>
      <c r="C3834" t="s">
        <v>3499</v>
      </c>
      <c r="D3834" s="2" t="s">
        <v>3500</v>
      </c>
      <c r="E3834" t="s">
        <v>2433</v>
      </c>
      <c r="F3834" t="s">
        <v>20</v>
      </c>
      <c r="G3834" t="s">
        <v>338</v>
      </c>
      <c r="H3834">
        <v>24722</v>
      </c>
      <c r="I3834" t="s">
        <v>23</v>
      </c>
      <c r="J3834" t="s">
        <v>95</v>
      </c>
      <c r="K3834" s="2" t="s">
        <v>3074</v>
      </c>
      <c r="L3834" t="s">
        <v>26</v>
      </c>
      <c r="M3834">
        <v>336767</v>
      </c>
      <c r="N3834">
        <v>1</v>
      </c>
      <c r="O3834" s="3">
        <v>89951</v>
      </c>
      <c r="P3834" s="3">
        <v>30987</v>
      </c>
      <c r="Q3834" s="5">
        <f t="shared" si="177"/>
        <v>75589.075630252104</v>
      </c>
      <c r="R3834" s="5">
        <f t="shared" si="178"/>
        <v>30987</v>
      </c>
      <c r="S3834" s="5">
        <f t="shared" si="179"/>
        <v>44602.075630252104</v>
      </c>
    </row>
    <row r="3835" spans="1:19" hidden="1" x14ac:dyDescent="0.3">
      <c r="A3835">
        <v>170</v>
      </c>
      <c r="B3835" t="s">
        <v>4809</v>
      </c>
      <c r="C3835" t="s">
        <v>3257</v>
      </c>
      <c r="D3835" s="2" t="s">
        <v>3258</v>
      </c>
      <c r="E3835" t="s">
        <v>2433</v>
      </c>
      <c r="F3835" t="s">
        <v>20</v>
      </c>
      <c r="G3835" t="s">
        <v>338</v>
      </c>
      <c r="H3835">
        <v>24722</v>
      </c>
      <c r="I3835" t="s">
        <v>23</v>
      </c>
      <c r="J3835" t="s">
        <v>95</v>
      </c>
      <c r="K3835" s="2" t="s">
        <v>3074</v>
      </c>
      <c r="L3835" t="s">
        <v>26</v>
      </c>
      <c r="M3835">
        <v>336767</v>
      </c>
      <c r="N3835">
        <v>-1</v>
      </c>
      <c r="O3835" s="3">
        <v>-89950</v>
      </c>
      <c r="P3835" s="3">
        <v>30987</v>
      </c>
      <c r="Q3835" s="5">
        <f t="shared" si="177"/>
        <v>-75588.23529411765</v>
      </c>
      <c r="R3835" s="5">
        <f t="shared" si="178"/>
        <v>-30987</v>
      </c>
      <c r="S3835" s="5">
        <f t="shared" si="179"/>
        <v>-44601.23529411765</v>
      </c>
    </row>
    <row r="3836" spans="1:19" hidden="1" x14ac:dyDescent="0.3">
      <c r="A3836">
        <v>170</v>
      </c>
      <c r="B3836" t="s">
        <v>4809</v>
      </c>
      <c r="C3836" t="s">
        <v>5311</v>
      </c>
      <c r="D3836" s="2" t="s">
        <v>5312</v>
      </c>
      <c r="E3836" t="s">
        <v>2986</v>
      </c>
      <c r="F3836" t="s">
        <v>20</v>
      </c>
      <c r="G3836" t="s">
        <v>21</v>
      </c>
      <c r="H3836" t="s">
        <v>267</v>
      </c>
      <c r="I3836" t="s">
        <v>23</v>
      </c>
      <c r="J3836" t="s">
        <v>35</v>
      </c>
      <c r="K3836" s="2" t="s">
        <v>3074</v>
      </c>
      <c r="L3836" t="s">
        <v>26</v>
      </c>
      <c r="M3836">
        <v>336768</v>
      </c>
      <c r="N3836">
        <v>1</v>
      </c>
      <c r="O3836" s="3">
        <v>59990</v>
      </c>
      <c r="P3836" s="3">
        <v>24733</v>
      </c>
      <c r="Q3836" s="5">
        <f t="shared" si="177"/>
        <v>50411.764705882357</v>
      </c>
      <c r="R3836" s="5">
        <f t="shared" si="178"/>
        <v>24733</v>
      </c>
      <c r="S3836" s="5">
        <f t="shared" si="179"/>
        <v>25678.764705882357</v>
      </c>
    </row>
    <row r="3837" spans="1:19" hidden="1" x14ac:dyDescent="0.3">
      <c r="A3837">
        <v>170</v>
      </c>
      <c r="B3837" t="s">
        <v>4809</v>
      </c>
      <c r="C3837" t="s">
        <v>5313</v>
      </c>
      <c r="D3837" s="2" t="s">
        <v>5314</v>
      </c>
      <c r="E3837" t="s">
        <v>3472</v>
      </c>
      <c r="F3837" t="s">
        <v>20</v>
      </c>
      <c r="G3837" t="s">
        <v>338</v>
      </c>
      <c r="H3837">
        <v>25336</v>
      </c>
      <c r="I3837" t="s">
        <v>23</v>
      </c>
      <c r="J3837" t="s">
        <v>35</v>
      </c>
      <c r="K3837" s="2" t="s">
        <v>3074</v>
      </c>
      <c r="L3837" t="s">
        <v>26</v>
      </c>
      <c r="M3837">
        <v>336769</v>
      </c>
      <c r="N3837">
        <v>1</v>
      </c>
      <c r="O3837" s="3">
        <v>99950</v>
      </c>
      <c r="P3837" s="3">
        <v>31886</v>
      </c>
      <c r="Q3837" s="5">
        <f t="shared" si="177"/>
        <v>83991.596638655465</v>
      </c>
      <c r="R3837" s="5">
        <f t="shared" si="178"/>
        <v>31886</v>
      </c>
      <c r="S3837" s="5">
        <f t="shared" si="179"/>
        <v>52105.596638655465</v>
      </c>
    </row>
    <row r="3838" spans="1:19" hidden="1" x14ac:dyDescent="0.3">
      <c r="A3838">
        <v>170</v>
      </c>
      <c r="B3838" t="s">
        <v>4809</v>
      </c>
      <c r="C3838" t="s">
        <v>2108</v>
      </c>
      <c r="D3838" s="2" t="s">
        <v>2109</v>
      </c>
      <c r="E3838" t="s">
        <v>2110</v>
      </c>
      <c r="F3838" t="s">
        <v>20</v>
      </c>
      <c r="G3838" t="s">
        <v>21</v>
      </c>
      <c r="H3838" t="s">
        <v>22</v>
      </c>
      <c r="I3838" t="s">
        <v>23</v>
      </c>
      <c r="J3838" t="s">
        <v>24</v>
      </c>
      <c r="K3838" s="2" t="s">
        <v>3074</v>
      </c>
      <c r="L3838" t="s">
        <v>26</v>
      </c>
      <c r="M3838">
        <v>336770</v>
      </c>
      <c r="N3838">
        <v>1</v>
      </c>
      <c r="O3838" s="3">
        <v>79950</v>
      </c>
      <c r="P3838" s="3">
        <v>27757</v>
      </c>
      <c r="Q3838" s="5">
        <f t="shared" si="177"/>
        <v>67184.873949579836</v>
      </c>
      <c r="R3838" s="5">
        <f t="shared" si="178"/>
        <v>27757</v>
      </c>
      <c r="S3838" s="5">
        <f t="shared" si="179"/>
        <v>39427.873949579836</v>
      </c>
    </row>
    <row r="3839" spans="1:19" hidden="1" x14ac:dyDescent="0.3">
      <c r="A3839">
        <v>170</v>
      </c>
      <c r="B3839" t="s">
        <v>4809</v>
      </c>
      <c r="C3839" t="s">
        <v>1037</v>
      </c>
      <c r="D3839" s="2" t="s">
        <v>1038</v>
      </c>
      <c r="E3839" t="s">
        <v>1039</v>
      </c>
      <c r="F3839" t="s">
        <v>377</v>
      </c>
      <c r="G3839" t="s">
        <v>21</v>
      </c>
      <c r="H3839" t="s">
        <v>378</v>
      </c>
      <c r="I3839" t="s">
        <v>23</v>
      </c>
      <c r="J3839" t="s">
        <v>379</v>
      </c>
      <c r="K3839" s="2" t="s">
        <v>3074</v>
      </c>
      <c r="L3839" t="s">
        <v>26</v>
      </c>
      <c r="M3839">
        <v>336770</v>
      </c>
      <c r="N3839">
        <v>1</v>
      </c>
      <c r="O3839" s="3">
        <v>5950</v>
      </c>
      <c r="P3839" s="3">
        <v>3257</v>
      </c>
      <c r="Q3839" s="5">
        <f t="shared" si="177"/>
        <v>5000</v>
      </c>
      <c r="R3839" s="5">
        <f t="shared" si="178"/>
        <v>3257</v>
      </c>
      <c r="S3839" s="5">
        <f t="shared" si="179"/>
        <v>1743</v>
      </c>
    </row>
    <row r="3840" spans="1:19" hidden="1" x14ac:dyDescent="0.3">
      <c r="A3840">
        <v>170</v>
      </c>
      <c r="B3840" t="s">
        <v>4809</v>
      </c>
      <c r="C3840" t="s">
        <v>649</v>
      </c>
      <c r="D3840" s="2" t="s">
        <v>650</v>
      </c>
      <c r="E3840" t="s">
        <v>651</v>
      </c>
      <c r="F3840" t="s">
        <v>20</v>
      </c>
      <c r="G3840" t="s">
        <v>21</v>
      </c>
      <c r="H3840" t="s">
        <v>65</v>
      </c>
      <c r="I3840" t="s">
        <v>23</v>
      </c>
      <c r="J3840" t="s">
        <v>49</v>
      </c>
      <c r="K3840" s="2" t="s">
        <v>3074</v>
      </c>
      <c r="L3840" t="s">
        <v>26</v>
      </c>
      <c r="M3840">
        <v>336771</v>
      </c>
      <c r="N3840">
        <v>-1</v>
      </c>
      <c r="O3840" s="3">
        <v>-39990</v>
      </c>
      <c r="P3840" s="3">
        <v>16644</v>
      </c>
      <c r="Q3840" s="5">
        <f t="shared" si="177"/>
        <v>-33605.042016806721</v>
      </c>
      <c r="R3840" s="5">
        <f t="shared" si="178"/>
        <v>-16644</v>
      </c>
      <c r="S3840" s="5">
        <f t="shared" si="179"/>
        <v>-16961.042016806721</v>
      </c>
    </row>
    <row r="3841" spans="1:19" hidden="1" x14ac:dyDescent="0.3">
      <c r="A3841">
        <v>170</v>
      </c>
      <c r="B3841" t="s">
        <v>4809</v>
      </c>
      <c r="C3841" t="s">
        <v>3856</v>
      </c>
      <c r="D3841" s="2" t="s">
        <v>3857</v>
      </c>
      <c r="E3841" t="s">
        <v>2301</v>
      </c>
      <c r="F3841" t="s">
        <v>20</v>
      </c>
      <c r="G3841" t="s">
        <v>21</v>
      </c>
      <c r="H3841" t="s">
        <v>1124</v>
      </c>
      <c r="I3841" t="s">
        <v>23</v>
      </c>
      <c r="J3841" t="s">
        <v>24</v>
      </c>
      <c r="K3841" s="2" t="s">
        <v>3074</v>
      </c>
      <c r="L3841" t="s">
        <v>26</v>
      </c>
      <c r="M3841">
        <v>336771</v>
      </c>
      <c r="N3841">
        <v>1</v>
      </c>
      <c r="O3841" s="3">
        <v>74950</v>
      </c>
      <c r="P3841" s="3">
        <v>25857</v>
      </c>
      <c r="Q3841" s="5">
        <f t="shared" si="177"/>
        <v>62983.193277310929</v>
      </c>
      <c r="R3841" s="5">
        <f t="shared" si="178"/>
        <v>25857</v>
      </c>
      <c r="S3841" s="5">
        <f t="shared" si="179"/>
        <v>37126.193277310929</v>
      </c>
    </row>
    <row r="3842" spans="1:19" hidden="1" x14ac:dyDescent="0.3">
      <c r="A3842">
        <v>170</v>
      </c>
      <c r="B3842" t="s">
        <v>4809</v>
      </c>
      <c r="C3842" t="s">
        <v>2957</v>
      </c>
      <c r="D3842" s="2" t="s">
        <v>2958</v>
      </c>
      <c r="E3842" t="s">
        <v>2959</v>
      </c>
      <c r="F3842" t="s">
        <v>20</v>
      </c>
      <c r="G3842" t="s">
        <v>338</v>
      </c>
      <c r="H3842">
        <v>25529</v>
      </c>
      <c r="I3842" t="s">
        <v>23</v>
      </c>
      <c r="J3842" t="s">
        <v>31</v>
      </c>
      <c r="K3842" s="2" t="s">
        <v>3074</v>
      </c>
      <c r="L3842" t="s">
        <v>26</v>
      </c>
      <c r="M3842">
        <v>336772</v>
      </c>
      <c r="N3842">
        <v>1</v>
      </c>
      <c r="O3842" s="3">
        <v>149950</v>
      </c>
      <c r="P3842" s="3">
        <v>50690</v>
      </c>
      <c r="Q3842" s="5">
        <f t="shared" si="177"/>
        <v>126008.40336134455</v>
      </c>
      <c r="R3842" s="5">
        <f t="shared" si="178"/>
        <v>50690</v>
      </c>
      <c r="S3842" s="5">
        <f t="shared" si="179"/>
        <v>75318.40336134455</v>
      </c>
    </row>
    <row r="3843" spans="1:19" hidden="1" x14ac:dyDescent="0.3">
      <c r="A3843">
        <v>170</v>
      </c>
      <c r="B3843" t="s">
        <v>4809</v>
      </c>
      <c r="C3843" t="s">
        <v>5315</v>
      </c>
      <c r="D3843" s="2" t="s">
        <v>5316</v>
      </c>
      <c r="E3843" t="s">
        <v>2215</v>
      </c>
      <c r="F3843" t="s">
        <v>20</v>
      </c>
      <c r="G3843" t="s">
        <v>21</v>
      </c>
      <c r="H3843" t="s">
        <v>686</v>
      </c>
      <c r="I3843" t="s">
        <v>23</v>
      </c>
      <c r="J3843" t="s">
        <v>35</v>
      </c>
      <c r="K3843" s="2" t="s">
        <v>3074</v>
      </c>
      <c r="L3843" t="s">
        <v>26</v>
      </c>
      <c r="M3843">
        <v>336773</v>
      </c>
      <c r="N3843">
        <v>1</v>
      </c>
      <c r="O3843" s="3">
        <v>99950</v>
      </c>
      <c r="P3843" s="3">
        <v>48762</v>
      </c>
      <c r="Q3843" s="5">
        <f t="shared" si="177"/>
        <v>83991.596638655465</v>
      </c>
      <c r="R3843" s="5">
        <f t="shared" si="178"/>
        <v>48762</v>
      </c>
      <c r="S3843" s="5">
        <f t="shared" si="179"/>
        <v>35229.596638655465</v>
      </c>
    </row>
    <row r="3844" spans="1:19" hidden="1" x14ac:dyDescent="0.3">
      <c r="A3844">
        <v>170</v>
      </c>
      <c r="B3844" t="s">
        <v>4809</v>
      </c>
      <c r="C3844" t="s">
        <v>3009</v>
      </c>
      <c r="D3844" s="2" t="s">
        <v>3010</v>
      </c>
      <c r="E3844" t="s">
        <v>2208</v>
      </c>
      <c r="F3844" t="s">
        <v>20</v>
      </c>
      <c r="G3844" t="s">
        <v>338</v>
      </c>
      <c r="H3844">
        <v>25823</v>
      </c>
      <c r="I3844" t="s">
        <v>23</v>
      </c>
      <c r="J3844" t="s">
        <v>35</v>
      </c>
      <c r="K3844" s="2" t="s">
        <v>3074</v>
      </c>
      <c r="L3844" t="s">
        <v>26</v>
      </c>
      <c r="M3844">
        <v>336773</v>
      </c>
      <c r="N3844">
        <v>1</v>
      </c>
      <c r="O3844" s="3">
        <v>84950</v>
      </c>
      <c r="P3844" s="3">
        <v>33748</v>
      </c>
      <c r="Q3844" s="5">
        <f t="shared" si="177"/>
        <v>71386.554621848743</v>
      </c>
      <c r="R3844" s="5">
        <f t="shared" si="178"/>
        <v>33748</v>
      </c>
      <c r="S3844" s="5">
        <f t="shared" si="179"/>
        <v>37638.554621848743</v>
      </c>
    </row>
    <row r="3845" spans="1:19" hidden="1" x14ac:dyDescent="0.3">
      <c r="A3845">
        <v>170</v>
      </c>
      <c r="B3845" t="s">
        <v>4809</v>
      </c>
      <c r="C3845" t="s">
        <v>3087</v>
      </c>
      <c r="D3845" s="2" t="s">
        <v>3088</v>
      </c>
      <c r="E3845" t="s">
        <v>2933</v>
      </c>
      <c r="F3845" t="s">
        <v>20</v>
      </c>
      <c r="G3845" t="s">
        <v>338</v>
      </c>
      <c r="H3845">
        <v>25539</v>
      </c>
      <c r="I3845" t="s">
        <v>23</v>
      </c>
      <c r="J3845" t="s">
        <v>31</v>
      </c>
      <c r="K3845" s="2" t="s">
        <v>3074</v>
      </c>
      <c r="L3845" t="s">
        <v>26</v>
      </c>
      <c r="M3845">
        <v>336774</v>
      </c>
      <c r="N3845">
        <v>1</v>
      </c>
      <c r="O3845" s="3">
        <v>139950</v>
      </c>
      <c r="P3845" s="3">
        <v>46011</v>
      </c>
      <c r="Q3845" s="5">
        <f t="shared" si="177"/>
        <v>117605.04201680672</v>
      </c>
      <c r="R3845" s="5">
        <f t="shared" si="178"/>
        <v>46011</v>
      </c>
      <c r="S3845" s="5">
        <f t="shared" si="179"/>
        <v>71594.042016806721</v>
      </c>
    </row>
    <row r="3846" spans="1:19" hidden="1" x14ac:dyDescent="0.3">
      <c r="A3846">
        <v>170</v>
      </c>
      <c r="B3846" t="s">
        <v>4809</v>
      </c>
      <c r="C3846" t="s">
        <v>5317</v>
      </c>
      <c r="D3846" s="2" t="s">
        <v>5318</v>
      </c>
      <c r="E3846" t="s">
        <v>3073</v>
      </c>
      <c r="F3846" t="s">
        <v>20</v>
      </c>
      <c r="G3846" t="s">
        <v>338</v>
      </c>
      <c r="H3846">
        <v>25391</v>
      </c>
      <c r="I3846" t="s">
        <v>23</v>
      </c>
      <c r="J3846" t="s">
        <v>35</v>
      </c>
      <c r="K3846" s="2" t="s">
        <v>3074</v>
      </c>
      <c r="L3846" t="s">
        <v>26</v>
      </c>
      <c r="M3846">
        <v>336775</v>
      </c>
      <c r="N3846">
        <v>1</v>
      </c>
      <c r="O3846" s="3">
        <v>109950</v>
      </c>
      <c r="P3846" s="3">
        <v>34974</v>
      </c>
      <c r="Q3846" s="5">
        <f t="shared" ref="Q3846:Q3909" si="180">O3846/1.19</f>
        <v>92394.957983193279</v>
      </c>
      <c r="R3846" s="5">
        <f t="shared" ref="R3846:R3909" si="181">N3846*P3846</f>
        <v>34974</v>
      </c>
      <c r="S3846" s="5">
        <f t="shared" ref="S3846:S3909" si="182">Q3846-R3846</f>
        <v>57420.957983193279</v>
      </c>
    </row>
    <row r="3847" spans="1:19" hidden="1" x14ac:dyDescent="0.3">
      <c r="A3847">
        <v>170</v>
      </c>
      <c r="B3847" t="s">
        <v>4809</v>
      </c>
      <c r="C3847" t="s">
        <v>4383</v>
      </c>
      <c r="D3847" s="2" t="s">
        <v>4384</v>
      </c>
      <c r="E3847" t="s">
        <v>2795</v>
      </c>
      <c r="F3847" t="s">
        <v>20</v>
      </c>
      <c r="G3847" t="s">
        <v>21</v>
      </c>
      <c r="H3847" t="s">
        <v>57</v>
      </c>
      <c r="I3847" t="s">
        <v>23</v>
      </c>
      <c r="J3847" t="s">
        <v>35</v>
      </c>
      <c r="K3847" s="2" t="s">
        <v>3074</v>
      </c>
      <c r="L3847" t="s">
        <v>26</v>
      </c>
      <c r="M3847">
        <v>336776</v>
      </c>
      <c r="N3847">
        <v>1</v>
      </c>
      <c r="O3847" s="3">
        <v>89950</v>
      </c>
      <c r="P3847" s="3">
        <v>31663</v>
      </c>
      <c r="Q3847" s="5">
        <f t="shared" si="180"/>
        <v>75588.23529411765</v>
      </c>
      <c r="R3847" s="5">
        <f t="shared" si="181"/>
        <v>31663</v>
      </c>
      <c r="S3847" s="5">
        <f t="shared" si="182"/>
        <v>43925.23529411765</v>
      </c>
    </row>
    <row r="3848" spans="1:19" hidden="1" x14ac:dyDescent="0.3">
      <c r="A3848">
        <v>170</v>
      </c>
      <c r="B3848" t="s">
        <v>4809</v>
      </c>
      <c r="C3848" t="s">
        <v>3919</v>
      </c>
      <c r="D3848" s="2" t="s">
        <v>3920</v>
      </c>
      <c r="E3848" t="s">
        <v>3684</v>
      </c>
      <c r="F3848" t="s">
        <v>20</v>
      </c>
      <c r="G3848" t="s">
        <v>21</v>
      </c>
      <c r="H3848" t="s">
        <v>114</v>
      </c>
      <c r="I3848" t="s">
        <v>23</v>
      </c>
      <c r="J3848" t="s">
        <v>49</v>
      </c>
      <c r="K3848" s="2" t="s">
        <v>3074</v>
      </c>
      <c r="L3848" t="s">
        <v>26</v>
      </c>
      <c r="M3848">
        <v>336777</v>
      </c>
      <c r="N3848">
        <v>1</v>
      </c>
      <c r="O3848" s="3">
        <v>49990</v>
      </c>
      <c r="P3848" s="3">
        <v>23514</v>
      </c>
      <c r="Q3848" s="5">
        <f t="shared" si="180"/>
        <v>42008.403361344543</v>
      </c>
      <c r="R3848" s="5">
        <f t="shared" si="181"/>
        <v>23514</v>
      </c>
      <c r="S3848" s="5">
        <f t="shared" si="182"/>
        <v>18494.403361344543</v>
      </c>
    </row>
    <row r="3849" spans="1:19" hidden="1" x14ac:dyDescent="0.3">
      <c r="A3849">
        <v>170</v>
      </c>
      <c r="B3849" t="s">
        <v>4809</v>
      </c>
      <c r="C3849" t="s">
        <v>3823</v>
      </c>
      <c r="D3849" s="2" t="s">
        <v>3824</v>
      </c>
      <c r="E3849" t="s">
        <v>2473</v>
      </c>
      <c r="F3849" t="s">
        <v>20</v>
      </c>
      <c r="G3849" t="s">
        <v>21</v>
      </c>
      <c r="H3849" t="s">
        <v>114</v>
      </c>
      <c r="I3849" t="s">
        <v>23</v>
      </c>
      <c r="J3849" t="s">
        <v>49</v>
      </c>
      <c r="K3849" s="2" t="s">
        <v>3074</v>
      </c>
      <c r="L3849" t="s">
        <v>26</v>
      </c>
      <c r="M3849">
        <v>336778</v>
      </c>
      <c r="N3849">
        <v>1</v>
      </c>
      <c r="O3849" s="3">
        <v>49990</v>
      </c>
      <c r="P3849" s="3">
        <v>23514</v>
      </c>
      <c r="Q3849" s="5">
        <f t="shared" si="180"/>
        <v>42008.403361344543</v>
      </c>
      <c r="R3849" s="5">
        <f t="shared" si="181"/>
        <v>23514</v>
      </c>
      <c r="S3849" s="5">
        <f t="shared" si="182"/>
        <v>18494.403361344543</v>
      </c>
    </row>
    <row r="3850" spans="1:19" hidden="1" x14ac:dyDescent="0.3">
      <c r="A3850">
        <v>170</v>
      </c>
      <c r="B3850" t="s">
        <v>4809</v>
      </c>
      <c r="C3850" t="s">
        <v>5319</v>
      </c>
      <c r="D3850" s="2" t="s">
        <v>5320</v>
      </c>
      <c r="E3850" t="s">
        <v>3472</v>
      </c>
      <c r="F3850" t="s">
        <v>20</v>
      </c>
      <c r="G3850" t="s">
        <v>338</v>
      </c>
      <c r="H3850">
        <v>25336</v>
      </c>
      <c r="I3850" t="s">
        <v>23</v>
      </c>
      <c r="J3850" t="s">
        <v>35</v>
      </c>
      <c r="K3850" s="2" t="s">
        <v>3074</v>
      </c>
      <c r="L3850" t="s">
        <v>26</v>
      </c>
      <c r="M3850">
        <v>336779</v>
      </c>
      <c r="N3850">
        <v>1</v>
      </c>
      <c r="O3850" s="3">
        <v>99950</v>
      </c>
      <c r="P3850" s="3">
        <v>31886</v>
      </c>
      <c r="Q3850" s="5">
        <f t="shared" si="180"/>
        <v>83991.596638655465</v>
      </c>
      <c r="R3850" s="5">
        <f t="shared" si="181"/>
        <v>31886</v>
      </c>
      <c r="S3850" s="5">
        <f t="shared" si="182"/>
        <v>52105.596638655465</v>
      </c>
    </row>
    <row r="3851" spans="1:19" hidden="1" x14ac:dyDescent="0.3">
      <c r="A3851">
        <v>170</v>
      </c>
      <c r="B3851" t="s">
        <v>4809</v>
      </c>
      <c r="C3851" t="s">
        <v>5321</v>
      </c>
      <c r="D3851" s="2" t="s">
        <v>5322</v>
      </c>
      <c r="E3851" t="s">
        <v>5323</v>
      </c>
      <c r="F3851" t="s">
        <v>20</v>
      </c>
      <c r="G3851" t="s">
        <v>338</v>
      </c>
      <c r="H3851">
        <v>25908</v>
      </c>
      <c r="I3851" t="s">
        <v>23</v>
      </c>
      <c r="J3851" t="s">
        <v>35</v>
      </c>
      <c r="K3851" s="2" t="s">
        <v>3074</v>
      </c>
      <c r="L3851" t="s">
        <v>26</v>
      </c>
      <c r="M3851">
        <v>336780</v>
      </c>
      <c r="N3851">
        <v>1</v>
      </c>
      <c r="O3851" s="3">
        <v>76450</v>
      </c>
      <c r="P3851" s="3">
        <v>27207</v>
      </c>
      <c r="Q3851" s="5">
        <f t="shared" si="180"/>
        <v>64243.697478991598</v>
      </c>
      <c r="R3851" s="5">
        <f t="shared" si="181"/>
        <v>27207</v>
      </c>
      <c r="S3851" s="5">
        <f t="shared" si="182"/>
        <v>37036.697478991598</v>
      </c>
    </row>
    <row r="3852" spans="1:19" hidden="1" x14ac:dyDescent="0.3">
      <c r="A3852">
        <v>170</v>
      </c>
      <c r="B3852" t="s">
        <v>4809</v>
      </c>
      <c r="C3852" t="s">
        <v>4139</v>
      </c>
      <c r="D3852" s="2" t="s">
        <v>4140</v>
      </c>
      <c r="E3852" t="s">
        <v>3656</v>
      </c>
      <c r="F3852" t="s">
        <v>20</v>
      </c>
      <c r="G3852" t="s">
        <v>21</v>
      </c>
      <c r="H3852" t="s">
        <v>614</v>
      </c>
      <c r="I3852" t="s">
        <v>23</v>
      </c>
      <c r="J3852" t="s">
        <v>40</v>
      </c>
      <c r="K3852" s="2" t="s">
        <v>3074</v>
      </c>
      <c r="L3852" t="s">
        <v>26</v>
      </c>
      <c r="M3852">
        <v>336781</v>
      </c>
      <c r="N3852">
        <v>1</v>
      </c>
      <c r="O3852" s="3">
        <v>44990</v>
      </c>
      <c r="P3852" s="3">
        <v>14265</v>
      </c>
      <c r="Q3852" s="5">
        <f t="shared" si="180"/>
        <v>37806.722689075636</v>
      </c>
      <c r="R3852" s="5">
        <f t="shared" si="181"/>
        <v>14265</v>
      </c>
      <c r="S3852" s="5">
        <f t="shared" si="182"/>
        <v>23541.722689075636</v>
      </c>
    </row>
    <row r="3853" spans="1:19" hidden="1" x14ac:dyDescent="0.3">
      <c r="A3853">
        <v>170</v>
      </c>
      <c r="B3853" t="s">
        <v>4809</v>
      </c>
      <c r="C3853" t="s">
        <v>3230</v>
      </c>
      <c r="D3853" s="2" t="s">
        <v>3231</v>
      </c>
      <c r="E3853" t="s">
        <v>3183</v>
      </c>
      <c r="F3853" t="s">
        <v>20</v>
      </c>
      <c r="G3853" t="s">
        <v>21</v>
      </c>
      <c r="H3853" t="s">
        <v>614</v>
      </c>
      <c r="I3853" t="s">
        <v>23</v>
      </c>
      <c r="J3853" t="s">
        <v>40</v>
      </c>
      <c r="K3853" s="2" t="s">
        <v>3074</v>
      </c>
      <c r="L3853" t="s">
        <v>26</v>
      </c>
      <c r="M3853">
        <v>336782</v>
      </c>
      <c r="N3853">
        <v>1</v>
      </c>
      <c r="O3853" s="3">
        <v>39990</v>
      </c>
      <c r="P3853" s="3">
        <v>17378</v>
      </c>
      <c r="Q3853" s="5">
        <f t="shared" si="180"/>
        <v>33605.042016806721</v>
      </c>
      <c r="R3853" s="5">
        <f t="shared" si="181"/>
        <v>17378</v>
      </c>
      <c r="S3853" s="5">
        <f t="shared" si="182"/>
        <v>16227.042016806721</v>
      </c>
    </row>
    <row r="3854" spans="1:19" hidden="1" x14ac:dyDescent="0.3">
      <c r="A3854">
        <v>170</v>
      </c>
      <c r="B3854" t="s">
        <v>4809</v>
      </c>
      <c r="C3854" t="s">
        <v>4139</v>
      </c>
      <c r="D3854" s="2" t="s">
        <v>4140</v>
      </c>
      <c r="E3854" t="s">
        <v>3656</v>
      </c>
      <c r="F3854" t="s">
        <v>20</v>
      </c>
      <c r="G3854" t="s">
        <v>21</v>
      </c>
      <c r="H3854" t="s">
        <v>614</v>
      </c>
      <c r="I3854" t="s">
        <v>23</v>
      </c>
      <c r="J3854" t="s">
        <v>40</v>
      </c>
      <c r="K3854" s="2" t="s">
        <v>3074</v>
      </c>
      <c r="L3854" t="s">
        <v>26</v>
      </c>
      <c r="M3854">
        <v>336782</v>
      </c>
      <c r="N3854">
        <v>1</v>
      </c>
      <c r="O3854" s="3">
        <v>44990</v>
      </c>
      <c r="P3854" s="3">
        <v>14265</v>
      </c>
      <c r="Q3854" s="5">
        <f t="shared" si="180"/>
        <v>37806.722689075636</v>
      </c>
      <c r="R3854" s="5">
        <f t="shared" si="181"/>
        <v>14265</v>
      </c>
      <c r="S3854" s="5">
        <f t="shared" si="182"/>
        <v>23541.722689075636</v>
      </c>
    </row>
    <row r="3855" spans="1:19" hidden="1" x14ac:dyDescent="0.3">
      <c r="A3855">
        <v>170</v>
      </c>
      <c r="B3855" t="s">
        <v>4809</v>
      </c>
      <c r="C3855" t="s">
        <v>1549</v>
      </c>
      <c r="D3855" s="2" t="s">
        <v>1550</v>
      </c>
      <c r="E3855" t="s">
        <v>1551</v>
      </c>
      <c r="F3855" t="s">
        <v>377</v>
      </c>
      <c r="G3855" t="s">
        <v>21</v>
      </c>
      <c r="H3855" t="s">
        <v>378</v>
      </c>
      <c r="I3855" t="s">
        <v>23</v>
      </c>
      <c r="J3855" t="s">
        <v>379</v>
      </c>
      <c r="K3855" s="2" t="s">
        <v>3074</v>
      </c>
      <c r="L3855" t="s">
        <v>26</v>
      </c>
      <c r="M3855">
        <v>336783</v>
      </c>
      <c r="N3855">
        <v>1</v>
      </c>
      <c r="O3855" s="3">
        <v>5950</v>
      </c>
      <c r="P3855" s="3">
        <v>1908</v>
      </c>
      <c r="Q3855" s="5">
        <f t="shared" si="180"/>
        <v>5000</v>
      </c>
      <c r="R3855" s="5">
        <f t="shared" si="181"/>
        <v>1908</v>
      </c>
      <c r="S3855" s="5">
        <f t="shared" si="182"/>
        <v>3092</v>
      </c>
    </row>
    <row r="3856" spans="1:19" hidden="1" x14ac:dyDescent="0.3">
      <c r="A3856">
        <v>170</v>
      </c>
      <c r="B3856" t="s">
        <v>4809</v>
      </c>
      <c r="C3856" t="s">
        <v>3149</v>
      </c>
      <c r="D3856" s="2" t="s">
        <v>3150</v>
      </c>
      <c r="E3856" t="s">
        <v>3051</v>
      </c>
      <c r="F3856" t="s">
        <v>20</v>
      </c>
      <c r="G3856" t="s">
        <v>21</v>
      </c>
      <c r="H3856" t="s">
        <v>1440</v>
      </c>
      <c r="I3856" t="s">
        <v>23</v>
      </c>
      <c r="J3856" t="s">
        <v>40</v>
      </c>
      <c r="K3856" s="2" t="s">
        <v>3074</v>
      </c>
      <c r="L3856" t="s">
        <v>26</v>
      </c>
      <c r="M3856">
        <v>336784</v>
      </c>
      <c r="N3856">
        <v>1</v>
      </c>
      <c r="O3856" s="3">
        <v>64950</v>
      </c>
      <c r="P3856" s="3">
        <v>17328</v>
      </c>
      <c r="Q3856" s="5">
        <f t="shared" si="180"/>
        <v>54579.831932773115</v>
      </c>
      <c r="R3856" s="5">
        <f t="shared" si="181"/>
        <v>17328</v>
      </c>
      <c r="S3856" s="5">
        <f t="shared" si="182"/>
        <v>37251.831932773115</v>
      </c>
    </row>
    <row r="3857" spans="1:19" hidden="1" x14ac:dyDescent="0.3">
      <c r="A3857">
        <v>170</v>
      </c>
      <c r="B3857" t="s">
        <v>4809</v>
      </c>
      <c r="C3857" t="s">
        <v>5324</v>
      </c>
      <c r="D3857" s="2" t="s">
        <v>5325</v>
      </c>
      <c r="E3857" t="s">
        <v>3395</v>
      </c>
      <c r="F3857" t="s">
        <v>20</v>
      </c>
      <c r="G3857" t="s">
        <v>338</v>
      </c>
      <c r="H3857">
        <v>25459</v>
      </c>
      <c r="I3857" t="s">
        <v>23</v>
      </c>
      <c r="J3857" t="s">
        <v>35</v>
      </c>
      <c r="K3857" s="2" t="s">
        <v>3074</v>
      </c>
      <c r="L3857" t="s">
        <v>26</v>
      </c>
      <c r="M3857">
        <v>336785</v>
      </c>
      <c r="N3857">
        <v>1</v>
      </c>
      <c r="O3857" s="3">
        <v>99950</v>
      </c>
      <c r="P3857" s="3">
        <v>32113</v>
      </c>
      <c r="Q3857" s="5">
        <f t="shared" si="180"/>
        <v>83991.596638655465</v>
      </c>
      <c r="R3857" s="5">
        <f t="shared" si="181"/>
        <v>32113</v>
      </c>
      <c r="S3857" s="5">
        <f t="shared" si="182"/>
        <v>51878.596638655465</v>
      </c>
    </row>
    <row r="3858" spans="1:19" hidden="1" x14ac:dyDescent="0.3">
      <c r="A3858">
        <v>170</v>
      </c>
      <c r="B3858" t="s">
        <v>4809</v>
      </c>
      <c r="C3858" t="s">
        <v>2779</v>
      </c>
      <c r="D3858" s="2" t="s">
        <v>2780</v>
      </c>
      <c r="E3858" t="s">
        <v>2781</v>
      </c>
      <c r="F3858" t="s">
        <v>20</v>
      </c>
      <c r="G3858" t="s">
        <v>21</v>
      </c>
      <c r="H3858" t="s">
        <v>2782</v>
      </c>
      <c r="I3858" t="s">
        <v>23</v>
      </c>
      <c r="J3858" t="s">
        <v>35</v>
      </c>
      <c r="K3858" s="2" t="s">
        <v>1569</v>
      </c>
      <c r="L3858" t="s">
        <v>4085</v>
      </c>
      <c r="M3858">
        <v>780</v>
      </c>
      <c r="N3858">
        <v>1</v>
      </c>
      <c r="O3858" s="3">
        <v>69950</v>
      </c>
      <c r="P3858" s="3">
        <v>24388</v>
      </c>
      <c r="Q3858" s="5">
        <f t="shared" si="180"/>
        <v>58781.512605042022</v>
      </c>
      <c r="R3858" s="5">
        <f t="shared" si="181"/>
        <v>24388</v>
      </c>
      <c r="S3858" s="5">
        <f t="shared" si="182"/>
        <v>34393.512605042022</v>
      </c>
    </row>
    <row r="3859" spans="1:19" hidden="1" x14ac:dyDescent="0.3">
      <c r="A3859">
        <v>170</v>
      </c>
      <c r="B3859" t="s">
        <v>4809</v>
      </c>
      <c r="C3859" t="s">
        <v>5326</v>
      </c>
      <c r="D3859" s="2" t="s">
        <v>5327</v>
      </c>
      <c r="E3859" t="s">
        <v>3531</v>
      </c>
      <c r="F3859" t="s">
        <v>20</v>
      </c>
      <c r="G3859" t="s">
        <v>338</v>
      </c>
      <c r="H3859">
        <v>84316</v>
      </c>
      <c r="I3859" t="s">
        <v>23</v>
      </c>
      <c r="J3859" t="s">
        <v>49</v>
      </c>
      <c r="K3859" s="2" t="s">
        <v>1569</v>
      </c>
      <c r="L3859" t="s">
        <v>26</v>
      </c>
      <c r="M3859">
        <v>336786</v>
      </c>
      <c r="N3859">
        <v>1</v>
      </c>
      <c r="O3859" s="3">
        <v>89950</v>
      </c>
      <c r="P3859" s="3">
        <v>31128</v>
      </c>
      <c r="Q3859" s="5">
        <f t="shared" si="180"/>
        <v>75588.23529411765</v>
      </c>
      <c r="R3859" s="5">
        <f t="shared" si="181"/>
        <v>31128</v>
      </c>
      <c r="S3859" s="5">
        <f t="shared" si="182"/>
        <v>44460.23529411765</v>
      </c>
    </row>
    <row r="3860" spans="1:19" hidden="1" x14ac:dyDescent="0.3">
      <c r="A3860">
        <v>170</v>
      </c>
      <c r="B3860" t="s">
        <v>4809</v>
      </c>
      <c r="C3860" t="s">
        <v>2000</v>
      </c>
      <c r="D3860" s="2" t="s">
        <v>2001</v>
      </c>
      <c r="E3860" t="s">
        <v>2002</v>
      </c>
      <c r="F3860" t="s">
        <v>20</v>
      </c>
      <c r="G3860" t="s">
        <v>338</v>
      </c>
      <c r="H3860">
        <v>25026</v>
      </c>
      <c r="I3860" t="s">
        <v>23</v>
      </c>
      <c r="J3860" t="s">
        <v>35</v>
      </c>
      <c r="K3860" s="2" t="s">
        <v>1569</v>
      </c>
      <c r="L3860" t="s">
        <v>26</v>
      </c>
      <c r="M3860">
        <v>336787</v>
      </c>
      <c r="N3860">
        <v>1</v>
      </c>
      <c r="O3860" s="3">
        <v>89950</v>
      </c>
      <c r="P3860" s="3">
        <v>28454</v>
      </c>
      <c r="Q3860" s="5">
        <f t="shared" si="180"/>
        <v>75588.23529411765</v>
      </c>
      <c r="R3860" s="5">
        <f t="shared" si="181"/>
        <v>28454</v>
      </c>
      <c r="S3860" s="5">
        <f t="shared" si="182"/>
        <v>47134.23529411765</v>
      </c>
    </row>
    <row r="3861" spans="1:19" hidden="1" x14ac:dyDescent="0.3">
      <c r="A3861">
        <v>170</v>
      </c>
      <c r="B3861" t="s">
        <v>4809</v>
      </c>
      <c r="C3861" t="s">
        <v>5328</v>
      </c>
      <c r="D3861" s="2" t="s">
        <v>5329</v>
      </c>
      <c r="E3861" t="s">
        <v>2959</v>
      </c>
      <c r="F3861" t="s">
        <v>20</v>
      </c>
      <c r="G3861" t="s">
        <v>338</v>
      </c>
      <c r="H3861">
        <v>25529</v>
      </c>
      <c r="I3861" t="s">
        <v>23</v>
      </c>
      <c r="J3861" t="s">
        <v>31</v>
      </c>
      <c r="K3861" s="2" t="s">
        <v>1569</v>
      </c>
      <c r="L3861" t="s">
        <v>26</v>
      </c>
      <c r="M3861">
        <v>336788</v>
      </c>
      <c r="N3861">
        <v>1</v>
      </c>
      <c r="O3861" s="3">
        <v>149950</v>
      </c>
      <c r="P3861" s="3">
        <v>50690</v>
      </c>
      <c r="Q3861" s="5">
        <f t="shared" si="180"/>
        <v>126008.40336134455</v>
      </c>
      <c r="R3861" s="5">
        <f t="shared" si="181"/>
        <v>50690</v>
      </c>
      <c r="S3861" s="5">
        <f t="shared" si="182"/>
        <v>75318.40336134455</v>
      </c>
    </row>
    <row r="3862" spans="1:19" hidden="1" x14ac:dyDescent="0.3">
      <c r="A3862">
        <v>170</v>
      </c>
      <c r="B3862" t="s">
        <v>4809</v>
      </c>
      <c r="C3862" t="s">
        <v>5330</v>
      </c>
      <c r="D3862" s="2" t="s">
        <v>5331</v>
      </c>
      <c r="E3862" t="s">
        <v>5332</v>
      </c>
      <c r="F3862" t="s">
        <v>20</v>
      </c>
      <c r="G3862" t="s">
        <v>338</v>
      </c>
      <c r="H3862">
        <v>25539</v>
      </c>
      <c r="I3862" t="s">
        <v>23</v>
      </c>
      <c r="J3862" t="s">
        <v>31</v>
      </c>
      <c r="K3862" s="2" t="s">
        <v>1569</v>
      </c>
      <c r="L3862" t="s">
        <v>26</v>
      </c>
      <c r="M3862">
        <v>336789</v>
      </c>
      <c r="N3862">
        <v>1</v>
      </c>
      <c r="O3862" s="3">
        <v>139950</v>
      </c>
      <c r="P3862" s="3">
        <v>46011</v>
      </c>
      <c r="Q3862" s="5">
        <f t="shared" si="180"/>
        <v>117605.04201680672</v>
      </c>
      <c r="R3862" s="5">
        <f t="shared" si="181"/>
        <v>46011</v>
      </c>
      <c r="S3862" s="5">
        <f t="shared" si="182"/>
        <v>71594.042016806721</v>
      </c>
    </row>
    <row r="3863" spans="1:19" hidden="1" x14ac:dyDescent="0.3">
      <c r="A3863">
        <v>170</v>
      </c>
      <c r="B3863" t="s">
        <v>4809</v>
      </c>
      <c r="C3863" t="s">
        <v>3898</v>
      </c>
      <c r="D3863" s="2" t="s">
        <v>3899</v>
      </c>
      <c r="E3863" t="s">
        <v>2741</v>
      </c>
      <c r="F3863" t="s">
        <v>20</v>
      </c>
      <c r="G3863" t="s">
        <v>21</v>
      </c>
      <c r="H3863" t="s">
        <v>2494</v>
      </c>
      <c r="I3863" t="s">
        <v>23</v>
      </c>
      <c r="J3863" t="s">
        <v>40</v>
      </c>
      <c r="K3863" s="2" t="s">
        <v>1569</v>
      </c>
      <c r="L3863" t="s">
        <v>26</v>
      </c>
      <c r="M3863">
        <v>336790</v>
      </c>
      <c r="N3863">
        <v>1</v>
      </c>
      <c r="O3863" s="3">
        <v>69950</v>
      </c>
      <c r="P3863" s="3">
        <v>23470</v>
      </c>
      <c r="Q3863" s="5">
        <f t="shared" si="180"/>
        <v>58781.512605042022</v>
      </c>
      <c r="R3863" s="5">
        <f t="shared" si="181"/>
        <v>23470</v>
      </c>
      <c r="S3863" s="5">
        <f t="shared" si="182"/>
        <v>35311.512605042022</v>
      </c>
    </row>
    <row r="3864" spans="1:19" hidden="1" x14ac:dyDescent="0.3">
      <c r="A3864">
        <v>170</v>
      </c>
      <c r="B3864" t="s">
        <v>4809</v>
      </c>
      <c r="C3864" t="s">
        <v>4762</v>
      </c>
      <c r="D3864" s="2" t="s">
        <v>4763</v>
      </c>
      <c r="E3864" t="s">
        <v>1330</v>
      </c>
      <c r="F3864" t="s">
        <v>20</v>
      </c>
      <c r="G3864" t="s">
        <v>338</v>
      </c>
      <c r="H3864">
        <v>25133</v>
      </c>
      <c r="I3864" t="s">
        <v>23</v>
      </c>
      <c r="J3864" t="s">
        <v>35</v>
      </c>
      <c r="K3864" s="2" t="s">
        <v>1569</v>
      </c>
      <c r="L3864" t="s">
        <v>26</v>
      </c>
      <c r="M3864">
        <v>336791</v>
      </c>
      <c r="N3864">
        <v>1</v>
      </c>
      <c r="O3864" s="3">
        <v>74950</v>
      </c>
      <c r="P3864" s="3">
        <v>21167</v>
      </c>
      <c r="Q3864" s="5">
        <f t="shared" si="180"/>
        <v>62983.193277310929</v>
      </c>
      <c r="R3864" s="5">
        <f t="shared" si="181"/>
        <v>21167</v>
      </c>
      <c r="S3864" s="5">
        <f t="shared" si="182"/>
        <v>41816.193277310929</v>
      </c>
    </row>
    <row r="3865" spans="1:19" hidden="1" x14ac:dyDescent="0.3">
      <c r="A3865">
        <v>170</v>
      </c>
      <c r="B3865" t="s">
        <v>4809</v>
      </c>
      <c r="C3865" t="s">
        <v>5221</v>
      </c>
      <c r="D3865" s="2" t="s">
        <v>5222</v>
      </c>
      <c r="E3865" t="s">
        <v>2433</v>
      </c>
      <c r="F3865" t="s">
        <v>20</v>
      </c>
      <c r="G3865" t="s">
        <v>338</v>
      </c>
      <c r="H3865">
        <v>24722</v>
      </c>
      <c r="I3865" t="s">
        <v>23</v>
      </c>
      <c r="J3865" t="s">
        <v>95</v>
      </c>
      <c r="K3865" s="2" t="s">
        <v>1569</v>
      </c>
      <c r="L3865" t="s">
        <v>26</v>
      </c>
      <c r="M3865">
        <v>336792</v>
      </c>
      <c r="N3865">
        <v>1</v>
      </c>
      <c r="O3865" s="3">
        <v>89950</v>
      </c>
      <c r="P3865" s="3">
        <v>30987</v>
      </c>
      <c r="Q3865" s="5">
        <f t="shared" si="180"/>
        <v>75588.23529411765</v>
      </c>
      <c r="R3865" s="5">
        <f t="shared" si="181"/>
        <v>30987</v>
      </c>
      <c r="S3865" s="5">
        <f t="shared" si="182"/>
        <v>44601.23529411765</v>
      </c>
    </row>
    <row r="3866" spans="1:19" hidden="1" x14ac:dyDescent="0.3">
      <c r="A3866">
        <v>170</v>
      </c>
      <c r="B3866" t="s">
        <v>4809</v>
      </c>
      <c r="C3866" t="s">
        <v>5333</v>
      </c>
      <c r="D3866" s="2" t="s">
        <v>5334</v>
      </c>
      <c r="E3866" t="s">
        <v>4540</v>
      </c>
      <c r="F3866" t="s">
        <v>20</v>
      </c>
      <c r="G3866" t="s">
        <v>338</v>
      </c>
      <c r="H3866">
        <v>25623</v>
      </c>
      <c r="I3866" t="s">
        <v>23</v>
      </c>
      <c r="J3866" t="s">
        <v>31</v>
      </c>
      <c r="K3866" s="2" t="s">
        <v>1569</v>
      </c>
      <c r="L3866" t="s">
        <v>26</v>
      </c>
      <c r="M3866">
        <v>336793</v>
      </c>
      <c r="N3866">
        <v>1</v>
      </c>
      <c r="O3866" s="3">
        <v>84950</v>
      </c>
      <c r="P3866" s="3">
        <v>33748</v>
      </c>
      <c r="Q3866" s="5">
        <f t="shared" si="180"/>
        <v>71386.554621848743</v>
      </c>
      <c r="R3866" s="5">
        <f t="shared" si="181"/>
        <v>33748</v>
      </c>
      <c r="S3866" s="5">
        <f t="shared" si="182"/>
        <v>37638.554621848743</v>
      </c>
    </row>
    <row r="3867" spans="1:19" hidden="1" x14ac:dyDescent="0.3">
      <c r="A3867">
        <v>170</v>
      </c>
      <c r="B3867" t="s">
        <v>4809</v>
      </c>
      <c r="C3867" t="s">
        <v>2769</v>
      </c>
      <c r="D3867" s="2" t="s">
        <v>2770</v>
      </c>
      <c r="E3867" t="s">
        <v>2771</v>
      </c>
      <c r="F3867" t="s">
        <v>20</v>
      </c>
      <c r="G3867" t="s">
        <v>21</v>
      </c>
      <c r="H3867" t="s">
        <v>57</v>
      </c>
      <c r="I3867" t="s">
        <v>23</v>
      </c>
      <c r="J3867" t="s">
        <v>35</v>
      </c>
      <c r="K3867" s="2" t="s">
        <v>1569</v>
      </c>
      <c r="L3867" t="s">
        <v>26</v>
      </c>
      <c r="M3867">
        <v>336793</v>
      </c>
      <c r="N3867">
        <v>1</v>
      </c>
      <c r="O3867" s="3">
        <v>79990</v>
      </c>
      <c r="P3867" s="3">
        <v>29189</v>
      </c>
      <c r="Q3867" s="5">
        <f t="shared" si="180"/>
        <v>67218.487394957992</v>
      </c>
      <c r="R3867" s="5">
        <f t="shared" si="181"/>
        <v>29189</v>
      </c>
      <c r="S3867" s="5">
        <f t="shared" si="182"/>
        <v>38029.487394957992</v>
      </c>
    </row>
    <row r="3868" spans="1:19" hidden="1" x14ac:dyDescent="0.3">
      <c r="A3868">
        <v>170</v>
      </c>
      <c r="B3868" t="s">
        <v>4809</v>
      </c>
      <c r="C3868" t="s">
        <v>4194</v>
      </c>
      <c r="D3868" s="2" t="s">
        <v>4195</v>
      </c>
      <c r="E3868" t="s">
        <v>4196</v>
      </c>
      <c r="F3868" t="s">
        <v>377</v>
      </c>
      <c r="G3868" t="s">
        <v>21</v>
      </c>
      <c r="H3868" t="s">
        <v>378</v>
      </c>
      <c r="I3868" t="s">
        <v>23</v>
      </c>
      <c r="J3868" t="s">
        <v>379</v>
      </c>
      <c r="K3868" s="2" t="s">
        <v>1569</v>
      </c>
      <c r="L3868" t="s">
        <v>26</v>
      </c>
      <c r="M3868">
        <v>336793</v>
      </c>
      <c r="N3868">
        <v>1</v>
      </c>
      <c r="O3868" s="3">
        <v>6950</v>
      </c>
      <c r="P3868" s="3">
        <v>3541</v>
      </c>
      <c r="Q3868" s="5">
        <f t="shared" si="180"/>
        <v>5840.3361344537816</v>
      </c>
      <c r="R3868" s="5">
        <f t="shared" si="181"/>
        <v>3541</v>
      </c>
      <c r="S3868" s="5">
        <f t="shared" si="182"/>
        <v>2299.3361344537816</v>
      </c>
    </row>
    <row r="3869" spans="1:19" hidden="1" x14ac:dyDescent="0.3">
      <c r="A3869">
        <v>170</v>
      </c>
      <c r="B3869" t="s">
        <v>4809</v>
      </c>
      <c r="C3869" t="s">
        <v>4010</v>
      </c>
      <c r="D3869" s="2" t="s">
        <v>4011</v>
      </c>
      <c r="E3869" t="s">
        <v>1428</v>
      </c>
      <c r="F3869" t="s">
        <v>20</v>
      </c>
      <c r="G3869" t="s">
        <v>21</v>
      </c>
      <c r="H3869" t="s">
        <v>57</v>
      </c>
      <c r="I3869" t="s">
        <v>23</v>
      </c>
      <c r="J3869" t="s">
        <v>35</v>
      </c>
      <c r="K3869" s="2" t="s">
        <v>1569</v>
      </c>
      <c r="L3869" t="s">
        <v>26</v>
      </c>
      <c r="M3869">
        <v>336794</v>
      </c>
      <c r="N3869">
        <v>1</v>
      </c>
      <c r="O3869" s="3">
        <v>79950</v>
      </c>
      <c r="P3869" s="3">
        <v>31700</v>
      </c>
      <c r="Q3869" s="5">
        <f t="shared" si="180"/>
        <v>67184.873949579836</v>
      </c>
      <c r="R3869" s="5">
        <f t="shared" si="181"/>
        <v>31700</v>
      </c>
      <c r="S3869" s="5">
        <f t="shared" si="182"/>
        <v>35484.873949579836</v>
      </c>
    </row>
    <row r="3870" spans="1:19" hidden="1" x14ac:dyDescent="0.3">
      <c r="A3870">
        <v>170</v>
      </c>
      <c r="B3870" t="s">
        <v>4809</v>
      </c>
      <c r="C3870" t="s">
        <v>4671</v>
      </c>
      <c r="D3870" s="2" t="s">
        <v>4672</v>
      </c>
      <c r="E3870" t="s">
        <v>4673</v>
      </c>
      <c r="F3870" t="s">
        <v>377</v>
      </c>
      <c r="G3870" t="s">
        <v>21</v>
      </c>
      <c r="H3870" t="s">
        <v>378</v>
      </c>
      <c r="I3870" t="s">
        <v>23</v>
      </c>
      <c r="J3870" t="s">
        <v>379</v>
      </c>
      <c r="K3870" s="2" t="s">
        <v>1569</v>
      </c>
      <c r="L3870" t="s">
        <v>26</v>
      </c>
      <c r="M3870">
        <v>336794</v>
      </c>
      <c r="N3870">
        <v>1</v>
      </c>
      <c r="O3870" s="3">
        <v>6950</v>
      </c>
      <c r="P3870" s="3">
        <v>3551</v>
      </c>
      <c r="Q3870" s="5">
        <f t="shared" si="180"/>
        <v>5840.3361344537816</v>
      </c>
      <c r="R3870" s="5">
        <f t="shared" si="181"/>
        <v>3551</v>
      </c>
      <c r="S3870" s="5">
        <f t="shared" si="182"/>
        <v>2289.3361344537816</v>
      </c>
    </row>
    <row r="3871" spans="1:19" hidden="1" x14ac:dyDescent="0.3">
      <c r="A3871">
        <v>170</v>
      </c>
      <c r="B3871" t="s">
        <v>4809</v>
      </c>
      <c r="C3871" t="s">
        <v>4504</v>
      </c>
      <c r="D3871" s="2" t="s">
        <v>4505</v>
      </c>
      <c r="E3871" t="s">
        <v>3651</v>
      </c>
      <c r="F3871" t="s">
        <v>20</v>
      </c>
      <c r="G3871" t="s">
        <v>21</v>
      </c>
      <c r="H3871" t="s">
        <v>970</v>
      </c>
      <c r="I3871" t="s">
        <v>23</v>
      </c>
      <c r="J3871" t="s">
        <v>40</v>
      </c>
      <c r="K3871" s="2" t="s">
        <v>1569</v>
      </c>
      <c r="L3871" t="s">
        <v>26</v>
      </c>
      <c r="M3871">
        <v>336795</v>
      </c>
      <c r="N3871">
        <v>-1</v>
      </c>
      <c r="O3871" s="3">
        <v>-59950</v>
      </c>
      <c r="P3871" s="3">
        <v>18805</v>
      </c>
      <c r="Q3871" s="5">
        <f t="shared" si="180"/>
        <v>-50378.151260504201</v>
      </c>
      <c r="R3871" s="5">
        <f t="shared" si="181"/>
        <v>-18805</v>
      </c>
      <c r="S3871" s="5">
        <f t="shared" si="182"/>
        <v>-31573.151260504201</v>
      </c>
    </row>
    <row r="3872" spans="1:19" hidden="1" x14ac:dyDescent="0.3">
      <c r="A3872">
        <v>170</v>
      </c>
      <c r="B3872" t="s">
        <v>4809</v>
      </c>
      <c r="C3872" t="s">
        <v>3951</v>
      </c>
      <c r="D3872" s="2" t="s">
        <v>3952</v>
      </c>
      <c r="E3872" t="s">
        <v>2741</v>
      </c>
      <c r="F3872" t="s">
        <v>20</v>
      </c>
      <c r="G3872" t="s">
        <v>21</v>
      </c>
      <c r="H3872" t="s">
        <v>2494</v>
      </c>
      <c r="I3872" t="s">
        <v>23</v>
      </c>
      <c r="J3872" t="s">
        <v>40</v>
      </c>
      <c r="K3872" s="2" t="s">
        <v>1569</v>
      </c>
      <c r="L3872" t="s">
        <v>26</v>
      </c>
      <c r="M3872">
        <v>336795</v>
      </c>
      <c r="N3872">
        <v>1</v>
      </c>
      <c r="O3872" s="3">
        <v>69950</v>
      </c>
      <c r="P3872" s="3">
        <v>23470</v>
      </c>
      <c r="Q3872" s="5">
        <f t="shared" si="180"/>
        <v>58781.512605042022</v>
      </c>
      <c r="R3872" s="5">
        <f t="shared" si="181"/>
        <v>23470</v>
      </c>
      <c r="S3872" s="5">
        <f t="shared" si="182"/>
        <v>35311.512605042022</v>
      </c>
    </row>
    <row r="3873" spans="1:19" hidden="1" x14ac:dyDescent="0.3">
      <c r="A3873">
        <v>170</v>
      </c>
      <c r="B3873" t="s">
        <v>4809</v>
      </c>
      <c r="C3873" t="s">
        <v>5335</v>
      </c>
      <c r="D3873" s="2" t="s">
        <v>5336</v>
      </c>
      <c r="E3873" t="s">
        <v>3669</v>
      </c>
      <c r="F3873" t="s">
        <v>20</v>
      </c>
      <c r="G3873" t="s">
        <v>21</v>
      </c>
      <c r="H3873" t="s">
        <v>2593</v>
      </c>
      <c r="I3873" t="s">
        <v>23</v>
      </c>
      <c r="J3873" t="s">
        <v>35</v>
      </c>
      <c r="K3873" s="2" t="s">
        <v>1569</v>
      </c>
      <c r="L3873" t="s">
        <v>26</v>
      </c>
      <c r="M3873">
        <v>336796</v>
      </c>
      <c r="N3873">
        <v>1</v>
      </c>
      <c r="O3873" s="3">
        <v>94950</v>
      </c>
      <c r="P3873" s="3">
        <v>34760</v>
      </c>
      <c r="Q3873" s="5">
        <f t="shared" si="180"/>
        <v>79789.915966386558</v>
      </c>
      <c r="R3873" s="5">
        <f t="shared" si="181"/>
        <v>34760</v>
      </c>
      <c r="S3873" s="5">
        <f t="shared" si="182"/>
        <v>45029.915966386558</v>
      </c>
    </row>
    <row r="3874" spans="1:19" hidden="1" x14ac:dyDescent="0.3">
      <c r="A3874">
        <v>170</v>
      </c>
      <c r="B3874" t="s">
        <v>4809</v>
      </c>
      <c r="C3874" t="s">
        <v>5035</v>
      </c>
      <c r="D3874" s="2" t="s">
        <v>5036</v>
      </c>
      <c r="E3874" t="s">
        <v>2619</v>
      </c>
      <c r="F3874" t="s">
        <v>377</v>
      </c>
      <c r="G3874" t="s">
        <v>21</v>
      </c>
      <c r="H3874" t="s">
        <v>378</v>
      </c>
      <c r="I3874" t="s">
        <v>23</v>
      </c>
      <c r="J3874" t="s">
        <v>2620</v>
      </c>
      <c r="K3874" s="2" t="s">
        <v>1569</v>
      </c>
      <c r="L3874" t="s">
        <v>26</v>
      </c>
      <c r="M3874">
        <v>336797</v>
      </c>
      <c r="N3874">
        <v>1</v>
      </c>
      <c r="O3874" s="3">
        <v>24950</v>
      </c>
      <c r="P3874" s="3">
        <v>13040</v>
      </c>
      <c r="Q3874" s="5">
        <f t="shared" si="180"/>
        <v>20966.386554621851</v>
      </c>
      <c r="R3874" s="5">
        <f t="shared" si="181"/>
        <v>13040</v>
      </c>
      <c r="S3874" s="5">
        <f t="shared" si="182"/>
        <v>7926.3865546218512</v>
      </c>
    </row>
    <row r="3875" spans="1:19" hidden="1" x14ac:dyDescent="0.3">
      <c r="A3875">
        <v>170</v>
      </c>
      <c r="B3875" t="s">
        <v>4809</v>
      </c>
      <c r="C3875" t="s">
        <v>3519</v>
      </c>
      <c r="D3875" s="2" t="s">
        <v>3520</v>
      </c>
      <c r="E3875" t="s">
        <v>2653</v>
      </c>
      <c r="F3875" t="s">
        <v>20</v>
      </c>
      <c r="G3875" t="s">
        <v>21</v>
      </c>
      <c r="H3875" t="s">
        <v>2315</v>
      </c>
      <c r="I3875" t="s">
        <v>23</v>
      </c>
      <c r="J3875" t="s">
        <v>35</v>
      </c>
      <c r="K3875" s="2" t="s">
        <v>1569</v>
      </c>
      <c r="L3875" t="s">
        <v>26</v>
      </c>
      <c r="M3875">
        <v>336798</v>
      </c>
      <c r="N3875">
        <v>1</v>
      </c>
      <c r="O3875" s="3">
        <v>89950</v>
      </c>
      <c r="P3875" s="3">
        <v>30749</v>
      </c>
      <c r="Q3875" s="5">
        <f t="shared" si="180"/>
        <v>75588.23529411765</v>
      </c>
      <c r="R3875" s="5">
        <f t="shared" si="181"/>
        <v>30749</v>
      </c>
      <c r="S3875" s="5">
        <f t="shared" si="182"/>
        <v>44839.23529411765</v>
      </c>
    </row>
    <row r="3876" spans="1:19" hidden="1" x14ac:dyDescent="0.3">
      <c r="A3876">
        <v>170</v>
      </c>
      <c r="B3876" t="s">
        <v>4809</v>
      </c>
      <c r="C3876" t="s">
        <v>5337</v>
      </c>
      <c r="D3876" s="2" t="s">
        <v>5338</v>
      </c>
      <c r="E3876" t="s">
        <v>3515</v>
      </c>
      <c r="F3876" t="s">
        <v>20</v>
      </c>
      <c r="G3876" t="s">
        <v>21</v>
      </c>
      <c r="H3876" t="s">
        <v>406</v>
      </c>
      <c r="I3876" t="s">
        <v>23</v>
      </c>
      <c r="J3876" t="s">
        <v>407</v>
      </c>
      <c r="K3876" s="2" t="s">
        <v>1569</v>
      </c>
      <c r="L3876" t="s">
        <v>26</v>
      </c>
      <c r="M3876">
        <v>336799</v>
      </c>
      <c r="N3876">
        <v>1</v>
      </c>
      <c r="O3876" s="3">
        <v>44990</v>
      </c>
      <c r="P3876" s="3">
        <v>21595</v>
      </c>
      <c r="Q3876" s="5">
        <f t="shared" si="180"/>
        <v>37806.722689075636</v>
      </c>
      <c r="R3876" s="5">
        <f t="shared" si="181"/>
        <v>21595</v>
      </c>
      <c r="S3876" s="5">
        <f t="shared" si="182"/>
        <v>16211.722689075636</v>
      </c>
    </row>
    <row r="3877" spans="1:19" hidden="1" x14ac:dyDescent="0.3">
      <c r="A3877">
        <v>170</v>
      </c>
      <c r="B3877" t="s">
        <v>4809</v>
      </c>
      <c r="C3877" t="s">
        <v>4760</v>
      </c>
      <c r="D3877" s="2" t="s">
        <v>4761</v>
      </c>
      <c r="E3877" t="s">
        <v>2561</v>
      </c>
      <c r="F3877" t="s">
        <v>20</v>
      </c>
      <c r="G3877" t="s">
        <v>21</v>
      </c>
      <c r="H3877" t="s">
        <v>1914</v>
      </c>
      <c r="I3877" t="s">
        <v>23</v>
      </c>
      <c r="J3877" t="s">
        <v>35</v>
      </c>
      <c r="K3877" s="2" t="s">
        <v>1569</v>
      </c>
      <c r="L3877" t="s">
        <v>26</v>
      </c>
      <c r="M3877">
        <v>336800</v>
      </c>
      <c r="N3877">
        <v>1</v>
      </c>
      <c r="O3877" s="3">
        <v>69990</v>
      </c>
      <c r="P3877" s="3">
        <v>28298</v>
      </c>
      <c r="Q3877" s="5">
        <f t="shared" si="180"/>
        <v>58815.126050420171</v>
      </c>
      <c r="R3877" s="5">
        <f t="shared" si="181"/>
        <v>28298</v>
      </c>
      <c r="S3877" s="5">
        <f t="shared" si="182"/>
        <v>30517.126050420171</v>
      </c>
    </row>
    <row r="3878" spans="1:19" hidden="1" x14ac:dyDescent="0.3">
      <c r="A3878">
        <v>170</v>
      </c>
      <c r="B3878" t="s">
        <v>4809</v>
      </c>
      <c r="C3878" t="s">
        <v>3313</v>
      </c>
      <c r="D3878" s="2" t="s">
        <v>3314</v>
      </c>
      <c r="E3878" t="s">
        <v>789</v>
      </c>
      <c r="F3878" t="s">
        <v>20</v>
      </c>
      <c r="G3878" t="s">
        <v>21</v>
      </c>
      <c r="H3878" t="s">
        <v>790</v>
      </c>
      <c r="I3878" t="s">
        <v>23</v>
      </c>
      <c r="J3878" t="s">
        <v>40</v>
      </c>
      <c r="K3878" s="2" t="s">
        <v>1569</v>
      </c>
      <c r="L3878" t="s">
        <v>26</v>
      </c>
      <c r="M3878">
        <v>336801</v>
      </c>
      <c r="N3878">
        <v>1</v>
      </c>
      <c r="O3878" s="3">
        <v>69990</v>
      </c>
      <c r="P3878" s="3">
        <v>30692</v>
      </c>
      <c r="Q3878" s="5">
        <f t="shared" si="180"/>
        <v>58815.126050420171</v>
      </c>
      <c r="R3878" s="5">
        <f t="shared" si="181"/>
        <v>30692</v>
      </c>
      <c r="S3878" s="5">
        <f t="shared" si="182"/>
        <v>28123.126050420171</v>
      </c>
    </row>
    <row r="3879" spans="1:19" hidden="1" x14ac:dyDescent="0.3">
      <c r="A3879">
        <v>170</v>
      </c>
      <c r="B3879" t="s">
        <v>4809</v>
      </c>
      <c r="C3879" t="s">
        <v>4216</v>
      </c>
      <c r="D3879" s="2" t="s">
        <v>4217</v>
      </c>
      <c r="E3879" t="s">
        <v>3531</v>
      </c>
      <c r="F3879" t="s">
        <v>20</v>
      </c>
      <c r="G3879" t="s">
        <v>338</v>
      </c>
      <c r="H3879">
        <v>84316</v>
      </c>
      <c r="I3879" t="s">
        <v>23</v>
      </c>
      <c r="J3879" t="s">
        <v>49</v>
      </c>
      <c r="K3879" s="2" t="s">
        <v>1569</v>
      </c>
      <c r="L3879" t="s">
        <v>26</v>
      </c>
      <c r="M3879">
        <v>336802</v>
      </c>
      <c r="N3879">
        <v>1</v>
      </c>
      <c r="O3879" s="3">
        <v>89950</v>
      </c>
      <c r="P3879" s="3">
        <v>31128</v>
      </c>
      <c r="Q3879" s="5">
        <f t="shared" si="180"/>
        <v>75588.23529411765</v>
      </c>
      <c r="R3879" s="5">
        <f t="shared" si="181"/>
        <v>31128</v>
      </c>
      <c r="S3879" s="5">
        <f t="shared" si="182"/>
        <v>44460.23529411765</v>
      </c>
    </row>
    <row r="3880" spans="1:19" hidden="1" x14ac:dyDescent="0.3">
      <c r="A3880">
        <v>170</v>
      </c>
      <c r="B3880" t="s">
        <v>4809</v>
      </c>
      <c r="C3880" t="s">
        <v>1037</v>
      </c>
      <c r="D3880" s="2" t="s">
        <v>1038</v>
      </c>
      <c r="E3880" t="s">
        <v>1039</v>
      </c>
      <c r="F3880" t="s">
        <v>377</v>
      </c>
      <c r="G3880" t="s">
        <v>21</v>
      </c>
      <c r="H3880" t="s">
        <v>378</v>
      </c>
      <c r="I3880" t="s">
        <v>23</v>
      </c>
      <c r="J3880" t="s">
        <v>379</v>
      </c>
      <c r="K3880" s="2" t="s">
        <v>1569</v>
      </c>
      <c r="L3880" t="s">
        <v>26</v>
      </c>
      <c r="M3880">
        <v>336802</v>
      </c>
      <c r="N3880">
        <v>1</v>
      </c>
      <c r="O3880" s="3">
        <v>5950</v>
      </c>
      <c r="P3880" s="3">
        <v>3257</v>
      </c>
      <c r="Q3880" s="5">
        <f t="shared" si="180"/>
        <v>5000</v>
      </c>
      <c r="R3880" s="5">
        <f t="shared" si="181"/>
        <v>3257</v>
      </c>
      <c r="S3880" s="5">
        <f t="shared" si="182"/>
        <v>1743</v>
      </c>
    </row>
    <row r="3881" spans="1:19" hidden="1" x14ac:dyDescent="0.3">
      <c r="A3881">
        <v>170</v>
      </c>
      <c r="B3881" t="s">
        <v>4809</v>
      </c>
      <c r="C3881" t="s">
        <v>5339</v>
      </c>
      <c r="D3881" s="2" t="s">
        <v>5340</v>
      </c>
      <c r="E3881" t="s">
        <v>3651</v>
      </c>
      <c r="F3881" t="s">
        <v>20</v>
      </c>
      <c r="G3881" t="s">
        <v>21</v>
      </c>
      <c r="H3881" t="s">
        <v>970</v>
      </c>
      <c r="I3881" t="s">
        <v>23</v>
      </c>
      <c r="J3881" t="s">
        <v>40</v>
      </c>
      <c r="K3881" s="2" t="s">
        <v>1569</v>
      </c>
      <c r="L3881" t="s">
        <v>26</v>
      </c>
      <c r="M3881">
        <v>336803</v>
      </c>
      <c r="N3881">
        <v>1</v>
      </c>
      <c r="O3881" s="3">
        <v>59950</v>
      </c>
      <c r="P3881" s="3">
        <v>18614</v>
      </c>
      <c r="Q3881" s="5">
        <f t="shared" si="180"/>
        <v>50378.151260504201</v>
      </c>
      <c r="R3881" s="5">
        <f t="shared" si="181"/>
        <v>18614</v>
      </c>
      <c r="S3881" s="5">
        <f t="shared" si="182"/>
        <v>31764.151260504201</v>
      </c>
    </row>
    <row r="3882" spans="1:19" hidden="1" x14ac:dyDescent="0.3">
      <c r="A3882">
        <v>170</v>
      </c>
      <c r="B3882" t="s">
        <v>4809</v>
      </c>
      <c r="C3882">
        <v>1687976791</v>
      </c>
      <c r="D3882" s="2" t="s">
        <v>200</v>
      </c>
      <c r="E3882" t="s">
        <v>201</v>
      </c>
      <c r="F3882" t="s">
        <v>201</v>
      </c>
      <c r="G3882" t="s">
        <v>202</v>
      </c>
      <c r="H3882" t="s">
        <v>202</v>
      </c>
      <c r="I3882" t="s">
        <v>23</v>
      </c>
      <c r="J3882" t="s">
        <v>202</v>
      </c>
      <c r="K3882" s="2" t="s">
        <v>1569</v>
      </c>
      <c r="L3882" t="s">
        <v>26</v>
      </c>
      <c r="M3882">
        <v>336803</v>
      </c>
      <c r="N3882">
        <v>1</v>
      </c>
      <c r="O3882" s="3">
        <v>2000</v>
      </c>
      <c r="P3882">
        <v>1</v>
      </c>
      <c r="Q3882" s="5">
        <f t="shared" si="180"/>
        <v>1680.6722689075632</v>
      </c>
      <c r="R3882" s="5">
        <f t="shared" si="181"/>
        <v>1</v>
      </c>
      <c r="S3882" s="5">
        <f t="shared" si="182"/>
        <v>1679.6722689075632</v>
      </c>
    </row>
    <row r="3883" spans="1:19" hidden="1" x14ac:dyDescent="0.3">
      <c r="A3883">
        <v>170</v>
      </c>
      <c r="B3883" t="s">
        <v>4809</v>
      </c>
      <c r="C3883" t="s">
        <v>5341</v>
      </c>
      <c r="D3883" s="2" t="s">
        <v>5342</v>
      </c>
      <c r="E3883" t="s">
        <v>5343</v>
      </c>
      <c r="F3883" t="s">
        <v>20</v>
      </c>
      <c r="G3883" t="s">
        <v>338</v>
      </c>
      <c r="H3883">
        <v>23707</v>
      </c>
      <c r="I3883" t="s">
        <v>23</v>
      </c>
      <c r="J3883" t="s">
        <v>40</v>
      </c>
      <c r="K3883" s="2" t="s">
        <v>1569</v>
      </c>
      <c r="L3883" t="s">
        <v>26</v>
      </c>
      <c r="M3883">
        <v>336804</v>
      </c>
      <c r="N3883">
        <v>1</v>
      </c>
      <c r="O3883" s="3">
        <v>79990</v>
      </c>
      <c r="P3883" s="3">
        <v>35178</v>
      </c>
      <c r="Q3883" s="5">
        <f t="shared" si="180"/>
        <v>67218.487394957992</v>
      </c>
      <c r="R3883" s="5">
        <f t="shared" si="181"/>
        <v>35178</v>
      </c>
      <c r="S3883" s="5">
        <f t="shared" si="182"/>
        <v>32040.487394957992</v>
      </c>
    </row>
    <row r="3884" spans="1:19" hidden="1" x14ac:dyDescent="0.3">
      <c r="A3884">
        <v>170</v>
      </c>
      <c r="B3884" t="s">
        <v>4809</v>
      </c>
      <c r="C3884" t="s">
        <v>5344</v>
      </c>
      <c r="D3884" s="2" t="s">
        <v>5345</v>
      </c>
      <c r="E3884" t="s">
        <v>5346</v>
      </c>
      <c r="F3884" t="s">
        <v>20</v>
      </c>
      <c r="G3884" t="s">
        <v>21</v>
      </c>
      <c r="H3884" t="s">
        <v>1405</v>
      </c>
      <c r="I3884" t="s">
        <v>23</v>
      </c>
      <c r="J3884" t="s">
        <v>40</v>
      </c>
      <c r="K3884" s="2" t="s">
        <v>1569</v>
      </c>
      <c r="L3884" t="s">
        <v>26</v>
      </c>
      <c r="M3884">
        <v>336805</v>
      </c>
      <c r="N3884">
        <v>1</v>
      </c>
      <c r="O3884" s="3">
        <v>39990</v>
      </c>
      <c r="P3884" s="3">
        <v>13302</v>
      </c>
      <c r="Q3884" s="5">
        <f t="shared" si="180"/>
        <v>33605.042016806721</v>
      </c>
      <c r="R3884" s="5">
        <f t="shared" si="181"/>
        <v>13302</v>
      </c>
      <c r="S3884" s="5">
        <f t="shared" si="182"/>
        <v>20303.042016806721</v>
      </c>
    </row>
    <row r="3885" spans="1:19" hidden="1" x14ac:dyDescent="0.3">
      <c r="A3885">
        <v>170</v>
      </c>
      <c r="B3885" t="s">
        <v>4809</v>
      </c>
      <c r="C3885" t="s">
        <v>5177</v>
      </c>
      <c r="D3885" s="2" t="s">
        <v>5178</v>
      </c>
      <c r="E3885" t="s">
        <v>3406</v>
      </c>
      <c r="F3885" t="s">
        <v>20</v>
      </c>
      <c r="G3885" t="s">
        <v>338</v>
      </c>
      <c r="H3885">
        <v>26825</v>
      </c>
      <c r="I3885" t="s">
        <v>23</v>
      </c>
      <c r="J3885" t="s">
        <v>35</v>
      </c>
      <c r="K3885" s="2" t="s">
        <v>1569</v>
      </c>
      <c r="L3885" t="s">
        <v>26</v>
      </c>
      <c r="M3885">
        <v>336806</v>
      </c>
      <c r="N3885">
        <v>1</v>
      </c>
      <c r="O3885" s="3">
        <v>67950</v>
      </c>
      <c r="P3885" s="3">
        <v>23119</v>
      </c>
      <c r="Q3885" s="5">
        <f t="shared" si="180"/>
        <v>57100.840336134454</v>
      </c>
      <c r="R3885" s="5">
        <f t="shared" si="181"/>
        <v>23119</v>
      </c>
      <c r="S3885" s="5">
        <f t="shared" si="182"/>
        <v>33981.840336134454</v>
      </c>
    </row>
    <row r="3886" spans="1:19" hidden="1" x14ac:dyDescent="0.3">
      <c r="A3886">
        <v>170</v>
      </c>
      <c r="B3886" t="s">
        <v>4809</v>
      </c>
      <c r="C3886" t="s">
        <v>5347</v>
      </c>
      <c r="D3886" s="2" t="s">
        <v>5348</v>
      </c>
      <c r="E3886" t="s">
        <v>2781</v>
      </c>
      <c r="F3886" t="s">
        <v>20</v>
      </c>
      <c r="G3886" t="s">
        <v>21</v>
      </c>
      <c r="H3886" t="s">
        <v>2782</v>
      </c>
      <c r="I3886" t="s">
        <v>23</v>
      </c>
      <c r="J3886" t="s">
        <v>35</v>
      </c>
      <c r="K3886" s="2" t="s">
        <v>1569</v>
      </c>
      <c r="L3886" t="s">
        <v>26</v>
      </c>
      <c r="M3886">
        <v>336806</v>
      </c>
      <c r="N3886">
        <v>1</v>
      </c>
      <c r="O3886" s="3">
        <v>74950</v>
      </c>
      <c r="P3886" s="3">
        <v>24388</v>
      </c>
      <c r="Q3886" s="5">
        <f t="shared" si="180"/>
        <v>62983.193277310929</v>
      </c>
      <c r="R3886" s="5">
        <f t="shared" si="181"/>
        <v>24388</v>
      </c>
      <c r="S3886" s="5">
        <f t="shared" si="182"/>
        <v>38595.193277310929</v>
      </c>
    </row>
    <row r="3887" spans="1:19" hidden="1" x14ac:dyDescent="0.3">
      <c r="A3887">
        <v>170</v>
      </c>
      <c r="B3887" t="s">
        <v>4809</v>
      </c>
      <c r="C3887" t="s">
        <v>3404</v>
      </c>
      <c r="D3887" s="2" t="s">
        <v>3405</v>
      </c>
      <c r="E3887" t="s">
        <v>3406</v>
      </c>
      <c r="F3887" t="s">
        <v>20</v>
      </c>
      <c r="G3887" t="s">
        <v>338</v>
      </c>
      <c r="H3887">
        <v>26825</v>
      </c>
      <c r="I3887" t="s">
        <v>23</v>
      </c>
      <c r="J3887" t="s">
        <v>35</v>
      </c>
      <c r="K3887" s="2" t="s">
        <v>1569</v>
      </c>
      <c r="L3887" t="s">
        <v>26</v>
      </c>
      <c r="M3887">
        <v>336807</v>
      </c>
      <c r="N3887">
        <v>1</v>
      </c>
      <c r="O3887" s="3">
        <v>67950</v>
      </c>
      <c r="P3887" s="3">
        <v>23119</v>
      </c>
      <c r="Q3887" s="5">
        <f t="shared" si="180"/>
        <v>57100.840336134454</v>
      </c>
      <c r="R3887" s="5">
        <f t="shared" si="181"/>
        <v>23119</v>
      </c>
      <c r="S3887" s="5">
        <f t="shared" si="182"/>
        <v>33981.840336134454</v>
      </c>
    </row>
    <row r="3888" spans="1:19" hidden="1" x14ac:dyDescent="0.3">
      <c r="A3888">
        <v>170</v>
      </c>
      <c r="B3888" t="s">
        <v>4809</v>
      </c>
      <c r="C3888" t="s">
        <v>3692</v>
      </c>
      <c r="D3888" s="2" t="s">
        <v>3693</v>
      </c>
      <c r="E3888" t="s">
        <v>1758</v>
      </c>
      <c r="F3888" t="s">
        <v>20</v>
      </c>
      <c r="G3888" t="s">
        <v>338</v>
      </c>
      <c r="H3888">
        <v>25133</v>
      </c>
      <c r="I3888" t="s">
        <v>23</v>
      </c>
      <c r="J3888" t="s">
        <v>35</v>
      </c>
      <c r="K3888" s="2" t="s">
        <v>1569</v>
      </c>
      <c r="L3888" t="s">
        <v>26</v>
      </c>
      <c r="M3888">
        <v>336808</v>
      </c>
      <c r="N3888">
        <v>1</v>
      </c>
      <c r="O3888" s="3">
        <v>74950</v>
      </c>
      <c r="P3888" s="3">
        <v>21167</v>
      </c>
      <c r="Q3888" s="5">
        <f t="shared" si="180"/>
        <v>62983.193277310929</v>
      </c>
      <c r="R3888" s="5">
        <f t="shared" si="181"/>
        <v>21167</v>
      </c>
      <c r="S3888" s="5">
        <f t="shared" si="182"/>
        <v>41816.193277310929</v>
      </c>
    </row>
    <row r="3889" spans="1:19" hidden="1" x14ac:dyDescent="0.3">
      <c r="A3889">
        <v>170</v>
      </c>
      <c r="B3889" t="s">
        <v>4809</v>
      </c>
      <c r="C3889" t="s">
        <v>5211</v>
      </c>
      <c r="D3889" s="2" t="s">
        <v>5212</v>
      </c>
      <c r="E3889" t="s">
        <v>1446</v>
      </c>
      <c r="F3889" t="s">
        <v>20</v>
      </c>
      <c r="G3889" t="s">
        <v>338</v>
      </c>
      <c r="H3889">
        <v>25321</v>
      </c>
      <c r="I3889" t="s">
        <v>23</v>
      </c>
      <c r="J3889" t="s">
        <v>35</v>
      </c>
      <c r="K3889" s="2" t="s">
        <v>1569</v>
      </c>
      <c r="L3889" t="s">
        <v>26</v>
      </c>
      <c r="M3889">
        <v>336808</v>
      </c>
      <c r="N3889">
        <v>1</v>
      </c>
      <c r="O3889" s="3">
        <v>93450</v>
      </c>
      <c r="P3889" s="3">
        <v>33748</v>
      </c>
      <c r="Q3889" s="5">
        <f t="shared" si="180"/>
        <v>78529.411764705888</v>
      </c>
      <c r="R3889" s="5">
        <f t="shared" si="181"/>
        <v>33748</v>
      </c>
      <c r="S3889" s="5">
        <f t="shared" si="182"/>
        <v>44781.411764705888</v>
      </c>
    </row>
    <row r="3890" spans="1:19" hidden="1" x14ac:dyDescent="0.3">
      <c r="A3890">
        <v>170</v>
      </c>
      <c r="B3890" t="s">
        <v>4809</v>
      </c>
      <c r="C3890" t="s">
        <v>1037</v>
      </c>
      <c r="D3890" s="2" t="s">
        <v>1038</v>
      </c>
      <c r="E3890" t="s">
        <v>1039</v>
      </c>
      <c r="F3890" t="s">
        <v>377</v>
      </c>
      <c r="G3890" t="s">
        <v>21</v>
      </c>
      <c r="H3890" t="s">
        <v>378</v>
      </c>
      <c r="I3890" t="s">
        <v>23</v>
      </c>
      <c r="J3890" t="s">
        <v>379</v>
      </c>
      <c r="K3890" s="2" t="s">
        <v>1569</v>
      </c>
      <c r="L3890" t="s">
        <v>26</v>
      </c>
      <c r="M3890">
        <v>336809</v>
      </c>
      <c r="N3890">
        <v>1</v>
      </c>
      <c r="O3890" s="3">
        <v>5950</v>
      </c>
      <c r="P3890" s="3">
        <v>3257</v>
      </c>
      <c r="Q3890" s="5">
        <f t="shared" si="180"/>
        <v>5000</v>
      </c>
      <c r="R3890" s="5">
        <f t="shared" si="181"/>
        <v>3257</v>
      </c>
      <c r="S3890" s="5">
        <f t="shared" si="182"/>
        <v>1743</v>
      </c>
    </row>
    <row r="3891" spans="1:19" hidden="1" x14ac:dyDescent="0.3">
      <c r="A3891">
        <v>170</v>
      </c>
      <c r="B3891" t="s">
        <v>4809</v>
      </c>
      <c r="C3891" t="s">
        <v>4231</v>
      </c>
      <c r="D3891" s="2" t="s">
        <v>4232</v>
      </c>
      <c r="E3891" t="s">
        <v>2844</v>
      </c>
      <c r="F3891" t="s">
        <v>20</v>
      </c>
      <c r="G3891" t="s">
        <v>338</v>
      </c>
      <c r="H3891">
        <v>24722</v>
      </c>
      <c r="I3891" t="s">
        <v>23</v>
      </c>
      <c r="J3891" t="s">
        <v>95</v>
      </c>
      <c r="K3891" s="2" t="s">
        <v>1569</v>
      </c>
      <c r="L3891" t="s">
        <v>26</v>
      </c>
      <c r="M3891">
        <v>336810</v>
      </c>
      <c r="N3891">
        <v>1</v>
      </c>
      <c r="O3891" s="3">
        <v>89950</v>
      </c>
      <c r="P3891" s="3">
        <v>30987</v>
      </c>
      <c r="Q3891" s="5">
        <f t="shared" si="180"/>
        <v>75588.23529411765</v>
      </c>
      <c r="R3891" s="5">
        <f t="shared" si="181"/>
        <v>30987</v>
      </c>
      <c r="S3891" s="5">
        <f t="shared" si="182"/>
        <v>44601.23529411765</v>
      </c>
    </row>
    <row r="3892" spans="1:19" hidden="1" x14ac:dyDescent="0.3">
      <c r="A3892">
        <v>170</v>
      </c>
      <c r="B3892" t="s">
        <v>4809</v>
      </c>
      <c r="C3892">
        <v>1687976791</v>
      </c>
      <c r="D3892" s="2" t="s">
        <v>200</v>
      </c>
      <c r="E3892" t="s">
        <v>201</v>
      </c>
      <c r="F3892" t="s">
        <v>201</v>
      </c>
      <c r="G3892" t="s">
        <v>202</v>
      </c>
      <c r="H3892" t="s">
        <v>202</v>
      </c>
      <c r="I3892" t="s">
        <v>23</v>
      </c>
      <c r="J3892" t="s">
        <v>202</v>
      </c>
      <c r="K3892" s="2" t="s">
        <v>1744</v>
      </c>
      <c r="L3892" t="s">
        <v>26</v>
      </c>
      <c r="M3892">
        <v>336811</v>
      </c>
      <c r="N3892">
        <v>1</v>
      </c>
      <c r="O3892" s="3">
        <v>8056</v>
      </c>
      <c r="P3892">
        <v>1</v>
      </c>
      <c r="Q3892" s="5">
        <f t="shared" si="180"/>
        <v>6769.7478991596645</v>
      </c>
      <c r="R3892" s="5">
        <f t="shared" si="181"/>
        <v>1</v>
      </c>
      <c r="S3892" s="5">
        <f t="shared" si="182"/>
        <v>6768.7478991596645</v>
      </c>
    </row>
    <row r="3893" spans="1:19" hidden="1" x14ac:dyDescent="0.3">
      <c r="A3893">
        <v>170</v>
      </c>
      <c r="B3893" t="s">
        <v>4809</v>
      </c>
      <c r="C3893" t="s">
        <v>4780</v>
      </c>
      <c r="D3893" s="2" t="s">
        <v>4781</v>
      </c>
      <c r="E3893" t="s">
        <v>2295</v>
      </c>
      <c r="F3893" t="s">
        <v>20</v>
      </c>
      <c r="G3893" t="s">
        <v>338</v>
      </c>
      <c r="H3893">
        <v>25026</v>
      </c>
      <c r="I3893" t="s">
        <v>23</v>
      </c>
      <c r="J3893" t="s">
        <v>35</v>
      </c>
      <c r="K3893" s="2" t="s">
        <v>1744</v>
      </c>
      <c r="L3893" t="s">
        <v>26</v>
      </c>
      <c r="M3893">
        <v>336811</v>
      </c>
      <c r="N3893">
        <v>1</v>
      </c>
      <c r="O3893" s="3">
        <v>69990</v>
      </c>
      <c r="P3893" s="3">
        <v>28454</v>
      </c>
      <c r="Q3893" s="5">
        <f t="shared" si="180"/>
        <v>58815.126050420171</v>
      </c>
      <c r="R3893" s="5">
        <f t="shared" si="181"/>
        <v>28454</v>
      </c>
      <c r="S3893" s="5">
        <f t="shared" si="182"/>
        <v>30361.126050420171</v>
      </c>
    </row>
    <row r="3894" spans="1:19" hidden="1" x14ac:dyDescent="0.3">
      <c r="A3894">
        <v>170</v>
      </c>
      <c r="B3894" t="s">
        <v>4809</v>
      </c>
      <c r="C3894" t="s">
        <v>4970</v>
      </c>
      <c r="D3894" s="2" t="s">
        <v>4971</v>
      </c>
      <c r="E3894" t="s">
        <v>2741</v>
      </c>
      <c r="F3894" t="s">
        <v>20</v>
      </c>
      <c r="G3894" t="s">
        <v>21</v>
      </c>
      <c r="H3894" t="s">
        <v>2494</v>
      </c>
      <c r="I3894" t="s">
        <v>23</v>
      </c>
      <c r="J3894" t="s">
        <v>40</v>
      </c>
      <c r="K3894" s="2" t="s">
        <v>1744</v>
      </c>
      <c r="L3894" t="s">
        <v>26</v>
      </c>
      <c r="M3894">
        <v>336812</v>
      </c>
      <c r="N3894">
        <v>1</v>
      </c>
      <c r="O3894" s="3">
        <v>69950</v>
      </c>
      <c r="P3894" s="3">
        <v>23470</v>
      </c>
      <c r="Q3894" s="5">
        <f t="shared" si="180"/>
        <v>58781.512605042022</v>
      </c>
      <c r="R3894" s="5">
        <f t="shared" si="181"/>
        <v>23470</v>
      </c>
      <c r="S3894" s="5">
        <f t="shared" si="182"/>
        <v>35311.512605042022</v>
      </c>
    </row>
    <row r="3895" spans="1:19" hidden="1" x14ac:dyDescent="0.3">
      <c r="A3895">
        <v>170</v>
      </c>
      <c r="B3895" t="s">
        <v>4809</v>
      </c>
      <c r="C3895">
        <v>1687976791</v>
      </c>
      <c r="D3895" s="2" t="s">
        <v>200</v>
      </c>
      <c r="E3895" t="s">
        <v>201</v>
      </c>
      <c r="F3895" t="s">
        <v>201</v>
      </c>
      <c r="G3895" t="s">
        <v>202</v>
      </c>
      <c r="H3895" t="s">
        <v>202</v>
      </c>
      <c r="I3895" t="s">
        <v>23</v>
      </c>
      <c r="J3895" t="s">
        <v>202</v>
      </c>
      <c r="K3895" s="2" t="s">
        <v>1744</v>
      </c>
      <c r="L3895" t="s">
        <v>26</v>
      </c>
      <c r="M3895">
        <v>336812</v>
      </c>
      <c r="N3895">
        <v>1</v>
      </c>
      <c r="O3895">
        <v>1</v>
      </c>
      <c r="P3895">
        <v>1</v>
      </c>
      <c r="Q3895" s="5">
        <f t="shared" si="180"/>
        <v>0.84033613445378152</v>
      </c>
      <c r="R3895" s="5">
        <f t="shared" si="181"/>
        <v>1</v>
      </c>
      <c r="S3895" s="5">
        <f t="shared" si="182"/>
        <v>-0.15966386554621848</v>
      </c>
    </row>
    <row r="3896" spans="1:19" hidden="1" x14ac:dyDescent="0.3">
      <c r="A3896">
        <v>170</v>
      </c>
      <c r="B3896" t="s">
        <v>4809</v>
      </c>
      <c r="C3896" t="s">
        <v>4212</v>
      </c>
      <c r="D3896" s="2" t="s">
        <v>4213</v>
      </c>
      <c r="E3896" t="s">
        <v>1443</v>
      </c>
      <c r="F3896" t="s">
        <v>20</v>
      </c>
      <c r="G3896" t="s">
        <v>338</v>
      </c>
      <c r="H3896">
        <v>25301</v>
      </c>
      <c r="I3896" t="s">
        <v>23</v>
      </c>
      <c r="J3896" t="s">
        <v>35</v>
      </c>
      <c r="K3896" s="2" t="s">
        <v>1744</v>
      </c>
      <c r="L3896" t="s">
        <v>26</v>
      </c>
      <c r="M3896">
        <v>336813</v>
      </c>
      <c r="N3896">
        <v>1</v>
      </c>
      <c r="O3896" s="3">
        <v>99950</v>
      </c>
      <c r="P3896" s="3">
        <v>34157</v>
      </c>
      <c r="Q3896" s="5">
        <f t="shared" si="180"/>
        <v>83991.596638655465</v>
      </c>
      <c r="R3896" s="5">
        <f t="shared" si="181"/>
        <v>34157</v>
      </c>
      <c r="S3896" s="5">
        <f t="shared" si="182"/>
        <v>49834.596638655465</v>
      </c>
    </row>
    <row r="3897" spans="1:19" hidden="1" x14ac:dyDescent="0.3">
      <c r="A3897">
        <v>170</v>
      </c>
      <c r="B3897" t="s">
        <v>4809</v>
      </c>
      <c r="C3897" t="s">
        <v>1761</v>
      </c>
      <c r="D3897" s="2" t="s">
        <v>1762</v>
      </c>
      <c r="E3897" t="s">
        <v>1763</v>
      </c>
      <c r="F3897" t="s">
        <v>377</v>
      </c>
      <c r="G3897" t="s">
        <v>21</v>
      </c>
      <c r="H3897" t="s">
        <v>378</v>
      </c>
      <c r="I3897" t="s">
        <v>23</v>
      </c>
      <c r="J3897" t="s">
        <v>379</v>
      </c>
      <c r="K3897" s="2" t="s">
        <v>1744</v>
      </c>
      <c r="L3897" t="s">
        <v>26</v>
      </c>
      <c r="M3897">
        <v>336813</v>
      </c>
      <c r="N3897">
        <v>1</v>
      </c>
      <c r="O3897" s="3">
        <v>5950</v>
      </c>
      <c r="P3897" s="3">
        <v>3279</v>
      </c>
      <c r="Q3897" s="5">
        <f t="shared" si="180"/>
        <v>5000</v>
      </c>
      <c r="R3897" s="5">
        <f t="shared" si="181"/>
        <v>3279</v>
      </c>
      <c r="S3897" s="5">
        <f t="shared" si="182"/>
        <v>1721</v>
      </c>
    </row>
    <row r="3898" spans="1:19" hidden="1" x14ac:dyDescent="0.3">
      <c r="A3898">
        <v>170</v>
      </c>
      <c r="B3898" t="s">
        <v>4809</v>
      </c>
      <c r="C3898" t="s">
        <v>3605</v>
      </c>
      <c r="D3898" s="2" t="s">
        <v>3606</v>
      </c>
      <c r="E3898" t="s">
        <v>2284</v>
      </c>
      <c r="F3898" t="s">
        <v>20</v>
      </c>
      <c r="G3898" t="s">
        <v>21</v>
      </c>
      <c r="H3898" t="s">
        <v>247</v>
      </c>
      <c r="I3898" t="s">
        <v>23</v>
      </c>
      <c r="J3898" t="s">
        <v>40</v>
      </c>
      <c r="K3898" s="2" t="s">
        <v>1744</v>
      </c>
      <c r="L3898" t="s">
        <v>26</v>
      </c>
      <c r="M3898">
        <v>336814</v>
      </c>
      <c r="N3898">
        <v>1</v>
      </c>
      <c r="O3898" s="3">
        <v>50950</v>
      </c>
      <c r="P3898" s="3">
        <v>16541</v>
      </c>
      <c r="Q3898" s="5">
        <f t="shared" si="180"/>
        <v>42815.126050420171</v>
      </c>
      <c r="R3898" s="5">
        <f t="shared" si="181"/>
        <v>16541</v>
      </c>
      <c r="S3898" s="5">
        <f t="shared" si="182"/>
        <v>26274.126050420171</v>
      </c>
    </row>
    <row r="3899" spans="1:19" hidden="1" x14ac:dyDescent="0.3">
      <c r="A3899">
        <v>170</v>
      </c>
      <c r="B3899" t="s">
        <v>4809</v>
      </c>
      <c r="C3899" t="s">
        <v>5349</v>
      </c>
      <c r="D3899" s="2" t="s">
        <v>5350</v>
      </c>
      <c r="E3899" t="s">
        <v>2837</v>
      </c>
      <c r="F3899" t="s">
        <v>20</v>
      </c>
      <c r="G3899" t="s">
        <v>21</v>
      </c>
      <c r="H3899" t="s">
        <v>272</v>
      </c>
      <c r="I3899" t="s">
        <v>23</v>
      </c>
      <c r="J3899" t="s">
        <v>40</v>
      </c>
      <c r="K3899" s="2" t="s">
        <v>1744</v>
      </c>
      <c r="L3899" t="s">
        <v>26</v>
      </c>
      <c r="M3899">
        <v>336814</v>
      </c>
      <c r="N3899">
        <v>1</v>
      </c>
      <c r="O3899" s="3">
        <v>59990</v>
      </c>
      <c r="P3899" s="3">
        <v>26159</v>
      </c>
      <c r="Q3899" s="5">
        <f t="shared" si="180"/>
        <v>50411.764705882357</v>
      </c>
      <c r="R3899" s="5">
        <f t="shared" si="181"/>
        <v>26159</v>
      </c>
      <c r="S3899" s="5">
        <f t="shared" si="182"/>
        <v>24252.764705882357</v>
      </c>
    </row>
    <row r="3900" spans="1:19" hidden="1" x14ac:dyDescent="0.3">
      <c r="A3900">
        <v>170</v>
      </c>
      <c r="B3900" t="s">
        <v>4809</v>
      </c>
      <c r="C3900" t="s">
        <v>4650</v>
      </c>
      <c r="D3900" s="2" t="s">
        <v>4651</v>
      </c>
      <c r="E3900" t="s">
        <v>3406</v>
      </c>
      <c r="F3900" t="s">
        <v>20</v>
      </c>
      <c r="G3900" t="s">
        <v>338</v>
      </c>
      <c r="H3900">
        <v>26825</v>
      </c>
      <c r="I3900" t="s">
        <v>23</v>
      </c>
      <c r="J3900" t="s">
        <v>35</v>
      </c>
      <c r="K3900" s="2" t="s">
        <v>1744</v>
      </c>
      <c r="L3900" t="s">
        <v>26</v>
      </c>
      <c r="M3900">
        <v>336815</v>
      </c>
      <c r="N3900">
        <v>1</v>
      </c>
      <c r="O3900" s="3">
        <v>79950</v>
      </c>
      <c r="P3900" s="3">
        <v>23119</v>
      </c>
      <c r="Q3900" s="5">
        <f t="shared" si="180"/>
        <v>67184.873949579836</v>
      </c>
      <c r="R3900" s="5">
        <f t="shared" si="181"/>
        <v>23119</v>
      </c>
      <c r="S3900" s="5">
        <f t="shared" si="182"/>
        <v>44065.873949579836</v>
      </c>
    </row>
    <row r="3901" spans="1:19" hidden="1" x14ac:dyDescent="0.3">
      <c r="A3901">
        <v>170</v>
      </c>
      <c r="B3901" t="s">
        <v>4809</v>
      </c>
      <c r="C3901" t="s">
        <v>2550</v>
      </c>
      <c r="D3901" s="2" t="s">
        <v>2551</v>
      </c>
      <c r="E3901" t="s">
        <v>2552</v>
      </c>
      <c r="F3901" t="s">
        <v>20</v>
      </c>
      <c r="G3901" t="s">
        <v>21</v>
      </c>
      <c r="H3901" t="s">
        <v>2353</v>
      </c>
      <c r="I3901" t="s">
        <v>23</v>
      </c>
      <c r="J3901" t="s">
        <v>40</v>
      </c>
      <c r="K3901" s="2" t="s">
        <v>1744</v>
      </c>
      <c r="L3901" t="s">
        <v>26</v>
      </c>
      <c r="M3901">
        <v>336816</v>
      </c>
      <c r="N3901">
        <v>0</v>
      </c>
      <c r="O3901">
        <v>1</v>
      </c>
      <c r="P3901" s="3">
        <v>31436</v>
      </c>
      <c r="Q3901" s="5">
        <f t="shared" si="180"/>
        <v>0.84033613445378152</v>
      </c>
      <c r="R3901" s="5">
        <f t="shared" si="181"/>
        <v>0</v>
      </c>
      <c r="S3901" s="5">
        <f t="shared" si="182"/>
        <v>0.84033613445378152</v>
      </c>
    </row>
    <row r="3902" spans="1:19" hidden="1" x14ac:dyDescent="0.3">
      <c r="A3902">
        <v>170</v>
      </c>
      <c r="B3902" t="s">
        <v>4809</v>
      </c>
      <c r="C3902" t="s">
        <v>5065</v>
      </c>
      <c r="D3902" s="2" t="s">
        <v>5066</v>
      </c>
      <c r="E3902" t="s">
        <v>337</v>
      </c>
      <c r="F3902" t="s">
        <v>20</v>
      </c>
      <c r="G3902" t="s">
        <v>338</v>
      </c>
      <c r="H3902">
        <v>23746</v>
      </c>
      <c r="I3902" t="s">
        <v>23</v>
      </c>
      <c r="J3902" t="s">
        <v>40</v>
      </c>
      <c r="K3902" s="2" t="s">
        <v>1744</v>
      </c>
      <c r="L3902" t="s">
        <v>26</v>
      </c>
      <c r="M3902">
        <v>336817</v>
      </c>
      <c r="N3902">
        <v>1</v>
      </c>
      <c r="O3902" s="3">
        <v>79950</v>
      </c>
      <c r="P3902" s="3">
        <v>27470</v>
      </c>
      <c r="Q3902" s="5">
        <f t="shared" si="180"/>
        <v>67184.873949579836</v>
      </c>
      <c r="R3902" s="5">
        <f t="shared" si="181"/>
        <v>27470</v>
      </c>
      <c r="S3902" s="5">
        <f t="shared" si="182"/>
        <v>39714.873949579836</v>
      </c>
    </row>
    <row r="3903" spans="1:19" hidden="1" x14ac:dyDescent="0.3">
      <c r="A3903">
        <v>170</v>
      </c>
      <c r="B3903" t="s">
        <v>4809</v>
      </c>
      <c r="C3903" t="s">
        <v>5082</v>
      </c>
      <c r="D3903" s="2" t="s">
        <v>5083</v>
      </c>
      <c r="E3903" t="s">
        <v>2208</v>
      </c>
      <c r="F3903" t="s">
        <v>20</v>
      </c>
      <c r="G3903" t="s">
        <v>338</v>
      </c>
      <c r="H3903">
        <v>25823</v>
      </c>
      <c r="I3903" t="s">
        <v>23</v>
      </c>
      <c r="J3903" t="s">
        <v>35</v>
      </c>
      <c r="K3903" s="2" t="s">
        <v>1744</v>
      </c>
      <c r="L3903" t="s">
        <v>26</v>
      </c>
      <c r="M3903">
        <v>336817</v>
      </c>
      <c r="N3903">
        <v>1</v>
      </c>
      <c r="O3903" s="3">
        <v>84950</v>
      </c>
      <c r="P3903" s="3">
        <v>33748</v>
      </c>
      <c r="Q3903" s="5">
        <f t="shared" si="180"/>
        <v>71386.554621848743</v>
      </c>
      <c r="R3903" s="5">
        <f t="shared" si="181"/>
        <v>33748</v>
      </c>
      <c r="S3903" s="5">
        <f t="shared" si="182"/>
        <v>37638.554621848743</v>
      </c>
    </row>
    <row r="3904" spans="1:19" hidden="1" x14ac:dyDescent="0.3">
      <c r="A3904">
        <v>170</v>
      </c>
      <c r="B3904" t="s">
        <v>4809</v>
      </c>
      <c r="C3904" t="s">
        <v>5351</v>
      </c>
      <c r="D3904" s="2" t="s">
        <v>5352</v>
      </c>
      <c r="E3904" t="s">
        <v>5353</v>
      </c>
      <c r="F3904" t="s">
        <v>20</v>
      </c>
      <c r="G3904" t="s">
        <v>21</v>
      </c>
      <c r="H3904" t="s">
        <v>1066</v>
      </c>
      <c r="I3904" t="s">
        <v>23</v>
      </c>
      <c r="J3904" t="s">
        <v>49</v>
      </c>
      <c r="K3904" s="2" t="s">
        <v>1744</v>
      </c>
      <c r="L3904" t="s">
        <v>26</v>
      </c>
      <c r="M3904">
        <v>336818</v>
      </c>
      <c r="N3904">
        <v>-1</v>
      </c>
      <c r="O3904" s="3">
        <v>-39990</v>
      </c>
      <c r="P3904" s="3">
        <v>22016</v>
      </c>
      <c r="Q3904" s="5">
        <f t="shared" si="180"/>
        <v>-33605.042016806721</v>
      </c>
      <c r="R3904" s="5">
        <f t="shared" si="181"/>
        <v>-22016</v>
      </c>
      <c r="S3904" s="5">
        <f t="shared" si="182"/>
        <v>-11589.042016806721</v>
      </c>
    </row>
    <row r="3905" spans="1:19" hidden="1" x14ac:dyDescent="0.3">
      <c r="A3905">
        <v>170</v>
      </c>
      <c r="B3905" t="s">
        <v>4809</v>
      </c>
      <c r="C3905" t="s">
        <v>3052</v>
      </c>
      <c r="D3905" s="2" t="s">
        <v>3053</v>
      </c>
      <c r="E3905" t="s">
        <v>2446</v>
      </c>
      <c r="F3905" t="s">
        <v>20</v>
      </c>
      <c r="G3905" t="s">
        <v>21</v>
      </c>
      <c r="H3905" t="s">
        <v>1286</v>
      </c>
      <c r="I3905" t="s">
        <v>23</v>
      </c>
      <c r="J3905" t="s">
        <v>40</v>
      </c>
      <c r="K3905" s="2" t="s">
        <v>1744</v>
      </c>
      <c r="L3905" t="s">
        <v>26</v>
      </c>
      <c r="M3905">
        <v>336818</v>
      </c>
      <c r="N3905">
        <v>1</v>
      </c>
      <c r="O3905" s="3">
        <v>69950</v>
      </c>
      <c r="P3905" s="3">
        <v>19604</v>
      </c>
      <c r="Q3905" s="5">
        <f t="shared" si="180"/>
        <v>58781.512605042022</v>
      </c>
      <c r="R3905" s="5">
        <f t="shared" si="181"/>
        <v>19604</v>
      </c>
      <c r="S3905" s="5">
        <f t="shared" si="182"/>
        <v>39177.512605042022</v>
      </c>
    </row>
    <row r="3906" spans="1:19" hidden="1" x14ac:dyDescent="0.3">
      <c r="A3906">
        <v>170</v>
      </c>
      <c r="B3906" t="s">
        <v>4809</v>
      </c>
      <c r="C3906" t="s">
        <v>3341</v>
      </c>
      <c r="D3906" s="2" t="s">
        <v>3342</v>
      </c>
      <c r="E3906" t="s">
        <v>2661</v>
      </c>
      <c r="F3906" t="s">
        <v>20</v>
      </c>
      <c r="G3906" t="s">
        <v>21</v>
      </c>
      <c r="H3906" t="s">
        <v>317</v>
      </c>
      <c r="I3906" t="s">
        <v>23</v>
      </c>
      <c r="J3906" t="s">
        <v>35</v>
      </c>
      <c r="K3906" s="2" t="s">
        <v>1744</v>
      </c>
      <c r="L3906" t="s">
        <v>26</v>
      </c>
      <c r="M3906">
        <v>336819</v>
      </c>
      <c r="N3906">
        <v>1</v>
      </c>
      <c r="O3906" s="3">
        <v>69950</v>
      </c>
      <c r="P3906" s="3">
        <v>25924</v>
      </c>
      <c r="Q3906" s="5">
        <f t="shared" si="180"/>
        <v>58781.512605042022</v>
      </c>
      <c r="R3906" s="5">
        <f t="shared" si="181"/>
        <v>25924</v>
      </c>
      <c r="S3906" s="5">
        <f t="shared" si="182"/>
        <v>32857.512605042022</v>
      </c>
    </row>
    <row r="3907" spans="1:19" hidden="1" x14ac:dyDescent="0.3">
      <c r="A3907">
        <v>170</v>
      </c>
      <c r="B3907" t="s">
        <v>4809</v>
      </c>
      <c r="C3907" t="s">
        <v>4412</v>
      </c>
      <c r="D3907" s="2" t="s">
        <v>4413</v>
      </c>
      <c r="E3907" t="s">
        <v>3195</v>
      </c>
      <c r="F3907" t="s">
        <v>20</v>
      </c>
      <c r="G3907" t="s">
        <v>338</v>
      </c>
      <c r="H3907">
        <v>25366</v>
      </c>
      <c r="I3907" t="s">
        <v>23</v>
      </c>
      <c r="J3907" t="s">
        <v>35</v>
      </c>
      <c r="K3907" s="2" t="s">
        <v>1744</v>
      </c>
      <c r="L3907" t="s">
        <v>26</v>
      </c>
      <c r="M3907">
        <v>336820</v>
      </c>
      <c r="N3907">
        <v>1</v>
      </c>
      <c r="O3907" s="3">
        <v>99950</v>
      </c>
      <c r="P3907" s="3">
        <v>33157</v>
      </c>
      <c r="Q3907" s="5">
        <f t="shared" si="180"/>
        <v>83991.596638655465</v>
      </c>
      <c r="R3907" s="5">
        <f t="shared" si="181"/>
        <v>33157</v>
      </c>
      <c r="S3907" s="5">
        <f t="shared" si="182"/>
        <v>50834.596638655465</v>
      </c>
    </row>
    <row r="3908" spans="1:19" hidden="1" x14ac:dyDescent="0.3">
      <c r="A3908">
        <v>170</v>
      </c>
      <c r="B3908" t="s">
        <v>4809</v>
      </c>
      <c r="C3908" t="s">
        <v>4502</v>
      </c>
      <c r="D3908" s="2" t="s">
        <v>4503</v>
      </c>
      <c r="E3908" t="s">
        <v>3914</v>
      </c>
      <c r="F3908" t="s">
        <v>20</v>
      </c>
      <c r="G3908" t="s">
        <v>338</v>
      </c>
      <c r="H3908">
        <v>24316</v>
      </c>
      <c r="I3908" t="s">
        <v>23</v>
      </c>
      <c r="J3908" t="s">
        <v>49</v>
      </c>
      <c r="K3908" s="2" t="s">
        <v>1744</v>
      </c>
      <c r="L3908" t="s">
        <v>26</v>
      </c>
      <c r="M3908">
        <v>336821</v>
      </c>
      <c r="N3908">
        <v>1</v>
      </c>
      <c r="O3908" s="3">
        <v>74950</v>
      </c>
      <c r="P3908" s="3">
        <v>23473</v>
      </c>
      <c r="Q3908" s="5">
        <f t="shared" si="180"/>
        <v>62983.193277310929</v>
      </c>
      <c r="R3908" s="5">
        <f t="shared" si="181"/>
        <v>23473</v>
      </c>
      <c r="S3908" s="5">
        <f t="shared" si="182"/>
        <v>39510.193277310929</v>
      </c>
    </row>
    <row r="3909" spans="1:19" hidden="1" x14ac:dyDescent="0.3">
      <c r="A3909">
        <v>170</v>
      </c>
      <c r="B3909" t="s">
        <v>4809</v>
      </c>
      <c r="C3909" t="s">
        <v>3341</v>
      </c>
      <c r="D3909" s="2" t="s">
        <v>3342</v>
      </c>
      <c r="E3909" t="s">
        <v>2661</v>
      </c>
      <c r="F3909" t="s">
        <v>20</v>
      </c>
      <c r="G3909" t="s">
        <v>21</v>
      </c>
      <c r="H3909" t="s">
        <v>317</v>
      </c>
      <c r="I3909" t="s">
        <v>23</v>
      </c>
      <c r="J3909" t="s">
        <v>35</v>
      </c>
      <c r="K3909" s="2" t="s">
        <v>1744</v>
      </c>
      <c r="L3909" t="s">
        <v>26</v>
      </c>
      <c r="M3909">
        <v>336822</v>
      </c>
      <c r="N3909">
        <v>1</v>
      </c>
      <c r="O3909" s="3">
        <v>69950</v>
      </c>
      <c r="P3909" s="3">
        <v>25924</v>
      </c>
      <c r="Q3909" s="5">
        <f t="shared" si="180"/>
        <v>58781.512605042022</v>
      </c>
      <c r="R3909" s="5">
        <f t="shared" si="181"/>
        <v>25924</v>
      </c>
      <c r="S3909" s="5">
        <f t="shared" si="182"/>
        <v>32857.512605042022</v>
      </c>
    </row>
    <row r="3910" spans="1:19" hidden="1" x14ac:dyDescent="0.3">
      <c r="A3910">
        <v>170</v>
      </c>
      <c r="B3910" t="s">
        <v>4809</v>
      </c>
      <c r="C3910" t="s">
        <v>2161</v>
      </c>
      <c r="D3910" s="2" t="s">
        <v>2162</v>
      </c>
      <c r="E3910" t="s">
        <v>2163</v>
      </c>
      <c r="F3910" t="s">
        <v>20</v>
      </c>
      <c r="G3910" t="s">
        <v>21</v>
      </c>
      <c r="H3910" t="s">
        <v>970</v>
      </c>
      <c r="I3910" t="s">
        <v>23</v>
      </c>
      <c r="J3910" t="s">
        <v>40</v>
      </c>
      <c r="K3910" s="2" t="s">
        <v>1744</v>
      </c>
      <c r="L3910" t="s">
        <v>26</v>
      </c>
      <c r="M3910">
        <v>336823</v>
      </c>
      <c r="N3910">
        <v>1</v>
      </c>
      <c r="O3910" s="3">
        <v>59950</v>
      </c>
      <c r="P3910" s="3">
        <v>19352</v>
      </c>
      <c r="Q3910" s="5">
        <f t="shared" ref="Q3910:Q3973" si="183">O3910/1.19</f>
        <v>50378.151260504201</v>
      </c>
      <c r="R3910" s="5">
        <f t="shared" ref="R3910:R3973" si="184">N3910*P3910</f>
        <v>19352</v>
      </c>
      <c r="S3910" s="5">
        <f t="shared" ref="S3910:S3973" si="185">Q3910-R3910</f>
        <v>31026.151260504201</v>
      </c>
    </row>
    <row r="3911" spans="1:19" hidden="1" x14ac:dyDescent="0.3">
      <c r="A3911">
        <v>170</v>
      </c>
      <c r="B3911" t="s">
        <v>4809</v>
      </c>
      <c r="C3911" t="s">
        <v>2955</v>
      </c>
      <c r="D3911" s="2" t="s">
        <v>2956</v>
      </c>
      <c r="E3911" t="s">
        <v>1758</v>
      </c>
      <c r="F3911" t="s">
        <v>20</v>
      </c>
      <c r="G3911" t="s">
        <v>338</v>
      </c>
      <c r="H3911">
        <v>25133</v>
      </c>
      <c r="I3911" t="s">
        <v>23</v>
      </c>
      <c r="J3911" t="s">
        <v>35</v>
      </c>
      <c r="K3911" s="2" t="s">
        <v>1744</v>
      </c>
      <c r="L3911" t="s">
        <v>26</v>
      </c>
      <c r="M3911">
        <v>336824</v>
      </c>
      <c r="N3911">
        <v>1</v>
      </c>
      <c r="O3911" s="3">
        <v>74950</v>
      </c>
      <c r="P3911" s="3">
        <v>21167</v>
      </c>
      <c r="Q3911" s="5">
        <f t="shared" si="183"/>
        <v>62983.193277310929</v>
      </c>
      <c r="R3911" s="5">
        <f t="shared" si="184"/>
        <v>21167</v>
      </c>
      <c r="S3911" s="5">
        <f t="shared" si="185"/>
        <v>41816.193277310929</v>
      </c>
    </row>
    <row r="3912" spans="1:19" hidden="1" x14ac:dyDescent="0.3">
      <c r="A3912">
        <v>170</v>
      </c>
      <c r="B3912" t="s">
        <v>4809</v>
      </c>
      <c r="C3912" t="s">
        <v>4554</v>
      </c>
      <c r="D3912" s="2" t="s">
        <v>4555</v>
      </c>
      <c r="E3912" t="s">
        <v>4556</v>
      </c>
      <c r="F3912" t="s">
        <v>20</v>
      </c>
      <c r="G3912" t="s">
        <v>21</v>
      </c>
      <c r="H3912" t="s">
        <v>1987</v>
      </c>
      <c r="I3912" t="s">
        <v>23</v>
      </c>
      <c r="J3912" t="s">
        <v>35</v>
      </c>
      <c r="K3912" s="2" t="s">
        <v>1744</v>
      </c>
      <c r="L3912" t="s">
        <v>26</v>
      </c>
      <c r="M3912">
        <v>336825</v>
      </c>
      <c r="N3912">
        <v>1</v>
      </c>
      <c r="O3912" s="3">
        <v>89950</v>
      </c>
      <c r="P3912" s="3">
        <v>29858</v>
      </c>
      <c r="Q3912" s="5">
        <f t="shared" si="183"/>
        <v>75588.23529411765</v>
      </c>
      <c r="R3912" s="5">
        <f t="shared" si="184"/>
        <v>29858</v>
      </c>
      <c r="S3912" s="5">
        <f t="shared" si="185"/>
        <v>45730.23529411765</v>
      </c>
    </row>
    <row r="3913" spans="1:19" hidden="1" x14ac:dyDescent="0.3">
      <c r="A3913">
        <v>170</v>
      </c>
      <c r="B3913" t="s">
        <v>4809</v>
      </c>
      <c r="C3913" t="s">
        <v>1037</v>
      </c>
      <c r="D3913" s="2" t="s">
        <v>1038</v>
      </c>
      <c r="E3913" t="s">
        <v>1039</v>
      </c>
      <c r="F3913" t="s">
        <v>377</v>
      </c>
      <c r="G3913" t="s">
        <v>21</v>
      </c>
      <c r="H3913" t="s">
        <v>378</v>
      </c>
      <c r="I3913" t="s">
        <v>23</v>
      </c>
      <c r="J3913" t="s">
        <v>379</v>
      </c>
      <c r="K3913" s="2" t="s">
        <v>1744</v>
      </c>
      <c r="L3913" t="s">
        <v>26</v>
      </c>
      <c r="M3913">
        <v>336825</v>
      </c>
      <c r="N3913">
        <v>1</v>
      </c>
      <c r="O3913" s="3">
        <v>5950</v>
      </c>
      <c r="P3913" s="3">
        <v>3257</v>
      </c>
      <c r="Q3913" s="5">
        <f t="shared" si="183"/>
        <v>5000</v>
      </c>
      <c r="R3913" s="5">
        <f t="shared" si="184"/>
        <v>3257</v>
      </c>
      <c r="S3913" s="5">
        <f t="shared" si="185"/>
        <v>1743</v>
      </c>
    </row>
    <row r="3914" spans="1:19" hidden="1" x14ac:dyDescent="0.3">
      <c r="A3914">
        <v>170</v>
      </c>
      <c r="B3914" t="s">
        <v>4809</v>
      </c>
      <c r="C3914" t="s">
        <v>5354</v>
      </c>
      <c r="D3914" s="2" t="s">
        <v>5355</v>
      </c>
      <c r="E3914" t="s">
        <v>2428</v>
      </c>
      <c r="F3914" t="s">
        <v>20</v>
      </c>
      <c r="G3914" t="s">
        <v>21</v>
      </c>
      <c r="H3914" t="s">
        <v>2315</v>
      </c>
      <c r="I3914" t="s">
        <v>23</v>
      </c>
      <c r="J3914" t="s">
        <v>35</v>
      </c>
      <c r="K3914" s="2" t="s">
        <v>1744</v>
      </c>
      <c r="L3914" t="s">
        <v>26</v>
      </c>
      <c r="M3914">
        <v>336826</v>
      </c>
      <c r="N3914">
        <v>1</v>
      </c>
      <c r="O3914" s="3">
        <v>76450</v>
      </c>
      <c r="P3914" s="3">
        <v>30749</v>
      </c>
      <c r="Q3914" s="5">
        <f t="shared" si="183"/>
        <v>64243.697478991598</v>
      </c>
      <c r="R3914" s="5">
        <f t="shared" si="184"/>
        <v>30749</v>
      </c>
      <c r="S3914" s="5">
        <f t="shared" si="185"/>
        <v>33494.697478991598</v>
      </c>
    </row>
    <row r="3915" spans="1:19" hidden="1" x14ac:dyDescent="0.3">
      <c r="A3915">
        <v>170</v>
      </c>
      <c r="B3915" t="s">
        <v>4809</v>
      </c>
      <c r="C3915" t="s">
        <v>5356</v>
      </c>
      <c r="D3915" s="2" t="s">
        <v>5357</v>
      </c>
      <c r="E3915" t="s">
        <v>4954</v>
      </c>
      <c r="F3915" t="s">
        <v>20</v>
      </c>
      <c r="G3915" t="s">
        <v>338</v>
      </c>
      <c r="H3915">
        <v>23624</v>
      </c>
      <c r="I3915" t="s">
        <v>23</v>
      </c>
      <c r="J3915" t="s">
        <v>40</v>
      </c>
      <c r="K3915" s="2" t="s">
        <v>1744</v>
      </c>
      <c r="L3915" t="s">
        <v>26</v>
      </c>
      <c r="M3915">
        <v>336826</v>
      </c>
      <c r="N3915">
        <v>1</v>
      </c>
      <c r="O3915" s="3">
        <v>69990</v>
      </c>
      <c r="P3915" s="3">
        <v>24718</v>
      </c>
      <c r="Q3915" s="5">
        <f t="shared" si="183"/>
        <v>58815.126050420171</v>
      </c>
      <c r="R3915" s="5">
        <f t="shared" si="184"/>
        <v>24718</v>
      </c>
      <c r="S3915" s="5">
        <f t="shared" si="185"/>
        <v>34097.126050420171</v>
      </c>
    </row>
    <row r="3916" spans="1:19" hidden="1" x14ac:dyDescent="0.3">
      <c r="A3916">
        <v>170</v>
      </c>
      <c r="B3916" t="s">
        <v>4809</v>
      </c>
      <c r="C3916" t="s">
        <v>76</v>
      </c>
      <c r="D3916" s="2" t="s">
        <v>77</v>
      </c>
      <c r="E3916" t="s">
        <v>78</v>
      </c>
      <c r="F3916" t="s">
        <v>20</v>
      </c>
      <c r="G3916" t="s">
        <v>21</v>
      </c>
      <c r="H3916" t="s">
        <v>79</v>
      </c>
      <c r="I3916" t="s">
        <v>23</v>
      </c>
      <c r="J3916" t="s">
        <v>49</v>
      </c>
      <c r="K3916" s="2" t="s">
        <v>1744</v>
      </c>
      <c r="L3916" t="s">
        <v>26</v>
      </c>
      <c r="M3916">
        <v>336827</v>
      </c>
      <c r="N3916">
        <v>-1</v>
      </c>
      <c r="O3916" s="3">
        <v>-39990</v>
      </c>
      <c r="P3916" s="3">
        <v>28298</v>
      </c>
      <c r="Q3916" s="5">
        <f t="shared" si="183"/>
        <v>-33605.042016806721</v>
      </c>
      <c r="R3916" s="5">
        <f t="shared" si="184"/>
        <v>-28298</v>
      </c>
      <c r="S3916" s="5">
        <f t="shared" si="185"/>
        <v>-5307.0420168067212</v>
      </c>
    </row>
    <row r="3917" spans="1:19" hidden="1" x14ac:dyDescent="0.3">
      <c r="A3917">
        <v>170</v>
      </c>
      <c r="B3917" t="s">
        <v>4809</v>
      </c>
      <c r="C3917" t="s">
        <v>5358</v>
      </c>
      <c r="D3917" s="2" t="s">
        <v>5359</v>
      </c>
      <c r="E3917" t="s">
        <v>78</v>
      </c>
      <c r="F3917" t="s">
        <v>20</v>
      </c>
      <c r="G3917" t="s">
        <v>21</v>
      </c>
      <c r="H3917" t="s">
        <v>79</v>
      </c>
      <c r="I3917" t="s">
        <v>23</v>
      </c>
      <c r="J3917" t="s">
        <v>49</v>
      </c>
      <c r="K3917" s="2" t="s">
        <v>1744</v>
      </c>
      <c r="L3917" t="s">
        <v>26</v>
      </c>
      <c r="M3917">
        <v>336827</v>
      </c>
      <c r="N3917">
        <v>1</v>
      </c>
      <c r="O3917" s="3">
        <v>39991</v>
      </c>
      <c r="P3917" s="3">
        <v>28795</v>
      </c>
      <c r="Q3917" s="5">
        <f t="shared" si="183"/>
        <v>33605.882352941175</v>
      </c>
      <c r="R3917" s="5">
        <f t="shared" si="184"/>
        <v>28795</v>
      </c>
      <c r="S3917" s="5">
        <f t="shared" si="185"/>
        <v>4810.8823529411748</v>
      </c>
    </row>
    <row r="3918" spans="1:19" hidden="1" x14ac:dyDescent="0.3">
      <c r="A3918">
        <v>170</v>
      </c>
      <c r="B3918" t="s">
        <v>4809</v>
      </c>
      <c r="C3918" t="s">
        <v>1707</v>
      </c>
      <c r="D3918" s="2" t="s">
        <v>1708</v>
      </c>
      <c r="E3918" t="s">
        <v>1709</v>
      </c>
      <c r="F3918" t="s">
        <v>20</v>
      </c>
      <c r="G3918" t="s">
        <v>21</v>
      </c>
      <c r="H3918" t="s">
        <v>970</v>
      </c>
      <c r="I3918" t="s">
        <v>23</v>
      </c>
      <c r="J3918" t="s">
        <v>40</v>
      </c>
      <c r="K3918" s="2" t="s">
        <v>1744</v>
      </c>
      <c r="L3918" t="s">
        <v>26</v>
      </c>
      <c r="M3918">
        <v>336828</v>
      </c>
      <c r="N3918">
        <v>1</v>
      </c>
      <c r="O3918" s="3">
        <v>49990</v>
      </c>
      <c r="P3918" s="3">
        <v>18897</v>
      </c>
      <c r="Q3918" s="5">
        <f t="shared" si="183"/>
        <v>42008.403361344543</v>
      </c>
      <c r="R3918" s="5">
        <f t="shared" si="184"/>
        <v>18897</v>
      </c>
      <c r="S3918" s="5">
        <f t="shared" si="185"/>
        <v>23111.403361344543</v>
      </c>
    </row>
    <row r="3919" spans="1:19" hidden="1" x14ac:dyDescent="0.3">
      <c r="A3919">
        <v>170</v>
      </c>
      <c r="B3919" t="s">
        <v>4809</v>
      </c>
      <c r="C3919" t="s">
        <v>3885</v>
      </c>
      <c r="D3919" s="2" t="s">
        <v>3886</v>
      </c>
      <c r="E3919" t="s">
        <v>2986</v>
      </c>
      <c r="F3919" t="s">
        <v>20</v>
      </c>
      <c r="G3919" t="s">
        <v>21</v>
      </c>
      <c r="H3919" t="s">
        <v>267</v>
      </c>
      <c r="I3919" t="s">
        <v>23</v>
      </c>
      <c r="J3919" t="s">
        <v>35</v>
      </c>
      <c r="K3919" s="2" t="s">
        <v>1744</v>
      </c>
      <c r="L3919" t="s">
        <v>26</v>
      </c>
      <c r="M3919">
        <v>336829</v>
      </c>
      <c r="N3919">
        <v>1</v>
      </c>
      <c r="O3919" s="3">
        <v>59990</v>
      </c>
      <c r="P3919" s="3">
        <v>24733</v>
      </c>
      <c r="Q3919" s="5">
        <f t="shared" si="183"/>
        <v>50411.764705882357</v>
      </c>
      <c r="R3919" s="5">
        <f t="shared" si="184"/>
        <v>24733</v>
      </c>
      <c r="S3919" s="5">
        <f t="shared" si="185"/>
        <v>25678.764705882357</v>
      </c>
    </row>
    <row r="3920" spans="1:19" hidden="1" x14ac:dyDescent="0.3">
      <c r="A3920">
        <v>170</v>
      </c>
      <c r="B3920" t="s">
        <v>4809</v>
      </c>
      <c r="C3920" t="s">
        <v>5360</v>
      </c>
      <c r="D3920" s="2" t="s">
        <v>5361</v>
      </c>
      <c r="E3920" t="s">
        <v>2195</v>
      </c>
      <c r="F3920" t="s">
        <v>20</v>
      </c>
      <c r="G3920" t="s">
        <v>338</v>
      </c>
      <c r="H3920">
        <v>24722</v>
      </c>
      <c r="I3920" t="s">
        <v>23</v>
      </c>
      <c r="J3920" t="s">
        <v>95</v>
      </c>
      <c r="K3920" s="2" t="s">
        <v>1744</v>
      </c>
      <c r="L3920" t="s">
        <v>26</v>
      </c>
      <c r="M3920">
        <v>336830</v>
      </c>
      <c r="N3920">
        <v>1</v>
      </c>
      <c r="O3920" s="3">
        <v>89950</v>
      </c>
      <c r="P3920" s="3">
        <v>30987</v>
      </c>
      <c r="Q3920" s="5">
        <f t="shared" si="183"/>
        <v>75588.23529411765</v>
      </c>
      <c r="R3920" s="5">
        <f t="shared" si="184"/>
        <v>30987</v>
      </c>
      <c r="S3920" s="5">
        <f t="shared" si="185"/>
        <v>44601.23529411765</v>
      </c>
    </row>
    <row r="3921" spans="1:19" hidden="1" x14ac:dyDescent="0.3">
      <c r="A3921">
        <v>170</v>
      </c>
      <c r="B3921" t="s">
        <v>4809</v>
      </c>
      <c r="C3921" t="s">
        <v>1037</v>
      </c>
      <c r="D3921" s="2" t="s">
        <v>1038</v>
      </c>
      <c r="E3921" t="s">
        <v>1039</v>
      </c>
      <c r="F3921" t="s">
        <v>377</v>
      </c>
      <c r="G3921" t="s">
        <v>21</v>
      </c>
      <c r="H3921" t="s">
        <v>378</v>
      </c>
      <c r="I3921" t="s">
        <v>23</v>
      </c>
      <c r="J3921" t="s">
        <v>379</v>
      </c>
      <c r="K3921" s="2" t="s">
        <v>1744</v>
      </c>
      <c r="L3921" t="s">
        <v>26</v>
      </c>
      <c r="M3921">
        <v>336831</v>
      </c>
      <c r="N3921">
        <v>1</v>
      </c>
      <c r="O3921" s="3">
        <v>5950</v>
      </c>
      <c r="P3921" s="3">
        <v>3257</v>
      </c>
      <c r="Q3921" s="5">
        <f t="shared" si="183"/>
        <v>5000</v>
      </c>
      <c r="R3921" s="5">
        <f t="shared" si="184"/>
        <v>3257</v>
      </c>
      <c r="S3921" s="5">
        <f t="shared" si="185"/>
        <v>1743</v>
      </c>
    </row>
    <row r="3922" spans="1:19" hidden="1" x14ac:dyDescent="0.3">
      <c r="A3922">
        <v>170</v>
      </c>
      <c r="B3922" t="s">
        <v>4809</v>
      </c>
      <c r="C3922" t="s">
        <v>5303</v>
      </c>
      <c r="D3922" s="2" t="s">
        <v>5304</v>
      </c>
      <c r="E3922" t="s">
        <v>4846</v>
      </c>
      <c r="F3922" t="s">
        <v>20</v>
      </c>
      <c r="G3922" t="s">
        <v>21</v>
      </c>
      <c r="H3922" t="s">
        <v>3128</v>
      </c>
      <c r="I3922" t="s">
        <v>23</v>
      </c>
      <c r="J3922" t="s">
        <v>49</v>
      </c>
      <c r="K3922" s="2" t="s">
        <v>1744</v>
      </c>
      <c r="L3922" t="s">
        <v>26</v>
      </c>
      <c r="M3922">
        <v>336832</v>
      </c>
      <c r="N3922">
        <v>1</v>
      </c>
      <c r="O3922" s="3">
        <v>79950</v>
      </c>
      <c r="P3922" s="3">
        <v>29986</v>
      </c>
      <c r="Q3922" s="5">
        <f t="shared" si="183"/>
        <v>67184.873949579836</v>
      </c>
      <c r="R3922" s="5">
        <f t="shared" si="184"/>
        <v>29986</v>
      </c>
      <c r="S3922" s="5">
        <f t="shared" si="185"/>
        <v>37198.873949579836</v>
      </c>
    </row>
    <row r="3923" spans="1:19" hidden="1" x14ac:dyDescent="0.3">
      <c r="A3923">
        <v>170</v>
      </c>
      <c r="B3923" t="s">
        <v>4809</v>
      </c>
      <c r="C3923" t="s">
        <v>2739</v>
      </c>
      <c r="D3923" s="2" t="s">
        <v>2740</v>
      </c>
      <c r="E3923" t="s">
        <v>2741</v>
      </c>
      <c r="F3923" t="s">
        <v>20</v>
      </c>
      <c r="G3923" t="s">
        <v>21</v>
      </c>
      <c r="H3923" t="s">
        <v>2494</v>
      </c>
      <c r="I3923" t="s">
        <v>23</v>
      </c>
      <c r="J3923" t="s">
        <v>40</v>
      </c>
      <c r="K3923" s="2" t="s">
        <v>1797</v>
      </c>
      <c r="L3923" t="s">
        <v>26</v>
      </c>
      <c r="M3923">
        <v>336833</v>
      </c>
      <c r="N3923">
        <v>1</v>
      </c>
      <c r="O3923" s="3">
        <v>69950</v>
      </c>
      <c r="P3923" s="3">
        <v>23470</v>
      </c>
      <c r="Q3923" s="5">
        <f t="shared" si="183"/>
        <v>58781.512605042022</v>
      </c>
      <c r="R3923" s="5">
        <f t="shared" si="184"/>
        <v>23470</v>
      </c>
      <c r="S3923" s="5">
        <f t="shared" si="185"/>
        <v>35311.512605042022</v>
      </c>
    </row>
    <row r="3924" spans="1:19" hidden="1" x14ac:dyDescent="0.3">
      <c r="A3924">
        <v>170</v>
      </c>
      <c r="B3924" t="s">
        <v>4809</v>
      </c>
      <c r="C3924" t="s">
        <v>5362</v>
      </c>
      <c r="D3924" s="2" t="s">
        <v>5363</v>
      </c>
      <c r="E3924" t="s">
        <v>3140</v>
      </c>
      <c r="F3924" t="s">
        <v>20</v>
      </c>
      <c r="G3924" t="s">
        <v>21</v>
      </c>
      <c r="H3924" t="s">
        <v>991</v>
      </c>
      <c r="I3924" t="s">
        <v>23</v>
      </c>
      <c r="J3924" t="s">
        <v>49</v>
      </c>
      <c r="K3924" s="2" t="s">
        <v>1797</v>
      </c>
      <c r="L3924" t="s">
        <v>26</v>
      </c>
      <c r="M3924">
        <v>336834</v>
      </c>
      <c r="N3924">
        <v>1</v>
      </c>
      <c r="O3924" s="3">
        <v>54990</v>
      </c>
      <c r="P3924" s="3">
        <v>24470</v>
      </c>
      <c r="Q3924" s="5">
        <f t="shared" si="183"/>
        <v>46210.08403361345</v>
      </c>
      <c r="R3924" s="5">
        <f t="shared" si="184"/>
        <v>24470</v>
      </c>
      <c r="S3924" s="5">
        <f t="shared" si="185"/>
        <v>21740.08403361345</v>
      </c>
    </row>
    <row r="3925" spans="1:19" hidden="1" x14ac:dyDescent="0.3">
      <c r="A3925">
        <v>170</v>
      </c>
      <c r="B3925" t="s">
        <v>4809</v>
      </c>
      <c r="C3925" t="s">
        <v>3821</v>
      </c>
      <c r="D3925" s="2" t="s">
        <v>3822</v>
      </c>
      <c r="E3925" t="s">
        <v>2323</v>
      </c>
      <c r="F3925" t="s">
        <v>20</v>
      </c>
      <c r="G3925" t="s">
        <v>21</v>
      </c>
      <c r="H3925" t="s">
        <v>1887</v>
      </c>
      <c r="I3925" t="s">
        <v>23</v>
      </c>
      <c r="J3925" t="s">
        <v>40</v>
      </c>
      <c r="K3925" s="2" t="s">
        <v>1797</v>
      </c>
      <c r="L3925" t="s">
        <v>26</v>
      </c>
      <c r="M3925">
        <v>336835</v>
      </c>
      <c r="N3925">
        <v>1</v>
      </c>
      <c r="O3925" s="3">
        <v>69950</v>
      </c>
      <c r="P3925" s="3">
        <v>21623</v>
      </c>
      <c r="Q3925" s="5">
        <f t="shared" si="183"/>
        <v>58781.512605042022</v>
      </c>
      <c r="R3925" s="5">
        <f t="shared" si="184"/>
        <v>21623</v>
      </c>
      <c r="S3925" s="5">
        <f t="shared" si="185"/>
        <v>37158.512605042022</v>
      </c>
    </row>
    <row r="3926" spans="1:19" hidden="1" x14ac:dyDescent="0.3">
      <c r="A3926">
        <v>170</v>
      </c>
      <c r="B3926" t="s">
        <v>4809</v>
      </c>
      <c r="C3926" t="s">
        <v>5364</v>
      </c>
      <c r="D3926" s="2" t="s">
        <v>5365</v>
      </c>
      <c r="E3926" t="s">
        <v>2705</v>
      </c>
      <c r="F3926" t="s">
        <v>20</v>
      </c>
      <c r="G3926" t="s">
        <v>21</v>
      </c>
      <c r="H3926" t="s">
        <v>2593</v>
      </c>
      <c r="I3926" t="s">
        <v>23</v>
      </c>
      <c r="J3926" t="s">
        <v>35</v>
      </c>
      <c r="K3926" s="2" t="s">
        <v>1797</v>
      </c>
      <c r="L3926" t="s">
        <v>26</v>
      </c>
      <c r="M3926">
        <v>336836</v>
      </c>
      <c r="N3926">
        <v>1</v>
      </c>
      <c r="O3926" s="3">
        <v>94950</v>
      </c>
      <c r="P3926" s="3">
        <v>34760</v>
      </c>
      <c r="Q3926" s="5">
        <f t="shared" si="183"/>
        <v>79789.915966386558</v>
      </c>
      <c r="R3926" s="5">
        <f t="shared" si="184"/>
        <v>34760</v>
      </c>
      <c r="S3926" s="5">
        <f t="shared" si="185"/>
        <v>45029.915966386558</v>
      </c>
    </row>
    <row r="3927" spans="1:19" hidden="1" x14ac:dyDescent="0.3">
      <c r="A3927">
        <v>170</v>
      </c>
      <c r="B3927" t="s">
        <v>4809</v>
      </c>
      <c r="C3927" t="s">
        <v>5239</v>
      </c>
      <c r="D3927" s="2" t="s">
        <v>5240</v>
      </c>
      <c r="E3927" t="s">
        <v>5132</v>
      </c>
      <c r="F3927" t="s">
        <v>20</v>
      </c>
      <c r="G3927" t="s">
        <v>21</v>
      </c>
      <c r="H3927" t="s">
        <v>243</v>
      </c>
      <c r="I3927" t="s">
        <v>23</v>
      </c>
      <c r="J3927" t="s">
        <v>35</v>
      </c>
      <c r="K3927" s="2" t="s">
        <v>1797</v>
      </c>
      <c r="L3927" t="s">
        <v>26</v>
      </c>
      <c r="M3927">
        <v>336837</v>
      </c>
      <c r="N3927">
        <v>1</v>
      </c>
      <c r="O3927" s="3">
        <v>99950</v>
      </c>
      <c r="P3927" s="3">
        <v>53269</v>
      </c>
      <c r="Q3927" s="5">
        <f t="shared" si="183"/>
        <v>83991.596638655465</v>
      </c>
      <c r="R3927" s="5">
        <f t="shared" si="184"/>
        <v>53269</v>
      </c>
      <c r="S3927" s="5">
        <f t="shared" si="185"/>
        <v>30722.596638655465</v>
      </c>
    </row>
    <row r="3928" spans="1:19" hidden="1" x14ac:dyDescent="0.3">
      <c r="A3928">
        <v>170</v>
      </c>
      <c r="B3928" t="s">
        <v>4809</v>
      </c>
      <c r="C3928" t="s">
        <v>4245</v>
      </c>
      <c r="D3928" s="2" t="s">
        <v>4246</v>
      </c>
      <c r="E3928" t="s">
        <v>3113</v>
      </c>
      <c r="F3928" t="s">
        <v>20</v>
      </c>
      <c r="G3928" t="s">
        <v>338</v>
      </c>
      <c r="H3928">
        <v>25702</v>
      </c>
      <c r="I3928" t="s">
        <v>23</v>
      </c>
      <c r="J3928" t="s">
        <v>35</v>
      </c>
      <c r="K3928" s="2" t="s">
        <v>1797</v>
      </c>
      <c r="L3928" t="s">
        <v>26</v>
      </c>
      <c r="M3928">
        <v>336838</v>
      </c>
      <c r="N3928">
        <v>1</v>
      </c>
      <c r="O3928" s="3">
        <v>93450</v>
      </c>
      <c r="P3928" s="3">
        <v>34974</v>
      </c>
      <c r="Q3928" s="5">
        <f t="shared" si="183"/>
        <v>78529.411764705888</v>
      </c>
      <c r="R3928" s="5">
        <f t="shared" si="184"/>
        <v>34974</v>
      </c>
      <c r="S3928" s="5">
        <f t="shared" si="185"/>
        <v>43555.411764705888</v>
      </c>
    </row>
    <row r="3929" spans="1:19" hidden="1" x14ac:dyDescent="0.3">
      <c r="A3929">
        <v>170</v>
      </c>
      <c r="B3929" t="s">
        <v>4809</v>
      </c>
      <c r="C3929" t="s">
        <v>2698</v>
      </c>
      <c r="D3929" s="2" t="s">
        <v>2699</v>
      </c>
      <c r="E3929" t="s">
        <v>1758</v>
      </c>
      <c r="F3929" t="s">
        <v>20</v>
      </c>
      <c r="G3929" t="s">
        <v>338</v>
      </c>
      <c r="H3929">
        <v>25133</v>
      </c>
      <c r="I3929" t="s">
        <v>23</v>
      </c>
      <c r="J3929" t="s">
        <v>35</v>
      </c>
      <c r="K3929" s="2" t="s">
        <v>1797</v>
      </c>
      <c r="L3929" t="s">
        <v>26</v>
      </c>
      <c r="M3929">
        <v>336839</v>
      </c>
      <c r="N3929">
        <v>1</v>
      </c>
      <c r="O3929" s="3">
        <v>74950</v>
      </c>
      <c r="P3929" s="3">
        <v>21167</v>
      </c>
      <c r="Q3929" s="5">
        <f t="shared" si="183"/>
        <v>62983.193277310929</v>
      </c>
      <c r="R3929" s="5">
        <f t="shared" si="184"/>
        <v>21167</v>
      </c>
      <c r="S3929" s="5">
        <f t="shared" si="185"/>
        <v>41816.193277310929</v>
      </c>
    </row>
    <row r="3930" spans="1:19" hidden="1" x14ac:dyDescent="0.3">
      <c r="A3930">
        <v>170</v>
      </c>
      <c r="B3930" t="s">
        <v>4809</v>
      </c>
      <c r="C3930" t="s">
        <v>2537</v>
      </c>
      <c r="D3930" s="2" t="s">
        <v>2538</v>
      </c>
      <c r="E3930" t="s">
        <v>2539</v>
      </c>
      <c r="F3930" t="s">
        <v>20</v>
      </c>
      <c r="G3930" t="s">
        <v>21</v>
      </c>
      <c r="H3930" t="s">
        <v>966</v>
      </c>
      <c r="I3930" t="s">
        <v>23</v>
      </c>
      <c r="J3930" t="s">
        <v>35</v>
      </c>
      <c r="K3930" s="2" t="s">
        <v>1797</v>
      </c>
      <c r="L3930" t="s">
        <v>26</v>
      </c>
      <c r="M3930">
        <v>336840</v>
      </c>
      <c r="N3930">
        <v>1</v>
      </c>
      <c r="O3930" s="3">
        <v>74950</v>
      </c>
      <c r="P3930" s="3">
        <v>27299</v>
      </c>
      <c r="Q3930" s="5">
        <f t="shared" si="183"/>
        <v>62983.193277310929</v>
      </c>
      <c r="R3930" s="5">
        <f t="shared" si="184"/>
        <v>27299</v>
      </c>
      <c r="S3930" s="5">
        <f t="shared" si="185"/>
        <v>35684.193277310929</v>
      </c>
    </row>
    <row r="3931" spans="1:19" hidden="1" x14ac:dyDescent="0.3">
      <c r="A3931">
        <v>170</v>
      </c>
      <c r="B3931" t="s">
        <v>4809</v>
      </c>
      <c r="C3931" t="s">
        <v>1149</v>
      </c>
      <c r="D3931" s="2" t="s">
        <v>1150</v>
      </c>
      <c r="E3931" t="s">
        <v>1151</v>
      </c>
      <c r="F3931" t="s">
        <v>20</v>
      </c>
      <c r="G3931" t="s">
        <v>338</v>
      </c>
      <c r="H3931">
        <v>25362</v>
      </c>
      <c r="I3931" t="s">
        <v>23</v>
      </c>
      <c r="J3931" t="s">
        <v>35</v>
      </c>
      <c r="K3931" s="2" t="s">
        <v>1797</v>
      </c>
      <c r="L3931" t="s">
        <v>26</v>
      </c>
      <c r="M3931">
        <v>336841</v>
      </c>
      <c r="N3931">
        <v>1</v>
      </c>
      <c r="O3931" s="3">
        <v>59990</v>
      </c>
      <c r="P3931" s="3">
        <v>23473</v>
      </c>
      <c r="Q3931" s="5">
        <f t="shared" si="183"/>
        <v>50411.764705882357</v>
      </c>
      <c r="R3931" s="5">
        <f t="shared" si="184"/>
        <v>23473</v>
      </c>
      <c r="S3931" s="5">
        <f t="shared" si="185"/>
        <v>26938.764705882357</v>
      </c>
    </row>
    <row r="3932" spans="1:19" hidden="1" x14ac:dyDescent="0.3">
      <c r="A3932">
        <v>170</v>
      </c>
      <c r="B3932" t="s">
        <v>4809</v>
      </c>
      <c r="C3932" t="s">
        <v>2395</v>
      </c>
      <c r="D3932" s="2" t="s">
        <v>2396</v>
      </c>
      <c r="E3932" t="s">
        <v>425</v>
      </c>
      <c r="F3932" t="s">
        <v>20</v>
      </c>
      <c r="G3932" t="s">
        <v>21</v>
      </c>
      <c r="H3932" t="s">
        <v>22</v>
      </c>
      <c r="I3932" t="s">
        <v>23</v>
      </c>
      <c r="J3932" t="s">
        <v>24</v>
      </c>
      <c r="K3932" s="2" t="s">
        <v>1797</v>
      </c>
      <c r="L3932" t="s">
        <v>26</v>
      </c>
      <c r="M3932">
        <v>336842</v>
      </c>
      <c r="N3932">
        <v>1</v>
      </c>
      <c r="O3932" s="3">
        <v>67950</v>
      </c>
      <c r="P3932" s="3">
        <v>27848</v>
      </c>
      <c r="Q3932" s="5">
        <f t="shared" si="183"/>
        <v>57100.840336134454</v>
      </c>
      <c r="R3932" s="5">
        <f t="shared" si="184"/>
        <v>27848</v>
      </c>
      <c r="S3932" s="5">
        <f t="shared" si="185"/>
        <v>29252.840336134454</v>
      </c>
    </row>
    <row r="3933" spans="1:19" hidden="1" x14ac:dyDescent="0.3">
      <c r="A3933">
        <v>170</v>
      </c>
      <c r="B3933" t="s">
        <v>4809</v>
      </c>
      <c r="C3933">
        <v>1687976791</v>
      </c>
      <c r="D3933" s="2" t="s">
        <v>200</v>
      </c>
      <c r="E3933" t="s">
        <v>201</v>
      </c>
      <c r="F3933" t="s">
        <v>201</v>
      </c>
      <c r="G3933" t="s">
        <v>202</v>
      </c>
      <c r="H3933" t="s">
        <v>202</v>
      </c>
      <c r="I3933" t="s">
        <v>23</v>
      </c>
      <c r="J3933" t="s">
        <v>202</v>
      </c>
      <c r="K3933" s="2" t="s">
        <v>1797</v>
      </c>
      <c r="L3933" t="s">
        <v>26</v>
      </c>
      <c r="M3933">
        <v>336842</v>
      </c>
      <c r="N3933">
        <v>1</v>
      </c>
      <c r="O3933">
        <v>1</v>
      </c>
      <c r="P3933">
        <v>1</v>
      </c>
      <c r="Q3933" s="5">
        <f t="shared" si="183"/>
        <v>0.84033613445378152</v>
      </c>
      <c r="R3933" s="5">
        <f t="shared" si="184"/>
        <v>1</v>
      </c>
      <c r="S3933" s="5">
        <f t="shared" si="185"/>
        <v>-0.15966386554621848</v>
      </c>
    </row>
    <row r="3934" spans="1:19" hidden="1" x14ac:dyDescent="0.3">
      <c r="A3934">
        <v>170</v>
      </c>
      <c r="B3934" t="s">
        <v>4809</v>
      </c>
      <c r="C3934" t="s">
        <v>5366</v>
      </c>
      <c r="D3934" s="2" t="s">
        <v>5367</v>
      </c>
      <c r="E3934" t="s">
        <v>4537</v>
      </c>
      <c r="F3934" t="s">
        <v>20</v>
      </c>
      <c r="G3934" t="s">
        <v>21</v>
      </c>
      <c r="H3934" t="s">
        <v>2759</v>
      </c>
      <c r="I3934" t="s">
        <v>23</v>
      </c>
      <c r="J3934" t="s">
        <v>49</v>
      </c>
      <c r="K3934" s="2" t="s">
        <v>1797</v>
      </c>
      <c r="L3934" t="s">
        <v>26</v>
      </c>
      <c r="M3934">
        <v>336843</v>
      </c>
      <c r="N3934">
        <v>1</v>
      </c>
      <c r="O3934" s="3">
        <v>59960</v>
      </c>
      <c r="P3934" s="3">
        <v>33323</v>
      </c>
      <c r="Q3934" s="5">
        <f t="shared" si="183"/>
        <v>50386.554621848743</v>
      </c>
      <c r="R3934" s="5">
        <f t="shared" si="184"/>
        <v>33323</v>
      </c>
      <c r="S3934" s="5">
        <f t="shared" si="185"/>
        <v>17063.554621848743</v>
      </c>
    </row>
    <row r="3935" spans="1:19" hidden="1" x14ac:dyDescent="0.3">
      <c r="A3935">
        <v>170</v>
      </c>
      <c r="B3935" t="s">
        <v>4809</v>
      </c>
      <c r="C3935" t="s">
        <v>3864</v>
      </c>
      <c r="D3935" s="2" t="s">
        <v>3865</v>
      </c>
      <c r="E3935" t="s">
        <v>2069</v>
      </c>
      <c r="F3935" t="s">
        <v>20</v>
      </c>
      <c r="G3935" t="s">
        <v>21</v>
      </c>
      <c r="H3935" t="s">
        <v>2070</v>
      </c>
      <c r="I3935" t="s">
        <v>23</v>
      </c>
      <c r="J3935" t="s">
        <v>35</v>
      </c>
      <c r="K3935" s="2" t="s">
        <v>1797</v>
      </c>
      <c r="L3935" t="s">
        <v>26</v>
      </c>
      <c r="M3935">
        <v>336844</v>
      </c>
      <c r="N3935">
        <v>1</v>
      </c>
      <c r="O3935" s="3">
        <v>89950</v>
      </c>
      <c r="P3935" s="3">
        <v>29635</v>
      </c>
      <c r="Q3935" s="5">
        <f t="shared" si="183"/>
        <v>75588.23529411765</v>
      </c>
      <c r="R3935" s="5">
        <f t="shared" si="184"/>
        <v>29635</v>
      </c>
      <c r="S3935" s="5">
        <f t="shared" si="185"/>
        <v>45953.23529411765</v>
      </c>
    </row>
    <row r="3936" spans="1:19" hidden="1" x14ac:dyDescent="0.3">
      <c r="A3936">
        <v>170</v>
      </c>
      <c r="B3936" t="s">
        <v>4809</v>
      </c>
      <c r="C3936" t="s">
        <v>3615</v>
      </c>
      <c r="D3936" s="2" t="s">
        <v>3616</v>
      </c>
      <c r="E3936" t="s">
        <v>938</v>
      </c>
      <c r="F3936" t="s">
        <v>20</v>
      </c>
      <c r="G3936" t="s">
        <v>21</v>
      </c>
      <c r="H3936" t="s">
        <v>317</v>
      </c>
      <c r="I3936" t="s">
        <v>23</v>
      </c>
      <c r="J3936" t="s">
        <v>35</v>
      </c>
      <c r="K3936" s="2" t="s">
        <v>1797</v>
      </c>
      <c r="L3936" t="s">
        <v>26</v>
      </c>
      <c r="M3936">
        <v>336845</v>
      </c>
      <c r="N3936">
        <v>1</v>
      </c>
      <c r="O3936" s="3">
        <v>69950</v>
      </c>
      <c r="P3936" s="3">
        <v>27213</v>
      </c>
      <c r="Q3936" s="5">
        <f t="shared" si="183"/>
        <v>58781.512605042022</v>
      </c>
      <c r="R3936" s="5">
        <f t="shared" si="184"/>
        <v>27213</v>
      </c>
      <c r="S3936" s="5">
        <f t="shared" si="185"/>
        <v>31568.512605042022</v>
      </c>
    </row>
    <row r="3937" spans="1:19" hidden="1" x14ac:dyDescent="0.3">
      <c r="A3937">
        <v>170</v>
      </c>
      <c r="B3937" t="s">
        <v>4809</v>
      </c>
      <c r="C3937" t="s">
        <v>4899</v>
      </c>
      <c r="D3937" s="2" t="s">
        <v>4900</v>
      </c>
      <c r="E3937" t="s">
        <v>242</v>
      </c>
      <c r="F3937" t="s">
        <v>20</v>
      </c>
      <c r="G3937" t="s">
        <v>21</v>
      </c>
      <c r="H3937" t="s">
        <v>243</v>
      </c>
      <c r="I3937" t="s">
        <v>23</v>
      </c>
      <c r="J3937" t="s">
        <v>35</v>
      </c>
      <c r="K3937" s="2" t="s">
        <v>1797</v>
      </c>
      <c r="L3937" t="s">
        <v>26</v>
      </c>
      <c r="M3937">
        <v>336846</v>
      </c>
      <c r="N3937">
        <v>1</v>
      </c>
      <c r="O3937" s="3">
        <v>109950</v>
      </c>
      <c r="P3937" s="3">
        <v>62858</v>
      </c>
      <c r="Q3937" s="5">
        <f t="shared" si="183"/>
        <v>92394.957983193279</v>
      </c>
      <c r="R3937" s="5">
        <f t="shared" si="184"/>
        <v>62858</v>
      </c>
      <c r="S3937" s="5">
        <f t="shared" si="185"/>
        <v>29536.957983193279</v>
      </c>
    </row>
    <row r="3938" spans="1:19" hidden="1" x14ac:dyDescent="0.3">
      <c r="A3938">
        <v>170</v>
      </c>
      <c r="B3938" t="s">
        <v>4809</v>
      </c>
      <c r="C3938" t="s">
        <v>1911</v>
      </c>
      <c r="D3938" s="2" t="s">
        <v>1912</v>
      </c>
      <c r="E3938" t="s">
        <v>1913</v>
      </c>
      <c r="F3938" t="s">
        <v>20</v>
      </c>
      <c r="G3938" t="s">
        <v>21</v>
      </c>
      <c r="H3938" t="s">
        <v>1914</v>
      </c>
      <c r="I3938" t="s">
        <v>23</v>
      </c>
      <c r="J3938" t="s">
        <v>35</v>
      </c>
      <c r="K3938" s="2" t="s">
        <v>1797</v>
      </c>
      <c r="L3938" t="s">
        <v>26</v>
      </c>
      <c r="M3938">
        <v>336847</v>
      </c>
      <c r="N3938">
        <v>1</v>
      </c>
      <c r="O3938" s="3">
        <v>89950</v>
      </c>
      <c r="P3938" s="3">
        <v>28298</v>
      </c>
      <c r="Q3938" s="5">
        <f t="shared" si="183"/>
        <v>75588.23529411765</v>
      </c>
      <c r="R3938" s="5">
        <f t="shared" si="184"/>
        <v>28298</v>
      </c>
      <c r="S3938" s="5">
        <f t="shared" si="185"/>
        <v>47290.23529411765</v>
      </c>
    </row>
    <row r="3939" spans="1:19" hidden="1" x14ac:dyDescent="0.3">
      <c r="A3939">
        <v>170</v>
      </c>
      <c r="B3939" t="s">
        <v>4809</v>
      </c>
      <c r="C3939" t="s">
        <v>4660</v>
      </c>
      <c r="D3939" s="2" t="s">
        <v>4661</v>
      </c>
      <c r="E3939" t="s">
        <v>4662</v>
      </c>
      <c r="F3939" t="s">
        <v>20</v>
      </c>
      <c r="G3939" t="s">
        <v>21</v>
      </c>
      <c r="H3939" t="s">
        <v>2745</v>
      </c>
      <c r="I3939" t="s">
        <v>23</v>
      </c>
      <c r="J3939" t="s">
        <v>35</v>
      </c>
      <c r="K3939" s="2" t="s">
        <v>1797</v>
      </c>
      <c r="L3939" t="s">
        <v>26</v>
      </c>
      <c r="M3939">
        <v>336847</v>
      </c>
      <c r="N3939">
        <v>1</v>
      </c>
      <c r="O3939" s="3">
        <v>84950</v>
      </c>
      <c r="P3939" s="3">
        <v>33200</v>
      </c>
      <c r="Q3939" s="5">
        <f t="shared" si="183"/>
        <v>71386.554621848743</v>
      </c>
      <c r="R3939" s="5">
        <f t="shared" si="184"/>
        <v>33200</v>
      </c>
      <c r="S3939" s="5">
        <f t="shared" si="185"/>
        <v>38186.554621848743</v>
      </c>
    </row>
    <row r="3940" spans="1:19" hidden="1" x14ac:dyDescent="0.3">
      <c r="A3940">
        <v>170</v>
      </c>
      <c r="B3940" t="s">
        <v>4809</v>
      </c>
      <c r="C3940" t="s">
        <v>1037</v>
      </c>
      <c r="D3940" s="2" t="s">
        <v>1038</v>
      </c>
      <c r="E3940" t="s">
        <v>1039</v>
      </c>
      <c r="F3940" t="s">
        <v>377</v>
      </c>
      <c r="G3940" t="s">
        <v>21</v>
      </c>
      <c r="H3940" t="s">
        <v>378</v>
      </c>
      <c r="I3940" t="s">
        <v>23</v>
      </c>
      <c r="J3940" t="s">
        <v>379</v>
      </c>
      <c r="K3940" s="2" t="s">
        <v>1797</v>
      </c>
      <c r="L3940" t="s">
        <v>26</v>
      </c>
      <c r="M3940">
        <v>336848</v>
      </c>
      <c r="N3940">
        <v>1</v>
      </c>
      <c r="O3940" s="3">
        <v>5950</v>
      </c>
      <c r="P3940" s="3">
        <v>3257</v>
      </c>
      <c r="Q3940" s="5">
        <f t="shared" si="183"/>
        <v>5000</v>
      </c>
      <c r="R3940" s="5">
        <f t="shared" si="184"/>
        <v>3257</v>
      </c>
      <c r="S3940" s="5">
        <f t="shared" si="185"/>
        <v>1743</v>
      </c>
    </row>
    <row r="3941" spans="1:19" hidden="1" x14ac:dyDescent="0.3">
      <c r="A3941">
        <v>170</v>
      </c>
      <c r="B3941" t="s">
        <v>4809</v>
      </c>
      <c r="C3941" t="s">
        <v>5368</v>
      </c>
      <c r="D3941" s="2" t="s">
        <v>5369</v>
      </c>
      <c r="E3941" t="s">
        <v>4166</v>
      </c>
      <c r="F3941" t="s">
        <v>20</v>
      </c>
      <c r="G3941" t="s">
        <v>338</v>
      </c>
      <c r="H3941">
        <v>25918</v>
      </c>
      <c r="I3941" t="s">
        <v>23</v>
      </c>
      <c r="J3941" t="s">
        <v>35</v>
      </c>
      <c r="K3941" s="2" t="s">
        <v>1797</v>
      </c>
      <c r="L3941" t="s">
        <v>26</v>
      </c>
      <c r="M3941">
        <v>336849</v>
      </c>
      <c r="N3941">
        <v>1</v>
      </c>
      <c r="O3941" s="3">
        <v>89950</v>
      </c>
      <c r="P3941" s="3">
        <v>27207</v>
      </c>
      <c r="Q3941" s="5">
        <f t="shared" si="183"/>
        <v>75588.23529411765</v>
      </c>
      <c r="R3941" s="5">
        <f t="shared" si="184"/>
        <v>27207</v>
      </c>
      <c r="S3941" s="5">
        <f t="shared" si="185"/>
        <v>48381.23529411765</v>
      </c>
    </row>
    <row r="3942" spans="1:19" hidden="1" x14ac:dyDescent="0.3">
      <c r="A3942">
        <v>170</v>
      </c>
      <c r="B3942" t="s">
        <v>4809</v>
      </c>
      <c r="C3942" t="s">
        <v>2908</v>
      </c>
      <c r="D3942" s="2" t="s">
        <v>2909</v>
      </c>
      <c r="E3942" t="s">
        <v>2910</v>
      </c>
      <c r="F3942" t="s">
        <v>20</v>
      </c>
      <c r="G3942" t="s">
        <v>338</v>
      </c>
      <c r="H3942">
        <v>25212</v>
      </c>
      <c r="I3942" t="s">
        <v>23</v>
      </c>
      <c r="J3942" t="s">
        <v>35</v>
      </c>
      <c r="K3942" s="2" t="s">
        <v>1797</v>
      </c>
      <c r="L3942" t="s">
        <v>26</v>
      </c>
      <c r="M3942">
        <v>336850</v>
      </c>
      <c r="N3942">
        <v>1</v>
      </c>
      <c r="O3942" s="3">
        <v>109950</v>
      </c>
      <c r="P3942" s="3">
        <v>34157</v>
      </c>
      <c r="Q3942" s="5">
        <f t="shared" si="183"/>
        <v>92394.957983193279</v>
      </c>
      <c r="R3942" s="5">
        <f t="shared" si="184"/>
        <v>34157</v>
      </c>
      <c r="S3942" s="5">
        <f t="shared" si="185"/>
        <v>58237.957983193279</v>
      </c>
    </row>
    <row r="3943" spans="1:19" hidden="1" x14ac:dyDescent="0.3">
      <c r="A3943">
        <v>170</v>
      </c>
      <c r="B3943" t="s">
        <v>4809</v>
      </c>
      <c r="C3943" t="s">
        <v>279</v>
      </c>
      <c r="D3943" s="2" t="s">
        <v>280</v>
      </c>
      <c r="E3943" t="s">
        <v>281</v>
      </c>
      <c r="F3943" t="s">
        <v>20</v>
      </c>
      <c r="G3943" t="s">
        <v>21</v>
      </c>
      <c r="H3943" t="s">
        <v>122</v>
      </c>
      <c r="I3943" t="s">
        <v>23</v>
      </c>
      <c r="J3943" t="s">
        <v>35</v>
      </c>
      <c r="K3943" s="2" t="s">
        <v>1797</v>
      </c>
      <c r="L3943" t="s">
        <v>26</v>
      </c>
      <c r="M3943">
        <v>336851</v>
      </c>
      <c r="N3943">
        <v>-1</v>
      </c>
      <c r="O3943" s="3">
        <v>-49990</v>
      </c>
      <c r="P3943" s="3">
        <v>31952</v>
      </c>
      <c r="Q3943" s="5">
        <f t="shared" si="183"/>
        <v>-42008.403361344543</v>
      </c>
      <c r="R3943" s="5">
        <f t="shared" si="184"/>
        <v>-31952</v>
      </c>
      <c r="S3943" s="5">
        <f t="shared" si="185"/>
        <v>-10056.403361344543</v>
      </c>
    </row>
    <row r="3944" spans="1:19" hidden="1" x14ac:dyDescent="0.3">
      <c r="A3944">
        <v>170</v>
      </c>
      <c r="B3944" t="s">
        <v>4809</v>
      </c>
      <c r="C3944" t="s">
        <v>2722</v>
      </c>
      <c r="D3944" s="2" t="s">
        <v>2723</v>
      </c>
      <c r="E3944" t="s">
        <v>2340</v>
      </c>
      <c r="F3944" t="s">
        <v>20</v>
      </c>
      <c r="G3944" t="s">
        <v>21</v>
      </c>
      <c r="H3944" t="s">
        <v>1914</v>
      </c>
      <c r="I3944" t="s">
        <v>23</v>
      </c>
      <c r="J3944" t="s">
        <v>35</v>
      </c>
      <c r="K3944" s="2" t="s">
        <v>1797</v>
      </c>
      <c r="L3944" t="s">
        <v>26</v>
      </c>
      <c r="M3944">
        <v>336851</v>
      </c>
      <c r="N3944">
        <v>1</v>
      </c>
      <c r="O3944" s="3">
        <v>89950</v>
      </c>
      <c r="P3944" s="3">
        <v>27630</v>
      </c>
      <c r="Q3944" s="5">
        <f t="shared" si="183"/>
        <v>75588.23529411765</v>
      </c>
      <c r="R3944" s="5">
        <f t="shared" si="184"/>
        <v>27630</v>
      </c>
      <c r="S3944" s="5">
        <f t="shared" si="185"/>
        <v>47958.23529411765</v>
      </c>
    </row>
    <row r="3945" spans="1:19" hidden="1" x14ac:dyDescent="0.3">
      <c r="A3945">
        <v>170</v>
      </c>
      <c r="B3945" t="s">
        <v>4809</v>
      </c>
      <c r="C3945" t="s">
        <v>5328</v>
      </c>
      <c r="D3945" s="2" t="s">
        <v>5329</v>
      </c>
      <c r="E3945" t="s">
        <v>2959</v>
      </c>
      <c r="F3945" t="s">
        <v>20</v>
      </c>
      <c r="G3945" t="s">
        <v>338</v>
      </c>
      <c r="H3945">
        <v>25529</v>
      </c>
      <c r="I3945" t="s">
        <v>23</v>
      </c>
      <c r="J3945" t="s">
        <v>31</v>
      </c>
      <c r="K3945" s="2" t="s">
        <v>1797</v>
      </c>
      <c r="L3945" t="s">
        <v>26</v>
      </c>
      <c r="M3945">
        <v>336852</v>
      </c>
      <c r="N3945">
        <v>1</v>
      </c>
      <c r="O3945" s="3">
        <v>149950</v>
      </c>
      <c r="P3945" s="3">
        <v>50690</v>
      </c>
      <c r="Q3945" s="5">
        <f t="shared" si="183"/>
        <v>126008.40336134455</v>
      </c>
      <c r="R3945" s="5">
        <f t="shared" si="184"/>
        <v>50690</v>
      </c>
      <c r="S3945" s="5">
        <f t="shared" si="185"/>
        <v>75318.40336134455</v>
      </c>
    </row>
    <row r="3946" spans="1:19" hidden="1" x14ac:dyDescent="0.3">
      <c r="A3946">
        <v>170</v>
      </c>
      <c r="B3946" t="s">
        <v>4809</v>
      </c>
      <c r="C3946" t="s">
        <v>3419</v>
      </c>
      <c r="D3946" s="2" t="s">
        <v>3420</v>
      </c>
      <c r="E3946" t="s">
        <v>3421</v>
      </c>
      <c r="F3946" t="s">
        <v>20</v>
      </c>
      <c r="G3946" t="s">
        <v>21</v>
      </c>
      <c r="H3946" t="s">
        <v>1755</v>
      </c>
      <c r="I3946" t="s">
        <v>23</v>
      </c>
      <c r="J3946" t="s">
        <v>35</v>
      </c>
      <c r="K3946" s="2" t="s">
        <v>1853</v>
      </c>
      <c r="L3946" t="s">
        <v>26</v>
      </c>
      <c r="M3946">
        <v>336853</v>
      </c>
      <c r="N3946">
        <v>1</v>
      </c>
      <c r="O3946" s="3">
        <v>59990</v>
      </c>
      <c r="P3946" s="3">
        <v>28298</v>
      </c>
      <c r="Q3946" s="5">
        <f t="shared" si="183"/>
        <v>50411.764705882357</v>
      </c>
      <c r="R3946" s="5">
        <f t="shared" si="184"/>
        <v>28298</v>
      </c>
      <c r="S3946" s="5">
        <f t="shared" si="185"/>
        <v>22113.764705882357</v>
      </c>
    </row>
    <row r="3947" spans="1:19" hidden="1" x14ac:dyDescent="0.3">
      <c r="A3947">
        <v>170</v>
      </c>
      <c r="B3947" t="s">
        <v>4809</v>
      </c>
      <c r="C3947" t="s">
        <v>5370</v>
      </c>
      <c r="D3947" s="2" t="s">
        <v>5371</v>
      </c>
      <c r="E3947" t="s">
        <v>4859</v>
      </c>
      <c r="F3947" t="s">
        <v>20</v>
      </c>
      <c r="G3947" t="s">
        <v>338</v>
      </c>
      <c r="H3947">
        <v>23624</v>
      </c>
      <c r="I3947" t="s">
        <v>23</v>
      </c>
      <c r="J3947" t="s">
        <v>40</v>
      </c>
      <c r="K3947" s="2" t="s">
        <v>1853</v>
      </c>
      <c r="L3947" t="s">
        <v>26</v>
      </c>
      <c r="M3947">
        <v>336853</v>
      </c>
      <c r="N3947">
        <v>1</v>
      </c>
      <c r="O3947" s="3">
        <v>67950</v>
      </c>
      <c r="P3947" s="3">
        <v>24718</v>
      </c>
      <c r="Q3947" s="5">
        <f t="shared" si="183"/>
        <v>57100.840336134454</v>
      </c>
      <c r="R3947" s="5">
        <f t="shared" si="184"/>
        <v>24718</v>
      </c>
      <c r="S3947" s="5">
        <f t="shared" si="185"/>
        <v>32382.840336134454</v>
      </c>
    </row>
    <row r="3948" spans="1:19" hidden="1" x14ac:dyDescent="0.3">
      <c r="A3948">
        <v>170</v>
      </c>
      <c r="B3948" t="s">
        <v>4809</v>
      </c>
      <c r="C3948" t="s">
        <v>5326</v>
      </c>
      <c r="D3948" s="2" t="s">
        <v>5327</v>
      </c>
      <c r="E3948" t="s">
        <v>3531</v>
      </c>
      <c r="F3948" t="s">
        <v>20</v>
      </c>
      <c r="G3948" t="s">
        <v>338</v>
      </c>
      <c r="H3948">
        <v>84316</v>
      </c>
      <c r="I3948" t="s">
        <v>23</v>
      </c>
      <c r="J3948" t="s">
        <v>49</v>
      </c>
      <c r="K3948" s="2" t="s">
        <v>1853</v>
      </c>
      <c r="L3948" t="s">
        <v>26</v>
      </c>
      <c r="M3948">
        <v>336853</v>
      </c>
      <c r="N3948">
        <v>-1</v>
      </c>
      <c r="O3948" s="3">
        <v>-89950</v>
      </c>
      <c r="P3948" s="3">
        <v>31128</v>
      </c>
      <c r="Q3948" s="5">
        <f t="shared" si="183"/>
        <v>-75588.23529411765</v>
      </c>
      <c r="R3948" s="5">
        <f t="shared" si="184"/>
        <v>-31128</v>
      </c>
      <c r="S3948" s="5">
        <f t="shared" si="185"/>
        <v>-44460.23529411765</v>
      </c>
    </row>
    <row r="3949" spans="1:19" hidden="1" x14ac:dyDescent="0.3">
      <c r="A3949">
        <v>170</v>
      </c>
      <c r="B3949" t="s">
        <v>4809</v>
      </c>
      <c r="C3949">
        <v>1687976791</v>
      </c>
      <c r="D3949" s="2" t="s">
        <v>200</v>
      </c>
      <c r="E3949" t="s">
        <v>201</v>
      </c>
      <c r="F3949" t="s">
        <v>201</v>
      </c>
      <c r="G3949" t="s">
        <v>202</v>
      </c>
      <c r="H3949" t="s">
        <v>202</v>
      </c>
      <c r="I3949" t="s">
        <v>23</v>
      </c>
      <c r="J3949" t="s">
        <v>202</v>
      </c>
      <c r="K3949" s="2" t="s">
        <v>1853</v>
      </c>
      <c r="L3949" t="s">
        <v>26</v>
      </c>
      <c r="M3949">
        <v>336854</v>
      </c>
      <c r="N3949">
        <v>1</v>
      </c>
      <c r="O3949" s="3">
        <v>3400</v>
      </c>
      <c r="P3949">
        <v>1</v>
      </c>
      <c r="Q3949" s="5">
        <f t="shared" si="183"/>
        <v>2857.1428571428573</v>
      </c>
      <c r="R3949" s="5">
        <f t="shared" si="184"/>
        <v>1</v>
      </c>
      <c r="S3949" s="5">
        <f t="shared" si="185"/>
        <v>2856.1428571428573</v>
      </c>
    </row>
    <row r="3950" spans="1:19" hidden="1" x14ac:dyDescent="0.3">
      <c r="A3950">
        <v>170</v>
      </c>
      <c r="B3950" t="s">
        <v>4809</v>
      </c>
      <c r="C3950" t="s">
        <v>5372</v>
      </c>
      <c r="D3950" s="2" t="s">
        <v>5373</v>
      </c>
      <c r="E3950" t="s">
        <v>1861</v>
      </c>
      <c r="F3950" t="s">
        <v>20</v>
      </c>
      <c r="G3950" t="s">
        <v>21</v>
      </c>
      <c r="H3950" t="s">
        <v>1337</v>
      </c>
      <c r="I3950" t="s">
        <v>23</v>
      </c>
      <c r="J3950" t="s">
        <v>49</v>
      </c>
      <c r="K3950" s="2" t="s">
        <v>1853</v>
      </c>
      <c r="L3950" t="s">
        <v>26</v>
      </c>
      <c r="M3950">
        <v>336854</v>
      </c>
      <c r="N3950">
        <v>1</v>
      </c>
      <c r="O3950" s="3">
        <v>34990</v>
      </c>
      <c r="P3950" s="3">
        <v>21346</v>
      </c>
      <c r="Q3950" s="5">
        <f t="shared" si="183"/>
        <v>29403.361344537818</v>
      </c>
      <c r="R3950" s="5">
        <f t="shared" si="184"/>
        <v>21346</v>
      </c>
      <c r="S3950" s="5">
        <f t="shared" si="185"/>
        <v>8057.3613445378178</v>
      </c>
    </row>
    <row r="3951" spans="1:19" hidden="1" x14ac:dyDescent="0.3">
      <c r="A3951">
        <v>170</v>
      </c>
      <c r="B3951" t="s">
        <v>4809</v>
      </c>
      <c r="C3951" t="s">
        <v>2989</v>
      </c>
      <c r="D3951" s="2" t="s">
        <v>2990</v>
      </c>
      <c r="E3951" t="s">
        <v>2208</v>
      </c>
      <c r="F3951" t="s">
        <v>20</v>
      </c>
      <c r="G3951" t="s">
        <v>338</v>
      </c>
      <c r="H3951">
        <v>25823</v>
      </c>
      <c r="I3951" t="s">
        <v>23</v>
      </c>
      <c r="J3951" t="s">
        <v>35</v>
      </c>
      <c r="K3951" s="2" t="s">
        <v>1853</v>
      </c>
      <c r="L3951" t="s">
        <v>26</v>
      </c>
      <c r="M3951">
        <v>336855</v>
      </c>
      <c r="N3951">
        <v>1</v>
      </c>
      <c r="O3951" s="3">
        <v>99950</v>
      </c>
      <c r="P3951" s="3">
        <v>33748</v>
      </c>
      <c r="Q3951" s="5">
        <f t="shared" si="183"/>
        <v>83991.596638655465</v>
      </c>
      <c r="R3951" s="5">
        <f t="shared" si="184"/>
        <v>33748</v>
      </c>
      <c r="S3951" s="5">
        <f t="shared" si="185"/>
        <v>50243.596638655465</v>
      </c>
    </row>
    <row r="3952" spans="1:19" hidden="1" x14ac:dyDescent="0.3">
      <c r="A3952">
        <v>170</v>
      </c>
      <c r="B3952" t="s">
        <v>4809</v>
      </c>
      <c r="C3952" t="s">
        <v>5374</v>
      </c>
      <c r="D3952" s="2" t="s">
        <v>5375</v>
      </c>
      <c r="E3952" t="s">
        <v>2473</v>
      </c>
      <c r="F3952" t="s">
        <v>20</v>
      </c>
      <c r="G3952" t="s">
        <v>21</v>
      </c>
      <c r="H3952" t="s">
        <v>114</v>
      </c>
      <c r="I3952" t="s">
        <v>23</v>
      </c>
      <c r="J3952" t="s">
        <v>49</v>
      </c>
      <c r="K3952" s="2" t="s">
        <v>1853</v>
      </c>
      <c r="L3952" t="s">
        <v>26</v>
      </c>
      <c r="M3952">
        <v>336856</v>
      </c>
      <c r="N3952">
        <v>1</v>
      </c>
      <c r="O3952" s="3">
        <v>49990</v>
      </c>
      <c r="P3952" s="3">
        <v>23514</v>
      </c>
      <c r="Q3952" s="5">
        <f t="shared" si="183"/>
        <v>42008.403361344543</v>
      </c>
      <c r="R3952" s="5">
        <f t="shared" si="184"/>
        <v>23514</v>
      </c>
      <c r="S3952" s="5">
        <f t="shared" si="185"/>
        <v>18494.403361344543</v>
      </c>
    </row>
    <row r="3953" spans="1:19" hidden="1" x14ac:dyDescent="0.3">
      <c r="A3953">
        <v>170</v>
      </c>
      <c r="B3953" t="s">
        <v>4809</v>
      </c>
      <c r="C3953" t="s">
        <v>5376</v>
      </c>
      <c r="D3953" s="2" t="s">
        <v>5377</v>
      </c>
      <c r="E3953" t="s">
        <v>4274</v>
      </c>
      <c r="F3953" t="s">
        <v>20</v>
      </c>
      <c r="G3953" t="s">
        <v>338</v>
      </c>
      <c r="H3953">
        <v>22410</v>
      </c>
      <c r="I3953" t="s">
        <v>23</v>
      </c>
      <c r="J3953" t="s">
        <v>49</v>
      </c>
      <c r="K3953" s="2" t="s">
        <v>1853</v>
      </c>
      <c r="L3953" t="s">
        <v>26</v>
      </c>
      <c r="M3953">
        <v>336857</v>
      </c>
      <c r="N3953">
        <v>1</v>
      </c>
      <c r="O3953" s="3">
        <v>69950</v>
      </c>
      <c r="P3953" s="3">
        <v>20848</v>
      </c>
      <c r="Q3953" s="5">
        <f t="shared" si="183"/>
        <v>58781.512605042022</v>
      </c>
      <c r="R3953" s="5">
        <f t="shared" si="184"/>
        <v>20848</v>
      </c>
      <c r="S3953" s="5">
        <f t="shared" si="185"/>
        <v>37933.512605042022</v>
      </c>
    </row>
    <row r="3954" spans="1:19" hidden="1" x14ac:dyDescent="0.3">
      <c r="A3954">
        <v>170</v>
      </c>
      <c r="B3954" t="s">
        <v>4809</v>
      </c>
      <c r="C3954" t="s">
        <v>3373</v>
      </c>
      <c r="D3954" s="2" t="s">
        <v>3374</v>
      </c>
      <c r="E3954" t="s">
        <v>3091</v>
      </c>
      <c r="F3954" t="s">
        <v>20</v>
      </c>
      <c r="G3954" t="s">
        <v>338</v>
      </c>
      <c r="H3954">
        <v>26266</v>
      </c>
      <c r="I3954" t="s">
        <v>23</v>
      </c>
      <c r="J3954" t="s">
        <v>35</v>
      </c>
      <c r="K3954" s="2" t="s">
        <v>1853</v>
      </c>
      <c r="L3954" t="s">
        <v>26</v>
      </c>
      <c r="M3954">
        <v>336858</v>
      </c>
      <c r="N3954">
        <v>1</v>
      </c>
      <c r="O3954" s="3">
        <v>79950</v>
      </c>
      <c r="P3954" s="3">
        <v>25300</v>
      </c>
      <c r="Q3954" s="5">
        <f t="shared" si="183"/>
        <v>67184.873949579836</v>
      </c>
      <c r="R3954" s="5">
        <f t="shared" si="184"/>
        <v>25300</v>
      </c>
      <c r="S3954" s="5">
        <f t="shared" si="185"/>
        <v>41884.873949579836</v>
      </c>
    </row>
    <row r="3955" spans="1:19" hidden="1" x14ac:dyDescent="0.3">
      <c r="A3955">
        <v>170</v>
      </c>
      <c r="B3955" t="s">
        <v>4809</v>
      </c>
      <c r="C3955" t="s">
        <v>5378</v>
      </c>
      <c r="D3955" s="2" t="s">
        <v>5379</v>
      </c>
      <c r="E3955" t="s">
        <v>938</v>
      </c>
      <c r="F3955" t="s">
        <v>20</v>
      </c>
      <c r="G3955" t="s">
        <v>21</v>
      </c>
      <c r="H3955" t="s">
        <v>317</v>
      </c>
      <c r="I3955" t="s">
        <v>23</v>
      </c>
      <c r="J3955" t="s">
        <v>35</v>
      </c>
      <c r="K3955" s="2" t="s">
        <v>1853</v>
      </c>
      <c r="L3955" t="s">
        <v>26</v>
      </c>
      <c r="M3955">
        <v>336859</v>
      </c>
      <c r="N3955">
        <v>1</v>
      </c>
      <c r="O3955" s="3">
        <v>69950</v>
      </c>
      <c r="P3955" s="3">
        <v>27162</v>
      </c>
      <c r="Q3955" s="5">
        <f t="shared" si="183"/>
        <v>58781.512605042022</v>
      </c>
      <c r="R3955" s="5">
        <f t="shared" si="184"/>
        <v>27162</v>
      </c>
      <c r="S3955" s="5">
        <f t="shared" si="185"/>
        <v>31619.512605042022</v>
      </c>
    </row>
    <row r="3956" spans="1:19" hidden="1" x14ac:dyDescent="0.3">
      <c r="A3956">
        <v>170</v>
      </c>
      <c r="B3956" t="s">
        <v>4809</v>
      </c>
      <c r="C3956" t="s">
        <v>3458</v>
      </c>
      <c r="D3956" s="2" t="s">
        <v>3459</v>
      </c>
      <c r="E3956" t="s">
        <v>2844</v>
      </c>
      <c r="F3956" t="s">
        <v>20</v>
      </c>
      <c r="G3956" t="s">
        <v>338</v>
      </c>
      <c r="H3956">
        <v>24722</v>
      </c>
      <c r="I3956" t="s">
        <v>23</v>
      </c>
      <c r="J3956" t="s">
        <v>95</v>
      </c>
      <c r="K3956" s="2" t="s">
        <v>1853</v>
      </c>
      <c r="L3956" t="s">
        <v>26</v>
      </c>
      <c r="M3956">
        <v>336860</v>
      </c>
      <c r="N3956">
        <v>1</v>
      </c>
      <c r="O3956" s="3">
        <v>89950</v>
      </c>
      <c r="P3956" s="3">
        <v>30987</v>
      </c>
      <c r="Q3956" s="5">
        <f t="shared" si="183"/>
        <v>75588.23529411765</v>
      </c>
      <c r="R3956" s="5">
        <f t="shared" si="184"/>
        <v>30987</v>
      </c>
      <c r="S3956" s="5">
        <f t="shared" si="185"/>
        <v>44601.23529411765</v>
      </c>
    </row>
    <row r="3957" spans="1:19" hidden="1" x14ac:dyDescent="0.3">
      <c r="A3957">
        <v>170</v>
      </c>
      <c r="B3957" t="s">
        <v>4809</v>
      </c>
      <c r="C3957" t="s">
        <v>5299</v>
      </c>
      <c r="D3957" s="2" t="s">
        <v>5300</v>
      </c>
      <c r="E3957" t="s">
        <v>2781</v>
      </c>
      <c r="F3957" t="s">
        <v>20</v>
      </c>
      <c r="G3957" t="s">
        <v>21</v>
      </c>
      <c r="H3957" t="s">
        <v>2782</v>
      </c>
      <c r="I3957" t="s">
        <v>23</v>
      </c>
      <c r="J3957" t="s">
        <v>35</v>
      </c>
      <c r="K3957" s="2" t="s">
        <v>1853</v>
      </c>
      <c r="L3957" t="s">
        <v>26</v>
      </c>
      <c r="M3957">
        <v>336861</v>
      </c>
      <c r="N3957">
        <v>1</v>
      </c>
      <c r="O3957" s="3">
        <v>74950</v>
      </c>
      <c r="P3957" s="3">
        <v>24388</v>
      </c>
      <c r="Q3957" s="5">
        <f t="shared" si="183"/>
        <v>62983.193277310929</v>
      </c>
      <c r="R3957" s="5">
        <f t="shared" si="184"/>
        <v>24388</v>
      </c>
      <c r="S3957" s="5">
        <f t="shared" si="185"/>
        <v>38595.193277310929</v>
      </c>
    </row>
    <row r="3958" spans="1:19" hidden="1" x14ac:dyDescent="0.3">
      <c r="A3958">
        <v>170</v>
      </c>
      <c r="B3958" t="s">
        <v>4809</v>
      </c>
      <c r="C3958" t="s">
        <v>3358</v>
      </c>
      <c r="D3958" s="2" t="s">
        <v>3359</v>
      </c>
      <c r="E3958" t="s">
        <v>2069</v>
      </c>
      <c r="F3958" t="s">
        <v>20</v>
      </c>
      <c r="G3958" t="s">
        <v>21</v>
      </c>
      <c r="H3958" t="s">
        <v>2070</v>
      </c>
      <c r="I3958" t="s">
        <v>23</v>
      </c>
      <c r="J3958" t="s">
        <v>35</v>
      </c>
      <c r="K3958" s="2" t="s">
        <v>1853</v>
      </c>
      <c r="L3958" t="s">
        <v>26</v>
      </c>
      <c r="M3958">
        <v>336862</v>
      </c>
      <c r="N3958">
        <v>1</v>
      </c>
      <c r="O3958" s="3">
        <v>89950</v>
      </c>
      <c r="P3958" s="3">
        <v>29635</v>
      </c>
      <c r="Q3958" s="5">
        <f t="shared" si="183"/>
        <v>75588.23529411765</v>
      </c>
      <c r="R3958" s="5">
        <f t="shared" si="184"/>
        <v>29635</v>
      </c>
      <c r="S3958" s="5">
        <f t="shared" si="185"/>
        <v>45953.23529411765</v>
      </c>
    </row>
    <row r="3959" spans="1:19" hidden="1" x14ac:dyDescent="0.3">
      <c r="A3959">
        <v>170</v>
      </c>
      <c r="B3959" t="s">
        <v>4809</v>
      </c>
      <c r="C3959" t="s">
        <v>2700</v>
      </c>
      <c r="D3959" s="2" t="s">
        <v>2701</v>
      </c>
      <c r="E3959" t="s">
        <v>2702</v>
      </c>
      <c r="F3959" t="s">
        <v>20</v>
      </c>
      <c r="G3959" t="s">
        <v>21</v>
      </c>
      <c r="H3959" t="s">
        <v>90</v>
      </c>
      <c r="I3959" t="s">
        <v>23</v>
      </c>
      <c r="J3959" t="s">
        <v>35</v>
      </c>
      <c r="K3959" s="2" t="s">
        <v>1853</v>
      </c>
      <c r="L3959" t="s">
        <v>26</v>
      </c>
      <c r="M3959">
        <v>336863</v>
      </c>
      <c r="N3959">
        <v>1</v>
      </c>
      <c r="O3959" s="3">
        <v>72200</v>
      </c>
      <c r="P3959" s="3">
        <v>35265</v>
      </c>
      <c r="Q3959" s="5">
        <f t="shared" si="183"/>
        <v>60672.268907563026</v>
      </c>
      <c r="R3959" s="5">
        <f t="shared" si="184"/>
        <v>35265</v>
      </c>
      <c r="S3959" s="5">
        <f t="shared" si="185"/>
        <v>25407.268907563026</v>
      </c>
    </row>
    <row r="3960" spans="1:19" hidden="1" x14ac:dyDescent="0.3">
      <c r="A3960">
        <v>170</v>
      </c>
      <c r="B3960" t="s">
        <v>4809</v>
      </c>
      <c r="C3960" t="s">
        <v>5380</v>
      </c>
      <c r="D3960" s="2" t="s">
        <v>5381</v>
      </c>
      <c r="E3960" t="s">
        <v>242</v>
      </c>
      <c r="F3960" t="s">
        <v>20</v>
      </c>
      <c r="G3960" t="s">
        <v>21</v>
      </c>
      <c r="H3960" t="s">
        <v>243</v>
      </c>
      <c r="I3960" t="s">
        <v>23</v>
      </c>
      <c r="J3960" t="s">
        <v>35</v>
      </c>
      <c r="K3960" s="2" t="s">
        <v>1853</v>
      </c>
      <c r="L3960" t="s">
        <v>26</v>
      </c>
      <c r="M3960">
        <v>336864</v>
      </c>
      <c r="N3960">
        <v>1</v>
      </c>
      <c r="O3960" s="3">
        <v>109950</v>
      </c>
      <c r="P3960" s="3">
        <v>62858</v>
      </c>
      <c r="Q3960" s="5">
        <f t="shared" si="183"/>
        <v>92394.957983193279</v>
      </c>
      <c r="R3960" s="5">
        <f t="shared" si="184"/>
        <v>62858</v>
      </c>
      <c r="S3960" s="5">
        <f t="shared" si="185"/>
        <v>29536.957983193279</v>
      </c>
    </row>
    <row r="3961" spans="1:19" hidden="1" x14ac:dyDescent="0.3">
      <c r="A3961">
        <v>170</v>
      </c>
      <c r="B3961" t="s">
        <v>4809</v>
      </c>
      <c r="C3961" t="s">
        <v>5382</v>
      </c>
      <c r="D3961" s="2" t="s">
        <v>5383</v>
      </c>
      <c r="E3961" t="s">
        <v>2959</v>
      </c>
      <c r="F3961" t="s">
        <v>20</v>
      </c>
      <c r="G3961" t="s">
        <v>338</v>
      </c>
      <c r="H3961">
        <v>25529</v>
      </c>
      <c r="I3961" t="s">
        <v>23</v>
      </c>
      <c r="J3961" t="s">
        <v>31</v>
      </c>
      <c r="K3961" s="2" t="s">
        <v>1853</v>
      </c>
      <c r="L3961" t="s">
        <v>26</v>
      </c>
      <c r="M3961">
        <v>336865</v>
      </c>
      <c r="N3961">
        <v>1</v>
      </c>
      <c r="O3961" s="3">
        <v>149950</v>
      </c>
      <c r="P3961" s="3">
        <v>50690</v>
      </c>
      <c r="Q3961" s="5">
        <f t="shared" si="183"/>
        <v>126008.40336134455</v>
      </c>
      <c r="R3961" s="5">
        <f t="shared" si="184"/>
        <v>50690</v>
      </c>
      <c r="S3961" s="5">
        <f t="shared" si="185"/>
        <v>75318.40336134455</v>
      </c>
    </row>
    <row r="3962" spans="1:19" hidden="1" x14ac:dyDescent="0.3">
      <c r="A3962">
        <v>170</v>
      </c>
      <c r="B3962" t="s">
        <v>4809</v>
      </c>
      <c r="C3962" t="s">
        <v>4942</v>
      </c>
      <c r="D3962" s="2" t="s">
        <v>4943</v>
      </c>
      <c r="E3962" t="s">
        <v>1825</v>
      </c>
      <c r="F3962" t="s">
        <v>20</v>
      </c>
      <c r="G3962" t="s">
        <v>21</v>
      </c>
      <c r="H3962" t="s">
        <v>686</v>
      </c>
      <c r="I3962" t="s">
        <v>23</v>
      </c>
      <c r="J3962" t="s">
        <v>35</v>
      </c>
      <c r="K3962" s="2" t="s">
        <v>1853</v>
      </c>
      <c r="L3962" t="s">
        <v>26</v>
      </c>
      <c r="M3962">
        <v>336866</v>
      </c>
      <c r="N3962">
        <v>1</v>
      </c>
      <c r="O3962" s="3">
        <v>99950</v>
      </c>
      <c r="P3962" s="3">
        <v>48762</v>
      </c>
      <c r="Q3962" s="5">
        <f t="shared" si="183"/>
        <v>83991.596638655465</v>
      </c>
      <c r="R3962" s="5">
        <f t="shared" si="184"/>
        <v>48762</v>
      </c>
      <c r="S3962" s="5">
        <f t="shared" si="185"/>
        <v>35229.596638655465</v>
      </c>
    </row>
    <row r="3963" spans="1:19" hidden="1" x14ac:dyDescent="0.3">
      <c r="A3963">
        <v>170</v>
      </c>
      <c r="B3963" t="s">
        <v>4809</v>
      </c>
      <c r="C3963" t="s">
        <v>1037</v>
      </c>
      <c r="D3963" s="2" t="s">
        <v>1038</v>
      </c>
      <c r="E3963" t="s">
        <v>1039</v>
      </c>
      <c r="F3963" t="s">
        <v>377</v>
      </c>
      <c r="G3963" t="s">
        <v>21</v>
      </c>
      <c r="H3963" t="s">
        <v>378</v>
      </c>
      <c r="I3963" t="s">
        <v>23</v>
      </c>
      <c r="J3963" t="s">
        <v>379</v>
      </c>
      <c r="K3963" s="2" t="s">
        <v>1853</v>
      </c>
      <c r="L3963" t="s">
        <v>26</v>
      </c>
      <c r="M3963">
        <v>336867</v>
      </c>
      <c r="N3963">
        <v>1</v>
      </c>
      <c r="O3963" s="3">
        <v>5950</v>
      </c>
      <c r="P3963" s="3">
        <v>3257</v>
      </c>
      <c r="Q3963" s="5">
        <f t="shared" si="183"/>
        <v>5000</v>
      </c>
      <c r="R3963" s="5">
        <f t="shared" si="184"/>
        <v>3257</v>
      </c>
      <c r="S3963" s="5">
        <f t="shared" si="185"/>
        <v>1743</v>
      </c>
    </row>
    <row r="3964" spans="1:19" hidden="1" x14ac:dyDescent="0.3">
      <c r="A3964">
        <v>170</v>
      </c>
      <c r="B3964" t="s">
        <v>4809</v>
      </c>
      <c r="C3964" t="s">
        <v>3511</v>
      </c>
      <c r="D3964" s="2" t="s">
        <v>3512</v>
      </c>
      <c r="E3964" t="s">
        <v>1417</v>
      </c>
      <c r="F3964" t="s">
        <v>20</v>
      </c>
      <c r="G3964" t="s">
        <v>21</v>
      </c>
      <c r="H3964" t="s">
        <v>1418</v>
      </c>
      <c r="I3964" t="s">
        <v>23</v>
      </c>
      <c r="J3964" t="s">
        <v>35</v>
      </c>
      <c r="K3964" s="2" t="s">
        <v>1853</v>
      </c>
      <c r="L3964" t="s">
        <v>26</v>
      </c>
      <c r="M3964">
        <v>336868</v>
      </c>
      <c r="N3964">
        <v>1</v>
      </c>
      <c r="O3964" s="3">
        <v>64990</v>
      </c>
      <c r="P3964" s="3">
        <v>29189</v>
      </c>
      <c r="Q3964" s="5">
        <f t="shared" si="183"/>
        <v>54613.445378151264</v>
      </c>
      <c r="R3964" s="5">
        <f t="shared" si="184"/>
        <v>29189</v>
      </c>
      <c r="S3964" s="5">
        <f t="shared" si="185"/>
        <v>25424.445378151264</v>
      </c>
    </row>
    <row r="3965" spans="1:19" hidden="1" x14ac:dyDescent="0.3">
      <c r="A3965">
        <v>170</v>
      </c>
      <c r="B3965" t="s">
        <v>4809</v>
      </c>
      <c r="C3965" t="s">
        <v>492</v>
      </c>
      <c r="D3965" s="2" t="s">
        <v>493</v>
      </c>
      <c r="E3965" t="s">
        <v>494</v>
      </c>
      <c r="F3965" t="s">
        <v>20</v>
      </c>
      <c r="G3965" t="s">
        <v>21</v>
      </c>
      <c r="H3965" t="s">
        <v>317</v>
      </c>
      <c r="I3965" t="s">
        <v>23</v>
      </c>
      <c r="J3965" t="s">
        <v>35</v>
      </c>
      <c r="K3965" s="2" t="s">
        <v>1853</v>
      </c>
      <c r="L3965" t="s">
        <v>26</v>
      </c>
      <c r="M3965">
        <v>336868</v>
      </c>
      <c r="N3965">
        <v>1</v>
      </c>
      <c r="O3965" s="3">
        <v>59450</v>
      </c>
      <c r="P3965" s="3">
        <v>23619</v>
      </c>
      <c r="Q3965" s="5">
        <f t="shared" si="183"/>
        <v>49957.983193277316</v>
      </c>
      <c r="R3965" s="5">
        <f t="shared" si="184"/>
        <v>23619</v>
      </c>
      <c r="S3965" s="5">
        <f t="shared" si="185"/>
        <v>26338.983193277316</v>
      </c>
    </row>
    <row r="3966" spans="1:19" hidden="1" x14ac:dyDescent="0.3">
      <c r="A3966">
        <v>170</v>
      </c>
      <c r="B3966" t="s">
        <v>4809</v>
      </c>
      <c r="C3966" t="s">
        <v>5384</v>
      </c>
      <c r="D3966" s="2" t="s">
        <v>5385</v>
      </c>
      <c r="E3966" t="s">
        <v>845</v>
      </c>
      <c r="F3966" t="s">
        <v>20</v>
      </c>
      <c r="G3966" t="s">
        <v>21</v>
      </c>
      <c r="H3966" t="s">
        <v>243</v>
      </c>
      <c r="I3966" t="s">
        <v>23</v>
      </c>
      <c r="J3966" t="s">
        <v>35</v>
      </c>
      <c r="K3966" s="2" t="s">
        <v>1853</v>
      </c>
      <c r="L3966" t="s">
        <v>26</v>
      </c>
      <c r="M3966">
        <v>336869</v>
      </c>
      <c r="N3966">
        <v>1</v>
      </c>
      <c r="O3966" s="3">
        <v>109950</v>
      </c>
      <c r="P3966" s="3">
        <v>62858</v>
      </c>
      <c r="Q3966" s="5">
        <f t="shared" si="183"/>
        <v>92394.957983193279</v>
      </c>
      <c r="R3966" s="5">
        <f t="shared" si="184"/>
        <v>62858</v>
      </c>
      <c r="S3966" s="5">
        <f t="shared" si="185"/>
        <v>29536.957983193279</v>
      </c>
    </row>
    <row r="3967" spans="1:19" hidden="1" x14ac:dyDescent="0.3">
      <c r="A3967">
        <v>170</v>
      </c>
      <c r="B3967" t="s">
        <v>4809</v>
      </c>
      <c r="C3967" t="s">
        <v>1037</v>
      </c>
      <c r="D3967" s="2" t="s">
        <v>1038</v>
      </c>
      <c r="E3967" t="s">
        <v>1039</v>
      </c>
      <c r="F3967" t="s">
        <v>377</v>
      </c>
      <c r="G3967" t="s">
        <v>21</v>
      </c>
      <c r="H3967" t="s">
        <v>378</v>
      </c>
      <c r="I3967" t="s">
        <v>23</v>
      </c>
      <c r="J3967" t="s">
        <v>379</v>
      </c>
      <c r="K3967" s="2" t="s">
        <v>1853</v>
      </c>
      <c r="L3967" t="s">
        <v>26</v>
      </c>
      <c r="M3967">
        <v>336870</v>
      </c>
      <c r="N3967">
        <v>1</v>
      </c>
      <c r="O3967" s="3">
        <v>5950</v>
      </c>
      <c r="P3967" s="3">
        <v>3257</v>
      </c>
      <c r="Q3967" s="5">
        <f t="shared" si="183"/>
        <v>5000</v>
      </c>
      <c r="R3967" s="5">
        <f t="shared" si="184"/>
        <v>3257</v>
      </c>
      <c r="S3967" s="5">
        <f t="shared" si="185"/>
        <v>1743</v>
      </c>
    </row>
    <row r="3968" spans="1:19" hidden="1" x14ac:dyDescent="0.3">
      <c r="A3968">
        <v>170</v>
      </c>
      <c r="B3968" t="s">
        <v>4809</v>
      </c>
      <c r="C3968" t="s">
        <v>4350</v>
      </c>
      <c r="D3968" s="2" t="s">
        <v>4351</v>
      </c>
      <c r="E3968" t="s">
        <v>3406</v>
      </c>
      <c r="F3968" t="s">
        <v>20</v>
      </c>
      <c r="G3968" t="s">
        <v>338</v>
      </c>
      <c r="H3968">
        <v>26825</v>
      </c>
      <c r="I3968" t="s">
        <v>23</v>
      </c>
      <c r="J3968" t="s">
        <v>35</v>
      </c>
      <c r="K3968" s="2" t="s">
        <v>1853</v>
      </c>
      <c r="L3968" t="s">
        <v>26</v>
      </c>
      <c r="M3968">
        <v>336871</v>
      </c>
      <c r="N3968">
        <v>-1</v>
      </c>
      <c r="O3968" s="3">
        <v>-79950</v>
      </c>
      <c r="P3968" s="3">
        <v>23119</v>
      </c>
      <c r="Q3968" s="5">
        <f t="shared" si="183"/>
        <v>-67184.873949579836</v>
      </c>
      <c r="R3968" s="5">
        <f t="shared" si="184"/>
        <v>-23119</v>
      </c>
      <c r="S3968" s="5">
        <f t="shared" si="185"/>
        <v>-44065.873949579836</v>
      </c>
    </row>
    <row r="3969" spans="1:19" hidden="1" x14ac:dyDescent="0.3">
      <c r="A3969">
        <v>170</v>
      </c>
      <c r="B3969" t="s">
        <v>4809</v>
      </c>
      <c r="C3969" t="s">
        <v>4794</v>
      </c>
      <c r="D3969" s="2" t="s">
        <v>4795</v>
      </c>
      <c r="E3969" t="s">
        <v>4796</v>
      </c>
      <c r="F3969" t="s">
        <v>20</v>
      </c>
      <c r="G3969" t="s">
        <v>338</v>
      </c>
      <c r="H3969">
        <v>85411</v>
      </c>
      <c r="I3969" t="s">
        <v>23</v>
      </c>
      <c r="J3969" t="s">
        <v>35</v>
      </c>
      <c r="K3969" s="2" t="s">
        <v>1853</v>
      </c>
      <c r="L3969" t="s">
        <v>26</v>
      </c>
      <c r="M3969">
        <v>336871</v>
      </c>
      <c r="N3969">
        <v>1</v>
      </c>
      <c r="O3969" s="3">
        <v>119950</v>
      </c>
      <c r="P3969" s="3">
        <v>36428</v>
      </c>
      <c r="Q3969" s="5">
        <f t="shared" si="183"/>
        <v>100798.31932773109</v>
      </c>
      <c r="R3969" s="5">
        <f t="shared" si="184"/>
        <v>36428</v>
      </c>
      <c r="S3969" s="5">
        <f t="shared" si="185"/>
        <v>64370.319327731093</v>
      </c>
    </row>
    <row r="3970" spans="1:19" hidden="1" x14ac:dyDescent="0.3">
      <c r="A3970">
        <v>170</v>
      </c>
      <c r="B3970" t="s">
        <v>4809</v>
      </c>
      <c r="C3970" t="s">
        <v>3787</v>
      </c>
      <c r="D3970" s="2" t="s">
        <v>3788</v>
      </c>
      <c r="E3970" t="s">
        <v>2748</v>
      </c>
      <c r="F3970" t="s">
        <v>20</v>
      </c>
      <c r="G3970" t="s">
        <v>338</v>
      </c>
      <c r="H3970">
        <v>26266</v>
      </c>
      <c r="I3970" t="s">
        <v>23</v>
      </c>
      <c r="J3970" t="s">
        <v>35</v>
      </c>
      <c r="K3970" s="2" t="s">
        <v>1853</v>
      </c>
      <c r="L3970" t="s">
        <v>26</v>
      </c>
      <c r="M3970">
        <v>336872</v>
      </c>
      <c r="N3970">
        <v>1</v>
      </c>
      <c r="O3970" s="3">
        <v>67950</v>
      </c>
      <c r="P3970" s="3">
        <v>25300</v>
      </c>
      <c r="Q3970" s="5">
        <f t="shared" si="183"/>
        <v>57100.840336134454</v>
      </c>
      <c r="R3970" s="5">
        <f t="shared" si="184"/>
        <v>25300</v>
      </c>
      <c r="S3970" s="5">
        <f t="shared" si="185"/>
        <v>31800.840336134454</v>
      </c>
    </row>
    <row r="3971" spans="1:19" hidden="1" x14ac:dyDescent="0.3">
      <c r="A3971">
        <v>170</v>
      </c>
      <c r="B3971" t="s">
        <v>4809</v>
      </c>
      <c r="C3971" t="s">
        <v>2365</v>
      </c>
      <c r="D3971" s="2" t="s">
        <v>2366</v>
      </c>
      <c r="E3971" t="s">
        <v>2367</v>
      </c>
      <c r="F3971" t="s">
        <v>377</v>
      </c>
      <c r="G3971" t="s">
        <v>21</v>
      </c>
      <c r="H3971" t="s">
        <v>378</v>
      </c>
      <c r="I3971" t="s">
        <v>23</v>
      </c>
      <c r="J3971" t="s">
        <v>379</v>
      </c>
      <c r="K3971" s="2" t="s">
        <v>1853</v>
      </c>
      <c r="L3971" t="s">
        <v>26</v>
      </c>
      <c r="M3971">
        <v>336872</v>
      </c>
      <c r="N3971">
        <v>1</v>
      </c>
      <c r="O3971" s="3">
        <v>6950</v>
      </c>
      <c r="P3971" s="3">
        <v>3759</v>
      </c>
      <c r="Q3971" s="5">
        <f t="shared" si="183"/>
        <v>5840.3361344537816</v>
      </c>
      <c r="R3971" s="5">
        <f t="shared" si="184"/>
        <v>3759</v>
      </c>
      <c r="S3971" s="5">
        <f t="shared" si="185"/>
        <v>2081.3361344537816</v>
      </c>
    </row>
    <row r="3972" spans="1:19" hidden="1" x14ac:dyDescent="0.3">
      <c r="A3972">
        <v>170</v>
      </c>
      <c r="B3972" t="s">
        <v>4809</v>
      </c>
      <c r="C3972" t="s">
        <v>5386</v>
      </c>
      <c r="D3972" s="2" t="s">
        <v>5387</v>
      </c>
      <c r="E3972" t="s">
        <v>1421</v>
      </c>
      <c r="F3972" t="s">
        <v>20</v>
      </c>
      <c r="G3972" t="s">
        <v>21</v>
      </c>
      <c r="H3972" t="s">
        <v>1422</v>
      </c>
      <c r="I3972" t="s">
        <v>23</v>
      </c>
      <c r="J3972" t="s">
        <v>49</v>
      </c>
      <c r="K3972" s="2" t="s">
        <v>1853</v>
      </c>
      <c r="L3972" t="s">
        <v>26</v>
      </c>
      <c r="M3972">
        <v>336873</v>
      </c>
      <c r="N3972">
        <v>1</v>
      </c>
      <c r="O3972" s="3">
        <v>74950</v>
      </c>
      <c r="P3972" s="3">
        <v>25182</v>
      </c>
      <c r="Q3972" s="5">
        <f t="shared" si="183"/>
        <v>62983.193277310929</v>
      </c>
      <c r="R3972" s="5">
        <f t="shared" si="184"/>
        <v>25182</v>
      </c>
      <c r="S3972" s="5">
        <f t="shared" si="185"/>
        <v>37801.193277310929</v>
      </c>
    </row>
    <row r="3973" spans="1:19" hidden="1" x14ac:dyDescent="0.3">
      <c r="A3973">
        <v>170</v>
      </c>
      <c r="B3973" t="s">
        <v>4809</v>
      </c>
      <c r="C3973" t="s">
        <v>5388</v>
      </c>
      <c r="D3973" s="2" t="s">
        <v>5389</v>
      </c>
      <c r="E3973" t="s">
        <v>2314</v>
      </c>
      <c r="F3973" t="s">
        <v>20</v>
      </c>
      <c r="G3973" t="s">
        <v>21</v>
      </c>
      <c r="H3973" t="s">
        <v>2315</v>
      </c>
      <c r="I3973" t="s">
        <v>23</v>
      </c>
      <c r="J3973" t="s">
        <v>49</v>
      </c>
      <c r="K3973" s="2" t="s">
        <v>1910</v>
      </c>
      <c r="L3973" t="s">
        <v>26</v>
      </c>
      <c r="M3973">
        <v>336874</v>
      </c>
      <c r="N3973">
        <v>1</v>
      </c>
      <c r="O3973" s="3">
        <v>74950</v>
      </c>
      <c r="P3973" s="3">
        <v>29084</v>
      </c>
      <c r="Q3973" s="5">
        <f t="shared" si="183"/>
        <v>62983.193277310929</v>
      </c>
      <c r="R3973" s="5">
        <f t="shared" si="184"/>
        <v>29084</v>
      </c>
      <c r="S3973" s="5">
        <f t="shared" si="185"/>
        <v>33899.193277310929</v>
      </c>
    </row>
    <row r="3974" spans="1:19" hidden="1" x14ac:dyDescent="0.3">
      <c r="A3974">
        <v>170</v>
      </c>
      <c r="B3974" t="s">
        <v>4809</v>
      </c>
      <c r="C3974" t="s">
        <v>4726</v>
      </c>
      <c r="D3974" s="2" t="s">
        <v>4727</v>
      </c>
      <c r="E3974" t="s">
        <v>2311</v>
      </c>
      <c r="F3974" t="s">
        <v>20</v>
      </c>
      <c r="G3974" t="s">
        <v>338</v>
      </c>
      <c r="H3974">
        <v>83716</v>
      </c>
      <c r="I3974" t="s">
        <v>23</v>
      </c>
      <c r="J3974" t="s">
        <v>40</v>
      </c>
      <c r="K3974" s="2" t="s">
        <v>1910</v>
      </c>
      <c r="L3974" t="s">
        <v>26</v>
      </c>
      <c r="M3974">
        <v>336875</v>
      </c>
      <c r="N3974">
        <v>1</v>
      </c>
      <c r="O3974" s="3">
        <v>76450</v>
      </c>
      <c r="P3974" s="3">
        <v>30263</v>
      </c>
      <c r="Q3974" s="5">
        <f t="shared" ref="Q3974:Q4037" si="186">O3974/1.19</f>
        <v>64243.697478991598</v>
      </c>
      <c r="R3974" s="5">
        <f t="shared" ref="R3974:R4037" si="187">N3974*P3974</f>
        <v>30263</v>
      </c>
      <c r="S3974" s="5">
        <f t="shared" ref="S3974:S4037" si="188">Q3974-R3974</f>
        <v>33980.697478991598</v>
      </c>
    </row>
    <row r="3975" spans="1:19" hidden="1" x14ac:dyDescent="0.3">
      <c r="A3975">
        <v>170</v>
      </c>
      <c r="B3975" t="s">
        <v>4809</v>
      </c>
      <c r="C3975" t="s">
        <v>3556</v>
      </c>
      <c r="D3975" s="2" t="s">
        <v>3557</v>
      </c>
      <c r="E3975" t="s">
        <v>2837</v>
      </c>
      <c r="F3975" t="s">
        <v>20</v>
      </c>
      <c r="G3975" t="s">
        <v>21</v>
      </c>
      <c r="H3975" t="s">
        <v>272</v>
      </c>
      <c r="I3975" t="s">
        <v>23</v>
      </c>
      <c r="J3975" t="s">
        <v>40</v>
      </c>
      <c r="K3975" s="2" t="s">
        <v>1910</v>
      </c>
      <c r="L3975" t="s">
        <v>26</v>
      </c>
      <c r="M3975">
        <v>336876</v>
      </c>
      <c r="N3975">
        <v>1</v>
      </c>
      <c r="O3975" s="3">
        <v>59990</v>
      </c>
      <c r="P3975" s="3">
        <v>26159</v>
      </c>
      <c r="Q3975" s="5">
        <f t="shared" si="186"/>
        <v>50411.764705882357</v>
      </c>
      <c r="R3975" s="5">
        <f t="shared" si="187"/>
        <v>26159</v>
      </c>
      <c r="S3975" s="5">
        <f t="shared" si="188"/>
        <v>24252.764705882357</v>
      </c>
    </row>
    <row r="3976" spans="1:19" hidden="1" x14ac:dyDescent="0.3">
      <c r="A3976">
        <v>170</v>
      </c>
      <c r="B3976" t="s">
        <v>4809</v>
      </c>
      <c r="C3976" t="s">
        <v>3200</v>
      </c>
      <c r="D3976" s="2" t="s">
        <v>3201</v>
      </c>
      <c r="E3976" t="s">
        <v>3202</v>
      </c>
      <c r="F3976" t="s">
        <v>20</v>
      </c>
      <c r="G3976" t="s">
        <v>338</v>
      </c>
      <c r="H3976">
        <v>25702</v>
      </c>
      <c r="I3976" t="s">
        <v>23</v>
      </c>
      <c r="J3976" t="s">
        <v>35</v>
      </c>
      <c r="K3976" s="2" t="s">
        <v>1910</v>
      </c>
      <c r="L3976" t="s">
        <v>26</v>
      </c>
      <c r="M3976">
        <v>336877</v>
      </c>
      <c r="N3976">
        <v>1</v>
      </c>
      <c r="O3976" s="3">
        <v>109950</v>
      </c>
      <c r="P3976" s="3">
        <v>34974</v>
      </c>
      <c r="Q3976" s="5">
        <f t="shared" si="186"/>
        <v>92394.957983193279</v>
      </c>
      <c r="R3976" s="5">
        <f t="shared" si="187"/>
        <v>34974</v>
      </c>
      <c r="S3976" s="5">
        <f t="shared" si="188"/>
        <v>57420.957983193279</v>
      </c>
    </row>
    <row r="3977" spans="1:19" hidden="1" x14ac:dyDescent="0.3">
      <c r="A3977">
        <v>170</v>
      </c>
      <c r="B3977" t="s">
        <v>4809</v>
      </c>
      <c r="C3977" t="s">
        <v>849</v>
      </c>
      <c r="D3977" s="2" t="s">
        <v>850</v>
      </c>
      <c r="E3977" t="s">
        <v>845</v>
      </c>
      <c r="F3977" t="s">
        <v>20</v>
      </c>
      <c r="G3977" t="s">
        <v>21</v>
      </c>
      <c r="H3977" t="s">
        <v>243</v>
      </c>
      <c r="I3977" t="s">
        <v>23</v>
      </c>
      <c r="J3977" t="s">
        <v>35</v>
      </c>
      <c r="K3977" s="2" t="s">
        <v>1910</v>
      </c>
      <c r="L3977" t="s">
        <v>26</v>
      </c>
      <c r="M3977">
        <v>336878</v>
      </c>
      <c r="N3977">
        <v>1</v>
      </c>
      <c r="O3977" s="3">
        <v>109950</v>
      </c>
      <c r="P3977" s="3">
        <v>62858</v>
      </c>
      <c r="Q3977" s="5">
        <f t="shared" si="186"/>
        <v>92394.957983193279</v>
      </c>
      <c r="R3977" s="5">
        <f t="shared" si="187"/>
        <v>62858</v>
      </c>
      <c r="S3977" s="5">
        <f t="shared" si="188"/>
        <v>29536.957983193279</v>
      </c>
    </row>
    <row r="3978" spans="1:19" hidden="1" x14ac:dyDescent="0.3">
      <c r="A3978">
        <v>170</v>
      </c>
      <c r="B3978" t="s">
        <v>4809</v>
      </c>
      <c r="C3978" t="s">
        <v>3407</v>
      </c>
      <c r="D3978" s="2" t="s">
        <v>3408</v>
      </c>
      <c r="E3978" t="s">
        <v>2110</v>
      </c>
      <c r="F3978" t="s">
        <v>20</v>
      </c>
      <c r="G3978" t="s">
        <v>21</v>
      </c>
      <c r="H3978" t="s">
        <v>22</v>
      </c>
      <c r="I3978" t="s">
        <v>23</v>
      </c>
      <c r="J3978" t="s">
        <v>24</v>
      </c>
      <c r="K3978" s="2" t="s">
        <v>1910</v>
      </c>
      <c r="L3978" t="s">
        <v>26</v>
      </c>
      <c r="M3978">
        <v>336879</v>
      </c>
      <c r="N3978">
        <v>1</v>
      </c>
      <c r="O3978" s="3">
        <v>79950</v>
      </c>
      <c r="P3978" s="3">
        <v>27748</v>
      </c>
      <c r="Q3978" s="5">
        <f t="shared" si="186"/>
        <v>67184.873949579836</v>
      </c>
      <c r="R3978" s="5">
        <f t="shared" si="187"/>
        <v>27748</v>
      </c>
      <c r="S3978" s="5">
        <f t="shared" si="188"/>
        <v>39436.873949579836</v>
      </c>
    </row>
    <row r="3979" spans="1:19" hidden="1" x14ac:dyDescent="0.3">
      <c r="A3979">
        <v>170</v>
      </c>
      <c r="B3979" t="s">
        <v>4809</v>
      </c>
      <c r="C3979" t="s">
        <v>5390</v>
      </c>
      <c r="D3979" s="2" t="s">
        <v>5391</v>
      </c>
      <c r="E3979" t="s">
        <v>3048</v>
      </c>
      <c r="F3979" t="s">
        <v>20</v>
      </c>
      <c r="G3979" t="s">
        <v>21</v>
      </c>
      <c r="H3979" t="s">
        <v>2484</v>
      </c>
      <c r="I3979" t="s">
        <v>23</v>
      </c>
      <c r="J3979" t="s">
        <v>40</v>
      </c>
      <c r="K3979" s="2" t="s">
        <v>1910</v>
      </c>
      <c r="L3979" t="s">
        <v>26</v>
      </c>
      <c r="M3979">
        <v>336880</v>
      </c>
      <c r="N3979">
        <v>1</v>
      </c>
      <c r="O3979" s="3">
        <v>59950</v>
      </c>
      <c r="P3979" s="3">
        <v>17503</v>
      </c>
      <c r="Q3979" s="5">
        <f t="shared" si="186"/>
        <v>50378.151260504201</v>
      </c>
      <c r="R3979" s="5">
        <f t="shared" si="187"/>
        <v>17503</v>
      </c>
      <c r="S3979" s="5">
        <f t="shared" si="188"/>
        <v>32875.151260504201</v>
      </c>
    </row>
    <row r="3980" spans="1:19" hidden="1" x14ac:dyDescent="0.3">
      <c r="A3980">
        <v>170</v>
      </c>
      <c r="B3980" t="s">
        <v>4809</v>
      </c>
      <c r="C3980" t="s">
        <v>3007</v>
      </c>
      <c r="D3980" s="2" t="s">
        <v>3008</v>
      </c>
      <c r="E3980" t="s">
        <v>2986</v>
      </c>
      <c r="F3980" t="s">
        <v>20</v>
      </c>
      <c r="G3980" t="s">
        <v>21</v>
      </c>
      <c r="H3980" t="s">
        <v>267</v>
      </c>
      <c r="I3980" t="s">
        <v>23</v>
      </c>
      <c r="J3980" t="s">
        <v>35</v>
      </c>
      <c r="K3980" s="2" t="s">
        <v>1910</v>
      </c>
      <c r="L3980" t="s">
        <v>26</v>
      </c>
      <c r="M3980">
        <v>336881</v>
      </c>
      <c r="N3980">
        <v>1</v>
      </c>
      <c r="O3980" s="3">
        <v>59990</v>
      </c>
      <c r="P3980" s="3">
        <v>24733</v>
      </c>
      <c r="Q3980" s="5">
        <f t="shared" si="186"/>
        <v>50411.764705882357</v>
      </c>
      <c r="R3980" s="5">
        <f t="shared" si="187"/>
        <v>24733</v>
      </c>
      <c r="S3980" s="5">
        <f t="shared" si="188"/>
        <v>25678.764705882357</v>
      </c>
    </row>
    <row r="3981" spans="1:19" hidden="1" x14ac:dyDescent="0.3">
      <c r="A3981">
        <v>170</v>
      </c>
      <c r="B3981" t="s">
        <v>4809</v>
      </c>
      <c r="C3981" t="s">
        <v>1505</v>
      </c>
      <c r="D3981" s="2" t="s">
        <v>1506</v>
      </c>
      <c r="E3981" t="s">
        <v>866</v>
      </c>
      <c r="F3981" t="s">
        <v>20</v>
      </c>
      <c r="G3981" t="s">
        <v>21</v>
      </c>
      <c r="H3981" t="s">
        <v>90</v>
      </c>
      <c r="I3981" t="s">
        <v>23</v>
      </c>
      <c r="J3981" t="s">
        <v>35</v>
      </c>
      <c r="K3981" s="2" t="s">
        <v>1910</v>
      </c>
      <c r="L3981" t="s">
        <v>26</v>
      </c>
      <c r="M3981">
        <v>336882</v>
      </c>
      <c r="N3981">
        <v>1</v>
      </c>
      <c r="O3981" s="3">
        <v>84950</v>
      </c>
      <c r="P3981" s="3">
        <v>35352</v>
      </c>
      <c r="Q3981" s="5">
        <f t="shared" si="186"/>
        <v>71386.554621848743</v>
      </c>
      <c r="R3981" s="5">
        <f t="shared" si="187"/>
        <v>35352</v>
      </c>
      <c r="S3981" s="5">
        <f t="shared" si="188"/>
        <v>36034.554621848743</v>
      </c>
    </row>
    <row r="3982" spans="1:19" hidden="1" x14ac:dyDescent="0.3">
      <c r="A3982">
        <v>170</v>
      </c>
      <c r="B3982" t="s">
        <v>4809</v>
      </c>
      <c r="C3982" t="s">
        <v>3484</v>
      </c>
      <c r="D3982" s="2" t="s">
        <v>3485</v>
      </c>
      <c r="E3982" t="s">
        <v>3486</v>
      </c>
      <c r="F3982" t="s">
        <v>20</v>
      </c>
      <c r="G3982" t="s">
        <v>21</v>
      </c>
      <c r="H3982" t="s">
        <v>247</v>
      </c>
      <c r="I3982" t="s">
        <v>23</v>
      </c>
      <c r="J3982" t="s">
        <v>40</v>
      </c>
      <c r="K3982" s="2" t="s">
        <v>1910</v>
      </c>
      <c r="L3982" t="s">
        <v>26</v>
      </c>
      <c r="M3982">
        <v>336883</v>
      </c>
      <c r="N3982">
        <v>1</v>
      </c>
      <c r="O3982" s="3">
        <v>59950</v>
      </c>
      <c r="P3982" s="3">
        <v>16103</v>
      </c>
      <c r="Q3982" s="5">
        <f t="shared" si="186"/>
        <v>50378.151260504201</v>
      </c>
      <c r="R3982" s="5">
        <f t="shared" si="187"/>
        <v>16103</v>
      </c>
      <c r="S3982" s="5">
        <f t="shared" si="188"/>
        <v>34275.151260504201</v>
      </c>
    </row>
    <row r="3983" spans="1:19" hidden="1" x14ac:dyDescent="0.3">
      <c r="A3983">
        <v>170</v>
      </c>
      <c r="B3983" t="s">
        <v>4809</v>
      </c>
      <c r="C3983" t="s">
        <v>2651</v>
      </c>
      <c r="D3983" s="2" t="s">
        <v>2652</v>
      </c>
      <c r="E3983" t="s">
        <v>2653</v>
      </c>
      <c r="F3983" t="s">
        <v>20</v>
      </c>
      <c r="G3983" t="s">
        <v>21</v>
      </c>
      <c r="H3983" t="s">
        <v>2315</v>
      </c>
      <c r="I3983" t="s">
        <v>23</v>
      </c>
      <c r="J3983" t="s">
        <v>35</v>
      </c>
      <c r="K3983" s="2" t="s">
        <v>1910</v>
      </c>
      <c r="L3983" t="s">
        <v>26</v>
      </c>
      <c r="M3983">
        <v>336884</v>
      </c>
      <c r="N3983">
        <v>1</v>
      </c>
      <c r="O3983" s="3">
        <v>89950</v>
      </c>
      <c r="P3983" s="3">
        <v>30749</v>
      </c>
      <c r="Q3983" s="5">
        <f t="shared" si="186"/>
        <v>75588.23529411765</v>
      </c>
      <c r="R3983" s="5">
        <f t="shared" si="187"/>
        <v>30749</v>
      </c>
      <c r="S3983" s="5">
        <f t="shared" si="188"/>
        <v>44839.23529411765</v>
      </c>
    </row>
    <row r="3984" spans="1:19" hidden="1" x14ac:dyDescent="0.3">
      <c r="A3984">
        <v>170</v>
      </c>
      <c r="B3984" t="s">
        <v>4809</v>
      </c>
      <c r="C3984" t="s">
        <v>5392</v>
      </c>
      <c r="D3984" s="2" t="s">
        <v>5393</v>
      </c>
      <c r="E3984" t="s">
        <v>5088</v>
      </c>
      <c r="F3984" t="s">
        <v>20</v>
      </c>
      <c r="G3984" t="s">
        <v>338</v>
      </c>
      <c r="H3984">
        <v>25327</v>
      </c>
      <c r="I3984" t="s">
        <v>23</v>
      </c>
      <c r="J3984" t="s">
        <v>35</v>
      </c>
      <c r="K3984" s="2" t="s">
        <v>1910</v>
      </c>
      <c r="L3984" t="s">
        <v>26</v>
      </c>
      <c r="M3984">
        <v>336885</v>
      </c>
      <c r="N3984">
        <v>1</v>
      </c>
      <c r="O3984" s="3">
        <v>74950</v>
      </c>
      <c r="P3984" s="3">
        <v>23119</v>
      </c>
      <c r="Q3984" s="5">
        <f t="shared" si="186"/>
        <v>62983.193277310929</v>
      </c>
      <c r="R3984" s="5">
        <f t="shared" si="187"/>
        <v>23119</v>
      </c>
      <c r="S3984" s="5">
        <f t="shared" si="188"/>
        <v>39864.193277310929</v>
      </c>
    </row>
    <row r="3985" spans="1:19" hidden="1" x14ac:dyDescent="0.3">
      <c r="A3985">
        <v>170</v>
      </c>
      <c r="B3985" t="s">
        <v>4809</v>
      </c>
      <c r="C3985" t="s">
        <v>5394</v>
      </c>
      <c r="D3985" s="2" t="s">
        <v>5395</v>
      </c>
      <c r="E3985" t="s">
        <v>3248</v>
      </c>
      <c r="F3985" t="s">
        <v>20</v>
      </c>
      <c r="G3985" t="s">
        <v>338</v>
      </c>
      <c r="H3985">
        <v>23201</v>
      </c>
      <c r="I3985" t="s">
        <v>23</v>
      </c>
      <c r="J3985" t="s">
        <v>49</v>
      </c>
      <c r="K3985" s="2" t="s">
        <v>1910</v>
      </c>
      <c r="L3985" t="s">
        <v>26</v>
      </c>
      <c r="M3985">
        <v>336886</v>
      </c>
      <c r="N3985">
        <v>1</v>
      </c>
      <c r="O3985" s="3">
        <v>84950</v>
      </c>
      <c r="P3985" s="3">
        <v>26390</v>
      </c>
      <c r="Q3985" s="5">
        <f t="shared" si="186"/>
        <v>71386.554621848743</v>
      </c>
      <c r="R3985" s="5">
        <f t="shared" si="187"/>
        <v>26390</v>
      </c>
      <c r="S3985" s="5">
        <f t="shared" si="188"/>
        <v>44996.554621848743</v>
      </c>
    </row>
    <row r="3986" spans="1:19" hidden="1" x14ac:dyDescent="0.3">
      <c r="A3986">
        <v>170</v>
      </c>
      <c r="B3986" t="s">
        <v>4809</v>
      </c>
      <c r="C3986" t="s">
        <v>5396</v>
      </c>
      <c r="D3986" s="2" t="s">
        <v>5397</v>
      </c>
      <c r="E3986" t="s">
        <v>1706</v>
      </c>
      <c r="F3986" t="s">
        <v>20</v>
      </c>
      <c r="G3986" t="s">
        <v>338</v>
      </c>
      <c r="H3986">
        <v>23201</v>
      </c>
      <c r="I3986" t="s">
        <v>23</v>
      </c>
      <c r="J3986" t="s">
        <v>49</v>
      </c>
      <c r="K3986" s="2" t="s">
        <v>1910</v>
      </c>
      <c r="L3986" t="s">
        <v>26</v>
      </c>
      <c r="M3986">
        <v>336886</v>
      </c>
      <c r="N3986">
        <v>1</v>
      </c>
      <c r="O3986" s="3">
        <v>72200</v>
      </c>
      <c r="P3986" s="3">
        <v>26390</v>
      </c>
      <c r="Q3986" s="5">
        <f t="shared" si="186"/>
        <v>60672.268907563026</v>
      </c>
      <c r="R3986" s="5">
        <f t="shared" si="187"/>
        <v>26390</v>
      </c>
      <c r="S3986" s="5">
        <f t="shared" si="188"/>
        <v>34282.268907563026</v>
      </c>
    </row>
    <row r="3987" spans="1:19" hidden="1" x14ac:dyDescent="0.3">
      <c r="A3987">
        <v>170</v>
      </c>
      <c r="B3987" t="s">
        <v>4809</v>
      </c>
      <c r="C3987" t="s">
        <v>5398</v>
      </c>
      <c r="D3987" s="2" t="s">
        <v>5399</v>
      </c>
      <c r="E3987" t="s">
        <v>113</v>
      </c>
      <c r="F3987" t="s">
        <v>20</v>
      </c>
      <c r="G3987" t="s">
        <v>21</v>
      </c>
      <c r="H3987" t="s">
        <v>114</v>
      </c>
      <c r="I3987" t="s">
        <v>23</v>
      </c>
      <c r="J3987" t="s">
        <v>49</v>
      </c>
      <c r="K3987" s="2" t="s">
        <v>1910</v>
      </c>
      <c r="L3987" t="s">
        <v>26</v>
      </c>
      <c r="M3987">
        <v>336887</v>
      </c>
      <c r="N3987">
        <v>1</v>
      </c>
      <c r="O3987" s="3">
        <v>29990</v>
      </c>
      <c r="P3987" s="3">
        <v>23506</v>
      </c>
      <c r="Q3987" s="5">
        <f t="shared" si="186"/>
        <v>25201.680672268907</v>
      </c>
      <c r="R3987" s="5">
        <f t="shared" si="187"/>
        <v>23506</v>
      </c>
      <c r="S3987" s="5">
        <f t="shared" si="188"/>
        <v>1695.6806722689071</v>
      </c>
    </row>
    <row r="3988" spans="1:19" hidden="1" x14ac:dyDescent="0.3">
      <c r="A3988">
        <v>170</v>
      </c>
      <c r="B3988" t="s">
        <v>4809</v>
      </c>
      <c r="C3988" t="s">
        <v>5400</v>
      </c>
      <c r="D3988" s="2" t="s">
        <v>5401</v>
      </c>
      <c r="E3988" t="s">
        <v>4540</v>
      </c>
      <c r="F3988" t="s">
        <v>20</v>
      </c>
      <c r="G3988" t="s">
        <v>338</v>
      </c>
      <c r="H3988">
        <v>25623</v>
      </c>
      <c r="I3988" t="s">
        <v>23</v>
      </c>
      <c r="J3988" t="s">
        <v>31</v>
      </c>
      <c r="K3988" s="2" t="s">
        <v>1910</v>
      </c>
      <c r="L3988" t="s">
        <v>26</v>
      </c>
      <c r="M3988">
        <v>336888</v>
      </c>
      <c r="N3988">
        <v>1</v>
      </c>
      <c r="O3988" s="3">
        <v>99950</v>
      </c>
      <c r="P3988" s="3">
        <v>33748</v>
      </c>
      <c r="Q3988" s="5">
        <f t="shared" si="186"/>
        <v>83991.596638655465</v>
      </c>
      <c r="R3988" s="5">
        <f t="shared" si="187"/>
        <v>33748</v>
      </c>
      <c r="S3988" s="5">
        <f t="shared" si="188"/>
        <v>50243.596638655465</v>
      </c>
    </row>
    <row r="3989" spans="1:19" hidden="1" x14ac:dyDescent="0.3">
      <c r="A3989">
        <v>170</v>
      </c>
      <c r="B3989" t="s">
        <v>4809</v>
      </c>
      <c r="C3989" t="s">
        <v>2627</v>
      </c>
      <c r="D3989" s="2" t="s">
        <v>2628</v>
      </c>
      <c r="E3989" t="s">
        <v>2629</v>
      </c>
      <c r="F3989" t="s">
        <v>20</v>
      </c>
      <c r="G3989" t="s">
        <v>21</v>
      </c>
      <c r="H3989" t="s">
        <v>1987</v>
      </c>
      <c r="I3989" t="s">
        <v>23</v>
      </c>
      <c r="J3989" t="s">
        <v>49</v>
      </c>
      <c r="K3989" s="2" t="s">
        <v>1910</v>
      </c>
      <c r="L3989" t="s">
        <v>26</v>
      </c>
      <c r="M3989">
        <v>336889</v>
      </c>
      <c r="N3989">
        <v>1</v>
      </c>
      <c r="O3989" s="3">
        <v>74950</v>
      </c>
      <c r="P3989" s="3">
        <v>23391</v>
      </c>
      <c r="Q3989" s="5">
        <f t="shared" si="186"/>
        <v>62983.193277310929</v>
      </c>
      <c r="R3989" s="5">
        <f t="shared" si="187"/>
        <v>23391</v>
      </c>
      <c r="S3989" s="5">
        <f t="shared" si="188"/>
        <v>39592.193277310929</v>
      </c>
    </row>
    <row r="3990" spans="1:19" hidden="1" x14ac:dyDescent="0.3">
      <c r="A3990">
        <v>170</v>
      </c>
      <c r="B3990" t="s">
        <v>4809</v>
      </c>
      <c r="C3990" t="s">
        <v>3904</v>
      </c>
      <c r="D3990" s="2" t="s">
        <v>3905</v>
      </c>
      <c r="E3990" t="s">
        <v>990</v>
      </c>
      <c r="F3990" t="s">
        <v>20</v>
      </c>
      <c r="G3990" t="s">
        <v>21</v>
      </c>
      <c r="H3990" t="s">
        <v>991</v>
      </c>
      <c r="I3990" t="s">
        <v>23</v>
      </c>
      <c r="J3990" t="s">
        <v>49</v>
      </c>
      <c r="K3990" s="2" t="s">
        <v>1910</v>
      </c>
      <c r="L3990" t="s">
        <v>26</v>
      </c>
      <c r="M3990">
        <v>336890</v>
      </c>
      <c r="N3990">
        <v>1</v>
      </c>
      <c r="O3990" s="3">
        <v>69950</v>
      </c>
      <c r="P3990" s="3">
        <v>22180</v>
      </c>
      <c r="Q3990" s="5">
        <f t="shared" si="186"/>
        <v>58781.512605042022</v>
      </c>
      <c r="R3990" s="5">
        <f t="shared" si="187"/>
        <v>22180</v>
      </c>
      <c r="S3990" s="5">
        <f t="shared" si="188"/>
        <v>36601.512605042022</v>
      </c>
    </row>
    <row r="3991" spans="1:19" hidden="1" x14ac:dyDescent="0.3">
      <c r="A3991">
        <v>170</v>
      </c>
      <c r="B3991" t="s">
        <v>4809</v>
      </c>
      <c r="C3991" t="s">
        <v>5402</v>
      </c>
      <c r="D3991" s="2" t="s">
        <v>5403</v>
      </c>
      <c r="E3991" t="s">
        <v>3666</v>
      </c>
      <c r="F3991" t="s">
        <v>20</v>
      </c>
      <c r="G3991" t="s">
        <v>338</v>
      </c>
      <c r="H3991">
        <v>24316</v>
      </c>
      <c r="I3991" t="s">
        <v>23</v>
      </c>
      <c r="J3991" t="s">
        <v>49</v>
      </c>
      <c r="K3991" s="2" t="s">
        <v>1910</v>
      </c>
      <c r="L3991" t="s">
        <v>26</v>
      </c>
      <c r="M3991">
        <v>336890</v>
      </c>
      <c r="N3991">
        <v>1</v>
      </c>
      <c r="O3991" s="3">
        <v>63700</v>
      </c>
      <c r="P3991" s="3">
        <v>23473</v>
      </c>
      <c r="Q3991" s="5">
        <f t="shared" si="186"/>
        <v>53529.411764705888</v>
      </c>
      <c r="R3991" s="5">
        <f t="shared" si="187"/>
        <v>23473</v>
      </c>
      <c r="S3991" s="5">
        <f t="shared" si="188"/>
        <v>30056.411764705888</v>
      </c>
    </row>
    <row r="3992" spans="1:19" hidden="1" x14ac:dyDescent="0.3">
      <c r="A3992">
        <v>170</v>
      </c>
      <c r="B3992" t="s">
        <v>4809</v>
      </c>
      <c r="C3992" t="s">
        <v>3141</v>
      </c>
      <c r="D3992" s="2" t="s">
        <v>3142</v>
      </c>
      <c r="E3992" t="s">
        <v>2323</v>
      </c>
      <c r="F3992" t="s">
        <v>20</v>
      </c>
      <c r="G3992" t="s">
        <v>21</v>
      </c>
      <c r="H3992" t="s">
        <v>1887</v>
      </c>
      <c r="I3992" t="s">
        <v>23</v>
      </c>
      <c r="J3992" t="s">
        <v>40</v>
      </c>
      <c r="K3992" s="2" t="s">
        <v>1910</v>
      </c>
      <c r="L3992" t="s">
        <v>26</v>
      </c>
      <c r="M3992">
        <v>336891</v>
      </c>
      <c r="N3992">
        <v>1</v>
      </c>
      <c r="O3992" s="3">
        <v>59450</v>
      </c>
      <c r="P3992" s="3">
        <v>21623</v>
      </c>
      <c r="Q3992" s="5">
        <f t="shared" si="186"/>
        <v>49957.983193277316</v>
      </c>
      <c r="R3992" s="5">
        <f t="shared" si="187"/>
        <v>21623</v>
      </c>
      <c r="S3992" s="5">
        <f t="shared" si="188"/>
        <v>28334.983193277316</v>
      </c>
    </row>
    <row r="3993" spans="1:19" hidden="1" x14ac:dyDescent="0.3">
      <c r="A3993">
        <v>170</v>
      </c>
      <c r="B3993" t="s">
        <v>4809</v>
      </c>
      <c r="C3993" t="s">
        <v>5404</v>
      </c>
      <c r="D3993" s="2" t="s">
        <v>5405</v>
      </c>
      <c r="E3993" t="s">
        <v>553</v>
      </c>
      <c r="F3993" t="s">
        <v>20</v>
      </c>
      <c r="G3993" t="s">
        <v>21</v>
      </c>
      <c r="H3993" t="s">
        <v>353</v>
      </c>
      <c r="I3993" t="s">
        <v>23</v>
      </c>
      <c r="J3993" t="s">
        <v>95</v>
      </c>
      <c r="K3993" s="2" t="s">
        <v>1910</v>
      </c>
      <c r="L3993" t="s">
        <v>26</v>
      </c>
      <c r="M3993">
        <v>336892</v>
      </c>
      <c r="N3993">
        <v>1</v>
      </c>
      <c r="O3993" s="3">
        <v>48991</v>
      </c>
      <c r="P3993" s="3">
        <v>31000</v>
      </c>
      <c r="Q3993" s="5">
        <f t="shared" si="186"/>
        <v>41168.907563025212</v>
      </c>
      <c r="R3993" s="5">
        <f t="shared" si="187"/>
        <v>31000</v>
      </c>
      <c r="S3993" s="5">
        <f t="shared" si="188"/>
        <v>10168.907563025212</v>
      </c>
    </row>
    <row r="3994" spans="1:19" hidden="1" x14ac:dyDescent="0.3">
      <c r="A3994">
        <v>170</v>
      </c>
      <c r="B3994" t="s">
        <v>4809</v>
      </c>
      <c r="C3994" t="s">
        <v>1363</v>
      </c>
      <c r="D3994" s="2" t="s">
        <v>1364</v>
      </c>
      <c r="E3994" t="s">
        <v>553</v>
      </c>
      <c r="F3994" t="s">
        <v>20</v>
      </c>
      <c r="G3994" t="s">
        <v>21</v>
      </c>
      <c r="H3994" t="s">
        <v>353</v>
      </c>
      <c r="I3994" t="s">
        <v>23</v>
      </c>
      <c r="J3994" t="s">
        <v>95</v>
      </c>
      <c r="K3994" s="2" t="s">
        <v>1910</v>
      </c>
      <c r="L3994" t="s">
        <v>26</v>
      </c>
      <c r="M3994">
        <v>336892</v>
      </c>
      <c r="N3994">
        <v>-1</v>
      </c>
      <c r="O3994" s="3">
        <v>-48990</v>
      </c>
      <c r="P3994" s="3">
        <v>31000</v>
      </c>
      <c r="Q3994" s="5">
        <f t="shared" si="186"/>
        <v>-41168.067226890758</v>
      </c>
      <c r="R3994" s="5">
        <f t="shared" si="187"/>
        <v>-31000</v>
      </c>
      <c r="S3994" s="5">
        <f t="shared" si="188"/>
        <v>-10168.067226890758</v>
      </c>
    </row>
    <row r="3995" spans="1:19" hidden="1" x14ac:dyDescent="0.3">
      <c r="A3995">
        <v>170</v>
      </c>
      <c r="B3995" t="s">
        <v>4809</v>
      </c>
      <c r="C3995" t="s">
        <v>5406</v>
      </c>
      <c r="D3995" s="2" t="s">
        <v>5407</v>
      </c>
      <c r="E3995" t="s">
        <v>5408</v>
      </c>
      <c r="F3995" t="s">
        <v>20</v>
      </c>
      <c r="G3995" t="s">
        <v>21</v>
      </c>
      <c r="H3995" t="s">
        <v>722</v>
      </c>
      <c r="I3995" t="s">
        <v>23</v>
      </c>
      <c r="J3995" t="s">
        <v>207</v>
      </c>
      <c r="K3995" s="2" t="s">
        <v>1910</v>
      </c>
      <c r="L3995" t="s">
        <v>26</v>
      </c>
      <c r="M3995">
        <v>336893</v>
      </c>
      <c r="N3995">
        <v>-1</v>
      </c>
      <c r="O3995" s="3">
        <v>-47960</v>
      </c>
      <c r="P3995" s="3">
        <v>15756</v>
      </c>
      <c r="Q3995" s="5">
        <f t="shared" si="186"/>
        <v>-40302.521008403361</v>
      </c>
      <c r="R3995" s="5">
        <f t="shared" si="187"/>
        <v>-15756</v>
      </c>
      <c r="S3995" s="5">
        <f t="shared" si="188"/>
        <v>-24546.521008403361</v>
      </c>
    </row>
    <row r="3996" spans="1:19" hidden="1" x14ac:dyDescent="0.3">
      <c r="A3996">
        <v>170</v>
      </c>
      <c r="B3996" t="s">
        <v>4809</v>
      </c>
      <c r="C3996" t="s">
        <v>5177</v>
      </c>
      <c r="D3996" s="2" t="s">
        <v>5178</v>
      </c>
      <c r="E3996" t="s">
        <v>3406</v>
      </c>
      <c r="F3996" t="s">
        <v>20</v>
      </c>
      <c r="G3996" t="s">
        <v>338</v>
      </c>
      <c r="H3996">
        <v>26825</v>
      </c>
      <c r="I3996" t="s">
        <v>23</v>
      </c>
      <c r="J3996" t="s">
        <v>35</v>
      </c>
      <c r="K3996" s="2" t="s">
        <v>1910</v>
      </c>
      <c r="L3996" t="s">
        <v>26</v>
      </c>
      <c r="M3996">
        <v>336893</v>
      </c>
      <c r="N3996">
        <v>1</v>
      </c>
      <c r="O3996" s="3">
        <v>79950</v>
      </c>
      <c r="P3996" s="3">
        <v>23119</v>
      </c>
      <c r="Q3996" s="5">
        <f t="shared" si="186"/>
        <v>67184.873949579836</v>
      </c>
      <c r="R3996" s="5">
        <f t="shared" si="187"/>
        <v>23119</v>
      </c>
      <c r="S3996" s="5">
        <f t="shared" si="188"/>
        <v>44065.873949579836</v>
      </c>
    </row>
    <row r="3997" spans="1:19" hidden="1" x14ac:dyDescent="0.3">
      <c r="A3997">
        <v>170</v>
      </c>
      <c r="B3997" t="s">
        <v>4809</v>
      </c>
      <c r="C3997" t="s">
        <v>434</v>
      </c>
      <c r="D3997" s="2" t="s">
        <v>435</v>
      </c>
      <c r="E3997" t="s">
        <v>436</v>
      </c>
      <c r="F3997" t="s">
        <v>20</v>
      </c>
      <c r="G3997" t="s">
        <v>21</v>
      </c>
      <c r="H3997" t="s">
        <v>160</v>
      </c>
      <c r="I3997" t="s">
        <v>23</v>
      </c>
      <c r="J3997" t="s">
        <v>49</v>
      </c>
      <c r="K3997" s="2" t="s">
        <v>1910</v>
      </c>
      <c r="L3997" t="s">
        <v>26</v>
      </c>
      <c r="M3997">
        <v>336894</v>
      </c>
      <c r="N3997">
        <v>-1</v>
      </c>
      <c r="O3997" s="3">
        <v>-49990</v>
      </c>
      <c r="P3997" s="3">
        <v>26374</v>
      </c>
      <c r="Q3997" s="5">
        <f t="shared" si="186"/>
        <v>-42008.403361344543</v>
      </c>
      <c r="R3997" s="5">
        <f t="shared" si="187"/>
        <v>-26374</v>
      </c>
      <c r="S3997" s="5">
        <f t="shared" si="188"/>
        <v>-15634.403361344543</v>
      </c>
    </row>
    <row r="3998" spans="1:19" hidden="1" x14ac:dyDescent="0.3">
      <c r="A3998">
        <v>170</v>
      </c>
      <c r="B3998" t="s">
        <v>4809</v>
      </c>
      <c r="C3998" t="s">
        <v>5409</v>
      </c>
      <c r="D3998" s="2" t="s">
        <v>5410</v>
      </c>
      <c r="E3998" t="s">
        <v>4846</v>
      </c>
      <c r="F3998" t="s">
        <v>20</v>
      </c>
      <c r="G3998" t="s">
        <v>21</v>
      </c>
      <c r="H3998" t="s">
        <v>3128</v>
      </c>
      <c r="I3998" t="s">
        <v>23</v>
      </c>
      <c r="J3998" t="s">
        <v>49</v>
      </c>
      <c r="K3998" s="2" t="s">
        <v>1910</v>
      </c>
      <c r="L3998" t="s">
        <v>26</v>
      </c>
      <c r="M3998">
        <v>336894</v>
      </c>
      <c r="N3998">
        <v>1</v>
      </c>
      <c r="O3998" s="3">
        <v>67950</v>
      </c>
      <c r="P3998" s="3">
        <v>30048</v>
      </c>
      <c r="Q3998" s="5">
        <f t="shared" si="186"/>
        <v>57100.840336134454</v>
      </c>
      <c r="R3998" s="5">
        <f t="shared" si="187"/>
        <v>30048</v>
      </c>
      <c r="S3998" s="5">
        <f t="shared" si="188"/>
        <v>27052.840336134454</v>
      </c>
    </row>
    <row r="3999" spans="1:19" hidden="1" x14ac:dyDescent="0.3">
      <c r="A3999">
        <v>170</v>
      </c>
      <c r="B3999" t="s">
        <v>4809</v>
      </c>
      <c r="C3999" t="s">
        <v>5411</v>
      </c>
      <c r="D3999" s="2" t="s">
        <v>5412</v>
      </c>
      <c r="E3999" t="s">
        <v>5119</v>
      </c>
      <c r="F3999" t="s">
        <v>20</v>
      </c>
      <c r="G3999" t="s">
        <v>21</v>
      </c>
      <c r="H3999" t="s">
        <v>2782</v>
      </c>
      <c r="I3999" t="s">
        <v>23</v>
      </c>
      <c r="J3999" t="s">
        <v>35</v>
      </c>
      <c r="K3999" s="2" t="s">
        <v>1910</v>
      </c>
      <c r="L3999" t="s">
        <v>26</v>
      </c>
      <c r="M3999">
        <v>336895</v>
      </c>
      <c r="N3999">
        <v>1</v>
      </c>
      <c r="O3999" s="3">
        <v>63700</v>
      </c>
      <c r="P3999" s="3">
        <v>24388</v>
      </c>
      <c r="Q3999" s="5">
        <f t="shared" si="186"/>
        <v>53529.411764705888</v>
      </c>
      <c r="R3999" s="5">
        <f t="shared" si="187"/>
        <v>24388</v>
      </c>
      <c r="S3999" s="5">
        <f t="shared" si="188"/>
        <v>29141.411764705888</v>
      </c>
    </row>
    <row r="4000" spans="1:19" hidden="1" x14ac:dyDescent="0.3">
      <c r="A4000">
        <v>170</v>
      </c>
      <c r="B4000" t="s">
        <v>4809</v>
      </c>
      <c r="C4000" t="s">
        <v>5413</v>
      </c>
      <c r="D4000" s="2" t="s">
        <v>5414</v>
      </c>
      <c r="E4000" t="s">
        <v>3328</v>
      </c>
      <c r="F4000" t="s">
        <v>20</v>
      </c>
      <c r="G4000" t="s">
        <v>338</v>
      </c>
      <c r="H4000">
        <v>23720</v>
      </c>
      <c r="I4000" t="s">
        <v>23</v>
      </c>
      <c r="J4000" t="s">
        <v>40</v>
      </c>
      <c r="K4000" s="2" t="s">
        <v>1910</v>
      </c>
      <c r="L4000" t="s">
        <v>26</v>
      </c>
      <c r="M4000">
        <v>336896</v>
      </c>
      <c r="N4000">
        <v>1</v>
      </c>
      <c r="O4000" s="3">
        <v>59950</v>
      </c>
      <c r="P4000" s="3">
        <v>19650</v>
      </c>
      <c r="Q4000" s="5">
        <f t="shared" si="186"/>
        <v>50378.151260504201</v>
      </c>
      <c r="R4000" s="5">
        <f t="shared" si="187"/>
        <v>19650</v>
      </c>
      <c r="S4000" s="5">
        <f t="shared" si="188"/>
        <v>30728.151260504201</v>
      </c>
    </row>
    <row r="4001" spans="1:19" hidden="1" x14ac:dyDescent="0.3">
      <c r="A4001">
        <v>170</v>
      </c>
      <c r="B4001" t="s">
        <v>4809</v>
      </c>
      <c r="C4001" t="s">
        <v>2502</v>
      </c>
      <c r="D4001" s="2" t="s">
        <v>2503</v>
      </c>
      <c r="E4001" t="s">
        <v>2504</v>
      </c>
      <c r="F4001" t="s">
        <v>20</v>
      </c>
      <c r="G4001" t="s">
        <v>21</v>
      </c>
      <c r="H4001" t="s">
        <v>2501</v>
      </c>
      <c r="I4001" t="s">
        <v>23</v>
      </c>
      <c r="J4001" t="s">
        <v>40</v>
      </c>
      <c r="K4001" s="2" t="s">
        <v>1910</v>
      </c>
      <c r="L4001" t="s">
        <v>26</v>
      </c>
      <c r="M4001">
        <v>336896</v>
      </c>
      <c r="N4001">
        <v>1</v>
      </c>
      <c r="O4001" s="3">
        <v>72200</v>
      </c>
      <c r="P4001" s="3">
        <v>31649</v>
      </c>
      <c r="Q4001" s="5">
        <f t="shared" si="186"/>
        <v>60672.268907563026</v>
      </c>
      <c r="R4001" s="5">
        <f t="shared" si="187"/>
        <v>31649</v>
      </c>
      <c r="S4001" s="5">
        <f t="shared" si="188"/>
        <v>29023.268907563026</v>
      </c>
    </row>
    <row r="4002" spans="1:19" hidden="1" x14ac:dyDescent="0.3">
      <c r="A4002">
        <v>170</v>
      </c>
      <c r="B4002" t="s">
        <v>4809</v>
      </c>
      <c r="C4002" t="s">
        <v>3840</v>
      </c>
      <c r="D4002" s="2" t="s">
        <v>3841</v>
      </c>
      <c r="E4002" t="s">
        <v>2810</v>
      </c>
      <c r="F4002" t="s">
        <v>20</v>
      </c>
      <c r="G4002" t="s">
        <v>21</v>
      </c>
      <c r="H4002" t="s">
        <v>1987</v>
      </c>
      <c r="I4002" t="s">
        <v>23</v>
      </c>
      <c r="J4002" t="s">
        <v>35</v>
      </c>
      <c r="K4002" s="2" t="s">
        <v>1910</v>
      </c>
      <c r="L4002" t="s">
        <v>26</v>
      </c>
      <c r="M4002">
        <v>336897</v>
      </c>
      <c r="N4002">
        <v>1</v>
      </c>
      <c r="O4002" s="3">
        <v>89950</v>
      </c>
      <c r="P4002" s="3">
        <v>29858</v>
      </c>
      <c r="Q4002" s="5">
        <f t="shared" si="186"/>
        <v>75588.23529411765</v>
      </c>
      <c r="R4002" s="5">
        <f t="shared" si="187"/>
        <v>29858</v>
      </c>
      <c r="S4002" s="5">
        <f t="shared" si="188"/>
        <v>45730.23529411765</v>
      </c>
    </row>
    <row r="4003" spans="1:19" hidden="1" x14ac:dyDescent="0.3">
      <c r="A4003">
        <v>170</v>
      </c>
      <c r="B4003" t="s">
        <v>4809</v>
      </c>
      <c r="C4003" t="s">
        <v>5415</v>
      </c>
      <c r="D4003" s="2" t="s">
        <v>5416</v>
      </c>
      <c r="E4003" t="s">
        <v>3837</v>
      </c>
      <c r="F4003" t="s">
        <v>20</v>
      </c>
      <c r="G4003" t="s">
        <v>21</v>
      </c>
      <c r="H4003" t="s">
        <v>1457</v>
      </c>
      <c r="I4003" t="s">
        <v>23</v>
      </c>
      <c r="J4003" t="s">
        <v>40</v>
      </c>
      <c r="K4003" s="2" t="s">
        <v>1910</v>
      </c>
      <c r="L4003" t="s">
        <v>26</v>
      </c>
      <c r="M4003">
        <v>336898</v>
      </c>
      <c r="N4003">
        <v>1</v>
      </c>
      <c r="O4003" s="3">
        <v>55200</v>
      </c>
      <c r="P4003" s="3">
        <v>18239</v>
      </c>
      <c r="Q4003" s="5">
        <f t="shared" si="186"/>
        <v>46386.554621848743</v>
      </c>
      <c r="R4003" s="5">
        <f t="shared" si="187"/>
        <v>18239</v>
      </c>
      <c r="S4003" s="5">
        <f t="shared" si="188"/>
        <v>28147.554621848743</v>
      </c>
    </row>
    <row r="4004" spans="1:19" hidden="1" x14ac:dyDescent="0.3">
      <c r="A4004">
        <v>170</v>
      </c>
      <c r="B4004" t="s">
        <v>4809</v>
      </c>
      <c r="C4004" t="s">
        <v>5417</v>
      </c>
      <c r="D4004" s="2" t="s">
        <v>5418</v>
      </c>
      <c r="E4004" t="s">
        <v>3494</v>
      </c>
      <c r="F4004" t="s">
        <v>20</v>
      </c>
      <c r="G4004" t="s">
        <v>338</v>
      </c>
      <c r="H4004">
        <v>83726</v>
      </c>
      <c r="I4004" t="s">
        <v>23</v>
      </c>
      <c r="J4004" t="s">
        <v>40</v>
      </c>
      <c r="K4004" s="2" t="s">
        <v>1910</v>
      </c>
      <c r="L4004" t="s">
        <v>26</v>
      </c>
      <c r="M4004">
        <v>336898</v>
      </c>
      <c r="N4004">
        <v>1</v>
      </c>
      <c r="O4004" s="3">
        <v>69990</v>
      </c>
      <c r="P4004" s="3">
        <v>30263</v>
      </c>
      <c r="Q4004" s="5">
        <f t="shared" si="186"/>
        <v>58815.126050420171</v>
      </c>
      <c r="R4004" s="5">
        <f t="shared" si="187"/>
        <v>30263</v>
      </c>
      <c r="S4004" s="5">
        <f t="shared" si="188"/>
        <v>28552.126050420171</v>
      </c>
    </row>
    <row r="4005" spans="1:19" hidden="1" x14ac:dyDescent="0.3">
      <c r="A4005">
        <v>170</v>
      </c>
      <c r="B4005" t="s">
        <v>4809</v>
      </c>
      <c r="C4005" t="s">
        <v>4617</v>
      </c>
      <c r="D4005" s="2" t="s">
        <v>4618</v>
      </c>
      <c r="E4005" t="s">
        <v>2870</v>
      </c>
      <c r="F4005" t="s">
        <v>20</v>
      </c>
      <c r="G4005" t="s">
        <v>21</v>
      </c>
      <c r="H4005" t="s">
        <v>30</v>
      </c>
      <c r="I4005" t="s">
        <v>23</v>
      </c>
      <c r="J4005" t="s">
        <v>35</v>
      </c>
      <c r="K4005" s="2" t="s">
        <v>3310</v>
      </c>
      <c r="L4005" t="s">
        <v>26</v>
      </c>
      <c r="M4005">
        <v>336899</v>
      </c>
      <c r="N4005">
        <v>1</v>
      </c>
      <c r="O4005" s="3">
        <v>79950</v>
      </c>
      <c r="P4005" s="3">
        <v>30749</v>
      </c>
      <c r="Q4005" s="5">
        <f t="shared" si="186"/>
        <v>67184.873949579836</v>
      </c>
      <c r="R4005" s="5">
        <f t="shared" si="187"/>
        <v>30749</v>
      </c>
      <c r="S4005" s="5">
        <f t="shared" si="188"/>
        <v>36435.873949579836</v>
      </c>
    </row>
    <row r="4006" spans="1:19" hidden="1" x14ac:dyDescent="0.3">
      <c r="A4006">
        <v>170</v>
      </c>
      <c r="B4006" t="s">
        <v>4809</v>
      </c>
      <c r="C4006" t="s">
        <v>3466</v>
      </c>
      <c r="D4006" s="2" t="s">
        <v>3467</v>
      </c>
      <c r="E4006" t="s">
        <v>316</v>
      </c>
      <c r="F4006" t="s">
        <v>20</v>
      </c>
      <c r="G4006" t="s">
        <v>21</v>
      </c>
      <c r="H4006" t="s">
        <v>317</v>
      </c>
      <c r="I4006" t="s">
        <v>23</v>
      </c>
      <c r="J4006" t="s">
        <v>35</v>
      </c>
      <c r="K4006" s="2" t="s">
        <v>3310</v>
      </c>
      <c r="L4006" t="s">
        <v>26</v>
      </c>
      <c r="M4006">
        <v>336900</v>
      </c>
      <c r="N4006">
        <v>1</v>
      </c>
      <c r="O4006" s="3">
        <v>69950</v>
      </c>
      <c r="P4006" s="3">
        <v>24552</v>
      </c>
      <c r="Q4006" s="5">
        <f t="shared" si="186"/>
        <v>58781.512605042022</v>
      </c>
      <c r="R4006" s="5">
        <f t="shared" si="187"/>
        <v>24552</v>
      </c>
      <c r="S4006" s="5">
        <f t="shared" si="188"/>
        <v>34229.512605042022</v>
      </c>
    </row>
    <row r="4007" spans="1:19" hidden="1" x14ac:dyDescent="0.3">
      <c r="A4007">
        <v>170</v>
      </c>
      <c r="B4007" t="s">
        <v>4809</v>
      </c>
      <c r="C4007" t="s">
        <v>4128</v>
      </c>
      <c r="D4007" s="2" t="s">
        <v>4129</v>
      </c>
      <c r="E4007" t="s">
        <v>3229</v>
      </c>
      <c r="F4007" t="s">
        <v>20</v>
      </c>
      <c r="G4007" t="s">
        <v>338</v>
      </c>
      <c r="H4007">
        <v>22419</v>
      </c>
      <c r="I4007" t="s">
        <v>23</v>
      </c>
      <c r="J4007" t="s">
        <v>49</v>
      </c>
      <c r="K4007" s="2" t="s">
        <v>3310</v>
      </c>
      <c r="L4007" t="s">
        <v>26</v>
      </c>
      <c r="M4007">
        <v>336901</v>
      </c>
      <c r="N4007">
        <v>1</v>
      </c>
      <c r="O4007" s="3">
        <v>64950</v>
      </c>
      <c r="P4007" s="3">
        <v>16987</v>
      </c>
      <c r="Q4007" s="5">
        <f t="shared" si="186"/>
        <v>54579.831932773115</v>
      </c>
      <c r="R4007" s="5">
        <f t="shared" si="187"/>
        <v>16987</v>
      </c>
      <c r="S4007" s="5">
        <f t="shared" si="188"/>
        <v>37592.831932773115</v>
      </c>
    </row>
    <row r="4008" spans="1:19" hidden="1" x14ac:dyDescent="0.3">
      <c r="A4008">
        <v>170</v>
      </c>
      <c r="B4008" t="s">
        <v>4809</v>
      </c>
      <c r="C4008" t="s">
        <v>5388</v>
      </c>
      <c r="D4008" s="2" t="s">
        <v>5389</v>
      </c>
      <c r="E4008" t="s">
        <v>2314</v>
      </c>
      <c r="F4008" t="s">
        <v>20</v>
      </c>
      <c r="G4008" t="s">
        <v>21</v>
      </c>
      <c r="H4008" t="s">
        <v>2315</v>
      </c>
      <c r="I4008" t="s">
        <v>23</v>
      </c>
      <c r="J4008" t="s">
        <v>49</v>
      </c>
      <c r="K4008" s="2" t="s">
        <v>3310</v>
      </c>
      <c r="L4008" t="s">
        <v>26</v>
      </c>
      <c r="M4008">
        <v>336902</v>
      </c>
      <c r="N4008">
        <v>-1</v>
      </c>
      <c r="O4008" s="3">
        <v>-74950</v>
      </c>
      <c r="P4008" s="3">
        <v>29084</v>
      </c>
      <c r="Q4008" s="5">
        <f t="shared" si="186"/>
        <v>-62983.193277310929</v>
      </c>
      <c r="R4008" s="5">
        <f t="shared" si="187"/>
        <v>-29084</v>
      </c>
      <c r="S4008" s="5">
        <f t="shared" si="188"/>
        <v>-33899.193277310929</v>
      </c>
    </row>
    <row r="4009" spans="1:19" hidden="1" x14ac:dyDescent="0.3">
      <c r="A4009">
        <v>170</v>
      </c>
      <c r="B4009" t="s">
        <v>4809</v>
      </c>
      <c r="C4009" t="s">
        <v>1451</v>
      </c>
      <c r="D4009" s="2" t="s">
        <v>1452</v>
      </c>
      <c r="E4009" t="s">
        <v>1453</v>
      </c>
      <c r="F4009" t="s">
        <v>20</v>
      </c>
      <c r="G4009" t="s">
        <v>338</v>
      </c>
      <c r="H4009">
        <v>22410</v>
      </c>
      <c r="I4009" t="s">
        <v>23</v>
      </c>
      <c r="J4009" t="s">
        <v>49</v>
      </c>
      <c r="K4009" s="2" t="s">
        <v>3310</v>
      </c>
      <c r="L4009" t="s">
        <v>26</v>
      </c>
      <c r="M4009">
        <v>336902</v>
      </c>
      <c r="N4009">
        <v>1</v>
      </c>
      <c r="O4009" s="3">
        <v>69950</v>
      </c>
      <c r="P4009" s="3">
        <v>20848</v>
      </c>
      <c r="Q4009" s="5">
        <f t="shared" si="186"/>
        <v>58781.512605042022</v>
      </c>
      <c r="R4009" s="5">
        <f t="shared" si="187"/>
        <v>20848</v>
      </c>
      <c r="S4009" s="5">
        <f t="shared" si="188"/>
        <v>37933.512605042022</v>
      </c>
    </row>
    <row r="4010" spans="1:19" hidden="1" x14ac:dyDescent="0.3">
      <c r="A4010">
        <v>170</v>
      </c>
      <c r="B4010" t="s">
        <v>4809</v>
      </c>
      <c r="C4010" t="s">
        <v>1037</v>
      </c>
      <c r="D4010" s="2" t="s">
        <v>1038</v>
      </c>
      <c r="E4010" t="s">
        <v>1039</v>
      </c>
      <c r="F4010" t="s">
        <v>377</v>
      </c>
      <c r="G4010" t="s">
        <v>21</v>
      </c>
      <c r="H4010" t="s">
        <v>378</v>
      </c>
      <c r="I4010" t="s">
        <v>23</v>
      </c>
      <c r="J4010" t="s">
        <v>379</v>
      </c>
      <c r="K4010" s="2" t="s">
        <v>3310</v>
      </c>
      <c r="L4010" t="s">
        <v>26</v>
      </c>
      <c r="M4010">
        <v>336902</v>
      </c>
      <c r="N4010">
        <v>1</v>
      </c>
      <c r="O4010" s="3">
        <v>5950</v>
      </c>
      <c r="P4010" s="3">
        <v>3257</v>
      </c>
      <c r="Q4010" s="5">
        <f t="shared" si="186"/>
        <v>5000</v>
      </c>
      <c r="R4010" s="5">
        <f t="shared" si="187"/>
        <v>3257</v>
      </c>
      <c r="S4010" s="5">
        <f t="shared" si="188"/>
        <v>1743</v>
      </c>
    </row>
    <row r="4011" spans="1:19" hidden="1" x14ac:dyDescent="0.3">
      <c r="A4011">
        <v>170</v>
      </c>
      <c r="B4011" t="s">
        <v>4809</v>
      </c>
      <c r="C4011" t="s">
        <v>4538</v>
      </c>
      <c r="D4011" s="2" t="s">
        <v>4539</v>
      </c>
      <c r="E4011" t="s">
        <v>4540</v>
      </c>
      <c r="F4011" t="s">
        <v>20</v>
      </c>
      <c r="G4011" t="s">
        <v>338</v>
      </c>
      <c r="H4011">
        <v>25623</v>
      </c>
      <c r="I4011" t="s">
        <v>23</v>
      </c>
      <c r="J4011" t="s">
        <v>31</v>
      </c>
      <c r="K4011" s="2" t="s">
        <v>3310</v>
      </c>
      <c r="L4011" t="s">
        <v>26</v>
      </c>
      <c r="M4011">
        <v>336903</v>
      </c>
      <c r="N4011">
        <v>1</v>
      </c>
      <c r="O4011" s="3">
        <v>99950</v>
      </c>
      <c r="P4011" s="3">
        <v>33748</v>
      </c>
      <c r="Q4011" s="5">
        <f t="shared" si="186"/>
        <v>83991.596638655465</v>
      </c>
      <c r="R4011" s="5">
        <f t="shared" si="187"/>
        <v>33748</v>
      </c>
      <c r="S4011" s="5">
        <f t="shared" si="188"/>
        <v>50243.596638655465</v>
      </c>
    </row>
    <row r="4012" spans="1:19" hidden="1" x14ac:dyDescent="0.3">
      <c r="A4012">
        <v>170</v>
      </c>
      <c r="B4012" t="s">
        <v>4809</v>
      </c>
      <c r="C4012" t="s">
        <v>5419</v>
      </c>
      <c r="D4012" s="2" t="s">
        <v>5420</v>
      </c>
      <c r="E4012" t="s">
        <v>1907</v>
      </c>
      <c r="F4012" t="s">
        <v>20</v>
      </c>
      <c r="G4012" t="s">
        <v>21</v>
      </c>
      <c r="H4012" t="s">
        <v>1227</v>
      </c>
      <c r="I4012" t="s">
        <v>23</v>
      </c>
      <c r="J4012" t="s">
        <v>35</v>
      </c>
      <c r="K4012" s="2" t="s">
        <v>3310</v>
      </c>
      <c r="L4012" t="s">
        <v>26</v>
      </c>
      <c r="M4012">
        <v>336904</v>
      </c>
      <c r="N4012">
        <v>1</v>
      </c>
      <c r="O4012" s="3">
        <v>84950</v>
      </c>
      <c r="P4012" s="3">
        <v>52118</v>
      </c>
      <c r="Q4012" s="5">
        <f t="shared" si="186"/>
        <v>71386.554621848743</v>
      </c>
      <c r="R4012" s="5">
        <f t="shared" si="187"/>
        <v>52118</v>
      </c>
      <c r="S4012" s="5">
        <f t="shared" si="188"/>
        <v>19268.554621848743</v>
      </c>
    </row>
    <row r="4013" spans="1:19" hidden="1" x14ac:dyDescent="0.3">
      <c r="A4013">
        <v>170</v>
      </c>
      <c r="B4013" t="s">
        <v>4809</v>
      </c>
      <c r="C4013" t="s">
        <v>3935</v>
      </c>
      <c r="D4013" s="2" t="s">
        <v>3936</v>
      </c>
      <c r="E4013" t="s">
        <v>1330</v>
      </c>
      <c r="F4013" t="s">
        <v>20</v>
      </c>
      <c r="G4013" t="s">
        <v>338</v>
      </c>
      <c r="H4013">
        <v>25133</v>
      </c>
      <c r="I4013" t="s">
        <v>23</v>
      </c>
      <c r="J4013" t="s">
        <v>35</v>
      </c>
      <c r="K4013" s="2" t="s">
        <v>3310</v>
      </c>
      <c r="L4013" t="s">
        <v>26</v>
      </c>
      <c r="M4013">
        <v>336904</v>
      </c>
      <c r="N4013">
        <v>1</v>
      </c>
      <c r="O4013" s="3">
        <v>74950</v>
      </c>
      <c r="P4013" s="3">
        <v>21167</v>
      </c>
      <c r="Q4013" s="5">
        <f t="shared" si="186"/>
        <v>62983.193277310929</v>
      </c>
      <c r="R4013" s="5">
        <f t="shared" si="187"/>
        <v>21167</v>
      </c>
      <c r="S4013" s="5">
        <f t="shared" si="188"/>
        <v>41816.193277310929</v>
      </c>
    </row>
    <row r="4014" spans="1:19" hidden="1" x14ac:dyDescent="0.3">
      <c r="A4014">
        <v>170</v>
      </c>
      <c r="B4014" t="s">
        <v>4809</v>
      </c>
      <c r="C4014" t="s">
        <v>3796</v>
      </c>
      <c r="D4014" s="2" t="s">
        <v>3797</v>
      </c>
      <c r="E4014" t="s">
        <v>3195</v>
      </c>
      <c r="F4014" t="s">
        <v>20</v>
      </c>
      <c r="G4014" t="s">
        <v>338</v>
      </c>
      <c r="H4014">
        <v>25366</v>
      </c>
      <c r="I4014" t="s">
        <v>23</v>
      </c>
      <c r="J4014" t="s">
        <v>35</v>
      </c>
      <c r="K4014" s="2" t="s">
        <v>3310</v>
      </c>
      <c r="L4014" t="s">
        <v>26</v>
      </c>
      <c r="M4014">
        <v>336905</v>
      </c>
      <c r="N4014">
        <v>-1</v>
      </c>
      <c r="O4014" s="3">
        <v>-99950</v>
      </c>
      <c r="P4014" s="3">
        <v>33157</v>
      </c>
      <c r="Q4014" s="5">
        <f t="shared" si="186"/>
        <v>-83991.596638655465</v>
      </c>
      <c r="R4014" s="5">
        <f t="shared" si="187"/>
        <v>-33157</v>
      </c>
      <c r="S4014" s="5">
        <f t="shared" si="188"/>
        <v>-50834.596638655465</v>
      </c>
    </row>
    <row r="4015" spans="1:19" hidden="1" x14ac:dyDescent="0.3">
      <c r="A4015">
        <v>170</v>
      </c>
      <c r="B4015" t="s">
        <v>4809</v>
      </c>
      <c r="C4015" t="s">
        <v>3193</v>
      </c>
      <c r="D4015" s="2" t="s">
        <v>3194</v>
      </c>
      <c r="E4015" t="s">
        <v>3195</v>
      </c>
      <c r="F4015" t="s">
        <v>20</v>
      </c>
      <c r="G4015" t="s">
        <v>338</v>
      </c>
      <c r="H4015">
        <v>25366</v>
      </c>
      <c r="I4015" t="s">
        <v>23</v>
      </c>
      <c r="J4015" t="s">
        <v>35</v>
      </c>
      <c r="K4015" s="2" t="s">
        <v>3310</v>
      </c>
      <c r="L4015" t="s">
        <v>26</v>
      </c>
      <c r="M4015">
        <v>336905</v>
      </c>
      <c r="N4015">
        <v>1</v>
      </c>
      <c r="O4015" s="3">
        <v>99951</v>
      </c>
      <c r="P4015" s="3">
        <v>33157</v>
      </c>
      <c r="Q4015" s="5">
        <f t="shared" si="186"/>
        <v>83992.436974789918</v>
      </c>
      <c r="R4015" s="5">
        <f t="shared" si="187"/>
        <v>33157</v>
      </c>
      <c r="S4015" s="5">
        <f t="shared" si="188"/>
        <v>50835.436974789918</v>
      </c>
    </row>
    <row r="4016" spans="1:19" hidden="1" x14ac:dyDescent="0.3">
      <c r="A4016">
        <v>170</v>
      </c>
      <c r="B4016" t="s">
        <v>4809</v>
      </c>
      <c r="C4016" t="s">
        <v>1037</v>
      </c>
      <c r="D4016" s="2" t="s">
        <v>1038</v>
      </c>
      <c r="E4016" t="s">
        <v>1039</v>
      </c>
      <c r="F4016" t="s">
        <v>377</v>
      </c>
      <c r="G4016" t="s">
        <v>21</v>
      </c>
      <c r="H4016" t="s">
        <v>378</v>
      </c>
      <c r="I4016" t="s">
        <v>23</v>
      </c>
      <c r="J4016" t="s">
        <v>379</v>
      </c>
      <c r="K4016" s="2" t="s">
        <v>3310</v>
      </c>
      <c r="L4016" t="s">
        <v>26</v>
      </c>
      <c r="M4016">
        <v>336906</v>
      </c>
      <c r="N4016">
        <v>1</v>
      </c>
      <c r="O4016" s="3">
        <v>5950</v>
      </c>
      <c r="P4016" s="3">
        <v>3257</v>
      </c>
      <c r="Q4016" s="5">
        <f t="shared" si="186"/>
        <v>5000</v>
      </c>
      <c r="R4016" s="5">
        <f t="shared" si="187"/>
        <v>3257</v>
      </c>
      <c r="S4016" s="5">
        <f t="shared" si="188"/>
        <v>1743</v>
      </c>
    </row>
    <row r="4017" spans="1:19" hidden="1" x14ac:dyDescent="0.3">
      <c r="A4017">
        <v>170</v>
      </c>
      <c r="B4017" t="s">
        <v>4809</v>
      </c>
      <c r="C4017" t="s">
        <v>2756</v>
      </c>
      <c r="D4017" s="2" t="s">
        <v>2757</v>
      </c>
      <c r="E4017" t="s">
        <v>2758</v>
      </c>
      <c r="F4017" t="s">
        <v>20</v>
      </c>
      <c r="G4017" t="s">
        <v>21</v>
      </c>
      <c r="H4017" t="s">
        <v>2759</v>
      </c>
      <c r="I4017" t="s">
        <v>23</v>
      </c>
      <c r="J4017" t="s">
        <v>49</v>
      </c>
      <c r="K4017" s="2" t="s">
        <v>3310</v>
      </c>
      <c r="L4017" t="s">
        <v>26</v>
      </c>
      <c r="M4017">
        <v>336907</v>
      </c>
      <c r="N4017">
        <v>1</v>
      </c>
      <c r="O4017" s="3">
        <v>79950</v>
      </c>
      <c r="P4017" s="3">
        <v>33469</v>
      </c>
      <c r="Q4017" s="5">
        <f t="shared" si="186"/>
        <v>67184.873949579836</v>
      </c>
      <c r="R4017" s="5">
        <f t="shared" si="187"/>
        <v>33469</v>
      </c>
      <c r="S4017" s="5">
        <f t="shared" si="188"/>
        <v>33715.873949579836</v>
      </c>
    </row>
    <row r="4018" spans="1:19" hidden="1" x14ac:dyDescent="0.3">
      <c r="A4018">
        <v>170</v>
      </c>
      <c r="B4018" t="s">
        <v>4809</v>
      </c>
      <c r="C4018" t="s">
        <v>3311</v>
      </c>
      <c r="D4018" s="2" t="s">
        <v>3312</v>
      </c>
      <c r="E4018" t="s">
        <v>494</v>
      </c>
      <c r="F4018" t="s">
        <v>20</v>
      </c>
      <c r="G4018" t="s">
        <v>21</v>
      </c>
      <c r="H4018" t="s">
        <v>317</v>
      </c>
      <c r="I4018" t="s">
        <v>23</v>
      </c>
      <c r="J4018" t="s">
        <v>35</v>
      </c>
      <c r="K4018" s="2" t="s">
        <v>3310</v>
      </c>
      <c r="L4018" t="s">
        <v>26</v>
      </c>
      <c r="M4018">
        <v>336908</v>
      </c>
      <c r="N4018">
        <v>-1</v>
      </c>
      <c r="O4018" s="3">
        <v>-69950</v>
      </c>
      <c r="P4018" s="3">
        <v>23619</v>
      </c>
      <c r="Q4018" s="5">
        <f t="shared" si="186"/>
        <v>-58781.512605042022</v>
      </c>
      <c r="R4018" s="5">
        <f t="shared" si="187"/>
        <v>-23619</v>
      </c>
      <c r="S4018" s="5">
        <f t="shared" si="188"/>
        <v>-35162.512605042022</v>
      </c>
    </row>
    <row r="4019" spans="1:19" hidden="1" x14ac:dyDescent="0.3">
      <c r="A4019">
        <v>170</v>
      </c>
      <c r="B4019" t="s">
        <v>4809</v>
      </c>
      <c r="C4019" t="s">
        <v>5421</v>
      </c>
      <c r="D4019" s="2" t="s">
        <v>5422</v>
      </c>
      <c r="E4019" t="s">
        <v>3438</v>
      </c>
      <c r="F4019" t="s">
        <v>20</v>
      </c>
      <c r="G4019" t="s">
        <v>338</v>
      </c>
      <c r="H4019">
        <v>83707</v>
      </c>
      <c r="I4019" t="s">
        <v>23</v>
      </c>
      <c r="J4019" t="s">
        <v>40</v>
      </c>
      <c r="K4019" s="2" t="s">
        <v>3310</v>
      </c>
      <c r="L4019" t="s">
        <v>26</v>
      </c>
      <c r="M4019">
        <v>336908</v>
      </c>
      <c r="N4019">
        <v>1</v>
      </c>
      <c r="O4019" s="3">
        <v>89950</v>
      </c>
      <c r="P4019" s="3">
        <v>30263</v>
      </c>
      <c r="Q4019" s="5">
        <f t="shared" si="186"/>
        <v>75588.23529411765</v>
      </c>
      <c r="R4019" s="5">
        <f t="shared" si="187"/>
        <v>30263</v>
      </c>
      <c r="S4019" s="5">
        <f t="shared" si="188"/>
        <v>45325.23529411765</v>
      </c>
    </row>
    <row r="4020" spans="1:19" hidden="1" x14ac:dyDescent="0.3">
      <c r="A4020">
        <v>170</v>
      </c>
      <c r="B4020" t="s">
        <v>4809</v>
      </c>
      <c r="C4020" t="s">
        <v>3273</v>
      </c>
      <c r="D4020" s="2" t="s">
        <v>3274</v>
      </c>
      <c r="E4020" t="s">
        <v>499</v>
      </c>
      <c r="F4020" t="s">
        <v>20</v>
      </c>
      <c r="G4020" t="s">
        <v>21</v>
      </c>
      <c r="H4020" t="s">
        <v>500</v>
      </c>
      <c r="I4020" t="s">
        <v>23</v>
      </c>
      <c r="J4020" t="s">
        <v>40</v>
      </c>
      <c r="K4020" s="2" t="s">
        <v>3310</v>
      </c>
      <c r="L4020" t="s">
        <v>26</v>
      </c>
      <c r="M4020">
        <v>336909</v>
      </c>
      <c r="N4020">
        <v>1</v>
      </c>
      <c r="O4020" s="3">
        <v>50950</v>
      </c>
      <c r="P4020" s="3">
        <v>17416</v>
      </c>
      <c r="Q4020" s="5">
        <f t="shared" si="186"/>
        <v>42815.126050420171</v>
      </c>
      <c r="R4020" s="5">
        <f t="shared" si="187"/>
        <v>17416</v>
      </c>
      <c r="S4020" s="5">
        <f t="shared" si="188"/>
        <v>25399.126050420171</v>
      </c>
    </row>
    <row r="4021" spans="1:19" hidden="1" x14ac:dyDescent="0.3">
      <c r="A4021">
        <v>170</v>
      </c>
      <c r="B4021" t="s">
        <v>4809</v>
      </c>
      <c r="C4021" t="s">
        <v>791</v>
      </c>
      <c r="D4021" s="2" t="s">
        <v>792</v>
      </c>
      <c r="E4021" t="s">
        <v>793</v>
      </c>
      <c r="F4021" t="s">
        <v>20</v>
      </c>
      <c r="G4021" t="s">
        <v>21</v>
      </c>
      <c r="H4021" t="s">
        <v>794</v>
      </c>
      <c r="I4021" t="s">
        <v>23</v>
      </c>
      <c r="J4021" t="s">
        <v>40</v>
      </c>
      <c r="K4021" s="2" t="s">
        <v>3310</v>
      </c>
      <c r="L4021" t="s">
        <v>26</v>
      </c>
      <c r="M4021">
        <v>336909</v>
      </c>
      <c r="N4021">
        <v>1</v>
      </c>
      <c r="O4021" s="3">
        <v>49990</v>
      </c>
      <c r="P4021" s="3">
        <v>21475</v>
      </c>
      <c r="Q4021" s="5">
        <f t="shared" si="186"/>
        <v>42008.403361344543</v>
      </c>
      <c r="R4021" s="5">
        <f t="shared" si="187"/>
        <v>21475</v>
      </c>
      <c r="S4021" s="5">
        <f t="shared" si="188"/>
        <v>20533.403361344543</v>
      </c>
    </row>
    <row r="4022" spans="1:19" hidden="1" x14ac:dyDescent="0.3">
      <c r="A4022">
        <v>170</v>
      </c>
      <c r="B4022" t="s">
        <v>4809</v>
      </c>
      <c r="C4022" t="s">
        <v>3443</v>
      </c>
      <c r="D4022" s="2" t="s">
        <v>3444</v>
      </c>
      <c r="E4022" t="s">
        <v>1791</v>
      </c>
      <c r="F4022" t="s">
        <v>20</v>
      </c>
      <c r="G4022" t="s">
        <v>21</v>
      </c>
      <c r="H4022" t="s">
        <v>742</v>
      </c>
      <c r="I4022" t="s">
        <v>23</v>
      </c>
      <c r="J4022" t="s">
        <v>40</v>
      </c>
      <c r="K4022" s="2" t="s">
        <v>3310</v>
      </c>
      <c r="L4022" t="s">
        <v>26</v>
      </c>
      <c r="M4022">
        <v>336910</v>
      </c>
      <c r="N4022">
        <v>1</v>
      </c>
      <c r="O4022" s="3">
        <v>69990</v>
      </c>
      <c r="P4022" s="3">
        <v>26517</v>
      </c>
      <c r="Q4022" s="5">
        <f t="shared" si="186"/>
        <v>58815.126050420171</v>
      </c>
      <c r="R4022" s="5">
        <f t="shared" si="187"/>
        <v>26517</v>
      </c>
      <c r="S4022" s="5">
        <f t="shared" si="188"/>
        <v>32298.126050420171</v>
      </c>
    </row>
    <row r="4023" spans="1:19" hidden="1" x14ac:dyDescent="0.3">
      <c r="A4023">
        <v>170</v>
      </c>
      <c r="B4023" t="s">
        <v>4809</v>
      </c>
      <c r="C4023" t="s">
        <v>5423</v>
      </c>
      <c r="D4023" s="2" t="s">
        <v>5424</v>
      </c>
      <c r="E4023" t="s">
        <v>4577</v>
      </c>
      <c r="F4023" t="s">
        <v>20</v>
      </c>
      <c r="G4023" t="s">
        <v>338</v>
      </c>
      <c r="H4023">
        <v>23724</v>
      </c>
      <c r="I4023" t="s">
        <v>23</v>
      </c>
      <c r="J4023" t="s">
        <v>40</v>
      </c>
      <c r="K4023" s="2" t="s">
        <v>3310</v>
      </c>
      <c r="L4023" t="s">
        <v>26</v>
      </c>
      <c r="M4023">
        <v>336910</v>
      </c>
      <c r="N4023">
        <v>1</v>
      </c>
      <c r="O4023" s="3">
        <v>67950</v>
      </c>
      <c r="P4023" s="3">
        <v>26332</v>
      </c>
      <c r="Q4023" s="5">
        <f t="shared" si="186"/>
        <v>57100.840336134454</v>
      </c>
      <c r="R4023" s="5">
        <f t="shared" si="187"/>
        <v>26332</v>
      </c>
      <c r="S4023" s="5">
        <f t="shared" si="188"/>
        <v>30768.840336134454</v>
      </c>
    </row>
    <row r="4024" spans="1:19" hidden="1" x14ac:dyDescent="0.3">
      <c r="A4024">
        <v>170</v>
      </c>
      <c r="B4024" t="s">
        <v>4809</v>
      </c>
      <c r="C4024" t="s">
        <v>5425</v>
      </c>
      <c r="D4024" s="2" t="s">
        <v>5426</v>
      </c>
      <c r="E4024" t="s">
        <v>2561</v>
      </c>
      <c r="F4024" t="s">
        <v>20</v>
      </c>
      <c r="G4024" t="s">
        <v>21</v>
      </c>
      <c r="H4024" t="s">
        <v>1914</v>
      </c>
      <c r="I4024" t="s">
        <v>23</v>
      </c>
      <c r="J4024" t="s">
        <v>35</v>
      </c>
      <c r="K4024" s="2" t="s">
        <v>3310</v>
      </c>
      <c r="L4024" t="s">
        <v>26</v>
      </c>
      <c r="M4024">
        <v>336911</v>
      </c>
      <c r="N4024">
        <v>1</v>
      </c>
      <c r="O4024" s="3">
        <v>69990</v>
      </c>
      <c r="P4024" s="3">
        <v>28298</v>
      </c>
      <c r="Q4024" s="5">
        <f t="shared" si="186"/>
        <v>58815.126050420171</v>
      </c>
      <c r="R4024" s="5">
        <f t="shared" si="187"/>
        <v>28298</v>
      </c>
      <c r="S4024" s="5">
        <f t="shared" si="188"/>
        <v>30517.126050420171</v>
      </c>
    </row>
    <row r="4025" spans="1:19" hidden="1" x14ac:dyDescent="0.3">
      <c r="A4025">
        <v>170</v>
      </c>
      <c r="B4025" t="s">
        <v>4809</v>
      </c>
      <c r="C4025" t="s">
        <v>3796</v>
      </c>
      <c r="D4025" s="2" t="s">
        <v>3797</v>
      </c>
      <c r="E4025" t="s">
        <v>3195</v>
      </c>
      <c r="F4025" t="s">
        <v>20</v>
      </c>
      <c r="G4025" t="s">
        <v>338</v>
      </c>
      <c r="H4025">
        <v>25366</v>
      </c>
      <c r="I4025" t="s">
        <v>23</v>
      </c>
      <c r="J4025" t="s">
        <v>35</v>
      </c>
      <c r="K4025" s="2" t="s">
        <v>3310</v>
      </c>
      <c r="L4025" t="s">
        <v>26</v>
      </c>
      <c r="M4025">
        <v>336911</v>
      </c>
      <c r="N4025">
        <v>1</v>
      </c>
      <c r="O4025" s="3">
        <v>84950</v>
      </c>
      <c r="P4025" s="3">
        <v>33157</v>
      </c>
      <c r="Q4025" s="5">
        <f t="shared" si="186"/>
        <v>71386.554621848743</v>
      </c>
      <c r="R4025" s="5">
        <f t="shared" si="187"/>
        <v>33157</v>
      </c>
      <c r="S4025" s="5">
        <f t="shared" si="188"/>
        <v>38229.554621848743</v>
      </c>
    </row>
    <row r="4026" spans="1:19" hidden="1" x14ac:dyDescent="0.3">
      <c r="A4026">
        <v>170</v>
      </c>
      <c r="B4026" t="s">
        <v>4809</v>
      </c>
      <c r="C4026" t="s">
        <v>1037</v>
      </c>
      <c r="D4026" s="2" t="s">
        <v>1038</v>
      </c>
      <c r="E4026" t="s">
        <v>1039</v>
      </c>
      <c r="F4026" t="s">
        <v>377</v>
      </c>
      <c r="G4026" t="s">
        <v>21</v>
      </c>
      <c r="H4026" t="s">
        <v>378</v>
      </c>
      <c r="I4026" t="s">
        <v>23</v>
      </c>
      <c r="J4026" t="s">
        <v>379</v>
      </c>
      <c r="K4026" s="2" t="s">
        <v>3310</v>
      </c>
      <c r="L4026" t="s">
        <v>26</v>
      </c>
      <c r="M4026">
        <v>336912</v>
      </c>
      <c r="N4026">
        <v>1</v>
      </c>
      <c r="O4026" s="3">
        <v>5950</v>
      </c>
      <c r="P4026" s="3">
        <v>3257</v>
      </c>
      <c r="Q4026" s="5">
        <f t="shared" si="186"/>
        <v>5000</v>
      </c>
      <c r="R4026" s="5">
        <f t="shared" si="187"/>
        <v>3257</v>
      </c>
      <c r="S4026" s="5">
        <f t="shared" si="188"/>
        <v>1743</v>
      </c>
    </row>
    <row r="4027" spans="1:19" hidden="1" x14ac:dyDescent="0.3">
      <c r="A4027">
        <v>170</v>
      </c>
      <c r="B4027" t="s">
        <v>4809</v>
      </c>
      <c r="C4027" t="s">
        <v>5423</v>
      </c>
      <c r="D4027" s="2" t="s">
        <v>5424</v>
      </c>
      <c r="E4027" t="s">
        <v>4577</v>
      </c>
      <c r="F4027" t="s">
        <v>20</v>
      </c>
      <c r="G4027" t="s">
        <v>338</v>
      </c>
      <c r="H4027">
        <v>23724</v>
      </c>
      <c r="I4027" t="s">
        <v>23</v>
      </c>
      <c r="J4027" t="s">
        <v>40</v>
      </c>
      <c r="K4027" s="2" t="s">
        <v>3310</v>
      </c>
      <c r="L4027" t="s">
        <v>26</v>
      </c>
      <c r="M4027">
        <v>336913</v>
      </c>
      <c r="N4027">
        <v>1</v>
      </c>
      <c r="O4027" s="3">
        <v>67950</v>
      </c>
      <c r="P4027" s="3">
        <v>26332</v>
      </c>
      <c r="Q4027" s="5">
        <f t="shared" si="186"/>
        <v>57100.840336134454</v>
      </c>
      <c r="R4027" s="5">
        <f t="shared" si="187"/>
        <v>26332</v>
      </c>
      <c r="S4027" s="5">
        <f t="shared" si="188"/>
        <v>30768.840336134454</v>
      </c>
    </row>
    <row r="4028" spans="1:19" hidden="1" x14ac:dyDescent="0.3">
      <c r="A4028">
        <v>170</v>
      </c>
      <c r="B4028" t="s">
        <v>4809</v>
      </c>
      <c r="C4028" t="s">
        <v>4403</v>
      </c>
      <c r="D4028" s="2" t="s">
        <v>4404</v>
      </c>
      <c r="E4028" t="s">
        <v>2771</v>
      </c>
      <c r="F4028" t="s">
        <v>20</v>
      </c>
      <c r="G4028" t="s">
        <v>21</v>
      </c>
      <c r="H4028" t="s">
        <v>57</v>
      </c>
      <c r="I4028" t="s">
        <v>23</v>
      </c>
      <c r="J4028" t="s">
        <v>35</v>
      </c>
      <c r="K4028" s="2" t="s">
        <v>3310</v>
      </c>
      <c r="L4028" t="s">
        <v>26</v>
      </c>
      <c r="M4028">
        <v>336913</v>
      </c>
      <c r="N4028">
        <v>1</v>
      </c>
      <c r="O4028" s="3">
        <v>79990</v>
      </c>
      <c r="P4028" s="3">
        <v>29189</v>
      </c>
      <c r="Q4028" s="5">
        <f t="shared" si="186"/>
        <v>67218.487394957992</v>
      </c>
      <c r="R4028" s="5">
        <f t="shared" si="187"/>
        <v>29189</v>
      </c>
      <c r="S4028" s="5">
        <f t="shared" si="188"/>
        <v>38029.487394957992</v>
      </c>
    </row>
    <row r="4029" spans="1:19" hidden="1" x14ac:dyDescent="0.3">
      <c r="A4029">
        <v>170</v>
      </c>
      <c r="B4029" t="s">
        <v>4809</v>
      </c>
      <c r="C4029" t="s">
        <v>3207</v>
      </c>
      <c r="D4029" s="2" t="s">
        <v>3208</v>
      </c>
      <c r="E4029" t="s">
        <v>2844</v>
      </c>
      <c r="F4029" t="s">
        <v>20</v>
      </c>
      <c r="G4029" t="s">
        <v>338</v>
      </c>
      <c r="H4029">
        <v>24722</v>
      </c>
      <c r="I4029" t="s">
        <v>23</v>
      </c>
      <c r="J4029" t="s">
        <v>95</v>
      </c>
      <c r="K4029" s="2" t="s">
        <v>3310</v>
      </c>
      <c r="L4029" t="s">
        <v>26</v>
      </c>
      <c r="M4029">
        <v>336914</v>
      </c>
      <c r="N4029">
        <v>1</v>
      </c>
      <c r="O4029" s="3">
        <v>89950</v>
      </c>
      <c r="P4029" s="3">
        <v>30987</v>
      </c>
      <c r="Q4029" s="5">
        <f t="shared" si="186"/>
        <v>75588.23529411765</v>
      </c>
      <c r="R4029" s="5">
        <f t="shared" si="187"/>
        <v>30987</v>
      </c>
      <c r="S4029" s="5">
        <f t="shared" si="188"/>
        <v>44601.23529411765</v>
      </c>
    </row>
    <row r="4030" spans="1:19" hidden="1" x14ac:dyDescent="0.3">
      <c r="A4030">
        <v>170</v>
      </c>
      <c r="B4030" t="s">
        <v>4809</v>
      </c>
      <c r="C4030" t="s">
        <v>2431</v>
      </c>
      <c r="D4030" s="2" t="s">
        <v>2432</v>
      </c>
      <c r="E4030" t="s">
        <v>2433</v>
      </c>
      <c r="F4030" t="s">
        <v>20</v>
      </c>
      <c r="G4030" t="s">
        <v>338</v>
      </c>
      <c r="H4030">
        <v>24722</v>
      </c>
      <c r="I4030" t="s">
        <v>23</v>
      </c>
      <c r="J4030" t="s">
        <v>95</v>
      </c>
      <c r="K4030" s="2" t="s">
        <v>3310</v>
      </c>
      <c r="L4030" t="s">
        <v>26</v>
      </c>
      <c r="M4030">
        <v>336914</v>
      </c>
      <c r="N4030">
        <v>1</v>
      </c>
      <c r="O4030" s="3">
        <v>76450</v>
      </c>
      <c r="P4030" s="3">
        <v>30987</v>
      </c>
      <c r="Q4030" s="5">
        <f t="shared" si="186"/>
        <v>64243.697478991598</v>
      </c>
      <c r="R4030" s="5">
        <f t="shared" si="187"/>
        <v>30987</v>
      </c>
      <c r="S4030" s="5">
        <f t="shared" si="188"/>
        <v>33256.697478991598</v>
      </c>
    </row>
    <row r="4031" spans="1:19" hidden="1" x14ac:dyDescent="0.3">
      <c r="A4031">
        <v>170</v>
      </c>
      <c r="B4031" t="s">
        <v>4809</v>
      </c>
      <c r="C4031" t="s">
        <v>2830</v>
      </c>
      <c r="D4031" s="2" t="s">
        <v>2831</v>
      </c>
      <c r="E4031" t="s">
        <v>1330</v>
      </c>
      <c r="F4031" t="s">
        <v>20</v>
      </c>
      <c r="G4031" t="s">
        <v>338</v>
      </c>
      <c r="H4031">
        <v>25133</v>
      </c>
      <c r="I4031" t="s">
        <v>23</v>
      </c>
      <c r="J4031" t="s">
        <v>35</v>
      </c>
      <c r="K4031" s="2" t="s">
        <v>3310</v>
      </c>
      <c r="L4031" t="s">
        <v>26</v>
      </c>
      <c r="M4031">
        <v>336915</v>
      </c>
      <c r="N4031">
        <v>1</v>
      </c>
      <c r="O4031" s="3">
        <v>74950</v>
      </c>
      <c r="P4031" s="3">
        <v>21167</v>
      </c>
      <c r="Q4031" s="5">
        <f t="shared" si="186"/>
        <v>62983.193277310929</v>
      </c>
      <c r="R4031" s="5">
        <f t="shared" si="187"/>
        <v>21167</v>
      </c>
      <c r="S4031" s="5">
        <f t="shared" si="188"/>
        <v>41816.193277310929</v>
      </c>
    </row>
    <row r="4032" spans="1:19" hidden="1" x14ac:dyDescent="0.3">
      <c r="A4032">
        <v>170</v>
      </c>
      <c r="B4032" t="s">
        <v>4809</v>
      </c>
      <c r="C4032" t="s">
        <v>5010</v>
      </c>
      <c r="D4032" s="2" t="s">
        <v>5011</v>
      </c>
      <c r="E4032" t="s">
        <v>1075</v>
      </c>
      <c r="F4032" t="s">
        <v>20</v>
      </c>
      <c r="G4032" t="s">
        <v>338</v>
      </c>
      <c r="H4032">
        <v>25097</v>
      </c>
      <c r="I4032" t="s">
        <v>23</v>
      </c>
      <c r="J4032" t="s">
        <v>24</v>
      </c>
      <c r="K4032" s="2" t="s">
        <v>3310</v>
      </c>
      <c r="L4032" t="s">
        <v>26</v>
      </c>
      <c r="M4032">
        <v>336916</v>
      </c>
      <c r="N4032">
        <v>1</v>
      </c>
      <c r="O4032" s="3">
        <v>59990</v>
      </c>
      <c r="P4032" s="3">
        <v>23242</v>
      </c>
      <c r="Q4032" s="5">
        <f t="shared" si="186"/>
        <v>50411.764705882357</v>
      </c>
      <c r="R4032" s="5">
        <f t="shared" si="187"/>
        <v>23242</v>
      </c>
      <c r="S4032" s="5">
        <f t="shared" si="188"/>
        <v>27169.764705882357</v>
      </c>
    </row>
    <row r="4033" spans="1:19" hidden="1" x14ac:dyDescent="0.3">
      <c r="A4033">
        <v>170</v>
      </c>
      <c r="B4033" t="s">
        <v>4809</v>
      </c>
      <c r="C4033" t="s">
        <v>5427</v>
      </c>
      <c r="D4033" s="2" t="s">
        <v>5428</v>
      </c>
      <c r="E4033" t="s">
        <v>5429</v>
      </c>
      <c r="F4033" t="s">
        <v>377</v>
      </c>
      <c r="G4033" t="s">
        <v>21</v>
      </c>
      <c r="H4033" t="s">
        <v>378</v>
      </c>
      <c r="I4033" t="s">
        <v>23</v>
      </c>
      <c r="J4033" t="s">
        <v>5430</v>
      </c>
      <c r="K4033" s="2" t="s">
        <v>3310</v>
      </c>
      <c r="L4033" t="s">
        <v>26</v>
      </c>
      <c r="M4033">
        <v>336917</v>
      </c>
      <c r="N4033">
        <v>2</v>
      </c>
      <c r="O4033" s="3">
        <v>1900</v>
      </c>
      <c r="P4033">
        <v>226</v>
      </c>
      <c r="Q4033" s="5">
        <f t="shared" si="186"/>
        <v>1596.6386554621849</v>
      </c>
      <c r="R4033" s="5">
        <f t="shared" si="187"/>
        <v>452</v>
      </c>
      <c r="S4033" s="5">
        <f t="shared" si="188"/>
        <v>1144.6386554621849</v>
      </c>
    </row>
    <row r="4034" spans="1:19" hidden="1" x14ac:dyDescent="0.3">
      <c r="A4034">
        <v>170</v>
      </c>
      <c r="B4034" t="s">
        <v>4809</v>
      </c>
      <c r="C4034" t="s">
        <v>3475</v>
      </c>
      <c r="D4034" s="2" t="s">
        <v>3476</v>
      </c>
      <c r="E4034" t="s">
        <v>2952</v>
      </c>
      <c r="F4034" t="s">
        <v>20</v>
      </c>
      <c r="G4034" t="s">
        <v>21</v>
      </c>
      <c r="H4034" t="s">
        <v>2484</v>
      </c>
      <c r="I4034" t="s">
        <v>23</v>
      </c>
      <c r="J4034" t="s">
        <v>40</v>
      </c>
      <c r="K4034" s="2" t="s">
        <v>3310</v>
      </c>
      <c r="L4034" t="s">
        <v>26</v>
      </c>
      <c r="M4034">
        <v>336918</v>
      </c>
      <c r="N4034">
        <v>1</v>
      </c>
      <c r="O4034" s="3">
        <v>59950</v>
      </c>
      <c r="P4034" s="3">
        <v>18378</v>
      </c>
      <c r="Q4034" s="5">
        <f t="shared" si="186"/>
        <v>50378.151260504201</v>
      </c>
      <c r="R4034" s="5">
        <f t="shared" si="187"/>
        <v>18378</v>
      </c>
      <c r="S4034" s="5">
        <f t="shared" si="188"/>
        <v>32000.151260504201</v>
      </c>
    </row>
    <row r="4035" spans="1:19" hidden="1" x14ac:dyDescent="0.3">
      <c r="A4035">
        <v>170</v>
      </c>
      <c r="B4035" t="s">
        <v>4809</v>
      </c>
      <c r="C4035" t="s">
        <v>3294</v>
      </c>
      <c r="D4035" s="2" t="s">
        <v>3295</v>
      </c>
      <c r="E4035" t="s">
        <v>3296</v>
      </c>
      <c r="F4035" t="s">
        <v>377</v>
      </c>
      <c r="G4035" t="s">
        <v>21</v>
      </c>
      <c r="H4035" t="s">
        <v>378</v>
      </c>
      <c r="I4035" t="s">
        <v>23</v>
      </c>
      <c r="J4035" t="s">
        <v>3297</v>
      </c>
      <c r="K4035" s="2" t="s">
        <v>3310</v>
      </c>
      <c r="L4035" t="s">
        <v>26</v>
      </c>
      <c r="M4035">
        <v>336918</v>
      </c>
      <c r="N4035">
        <v>1</v>
      </c>
      <c r="O4035">
        <v>500</v>
      </c>
      <c r="P4035">
        <v>358</v>
      </c>
      <c r="Q4035" s="5">
        <f t="shared" si="186"/>
        <v>420.1680672268908</v>
      </c>
      <c r="R4035" s="5">
        <f t="shared" si="187"/>
        <v>358</v>
      </c>
      <c r="S4035" s="5">
        <f t="shared" si="188"/>
        <v>62.168067226890798</v>
      </c>
    </row>
    <row r="4036" spans="1:19" hidden="1" x14ac:dyDescent="0.3">
      <c r="A4036">
        <v>170</v>
      </c>
      <c r="B4036" t="s">
        <v>4809</v>
      </c>
      <c r="C4036" t="s">
        <v>1761</v>
      </c>
      <c r="D4036" s="2" t="s">
        <v>1762</v>
      </c>
      <c r="E4036" t="s">
        <v>1763</v>
      </c>
      <c r="F4036" t="s">
        <v>377</v>
      </c>
      <c r="G4036" t="s">
        <v>21</v>
      </c>
      <c r="H4036" t="s">
        <v>378</v>
      </c>
      <c r="I4036" t="s">
        <v>23</v>
      </c>
      <c r="J4036" t="s">
        <v>379</v>
      </c>
      <c r="K4036" s="2" t="s">
        <v>3310</v>
      </c>
      <c r="L4036" t="s">
        <v>26</v>
      </c>
      <c r="M4036">
        <v>336919</v>
      </c>
      <c r="N4036">
        <v>1</v>
      </c>
      <c r="O4036" s="3">
        <v>5950</v>
      </c>
      <c r="P4036" s="3">
        <v>3279</v>
      </c>
      <c r="Q4036" s="5">
        <f t="shared" si="186"/>
        <v>5000</v>
      </c>
      <c r="R4036" s="5">
        <f t="shared" si="187"/>
        <v>3279</v>
      </c>
      <c r="S4036" s="5">
        <f t="shared" si="188"/>
        <v>1721</v>
      </c>
    </row>
    <row r="4037" spans="1:19" hidden="1" x14ac:dyDescent="0.3">
      <c r="A4037">
        <v>170</v>
      </c>
      <c r="B4037" t="s">
        <v>4809</v>
      </c>
      <c r="C4037" t="s">
        <v>4397</v>
      </c>
      <c r="D4037" s="2" t="s">
        <v>4398</v>
      </c>
      <c r="E4037" t="s">
        <v>2002</v>
      </c>
      <c r="F4037" t="s">
        <v>20</v>
      </c>
      <c r="G4037" t="s">
        <v>338</v>
      </c>
      <c r="H4037">
        <v>25026</v>
      </c>
      <c r="I4037" t="s">
        <v>23</v>
      </c>
      <c r="J4037" t="s">
        <v>35</v>
      </c>
      <c r="K4037" s="2" t="s">
        <v>3310</v>
      </c>
      <c r="L4037" t="s">
        <v>26</v>
      </c>
      <c r="M4037">
        <v>336920</v>
      </c>
      <c r="N4037">
        <v>1</v>
      </c>
      <c r="O4037" s="3">
        <v>89950</v>
      </c>
      <c r="P4037" s="3">
        <v>28454</v>
      </c>
      <c r="Q4037" s="5">
        <f t="shared" si="186"/>
        <v>75588.23529411765</v>
      </c>
      <c r="R4037" s="5">
        <f t="shared" si="187"/>
        <v>28454</v>
      </c>
      <c r="S4037" s="5">
        <f t="shared" si="188"/>
        <v>47134.23529411765</v>
      </c>
    </row>
    <row r="4038" spans="1:19" hidden="1" x14ac:dyDescent="0.3">
      <c r="A4038">
        <v>170</v>
      </c>
      <c r="B4038" t="s">
        <v>4809</v>
      </c>
      <c r="C4038" t="s">
        <v>4617</v>
      </c>
      <c r="D4038" s="2" t="s">
        <v>4618</v>
      </c>
      <c r="E4038" t="s">
        <v>2870</v>
      </c>
      <c r="F4038" t="s">
        <v>20</v>
      </c>
      <c r="G4038" t="s">
        <v>21</v>
      </c>
      <c r="H4038" t="s">
        <v>30</v>
      </c>
      <c r="I4038" t="s">
        <v>23</v>
      </c>
      <c r="J4038" t="s">
        <v>35</v>
      </c>
      <c r="K4038" s="2" t="s">
        <v>3310</v>
      </c>
      <c r="L4038" t="s">
        <v>26</v>
      </c>
      <c r="M4038">
        <v>336921</v>
      </c>
      <c r="N4038">
        <v>1</v>
      </c>
      <c r="O4038" s="3">
        <v>79950</v>
      </c>
      <c r="P4038" s="3">
        <v>30749</v>
      </c>
      <c r="Q4038" s="5">
        <f t="shared" ref="Q4038:Q4101" si="189">O4038/1.19</f>
        <v>67184.873949579836</v>
      </c>
      <c r="R4038" s="5">
        <f t="shared" ref="R4038:R4101" si="190">N4038*P4038</f>
        <v>30749</v>
      </c>
      <c r="S4038" s="5">
        <f t="shared" ref="S4038:S4101" si="191">Q4038-R4038</f>
        <v>36435.873949579836</v>
      </c>
    </row>
    <row r="4039" spans="1:19" hidden="1" x14ac:dyDescent="0.3">
      <c r="A4039">
        <v>170</v>
      </c>
      <c r="B4039" t="s">
        <v>4809</v>
      </c>
      <c r="C4039" t="s">
        <v>5431</v>
      </c>
      <c r="D4039" s="2" t="s">
        <v>5432</v>
      </c>
      <c r="E4039" t="s">
        <v>4830</v>
      </c>
      <c r="F4039" t="s">
        <v>20</v>
      </c>
      <c r="G4039" t="s">
        <v>338</v>
      </c>
      <c r="H4039">
        <v>24239</v>
      </c>
      <c r="I4039" t="s">
        <v>23</v>
      </c>
      <c r="J4039" t="s">
        <v>95</v>
      </c>
      <c r="K4039" s="2" t="s">
        <v>3310</v>
      </c>
      <c r="L4039" t="s">
        <v>26</v>
      </c>
      <c r="M4039">
        <v>336922</v>
      </c>
      <c r="N4039">
        <v>1</v>
      </c>
      <c r="O4039" s="3">
        <v>59950</v>
      </c>
      <c r="P4039" s="3">
        <v>18677</v>
      </c>
      <c r="Q4039" s="5">
        <f t="shared" si="189"/>
        <v>50378.151260504201</v>
      </c>
      <c r="R4039" s="5">
        <f t="shared" si="190"/>
        <v>18677</v>
      </c>
      <c r="S4039" s="5">
        <f t="shared" si="191"/>
        <v>31701.151260504201</v>
      </c>
    </row>
    <row r="4040" spans="1:19" hidden="1" x14ac:dyDescent="0.3">
      <c r="A4040">
        <v>170</v>
      </c>
      <c r="B4040" t="s">
        <v>4809</v>
      </c>
      <c r="C4040" t="s">
        <v>2575</v>
      </c>
      <c r="D4040" s="2" t="s">
        <v>2576</v>
      </c>
      <c r="E4040" t="s">
        <v>2577</v>
      </c>
      <c r="F4040" t="s">
        <v>377</v>
      </c>
      <c r="G4040" t="s">
        <v>21</v>
      </c>
      <c r="H4040" t="s">
        <v>378</v>
      </c>
      <c r="I4040" t="s">
        <v>23</v>
      </c>
      <c r="J4040" t="s">
        <v>379</v>
      </c>
      <c r="K4040" s="2" t="s">
        <v>3310</v>
      </c>
      <c r="L4040" t="s">
        <v>26</v>
      </c>
      <c r="M4040">
        <v>336922</v>
      </c>
      <c r="N4040">
        <v>1</v>
      </c>
      <c r="O4040" s="3">
        <v>5950</v>
      </c>
      <c r="P4040" s="3">
        <v>3307</v>
      </c>
      <c r="Q4040" s="5">
        <f t="shared" si="189"/>
        <v>5000</v>
      </c>
      <c r="R4040" s="5">
        <f t="shared" si="190"/>
        <v>3307</v>
      </c>
      <c r="S4040" s="5">
        <f t="shared" si="191"/>
        <v>1693</v>
      </c>
    </row>
    <row r="4041" spans="1:19" hidden="1" x14ac:dyDescent="0.3">
      <c r="A4041">
        <v>170</v>
      </c>
      <c r="B4041" t="s">
        <v>4809</v>
      </c>
      <c r="C4041" t="s">
        <v>1761</v>
      </c>
      <c r="D4041" s="2" t="s">
        <v>1762</v>
      </c>
      <c r="E4041" t="s">
        <v>1763</v>
      </c>
      <c r="F4041" t="s">
        <v>377</v>
      </c>
      <c r="G4041" t="s">
        <v>21</v>
      </c>
      <c r="H4041" t="s">
        <v>378</v>
      </c>
      <c r="I4041" t="s">
        <v>23</v>
      </c>
      <c r="J4041" t="s">
        <v>379</v>
      </c>
      <c r="K4041" s="2" t="s">
        <v>3310</v>
      </c>
      <c r="L4041" t="s">
        <v>26</v>
      </c>
      <c r="M4041">
        <v>336922</v>
      </c>
      <c r="N4041">
        <v>1</v>
      </c>
      <c r="O4041" s="3">
        <v>5950</v>
      </c>
      <c r="P4041" s="3">
        <v>3279</v>
      </c>
      <c r="Q4041" s="5">
        <f t="shared" si="189"/>
        <v>5000</v>
      </c>
      <c r="R4041" s="5">
        <f t="shared" si="190"/>
        <v>3279</v>
      </c>
      <c r="S4041" s="5">
        <f t="shared" si="191"/>
        <v>1721</v>
      </c>
    </row>
    <row r="4042" spans="1:19" hidden="1" x14ac:dyDescent="0.3">
      <c r="A4042">
        <v>170</v>
      </c>
      <c r="B4042" t="s">
        <v>4809</v>
      </c>
      <c r="C4042" t="s">
        <v>3547</v>
      </c>
      <c r="D4042" s="2" t="s">
        <v>3548</v>
      </c>
      <c r="E4042" t="s">
        <v>3549</v>
      </c>
      <c r="F4042" t="s">
        <v>377</v>
      </c>
      <c r="G4042" t="s">
        <v>21</v>
      </c>
      <c r="H4042" t="s">
        <v>378</v>
      </c>
      <c r="I4042" t="s">
        <v>23</v>
      </c>
      <c r="J4042" t="s">
        <v>379</v>
      </c>
      <c r="K4042" s="2" t="s">
        <v>3310</v>
      </c>
      <c r="L4042" t="s">
        <v>26</v>
      </c>
      <c r="M4042">
        <v>336922</v>
      </c>
      <c r="N4042">
        <v>1</v>
      </c>
      <c r="O4042" s="3">
        <v>5950</v>
      </c>
      <c r="P4042" s="3">
        <v>3184</v>
      </c>
      <c r="Q4042" s="5">
        <f t="shared" si="189"/>
        <v>5000</v>
      </c>
      <c r="R4042" s="5">
        <f t="shared" si="190"/>
        <v>3184</v>
      </c>
      <c r="S4042" s="5">
        <f t="shared" si="191"/>
        <v>1816</v>
      </c>
    </row>
    <row r="4043" spans="1:19" hidden="1" x14ac:dyDescent="0.3">
      <c r="A4043">
        <v>170</v>
      </c>
      <c r="B4043" t="s">
        <v>4809</v>
      </c>
      <c r="C4043" t="s">
        <v>5433</v>
      </c>
      <c r="D4043" s="2" t="s">
        <v>5434</v>
      </c>
      <c r="E4043" t="s">
        <v>2441</v>
      </c>
      <c r="F4043" t="s">
        <v>20</v>
      </c>
      <c r="G4043" t="s">
        <v>21</v>
      </c>
      <c r="H4043" t="s">
        <v>243</v>
      </c>
      <c r="I4043" t="s">
        <v>23</v>
      </c>
      <c r="J4043" t="s">
        <v>35</v>
      </c>
      <c r="K4043" s="2" t="s">
        <v>3310</v>
      </c>
      <c r="L4043" t="s">
        <v>26</v>
      </c>
      <c r="M4043">
        <v>336923</v>
      </c>
      <c r="N4043">
        <v>1</v>
      </c>
      <c r="O4043" s="3">
        <v>99950</v>
      </c>
      <c r="P4043" s="3">
        <v>53269</v>
      </c>
      <c r="Q4043" s="5">
        <f t="shared" si="189"/>
        <v>83991.596638655465</v>
      </c>
      <c r="R4043" s="5">
        <f t="shared" si="190"/>
        <v>53269</v>
      </c>
      <c r="S4043" s="5">
        <f t="shared" si="191"/>
        <v>30722.596638655465</v>
      </c>
    </row>
    <row r="4044" spans="1:19" hidden="1" x14ac:dyDescent="0.3">
      <c r="A4044">
        <v>170</v>
      </c>
      <c r="B4044" t="s">
        <v>4809</v>
      </c>
      <c r="C4044" t="s">
        <v>1840</v>
      </c>
      <c r="D4044" s="2" t="s">
        <v>1841</v>
      </c>
      <c r="E4044" t="s">
        <v>1842</v>
      </c>
      <c r="F4044" t="s">
        <v>20</v>
      </c>
      <c r="G4044" t="s">
        <v>21</v>
      </c>
      <c r="H4044" t="s">
        <v>625</v>
      </c>
      <c r="I4044" t="s">
        <v>23</v>
      </c>
      <c r="J4044" t="s">
        <v>35</v>
      </c>
      <c r="K4044" s="2" t="s">
        <v>3310</v>
      </c>
      <c r="L4044" t="s">
        <v>26</v>
      </c>
      <c r="M4044">
        <v>336924</v>
      </c>
      <c r="N4044">
        <v>1</v>
      </c>
      <c r="O4044" s="3">
        <v>69950</v>
      </c>
      <c r="P4044" s="3">
        <v>27745</v>
      </c>
      <c r="Q4044" s="5">
        <f t="shared" si="189"/>
        <v>58781.512605042022</v>
      </c>
      <c r="R4044" s="5">
        <f t="shared" si="190"/>
        <v>27745</v>
      </c>
      <c r="S4044" s="5">
        <f t="shared" si="191"/>
        <v>31036.512605042022</v>
      </c>
    </row>
    <row r="4045" spans="1:19" hidden="1" x14ac:dyDescent="0.3">
      <c r="A4045">
        <v>170</v>
      </c>
      <c r="B4045" t="s">
        <v>4809</v>
      </c>
      <c r="C4045" t="s">
        <v>3536</v>
      </c>
      <c r="D4045" s="2" t="s">
        <v>3537</v>
      </c>
      <c r="E4045" t="s">
        <v>2360</v>
      </c>
      <c r="F4045" t="s">
        <v>20</v>
      </c>
      <c r="G4045" t="s">
        <v>21</v>
      </c>
      <c r="H4045" t="s">
        <v>1286</v>
      </c>
      <c r="I4045" t="s">
        <v>23</v>
      </c>
      <c r="J4045" t="s">
        <v>40</v>
      </c>
      <c r="K4045" s="2" t="s">
        <v>3310</v>
      </c>
      <c r="L4045" t="s">
        <v>26</v>
      </c>
      <c r="M4045">
        <v>336925</v>
      </c>
      <c r="N4045">
        <v>1</v>
      </c>
      <c r="O4045" s="3">
        <v>49990</v>
      </c>
      <c r="P4045" s="3">
        <v>24783</v>
      </c>
      <c r="Q4045" s="5">
        <f t="shared" si="189"/>
        <v>42008.403361344543</v>
      </c>
      <c r="R4045" s="5">
        <f t="shared" si="190"/>
        <v>24783</v>
      </c>
      <c r="S4045" s="5">
        <f t="shared" si="191"/>
        <v>17225.403361344543</v>
      </c>
    </row>
    <row r="4046" spans="1:19" hidden="1" x14ac:dyDescent="0.3">
      <c r="A4046">
        <v>170</v>
      </c>
      <c r="B4046" t="s">
        <v>4809</v>
      </c>
      <c r="C4046" t="s">
        <v>1037</v>
      </c>
      <c r="D4046" s="2" t="s">
        <v>1038</v>
      </c>
      <c r="E4046" t="s">
        <v>1039</v>
      </c>
      <c r="F4046" t="s">
        <v>377</v>
      </c>
      <c r="G4046" t="s">
        <v>21</v>
      </c>
      <c r="H4046" t="s">
        <v>378</v>
      </c>
      <c r="I4046" t="s">
        <v>23</v>
      </c>
      <c r="J4046" t="s">
        <v>379</v>
      </c>
      <c r="K4046" s="2" t="s">
        <v>3310</v>
      </c>
      <c r="L4046" t="s">
        <v>26</v>
      </c>
      <c r="M4046">
        <v>336925</v>
      </c>
      <c r="N4046">
        <v>1</v>
      </c>
      <c r="O4046" s="3">
        <v>5950</v>
      </c>
      <c r="P4046" s="3">
        <v>3257</v>
      </c>
      <c r="Q4046" s="5">
        <f t="shared" si="189"/>
        <v>5000</v>
      </c>
      <c r="R4046" s="5">
        <f t="shared" si="190"/>
        <v>3257</v>
      </c>
      <c r="S4046" s="5">
        <f t="shared" si="191"/>
        <v>1743</v>
      </c>
    </row>
    <row r="4047" spans="1:19" hidden="1" x14ac:dyDescent="0.3">
      <c r="A4047">
        <v>170</v>
      </c>
      <c r="B4047" t="s">
        <v>4809</v>
      </c>
      <c r="C4047" t="s">
        <v>2575</v>
      </c>
      <c r="D4047" s="2" t="s">
        <v>2576</v>
      </c>
      <c r="E4047" t="s">
        <v>2577</v>
      </c>
      <c r="F4047" t="s">
        <v>377</v>
      </c>
      <c r="G4047" t="s">
        <v>21</v>
      </c>
      <c r="H4047" t="s">
        <v>378</v>
      </c>
      <c r="I4047" t="s">
        <v>23</v>
      </c>
      <c r="J4047" t="s">
        <v>379</v>
      </c>
      <c r="K4047" s="2" t="s">
        <v>3310</v>
      </c>
      <c r="L4047" t="s">
        <v>26</v>
      </c>
      <c r="M4047">
        <v>336925</v>
      </c>
      <c r="N4047">
        <v>1</v>
      </c>
      <c r="O4047" s="3">
        <v>5950</v>
      </c>
      <c r="P4047" s="3">
        <v>3307</v>
      </c>
      <c r="Q4047" s="5">
        <f t="shared" si="189"/>
        <v>5000</v>
      </c>
      <c r="R4047" s="5">
        <f t="shared" si="190"/>
        <v>3307</v>
      </c>
      <c r="S4047" s="5">
        <f t="shared" si="191"/>
        <v>1693</v>
      </c>
    </row>
    <row r="4048" spans="1:19" hidden="1" x14ac:dyDescent="0.3">
      <c r="A4048">
        <v>170</v>
      </c>
      <c r="B4048" t="s">
        <v>4809</v>
      </c>
      <c r="C4048" t="s">
        <v>2984</v>
      </c>
      <c r="D4048" s="2" t="s">
        <v>2985</v>
      </c>
      <c r="E4048" t="s">
        <v>2986</v>
      </c>
      <c r="F4048" t="s">
        <v>20</v>
      </c>
      <c r="G4048" t="s">
        <v>21</v>
      </c>
      <c r="H4048" t="s">
        <v>267</v>
      </c>
      <c r="I4048" t="s">
        <v>23</v>
      </c>
      <c r="J4048" t="s">
        <v>35</v>
      </c>
      <c r="K4048" s="2" t="s">
        <v>3310</v>
      </c>
      <c r="L4048" t="s">
        <v>26</v>
      </c>
      <c r="M4048">
        <v>336926</v>
      </c>
      <c r="N4048">
        <v>1</v>
      </c>
      <c r="O4048" s="3">
        <v>59990</v>
      </c>
      <c r="P4048" s="3">
        <v>24733</v>
      </c>
      <c r="Q4048" s="5">
        <f t="shared" si="189"/>
        <v>50411.764705882357</v>
      </c>
      <c r="R4048" s="5">
        <f t="shared" si="190"/>
        <v>24733</v>
      </c>
      <c r="S4048" s="5">
        <f t="shared" si="191"/>
        <v>25678.764705882357</v>
      </c>
    </row>
    <row r="4049" spans="1:19" hidden="1" x14ac:dyDescent="0.3">
      <c r="A4049">
        <v>170</v>
      </c>
      <c r="B4049" t="s">
        <v>4809</v>
      </c>
      <c r="C4049" t="s">
        <v>3358</v>
      </c>
      <c r="D4049" s="2" t="s">
        <v>3359</v>
      </c>
      <c r="E4049" t="s">
        <v>2069</v>
      </c>
      <c r="F4049" t="s">
        <v>20</v>
      </c>
      <c r="G4049" t="s">
        <v>21</v>
      </c>
      <c r="H4049" t="s">
        <v>2070</v>
      </c>
      <c r="I4049" t="s">
        <v>23</v>
      </c>
      <c r="J4049" t="s">
        <v>35</v>
      </c>
      <c r="K4049" s="2" t="s">
        <v>3310</v>
      </c>
      <c r="L4049" t="s">
        <v>26</v>
      </c>
      <c r="M4049">
        <v>336927</v>
      </c>
      <c r="N4049">
        <v>1</v>
      </c>
      <c r="O4049" s="3">
        <v>67460</v>
      </c>
      <c r="P4049" s="3">
        <v>29635</v>
      </c>
      <c r="Q4049" s="5">
        <f t="shared" si="189"/>
        <v>56689.075630252104</v>
      </c>
      <c r="R4049" s="5">
        <f t="shared" si="190"/>
        <v>29635</v>
      </c>
      <c r="S4049" s="5">
        <f t="shared" si="191"/>
        <v>27054.075630252104</v>
      </c>
    </row>
    <row r="4050" spans="1:19" hidden="1" x14ac:dyDescent="0.3">
      <c r="A4050">
        <v>170</v>
      </c>
      <c r="B4050" t="s">
        <v>4809</v>
      </c>
      <c r="C4050" t="s">
        <v>4285</v>
      </c>
      <c r="D4050" s="2" t="s">
        <v>4286</v>
      </c>
      <c r="E4050" t="s">
        <v>2373</v>
      </c>
      <c r="F4050" t="s">
        <v>20</v>
      </c>
      <c r="G4050" t="s">
        <v>338</v>
      </c>
      <c r="H4050">
        <v>24239</v>
      </c>
      <c r="I4050" t="s">
        <v>23</v>
      </c>
      <c r="J4050" t="s">
        <v>95</v>
      </c>
      <c r="K4050" s="2" t="s">
        <v>3310</v>
      </c>
      <c r="L4050" t="s">
        <v>26</v>
      </c>
      <c r="M4050">
        <v>336928</v>
      </c>
      <c r="N4050">
        <v>1</v>
      </c>
      <c r="O4050" s="3">
        <v>59950</v>
      </c>
      <c r="P4050" s="3">
        <v>18677</v>
      </c>
      <c r="Q4050" s="5">
        <f t="shared" si="189"/>
        <v>50378.151260504201</v>
      </c>
      <c r="R4050" s="5">
        <f t="shared" si="190"/>
        <v>18677</v>
      </c>
      <c r="S4050" s="5">
        <f t="shared" si="191"/>
        <v>31701.151260504201</v>
      </c>
    </row>
    <row r="4051" spans="1:19" hidden="1" x14ac:dyDescent="0.3">
      <c r="A4051">
        <v>170</v>
      </c>
      <c r="B4051" t="s">
        <v>4809</v>
      </c>
      <c r="C4051" t="s">
        <v>5435</v>
      </c>
      <c r="D4051" s="2" t="s">
        <v>5436</v>
      </c>
      <c r="E4051" t="s">
        <v>2666</v>
      </c>
      <c r="F4051" t="s">
        <v>20</v>
      </c>
      <c r="G4051" t="s">
        <v>21</v>
      </c>
      <c r="H4051" t="s">
        <v>65</v>
      </c>
      <c r="I4051" t="s">
        <v>23</v>
      </c>
      <c r="J4051" t="s">
        <v>49</v>
      </c>
      <c r="K4051" s="2" t="s">
        <v>3310</v>
      </c>
      <c r="L4051" t="s">
        <v>26</v>
      </c>
      <c r="M4051">
        <v>336929</v>
      </c>
      <c r="N4051">
        <v>1</v>
      </c>
      <c r="O4051" s="3">
        <v>49990</v>
      </c>
      <c r="P4051" s="3">
        <v>22833</v>
      </c>
      <c r="Q4051" s="5">
        <f t="shared" si="189"/>
        <v>42008.403361344543</v>
      </c>
      <c r="R4051" s="5">
        <f t="shared" si="190"/>
        <v>22833</v>
      </c>
      <c r="S4051" s="5">
        <f t="shared" si="191"/>
        <v>19175.403361344543</v>
      </c>
    </row>
    <row r="4052" spans="1:19" hidden="1" x14ac:dyDescent="0.3">
      <c r="A4052">
        <v>170</v>
      </c>
      <c r="B4052" t="s">
        <v>4809</v>
      </c>
      <c r="C4052" t="s">
        <v>5109</v>
      </c>
      <c r="D4052" s="2" t="s">
        <v>5110</v>
      </c>
      <c r="E4052" t="s">
        <v>4736</v>
      </c>
      <c r="F4052" t="s">
        <v>20</v>
      </c>
      <c r="G4052" t="s">
        <v>21</v>
      </c>
      <c r="H4052" t="s">
        <v>1914</v>
      </c>
      <c r="I4052" t="s">
        <v>23</v>
      </c>
      <c r="J4052" t="s">
        <v>49</v>
      </c>
      <c r="K4052" s="2" t="s">
        <v>3310</v>
      </c>
      <c r="L4052" t="s">
        <v>26</v>
      </c>
      <c r="M4052">
        <v>336930</v>
      </c>
      <c r="N4052">
        <v>1</v>
      </c>
      <c r="O4052" s="3">
        <v>74950</v>
      </c>
      <c r="P4052" s="3">
        <v>24728</v>
      </c>
      <c r="Q4052" s="5">
        <f t="shared" si="189"/>
        <v>62983.193277310929</v>
      </c>
      <c r="R4052" s="5">
        <f t="shared" si="190"/>
        <v>24728</v>
      </c>
      <c r="S4052" s="5">
        <f t="shared" si="191"/>
        <v>38255.193277310929</v>
      </c>
    </row>
    <row r="4053" spans="1:19" hidden="1" x14ac:dyDescent="0.3">
      <c r="A4053">
        <v>170</v>
      </c>
      <c r="B4053" t="s">
        <v>4809</v>
      </c>
      <c r="C4053" t="s">
        <v>5360</v>
      </c>
      <c r="D4053" s="2" t="s">
        <v>5361</v>
      </c>
      <c r="E4053" t="s">
        <v>2195</v>
      </c>
      <c r="F4053" t="s">
        <v>20</v>
      </c>
      <c r="G4053" t="s">
        <v>338</v>
      </c>
      <c r="H4053">
        <v>24722</v>
      </c>
      <c r="I4053" t="s">
        <v>23</v>
      </c>
      <c r="J4053" t="s">
        <v>95</v>
      </c>
      <c r="K4053" s="2" t="s">
        <v>3310</v>
      </c>
      <c r="L4053" t="s">
        <v>26</v>
      </c>
      <c r="M4053">
        <v>336931</v>
      </c>
      <c r="N4053">
        <v>1</v>
      </c>
      <c r="O4053" s="3">
        <v>89951</v>
      </c>
      <c r="P4053" s="3">
        <v>30987</v>
      </c>
      <c r="Q4053" s="5">
        <f t="shared" si="189"/>
        <v>75589.075630252104</v>
      </c>
      <c r="R4053" s="5">
        <f t="shared" si="190"/>
        <v>30987</v>
      </c>
      <c r="S4053" s="5">
        <f t="shared" si="191"/>
        <v>44602.075630252104</v>
      </c>
    </row>
    <row r="4054" spans="1:19" hidden="1" x14ac:dyDescent="0.3">
      <c r="A4054">
        <v>170</v>
      </c>
      <c r="B4054" t="s">
        <v>4809</v>
      </c>
      <c r="C4054" t="s">
        <v>2847</v>
      </c>
      <c r="D4054" s="2" t="s">
        <v>2848</v>
      </c>
      <c r="E4054" t="s">
        <v>2195</v>
      </c>
      <c r="F4054" t="s">
        <v>20</v>
      </c>
      <c r="G4054" t="s">
        <v>338</v>
      </c>
      <c r="H4054">
        <v>24722</v>
      </c>
      <c r="I4054" t="s">
        <v>23</v>
      </c>
      <c r="J4054" t="s">
        <v>95</v>
      </c>
      <c r="K4054" s="2" t="s">
        <v>3310</v>
      </c>
      <c r="L4054" t="s">
        <v>26</v>
      </c>
      <c r="M4054">
        <v>336931</v>
      </c>
      <c r="N4054">
        <v>-1</v>
      </c>
      <c r="O4054" s="3">
        <v>-89950</v>
      </c>
      <c r="P4054" s="3">
        <v>30987</v>
      </c>
      <c r="Q4054" s="5">
        <f t="shared" si="189"/>
        <v>-75588.23529411765</v>
      </c>
      <c r="R4054" s="5">
        <f t="shared" si="190"/>
        <v>-30987</v>
      </c>
      <c r="S4054" s="5">
        <f t="shared" si="191"/>
        <v>-44601.23529411765</v>
      </c>
    </row>
    <row r="4055" spans="1:19" hidden="1" x14ac:dyDescent="0.3">
      <c r="A4055">
        <v>170</v>
      </c>
      <c r="B4055" t="s">
        <v>4809</v>
      </c>
      <c r="C4055" t="s">
        <v>1273</v>
      </c>
      <c r="D4055" s="2" t="s">
        <v>1274</v>
      </c>
      <c r="E4055" t="s">
        <v>717</v>
      </c>
      <c r="F4055" t="s">
        <v>20</v>
      </c>
      <c r="G4055" t="s">
        <v>21</v>
      </c>
      <c r="H4055" t="s">
        <v>718</v>
      </c>
      <c r="I4055" t="s">
        <v>23</v>
      </c>
      <c r="J4055" t="s">
        <v>49</v>
      </c>
      <c r="K4055" s="2" t="s">
        <v>3310</v>
      </c>
      <c r="L4055" t="s">
        <v>26</v>
      </c>
      <c r="M4055">
        <v>336932</v>
      </c>
      <c r="N4055">
        <v>-1</v>
      </c>
      <c r="O4055" s="3">
        <v>-39990</v>
      </c>
      <c r="P4055" s="3">
        <v>26655</v>
      </c>
      <c r="Q4055" s="5">
        <f t="shared" si="189"/>
        <v>-33605.042016806721</v>
      </c>
      <c r="R4055" s="5">
        <f t="shared" si="190"/>
        <v>-26655</v>
      </c>
      <c r="S4055" s="5">
        <f t="shared" si="191"/>
        <v>-6950.0420168067212</v>
      </c>
    </row>
    <row r="4056" spans="1:19" hidden="1" x14ac:dyDescent="0.3">
      <c r="A4056">
        <v>170</v>
      </c>
      <c r="B4056" t="s">
        <v>4809</v>
      </c>
      <c r="C4056" t="s">
        <v>715</v>
      </c>
      <c r="D4056" s="2" t="s">
        <v>716</v>
      </c>
      <c r="E4056" t="s">
        <v>717</v>
      </c>
      <c r="F4056" t="s">
        <v>20</v>
      </c>
      <c r="G4056" t="s">
        <v>21</v>
      </c>
      <c r="H4056" t="s">
        <v>718</v>
      </c>
      <c r="I4056" t="s">
        <v>23</v>
      </c>
      <c r="J4056" t="s">
        <v>49</v>
      </c>
      <c r="K4056" s="2" t="s">
        <v>3310</v>
      </c>
      <c r="L4056" t="s">
        <v>26</v>
      </c>
      <c r="M4056">
        <v>336932</v>
      </c>
      <c r="N4056">
        <v>1</v>
      </c>
      <c r="O4056" s="3">
        <v>39991</v>
      </c>
      <c r="P4056" s="3">
        <v>26649</v>
      </c>
      <c r="Q4056" s="5">
        <f t="shared" si="189"/>
        <v>33605.882352941175</v>
      </c>
      <c r="R4056" s="5">
        <f t="shared" si="190"/>
        <v>26649</v>
      </c>
      <c r="S4056" s="5">
        <f t="shared" si="191"/>
        <v>6956.8823529411748</v>
      </c>
    </row>
    <row r="4057" spans="1:19" hidden="1" x14ac:dyDescent="0.3">
      <c r="A4057">
        <v>170</v>
      </c>
      <c r="B4057" t="s">
        <v>4809</v>
      </c>
      <c r="C4057" t="s">
        <v>1037</v>
      </c>
      <c r="D4057" s="2" t="s">
        <v>1038</v>
      </c>
      <c r="E4057" t="s">
        <v>1039</v>
      </c>
      <c r="F4057" t="s">
        <v>377</v>
      </c>
      <c r="G4057" t="s">
        <v>21</v>
      </c>
      <c r="H4057" t="s">
        <v>378</v>
      </c>
      <c r="I4057" t="s">
        <v>23</v>
      </c>
      <c r="J4057" t="s">
        <v>379</v>
      </c>
      <c r="K4057" s="2" t="s">
        <v>3310</v>
      </c>
      <c r="L4057" t="s">
        <v>26</v>
      </c>
      <c r="M4057">
        <v>336933</v>
      </c>
      <c r="N4057">
        <v>1</v>
      </c>
      <c r="O4057" s="3">
        <v>5950</v>
      </c>
      <c r="P4057" s="3">
        <v>3257</v>
      </c>
      <c r="Q4057" s="5">
        <f t="shared" si="189"/>
        <v>5000</v>
      </c>
      <c r="R4057" s="5">
        <f t="shared" si="190"/>
        <v>3257</v>
      </c>
      <c r="S4057" s="5">
        <f t="shared" si="191"/>
        <v>1743</v>
      </c>
    </row>
    <row r="4058" spans="1:19" hidden="1" x14ac:dyDescent="0.3">
      <c r="A4058">
        <v>170</v>
      </c>
      <c r="B4058" t="s">
        <v>4809</v>
      </c>
      <c r="C4058" t="s">
        <v>5049</v>
      </c>
      <c r="D4058" s="2" t="s">
        <v>5050</v>
      </c>
      <c r="E4058" t="s">
        <v>1171</v>
      </c>
      <c r="F4058" t="s">
        <v>20</v>
      </c>
      <c r="G4058" t="s">
        <v>21</v>
      </c>
      <c r="H4058" t="s">
        <v>500</v>
      </c>
      <c r="I4058" t="s">
        <v>23</v>
      </c>
      <c r="J4058" t="s">
        <v>40</v>
      </c>
      <c r="K4058" s="2" t="s">
        <v>3310</v>
      </c>
      <c r="L4058" t="s">
        <v>26</v>
      </c>
      <c r="M4058">
        <v>336934</v>
      </c>
      <c r="N4058">
        <v>1</v>
      </c>
      <c r="O4058" s="3">
        <v>59950</v>
      </c>
      <c r="P4058" s="3">
        <v>17416</v>
      </c>
      <c r="Q4058" s="5">
        <f t="shared" si="189"/>
        <v>50378.151260504201</v>
      </c>
      <c r="R4058" s="5">
        <f t="shared" si="190"/>
        <v>17416</v>
      </c>
      <c r="S4058" s="5">
        <f t="shared" si="191"/>
        <v>32962.151260504201</v>
      </c>
    </row>
    <row r="4059" spans="1:19" hidden="1" x14ac:dyDescent="0.3">
      <c r="A4059">
        <v>170</v>
      </c>
      <c r="B4059" t="s">
        <v>4809</v>
      </c>
      <c r="C4059" t="s">
        <v>5437</v>
      </c>
      <c r="D4059" s="2" t="s">
        <v>5438</v>
      </c>
      <c r="E4059" t="s">
        <v>3666</v>
      </c>
      <c r="F4059" t="s">
        <v>20</v>
      </c>
      <c r="G4059" t="s">
        <v>338</v>
      </c>
      <c r="H4059">
        <v>24316</v>
      </c>
      <c r="I4059" t="s">
        <v>23</v>
      </c>
      <c r="J4059" t="s">
        <v>49</v>
      </c>
      <c r="K4059" s="2" t="s">
        <v>3310</v>
      </c>
      <c r="L4059" t="s">
        <v>26</v>
      </c>
      <c r="M4059">
        <v>336935</v>
      </c>
      <c r="N4059">
        <v>1</v>
      </c>
      <c r="O4059" s="3">
        <v>74950</v>
      </c>
      <c r="P4059" s="3">
        <v>23473</v>
      </c>
      <c r="Q4059" s="5">
        <f t="shared" si="189"/>
        <v>62983.193277310929</v>
      </c>
      <c r="R4059" s="5">
        <f t="shared" si="190"/>
        <v>23473</v>
      </c>
      <c r="S4059" s="5">
        <f t="shared" si="191"/>
        <v>39510.193277310929</v>
      </c>
    </row>
    <row r="4060" spans="1:19" hidden="1" x14ac:dyDescent="0.3">
      <c r="A4060">
        <v>170</v>
      </c>
      <c r="B4060" t="s">
        <v>4809</v>
      </c>
      <c r="C4060" t="s">
        <v>5427</v>
      </c>
      <c r="D4060" s="2" t="s">
        <v>5428</v>
      </c>
      <c r="E4060" t="s">
        <v>5429</v>
      </c>
      <c r="F4060" t="s">
        <v>377</v>
      </c>
      <c r="G4060" t="s">
        <v>21</v>
      </c>
      <c r="H4060" t="s">
        <v>378</v>
      </c>
      <c r="I4060" t="s">
        <v>23</v>
      </c>
      <c r="J4060" t="s">
        <v>5430</v>
      </c>
      <c r="K4060" s="2" t="s">
        <v>3310</v>
      </c>
      <c r="L4060" t="s">
        <v>26</v>
      </c>
      <c r="M4060">
        <v>336936</v>
      </c>
      <c r="N4060">
        <v>2</v>
      </c>
      <c r="O4060" s="3">
        <v>1900</v>
      </c>
      <c r="P4060">
        <v>226</v>
      </c>
      <c r="Q4060" s="5">
        <f t="shared" si="189"/>
        <v>1596.6386554621849</v>
      </c>
      <c r="R4060" s="5">
        <f t="shared" si="190"/>
        <v>452</v>
      </c>
      <c r="S4060" s="5">
        <f t="shared" si="191"/>
        <v>1144.6386554621849</v>
      </c>
    </row>
    <row r="4061" spans="1:19" hidden="1" x14ac:dyDescent="0.3">
      <c r="A4061">
        <v>170</v>
      </c>
      <c r="B4061" t="s">
        <v>4809</v>
      </c>
      <c r="C4061" t="s">
        <v>1884</v>
      </c>
      <c r="D4061" s="2" t="s">
        <v>1885</v>
      </c>
      <c r="E4061" t="s">
        <v>1886</v>
      </c>
      <c r="F4061" t="s">
        <v>20</v>
      </c>
      <c r="G4061" t="s">
        <v>21</v>
      </c>
      <c r="H4061" t="s">
        <v>1887</v>
      </c>
      <c r="I4061" t="s">
        <v>23</v>
      </c>
      <c r="J4061" t="s">
        <v>40</v>
      </c>
      <c r="K4061" s="2" t="s">
        <v>3310</v>
      </c>
      <c r="L4061" t="s">
        <v>26</v>
      </c>
      <c r="M4061">
        <v>336937</v>
      </c>
      <c r="N4061">
        <v>1</v>
      </c>
      <c r="O4061" s="3">
        <v>69950</v>
      </c>
      <c r="P4061" s="3">
        <v>21623</v>
      </c>
      <c r="Q4061" s="5">
        <f t="shared" si="189"/>
        <v>58781.512605042022</v>
      </c>
      <c r="R4061" s="5">
        <f t="shared" si="190"/>
        <v>21623</v>
      </c>
      <c r="S4061" s="5">
        <f t="shared" si="191"/>
        <v>37158.512605042022</v>
      </c>
    </row>
    <row r="4062" spans="1:19" hidden="1" x14ac:dyDescent="0.3">
      <c r="A4062">
        <v>170</v>
      </c>
      <c r="B4062" t="s">
        <v>4809</v>
      </c>
      <c r="C4062" t="s">
        <v>2973</v>
      </c>
      <c r="D4062" s="2" t="s">
        <v>2974</v>
      </c>
      <c r="E4062" t="s">
        <v>1886</v>
      </c>
      <c r="F4062" t="s">
        <v>20</v>
      </c>
      <c r="G4062" t="s">
        <v>21</v>
      </c>
      <c r="H4062" t="s">
        <v>1887</v>
      </c>
      <c r="I4062" t="s">
        <v>23</v>
      </c>
      <c r="J4062" t="s">
        <v>40</v>
      </c>
      <c r="K4062" s="2" t="s">
        <v>3310</v>
      </c>
      <c r="L4062" t="s">
        <v>26</v>
      </c>
      <c r="M4062">
        <v>336937</v>
      </c>
      <c r="N4062">
        <v>1</v>
      </c>
      <c r="O4062" s="3">
        <v>59450</v>
      </c>
      <c r="P4062" s="3">
        <v>21623</v>
      </c>
      <c r="Q4062" s="5">
        <f t="shared" si="189"/>
        <v>49957.983193277316</v>
      </c>
      <c r="R4062" s="5">
        <f t="shared" si="190"/>
        <v>21623</v>
      </c>
      <c r="S4062" s="5">
        <f t="shared" si="191"/>
        <v>28334.983193277316</v>
      </c>
    </row>
    <row r="4063" spans="1:19" hidden="1" x14ac:dyDescent="0.3">
      <c r="A4063">
        <v>170</v>
      </c>
      <c r="B4063" t="s">
        <v>4809</v>
      </c>
      <c r="C4063" t="s">
        <v>3324</v>
      </c>
      <c r="D4063" s="2" t="s">
        <v>3325</v>
      </c>
      <c r="E4063" t="s">
        <v>2349</v>
      </c>
      <c r="F4063" t="s">
        <v>20</v>
      </c>
      <c r="G4063" t="s">
        <v>338</v>
      </c>
      <c r="H4063">
        <v>23709</v>
      </c>
      <c r="I4063" t="s">
        <v>23</v>
      </c>
      <c r="J4063" t="s">
        <v>40</v>
      </c>
      <c r="K4063" s="2" t="s">
        <v>3310</v>
      </c>
      <c r="L4063" t="s">
        <v>26</v>
      </c>
      <c r="M4063">
        <v>336938</v>
      </c>
      <c r="N4063">
        <v>1</v>
      </c>
      <c r="O4063" s="3">
        <v>67950</v>
      </c>
      <c r="P4063" s="3">
        <v>27728</v>
      </c>
      <c r="Q4063" s="5">
        <f t="shared" si="189"/>
        <v>57100.840336134454</v>
      </c>
      <c r="R4063" s="5">
        <f t="shared" si="190"/>
        <v>27728</v>
      </c>
      <c r="S4063" s="5">
        <f t="shared" si="191"/>
        <v>29372.840336134454</v>
      </c>
    </row>
    <row r="4064" spans="1:19" hidden="1" x14ac:dyDescent="0.3">
      <c r="A4064">
        <v>170</v>
      </c>
      <c r="B4064" t="s">
        <v>4809</v>
      </c>
      <c r="C4064" t="s">
        <v>4407</v>
      </c>
      <c r="D4064" s="2" t="s">
        <v>4408</v>
      </c>
      <c r="E4064" t="s">
        <v>3068</v>
      </c>
      <c r="F4064" t="s">
        <v>20</v>
      </c>
      <c r="G4064" t="s">
        <v>21</v>
      </c>
      <c r="H4064" t="s">
        <v>1286</v>
      </c>
      <c r="I4064" t="s">
        <v>23</v>
      </c>
      <c r="J4064" t="s">
        <v>40</v>
      </c>
      <c r="K4064" s="2" t="s">
        <v>3310</v>
      </c>
      <c r="L4064" t="s">
        <v>26</v>
      </c>
      <c r="M4064">
        <v>336939</v>
      </c>
      <c r="N4064">
        <v>1</v>
      </c>
      <c r="O4064" s="3">
        <v>69950</v>
      </c>
      <c r="P4064" s="3">
        <v>19604</v>
      </c>
      <c r="Q4064" s="5">
        <f t="shared" si="189"/>
        <v>58781.512605042022</v>
      </c>
      <c r="R4064" s="5">
        <f t="shared" si="190"/>
        <v>19604</v>
      </c>
      <c r="S4064" s="5">
        <f t="shared" si="191"/>
        <v>39177.512605042022</v>
      </c>
    </row>
    <row r="4065" spans="1:19" hidden="1" x14ac:dyDescent="0.3">
      <c r="A4065">
        <v>170</v>
      </c>
      <c r="B4065" t="s">
        <v>4809</v>
      </c>
      <c r="C4065" t="s">
        <v>5439</v>
      </c>
      <c r="D4065" s="2" t="s">
        <v>5440</v>
      </c>
      <c r="E4065" t="s">
        <v>3086</v>
      </c>
      <c r="F4065" t="s">
        <v>20</v>
      </c>
      <c r="G4065" t="s">
        <v>21</v>
      </c>
      <c r="H4065" t="s">
        <v>1418</v>
      </c>
      <c r="I4065" t="s">
        <v>23</v>
      </c>
      <c r="J4065" t="s">
        <v>35</v>
      </c>
      <c r="K4065" s="2" t="s">
        <v>3310</v>
      </c>
      <c r="L4065" t="s">
        <v>26</v>
      </c>
      <c r="M4065">
        <v>336940</v>
      </c>
      <c r="N4065">
        <v>1</v>
      </c>
      <c r="O4065" s="3">
        <v>64990</v>
      </c>
      <c r="P4065" s="3">
        <v>29189</v>
      </c>
      <c r="Q4065" s="5">
        <f t="shared" si="189"/>
        <v>54613.445378151264</v>
      </c>
      <c r="R4065" s="5">
        <f t="shared" si="190"/>
        <v>29189</v>
      </c>
      <c r="S4065" s="5">
        <f t="shared" si="191"/>
        <v>25424.445378151264</v>
      </c>
    </row>
    <row r="4066" spans="1:19" hidden="1" x14ac:dyDescent="0.3">
      <c r="A4066">
        <v>170</v>
      </c>
      <c r="B4066" t="s">
        <v>4809</v>
      </c>
      <c r="C4066" t="s">
        <v>4220</v>
      </c>
      <c r="D4066" s="2" t="s">
        <v>4221</v>
      </c>
      <c r="E4066" t="s">
        <v>2933</v>
      </c>
      <c r="F4066" t="s">
        <v>20</v>
      </c>
      <c r="G4066" t="s">
        <v>338</v>
      </c>
      <c r="H4066">
        <v>25539</v>
      </c>
      <c r="I4066" t="s">
        <v>23</v>
      </c>
      <c r="J4066" t="s">
        <v>31</v>
      </c>
      <c r="K4066" s="2" t="s">
        <v>3310</v>
      </c>
      <c r="L4066" t="s">
        <v>26</v>
      </c>
      <c r="M4066">
        <v>336941</v>
      </c>
      <c r="N4066">
        <v>1</v>
      </c>
      <c r="O4066" s="3">
        <v>139950</v>
      </c>
      <c r="P4066" s="3">
        <v>46011</v>
      </c>
      <c r="Q4066" s="5">
        <f t="shared" si="189"/>
        <v>117605.04201680672</v>
      </c>
      <c r="R4066" s="5">
        <f t="shared" si="190"/>
        <v>46011</v>
      </c>
      <c r="S4066" s="5">
        <f t="shared" si="191"/>
        <v>71594.042016806721</v>
      </c>
    </row>
    <row r="4067" spans="1:19" hidden="1" x14ac:dyDescent="0.3">
      <c r="A4067">
        <v>170</v>
      </c>
      <c r="B4067" t="s">
        <v>4809</v>
      </c>
      <c r="C4067" t="s">
        <v>5441</v>
      </c>
      <c r="D4067" s="2" t="s">
        <v>5442</v>
      </c>
      <c r="E4067" t="s">
        <v>3486</v>
      </c>
      <c r="F4067" t="s">
        <v>20</v>
      </c>
      <c r="G4067" t="s">
        <v>21</v>
      </c>
      <c r="H4067" t="s">
        <v>247</v>
      </c>
      <c r="I4067" t="s">
        <v>23</v>
      </c>
      <c r="J4067" t="s">
        <v>40</v>
      </c>
      <c r="K4067" s="2" t="s">
        <v>3310</v>
      </c>
      <c r="L4067" t="s">
        <v>26</v>
      </c>
      <c r="M4067">
        <v>336942</v>
      </c>
      <c r="N4067">
        <v>1</v>
      </c>
      <c r="O4067" s="3">
        <v>59950</v>
      </c>
      <c r="P4067" s="3">
        <v>16103</v>
      </c>
      <c r="Q4067" s="5">
        <f t="shared" si="189"/>
        <v>50378.151260504201</v>
      </c>
      <c r="R4067" s="5">
        <f t="shared" si="190"/>
        <v>16103</v>
      </c>
      <c r="S4067" s="5">
        <f t="shared" si="191"/>
        <v>34275.151260504201</v>
      </c>
    </row>
    <row r="4068" spans="1:19" hidden="1" x14ac:dyDescent="0.3">
      <c r="A4068">
        <v>170</v>
      </c>
      <c r="B4068" t="s">
        <v>4809</v>
      </c>
      <c r="C4068" t="s">
        <v>5443</v>
      </c>
      <c r="D4068" s="2" t="s">
        <v>5444</v>
      </c>
      <c r="E4068" t="s">
        <v>1913</v>
      </c>
      <c r="F4068" t="s">
        <v>20</v>
      </c>
      <c r="G4068" t="s">
        <v>21</v>
      </c>
      <c r="H4068" t="s">
        <v>1914</v>
      </c>
      <c r="I4068" t="s">
        <v>23</v>
      </c>
      <c r="J4068" t="s">
        <v>35</v>
      </c>
      <c r="K4068" s="2" t="s">
        <v>3310</v>
      </c>
      <c r="L4068" t="s">
        <v>26</v>
      </c>
      <c r="M4068">
        <v>336942</v>
      </c>
      <c r="N4068">
        <v>1</v>
      </c>
      <c r="O4068" s="3">
        <v>76450</v>
      </c>
      <c r="P4068" s="3">
        <v>28298</v>
      </c>
      <c r="Q4068" s="5">
        <f t="shared" si="189"/>
        <v>64243.697478991598</v>
      </c>
      <c r="R4068" s="5">
        <f t="shared" si="190"/>
        <v>28298</v>
      </c>
      <c r="S4068" s="5">
        <f t="shared" si="191"/>
        <v>35945.697478991598</v>
      </c>
    </row>
    <row r="4069" spans="1:19" hidden="1" x14ac:dyDescent="0.3">
      <c r="A4069">
        <v>170</v>
      </c>
      <c r="B4069" t="s">
        <v>4809</v>
      </c>
      <c r="C4069" t="s">
        <v>3870</v>
      </c>
      <c r="D4069" s="2" t="s">
        <v>3871</v>
      </c>
      <c r="E4069" t="s">
        <v>3424</v>
      </c>
      <c r="F4069" t="s">
        <v>20</v>
      </c>
      <c r="G4069" t="s">
        <v>338</v>
      </c>
      <c r="H4069">
        <v>23709</v>
      </c>
      <c r="I4069" t="s">
        <v>23</v>
      </c>
      <c r="J4069" t="s">
        <v>40</v>
      </c>
      <c r="K4069" s="2" t="s">
        <v>3310</v>
      </c>
      <c r="L4069" t="s">
        <v>26</v>
      </c>
      <c r="M4069">
        <v>336943</v>
      </c>
      <c r="N4069">
        <v>1</v>
      </c>
      <c r="O4069" s="3">
        <v>79950</v>
      </c>
      <c r="P4069" s="3">
        <v>27728</v>
      </c>
      <c r="Q4069" s="5">
        <f t="shared" si="189"/>
        <v>67184.873949579836</v>
      </c>
      <c r="R4069" s="5">
        <f t="shared" si="190"/>
        <v>27728</v>
      </c>
      <c r="S4069" s="5">
        <f t="shared" si="191"/>
        <v>39456.873949579836</v>
      </c>
    </row>
    <row r="4070" spans="1:19" hidden="1" x14ac:dyDescent="0.3">
      <c r="A4070">
        <v>170</v>
      </c>
      <c r="B4070" t="s">
        <v>4809</v>
      </c>
      <c r="C4070" t="s">
        <v>2575</v>
      </c>
      <c r="D4070" s="2" t="s">
        <v>2576</v>
      </c>
      <c r="E4070" t="s">
        <v>2577</v>
      </c>
      <c r="F4070" t="s">
        <v>377</v>
      </c>
      <c r="G4070" t="s">
        <v>21</v>
      </c>
      <c r="H4070" t="s">
        <v>378</v>
      </c>
      <c r="I4070" t="s">
        <v>23</v>
      </c>
      <c r="J4070" t="s">
        <v>379</v>
      </c>
      <c r="K4070" s="2" t="s">
        <v>3310</v>
      </c>
      <c r="L4070" t="s">
        <v>26</v>
      </c>
      <c r="M4070">
        <v>336944</v>
      </c>
      <c r="N4070">
        <v>1</v>
      </c>
      <c r="O4070" s="3">
        <v>5950</v>
      </c>
      <c r="P4070" s="3">
        <v>3307</v>
      </c>
      <c r="Q4070" s="5">
        <f t="shared" si="189"/>
        <v>5000</v>
      </c>
      <c r="R4070" s="5">
        <f t="shared" si="190"/>
        <v>3307</v>
      </c>
      <c r="S4070" s="5">
        <f t="shared" si="191"/>
        <v>1693</v>
      </c>
    </row>
    <row r="4071" spans="1:19" hidden="1" x14ac:dyDescent="0.3">
      <c r="A4071">
        <v>170</v>
      </c>
      <c r="B4071" t="s">
        <v>4809</v>
      </c>
      <c r="C4071" t="s">
        <v>5445</v>
      </c>
      <c r="D4071" s="2" t="s">
        <v>5446</v>
      </c>
      <c r="E4071" t="s">
        <v>2936</v>
      </c>
      <c r="F4071" t="s">
        <v>20</v>
      </c>
      <c r="G4071" t="s">
        <v>338</v>
      </c>
      <c r="H4071">
        <v>25357</v>
      </c>
      <c r="I4071" t="s">
        <v>23</v>
      </c>
      <c r="J4071" t="s">
        <v>35</v>
      </c>
      <c r="K4071" s="2" t="s">
        <v>3310</v>
      </c>
      <c r="L4071" t="s">
        <v>26</v>
      </c>
      <c r="M4071">
        <v>336945</v>
      </c>
      <c r="N4071">
        <v>1</v>
      </c>
      <c r="O4071" s="3">
        <v>67950</v>
      </c>
      <c r="P4071" s="3">
        <v>24482</v>
      </c>
      <c r="Q4071" s="5">
        <f t="shared" si="189"/>
        <v>57100.840336134454</v>
      </c>
      <c r="R4071" s="5">
        <f t="shared" si="190"/>
        <v>24482</v>
      </c>
      <c r="S4071" s="5">
        <f t="shared" si="191"/>
        <v>32618.840336134454</v>
      </c>
    </row>
    <row r="4072" spans="1:19" hidden="1" x14ac:dyDescent="0.3">
      <c r="A4072">
        <v>170</v>
      </c>
      <c r="B4072" t="s">
        <v>4809</v>
      </c>
      <c r="C4072" t="s">
        <v>4359</v>
      </c>
      <c r="D4072" s="2" t="s">
        <v>4360</v>
      </c>
      <c r="E4072" t="s">
        <v>4049</v>
      </c>
      <c r="F4072" t="s">
        <v>20</v>
      </c>
      <c r="G4072" t="s">
        <v>21</v>
      </c>
      <c r="H4072" t="s">
        <v>3351</v>
      </c>
      <c r="I4072" t="s">
        <v>23</v>
      </c>
      <c r="J4072" t="s">
        <v>40</v>
      </c>
      <c r="K4072" s="2" t="s">
        <v>3310</v>
      </c>
      <c r="L4072" t="s">
        <v>26</v>
      </c>
      <c r="M4072">
        <v>336945</v>
      </c>
      <c r="N4072">
        <v>1</v>
      </c>
      <c r="O4072" s="3">
        <v>79950</v>
      </c>
      <c r="P4072" s="3">
        <v>30166</v>
      </c>
      <c r="Q4072" s="5">
        <f t="shared" si="189"/>
        <v>67184.873949579836</v>
      </c>
      <c r="R4072" s="5">
        <f t="shared" si="190"/>
        <v>30166</v>
      </c>
      <c r="S4072" s="5">
        <f t="shared" si="191"/>
        <v>37018.873949579836</v>
      </c>
    </row>
    <row r="4073" spans="1:19" hidden="1" x14ac:dyDescent="0.3">
      <c r="A4073">
        <v>170</v>
      </c>
      <c r="B4073" t="s">
        <v>4809</v>
      </c>
      <c r="C4073" t="s">
        <v>2975</v>
      </c>
      <c r="D4073" s="2" t="s">
        <v>2976</v>
      </c>
      <c r="E4073" t="s">
        <v>1453</v>
      </c>
      <c r="F4073" t="s">
        <v>20</v>
      </c>
      <c r="G4073" t="s">
        <v>338</v>
      </c>
      <c r="H4073">
        <v>22410</v>
      </c>
      <c r="I4073" t="s">
        <v>23</v>
      </c>
      <c r="J4073" t="s">
        <v>49</v>
      </c>
      <c r="K4073" s="2" t="s">
        <v>3366</v>
      </c>
      <c r="L4073" t="s">
        <v>26</v>
      </c>
      <c r="M4073">
        <v>336946</v>
      </c>
      <c r="N4073">
        <v>1</v>
      </c>
      <c r="O4073" s="3">
        <v>69950</v>
      </c>
      <c r="P4073" s="3">
        <v>20848</v>
      </c>
      <c r="Q4073" s="5">
        <f t="shared" si="189"/>
        <v>58781.512605042022</v>
      </c>
      <c r="R4073" s="5">
        <f t="shared" si="190"/>
        <v>20848</v>
      </c>
      <c r="S4073" s="5">
        <f t="shared" si="191"/>
        <v>37933.512605042022</v>
      </c>
    </row>
    <row r="4074" spans="1:19" hidden="1" x14ac:dyDescent="0.3">
      <c r="A4074">
        <v>170</v>
      </c>
      <c r="B4074" t="s">
        <v>4809</v>
      </c>
      <c r="C4074" t="s">
        <v>4840</v>
      </c>
      <c r="D4074" s="2" t="s">
        <v>4841</v>
      </c>
      <c r="E4074" t="s">
        <v>1501</v>
      </c>
      <c r="F4074" t="s">
        <v>20</v>
      </c>
      <c r="G4074" t="s">
        <v>21</v>
      </c>
      <c r="H4074" t="s">
        <v>742</v>
      </c>
      <c r="I4074" t="s">
        <v>23</v>
      </c>
      <c r="J4074" t="s">
        <v>40</v>
      </c>
      <c r="K4074" s="2" t="s">
        <v>3366</v>
      </c>
      <c r="L4074" t="s">
        <v>26</v>
      </c>
      <c r="M4074">
        <v>336947</v>
      </c>
      <c r="N4074">
        <v>1</v>
      </c>
      <c r="O4074" s="3">
        <v>67950</v>
      </c>
      <c r="P4074" s="3">
        <v>28723</v>
      </c>
      <c r="Q4074" s="5">
        <f t="shared" si="189"/>
        <v>57100.840336134454</v>
      </c>
      <c r="R4074" s="5">
        <f t="shared" si="190"/>
        <v>28723</v>
      </c>
      <c r="S4074" s="5">
        <f t="shared" si="191"/>
        <v>28377.840336134454</v>
      </c>
    </row>
    <row r="4075" spans="1:19" hidden="1" x14ac:dyDescent="0.3">
      <c r="A4075">
        <v>170</v>
      </c>
      <c r="B4075" t="s">
        <v>4809</v>
      </c>
      <c r="C4075" t="s">
        <v>5447</v>
      </c>
      <c r="D4075" s="2" t="s">
        <v>5448</v>
      </c>
      <c r="E4075" t="s">
        <v>2800</v>
      </c>
      <c r="F4075" t="s">
        <v>20</v>
      </c>
      <c r="G4075" t="s">
        <v>21</v>
      </c>
      <c r="H4075" t="s">
        <v>600</v>
      </c>
      <c r="I4075" t="s">
        <v>23</v>
      </c>
      <c r="J4075" t="s">
        <v>40</v>
      </c>
      <c r="K4075" s="2" t="s">
        <v>3366</v>
      </c>
      <c r="L4075" t="s">
        <v>26</v>
      </c>
      <c r="M4075">
        <v>336947</v>
      </c>
      <c r="N4075">
        <v>1</v>
      </c>
      <c r="O4075" s="3">
        <v>49990</v>
      </c>
      <c r="P4075" s="3">
        <v>21327</v>
      </c>
      <c r="Q4075" s="5">
        <f t="shared" si="189"/>
        <v>42008.403361344543</v>
      </c>
      <c r="R4075" s="5">
        <f t="shared" si="190"/>
        <v>21327</v>
      </c>
      <c r="S4075" s="5">
        <f t="shared" si="191"/>
        <v>20681.403361344543</v>
      </c>
    </row>
    <row r="4076" spans="1:19" hidden="1" x14ac:dyDescent="0.3">
      <c r="A4076">
        <v>170</v>
      </c>
      <c r="B4076" t="s">
        <v>4809</v>
      </c>
      <c r="C4076" t="s">
        <v>5449</v>
      </c>
      <c r="D4076" s="2" t="s">
        <v>5450</v>
      </c>
      <c r="E4076" t="s">
        <v>1791</v>
      </c>
      <c r="F4076" t="s">
        <v>20</v>
      </c>
      <c r="G4076" t="s">
        <v>21</v>
      </c>
      <c r="H4076" t="s">
        <v>742</v>
      </c>
      <c r="I4076" t="s">
        <v>23</v>
      </c>
      <c r="J4076" t="s">
        <v>40</v>
      </c>
      <c r="K4076" s="2" t="s">
        <v>3366</v>
      </c>
      <c r="L4076" t="s">
        <v>26</v>
      </c>
      <c r="M4076">
        <v>336948</v>
      </c>
      <c r="N4076">
        <v>1</v>
      </c>
      <c r="O4076" s="3">
        <v>67950</v>
      </c>
      <c r="P4076" s="3">
        <v>26554</v>
      </c>
      <c r="Q4076" s="5">
        <f t="shared" si="189"/>
        <v>57100.840336134454</v>
      </c>
      <c r="R4076" s="5">
        <f t="shared" si="190"/>
        <v>26554</v>
      </c>
      <c r="S4076" s="5">
        <f t="shared" si="191"/>
        <v>30546.840336134454</v>
      </c>
    </row>
    <row r="4077" spans="1:19" hidden="1" x14ac:dyDescent="0.3">
      <c r="A4077">
        <v>170</v>
      </c>
      <c r="B4077" t="s">
        <v>4809</v>
      </c>
      <c r="C4077" t="s">
        <v>2584</v>
      </c>
      <c r="D4077" s="2" t="s">
        <v>2585</v>
      </c>
      <c r="E4077" t="s">
        <v>2586</v>
      </c>
      <c r="F4077" t="s">
        <v>20</v>
      </c>
      <c r="G4077" t="s">
        <v>21</v>
      </c>
      <c r="H4077" t="s">
        <v>600</v>
      </c>
      <c r="I4077" t="s">
        <v>23</v>
      </c>
      <c r="J4077" t="s">
        <v>40</v>
      </c>
      <c r="K4077" s="2" t="s">
        <v>3366</v>
      </c>
      <c r="L4077" t="s">
        <v>26</v>
      </c>
      <c r="M4077">
        <v>336948</v>
      </c>
      <c r="N4077">
        <v>1</v>
      </c>
      <c r="O4077" s="3">
        <v>49990</v>
      </c>
      <c r="P4077" s="3">
        <v>21327</v>
      </c>
      <c r="Q4077" s="5">
        <f t="shared" si="189"/>
        <v>42008.403361344543</v>
      </c>
      <c r="R4077" s="5">
        <f t="shared" si="190"/>
        <v>21327</v>
      </c>
      <c r="S4077" s="5">
        <f t="shared" si="191"/>
        <v>20681.403361344543</v>
      </c>
    </row>
    <row r="4078" spans="1:19" hidden="1" x14ac:dyDescent="0.3">
      <c r="A4078">
        <v>170</v>
      </c>
      <c r="B4078" t="s">
        <v>4809</v>
      </c>
      <c r="C4078" t="s">
        <v>2808</v>
      </c>
      <c r="D4078" s="2" t="s">
        <v>2809</v>
      </c>
      <c r="E4078" t="s">
        <v>2810</v>
      </c>
      <c r="F4078" t="s">
        <v>20</v>
      </c>
      <c r="G4078" t="s">
        <v>21</v>
      </c>
      <c r="H4078" t="s">
        <v>1987</v>
      </c>
      <c r="I4078" t="s">
        <v>23</v>
      </c>
      <c r="J4078" t="s">
        <v>35</v>
      </c>
      <c r="K4078" s="2" t="s">
        <v>3366</v>
      </c>
      <c r="L4078" t="s">
        <v>26</v>
      </c>
      <c r="M4078">
        <v>336949</v>
      </c>
      <c r="N4078">
        <v>1</v>
      </c>
      <c r="O4078" s="3">
        <v>76450</v>
      </c>
      <c r="P4078" s="3">
        <v>29858</v>
      </c>
      <c r="Q4078" s="5">
        <f t="shared" si="189"/>
        <v>64243.697478991598</v>
      </c>
      <c r="R4078" s="5">
        <f t="shared" si="190"/>
        <v>29858</v>
      </c>
      <c r="S4078" s="5">
        <f t="shared" si="191"/>
        <v>34385.697478991598</v>
      </c>
    </row>
    <row r="4079" spans="1:19" hidden="1" x14ac:dyDescent="0.3">
      <c r="A4079">
        <v>170</v>
      </c>
      <c r="B4079" t="s">
        <v>4809</v>
      </c>
      <c r="C4079" t="s">
        <v>1149</v>
      </c>
      <c r="D4079" s="2" t="s">
        <v>1150</v>
      </c>
      <c r="E4079" t="s">
        <v>1151</v>
      </c>
      <c r="F4079" t="s">
        <v>20</v>
      </c>
      <c r="G4079" t="s">
        <v>338</v>
      </c>
      <c r="H4079">
        <v>25362</v>
      </c>
      <c r="I4079" t="s">
        <v>23</v>
      </c>
      <c r="J4079" t="s">
        <v>35</v>
      </c>
      <c r="K4079" s="2" t="s">
        <v>3366</v>
      </c>
      <c r="L4079" t="s">
        <v>26</v>
      </c>
      <c r="M4079">
        <v>336949</v>
      </c>
      <c r="N4079">
        <v>1</v>
      </c>
      <c r="O4079" s="3">
        <v>59990</v>
      </c>
      <c r="P4079" s="3">
        <v>23473</v>
      </c>
      <c r="Q4079" s="5">
        <f t="shared" si="189"/>
        <v>50411.764705882357</v>
      </c>
      <c r="R4079" s="5">
        <f t="shared" si="190"/>
        <v>23473</v>
      </c>
      <c r="S4079" s="5">
        <f t="shared" si="191"/>
        <v>26938.764705882357</v>
      </c>
    </row>
    <row r="4080" spans="1:19" hidden="1" x14ac:dyDescent="0.3">
      <c r="A4080">
        <v>170</v>
      </c>
      <c r="B4080" t="s">
        <v>4809</v>
      </c>
      <c r="C4080" t="s">
        <v>4760</v>
      </c>
      <c r="D4080" s="2" t="s">
        <v>4761</v>
      </c>
      <c r="E4080" t="s">
        <v>2561</v>
      </c>
      <c r="F4080" t="s">
        <v>20</v>
      </c>
      <c r="G4080" t="s">
        <v>21</v>
      </c>
      <c r="H4080" t="s">
        <v>1914</v>
      </c>
      <c r="I4080" t="s">
        <v>23</v>
      </c>
      <c r="J4080" t="s">
        <v>35</v>
      </c>
      <c r="K4080" s="2" t="s">
        <v>3366</v>
      </c>
      <c r="L4080" t="s">
        <v>26</v>
      </c>
      <c r="M4080">
        <v>336950</v>
      </c>
      <c r="N4080">
        <v>1</v>
      </c>
      <c r="O4080" s="3">
        <v>69990</v>
      </c>
      <c r="P4080" s="3">
        <v>28298</v>
      </c>
      <c r="Q4080" s="5">
        <f t="shared" si="189"/>
        <v>58815.126050420171</v>
      </c>
      <c r="R4080" s="5">
        <f t="shared" si="190"/>
        <v>28298</v>
      </c>
      <c r="S4080" s="5">
        <f t="shared" si="191"/>
        <v>30517.126050420171</v>
      </c>
    </row>
    <row r="4081" spans="1:19" hidden="1" x14ac:dyDescent="0.3">
      <c r="A4081">
        <v>170</v>
      </c>
      <c r="B4081" t="s">
        <v>4809</v>
      </c>
      <c r="C4081" t="s">
        <v>2739</v>
      </c>
      <c r="D4081" s="2" t="s">
        <v>2740</v>
      </c>
      <c r="E4081" t="s">
        <v>2741</v>
      </c>
      <c r="F4081" t="s">
        <v>20</v>
      </c>
      <c r="G4081" t="s">
        <v>21</v>
      </c>
      <c r="H4081" t="s">
        <v>2494</v>
      </c>
      <c r="I4081" t="s">
        <v>23</v>
      </c>
      <c r="J4081" t="s">
        <v>40</v>
      </c>
      <c r="K4081" s="2" t="s">
        <v>3366</v>
      </c>
      <c r="L4081" t="s">
        <v>26</v>
      </c>
      <c r="M4081">
        <v>336951</v>
      </c>
      <c r="N4081">
        <v>1</v>
      </c>
      <c r="O4081" s="3">
        <v>69950</v>
      </c>
      <c r="P4081" s="3">
        <v>23470</v>
      </c>
      <c r="Q4081" s="5">
        <f t="shared" si="189"/>
        <v>58781.512605042022</v>
      </c>
      <c r="R4081" s="5">
        <f t="shared" si="190"/>
        <v>23470</v>
      </c>
      <c r="S4081" s="5">
        <f t="shared" si="191"/>
        <v>35311.512605042022</v>
      </c>
    </row>
    <row r="4082" spans="1:19" hidden="1" x14ac:dyDescent="0.3">
      <c r="A4082">
        <v>170</v>
      </c>
      <c r="B4082" t="s">
        <v>4809</v>
      </c>
      <c r="C4082" t="s">
        <v>3647</v>
      </c>
      <c r="D4082" s="2" t="s">
        <v>3648</v>
      </c>
      <c r="E4082" t="s">
        <v>316</v>
      </c>
      <c r="F4082" t="s">
        <v>20</v>
      </c>
      <c r="G4082" t="s">
        <v>21</v>
      </c>
      <c r="H4082" t="s">
        <v>317</v>
      </c>
      <c r="I4082" t="s">
        <v>23</v>
      </c>
      <c r="J4082" t="s">
        <v>35</v>
      </c>
      <c r="K4082" s="2" t="s">
        <v>3366</v>
      </c>
      <c r="L4082" t="s">
        <v>26</v>
      </c>
      <c r="M4082">
        <v>336952</v>
      </c>
      <c r="N4082">
        <v>1</v>
      </c>
      <c r="O4082" s="3">
        <v>69950</v>
      </c>
      <c r="P4082" s="3">
        <v>24893</v>
      </c>
      <c r="Q4082" s="5">
        <f t="shared" si="189"/>
        <v>58781.512605042022</v>
      </c>
      <c r="R4082" s="5">
        <f t="shared" si="190"/>
        <v>24893</v>
      </c>
      <c r="S4082" s="5">
        <f t="shared" si="191"/>
        <v>33888.512605042022</v>
      </c>
    </row>
    <row r="4083" spans="1:19" hidden="1" x14ac:dyDescent="0.3">
      <c r="A4083">
        <v>170</v>
      </c>
      <c r="B4083" t="s">
        <v>4809</v>
      </c>
      <c r="C4083" t="s">
        <v>3450</v>
      </c>
      <c r="D4083" s="2" t="s">
        <v>3451</v>
      </c>
      <c r="E4083" t="s">
        <v>3452</v>
      </c>
      <c r="F4083" t="s">
        <v>377</v>
      </c>
      <c r="G4083" t="s">
        <v>21</v>
      </c>
      <c r="H4083" t="s">
        <v>378</v>
      </c>
      <c r="I4083" t="s">
        <v>23</v>
      </c>
      <c r="J4083" t="s">
        <v>379</v>
      </c>
      <c r="K4083" s="2" t="s">
        <v>3366</v>
      </c>
      <c r="L4083" t="s">
        <v>26</v>
      </c>
      <c r="M4083">
        <v>336953</v>
      </c>
      <c r="N4083">
        <v>1</v>
      </c>
      <c r="O4083" s="3">
        <v>6950</v>
      </c>
      <c r="P4083" s="3">
        <v>3458</v>
      </c>
      <c r="Q4083" s="5">
        <f t="shared" si="189"/>
        <v>5840.3361344537816</v>
      </c>
      <c r="R4083" s="5">
        <f t="shared" si="190"/>
        <v>3458</v>
      </c>
      <c r="S4083" s="5">
        <f t="shared" si="191"/>
        <v>2382.3361344537816</v>
      </c>
    </row>
    <row r="4084" spans="1:19" hidden="1" x14ac:dyDescent="0.3">
      <c r="A4084">
        <v>170</v>
      </c>
      <c r="B4084" t="s">
        <v>4809</v>
      </c>
      <c r="C4084" t="s">
        <v>5451</v>
      </c>
      <c r="D4084" s="2" t="s">
        <v>5452</v>
      </c>
      <c r="E4084" t="s">
        <v>1709</v>
      </c>
      <c r="F4084" t="s">
        <v>20</v>
      </c>
      <c r="G4084" t="s">
        <v>21</v>
      </c>
      <c r="H4084" t="s">
        <v>970</v>
      </c>
      <c r="I4084" t="s">
        <v>23</v>
      </c>
      <c r="J4084" t="s">
        <v>40</v>
      </c>
      <c r="K4084" s="2" t="s">
        <v>3366</v>
      </c>
      <c r="L4084" t="s">
        <v>26</v>
      </c>
      <c r="M4084">
        <v>336954</v>
      </c>
      <c r="N4084">
        <v>1</v>
      </c>
      <c r="O4084" s="3">
        <v>49990</v>
      </c>
      <c r="P4084" s="3">
        <v>18897</v>
      </c>
      <c r="Q4084" s="5">
        <f t="shared" si="189"/>
        <v>42008.403361344543</v>
      </c>
      <c r="R4084" s="5">
        <f t="shared" si="190"/>
        <v>18897</v>
      </c>
      <c r="S4084" s="5">
        <f t="shared" si="191"/>
        <v>23111.403361344543</v>
      </c>
    </row>
    <row r="4085" spans="1:19" hidden="1" x14ac:dyDescent="0.3">
      <c r="A4085">
        <v>170</v>
      </c>
      <c r="B4085" t="s">
        <v>4809</v>
      </c>
      <c r="C4085" t="s">
        <v>2161</v>
      </c>
      <c r="D4085" s="2" t="s">
        <v>2162</v>
      </c>
      <c r="E4085" t="s">
        <v>2163</v>
      </c>
      <c r="F4085" t="s">
        <v>20</v>
      </c>
      <c r="G4085" t="s">
        <v>21</v>
      </c>
      <c r="H4085" t="s">
        <v>970</v>
      </c>
      <c r="I4085" t="s">
        <v>23</v>
      </c>
      <c r="J4085" t="s">
        <v>40</v>
      </c>
      <c r="K4085" s="2" t="s">
        <v>3366</v>
      </c>
      <c r="L4085" t="s">
        <v>26</v>
      </c>
      <c r="M4085">
        <v>336954</v>
      </c>
      <c r="N4085">
        <v>1</v>
      </c>
      <c r="O4085" s="3">
        <v>59950</v>
      </c>
      <c r="P4085" s="3">
        <v>19352</v>
      </c>
      <c r="Q4085" s="5">
        <f t="shared" si="189"/>
        <v>50378.151260504201</v>
      </c>
      <c r="R4085" s="5">
        <f t="shared" si="190"/>
        <v>19352</v>
      </c>
      <c r="S4085" s="5">
        <f t="shared" si="191"/>
        <v>31026.151260504201</v>
      </c>
    </row>
    <row r="4086" spans="1:19" hidden="1" x14ac:dyDescent="0.3">
      <c r="A4086">
        <v>170</v>
      </c>
      <c r="B4086" t="s">
        <v>4809</v>
      </c>
      <c r="C4086" t="s">
        <v>5269</v>
      </c>
      <c r="D4086" s="2" t="s">
        <v>5270</v>
      </c>
      <c r="E4086" t="s">
        <v>2632</v>
      </c>
      <c r="F4086" t="s">
        <v>20</v>
      </c>
      <c r="G4086" t="s">
        <v>21</v>
      </c>
      <c r="H4086" t="s">
        <v>2469</v>
      </c>
      <c r="I4086" t="s">
        <v>23</v>
      </c>
      <c r="J4086" t="s">
        <v>49</v>
      </c>
      <c r="K4086" s="2" t="s">
        <v>3366</v>
      </c>
      <c r="L4086" t="s">
        <v>26</v>
      </c>
      <c r="M4086">
        <v>336955</v>
      </c>
      <c r="N4086">
        <v>1</v>
      </c>
      <c r="O4086" s="3">
        <v>55200</v>
      </c>
      <c r="P4086" s="3">
        <v>21390</v>
      </c>
      <c r="Q4086" s="5">
        <f t="shared" si="189"/>
        <v>46386.554621848743</v>
      </c>
      <c r="R4086" s="5">
        <f t="shared" si="190"/>
        <v>21390</v>
      </c>
      <c r="S4086" s="5">
        <f t="shared" si="191"/>
        <v>24996.554621848743</v>
      </c>
    </row>
    <row r="4087" spans="1:19" hidden="1" x14ac:dyDescent="0.3">
      <c r="A4087">
        <v>170</v>
      </c>
      <c r="B4087" t="s">
        <v>4809</v>
      </c>
      <c r="C4087" t="s">
        <v>2964</v>
      </c>
      <c r="D4087" s="2" t="s">
        <v>2965</v>
      </c>
      <c r="E4087" t="s">
        <v>2542</v>
      </c>
      <c r="F4087" t="s">
        <v>20</v>
      </c>
      <c r="G4087" t="s">
        <v>21</v>
      </c>
      <c r="H4087" t="s">
        <v>2469</v>
      </c>
      <c r="I4087" t="s">
        <v>23</v>
      </c>
      <c r="J4087" t="s">
        <v>49</v>
      </c>
      <c r="K4087" s="2" t="s">
        <v>3366</v>
      </c>
      <c r="L4087" t="s">
        <v>26</v>
      </c>
      <c r="M4087">
        <v>336955</v>
      </c>
      <c r="N4087">
        <v>1</v>
      </c>
      <c r="O4087" s="3">
        <v>64950</v>
      </c>
      <c r="P4087" s="3">
        <v>21341</v>
      </c>
      <c r="Q4087" s="5">
        <f t="shared" si="189"/>
        <v>54579.831932773115</v>
      </c>
      <c r="R4087" s="5">
        <f t="shared" si="190"/>
        <v>21341</v>
      </c>
      <c r="S4087" s="5">
        <f t="shared" si="191"/>
        <v>33238.831932773115</v>
      </c>
    </row>
    <row r="4088" spans="1:19" hidden="1" x14ac:dyDescent="0.3">
      <c r="A4088">
        <v>170</v>
      </c>
      <c r="B4088" t="s">
        <v>4809</v>
      </c>
      <c r="C4088" t="s">
        <v>5453</v>
      </c>
      <c r="D4088" s="2" t="s">
        <v>5454</v>
      </c>
      <c r="E4088" t="s">
        <v>5346</v>
      </c>
      <c r="F4088" t="s">
        <v>20</v>
      </c>
      <c r="G4088" t="s">
        <v>21</v>
      </c>
      <c r="H4088" t="s">
        <v>1405</v>
      </c>
      <c r="I4088" t="s">
        <v>23</v>
      </c>
      <c r="J4088" t="s">
        <v>40</v>
      </c>
      <c r="K4088" s="2" t="s">
        <v>3366</v>
      </c>
      <c r="L4088" t="s">
        <v>26</v>
      </c>
      <c r="M4088">
        <v>336956</v>
      </c>
      <c r="N4088">
        <v>1</v>
      </c>
      <c r="O4088" s="3">
        <v>39990</v>
      </c>
      <c r="P4088" s="3">
        <v>13302</v>
      </c>
      <c r="Q4088" s="5">
        <f t="shared" si="189"/>
        <v>33605.042016806721</v>
      </c>
      <c r="R4088" s="5">
        <f t="shared" si="190"/>
        <v>13302</v>
      </c>
      <c r="S4088" s="5">
        <f t="shared" si="191"/>
        <v>20303.042016806721</v>
      </c>
    </row>
    <row r="4089" spans="1:19" hidden="1" x14ac:dyDescent="0.3">
      <c r="A4089">
        <v>170</v>
      </c>
      <c r="B4089" t="s">
        <v>4809</v>
      </c>
      <c r="C4089" t="s">
        <v>5455</v>
      </c>
      <c r="D4089" s="2" t="s">
        <v>5456</v>
      </c>
      <c r="E4089" t="s">
        <v>3593</v>
      </c>
      <c r="F4089" t="s">
        <v>20</v>
      </c>
      <c r="G4089" t="s">
        <v>21</v>
      </c>
      <c r="H4089" t="s">
        <v>839</v>
      </c>
      <c r="I4089" t="s">
        <v>23</v>
      </c>
      <c r="J4089" t="s">
        <v>40</v>
      </c>
      <c r="K4089" s="2" t="s">
        <v>3366</v>
      </c>
      <c r="L4089" t="s">
        <v>26</v>
      </c>
      <c r="M4089">
        <v>336956</v>
      </c>
      <c r="N4089">
        <v>1</v>
      </c>
      <c r="O4089" s="3">
        <v>39990</v>
      </c>
      <c r="P4089" s="3">
        <v>16210</v>
      </c>
      <c r="Q4089" s="5">
        <f t="shared" si="189"/>
        <v>33605.042016806721</v>
      </c>
      <c r="R4089" s="5">
        <f t="shared" si="190"/>
        <v>16210</v>
      </c>
      <c r="S4089" s="5">
        <f t="shared" si="191"/>
        <v>17395.042016806721</v>
      </c>
    </row>
    <row r="4090" spans="1:19" hidden="1" x14ac:dyDescent="0.3">
      <c r="A4090">
        <v>170</v>
      </c>
      <c r="B4090" t="s">
        <v>4809</v>
      </c>
      <c r="C4090" t="s">
        <v>5457</v>
      </c>
      <c r="D4090" s="2" t="s">
        <v>5458</v>
      </c>
      <c r="E4090" t="s">
        <v>2378</v>
      </c>
      <c r="F4090" t="s">
        <v>20</v>
      </c>
      <c r="G4090" t="s">
        <v>21</v>
      </c>
      <c r="H4090" t="s">
        <v>2379</v>
      </c>
      <c r="I4090" t="s">
        <v>23</v>
      </c>
      <c r="J4090" t="s">
        <v>40</v>
      </c>
      <c r="K4090" s="2" t="s">
        <v>3366</v>
      </c>
      <c r="L4090" t="s">
        <v>26</v>
      </c>
      <c r="M4090">
        <v>336957</v>
      </c>
      <c r="N4090">
        <v>1</v>
      </c>
      <c r="O4090" s="3">
        <v>39990</v>
      </c>
      <c r="P4090" s="3">
        <v>15830</v>
      </c>
      <c r="Q4090" s="5">
        <f t="shared" si="189"/>
        <v>33605.042016806721</v>
      </c>
      <c r="R4090" s="5">
        <f t="shared" si="190"/>
        <v>15830</v>
      </c>
      <c r="S4090" s="5">
        <f t="shared" si="191"/>
        <v>17775.042016806721</v>
      </c>
    </row>
    <row r="4091" spans="1:19" hidden="1" x14ac:dyDescent="0.3">
      <c r="A4091">
        <v>170</v>
      </c>
      <c r="B4091" t="s">
        <v>4809</v>
      </c>
      <c r="C4091" t="s">
        <v>3136</v>
      </c>
      <c r="D4091" s="2" t="s">
        <v>3137</v>
      </c>
      <c r="E4091" t="s">
        <v>2301</v>
      </c>
      <c r="F4091" t="s">
        <v>20</v>
      </c>
      <c r="G4091" t="s">
        <v>21</v>
      </c>
      <c r="H4091" t="s">
        <v>1124</v>
      </c>
      <c r="I4091" t="s">
        <v>23</v>
      </c>
      <c r="J4091" t="s">
        <v>24</v>
      </c>
      <c r="K4091" s="2" t="s">
        <v>3366</v>
      </c>
      <c r="L4091" t="s">
        <v>26</v>
      </c>
      <c r="M4091">
        <v>336957</v>
      </c>
      <c r="N4091">
        <v>1</v>
      </c>
      <c r="O4091" s="3">
        <v>63700</v>
      </c>
      <c r="P4091" s="3">
        <v>25834</v>
      </c>
      <c r="Q4091" s="5">
        <f t="shared" si="189"/>
        <v>53529.411764705888</v>
      </c>
      <c r="R4091" s="5">
        <f t="shared" si="190"/>
        <v>25834</v>
      </c>
      <c r="S4091" s="5">
        <f t="shared" si="191"/>
        <v>27695.411764705888</v>
      </c>
    </row>
    <row r="4092" spans="1:19" hidden="1" x14ac:dyDescent="0.3">
      <c r="A4092">
        <v>170</v>
      </c>
      <c r="B4092" t="s">
        <v>4809</v>
      </c>
      <c r="C4092" t="s">
        <v>3014</v>
      </c>
      <c r="D4092" s="2" t="s">
        <v>3015</v>
      </c>
      <c r="E4092" t="s">
        <v>3016</v>
      </c>
      <c r="F4092" t="s">
        <v>20</v>
      </c>
      <c r="G4092" t="s">
        <v>338</v>
      </c>
      <c r="H4092">
        <v>25301</v>
      </c>
      <c r="I4092" t="s">
        <v>23</v>
      </c>
      <c r="J4092" t="s">
        <v>35</v>
      </c>
      <c r="K4092" s="2" t="s">
        <v>3366</v>
      </c>
      <c r="L4092" t="s">
        <v>26</v>
      </c>
      <c r="M4092">
        <v>336958</v>
      </c>
      <c r="N4092">
        <v>1</v>
      </c>
      <c r="O4092" s="3">
        <v>99950</v>
      </c>
      <c r="P4092" s="3">
        <v>34679</v>
      </c>
      <c r="Q4092" s="5">
        <f t="shared" si="189"/>
        <v>83991.596638655465</v>
      </c>
      <c r="R4092" s="5">
        <f t="shared" si="190"/>
        <v>34679</v>
      </c>
      <c r="S4092" s="5">
        <f t="shared" si="191"/>
        <v>49312.596638655465</v>
      </c>
    </row>
    <row r="4093" spans="1:19" hidden="1" x14ac:dyDescent="0.3">
      <c r="A4093">
        <v>170</v>
      </c>
      <c r="B4093" t="s">
        <v>4809</v>
      </c>
      <c r="C4093" t="s">
        <v>5459</v>
      </c>
      <c r="D4093" s="2" t="s">
        <v>5460</v>
      </c>
      <c r="E4093" t="s">
        <v>4859</v>
      </c>
      <c r="F4093" t="s">
        <v>20</v>
      </c>
      <c r="G4093" t="s">
        <v>338</v>
      </c>
      <c r="H4093">
        <v>23624</v>
      </c>
      <c r="I4093" t="s">
        <v>23</v>
      </c>
      <c r="J4093" t="s">
        <v>40</v>
      </c>
      <c r="K4093" s="2" t="s">
        <v>3366</v>
      </c>
      <c r="L4093" t="s">
        <v>26</v>
      </c>
      <c r="M4093">
        <v>336959</v>
      </c>
      <c r="N4093">
        <v>1</v>
      </c>
      <c r="O4093" s="3">
        <v>69990</v>
      </c>
      <c r="P4093" s="3">
        <v>24718</v>
      </c>
      <c r="Q4093" s="5">
        <f t="shared" si="189"/>
        <v>58815.126050420171</v>
      </c>
      <c r="R4093" s="5">
        <f t="shared" si="190"/>
        <v>24718</v>
      </c>
      <c r="S4093" s="5">
        <f t="shared" si="191"/>
        <v>34097.126050420171</v>
      </c>
    </row>
    <row r="4094" spans="1:19" hidden="1" x14ac:dyDescent="0.3">
      <c r="A4094">
        <v>170</v>
      </c>
      <c r="B4094" t="s">
        <v>4809</v>
      </c>
      <c r="C4094" t="s">
        <v>2942</v>
      </c>
      <c r="D4094" s="2" t="s">
        <v>2943</v>
      </c>
      <c r="E4094" t="s">
        <v>2870</v>
      </c>
      <c r="F4094" t="s">
        <v>20</v>
      </c>
      <c r="G4094" t="s">
        <v>21</v>
      </c>
      <c r="H4094" t="s">
        <v>30</v>
      </c>
      <c r="I4094" t="s">
        <v>23</v>
      </c>
      <c r="J4094" t="s">
        <v>35</v>
      </c>
      <c r="K4094" s="2" t="s">
        <v>3366</v>
      </c>
      <c r="L4094" t="s">
        <v>26</v>
      </c>
      <c r="M4094">
        <v>336960</v>
      </c>
      <c r="N4094">
        <v>1</v>
      </c>
      <c r="O4094" s="3">
        <v>79950</v>
      </c>
      <c r="P4094" s="3">
        <v>30749</v>
      </c>
      <c r="Q4094" s="5">
        <f t="shared" si="189"/>
        <v>67184.873949579836</v>
      </c>
      <c r="R4094" s="5">
        <f t="shared" si="190"/>
        <v>30749</v>
      </c>
      <c r="S4094" s="5">
        <f t="shared" si="191"/>
        <v>36435.873949579836</v>
      </c>
    </row>
    <row r="4095" spans="1:19" hidden="1" x14ac:dyDescent="0.3">
      <c r="A4095">
        <v>170</v>
      </c>
      <c r="B4095" t="s">
        <v>4809</v>
      </c>
      <c r="C4095" t="s">
        <v>3652</v>
      </c>
      <c r="D4095" s="2" t="s">
        <v>3653</v>
      </c>
      <c r="E4095" t="s">
        <v>2314</v>
      </c>
      <c r="F4095" t="s">
        <v>20</v>
      </c>
      <c r="G4095" t="s">
        <v>21</v>
      </c>
      <c r="H4095" t="s">
        <v>2315</v>
      </c>
      <c r="I4095" t="s">
        <v>23</v>
      </c>
      <c r="J4095" t="s">
        <v>49</v>
      </c>
      <c r="K4095" s="2" t="s">
        <v>3366</v>
      </c>
      <c r="L4095" t="s">
        <v>26</v>
      </c>
      <c r="M4095">
        <v>336961</v>
      </c>
      <c r="N4095">
        <v>1</v>
      </c>
      <c r="O4095" s="3">
        <v>74950</v>
      </c>
      <c r="P4095" s="3">
        <v>29091</v>
      </c>
      <c r="Q4095" s="5">
        <f t="shared" si="189"/>
        <v>62983.193277310929</v>
      </c>
      <c r="R4095" s="5">
        <f t="shared" si="190"/>
        <v>29091</v>
      </c>
      <c r="S4095" s="5">
        <f t="shared" si="191"/>
        <v>33892.193277310929</v>
      </c>
    </row>
    <row r="4096" spans="1:19" hidden="1" x14ac:dyDescent="0.3">
      <c r="A4096">
        <v>170</v>
      </c>
      <c r="B4096" t="s">
        <v>4809</v>
      </c>
      <c r="C4096" t="s">
        <v>5461</v>
      </c>
      <c r="D4096" s="2" t="s">
        <v>5462</v>
      </c>
      <c r="E4096" t="s">
        <v>2611</v>
      </c>
      <c r="F4096" t="s">
        <v>20</v>
      </c>
      <c r="G4096" t="s">
        <v>338</v>
      </c>
      <c r="H4096">
        <v>25312</v>
      </c>
      <c r="I4096" t="s">
        <v>23</v>
      </c>
      <c r="J4096" t="s">
        <v>35</v>
      </c>
      <c r="K4096" s="2" t="s">
        <v>3366</v>
      </c>
      <c r="L4096" t="s">
        <v>26</v>
      </c>
      <c r="M4096">
        <v>336962</v>
      </c>
      <c r="N4096">
        <v>1</v>
      </c>
      <c r="O4096" s="3">
        <v>69950</v>
      </c>
      <c r="P4096" s="3">
        <v>21167</v>
      </c>
      <c r="Q4096" s="5">
        <f t="shared" si="189"/>
        <v>58781.512605042022</v>
      </c>
      <c r="R4096" s="5">
        <f t="shared" si="190"/>
        <v>21167</v>
      </c>
      <c r="S4096" s="5">
        <f t="shared" si="191"/>
        <v>37614.512605042022</v>
      </c>
    </row>
    <row r="4097" spans="1:19" hidden="1" x14ac:dyDescent="0.3">
      <c r="A4097">
        <v>170</v>
      </c>
      <c r="B4097" t="s">
        <v>4809</v>
      </c>
      <c r="C4097" t="s">
        <v>2746</v>
      </c>
      <c r="D4097" s="2" t="s">
        <v>2747</v>
      </c>
      <c r="E4097" t="s">
        <v>2748</v>
      </c>
      <c r="F4097" t="s">
        <v>20</v>
      </c>
      <c r="G4097" t="s">
        <v>338</v>
      </c>
      <c r="H4097">
        <v>26266</v>
      </c>
      <c r="I4097" t="s">
        <v>23</v>
      </c>
      <c r="J4097" t="s">
        <v>35</v>
      </c>
      <c r="K4097" s="2" t="s">
        <v>3366</v>
      </c>
      <c r="L4097" t="s">
        <v>26</v>
      </c>
      <c r="M4097">
        <v>336963</v>
      </c>
      <c r="N4097">
        <v>1</v>
      </c>
      <c r="O4097" s="3">
        <v>79950</v>
      </c>
      <c r="P4097" s="3">
        <v>25300</v>
      </c>
      <c r="Q4097" s="5">
        <f t="shared" si="189"/>
        <v>67184.873949579836</v>
      </c>
      <c r="R4097" s="5">
        <f t="shared" si="190"/>
        <v>25300</v>
      </c>
      <c r="S4097" s="5">
        <f t="shared" si="191"/>
        <v>41884.873949579836</v>
      </c>
    </row>
    <row r="4098" spans="1:19" hidden="1" x14ac:dyDescent="0.3">
      <c r="A4098">
        <v>170</v>
      </c>
      <c r="B4098" t="s">
        <v>4809</v>
      </c>
      <c r="C4098" t="s">
        <v>5463</v>
      </c>
      <c r="D4098" s="2" t="s">
        <v>5464</v>
      </c>
      <c r="E4098" t="s">
        <v>3226</v>
      </c>
      <c r="F4098" t="s">
        <v>20</v>
      </c>
      <c r="G4098" t="s">
        <v>21</v>
      </c>
      <c r="H4098" t="s">
        <v>557</v>
      </c>
      <c r="I4098" t="s">
        <v>23</v>
      </c>
      <c r="J4098" t="s">
        <v>40</v>
      </c>
      <c r="K4098" s="2" t="s">
        <v>3366</v>
      </c>
      <c r="L4098" t="s">
        <v>26</v>
      </c>
      <c r="M4098">
        <v>336964</v>
      </c>
      <c r="N4098">
        <v>1</v>
      </c>
      <c r="O4098" s="3">
        <v>69990</v>
      </c>
      <c r="P4098" s="3">
        <v>26809</v>
      </c>
      <c r="Q4098" s="5">
        <f t="shared" si="189"/>
        <v>58815.126050420171</v>
      </c>
      <c r="R4098" s="5">
        <f t="shared" si="190"/>
        <v>26809</v>
      </c>
      <c r="S4098" s="5">
        <f t="shared" si="191"/>
        <v>32006.126050420171</v>
      </c>
    </row>
    <row r="4099" spans="1:19" hidden="1" x14ac:dyDescent="0.3">
      <c r="A4099">
        <v>170</v>
      </c>
      <c r="B4099" t="s">
        <v>4809</v>
      </c>
      <c r="C4099" t="s">
        <v>5465</v>
      </c>
      <c r="D4099" s="2" t="s">
        <v>5466</v>
      </c>
      <c r="E4099" t="s">
        <v>5467</v>
      </c>
      <c r="F4099" t="s">
        <v>20</v>
      </c>
      <c r="G4099" t="s">
        <v>21</v>
      </c>
      <c r="H4099" t="s">
        <v>5468</v>
      </c>
      <c r="I4099" t="s">
        <v>23</v>
      </c>
      <c r="J4099" t="s">
        <v>207</v>
      </c>
      <c r="K4099" s="2" t="s">
        <v>3366</v>
      </c>
      <c r="L4099" t="s">
        <v>26</v>
      </c>
      <c r="M4099">
        <v>336965</v>
      </c>
      <c r="N4099">
        <v>-1</v>
      </c>
      <c r="O4099" s="3">
        <v>-39990</v>
      </c>
      <c r="P4099" s="3">
        <v>31019</v>
      </c>
      <c r="Q4099" s="5">
        <f t="shared" si="189"/>
        <v>-33605.042016806721</v>
      </c>
      <c r="R4099" s="5">
        <f t="shared" si="190"/>
        <v>-31019</v>
      </c>
      <c r="S4099" s="5">
        <f t="shared" si="191"/>
        <v>-2586.0420168067212</v>
      </c>
    </row>
    <row r="4100" spans="1:19" hidden="1" x14ac:dyDescent="0.3">
      <c r="A4100">
        <v>170</v>
      </c>
      <c r="B4100" t="s">
        <v>4809</v>
      </c>
      <c r="C4100" t="s">
        <v>3046</v>
      </c>
      <c r="D4100" s="2" t="s">
        <v>3047</v>
      </c>
      <c r="E4100" t="s">
        <v>3048</v>
      </c>
      <c r="F4100" t="s">
        <v>20</v>
      </c>
      <c r="G4100" t="s">
        <v>21</v>
      </c>
      <c r="H4100" t="s">
        <v>2484</v>
      </c>
      <c r="I4100" t="s">
        <v>23</v>
      </c>
      <c r="J4100" t="s">
        <v>40</v>
      </c>
      <c r="K4100" s="2" t="s">
        <v>3366</v>
      </c>
      <c r="L4100" t="s">
        <v>26</v>
      </c>
      <c r="M4100">
        <v>336965</v>
      </c>
      <c r="N4100">
        <v>1</v>
      </c>
      <c r="O4100" s="3">
        <v>59950</v>
      </c>
      <c r="P4100" s="3">
        <v>17503</v>
      </c>
      <c r="Q4100" s="5">
        <f t="shared" si="189"/>
        <v>50378.151260504201</v>
      </c>
      <c r="R4100" s="5">
        <f t="shared" si="190"/>
        <v>17503</v>
      </c>
      <c r="S4100" s="5">
        <f t="shared" si="191"/>
        <v>32875.151260504201</v>
      </c>
    </row>
    <row r="4101" spans="1:19" hidden="1" x14ac:dyDescent="0.3">
      <c r="A4101">
        <v>170</v>
      </c>
      <c r="B4101" t="s">
        <v>4809</v>
      </c>
      <c r="C4101" t="s">
        <v>5469</v>
      </c>
      <c r="D4101" s="2" t="s">
        <v>5470</v>
      </c>
      <c r="E4101" t="s">
        <v>2996</v>
      </c>
      <c r="F4101" t="s">
        <v>20</v>
      </c>
      <c r="G4101" t="s">
        <v>338</v>
      </c>
      <c r="H4101">
        <v>25823</v>
      </c>
      <c r="I4101" t="s">
        <v>23</v>
      </c>
      <c r="J4101" t="s">
        <v>35</v>
      </c>
      <c r="K4101" s="2" t="s">
        <v>3366</v>
      </c>
      <c r="L4101" t="s">
        <v>26</v>
      </c>
      <c r="M4101">
        <v>336966</v>
      </c>
      <c r="N4101">
        <v>1</v>
      </c>
      <c r="O4101" s="3">
        <v>84950</v>
      </c>
      <c r="P4101" s="3">
        <v>33748</v>
      </c>
      <c r="Q4101" s="5">
        <f t="shared" si="189"/>
        <v>71386.554621848743</v>
      </c>
      <c r="R4101" s="5">
        <f t="shared" si="190"/>
        <v>33748</v>
      </c>
      <c r="S4101" s="5">
        <f t="shared" si="191"/>
        <v>37638.554621848743</v>
      </c>
    </row>
    <row r="4102" spans="1:19" hidden="1" x14ac:dyDescent="0.3">
      <c r="A4102">
        <v>170</v>
      </c>
      <c r="B4102" t="s">
        <v>4809</v>
      </c>
      <c r="C4102" t="s">
        <v>5364</v>
      </c>
      <c r="D4102" s="2" t="s">
        <v>5365</v>
      </c>
      <c r="E4102" t="s">
        <v>2705</v>
      </c>
      <c r="F4102" t="s">
        <v>20</v>
      </c>
      <c r="G4102" t="s">
        <v>21</v>
      </c>
      <c r="H4102" t="s">
        <v>2593</v>
      </c>
      <c r="I4102" t="s">
        <v>23</v>
      </c>
      <c r="J4102" t="s">
        <v>35</v>
      </c>
      <c r="K4102" s="2" t="s">
        <v>3366</v>
      </c>
      <c r="L4102" t="s">
        <v>26</v>
      </c>
      <c r="M4102">
        <v>336967</v>
      </c>
      <c r="N4102">
        <v>1</v>
      </c>
      <c r="O4102" s="3">
        <v>94950</v>
      </c>
      <c r="P4102" s="3">
        <v>34760</v>
      </c>
      <c r="Q4102" s="5">
        <f t="shared" ref="Q4102:Q4165" si="192">O4102/1.19</f>
        <v>79789.915966386558</v>
      </c>
      <c r="R4102" s="5">
        <f t="shared" ref="R4102:R4165" si="193">N4102*P4102</f>
        <v>34760</v>
      </c>
      <c r="S4102" s="5">
        <f t="shared" ref="S4102:S4165" si="194">Q4102-R4102</f>
        <v>45029.915966386558</v>
      </c>
    </row>
    <row r="4103" spans="1:19" hidden="1" x14ac:dyDescent="0.3">
      <c r="A4103">
        <v>170</v>
      </c>
      <c r="B4103" t="s">
        <v>4809</v>
      </c>
      <c r="C4103" t="s">
        <v>5203</v>
      </c>
      <c r="D4103" s="2" t="s">
        <v>5204</v>
      </c>
      <c r="E4103" t="s">
        <v>5205</v>
      </c>
      <c r="F4103" t="s">
        <v>20</v>
      </c>
      <c r="G4103" t="s">
        <v>21</v>
      </c>
      <c r="H4103" t="s">
        <v>5206</v>
      </c>
      <c r="I4103" t="s">
        <v>23</v>
      </c>
      <c r="J4103" t="s">
        <v>35</v>
      </c>
      <c r="K4103" s="2" t="s">
        <v>3366</v>
      </c>
      <c r="L4103" t="s">
        <v>26</v>
      </c>
      <c r="M4103">
        <v>336968</v>
      </c>
      <c r="N4103">
        <v>1</v>
      </c>
      <c r="O4103" s="3">
        <v>89950</v>
      </c>
      <c r="P4103" s="3">
        <v>36230</v>
      </c>
      <c r="Q4103" s="5">
        <f t="shared" si="192"/>
        <v>75588.23529411765</v>
      </c>
      <c r="R4103" s="5">
        <f t="shared" si="193"/>
        <v>36230</v>
      </c>
      <c r="S4103" s="5">
        <f t="shared" si="194"/>
        <v>39358.23529411765</v>
      </c>
    </row>
    <row r="4104" spans="1:19" hidden="1" x14ac:dyDescent="0.3">
      <c r="A4104">
        <v>170</v>
      </c>
      <c r="B4104" t="s">
        <v>4809</v>
      </c>
      <c r="C4104" t="s">
        <v>2365</v>
      </c>
      <c r="D4104" s="2" t="s">
        <v>2366</v>
      </c>
      <c r="E4104" t="s">
        <v>2367</v>
      </c>
      <c r="F4104" t="s">
        <v>377</v>
      </c>
      <c r="G4104" t="s">
        <v>21</v>
      </c>
      <c r="H4104" t="s">
        <v>378</v>
      </c>
      <c r="I4104" t="s">
        <v>23</v>
      </c>
      <c r="J4104" t="s">
        <v>379</v>
      </c>
      <c r="K4104" s="2" t="s">
        <v>3366</v>
      </c>
      <c r="L4104" t="s">
        <v>26</v>
      </c>
      <c r="M4104">
        <v>336969</v>
      </c>
      <c r="N4104">
        <v>1</v>
      </c>
      <c r="O4104" s="3">
        <v>6950</v>
      </c>
      <c r="P4104" s="3">
        <v>3759</v>
      </c>
      <c r="Q4104" s="5">
        <f t="shared" si="192"/>
        <v>5840.3361344537816</v>
      </c>
      <c r="R4104" s="5">
        <f t="shared" si="193"/>
        <v>3759</v>
      </c>
      <c r="S4104" s="5">
        <f t="shared" si="194"/>
        <v>2081.3361344537816</v>
      </c>
    </row>
    <row r="4105" spans="1:19" hidden="1" x14ac:dyDescent="0.3">
      <c r="A4105">
        <v>170</v>
      </c>
      <c r="B4105" t="s">
        <v>4809</v>
      </c>
      <c r="C4105" t="s">
        <v>5471</v>
      </c>
      <c r="D4105" s="2" t="s">
        <v>5472</v>
      </c>
      <c r="E4105" t="s">
        <v>4331</v>
      </c>
      <c r="F4105" t="s">
        <v>20</v>
      </c>
      <c r="G4105" t="s">
        <v>338</v>
      </c>
      <c r="H4105">
        <v>25357</v>
      </c>
      <c r="I4105" t="s">
        <v>23</v>
      </c>
      <c r="J4105" t="s">
        <v>35</v>
      </c>
      <c r="K4105" s="2" t="s">
        <v>3366</v>
      </c>
      <c r="L4105" t="s">
        <v>26</v>
      </c>
      <c r="M4105">
        <v>336970</v>
      </c>
      <c r="N4105">
        <v>1</v>
      </c>
      <c r="O4105" s="3">
        <v>79950</v>
      </c>
      <c r="P4105" s="3">
        <v>24482</v>
      </c>
      <c r="Q4105" s="5">
        <f t="shared" si="192"/>
        <v>67184.873949579836</v>
      </c>
      <c r="R4105" s="5">
        <f t="shared" si="193"/>
        <v>24482</v>
      </c>
      <c r="S4105" s="5">
        <f t="shared" si="194"/>
        <v>42702.873949579836</v>
      </c>
    </row>
    <row r="4106" spans="1:19" hidden="1" x14ac:dyDescent="0.3">
      <c r="A4106">
        <v>170</v>
      </c>
      <c r="B4106" t="s">
        <v>4809</v>
      </c>
      <c r="C4106" t="s">
        <v>3654</v>
      </c>
      <c r="D4106" s="2" t="s">
        <v>3655</v>
      </c>
      <c r="E4106" t="s">
        <v>3656</v>
      </c>
      <c r="F4106" t="s">
        <v>20</v>
      </c>
      <c r="G4106" t="s">
        <v>21</v>
      </c>
      <c r="H4106" t="s">
        <v>614</v>
      </c>
      <c r="I4106" t="s">
        <v>23</v>
      </c>
      <c r="J4106" t="s">
        <v>40</v>
      </c>
      <c r="K4106" s="2" t="s">
        <v>3366</v>
      </c>
      <c r="L4106" t="s">
        <v>26</v>
      </c>
      <c r="M4106">
        <v>336971</v>
      </c>
      <c r="N4106">
        <v>1</v>
      </c>
      <c r="O4106" s="3">
        <v>44990</v>
      </c>
      <c r="P4106" s="3">
        <v>14265</v>
      </c>
      <c r="Q4106" s="5">
        <f t="shared" si="192"/>
        <v>37806.722689075636</v>
      </c>
      <c r="R4106" s="5">
        <f t="shared" si="193"/>
        <v>14265</v>
      </c>
      <c r="S4106" s="5">
        <f t="shared" si="194"/>
        <v>23541.722689075636</v>
      </c>
    </row>
    <row r="4107" spans="1:19" hidden="1" x14ac:dyDescent="0.3">
      <c r="A4107">
        <v>170</v>
      </c>
      <c r="B4107" t="s">
        <v>4809</v>
      </c>
      <c r="C4107" t="s">
        <v>3284</v>
      </c>
      <c r="D4107" s="2" t="s">
        <v>3285</v>
      </c>
      <c r="E4107" t="s">
        <v>2323</v>
      </c>
      <c r="F4107" t="s">
        <v>20</v>
      </c>
      <c r="G4107" t="s">
        <v>21</v>
      </c>
      <c r="H4107" t="s">
        <v>1887</v>
      </c>
      <c r="I4107" t="s">
        <v>23</v>
      </c>
      <c r="J4107" t="s">
        <v>40</v>
      </c>
      <c r="K4107" s="2" t="s">
        <v>3366</v>
      </c>
      <c r="L4107" t="s">
        <v>26</v>
      </c>
      <c r="M4107">
        <v>336972</v>
      </c>
      <c r="N4107">
        <v>1</v>
      </c>
      <c r="O4107" s="3">
        <v>69950</v>
      </c>
      <c r="P4107" s="3">
        <v>21623</v>
      </c>
      <c r="Q4107" s="5">
        <f t="shared" si="192"/>
        <v>58781.512605042022</v>
      </c>
      <c r="R4107" s="5">
        <f t="shared" si="193"/>
        <v>21623</v>
      </c>
      <c r="S4107" s="5">
        <f t="shared" si="194"/>
        <v>37158.512605042022</v>
      </c>
    </row>
    <row r="4108" spans="1:19" hidden="1" x14ac:dyDescent="0.3">
      <c r="A4108">
        <v>170</v>
      </c>
      <c r="B4108" t="s">
        <v>4809</v>
      </c>
      <c r="C4108" t="s">
        <v>5473</v>
      </c>
      <c r="D4108" s="2" t="s">
        <v>5474</v>
      </c>
      <c r="E4108" t="s">
        <v>3491</v>
      </c>
      <c r="F4108" t="s">
        <v>20</v>
      </c>
      <c r="G4108" t="s">
        <v>338</v>
      </c>
      <c r="H4108">
        <v>85200</v>
      </c>
      <c r="I4108" t="s">
        <v>23</v>
      </c>
      <c r="J4108" t="s">
        <v>35</v>
      </c>
      <c r="K4108" s="2" t="s">
        <v>3366</v>
      </c>
      <c r="L4108" t="s">
        <v>26</v>
      </c>
      <c r="M4108">
        <v>336973</v>
      </c>
      <c r="N4108">
        <v>1</v>
      </c>
      <c r="O4108" s="3">
        <v>89950</v>
      </c>
      <c r="P4108" s="3">
        <v>27253</v>
      </c>
      <c r="Q4108" s="5">
        <f t="shared" si="192"/>
        <v>75588.23529411765</v>
      </c>
      <c r="R4108" s="5">
        <f t="shared" si="193"/>
        <v>27253</v>
      </c>
      <c r="S4108" s="5">
        <f t="shared" si="194"/>
        <v>48335.23529411765</v>
      </c>
    </row>
    <row r="4109" spans="1:19" hidden="1" x14ac:dyDescent="0.3">
      <c r="A4109">
        <v>170</v>
      </c>
      <c r="B4109" t="s">
        <v>4809</v>
      </c>
      <c r="C4109" t="s">
        <v>3791</v>
      </c>
      <c r="D4109" s="2" t="s">
        <v>3792</v>
      </c>
      <c r="E4109" t="s">
        <v>1453</v>
      </c>
      <c r="F4109" t="s">
        <v>20</v>
      </c>
      <c r="G4109" t="s">
        <v>338</v>
      </c>
      <c r="H4109">
        <v>22410</v>
      </c>
      <c r="I4109" t="s">
        <v>23</v>
      </c>
      <c r="J4109" t="s">
        <v>49</v>
      </c>
      <c r="K4109" s="2" t="s">
        <v>3366</v>
      </c>
      <c r="L4109" t="s">
        <v>26</v>
      </c>
      <c r="M4109">
        <v>336974</v>
      </c>
      <c r="N4109">
        <v>1</v>
      </c>
      <c r="O4109" s="3">
        <v>69950</v>
      </c>
      <c r="P4109" s="3">
        <v>20848</v>
      </c>
      <c r="Q4109" s="5">
        <f t="shared" si="192"/>
        <v>58781.512605042022</v>
      </c>
      <c r="R4109" s="5">
        <f t="shared" si="193"/>
        <v>20848</v>
      </c>
      <c r="S4109" s="5">
        <f t="shared" si="194"/>
        <v>37933.512605042022</v>
      </c>
    </row>
    <row r="4110" spans="1:19" hidden="1" x14ac:dyDescent="0.3">
      <c r="A4110">
        <v>170</v>
      </c>
      <c r="B4110" t="s">
        <v>4809</v>
      </c>
      <c r="C4110" t="s">
        <v>5475</v>
      </c>
      <c r="D4110" s="2" t="s">
        <v>5476</v>
      </c>
      <c r="E4110" t="s">
        <v>4257</v>
      </c>
      <c r="F4110" t="s">
        <v>20</v>
      </c>
      <c r="G4110" t="s">
        <v>338</v>
      </c>
      <c r="H4110">
        <v>25702</v>
      </c>
      <c r="I4110" t="s">
        <v>23</v>
      </c>
      <c r="J4110" t="s">
        <v>35</v>
      </c>
      <c r="K4110" s="2" t="s">
        <v>3366</v>
      </c>
      <c r="L4110" t="s">
        <v>26</v>
      </c>
      <c r="M4110">
        <v>336975</v>
      </c>
      <c r="N4110">
        <v>1</v>
      </c>
      <c r="O4110" s="3">
        <v>109950</v>
      </c>
      <c r="P4110" s="3">
        <v>34974</v>
      </c>
      <c r="Q4110" s="5">
        <f t="shared" si="192"/>
        <v>92394.957983193279</v>
      </c>
      <c r="R4110" s="5">
        <f t="shared" si="193"/>
        <v>34974</v>
      </c>
      <c r="S4110" s="5">
        <f t="shared" si="194"/>
        <v>57420.957983193279</v>
      </c>
    </row>
    <row r="4111" spans="1:19" hidden="1" x14ac:dyDescent="0.3">
      <c r="A4111">
        <v>170</v>
      </c>
      <c r="B4111" t="s">
        <v>4809</v>
      </c>
      <c r="C4111" t="s">
        <v>3545</v>
      </c>
      <c r="D4111" s="2" t="s">
        <v>3546</v>
      </c>
      <c r="E4111" t="s">
        <v>938</v>
      </c>
      <c r="F4111" t="s">
        <v>20</v>
      </c>
      <c r="G4111" t="s">
        <v>21</v>
      </c>
      <c r="H4111" t="s">
        <v>317</v>
      </c>
      <c r="I4111" t="s">
        <v>23</v>
      </c>
      <c r="J4111" t="s">
        <v>35</v>
      </c>
      <c r="K4111" s="2" t="s">
        <v>3366</v>
      </c>
      <c r="L4111" t="s">
        <v>26</v>
      </c>
      <c r="M4111">
        <v>336976</v>
      </c>
      <c r="N4111">
        <v>1</v>
      </c>
      <c r="O4111" s="3">
        <v>69950</v>
      </c>
      <c r="P4111" s="3">
        <v>26745</v>
      </c>
      <c r="Q4111" s="5">
        <f t="shared" si="192"/>
        <v>58781.512605042022</v>
      </c>
      <c r="R4111" s="5">
        <f t="shared" si="193"/>
        <v>26745</v>
      </c>
      <c r="S4111" s="5">
        <f t="shared" si="194"/>
        <v>32036.512605042022</v>
      </c>
    </row>
    <row r="4112" spans="1:19" hidden="1" x14ac:dyDescent="0.3">
      <c r="A4112">
        <v>170</v>
      </c>
      <c r="B4112" t="s">
        <v>4809</v>
      </c>
      <c r="C4112" t="s">
        <v>2365</v>
      </c>
      <c r="D4112" s="2" t="s">
        <v>2366</v>
      </c>
      <c r="E4112" t="s">
        <v>2367</v>
      </c>
      <c r="F4112" t="s">
        <v>377</v>
      </c>
      <c r="G4112" t="s">
        <v>21</v>
      </c>
      <c r="H4112" t="s">
        <v>378</v>
      </c>
      <c r="I4112" t="s">
        <v>23</v>
      </c>
      <c r="J4112" t="s">
        <v>379</v>
      </c>
      <c r="K4112" s="2" t="s">
        <v>3366</v>
      </c>
      <c r="L4112" t="s">
        <v>26</v>
      </c>
      <c r="M4112">
        <v>336977</v>
      </c>
      <c r="N4112">
        <v>1</v>
      </c>
      <c r="O4112" s="3">
        <v>6950</v>
      </c>
      <c r="P4112" s="3">
        <v>3759</v>
      </c>
      <c r="Q4112" s="5">
        <f t="shared" si="192"/>
        <v>5840.3361344537816</v>
      </c>
      <c r="R4112" s="5">
        <f t="shared" si="193"/>
        <v>3759</v>
      </c>
      <c r="S4112" s="5">
        <f t="shared" si="194"/>
        <v>2081.3361344537816</v>
      </c>
    </row>
    <row r="4113" spans="1:19" hidden="1" x14ac:dyDescent="0.3">
      <c r="A4113">
        <v>170</v>
      </c>
      <c r="B4113" t="s">
        <v>4809</v>
      </c>
      <c r="C4113" t="s">
        <v>5065</v>
      </c>
      <c r="D4113" s="2" t="s">
        <v>5066</v>
      </c>
      <c r="E4113" t="s">
        <v>337</v>
      </c>
      <c r="F4113" t="s">
        <v>20</v>
      </c>
      <c r="G4113" t="s">
        <v>338</v>
      </c>
      <c r="H4113">
        <v>23746</v>
      </c>
      <c r="I4113" t="s">
        <v>23</v>
      </c>
      <c r="J4113" t="s">
        <v>40</v>
      </c>
      <c r="K4113" s="2" t="s">
        <v>1958</v>
      </c>
      <c r="L4113" t="s">
        <v>26</v>
      </c>
      <c r="M4113">
        <v>336978</v>
      </c>
      <c r="N4113">
        <v>1</v>
      </c>
      <c r="O4113" s="3">
        <v>79950</v>
      </c>
      <c r="P4113" s="3">
        <v>27470</v>
      </c>
      <c r="Q4113" s="5">
        <f t="shared" si="192"/>
        <v>67184.873949579836</v>
      </c>
      <c r="R4113" s="5">
        <f t="shared" si="193"/>
        <v>27470</v>
      </c>
      <c r="S4113" s="5">
        <f t="shared" si="194"/>
        <v>39714.873949579836</v>
      </c>
    </row>
    <row r="4114" spans="1:19" hidden="1" x14ac:dyDescent="0.3">
      <c r="A4114">
        <v>170</v>
      </c>
      <c r="B4114" t="s">
        <v>4809</v>
      </c>
      <c r="C4114" t="s">
        <v>240</v>
      </c>
      <c r="D4114" s="2" t="s">
        <v>241</v>
      </c>
      <c r="E4114" t="s">
        <v>242</v>
      </c>
      <c r="F4114" t="s">
        <v>20</v>
      </c>
      <c r="G4114" t="s">
        <v>21</v>
      </c>
      <c r="H4114" t="s">
        <v>243</v>
      </c>
      <c r="I4114" t="s">
        <v>23</v>
      </c>
      <c r="J4114" t="s">
        <v>35</v>
      </c>
      <c r="K4114" s="2" t="s">
        <v>1958</v>
      </c>
      <c r="L4114" t="s">
        <v>26</v>
      </c>
      <c r="M4114">
        <v>336979</v>
      </c>
      <c r="N4114">
        <v>1</v>
      </c>
      <c r="O4114" s="3">
        <v>109950</v>
      </c>
      <c r="P4114" s="3">
        <v>62858</v>
      </c>
      <c r="Q4114" s="5">
        <f t="shared" si="192"/>
        <v>92394.957983193279</v>
      </c>
      <c r="R4114" s="5">
        <f t="shared" si="193"/>
        <v>62858</v>
      </c>
      <c r="S4114" s="5">
        <f t="shared" si="194"/>
        <v>29536.957983193279</v>
      </c>
    </row>
    <row r="4115" spans="1:19" hidden="1" x14ac:dyDescent="0.3">
      <c r="A4115">
        <v>170</v>
      </c>
      <c r="B4115" t="s">
        <v>4809</v>
      </c>
      <c r="C4115" t="s">
        <v>3099</v>
      </c>
      <c r="D4115" s="2" t="s">
        <v>3100</v>
      </c>
      <c r="E4115" t="s">
        <v>2718</v>
      </c>
      <c r="F4115" t="s">
        <v>20</v>
      </c>
      <c r="G4115" t="s">
        <v>21</v>
      </c>
      <c r="H4115" t="s">
        <v>1887</v>
      </c>
      <c r="I4115" t="s">
        <v>23</v>
      </c>
      <c r="J4115" t="s">
        <v>40</v>
      </c>
      <c r="K4115" s="2" t="s">
        <v>1958</v>
      </c>
      <c r="L4115" t="s">
        <v>26</v>
      </c>
      <c r="M4115">
        <v>336980</v>
      </c>
      <c r="N4115">
        <v>1</v>
      </c>
      <c r="O4115" s="3">
        <v>69950</v>
      </c>
      <c r="P4115" s="3">
        <v>22018</v>
      </c>
      <c r="Q4115" s="5">
        <f t="shared" si="192"/>
        <v>58781.512605042022</v>
      </c>
      <c r="R4115" s="5">
        <f t="shared" si="193"/>
        <v>22018</v>
      </c>
      <c r="S4115" s="5">
        <f t="shared" si="194"/>
        <v>36763.512605042022</v>
      </c>
    </row>
    <row r="4116" spans="1:19" hidden="1" x14ac:dyDescent="0.3">
      <c r="A4116">
        <v>170</v>
      </c>
      <c r="B4116" t="s">
        <v>4809</v>
      </c>
      <c r="C4116" t="s">
        <v>3173</v>
      </c>
      <c r="D4116" s="2" t="s">
        <v>3174</v>
      </c>
      <c r="E4116" t="s">
        <v>3175</v>
      </c>
      <c r="F4116" t="s">
        <v>20</v>
      </c>
      <c r="G4116" t="s">
        <v>21</v>
      </c>
      <c r="H4116" t="s">
        <v>625</v>
      </c>
      <c r="I4116" t="s">
        <v>23</v>
      </c>
      <c r="J4116" t="s">
        <v>35</v>
      </c>
      <c r="K4116" s="2" t="s">
        <v>1958</v>
      </c>
      <c r="L4116" t="s">
        <v>26</v>
      </c>
      <c r="M4116">
        <v>336981</v>
      </c>
      <c r="N4116">
        <v>1</v>
      </c>
      <c r="O4116" s="3">
        <v>49990</v>
      </c>
      <c r="P4116" s="3">
        <v>24956</v>
      </c>
      <c r="Q4116" s="5">
        <f t="shared" si="192"/>
        <v>42008.403361344543</v>
      </c>
      <c r="R4116" s="5">
        <f t="shared" si="193"/>
        <v>24956</v>
      </c>
      <c r="S4116" s="5">
        <f t="shared" si="194"/>
        <v>17052.403361344543</v>
      </c>
    </row>
    <row r="4117" spans="1:19" hidden="1" x14ac:dyDescent="0.3">
      <c r="A4117">
        <v>170</v>
      </c>
      <c r="B4117" t="s">
        <v>4809</v>
      </c>
      <c r="C4117" t="s">
        <v>676</v>
      </c>
      <c r="D4117" s="2" t="s">
        <v>677</v>
      </c>
      <c r="E4117" t="s">
        <v>678</v>
      </c>
      <c r="F4117" t="s">
        <v>20</v>
      </c>
      <c r="G4117" t="s">
        <v>21</v>
      </c>
      <c r="H4117" t="s">
        <v>22</v>
      </c>
      <c r="I4117" t="s">
        <v>23</v>
      </c>
      <c r="J4117" t="s">
        <v>31</v>
      </c>
      <c r="K4117" s="2" t="s">
        <v>1958</v>
      </c>
      <c r="L4117" t="s">
        <v>26</v>
      </c>
      <c r="M4117">
        <v>336982</v>
      </c>
      <c r="N4117">
        <v>-1</v>
      </c>
      <c r="O4117" s="3">
        <v>-84990</v>
      </c>
      <c r="P4117" s="3">
        <v>49625</v>
      </c>
      <c r="Q4117" s="5">
        <f t="shared" si="192"/>
        <v>-71420.168067226899</v>
      </c>
      <c r="R4117" s="5">
        <f t="shared" si="193"/>
        <v>-49625</v>
      </c>
      <c r="S4117" s="5">
        <f t="shared" si="194"/>
        <v>-21795.168067226899</v>
      </c>
    </row>
    <row r="4118" spans="1:19" hidden="1" x14ac:dyDescent="0.3">
      <c r="A4118">
        <v>170</v>
      </c>
      <c r="B4118" t="s">
        <v>4809</v>
      </c>
      <c r="C4118" t="s">
        <v>5477</v>
      </c>
      <c r="D4118" s="2" t="s">
        <v>5478</v>
      </c>
      <c r="E4118" t="s">
        <v>678</v>
      </c>
      <c r="F4118" t="s">
        <v>20</v>
      </c>
      <c r="G4118" t="s">
        <v>21</v>
      </c>
      <c r="H4118" t="s">
        <v>22</v>
      </c>
      <c r="I4118" t="s">
        <v>23</v>
      </c>
      <c r="J4118" t="s">
        <v>31</v>
      </c>
      <c r="K4118" s="2" t="s">
        <v>1958</v>
      </c>
      <c r="L4118" t="s">
        <v>26</v>
      </c>
      <c r="M4118">
        <v>336982</v>
      </c>
      <c r="N4118">
        <v>1</v>
      </c>
      <c r="O4118" s="3">
        <v>84991</v>
      </c>
      <c r="P4118" s="3">
        <v>49625</v>
      </c>
      <c r="Q4118" s="5">
        <f t="shared" si="192"/>
        <v>71421.008403361353</v>
      </c>
      <c r="R4118" s="5">
        <f t="shared" si="193"/>
        <v>49625</v>
      </c>
      <c r="S4118" s="5">
        <f t="shared" si="194"/>
        <v>21796.008403361353</v>
      </c>
    </row>
    <row r="4119" spans="1:19" hidden="1" x14ac:dyDescent="0.3">
      <c r="A4119">
        <v>170</v>
      </c>
      <c r="B4119" t="s">
        <v>4809</v>
      </c>
      <c r="C4119" t="s">
        <v>2984</v>
      </c>
      <c r="D4119" s="2" t="s">
        <v>2985</v>
      </c>
      <c r="E4119" t="s">
        <v>2986</v>
      </c>
      <c r="F4119" t="s">
        <v>20</v>
      </c>
      <c r="G4119" t="s">
        <v>21</v>
      </c>
      <c r="H4119" t="s">
        <v>267</v>
      </c>
      <c r="I4119" t="s">
        <v>23</v>
      </c>
      <c r="J4119" t="s">
        <v>35</v>
      </c>
      <c r="K4119" s="2" t="s">
        <v>1958</v>
      </c>
      <c r="L4119" t="s">
        <v>26</v>
      </c>
      <c r="M4119">
        <v>336983</v>
      </c>
      <c r="N4119">
        <v>1</v>
      </c>
      <c r="O4119" s="3">
        <v>59990</v>
      </c>
      <c r="P4119" s="3">
        <v>24733</v>
      </c>
      <c r="Q4119" s="5">
        <f t="shared" si="192"/>
        <v>50411.764705882357</v>
      </c>
      <c r="R4119" s="5">
        <f t="shared" si="193"/>
        <v>24733</v>
      </c>
      <c r="S4119" s="5">
        <f t="shared" si="194"/>
        <v>25678.764705882357</v>
      </c>
    </row>
    <row r="4120" spans="1:19" hidden="1" x14ac:dyDescent="0.3">
      <c r="A4120">
        <v>170</v>
      </c>
      <c r="B4120" t="s">
        <v>4809</v>
      </c>
      <c r="C4120" t="s">
        <v>3294</v>
      </c>
      <c r="D4120" s="2" t="s">
        <v>3295</v>
      </c>
      <c r="E4120" t="s">
        <v>3296</v>
      </c>
      <c r="F4120" t="s">
        <v>377</v>
      </c>
      <c r="G4120" t="s">
        <v>21</v>
      </c>
      <c r="H4120" t="s">
        <v>378</v>
      </c>
      <c r="I4120" t="s">
        <v>23</v>
      </c>
      <c r="J4120" t="s">
        <v>3297</v>
      </c>
      <c r="K4120" s="2" t="s">
        <v>1958</v>
      </c>
      <c r="L4120" t="s">
        <v>26</v>
      </c>
      <c r="M4120">
        <v>336984</v>
      </c>
      <c r="N4120">
        <v>1</v>
      </c>
      <c r="O4120">
        <v>500</v>
      </c>
      <c r="P4120">
        <v>358</v>
      </c>
      <c r="Q4120" s="5">
        <f t="shared" si="192"/>
        <v>420.1680672268908</v>
      </c>
      <c r="R4120" s="5">
        <f t="shared" si="193"/>
        <v>358</v>
      </c>
      <c r="S4120" s="5">
        <f t="shared" si="194"/>
        <v>62.168067226890798</v>
      </c>
    </row>
    <row r="4121" spans="1:19" hidden="1" x14ac:dyDescent="0.3">
      <c r="A4121">
        <v>170</v>
      </c>
      <c r="B4121" t="s">
        <v>4809</v>
      </c>
      <c r="C4121" t="s">
        <v>1652</v>
      </c>
      <c r="D4121" s="2" t="s">
        <v>1653</v>
      </c>
      <c r="E4121" t="s">
        <v>288</v>
      </c>
      <c r="F4121" t="s">
        <v>20</v>
      </c>
      <c r="G4121" t="s">
        <v>21</v>
      </c>
      <c r="H4121" t="s">
        <v>160</v>
      </c>
      <c r="I4121" t="s">
        <v>23</v>
      </c>
      <c r="J4121" t="s">
        <v>35</v>
      </c>
      <c r="K4121" s="2" t="s">
        <v>1958</v>
      </c>
      <c r="L4121" t="s">
        <v>26</v>
      </c>
      <c r="M4121">
        <v>336985</v>
      </c>
      <c r="N4121">
        <v>-1</v>
      </c>
      <c r="O4121" s="3">
        <v>-59990</v>
      </c>
      <c r="P4121" s="3">
        <v>32638</v>
      </c>
      <c r="Q4121" s="5">
        <f t="shared" si="192"/>
        <v>-50411.764705882357</v>
      </c>
      <c r="R4121" s="5">
        <f t="shared" si="193"/>
        <v>-32638</v>
      </c>
      <c r="S4121" s="5">
        <f t="shared" si="194"/>
        <v>-17773.764705882357</v>
      </c>
    </row>
    <row r="4122" spans="1:19" hidden="1" x14ac:dyDescent="0.3">
      <c r="A4122">
        <v>170</v>
      </c>
      <c r="B4122" t="s">
        <v>4809</v>
      </c>
      <c r="C4122" t="s">
        <v>5039</v>
      </c>
      <c r="D4122" s="2" t="s">
        <v>5040</v>
      </c>
      <c r="E4122" t="s">
        <v>2552</v>
      </c>
      <c r="F4122" t="s">
        <v>20</v>
      </c>
      <c r="G4122" t="s">
        <v>21</v>
      </c>
      <c r="H4122" t="s">
        <v>2353</v>
      </c>
      <c r="I4122" t="s">
        <v>23</v>
      </c>
      <c r="J4122" t="s">
        <v>40</v>
      </c>
      <c r="K4122" s="2" t="s">
        <v>1958</v>
      </c>
      <c r="L4122" t="s">
        <v>26</v>
      </c>
      <c r="M4122">
        <v>336985</v>
      </c>
      <c r="N4122">
        <v>1</v>
      </c>
      <c r="O4122" s="3">
        <v>69990</v>
      </c>
      <c r="P4122" s="3">
        <v>31436</v>
      </c>
      <c r="Q4122" s="5">
        <f t="shared" si="192"/>
        <v>58815.126050420171</v>
      </c>
      <c r="R4122" s="5">
        <f t="shared" si="193"/>
        <v>31436</v>
      </c>
      <c r="S4122" s="5">
        <f t="shared" si="194"/>
        <v>27379.126050420171</v>
      </c>
    </row>
    <row r="4123" spans="1:19" hidden="1" x14ac:dyDescent="0.3">
      <c r="A4123">
        <v>170</v>
      </c>
      <c r="B4123" t="s">
        <v>4809</v>
      </c>
      <c r="C4123" t="s">
        <v>3701</v>
      </c>
      <c r="D4123" s="2" t="s">
        <v>3702</v>
      </c>
      <c r="E4123" t="s">
        <v>3703</v>
      </c>
      <c r="F4123" t="s">
        <v>20</v>
      </c>
      <c r="G4123" t="s">
        <v>21</v>
      </c>
      <c r="H4123" t="s">
        <v>794</v>
      </c>
      <c r="I4123" t="s">
        <v>23</v>
      </c>
      <c r="J4123" t="s">
        <v>40</v>
      </c>
      <c r="K4123" s="2" t="s">
        <v>1958</v>
      </c>
      <c r="L4123" t="s">
        <v>26</v>
      </c>
      <c r="M4123">
        <v>336985</v>
      </c>
      <c r="N4123">
        <v>1</v>
      </c>
      <c r="O4123" s="3">
        <v>59450</v>
      </c>
      <c r="P4123" s="3">
        <v>21722</v>
      </c>
      <c r="Q4123" s="5">
        <f t="shared" si="192"/>
        <v>49957.983193277316</v>
      </c>
      <c r="R4123" s="5">
        <f t="shared" si="193"/>
        <v>21722</v>
      </c>
      <c r="S4123" s="5">
        <f t="shared" si="194"/>
        <v>28235.983193277316</v>
      </c>
    </row>
    <row r="4124" spans="1:19" hidden="1" x14ac:dyDescent="0.3">
      <c r="A4124">
        <v>170</v>
      </c>
      <c r="B4124" t="s">
        <v>4809</v>
      </c>
      <c r="C4124" t="s">
        <v>5479</v>
      </c>
      <c r="D4124" s="2" t="s">
        <v>5480</v>
      </c>
      <c r="E4124" t="s">
        <v>5332</v>
      </c>
      <c r="F4124" t="s">
        <v>20</v>
      </c>
      <c r="G4124" t="s">
        <v>338</v>
      </c>
      <c r="H4124">
        <v>25539</v>
      </c>
      <c r="I4124" t="s">
        <v>23</v>
      </c>
      <c r="J4124" t="s">
        <v>31</v>
      </c>
      <c r="K4124" s="2" t="s">
        <v>1958</v>
      </c>
      <c r="L4124" t="s">
        <v>26</v>
      </c>
      <c r="M4124">
        <v>336986</v>
      </c>
      <c r="N4124">
        <v>1</v>
      </c>
      <c r="O4124" s="3">
        <v>139950</v>
      </c>
      <c r="P4124" s="3">
        <v>46011</v>
      </c>
      <c r="Q4124" s="5">
        <f t="shared" si="192"/>
        <v>117605.04201680672</v>
      </c>
      <c r="R4124" s="5">
        <f t="shared" si="193"/>
        <v>46011</v>
      </c>
      <c r="S4124" s="5">
        <f t="shared" si="194"/>
        <v>71594.042016806721</v>
      </c>
    </row>
    <row r="4125" spans="1:19" hidden="1" x14ac:dyDescent="0.3">
      <c r="A4125">
        <v>170</v>
      </c>
      <c r="B4125" t="s">
        <v>4809</v>
      </c>
      <c r="C4125" t="s">
        <v>2908</v>
      </c>
      <c r="D4125" s="2" t="s">
        <v>2909</v>
      </c>
      <c r="E4125" t="s">
        <v>2910</v>
      </c>
      <c r="F4125" t="s">
        <v>20</v>
      </c>
      <c r="G4125" t="s">
        <v>338</v>
      </c>
      <c r="H4125">
        <v>25212</v>
      </c>
      <c r="I4125" t="s">
        <v>23</v>
      </c>
      <c r="J4125" t="s">
        <v>35</v>
      </c>
      <c r="K4125" s="2" t="s">
        <v>1958</v>
      </c>
      <c r="L4125" t="s">
        <v>26</v>
      </c>
      <c r="M4125">
        <v>336987</v>
      </c>
      <c r="N4125">
        <v>1</v>
      </c>
      <c r="O4125" s="3">
        <v>109950</v>
      </c>
      <c r="P4125" s="3">
        <v>34157</v>
      </c>
      <c r="Q4125" s="5">
        <f t="shared" si="192"/>
        <v>92394.957983193279</v>
      </c>
      <c r="R4125" s="5">
        <f t="shared" si="193"/>
        <v>34157</v>
      </c>
      <c r="S4125" s="5">
        <f t="shared" si="194"/>
        <v>58237.957983193279</v>
      </c>
    </row>
    <row r="4126" spans="1:19" hidden="1" x14ac:dyDescent="0.3">
      <c r="A4126">
        <v>170</v>
      </c>
      <c r="B4126" t="s">
        <v>4809</v>
      </c>
      <c r="C4126" t="s">
        <v>3049</v>
      </c>
      <c r="D4126" s="2" t="s">
        <v>3050</v>
      </c>
      <c r="E4126" t="s">
        <v>3051</v>
      </c>
      <c r="F4126" t="s">
        <v>20</v>
      </c>
      <c r="G4126" t="s">
        <v>21</v>
      </c>
      <c r="H4126" t="s">
        <v>1440</v>
      </c>
      <c r="I4126" t="s">
        <v>23</v>
      </c>
      <c r="J4126" t="s">
        <v>40</v>
      </c>
      <c r="K4126" s="2" t="s">
        <v>1958</v>
      </c>
      <c r="L4126" t="s">
        <v>26</v>
      </c>
      <c r="M4126">
        <v>336988</v>
      </c>
      <c r="N4126">
        <v>1</v>
      </c>
      <c r="O4126" s="3">
        <v>64950</v>
      </c>
      <c r="P4126" s="3">
        <v>17328</v>
      </c>
      <c r="Q4126" s="5">
        <f t="shared" si="192"/>
        <v>54579.831932773115</v>
      </c>
      <c r="R4126" s="5">
        <f t="shared" si="193"/>
        <v>17328</v>
      </c>
      <c r="S4126" s="5">
        <f t="shared" si="194"/>
        <v>37251.831932773115</v>
      </c>
    </row>
    <row r="4127" spans="1:19" hidden="1" x14ac:dyDescent="0.3">
      <c r="A4127">
        <v>170</v>
      </c>
      <c r="B4127" t="s">
        <v>4809</v>
      </c>
      <c r="C4127" t="s">
        <v>4233</v>
      </c>
      <c r="D4127" s="2" t="s">
        <v>4234</v>
      </c>
      <c r="E4127" t="s">
        <v>3323</v>
      </c>
      <c r="F4127" t="s">
        <v>20</v>
      </c>
      <c r="G4127" t="s">
        <v>21</v>
      </c>
      <c r="H4127" t="s">
        <v>625</v>
      </c>
      <c r="I4127" t="s">
        <v>23</v>
      </c>
      <c r="J4127" t="s">
        <v>35</v>
      </c>
      <c r="K4127" s="2" t="s">
        <v>1958</v>
      </c>
      <c r="L4127" t="s">
        <v>26</v>
      </c>
      <c r="M4127">
        <v>336989</v>
      </c>
      <c r="N4127">
        <v>1</v>
      </c>
      <c r="O4127" s="3">
        <v>49990</v>
      </c>
      <c r="P4127" s="3">
        <v>24956</v>
      </c>
      <c r="Q4127" s="5">
        <f t="shared" si="192"/>
        <v>42008.403361344543</v>
      </c>
      <c r="R4127" s="5">
        <f t="shared" si="193"/>
        <v>24956</v>
      </c>
      <c r="S4127" s="5">
        <f t="shared" si="194"/>
        <v>17052.403361344543</v>
      </c>
    </row>
    <row r="4128" spans="1:19" hidden="1" x14ac:dyDescent="0.3">
      <c r="A4128">
        <v>170</v>
      </c>
      <c r="B4128" t="s">
        <v>4809</v>
      </c>
      <c r="C4128" t="s">
        <v>4189</v>
      </c>
      <c r="D4128" s="2" t="s">
        <v>4190</v>
      </c>
      <c r="E4128" t="s">
        <v>3472</v>
      </c>
      <c r="F4128" t="s">
        <v>20</v>
      </c>
      <c r="G4128" t="s">
        <v>338</v>
      </c>
      <c r="H4128">
        <v>25336</v>
      </c>
      <c r="I4128" t="s">
        <v>23</v>
      </c>
      <c r="J4128" t="s">
        <v>35</v>
      </c>
      <c r="K4128" s="2" t="s">
        <v>1958</v>
      </c>
      <c r="L4128" t="s">
        <v>26</v>
      </c>
      <c r="M4128">
        <v>336990</v>
      </c>
      <c r="N4128">
        <v>1</v>
      </c>
      <c r="O4128" s="3">
        <v>99950</v>
      </c>
      <c r="P4128" s="3">
        <v>31886</v>
      </c>
      <c r="Q4128" s="5">
        <f t="shared" si="192"/>
        <v>83991.596638655465</v>
      </c>
      <c r="R4128" s="5">
        <f t="shared" si="193"/>
        <v>31886</v>
      </c>
      <c r="S4128" s="5">
        <f t="shared" si="194"/>
        <v>52105.596638655465</v>
      </c>
    </row>
    <row r="4129" spans="1:19" hidden="1" x14ac:dyDescent="0.3">
      <c r="A4129">
        <v>170</v>
      </c>
      <c r="B4129" t="s">
        <v>4809</v>
      </c>
      <c r="C4129" t="s">
        <v>2957</v>
      </c>
      <c r="D4129" s="2" t="s">
        <v>2958</v>
      </c>
      <c r="E4129" t="s">
        <v>2959</v>
      </c>
      <c r="F4129" t="s">
        <v>20</v>
      </c>
      <c r="G4129" t="s">
        <v>338</v>
      </c>
      <c r="H4129">
        <v>25529</v>
      </c>
      <c r="I4129" t="s">
        <v>23</v>
      </c>
      <c r="J4129" t="s">
        <v>31</v>
      </c>
      <c r="K4129" s="2" t="s">
        <v>1958</v>
      </c>
      <c r="L4129" t="s">
        <v>26</v>
      </c>
      <c r="M4129">
        <v>336990</v>
      </c>
      <c r="N4129">
        <v>1</v>
      </c>
      <c r="O4129" s="3">
        <v>127450</v>
      </c>
      <c r="P4129" s="3">
        <v>50690</v>
      </c>
      <c r="Q4129" s="5">
        <f t="shared" si="192"/>
        <v>107100.84033613445</v>
      </c>
      <c r="R4129" s="5">
        <f t="shared" si="193"/>
        <v>50690</v>
      </c>
      <c r="S4129" s="5">
        <f t="shared" si="194"/>
        <v>56410.840336134454</v>
      </c>
    </row>
    <row r="4130" spans="1:19" hidden="1" x14ac:dyDescent="0.3">
      <c r="A4130">
        <v>170</v>
      </c>
      <c r="B4130" t="s">
        <v>4809</v>
      </c>
      <c r="C4130" t="s">
        <v>3441</v>
      </c>
      <c r="D4130" s="2" t="s">
        <v>3442</v>
      </c>
      <c r="E4130" t="s">
        <v>3283</v>
      </c>
      <c r="F4130" t="s">
        <v>20</v>
      </c>
      <c r="G4130" t="s">
        <v>21</v>
      </c>
      <c r="H4130" t="s">
        <v>2494</v>
      </c>
      <c r="I4130" t="s">
        <v>23</v>
      </c>
      <c r="J4130" t="s">
        <v>40</v>
      </c>
      <c r="K4130" s="2" t="s">
        <v>1958</v>
      </c>
      <c r="L4130" t="s">
        <v>26</v>
      </c>
      <c r="M4130">
        <v>336991</v>
      </c>
      <c r="N4130">
        <v>1</v>
      </c>
      <c r="O4130" s="3">
        <v>69950</v>
      </c>
      <c r="P4130" s="3">
        <v>23470</v>
      </c>
      <c r="Q4130" s="5">
        <f t="shared" si="192"/>
        <v>58781.512605042022</v>
      </c>
      <c r="R4130" s="5">
        <f t="shared" si="193"/>
        <v>23470</v>
      </c>
      <c r="S4130" s="5">
        <f t="shared" si="194"/>
        <v>35311.512605042022</v>
      </c>
    </row>
    <row r="4131" spans="1:19" hidden="1" x14ac:dyDescent="0.3">
      <c r="A4131">
        <v>170</v>
      </c>
      <c r="B4131" t="s">
        <v>4809</v>
      </c>
      <c r="C4131" t="s">
        <v>5481</v>
      </c>
      <c r="D4131" s="2" t="s">
        <v>5482</v>
      </c>
      <c r="E4131" t="s">
        <v>3086</v>
      </c>
      <c r="F4131" t="s">
        <v>20</v>
      </c>
      <c r="G4131" t="s">
        <v>21</v>
      </c>
      <c r="H4131" t="s">
        <v>1418</v>
      </c>
      <c r="I4131" t="s">
        <v>23</v>
      </c>
      <c r="J4131" t="s">
        <v>35</v>
      </c>
      <c r="K4131" s="2" t="s">
        <v>1958</v>
      </c>
      <c r="L4131" t="s">
        <v>26</v>
      </c>
      <c r="M4131">
        <v>336992</v>
      </c>
      <c r="N4131">
        <v>1</v>
      </c>
      <c r="O4131" s="3">
        <v>64990</v>
      </c>
      <c r="P4131" s="3">
        <v>29189</v>
      </c>
      <c r="Q4131" s="5">
        <f t="shared" si="192"/>
        <v>54613.445378151264</v>
      </c>
      <c r="R4131" s="5">
        <f t="shared" si="193"/>
        <v>29189</v>
      </c>
      <c r="S4131" s="5">
        <f t="shared" si="194"/>
        <v>25424.445378151264</v>
      </c>
    </row>
    <row r="4132" spans="1:19" hidden="1" x14ac:dyDescent="0.3">
      <c r="A4132">
        <v>170</v>
      </c>
      <c r="B4132" t="s">
        <v>4809</v>
      </c>
      <c r="C4132" t="s">
        <v>3910</v>
      </c>
      <c r="D4132" s="2" t="s">
        <v>3911</v>
      </c>
      <c r="E4132" t="s">
        <v>3880</v>
      </c>
      <c r="F4132" t="s">
        <v>20</v>
      </c>
      <c r="G4132" t="s">
        <v>21</v>
      </c>
      <c r="H4132" t="s">
        <v>22</v>
      </c>
      <c r="I4132" t="s">
        <v>23</v>
      </c>
      <c r="J4132" t="s">
        <v>49</v>
      </c>
      <c r="K4132" s="2" t="s">
        <v>1958</v>
      </c>
      <c r="L4132" t="s">
        <v>26</v>
      </c>
      <c r="M4132">
        <v>336993</v>
      </c>
      <c r="N4132">
        <v>1</v>
      </c>
      <c r="O4132" s="3">
        <v>74950</v>
      </c>
      <c r="P4132" s="3">
        <v>26350</v>
      </c>
      <c r="Q4132" s="5">
        <f t="shared" si="192"/>
        <v>62983.193277310929</v>
      </c>
      <c r="R4132" s="5">
        <f t="shared" si="193"/>
        <v>26350</v>
      </c>
      <c r="S4132" s="5">
        <f t="shared" si="194"/>
        <v>36633.193277310929</v>
      </c>
    </row>
    <row r="4133" spans="1:19" hidden="1" x14ac:dyDescent="0.3">
      <c r="A4133">
        <v>170</v>
      </c>
      <c r="B4133" t="s">
        <v>4809</v>
      </c>
      <c r="C4133" t="s">
        <v>5483</v>
      </c>
      <c r="D4133" s="2" t="s">
        <v>5484</v>
      </c>
      <c r="E4133" t="s">
        <v>1501</v>
      </c>
      <c r="F4133" t="s">
        <v>20</v>
      </c>
      <c r="G4133" t="s">
        <v>21</v>
      </c>
      <c r="H4133" t="s">
        <v>742</v>
      </c>
      <c r="I4133" t="s">
        <v>23</v>
      </c>
      <c r="J4133" t="s">
        <v>40</v>
      </c>
      <c r="K4133" s="2" t="s">
        <v>1958</v>
      </c>
      <c r="L4133" t="s">
        <v>26</v>
      </c>
      <c r="M4133">
        <v>336994</v>
      </c>
      <c r="N4133">
        <v>1</v>
      </c>
      <c r="O4133" s="3">
        <v>69990</v>
      </c>
      <c r="P4133" s="3">
        <v>28727</v>
      </c>
      <c r="Q4133" s="5">
        <f t="shared" si="192"/>
        <v>58815.126050420171</v>
      </c>
      <c r="R4133" s="5">
        <f t="shared" si="193"/>
        <v>28727</v>
      </c>
      <c r="S4133" s="5">
        <f t="shared" si="194"/>
        <v>30088.126050420171</v>
      </c>
    </row>
    <row r="4134" spans="1:19" hidden="1" x14ac:dyDescent="0.3">
      <c r="A4134">
        <v>170</v>
      </c>
      <c r="B4134" t="s">
        <v>4809</v>
      </c>
      <c r="C4134" t="s">
        <v>3054</v>
      </c>
      <c r="D4134" s="2" t="s">
        <v>3055</v>
      </c>
      <c r="E4134" t="s">
        <v>2870</v>
      </c>
      <c r="F4134" t="s">
        <v>20</v>
      </c>
      <c r="G4134" t="s">
        <v>21</v>
      </c>
      <c r="H4134" t="s">
        <v>30</v>
      </c>
      <c r="I4134" t="s">
        <v>23</v>
      </c>
      <c r="J4134" t="s">
        <v>35</v>
      </c>
      <c r="K4134" s="2" t="s">
        <v>1958</v>
      </c>
      <c r="L4134" t="s">
        <v>26</v>
      </c>
      <c r="M4134">
        <v>336995</v>
      </c>
      <c r="N4134">
        <v>1</v>
      </c>
      <c r="O4134" s="3">
        <v>79950</v>
      </c>
      <c r="P4134" s="3">
        <v>30749</v>
      </c>
      <c r="Q4134" s="5">
        <f t="shared" si="192"/>
        <v>67184.873949579836</v>
      </c>
      <c r="R4134" s="5">
        <f t="shared" si="193"/>
        <v>30749</v>
      </c>
      <c r="S4134" s="5">
        <f t="shared" si="194"/>
        <v>36435.873949579836</v>
      </c>
    </row>
    <row r="4135" spans="1:19" hidden="1" x14ac:dyDescent="0.3">
      <c r="A4135">
        <v>170</v>
      </c>
      <c r="B4135" t="s">
        <v>4809</v>
      </c>
      <c r="C4135" t="s">
        <v>2420</v>
      </c>
      <c r="D4135" s="2" t="s">
        <v>2421</v>
      </c>
      <c r="E4135" t="s">
        <v>2422</v>
      </c>
      <c r="F4135" t="s">
        <v>20</v>
      </c>
      <c r="G4135" t="s">
        <v>21</v>
      </c>
      <c r="H4135" t="s">
        <v>152</v>
      </c>
      <c r="I4135" t="s">
        <v>23</v>
      </c>
      <c r="J4135" t="s">
        <v>40</v>
      </c>
      <c r="K4135" s="2" t="s">
        <v>1958</v>
      </c>
      <c r="L4135" t="s">
        <v>26</v>
      </c>
      <c r="M4135">
        <v>336996</v>
      </c>
      <c r="N4135">
        <v>1</v>
      </c>
      <c r="O4135" s="3">
        <v>34990</v>
      </c>
      <c r="P4135" s="3">
        <v>18485</v>
      </c>
      <c r="Q4135" s="5">
        <f t="shared" si="192"/>
        <v>29403.361344537818</v>
      </c>
      <c r="R4135" s="5">
        <f t="shared" si="193"/>
        <v>18485</v>
      </c>
      <c r="S4135" s="5">
        <f t="shared" si="194"/>
        <v>10918.361344537818</v>
      </c>
    </row>
    <row r="4136" spans="1:19" hidden="1" x14ac:dyDescent="0.3">
      <c r="A4136">
        <v>170</v>
      </c>
      <c r="B4136" t="s">
        <v>4809</v>
      </c>
      <c r="C4136" t="s">
        <v>5485</v>
      </c>
      <c r="D4136" s="2" t="s">
        <v>5486</v>
      </c>
      <c r="E4136" t="s">
        <v>1428</v>
      </c>
      <c r="F4136" t="s">
        <v>20</v>
      </c>
      <c r="G4136" t="s">
        <v>21</v>
      </c>
      <c r="H4136" t="s">
        <v>57</v>
      </c>
      <c r="I4136" t="s">
        <v>23</v>
      </c>
      <c r="J4136" t="s">
        <v>35</v>
      </c>
      <c r="K4136" s="2" t="s">
        <v>1958</v>
      </c>
      <c r="L4136" t="s">
        <v>26</v>
      </c>
      <c r="M4136">
        <v>336996</v>
      </c>
      <c r="N4136">
        <v>1</v>
      </c>
      <c r="O4136" s="3">
        <v>89950</v>
      </c>
      <c r="P4136" s="3">
        <v>31701</v>
      </c>
      <c r="Q4136" s="5">
        <f t="shared" si="192"/>
        <v>75588.23529411765</v>
      </c>
      <c r="R4136" s="5">
        <f t="shared" si="193"/>
        <v>31701</v>
      </c>
      <c r="S4136" s="5">
        <f t="shared" si="194"/>
        <v>43887.23529411765</v>
      </c>
    </row>
    <row r="4137" spans="1:19" hidden="1" x14ac:dyDescent="0.3">
      <c r="A4137">
        <v>170</v>
      </c>
      <c r="B4137" t="s">
        <v>4809</v>
      </c>
      <c r="C4137" t="s">
        <v>314</v>
      </c>
      <c r="D4137" s="2" t="s">
        <v>315</v>
      </c>
      <c r="E4137" t="s">
        <v>316</v>
      </c>
      <c r="F4137" t="s">
        <v>20</v>
      </c>
      <c r="G4137" t="s">
        <v>21</v>
      </c>
      <c r="H4137" t="s">
        <v>317</v>
      </c>
      <c r="I4137" t="s">
        <v>23</v>
      </c>
      <c r="J4137" t="s">
        <v>35</v>
      </c>
      <c r="K4137" s="2" t="s">
        <v>1958</v>
      </c>
      <c r="L4137" t="s">
        <v>26</v>
      </c>
      <c r="M4137">
        <v>336997</v>
      </c>
      <c r="N4137">
        <v>1</v>
      </c>
      <c r="O4137" s="3">
        <v>69950</v>
      </c>
      <c r="P4137" s="3">
        <v>24517</v>
      </c>
      <c r="Q4137" s="5">
        <f t="shared" si="192"/>
        <v>58781.512605042022</v>
      </c>
      <c r="R4137" s="5">
        <f t="shared" si="193"/>
        <v>24517</v>
      </c>
      <c r="S4137" s="5">
        <f t="shared" si="194"/>
        <v>34264.512605042022</v>
      </c>
    </row>
    <row r="4138" spans="1:19" hidden="1" x14ac:dyDescent="0.3">
      <c r="A4138">
        <v>170</v>
      </c>
      <c r="B4138" t="s">
        <v>4809</v>
      </c>
      <c r="C4138" t="s">
        <v>5487</v>
      </c>
      <c r="D4138" s="2" t="s">
        <v>5488</v>
      </c>
      <c r="E4138" t="s">
        <v>2771</v>
      </c>
      <c r="F4138" t="s">
        <v>20</v>
      </c>
      <c r="G4138" t="s">
        <v>21</v>
      </c>
      <c r="H4138" t="s">
        <v>57</v>
      </c>
      <c r="I4138" t="s">
        <v>23</v>
      </c>
      <c r="J4138" t="s">
        <v>35</v>
      </c>
      <c r="K4138" s="2" t="s">
        <v>1958</v>
      </c>
      <c r="L4138" t="s">
        <v>26</v>
      </c>
      <c r="M4138">
        <v>336997</v>
      </c>
      <c r="N4138">
        <v>1</v>
      </c>
      <c r="O4138" s="3">
        <v>76450</v>
      </c>
      <c r="P4138" s="3">
        <v>29189</v>
      </c>
      <c r="Q4138" s="5">
        <f t="shared" si="192"/>
        <v>64243.697478991598</v>
      </c>
      <c r="R4138" s="5">
        <f t="shared" si="193"/>
        <v>29189</v>
      </c>
      <c r="S4138" s="5">
        <f t="shared" si="194"/>
        <v>35054.697478991598</v>
      </c>
    </row>
    <row r="4139" spans="1:19" hidden="1" x14ac:dyDescent="0.3">
      <c r="A4139">
        <v>170</v>
      </c>
      <c r="B4139" t="s">
        <v>4809</v>
      </c>
      <c r="C4139" t="s">
        <v>3866</v>
      </c>
      <c r="D4139" s="2" t="s">
        <v>3867</v>
      </c>
      <c r="E4139" t="s">
        <v>3698</v>
      </c>
      <c r="F4139" t="s">
        <v>20</v>
      </c>
      <c r="G4139" t="s">
        <v>21</v>
      </c>
      <c r="H4139" t="s">
        <v>966</v>
      </c>
      <c r="I4139" t="s">
        <v>23</v>
      </c>
      <c r="J4139" t="s">
        <v>40</v>
      </c>
      <c r="K4139" s="2" t="s">
        <v>1958</v>
      </c>
      <c r="L4139" t="s">
        <v>26</v>
      </c>
      <c r="M4139">
        <v>336998</v>
      </c>
      <c r="N4139">
        <v>1</v>
      </c>
      <c r="O4139" s="3">
        <v>74950</v>
      </c>
      <c r="P4139" s="3">
        <v>27462</v>
      </c>
      <c r="Q4139" s="5">
        <f t="shared" si="192"/>
        <v>62983.193277310929</v>
      </c>
      <c r="R4139" s="5">
        <f t="shared" si="193"/>
        <v>27462</v>
      </c>
      <c r="S4139" s="5">
        <f t="shared" si="194"/>
        <v>35521.193277310929</v>
      </c>
    </row>
    <row r="4140" spans="1:19" hidden="1" x14ac:dyDescent="0.3">
      <c r="A4140">
        <v>170</v>
      </c>
      <c r="B4140" t="s">
        <v>4809</v>
      </c>
      <c r="C4140" t="s">
        <v>5489</v>
      </c>
      <c r="D4140" s="2" t="s">
        <v>5490</v>
      </c>
      <c r="E4140" t="s">
        <v>3764</v>
      </c>
      <c r="F4140" t="s">
        <v>20</v>
      </c>
      <c r="G4140" t="s">
        <v>21</v>
      </c>
      <c r="H4140" t="s">
        <v>1282</v>
      </c>
      <c r="I4140" t="s">
        <v>23</v>
      </c>
      <c r="J4140" t="s">
        <v>40</v>
      </c>
      <c r="K4140" s="2" t="s">
        <v>1958</v>
      </c>
      <c r="L4140" t="s">
        <v>26</v>
      </c>
      <c r="M4140">
        <v>336999</v>
      </c>
      <c r="N4140">
        <v>1</v>
      </c>
      <c r="O4140" s="3">
        <v>49991</v>
      </c>
      <c r="P4140" s="3">
        <v>13922</v>
      </c>
      <c r="Q4140" s="5">
        <f t="shared" si="192"/>
        <v>42009.243697478996</v>
      </c>
      <c r="R4140" s="5">
        <f t="shared" si="193"/>
        <v>13922</v>
      </c>
      <c r="S4140" s="5">
        <f t="shared" si="194"/>
        <v>28087.243697478996</v>
      </c>
    </row>
    <row r="4141" spans="1:19" hidden="1" x14ac:dyDescent="0.3">
      <c r="A4141">
        <v>170</v>
      </c>
      <c r="B4141" t="s">
        <v>4809</v>
      </c>
      <c r="C4141" t="s">
        <v>5491</v>
      </c>
      <c r="D4141" s="2" t="s">
        <v>5492</v>
      </c>
      <c r="E4141" t="s">
        <v>5493</v>
      </c>
      <c r="F4141" t="s">
        <v>20</v>
      </c>
      <c r="G4141" t="s">
        <v>21</v>
      </c>
      <c r="H4141" t="s">
        <v>569</v>
      </c>
      <c r="I4141" t="s">
        <v>23</v>
      </c>
      <c r="J4141" t="s">
        <v>207</v>
      </c>
      <c r="K4141" s="2" t="s">
        <v>1958</v>
      </c>
      <c r="L4141" t="s">
        <v>26</v>
      </c>
      <c r="M4141">
        <v>336999</v>
      </c>
      <c r="N4141">
        <v>-1</v>
      </c>
      <c r="O4141" s="3">
        <v>-49990</v>
      </c>
      <c r="P4141" s="3">
        <v>25551</v>
      </c>
      <c r="Q4141" s="5">
        <f t="shared" si="192"/>
        <v>-42008.403361344543</v>
      </c>
      <c r="R4141" s="5">
        <f t="shared" si="193"/>
        <v>-25551</v>
      </c>
      <c r="S4141" s="5">
        <f t="shared" si="194"/>
        <v>-16457.403361344543</v>
      </c>
    </row>
    <row r="4142" spans="1:19" hidden="1" x14ac:dyDescent="0.3">
      <c r="A4142">
        <v>170</v>
      </c>
      <c r="B4142" t="s">
        <v>4809</v>
      </c>
      <c r="C4142" t="s">
        <v>1169</v>
      </c>
      <c r="D4142" s="2" t="s">
        <v>1170</v>
      </c>
      <c r="E4142" t="s">
        <v>1171</v>
      </c>
      <c r="F4142" t="s">
        <v>20</v>
      </c>
      <c r="G4142" t="s">
        <v>21</v>
      </c>
      <c r="H4142" t="s">
        <v>500</v>
      </c>
      <c r="I4142" t="s">
        <v>23</v>
      </c>
      <c r="J4142" t="s">
        <v>40</v>
      </c>
      <c r="K4142" s="2" t="s">
        <v>1958</v>
      </c>
      <c r="L4142" t="s">
        <v>26</v>
      </c>
      <c r="M4142">
        <v>337000</v>
      </c>
      <c r="N4142">
        <v>1</v>
      </c>
      <c r="O4142" s="3">
        <v>50950</v>
      </c>
      <c r="P4142" s="3">
        <v>17416</v>
      </c>
      <c r="Q4142" s="5">
        <f t="shared" si="192"/>
        <v>42815.126050420171</v>
      </c>
      <c r="R4142" s="5">
        <f t="shared" si="193"/>
        <v>17416</v>
      </c>
      <c r="S4142" s="5">
        <f t="shared" si="194"/>
        <v>25399.126050420171</v>
      </c>
    </row>
    <row r="4143" spans="1:19" hidden="1" x14ac:dyDescent="0.3">
      <c r="A4143">
        <v>170</v>
      </c>
      <c r="B4143" t="s">
        <v>4809</v>
      </c>
      <c r="C4143" t="s">
        <v>3273</v>
      </c>
      <c r="D4143" s="2" t="s">
        <v>3274</v>
      </c>
      <c r="E4143" t="s">
        <v>499</v>
      </c>
      <c r="F4143" t="s">
        <v>20</v>
      </c>
      <c r="G4143" t="s">
        <v>21</v>
      </c>
      <c r="H4143" t="s">
        <v>500</v>
      </c>
      <c r="I4143" t="s">
        <v>23</v>
      </c>
      <c r="J4143" t="s">
        <v>40</v>
      </c>
      <c r="K4143" s="2" t="s">
        <v>1958</v>
      </c>
      <c r="L4143" t="s">
        <v>26</v>
      </c>
      <c r="M4143">
        <v>337000</v>
      </c>
      <c r="N4143">
        <v>1</v>
      </c>
      <c r="O4143" s="3">
        <v>59950</v>
      </c>
      <c r="P4143" s="3">
        <v>17416</v>
      </c>
      <c r="Q4143" s="5">
        <f t="shared" si="192"/>
        <v>50378.151260504201</v>
      </c>
      <c r="R4143" s="5">
        <f t="shared" si="193"/>
        <v>17416</v>
      </c>
      <c r="S4143" s="5">
        <f t="shared" si="194"/>
        <v>32962.151260504201</v>
      </c>
    </row>
    <row r="4144" spans="1:19" hidden="1" x14ac:dyDescent="0.3">
      <c r="A4144">
        <v>170</v>
      </c>
      <c r="B4144" t="s">
        <v>4809</v>
      </c>
      <c r="C4144" t="s">
        <v>3220</v>
      </c>
      <c r="D4144" s="2" t="s">
        <v>3221</v>
      </c>
      <c r="E4144" t="s">
        <v>2661</v>
      </c>
      <c r="F4144" t="s">
        <v>20</v>
      </c>
      <c r="G4144" t="s">
        <v>21</v>
      </c>
      <c r="H4144" t="s">
        <v>317</v>
      </c>
      <c r="I4144" t="s">
        <v>23</v>
      </c>
      <c r="J4144" t="s">
        <v>35</v>
      </c>
      <c r="K4144" s="2" t="s">
        <v>1958</v>
      </c>
      <c r="L4144" t="s">
        <v>26</v>
      </c>
      <c r="M4144">
        <v>337001</v>
      </c>
      <c r="N4144">
        <v>1</v>
      </c>
      <c r="O4144" s="3">
        <v>69950</v>
      </c>
      <c r="P4144" s="3">
        <v>26119</v>
      </c>
      <c r="Q4144" s="5">
        <f t="shared" si="192"/>
        <v>58781.512605042022</v>
      </c>
      <c r="R4144" s="5">
        <f t="shared" si="193"/>
        <v>26119</v>
      </c>
      <c r="S4144" s="5">
        <f t="shared" si="194"/>
        <v>32662.512605042022</v>
      </c>
    </row>
    <row r="4145" spans="1:19" hidden="1" x14ac:dyDescent="0.3">
      <c r="A4145">
        <v>170</v>
      </c>
      <c r="B4145" t="s">
        <v>4809</v>
      </c>
      <c r="C4145" t="s">
        <v>5494</v>
      </c>
      <c r="D4145" s="2" t="s">
        <v>5495</v>
      </c>
      <c r="E4145" t="s">
        <v>5496</v>
      </c>
      <c r="F4145" t="s">
        <v>377</v>
      </c>
      <c r="G4145" t="s">
        <v>21</v>
      </c>
      <c r="H4145" t="s">
        <v>378</v>
      </c>
      <c r="I4145" t="s">
        <v>23</v>
      </c>
      <c r="J4145" t="s">
        <v>2620</v>
      </c>
      <c r="K4145" s="2" t="s">
        <v>1958</v>
      </c>
      <c r="L4145" t="s">
        <v>26</v>
      </c>
      <c r="M4145">
        <v>337002</v>
      </c>
      <c r="N4145">
        <v>1</v>
      </c>
      <c r="O4145" s="3">
        <v>22950</v>
      </c>
      <c r="P4145" s="3">
        <v>9778</v>
      </c>
      <c r="Q4145" s="5">
        <f t="shared" si="192"/>
        <v>19285.714285714286</v>
      </c>
      <c r="R4145" s="5">
        <f t="shared" si="193"/>
        <v>9778</v>
      </c>
      <c r="S4145" s="5">
        <f t="shared" si="194"/>
        <v>9507.7142857142862</v>
      </c>
    </row>
    <row r="4146" spans="1:19" hidden="1" x14ac:dyDescent="0.3">
      <c r="A4146">
        <v>170</v>
      </c>
      <c r="B4146" t="s">
        <v>4809</v>
      </c>
      <c r="C4146" t="s">
        <v>5497</v>
      </c>
      <c r="D4146" s="2" t="s">
        <v>5498</v>
      </c>
      <c r="E4146" t="s">
        <v>5135</v>
      </c>
      <c r="F4146" t="s">
        <v>377</v>
      </c>
      <c r="G4146" t="s">
        <v>21</v>
      </c>
      <c r="H4146" t="s">
        <v>378</v>
      </c>
      <c r="I4146" t="s">
        <v>23</v>
      </c>
      <c r="J4146" t="s">
        <v>2620</v>
      </c>
      <c r="K4146" s="2" t="s">
        <v>1958</v>
      </c>
      <c r="L4146" t="s">
        <v>26</v>
      </c>
      <c r="M4146">
        <v>337002</v>
      </c>
      <c r="N4146">
        <v>1</v>
      </c>
      <c r="O4146" s="3">
        <v>24950</v>
      </c>
      <c r="P4146" s="3">
        <v>10921</v>
      </c>
      <c r="Q4146" s="5">
        <f t="shared" si="192"/>
        <v>20966.386554621851</v>
      </c>
      <c r="R4146" s="5">
        <f t="shared" si="193"/>
        <v>10921</v>
      </c>
      <c r="S4146" s="5">
        <f t="shared" si="194"/>
        <v>10045.386554621851</v>
      </c>
    </row>
    <row r="4147" spans="1:19" hidden="1" x14ac:dyDescent="0.3">
      <c r="A4147">
        <v>170</v>
      </c>
      <c r="B4147" t="s">
        <v>4809</v>
      </c>
      <c r="C4147" t="s">
        <v>5499</v>
      </c>
      <c r="D4147" s="2" t="s">
        <v>5500</v>
      </c>
      <c r="E4147" t="s">
        <v>3175</v>
      </c>
      <c r="F4147" t="s">
        <v>20</v>
      </c>
      <c r="G4147" t="s">
        <v>21</v>
      </c>
      <c r="H4147" t="s">
        <v>625</v>
      </c>
      <c r="I4147" t="s">
        <v>23</v>
      </c>
      <c r="J4147" t="s">
        <v>35</v>
      </c>
      <c r="K4147" s="2" t="s">
        <v>1958</v>
      </c>
      <c r="L4147" t="s">
        <v>26</v>
      </c>
      <c r="M4147">
        <v>337003</v>
      </c>
      <c r="N4147">
        <v>1</v>
      </c>
      <c r="O4147" s="3">
        <v>49991</v>
      </c>
      <c r="P4147" s="3">
        <v>24956</v>
      </c>
      <c r="Q4147" s="5">
        <f t="shared" si="192"/>
        <v>42009.243697478996</v>
      </c>
      <c r="R4147" s="5">
        <f t="shared" si="193"/>
        <v>24956</v>
      </c>
      <c r="S4147" s="5">
        <f t="shared" si="194"/>
        <v>17053.243697478996</v>
      </c>
    </row>
    <row r="4148" spans="1:19" hidden="1" x14ac:dyDescent="0.3">
      <c r="A4148">
        <v>170</v>
      </c>
      <c r="B4148" t="s">
        <v>4809</v>
      </c>
      <c r="C4148" t="s">
        <v>3173</v>
      </c>
      <c r="D4148" s="2" t="s">
        <v>3174</v>
      </c>
      <c r="E4148" t="s">
        <v>3175</v>
      </c>
      <c r="F4148" t="s">
        <v>20</v>
      </c>
      <c r="G4148" t="s">
        <v>21</v>
      </c>
      <c r="H4148" t="s">
        <v>625</v>
      </c>
      <c r="I4148" t="s">
        <v>23</v>
      </c>
      <c r="J4148" t="s">
        <v>35</v>
      </c>
      <c r="K4148" s="2" t="s">
        <v>1958</v>
      </c>
      <c r="L4148" t="s">
        <v>26</v>
      </c>
      <c r="M4148">
        <v>337003</v>
      </c>
      <c r="N4148">
        <v>-1</v>
      </c>
      <c r="O4148" s="3">
        <v>-49990</v>
      </c>
      <c r="P4148" s="3">
        <v>24956</v>
      </c>
      <c r="Q4148" s="5">
        <f t="shared" si="192"/>
        <v>-42008.403361344543</v>
      </c>
      <c r="R4148" s="5">
        <f t="shared" si="193"/>
        <v>-24956</v>
      </c>
      <c r="S4148" s="5">
        <f t="shared" si="194"/>
        <v>-17052.403361344543</v>
      </c>
    </row>
    <row r="4149" spans="1:19" hidden="1" x14ac:dyDescent="0.3">
      <c r="A4149">
        <v>170</v>
      </c>
      <c r="B4149" t="s">
        <v>4809</v>
      </c>
      <c r="C4149" t="s">
        <v>5494</v>
      </c>
      <c r="D4149" s="2" t="s">
        <v>5495</v>
      </c>
      <c r="E4149" t="s">
        <v>5496</v>
      </c>
      <c r="F4149" t="s">
        <v>377</v>
      </c>
      <c r="G4149" t="s">
        <v>21</v>
      </c>
      <c r="H4149" t="s">
        <v>378</v>
      </c>
      <c r="I4149" t="s">
        <v>23</v>
      </c>
      <c r="J4149" t="s">
        <v>2620</v>
      </c>
      <c r="K4149" s="2" t="s">
        <v>1958</v>
      </c>
      <c r="L4149" t="s">
        <v>26</v>
      </c>
      <c r="M4149">
        <v>337004</v>
      </c>
      <c r="N4149">
        <v>1</v>
      </c>
      <c r="O4149" s="3">
        <v>24951</v>
      </c>
      <c r="P4149" s="3">
        <v>9778</v>
      </c>
      <c r="Q4149" s="5">
        <f t="shared" si="192"/>
        <v>20967.226890756305</v>
      </c>
      <c r="R4149" s="5">
        <f t="shared" si="193"/>
        <v>9778</v>
      </c>
      <c r="S4149" s="5">
        <f t="shared" si="194"/>
        <v>11189.226890756305</v>
      </c>
    </row>
    <row r="4150" spans="1:19" hidden="1" x14ac:dyDescent="0.3">
      <c r="A4150">
        <v>170</v>
      </c>
      <c r="B4150" t="s">
        <v>4809</v>
      </c>
      <c r="C4150" t="s">
        <v>5497</v>
      </c>
      <c r="D4150" s="2" t="s">
        <v>5498</v>
      </c>
      <c r="E4150" t="s">
        <v>5135</v>
      </c>
      <c r="F4150" t="s">
        <v>377</v>
      </c>
      <c r="G4150" t="s">
        <v>21</v>
      </c>
      <c r="H4150" t="s">
        <v>378</v>
      </c>
      <c r="I4150" t="s">
        <v>23</v>
      </c>
      <c r="J4150" t="s">
        <v>2620</v>
      </c>
      <c r="K4150" s="2" t="s">
        <v>1958</v>
      </c>
      <c r="L4150" t="s">
        <v>26</v>
      </c>
      <c r="M4150">
        <v>337004</v>
      </c>
      <c r="N4150">
        <v>-1</v>
      </c>
      <c r="O4150" s="3">
        <v>-24950</v>
      </c>
      <c r="P4150" s="3">
        <v>10921</v>
      </c>
      <c r="Q4150" s="5">
        <f t="shared" si="192"/>
        <v>-20966.386554621851</v>
      </c>
      <c r="R4150" s="5">
        <f t="shared" si="193"/>
        <v>-10921</v>
      </c>
      <c r="S4150" s="5">
        <f t="shared" si="194"/>
        <v>-10045.386554621851</v>
      </c>
    </row>
    <row r="4151" spans="1:19" hidden="1" x14ac:dyDescent="0.3">
      <c r="A4151">
        <v>170</v>
      </c>
      <c r="B4151" t="s">
        <v>4809</v>
      </c>
      <c r="C4151" t="s">
        <v>2502</v>
      </c>
      <c r="D4151" s="2" t="s">
        <v>2503</v>
      </c>
      <c r="E4151" t="s">
        <v>2504</v>
      </c>
      <c r="F4151" t="s">
        <v>20</v>
      </c>
      <c r="G4151" t="s">
        <v>21</v>
      </c>
      <c r="H4151" t="s">
        <v>2501</v>
      </c>
      <c r="I4151" t="s">
        <v>23</v>
      </c>
      <c r="J4151" t="s">
        <v>40</v>
      </c>
      <c r="K4151" s="2" t="s">
        <v>1958</v>
      </c>
      <c r="L4151" t="s">
        <v>26</v>
      </c>
      <c r="M4151">
        <v>337005</v>
      </c>
      <c r="N4151">
        <v>-1</v>
      </c>
      <c r="O4151" s="3">
        <v>-72200</v>
      </c>
      <c r="P4151" s="3">
        <v>31649</v>
      </c>
      <c r="Q4151" s="5">
        <f t="shared" si="192"/>
        <v>-60672.268907563026</v>
      </c>
      <c r="R4151" s="5">
        <f t="shared" si="193"/>
        <v>-31649</v>
      </c>
      <c r="S4151" s="5">
        <f t="shared" si="194"/>
        <v>-29023.268907563026</v>
      </c>
    </row>
    <row r="4152" spans="1:19" hidden="1" x14ac:dyDescent="0.3">
      <c r="A4152">
        <v>170</v>
      </c>
      <c r="B4152" t="s">
        <v>4809</v>
      </c>
      <c r="C4152" t="s">
        <v>5501</v>
      </c>
      <c r="D4152" s="2" t="s">
        <v>5502</v>
      </c>
      <c r="E4152" t="s">
        <v>2504</v>
      </c>
      <c r="F4152" t="s">
        <v>20</v>
      </c>
      <c r="G4152" t="s">
        <v>21</v>
      </c>
      <c r="H4152" t="s">
        <v>2501</v>
      </c>
      <c r="I4152" t="s">
        <v>23</v>
      </c>
      <c r="J4152" t="s">
        <v>40</v>
      </c>
      <c r="K4152" s="2" t="s">
        <v>1958</v>
      </c>
      <c r="L4152" t="s">
        <v>26</v>
      </c>
      <c r="M4152">
        <v>337005</v>
      </c>
      <c r="N4152">
        <v>1</v>
      </c>
      <c r="O4152" s="3">
        <v>72201</v>
      </c>
      <c r="P4152" s="3">
        <v>31649</v>
      </c>
      <c r="Q4152" s="5">
        <f t="shared" si="192"/>
        <v>60673.10924369748</v>
      </c>
      <c r="R4152" s="5">
        <f t="shared" si="193"/>
        <v>31649</v>
      </c>
      <c r="S4152" s="5">
        <f t="shared" si="194"/>
        <v>29024.10924369748</v>
      </c>
    </row>
    <row r="4153" spans="1:19" hidden="1" x14ac:dyDescent="0.3">
      <c r="A4153">
        <v>170</v>
      </c>
      <c r="B4153" t="s">
        <v>4809</v>
      </c>
      <c r="C4153" t="s">
        <v>2625</v>
      </c>
      <c r="D4153" s="2" t="s">
        <v>2626</v>
      </c>
      <c r="E4153" t="s">
        <v>2539</v>
      </c>
      <c r="F4153" t="s">
        <v>20</v>
      </c>
      <c r="G4153" t="s">
        <v>21</v>
      </c>
      <c r="H4153" t="s">
        <v>966</v>
      </c>
      <c r="I4153" t="s">
        <v>23</v>
      </c>
      <c r="J4153" t="s">
        <v>35</v>
      </c>
      <c r="K4153" s="2" t="s">
        <v>1958</v>
      </c>
      <c r="L4153" t="s">
        <v>26</v>
      </c>
      <c r="M4153">
        <v>337006</v>
      </c>
      <c r="N4153">
        <v>1</v>
      </c>
      <c r="O4153" s="3">
        <v>74950</v>
      </c>
      <c r="P4153" s="3">
        <v>27026</v>
      </c>
      <c r="Q4153" s="5">
        <f t="shared" si="192"/>
        <v>62983.193277310929</v>
      </c>
      <c r="R4153" s="5">
        <f t="shared" si="193"/>
        <v>27026</v>
      </c>
      <c r="S4153" s="5">
        <f t="shared" si="194"/>
        <v>35957.193277310929</v>
      </c>
    </row>
    <row r="4154" spans="1:19" hidden="1" x14ac:dyDescent="0.3">
      <c r="A4154">
        <v>170</v>
      </c>
      <c r="B4154" t="s">
        <v>4809</v>
      </c>
      <c r="C4154" t="s">
        <v>5503</v>
      </c>
      <c r="D4154" s="2" t="s">
        <v>5504</v>
      </c>
      <c r="E4154" t="s">
        <v>5505</v>
      </c>
      <c r="F4154" t="s">
        <v>20</v>
      </c>
      <c r="G4154" t="s">
        <v>338</v>
      </c>
      <c r="H4154">
        <v>86422</v>
      </c>
      <c r="I4154" t="s">
        <v>23</v>
      </c>
      <c r="J4154" t="s">
        <v>35</v>
      </c>
      <c r="K4154" s="2" t="s">
        <v>1958</v>
      </c>
      <c r="L4154" t="s">
        <v>26</v>
      </c>
      <c r="M4154">
        <v>337006</v>
      </c>
      <c r="N4154">
        <v>1</v>
      </c>
      <c r="O4154" s="3">
        <v>93450</v>
      </c>
      <c r="P4154" s="3">
        <v>33793</v>
      </c>
      <c r="Q4154" s="5">
        <f t="shared" si="192"/>
        <v>78529.411764705888</v>
      </c>
      <c r="R4154" s="5">
        <f t="shared" si="193"/>
        <v>33793</v>
      </c>
      <c r="S4154" s="5">
        <f t="shared" si="194"/>
        <v>44736.411764705888</v>
      </c>
    </row>
    <row r="4155" spans="1:19" hidden="1" x14ac:dyDescent="0.3">
      <c r="A4155">
        <v>170</v>
      </c>
      <c r="B4155" t="s">
        <v>4809</v>
      </c>
      <c r="C4155" t="s">
        <v>5506</v>
      </c>
      <c r="D4155" s="2" t="s">
        <v>5507</v>
      </c>
      <c r="E4155" t="s">
        <v>1412</v>
      </c>
      <c r="F4155" t="s">
        <v>20</v>
      </c>
      <c r="G4155" t="s">
        <v>338</v>
      </c>
      <c r="H4155">
        <v>23603</v>
      </c>
      <c r="I4155" t="s">
        <v>23</v>
      </c>
      <c r="J4155" t="s">
        <v>40</v>
      </c>
      <c r="K4155" s="2" t="s">
        <v>1958</v>
      </c>
      <c r="L4155" t="s">
        <v>26</v>
      </c>
      <c r="M4155">
        <v>337007</v>
      </c>
      <c r="N4155">
        <v>1</v>
      </c>
      <c r="O4155" s="3">
        <v>49990</v>
      </c>
      <c r="P4155" s="3">
        <v>22607</v>
      </c>
      <c r="Q4155" s="5">
        <f t="shared" si="192"/>
        <v>42008.403361344543</v>
      </c>
      <c r="R4155" s="5">
        <f t="shared" si="193"/>
        <v>22607</v>
      </c>
      <c r="S4155" s="5">
        <f t="shared" si="194"/>
        <v>19401.403361344543</v>
      </c>
    </row>
    <row r="4156" spans="1:19" hidden="1" x14ac:dyDescent="0.3">
      <c r="A4156">
        <v>170</v>
      </c>
      <c r="B4156" t="s">
        <v>4809</v>
      </c>
      <c r="C4156" t="s">
        <v>5078</v>
      </c>
      <c r="D4156" s="2" t="s">
        <v>5079</v>
      </c>
      <c r="E4156" t="s">
        <v>1412</v>
      </c>
      <c r="F4156" t="s">
        <v>20</v>
      </c>
      <c r="G4156" t="s">
        <v>338</v>
      </c>
      <c r="H4156">
        <v>23603</v>
      </c>
      <c r="I4156" t="s">
        <v>23</v>
      </c>
      <c r="J4156" t="s">
        <v>40</v>
      </c>
      <c r="K4156" s="2" t="s">
        <v>2093</v>
      </c>
      <c r="L4156" t="s">
        <v>26</v>
      </c>
      <c r="M4156">
        <v>337008</v>
      </c>
      <c r="N4156">
        <v>1</v>
      </c>
      <c r="O4156" s="3">
        <v>49990</v>
      </c>
      <c r="P4156" s="3">
        <v>22607</v>
      </c>
      <c r="Q4156" s="5">
        <f t="shared" si="192"/>
        <v>42008.403361344543</v>
      </c>
      <c r="R4156" s="5">
        <f t="shared" si="193"/>
        <v>22607</v>
      </c>
      <c r="S4156" s="5">
        <f t="shared" si="194"/>
        <v>19401.403361344543</v>
      </c>
    </row>
    <row r="4157" spans="1:19" hidden="1" x14ac:dyDescent="0.3">
      <c r="A4157">
        <v>170</v>
      </c>
      <c r="B4157" t="s">
        <v>4809</v>
      </c>
      <c r="C4157" t="s">
        <v>3336</v>
      </c>
      <c r="D4157" s="2" t="s">
        <v>3337</v>
      </c>
      <c r="E4157" t="s">
        <v>3335</v>
      </c>
      <c r="F4157" t="s">
        <v>20</v>
      </c>
      <c r="G4157" t="s">
        <v>338</v>
      </c>
      <c r="H4157">
        <v>25273</v>
      </c>
      <c r="I4157" t="s">
        <v>23</v>
      </c>
      <c r="J4157" t="s">
        <v>35</v>
      </c>
      <c r="K4157" s="2" t="s">
        <v>2093</v>
      </c>
      <c r="L4157" t="s">
        <v>26</v>
      </c>
      <c r="M4157">
        <v>337009</v>
      </c>
      <c r="N4157">
        <v>1</v>
      </c>
      <c r="O4157" s="3">
        <v>99950</v>
      </c>
      <c r="P4157" s="3">
        <v>32658</v>
      </c>
      <c r="Q4157" s="5">
        <f t="shared" si="192"/>
        <v>83991.596638655465</v>
      </c>
      <c r="R4157" s="5">
        <f t="shared" si="193"/>
        <v>32658</v>
      </c>
      <c r="S4157" s="5">
        <f t="shared" si="194"/>
        <v>51333.596638655465</v>
      </c>
    </row>
    <row r="4158" spans="1:19" hidden="1" x14ac:dyDescent="0.3">
      <c r="A4158">
        <v>170</v>
      </c>
      <c r="B4158" t="s">
        <v>4809</v>
      </c>
      <c r="C4158" t="s">
        <v>4840</v>
      </c>
      <c r="D4158" s="2" t="s">
        <v>4841</v>
      </c>
      <c r="E4158" t="s">
        <v>1501</v>
      </c>
      <c r="F4158" t="s">
        <v>20</v>
      </c>
      <c r="G4158" t="s">
        <v>21</v>
      </c>
      <c r="H4158" t="s">
        <v>742</v>
      </c>
      <c r="I4158" t="s">
        <v>23</v>
      </c>
      <c r="J4158" t="s">
        <v>40</v>
      </c>
      <c r="K4158" s="2" t="s">
        <v>2093</v>
      </c>
      <c r="L4158" t="s">
        <v>26</v>
      </c>
      <c r="M4158">
        <v>337010</v>
      </c>
      <c r="N4158">
        <v>1</v>
      </c>
      <c r="O4158" s="3">
        <v>69990</v>
      </c>
      <c r="P4158" s="3">
        <v>28723</v>
      </c>
      <c r="Q4158" s="5">
        <f t="shared" si="192"/>
        <v>58815.126050420171</v>
      </c>
      <c r="R4158" s="5">
        <f t="shared" si="193"/>
        <v>28723</v>
      </c>
      <c r="S4158" s="5">
        <f t="shared" si="194"/>
        <v>30092.126050420171</v>
      </c>
    </row>
    <row r="4159" spans="1:19" hidden="1" x14ac:dyDescent="0.3">
      <c r="A4159">
        <v>170</v>
      </c>
      <c r="B4159" t="s">
        <v>4809</v>
      </c>
      <c r="C4159" t="s">
        <v>5508</v>
      </c>
      <c r="D4159" s="2" t="s">
        <v>5509</v>
      </c>
      <c r="E4159" t="s">
        <v>432</v>
      </c>
      <c r="F4159" t="s">
        <v>20</v>
      </c>
      <c r="G4159" t="s">
        <v>21</v>
      </c>
      <c r="H4159" t="s">
        <v>433</v>
      </c>
      <c r="I4159" t="s">
        <v>23</v>
      </c>
      <c r="J4159" t="s">
        <v>407</v>
      </c>
      <c r="K4159" s="2" t="s">
        <v>2093</v>
      </c>
      <c r="L4159" t="s">
        <v>26</v>
      </c>
      <c r="M4159">
        <v>337011</v>
      </c>
      <c r="N4159">
        <v>1</v>
      </c>
      <c r="O4159" s="3">
        <v>39990</v>
      </c>
      <c r="P4159" s="3">
        <v>25000</v>
      </c>
      <c r="Q4159" s="5">
        <f t="shared" si="192"/>
        <v>33605.042016806721</v>
      </c>
      <c r="R4159" s="5">
        <f t="shared" si="193"/>
        <v>25000</v>
      </c>
      <c r="S4159" s="5">
        <f t="shared" si="194"/>
        <v>8605.0420168067212</v>
      </c>
    </row>
    <row r="4160" spans="1:19" hidden="1" x14ac:dyDescent="0.3">
      <c r="A4160">
        <v>170</v>
      </c>
      <c r="B4160" t="s">
        <v>4809</v>
      </c>
      <c r="C4160">
        <v>1687976791</v>
      </c>
      <c r="D4160" s="2" t="s">
        <v>200</v>
      </c>
      <c r="E4160" t="s">
        <v>201</v>
      </c>
      <c r="F4160" t="s">
        <v>201</v>
      </c>
      <c r="G4160" t="s">
        <v>202</v>
      </c>
      <c r="H4160" t="s">
        <v>202</v>
      </c>
      <c r="I4160" t="s">
        <v>23</v>
      </c>
      <c r="J4160" t="s">
        <v>202</v>
      </c>
      <c r="K4160" s="2" t="s">
        <v>2093</v>
      </c>
      <c r="L4160" t="s">
        <v>26</v>
      </c>
      <c r="M4160">
        <v>337011</v>
      </c>
      <c r="N4160">
        <v>1</v>
      </c>
      <c r="O4160" s="3">
        <v>2000</v>
      </c>
      <c r="P4160">
        <v>1</v>
      </c>
      <c r="Q4160" s="5">
        <f t="shared" si="192"/>
        <v>1680.6722689075632</v>
      </c>
      <c r="R4160" s="5">
        <f t="shared" si="193"/>
        <v>1</v>
      </c>
      <c r="S4160" s="5">
        <f t="shared" si="194"/>
        <v>1679.6722689075632</v>
      </c>
    </row>
    <row r="4161" spans="1:19" hidden="1" x14ac:dyDescent="0.3">
      <c r="A4161">
        <v>170</v>
      </c>
      <c r="B4161" t="s">
        <v>4809</v>
      </c>
      <c r="C4161" t="s">
        <v>4071</v>
      </c>
      <c r="D4161" s="2" t="s">
        <v>4072</v>
      </c>
      <c r="E4161" t="s">
        <v>3395</v>
      </c>
      <c r="F4161" t="s">
        <v>20</v>
      </c>
      <c r="G4161" t="s">
        <v>338</v>
      </c>
      <c r="H4161">
        <v>25459</v>
      </c>
      <c r="I4161" t="s">
        <v>23</v>
      </c>
      <c r="J4161" t="s">
        <v>35</v>
      </c>
      <c r="K4161" s="2" t="s">
        <v>2093</v>
      </c>
      <c r="L4161" t="s">
        <v>26</v>
      </c>
      <c r="M4161">
        <v>337012</v>
      </c>
      <c r="N4161">
        <v>1</v>
      </c>
      <c r="O4161" s="3">
        <v>84950</v>
      </c>
      <c r="P4161" s="3">
        <v>32113</v>
      </c>
      <c r="Q4161" s="5">
        <f t="shared" si="192"/>
        <v>71386.554621848743</v>
      </c>
      <c r="R4161" s="5">
        <f t="shared" si="193"/>
        <v>32113</v>
      </c>
      <c r="S4161" s="5">
        <f t="shared" si="194"/>
        <v>39273.554621848743</v>
      </c>
    </row>
    <row r="4162" spans="1:19" hidden="1" x14ac:dyDescent="0.3">
      <c r="A4162">
        <v>170</v>
      </c>
      <c r="B4162" t="s">
        <v>4809</v>
      </c>
      <c r="C4162" t="s">
        <v>4061</v>
      </c>
      <c r="D4162" s="2" t="s">
        <v>4062</v>
      </c>
      <c r="E4162" t="s">
        <v>2208</v>
      </c>
      <c r="F4162" t="s">
        <v>20</v>
      </c>
      <c r="G4162" t="s">
        <v>338</v>
      </c>
      <c r="H4162">
        <v>25823</v>
      </c>
      <c r="I4162" t="s">
        <v>23</v>
      </c>
      <c r="J4162" t="s">
        <v>35</v>
      </c>
      <c r="K4162" s="2" t="s">
        <v>2093</v>
      </c>
      <c r="L4162" t="s">
        <v>26</v>
      </c>
      <c r="M4162">
        <v>337012</v>
      </c>
      <c r="N4162">
        <v>1</v>
      </c>
      <c r="O4162" s="3">
        <v>99950</v>
      </c>
      <c r="P4162" s="3">
        <v>33748</v>
      </c>
      <c r="Q4162" s="5">
        <f t="shared" si="192"/>
        <v>83991.596638655465</v>
      </c>
      <c r="R4162" s="5">
        <f t="shared" si="193"/>
        <v>33748</v>
      </c>
      <c r="S4162" s="5">
        <f t="shared" si="194"/>
        <v>50243.596638655465</v>
      </c>
    </row>
    <row r="4163" spans="1:19" hidden="1" x14ac:dyDescent="0.3">
      <c r="A4163">
        <v>170</v>
      </c>
      <c r="B4163" t="s">
        <v>4809</v>
      </c>
      <c r="C4163" t="s">
        <v>2984</v>
      </c>
      <c r="D4163" s="2" t="s">
        <v>2985</v>
      </c>
      <c r="E4163" t="s">
        <v>2986</v>
      </c>
      <c r="F4163" t="s">
        <v>20</v>
      </c>
      <c r="G4163" t="s">
        <v>21</v>
      </c>
      <c r="H4163" t="s">
        <v>267</v>
      </c>
      <c r="I4163" t="s">
        <v>23</v>
      </c>
      <c r="J4163" t="s">
        <v>35</v>
      </c>
      <c r="K4163" s="2" t="s">
        <v>2093</v>
      </c>
      <c r="L4163" t="s">
        <v>26</v>
      </c>
      <c r="M4163">
        <v>337013</v>
      </c>
      <c r="N4163">
        <v>1</v>
      </c>
      <c r="O4163" s="3">
        <v>59990</v>
      </c>
      <c r="P4163" s="3">
        <v>24733</v>
      </c>
      <c r="Q4163" s="5">
        <f t="shared" si="192"/>
        <v>50411.764705882357</v>
      </c>
      <c r="R4163" s="5">
        <f t="shared" si="193"/>
        <v>24733</v>
      </c>
      <c r="S4163" s="5">
        <f t="shared" si="194"/>
        <v>25678.764705882357</v>
      </c>
    </row>
    <row r="4164" spans="1:19" hidden="1" x14ac:dyDescent="0.3">
      <c r="A4164">
        <v>170</v>
      </c>
      <c r="B4164" t="s">
        <v>4809</v>
      </c>
      <c r="C4164" t="s">
        <v>2730</v>
      </c>
      <c r="D4164" s="2" t="s">
        <v>2731</v>
      </c>
      <c r="E4164" t="s">
        <v>2308</v>
      </c>
      <c r="F4164" t="s">
        <v>20</v>
      </c>
      <c r="G4164" t="s">
        <v>21</v>
      </c>
      <c r="H4164" t="s">
        <v>1337</v>
      </c>
      <c r="I4164" t="s">
        <v>23</v>
      </c>
      <c r="J4164" t="s">
        <v>49</v>
      </c>
      <c r="K4164" s="2" t="s">
        <v>2093</v>
      </c>
      <c r="L4164" t="s">
        <v>26</v>
      </c>
      <c r="M4164">
        <v>337014</v>
      </c>
      <c r="N4164">
        <v>1</v>
      </c>
      <c r="O4164" s="3">
        <v>59950</v>
      </c>
      <c r="P4164" s="3">
        <v>21847</v>
      </c>
      <c r="Q4164" s="5">
        <f t="shared" si="192"/>
        <v>50378.151260504201</v>
      </c>
      <c r="R4164" s="5">
        <f t="shared" si="193"/>
        <v>21847</v>
      </c>
      <c r="S4164" s="5">
        <f t="shared" si="194"/>
        <v>28531.151260504201</v>
      </c>
    </row>
    <row r="4165" spans="1:19" hidden="1" x14ac:dyDescent="0.3">
      <c r="A4165">
        <v>170</v>
      </c>
      <c r="B4165" t="s">
        <v>4809</v>
      </c>
      <c r="C4165" t="s">
        <v>3532</v>
      </c>
      <c r="D4165" s="2" t="s">
        <v>3533</v>
      </c>
      <c r="E4165" t="s">
        <v>2844</v>
      </c>
      <c r="F4165" t="s">
        <v>20</v>
      </c>
      <c r="G4165" t="s">
        <v>338</v>
      </c>
      <c r="H4165">
        <v>24722</v>
      </c>
      <c r="I4165" t="s">
        <v>23</v>
      </c>
      <c r="J4165" t="s">
        <v>95</v>
      </c>
      <c r="K4165" s="2" t="s">
        <v>2093</v>
      </c>
      <c r="L4165" t="s">
        <v>26</v>
      </c>
      <c r="M4165">
        <v>337015</v>
      </c>
      <c r="N4165">
        <v>1</v>
      </c>
      <c r="O4165" s="3">
        <v>89950</v>
      </c>
      <c r="P4165" s="3">
        <v>30987</v>
      </c>
      <c r="Q4165" s="5">
        <f t="shared" si="192"/>
        <v>75588.23529411765</v>
      </c>
      <c r="R4165" s="5">
        <f t="shared" si="193"/>
        <v>30987</v>
      </c>
      <c r="S4165" s="5">
        <f t="shared" si="194"/>
        <v>44601.23529411765</v>
      </c>
    </row>
    <row r="4166" spans="1:19" hidden="1" x14ac:dyDescent="0.3">
      <c r="A4166">
        <v>170</v>
      </c>
      <c r="B4166" t="s">
        <v>4809</v>
      </c>
      <c r="C4166" t="s">
        <v>5510</v>
      </c>
      <c r="D4166" s="2" t="s">
        <v>5511</v>
      </c>
      <c r="E4166" t="s">
        <v>2215</v>
      </c>
      <c r="F4166" t="s">
        <v>20</v>
      </c>
      <c r="G4166" t="s">
        <v>21</v>
      </c>
      <c r="H4166" t="s">
        <v>686</v>
      </c>
      <c r="I4166" t="s">
        <v>23</v>
      </c>
      <c r="J4166" t="s">
        <v>35</v>
      </c>
      <c r="K4166" s="2" t="s">
        <v>2093</v>
      </c>
      <c r="L4166" t="s">
        <v>26</v>
      </c>
      <c r="M4166">
        <v>337016</v>
      </c>
      <c r="N4166">
        <v>1</v>
      </c>
      <c r="O4166" s="3">
        <v>99950</v>
      </c>
      <c r="P4166" s="3">
        <v>48762</v>
      </c>
      <c r="Q4166" s="5">
        <f t="shared" ref="Q4166:Q4229" si="195">O4166/1.19</f>
        <v>83991.596638655465</v>
      </c>
      <c r="R4166" s="5">
        <f t="shared" ref="R4166:R4229" si="196">N4166*P4166</f>
        <v>48762</v>
      </c>
      <c r="S4166" s="5">
        <f t="shared" ref="S4166:S4229" si="197">Q4166-R4166</f>
        <v>35229.596638655465</v>
      </c>
    </row>
    <row r="4167" spans="1:19" hidden="1" x14ac:dyDescent="0.3">
      <c r="A4167">
        <v>170</v>
      </c>
      <c r="B4167" t="s">
        <v>4809</v>
      </c>
      <c r="C4167" t="s">
        <v>5512</v>
      </c>
      <c r="D4167" s="2" t="s">
        <v>5513</v>
      </c>
      <c r="E4167" t="s">
        <v>2933</v>
      </c>
      <c r="F4167" t="s">
        <v>20</v>
      </c>
      <c r="G4167" t="s">
        <v>338</v>
      </c>
      <c r="H4167">
        <v>25539</v>
      </c>
      <c r="I4167" t="s">
        <v>23</v>
      </c>
      <c r="J4167" t="s">
        <v>31</v>
      </c>
      <c r="K4167" s="2" t="s">
        <v>2093</v>
      </c>
      <c r="L4167" t="s">
        <v>26</v>
      </c>
      <c r="M4167">
        <v>337016</v>
      </c>
      <c r="N4167">
        <v>1</v>
      </c>
      <c r="O4167" s="3">
        <v>118950</v>
      </c>
      <c r="P4167" s="3">
        <v>46011</v>
      </c>
      <c r="Q4167" s="5">
        <f t="shared" si="195"/>
        <v>99957.983193277309</v>
      </c>
      <c r="R4167" s="5">
        <f t="shared" si="196"/>
        <v>46011</v>
      </c>
      <c r="S4167" s="5">
        <f t="shared" si="197"/>
        <v>53946.983193277309</v>
      </c>
    </row>
    <row r="4168" spans="1:19" hidden="1" x14ac:dyDescent="0.3">
      <c r="A4168">
        <v>170</v>
      </c>
      <c r="B4168" t="s">
        <v>4809</v>
      </c>
      <c r="C4168" t="s">
        <v>5514</v>
      </c>
      <c r="D4168" s="2" t="s">
        <v>5515</v>
      </c>
      <c r="E4168" t="s">
        <v>5516</v>
      </c>
      <c r="F4168" t="s">
        <v>377</v>
      </c>
      <c r="G4168" t="s">
        <v>21</v>
      </c>
      <c r="H4168" t="s">
        <v>378</v>
      </c>
      <c r="I4168" t="s">
        <v>23</v>
      </c>
      <c r="J4168" t="s">
        <v>2638</v>
      </c>
      <c r="K4168" s="2" t="s">
        <v>2093</v>
      </c>
      <c r="L4168" t="s">
        <v>26</v>
      </c>
      <c r="M4168">
        <v>337017</v>
      </c>
      <c r="N4168">
        <v>1</v>
      </c>
      <c r="O4168" s="3">
        <v>1950</v>
      </c>
      <c r="P4168">
        <v>801</v>
      </c>
      <c r="Q4168" s="5">
        <f t="shared" si="195"/>
        <v>1638.6554621848741</v>
      </c>
      <c r="R4168" s="5">
        <f t="shared" si="196"/>
        <v>801</v>
      </c>
      <c r="S4168" s="5">
        <f t="shared" si="197"/>
        <v>837.65546218487407</v>
      </c>
    </row>
    <row r="4169" spans="1:19" hidden="1" x14ac:dyDescent="0.3">
      <c r="A4169">
        <v>170</v>
      </c>
      <c r="B4169" t="s">
        <v>4809</v>
      </c>
      <c r="C4169" t="s">
        <v>3133</v>
      </c>
      <c r="D4169" s="2" t="s">
        <v>3134</v>
      </c>
      <c r="E4169" t="s">
        <v>3135</v>
      </c>
      <c r="F4169" t="s">
        <v>377</v>
      </c>
      <c r="G4169" t="s">
        <v>21</v>
      </c>
      <c r="H4169" t="s">
        <v>378</v>
      </c>
      <c r="I4169" t="s">
        <v>23</v>
      </c>
      <c r="J4169" t="s">
        <v>2638</v>
      </c>
      <c r="K4169" s="2" t="s">
        <v>2093</v>
      </c>
      <c r="L4169" t="s">
        <v>26</v>
      </c>
      <c r="M4169">
        <v>337017</v>
      </c>
      <c r="N4169">
        <v>1</v>
      </c>
      <c r="O4169" s="3">
        <v>3450</v>
      </c>
      <c r="P4169" s="3">
        <v>1410</v>
      </c>
      <c r="Q4169" s="5">
        <f t="shared" si="195"/>
        <v>2899.1596638655465</v>
      </c>
      <c r="R4169" s="5">
        <f t="shared" si="196"/>
        <v>1410</v>
      </c>
      <c r="S4169" s="5">
        <f t="shared" si="197"/>
        <v>1489.1596638655465</v>
      </c>
    </row>
    <row r="4170" spans="1:19" hidden="1" x14ac:dyDescent="0.3">
      <c r="A4170">
        <v>170</v>
      </c>
      <c r="B4170" t="s">
        <v>4809</v>
      </c>
      <c r="C4170" t="s">
        <v>5517</v>
      </c>
      <c r="D4170" s="2" t="s">
        <v>5518</v>
      </c>
      <c r="E4170" t="s">
        <v>2996</v>
      </c>
      <c r="F4170" t="s">
        <v>20</v>
      </c>
      <c r="G4170" t="s">
        <v>338</v>
      </c>
      <c r="H4170">
        <v>25823</v>
      </c>
      <c r="I4170" t="s">
        <v>23</v>
      </c>
      <c r="J4170" t="s">
        <v>35</v>
      </c>
      <c r="K4170" s="2" t="s">
        <v>2093</v>
      </c>
      <c r="L4170" t="s">
        <v>26</v>
      </c>
      <c r="M4170">
        <v>337018</v>
      </c>
      <c r="N4170">
        <v>1</v>
      </c>
      <c r="O4170" s="3">
        <v>99950</v>
      </c>
      <c r="P4170" s="3">
        <v>33748</v>
      </c>
      <c r="Q4170" s="5">
        <f t="shared" si="195"/>
        <v>83991.596638655465</v>
      </c>
      <c r="R4170" s="5">
        <f t="shared" si="196"/>
        <v>33748</v>
      </c>
      <c r="S4170" s="5">
        <f t="shared" si="197"/>
        <v>50243.596638655465</v>
      </c>
    </row>
    <row r="4171" spans="1:19" hidden="1" x14ac:dyDescent="0.3">
      <c r="A4171">
        <v>170</v>
      </c>
      <c r="B4171" t="s">
        <v>4809</v>
      </c>
      <c r="C4171" t="s">
        <v>1761</v>
      </c>
      <c r="D4171" s="2" t="s">
        <v>1762</v>
      </c>
      <c r="E4171" t="s">
        <v>1763</v>
      </c>
      <c r="F4171" t="s">
        <v>377</v>
      </c>
      <c r="G4171" t="s">
        <v>21</v>
      </c>
      <c r="H4171" t="s">
        <v>378</v>
      </c>
      <c r="I4171" t="s">
        <v>23</v>
      </c>
      <c r="J4171" t="s">
        <v>379</v>
      </c>
      <c r="K4171" s="2" t="s">
        <v>2093</v>
      </c>
      <c r="L4171" t="s">
        <v>26</v>
      </c>
      <c r="M4171">
        <v>337018</v>
      </c>
      <c r="N4171">
        <v>1</v>
      </c>
      <c r="O4171" s="3">
        <v>5950</v>
      </c>
      <c r="P4171" s="3">
        <v>3279</v>
      </c>
      <c r="Q4171" s="5">
        <f t="shared" si="195"/>
        <v>5000</v>
      </c>
      <c r="R4171" s="5">
        <f t="shared" si="196"/>
        <v>3279</v>
      </c>
      <c r="S4171" s="5">
        <f t="shared" si="197"/>
        <v>1721</v>
      </c>
    </row>
    <row r="4172" spans="1:19" hidden="1" x14ac:dyDescent="0.3">
      <c r="A4172">
        <v>170</v>
      </c>
      <c r="B4172" t="s">
        <v>4809</v>
      </c>
      <c r="C4172" t="s">
        <v>5519</v>
      </c>
      <c r="D4172" s="2" t="s">
        <v>5520</v>
      </c>
      <c r="E4172" t="s">
        <v>3219</v>
      </c>
      <c r="F4172" t="s">
        <v>20</v>
      </c>
      <c r="G4172" t="s">
        <v>21</v>
      </c>
      <c r="H4172" t="s">
        <v>1296</v>
      </c>
      <c r="I4172" t="s">
        <v>23</v>
      </c>
      <c r="J4172" t="s">
        <v>35</v>
      </c>
      <c r="K4172" s="2" t="s">
        <v>2093</v>
      </c>
      <c r="L4172" t="s">
        <v>26</v>
      </c>
      <c r="M4172">
        <v>337019</v>
      </c>
      <c r="N4172">
        <v>1</v>
      </c>
      <c r="O4172" s="3">
        <v>69990</v>
      </c>
      <c r="P4172" s="3">
        <v>34091</v>
      </c>
      <c r="Q4172" s="5">
        <f t="shared" si="195"/>
        <v>58815.126050420171</v>
      </c>
      <c r="R4172" s="5">
        <f t="shared" si="196"/>
        <v>34091</v>
      </c>
      <c r="S4172" s="5">
        <f t="shared" si="197"/>
        <v>24724.126050420171</v>
      </c>
    </row>
    <row r="4173" spans="1:19" hidden="1" x14ac:dyDescent="0.3">
      <c r="A4173">
        <v>170</v>
      </c>
      <c r="B4173" t="s">
        <v>4809</v>
      </c>
      <c r="C4173" t="s">
        <v>988</v>
      </c>
      <c r="D4173" s="2" t="s">
        <v>989</v>
      </c>
      <c r="E4173" t="s">
        <v>990</v>
      </c>
      <c r="F4173" t="s">
        <v>20</v>
      </c>
      <c r="G4173" t="s">
        <v>21</v>
      </c>
      <c r="H4173" t="s">
        <v>991</v>
      </c>
      <c r="I4173" t="s">
        <v>23</v>
      </c>
      <c r="J4173" t="s">
        <v>49</v>
      </c>
      <c r="K4173" s="2" t="s">
        <v>2093</v>
      </c>
      <c r="L4173" t="s">
        <v>26</v>
      </c>
      <c r="M4173">
        <v>337020</v>
      </c>
      <c r="N4173">
        <v>-1</v>
      </c>
      <c r="O4173" s="3">
        <v>-69950</v>
      </c>
      <c r="P4173" s="3">
        <v>22162</v>
      </c>
      <c r="Q4173" s="5">
        <f t="shared" si="195"/>
        <v>-58781.512605042022</v>
      </c>
      <c r="R4173" s="5">
        <f t="shared" si="196"/>
        <v>-22162</v>
      </c>
      <c r="S4173" s="5">
        <f t="shared" si="197"/>
        <v>-36619.512605042022</v>
      </c>
    </row>
    <row r="4174" spans="1:19" hidden="1" x14ac:dyDescent="0.3">
      <c r="A4174">
        <v>170</v>
      </c>
      <c r="B4174" t="s">
        <v>4809</v>
      </c>
      <c r="C4174" t="s">
        <v>3852</v>
      </c>
      <c r="D4174" s="2" t="s">
        <v>3853</v>
      </c>
      <c r="E4174" t="s">
        <v>990</v>
      </c>
      <c r="F4174" t="s">
        <v>20</v>
      </c>
      <c r="G4174" t="s">
        <v>21</v>
      </c>
      <c r="H4174" t="s">
        <v>991</v>
      </c>
      <c r="I4174" t="s">
        <v>23</v>
      </c>
      <c r="J4174" t="s">
        <v>49</v>
      </c>
      <c r="K4174" s="2" t="s">
        <v>2093</v>
      </c>
      <c r="L4174" t="s">
        <v>26</v>
      </c>
      <c r="M4174">
        <v>337020</v>
      </c>
      <c r="N4174">
        <v>1</v>
      </c>
      <c r="O4174" s="3">
        <v>69950</v>
      </c>
      <c r="P4174" s="3">
        <v>22162</v>
      </c>
      <c r="Q4174" s="5">
        <f t="shared" si="195"/>
        <v>58781.512605042022</v>
      </c>
      <c r="R4174" s="5">
        <f t="shared" si="196"/>
        <v>22162</v>
      </c>
      <c r="S4174" s="5">
        <f t="shared" si="197"/>
        <v>36619.512605042022</v>
      </c>
    </row>
    <row r="4175" spans="1:19" hidden="1" x14ac:dyDescent="0.3">
      <c r="A4175">
        <v>170</v>
      </c>
      <c r="B4175" t="s">
        <v>4809</v>
      </c>
      <c r="C4175" t="s">
        <v>3341</v>
      </c>
      <c r="D4175" s="2" t="s">
        <v>3342</v>
      </c>
      <c r="E4175" t="s">
        <v>2661</v>
      </c>
      <c r="F4175" t="s">
        <v>20</v>
      </c>
      <c r="G4175" t="s">
        <v>21</v>
      </c>
      <c r="H4175" t="s">
        <v>317</v>
      </c>
      <c r="I4175" t="s">
        <v>23</v>
      </c>
      <c r="J4175" t="s">
        <v>35</v>
      </c>
      <c r="K4175" s="2" t="s">
        <v>2093</v>
      </c>
      <c r="L4175" t="s">
        <v>26</v>
      </c>
      <c r="M4175">
        <v>337020</v>
      </c>
      <c r="N4175">
        <v>1</v>
      </c>
      <c r="O4175" s="3">
        <v>59450</v>
      </c>
      <c r="P4175" s="3">
        <v>25924</v>
      </c>
      <c r="Q4175" s="5">
        <f t="shared" si="195"/>
        <v>49957.983193277316</v>
      </c>
      <c r="R4175" s="5">
        <f t="shared" si="196"/>
        <v>25924</v>
      </c>
      <c r="S4175" s="5">
        <f t="shared" si="197"/>
        <v>24033.983193277316</v>
      </c>
    </row>
    <row r="4176" spans="1:19" hidden="1" x14ac:dyDescent="0.3">
      <c r="A4176">
        <v>170</v>
      </c>
      <c r="B4176" t="s">
        <v>4809</v>
      </c>
      <c r="C4176" t="s">
        <v>4769</v>
      </c>
      <c r="D4176" s="2" t="s">
        <v>4770</v>
      </c>
      <c r="E4176" t="s">
        <v>4771</v>
      </c>
      <c r="F4176" t="s">
        <v>20</v>
      </c>
      <c r="G4176" t="s">
        <v>338</v>
      </c>
      <c r="H4176">
        <v>85200</v>
      </c>
      <c r="I4176" t="s">
        <v>23</v>
      </c>
      <c r="J4176" t="s">
        <v>35</v>
      </c>
      <c r="K4176" s="2" t="s">
        <v>2093</v>
      </c>
      <c r="L4176" t="s">
        <v>26</v>
      </c>
      <c r="M4176">
        <v>337021</v>
      </c>
      <c r="N4176">
        <v>1</v>
      </c>
      <c r="O4176" s="3">
        <v>89950</v>
      </c>
      <c r="P4176" s="3">
        <v>27253</v>
      </c>
      <c r="Q4176" s="5">
        <f t="shared" si="195"/>
        <v>75588.23529411765</v>
      </c>
      <c r="R4176" s="5">
        <f t="shared" si="196"/>
        <v>27253</v>
      </c>
      <c r="S4176" s="5">
        <f t="shared" si="197"/>
        <v>48335.23529411765</v>
      </c>
    </row>
    <row r="4177" spans="1:19" hidden="1" x14ac:dyDescent="0.3">
      <c r="A4177">
        <v>170</v>
      </c>
      <c r="B4177" t="s">
        <v>4809</v>
      </c>
      <c r="C4177" t="s">
        <v>5521</v>
      </c>
      <c r="D4177" s="2" t="s">
        <v>5522</v>
      </c>
      <c r="E4177" t="s">
        <v>1151</v>
      </c>
      <c r="F4177" t="s">
        <v>20</v>
      </c>
      <c r="G4177" t="s">
        <v>338</v>
      </c>
      <c r="H4177">
        <v>25362</v>
      </c>
      <c r="I4177" t="s">
        <v>23</v>
      </c>
      <c r="J4177" t="s">
        <v>35</v>
      </c>
      <c r="K4177" s="2" t="s">
        <v>2093</v>
      </c>
      <c r="L4177" t="s">
        <v>26</v>
      </c>
      <c r="M4177">
        <v>337022</v>
      </c>
      <c r="N4177">
        <v>1</v>
      </c>
      <c r="O4177" s="3">
        <v>59990</v>
      </c>
      <c r="P4177" s="3">
        <v>23473</v>
      </c>
      <c r="Q4177" s="5">
        <f t="shared" si="195"/>
        <v>50411.764705882357</v>
      </c>
      <c r="R4177" s="5">
        <f t="shared" si="196"/>
        <v>23473</v>
      </c>
      <c r="S4177" s="5">
        <f t="shared" si="197"/>
        <v>26938.764705882357</v>
      </c>
    </row>
    <row r="4178" spans="1:19" hidden="1" x14ac:dyDescent="0.3">
      <c r="A4178">
        <v>170</v>
      </c>
      <c r="B4178" t="s">
        <v>4809</v>
      </c>
      <c r="C4178" t="s">
        <v>3477</v>
      </c>
      <c r="D4178" s="2" t="s">
        <v>3478</v>
      </c>
      <c r="E4178" t="s">
        <v>3479</v>
      </c>
      <c r="F4178" t="s">
        <v>377</v>
      </c>
      <c r="G4178" t="s">
        <v>21</v>
      </c>
      <c r="H4178" t="s">
        <v>378</v>
      </c>
      <c r="I4178" t="s">
        <v>23</v>
      </c>
      <c r="J4178" t="s">
        <v>379</v>
      </c>
      <c r="K4178" s="2" t="s">
        <v>2093</v>
      </c>
      <c r="L4178" t="s">
        <v>26</v>
      </c>
      <c r="M4178">
        <v>337023</v>
      </c>
      <c r="N4178">
        <v>1</v>
      </c>
      <c r="O4178" s="3">
        <v>5950</v>
      </c>
      <c r="P4178" s="3">
        <v>3311</v>
      </c>
      <c r="Q4178" s="5">
        <f t="shared" si="195"/>
        <v>5000</v>
      </c>
      <c r="R4178" s="5">
        <f t="shared" si="196"/>
        <v>3311</v>
      </c>
      <c r="S4178" s="5">
        <f t="shared" si="197"/>
        <v>1689</v>
      </c>
    </row>
    <row r="4179" spans="1:19" hidden="1" x14ac:dyDescent="0.3">
      <c r="A4179">
        <v>170</v>
      </c>
      <c r="B4179" t="s">
        <v>4809</v>
      </c>
      <c r="C4179" t="s">
        <v>4654</v>
      </c>
      <c r="D4179" s="2" t="s">
        <v>4655</v>
      </c>
      <c r="E4179" t="s">
        <v>2110</v>
      </c>
      <c r="F4179" t="s">
        <v>20</v>
      </c>
      <c r="G4179" t="s">
        <v>21</v>
      </c>
      <c r="H4179" t="s">
        <v>22</v>
      </c>
      <c r="I4179" t="s">
        <v>23</v>
      </c>
      <c r="J4179" t="s">
        <v>24</v>
      </c>
      <c r="K4179" s="2" t="s">
        <v>2093</v>
      </c>
      <c r="L4179" t="s">
        <v>26</v>
      </c>
      <c r="M4179">
        <v>337024</v>
      </c>
      <c r="N4179">
        <v>1</v>
      </c>
      <c r="O4179" s="3">
        <v>79950</v>
      </c>
      <c r="P4179" s="3">
        <v>27748</v>
      </c>
      <c r="Q4179" s="5">
        <f t="shared" si="195"/>
        <v>67184.873949579836</v>
      </c>
      <c r="R4179" s="5">
        <f t="shared" si="196"/>
        <v>27748</v>
      </c>
      <c r="S4179" s="5">
        <f t="shared" si="197"/>
        <v>39436.873949579836</v>
      </c>
    </row>
    <row r="4180" spans="1:19" hidden="1" x14ac:dyDescent="0.3">
      <c r="A4180">
        <v>170</v>
      </c>
      <c r="B4180" t="s">
        <v>4809</v>
      </c>
      <c r="C4180" t="s">
        <v>2931</v>
      </c>
      <c r="D4180" s="2" t="s">
        <v>2932</v>
      </c>
      <c r="E4180" t="s">
        <v>2933</v>
      </c>
      <c r="F4180" t="s">
        <v>20</v>
      </c>
      <c r="G4180" t="s">
        <v>338</v>
      </c>
      <c r="H4180">
        <v>25539</v>
      </c>
      <c r="I4180" t="s">
        <v>23</v>
      </c>
      <c r="J4180" t="s">
        <v>31</v>
      </c>
      <c r="K4180" s="2" t="s">
        <v>2093</v>
      </c>
      <c r="L4180" t="s">
        <v>26</v>
      </c>
      <c r="M4180">
        <v>337025</v>
      </c>
      <c r="N4180">
        <v>1</v>
      </c>
      <c r="O4180" s="3">
        <v>139950</v>
      </c>
      <c r="P4180" s="3">
        <v>46011</v>
      </c>
      <c r="Q4180" s="5">
        <f t="shared" si="195"/>
        <v>117605.04201680672</v>
      </c>
      <c r="R4180" s="5">
        <f t="shared" si="196"/>
        <v>46011</v>
      </c>
      <c r="S4180" s="5">
        <f t="shared" si="197"/>
        <v>71594.042016806721</v>
      </c>
    </row>
    <row r="4181" spans="1:19" hidden="1" x14ac:dyDescent="0.3">
      <c r="A4181">
        <v>170</v>
      </c>
      <c r="B4181" t="s">
        <v>4809</v>
      </c>
      <c r="C4181" t="s">
        <v>5523</v>
      </c>
      <c r="D4181" s="2" t="s">
        <v>5524</v>
      </c>
      <c r="E4181" t="s">
        <v>5332</v>
      </c>
      <c r="F4181" t="s">
        <v>20</v>
      </c>
      <c r="G4181" t="s">
        <v>338</v>
      </c>
      <c r="H4181">
        <v>25539</v>
      </c>
      <c r="I4181" t="s">
        <v>23</v>
      </c>
      <c r="J4181" t="s">
        <v>31</v>
      </c>
      <c r="K4181" s="2" t="s">
        <v>2093</v>
      </c>
      <c r="L4181" t="s">
        <v>26</v>
      </c>
      <c r="M4181">
        <v>337026</v>
      </c>
      <c r="N4181">
        <v>1</v>
      </c>
      <c r="O4181" s="3">
        <v>118950</v>
      </c>
      <c r="P4181" s="3">
        <v>46011</v>
      </c>
      <c r="Q4181" s="5">
        <f t="shared" si="195"/>
        <v>99957.983193277309</v>
      </c>
      <c r="R4181" s="5">
        <f t="shared" si="196"/>
        <v>46011</v>
      </c>
      <c r="S4181" s="5">
        <f t="shared" si="197"/>
        <v>53946.983193277309</v>
      </c>
    </row>
    <row r="4182" spans="1:19" hidden="1" x14ac:dyDescent="0.3">
      <c r="A4182">
        <v>170</v>
      </c>
      <c r="B4182" t="s">
        <v>4809</v>
      </c>
      <c r="C4182" t="s">
        <v>5525</v>
      </c>
      <c r="D4182" s="2" t="s">
        <v>5526</v>
      </c>
      <c r="E4182" t="s">
        <v>2185</v>
      </c>
      <c r="F4182" t="s">
        <v>20</v>
      </c>
      <c r="G4182" t="s">
        <v>21</v>
      </c>
      <c r="H4182" t="s">
        <v>614</v>
      </c>
      <c r="I4182" t="s">
        <v>23</v>
      </c>
      <c r="J4182" t="s">
        <v>40</v>
      </c>
      <c r="K4182" s="2" t="s">
        <v>2093</v>
      </c>
      <c r="L4182" t="s">
        <v>26</v>
      </c>
      <c r="M4182">
        <v>337027</v>
      </c>
      <c r="N4182">
        <v>1</v>
      </c>
      <c r="O4182" s="3">
        <v>44990</v>
      </c>
      <c r="P4182" s="3">
        <v>17653</v>
      </c>
      <c r="Q4182" s="5">
        <f t="shared" si="195"/>
        <v>37806.722689075636</v>
      </c>
      <c r="R4182" s="5">
        <f t="shared" si="196"/>
        <v>17653</v>
      </c>
      <c r="S4182" s="5">
        <f t="shared" si="197"/>
        <v>20153.722689075636</v>
      </c>
    </row>
    <row r="4183" spans="1:19" hidden="1" x14ac:dyDescent="0.3">
      <c r="A4183">
        <v>170</v>
      </c>
      <c r="B4183" t="s">
        <v>4809</v>
      </c>
      <c r="C4183" t="s">
        <v>5527</v>
      </c>
      <c r="D4183" s="2" t="s">
        <v>5528</v>
      </c>
      <c r="E4183" t="s">
        <v>3708</v>
      </c>
      <c r="F4183" t="s">
        <v>20</v>
      </c>
      <c r="G4183" t="s">
        <v>215</v>
      </c>
      <c r="H4183" t="s">
        <v>3709</v>
      </c>
      <c r="I4183" t="s">
        <v>23</v>
      </c>
      <c r="J4183" t="s">
        <v>35</v>
      </c>
      <c r="K4183" s="2" t="s">
        <v>2093</v>
      </c>
      <c r="L4183" t="s">
        <v>26</v>
      </c>
      <c r="M4183">
        <v>337028</v>
      </c>
      <c r="N4183">
        <v>1</v>
      </c>
      <c r="O4183" s="3">
        <v>84950</v>
      </c>
      <c r="P4183" s="3">
        <v>47276</v>
      </c>
      <c r="Q4183" s="5">
        <f t="shared" si="195"/>
        <v>71386.554621848743</v>
      </c>
      <c r="R4183" s="5">
        <f t="shared" si="196"/>
        <v>47276</v>
      </c>
      <c r="S4183" s="5">
        <f t="shared" si="197"/>
        <v>24110.554621848743</v>
      </c>
    </row>
    <row r="4184" spans="1:19" hidden="1" x14ac:dyDescent="0.3">
      <c r="A4184">
        <v>170</v>
      </c>
      <c r="B4184" t="s">
        <v>4809</v>
      </c>
      <c r="C4184" t="s">
        <v>3173</v>
      </c>
      <c r="D4184" s="2" t="s">
        <v>3174</v>
      </c>
      <c r="E4184" t="s">
        <v>3175</v>
      </c>
      <c r="F4184" t="s">
        <v>20</v>
      </c>
      <c r="G4184" t="s">
        <v>21</v>
      </c>
      <c r="H4184" t="s">
        <v>625</v>
      </c>
      <c r="I4184" t="s">
        <v>23</v>
      </c>
      <c r="J4184" t="s">
        <v>35</v>
      </c>
      <c r="K4184" s="2" t="s">
        <v>2149</v>
      </c>
      <c r="L4184" t="s">
        <v>26</v>
      </c>
      <c r="M4184">
        <v>337029</v>
      </c>
      <c r="N4184">
        <v>-1</v>
      </c>
      <c r="O4184" s="3">
        <v>-49990</v>
      </c>
      <c r="P4184" s="3">
        <v>24956</v>
      </c>
      <c r="Q4184" s="5">
        <f t="shared" si="195"/>
        <v>-42008.403361344543</v>
      </c>
      <c r="R4184" s="5">
        <f t="shared" si="196"/>
        <v>-24956</v>
      </c>
      <c r="S4184" s="5">
        <f t="shared" si="197"/>
        <v>-17052.403361344543</v>
      </c>
    </row>
    <row r="4185" spans="1:19" hidden="1" x14ac:dyDescent="0.3">
      <c r="A4185">
        <v>170</v>
      </c>
      <c r="B4185" t="s">
        <v>4809</v>
      </c>
      <c r="C4185" t="s">
        <v>5529</v>
      </c>
      <c r="D4185" s="2" t="s">
        <v>5530</v>
      </c>
      <c r="E4185" t="s">
        <v>3175</v>
      </c>
      <c r="F4185" t="s">
        <v>20</v>
      </c>
      <c r="G4185" t="s">
        <v>21</v>
      </c>
      <c r="H4185" t="s">
        <v>625</v>
      </c>
      <c r="I4185" t="s">
        <v>23</v>
      </c>
      <c r="J4185" t="s">
        <v>35</v>
      </c>
      <c r="K4185" s="2" t="s">
        <v>2149</v>
      </c>
      <c r="L4185" t="s">
        <v>26</v>
      </c>
      <c r="M4185">
        <v>337029</v>
      </c>
      <c r="N4185">
        <v>1</v>
      </c>
      <c r="O4185" s="3">
        <v>49991</v>
      </c>
      <c r="P4185" s="3">
        <v>24956</v>
      </c>
      <c r="Q4185" s="5">
        <f t="shared" si="195"/>
        <v>42009.243697478996</v>
      </c>
      <c r="R4185" s="5">
        <f t="shared" si="196"/>
        <v>24956</v>
      </c>
      <c r="S4185" s="5">
        <f t="shared" si="197"/>
        <v>17053.243697478996</v>
      </c>
    </row>
    <row r="4186" spans="1:19" hidden="1" x14ac:dyDescent="0.3">
      <c r="A4186">
        <v>170</v>
      </c>
      <c r="B4186" t="s">
        <v>4809</v>
      </c>
      <c r="C4186" t="s">
        <v>3396</v>
      </c>
      <c r="D4186" s="2" t="s">
        <v>3397</v>
      </c>
      <c r="E4186" t="s">
        <v>494</v>
      </c>
      <c r="F4186" t="s">
        <v>20</v>
      </c>
      <c r="G4186" t="s">
        <v>21</v>
      </c>
      <c r="H4186" t="s">
        <v>317</v>
      </c>
      <c r="I4186" t="s">
        <v>23</v>
      </c>
      <c r="J4186" t="s">
        <v>35</v>
      </c>
      <c r="K4186" s="2" t="s">
        <v>2149</v>
      </c>
      <c r="L4186" t="s">
        <v>26</v>
      </c>
      <c r="M4186">
        <v>337030</v>
      </c>
      <c r="N4186">
        <v>1</v>
      </c>
      <c r="O4186" s="3">
        <v>69950</v>
      </c>
      <c r="P4186" s="3">
        <v>23619</v>
      </c>
      <c r="Q4186" s="5">
        <f t="shared" si="195"/>
        <v>58781.512605042022</v>
      </c>
      <c r="R4186" s="5">
        <f t="shared" si="196"/>
        <v>23619</v>
      </c>
      <c r="S4186" s="5">
        <f t="shared" si="197"/>
        <v>35162.512605042022</v>
      </c>
    </row>
    <row r="4187" spans="1:19" hidden="1" x14ac:dyDescent="0.3">
      <c r="A4187">
        <v>170</v>
      </c>
      <c r="B4187" t="s">
        <v>4809</v>
      </c>
      <c r="C4187" t="s">
        <v>3667</v>
      </c>
      <c r="D4187" s="2" t="s">
        <v>3668</v>
      </c>
      <c r="E4187" t="s">
        <v>3669</v>
      </c>
      <c r="F4187" t="s">
        <v>20</v>
      </c>
      <c r="G4187" t="s">
        <v>21</v>
      </c>
      <c r="H4187" t="s">
        <v>2593</v>
      </c>
      <c r="I4187" t="s">
        <v>23</v>
      </c>
      <c r="J4187" t="s">
        <v>35</v>
      </c>
      <c r="K4187" s="2" t="s">
        <v>2149</v>
      </c>
      <c r="L4187" t="s">
        <v>26</v>
      </c>
      <c r="M4187">
        <v>337031</v>
      </c>
      <c r="N4187">
        <v>1</v>
      </c>
      <c r="O4187" s="3">
        <v>94950</v>
      </c>
      <c r="P4187" s="3">
        <v>34760</v>
      </c>
      <c r="Q4187" s="5">
        <f t="shared" si="195"/>
        <v>79789.915966386558</v>
      </c>
      <c r="R4187" s="5">
        <f t="shared" si="196"/>
        <v>34760</v>
      </c>
      <c r="S4187" s="5">
        <f t="shared" si="197"/>
        <v>45029.915966386558</v>
      </c>
    </row>
    <row r="4188" spans="1:19" hidden="1" x14ac:dyDescent="0.3">
      <c r="A4188">
        <v>170</v>
      </c>
      <c r="B4188" t="s">
        <v>4809</v>
      </c>
      <c r="C4188" t="s">
        <v>2835</v>
      </c>
      <c r="D4188" s="2" t="s">
        <v>2836</v>
      </c>
      <c r="E4188" t="s">
        <v>2837</v>
      </c>
      <c r="F4188" t="s">
        <v>20</v>
      </c>
      <c r="G4188" t="s">
        <v>21</v>
      </c>
      <c r="H4188" t="s">
        <v>272</v>
      </c>
      <c r="I4188" t="s">
        <v>23</v>
      </c>
      <c r="J4188" t="s">
        <v>40</v>
      </c>
      <c r="K4188" s="2" t="s">
        <v>2149</v>
      </c>
      <c r="L4188" t="s">
        <v>26</v>
      </c>
      <c r="M4188">
        <v>337032</v>
      </c>
      <c r="N4188">
        <v>1</v>
      </c>
      <c r="O4188" s="3">
        <v>59990</v>
      </c>
      <c r="P4188" s="3">
        <v>26157</v>
      </c>
      <c r="Q4188" s="5">
        <f t="shared" si="195"/>
        <v>50411.764705882357</v>
      </c>
      <c r="R4188" s="5">
        <f t="shared" si="196"/>
        <v>26157</v>
      </c>
      <c r="S4188" s="5">
        <f t="shared" si="197"/>
        <v>24254.764705882357</v>
      </c>
    </row>
    <row r="4189" spans="1:19" hidden="1" x14ac:dyDescent="0.3">
      <c r="A4189">
        <v>170</v>
      </c>
      <c r="B4189" t="s">
        <v>4809</v>
      </c>
      <c r="C4189" t="s">
        <v>5531</v>
      </c>
      <c r="D4189" s="2" t="s">
        <v>5532</v>
      </c>
      <c r="E4189" t="s">
        <v>2533</v>
      </c>
      <c r="F4189" t="s">
        <v>20</v>
      </c>
      <c r="G4189" t="s">
        <v>21</v>
      </c>
      <c r="H4189" t="s">
        <v>500</v>
      </c>
      <c r="I4189" t="s">
        <v>23</v>
      </c>
      <c r="J4189" t="s">
        <v>40</v>
      </c>
      <c r="K4189" s="2" t="s">
        <v>2149</v>
      </c>
      <c r="L4189" t="s">
        <v>26</v>
      </c>
      <c r="M4189">
        <v>337033</v>
      </c>
      <c r="N4189">
        <v>1</v>
      </c>
      <c r="O4189" s="3">
        <v>49990</v>
      </c>
      <c r="P4189" s="3">
        <v>20043</v>
      </c>
      <c r="Q4189" s="5">
        <f t="shared" si="195"/>
        <v>42008.403361344543</v>
      </c>
      <c r="R4189" s="5">
        <f t="shared" si="196"/>
        <v>20043</v>
      </c>
      <c r="S4189" s="5">
        <f t="shared" si="197"/>
        <v>21965.403361344543</v>
      </c>
    </row>
    <row r="4190" spans="1:19" hidden="1" x14ac:dyDescent="0.3">
      <c r="A4190">
        <v>170</v>
      </c>
      <c r="B4190" t="s">
        <v>4809</v>
      </c>
      <c r="C4190" t="s">
        <v>5533</v>
      </c>
      <c r="D4190" s="2" t="s">
        <v>5534</v>
      </c>
      <c r="E4190" t="s">
        <v>5332</v>
      </c>
      <c r="F4190" t="s">
        <v>20</v>
      </c>
      <c r="G4190" t="s">
        <v>338</v>
      </c>
      <c r="H4190">
        <v>25539</v>
      </c>
      <c r="I4190" t="s">
        <v>23</v>
      </c>
      <c r="J4190" t="s">
        <v>31</v>
      </c>
      <c r="K4190" s="2" t="s">
        <v>2149</v>
      </c>
      <c r="L4190" t="s">
        <v>26</v>
      </c>
      <c r="M4190">
        <v>337034</v>
      </c>
      <c r="N4190">
        <v>1</v>
      </c>
      <c r="O4190" s="3">
        <v>139950</v>
      </c>
      <c r="P4190" s="3">
        <v>46011</v>
      </c>
      <c r="Q4190" s="5">
        <f t="shared" si="195"/>
        <v>117605.04201680672</v>
      </c>
      <c r="R4190" s="5">
        <f t="shared" si="196"/>
        <v>46011</v>
      </c>
      <c r="S4190" s="5">
        <f t="shared" si="197"/>
        <v>71594.042016806721</v>
      </c>
    </row>
    <row r="4191" spans="1:19" hidden="1" x14ac:dyDescent="0.3">
      <c r="A4191">
        <v>170</v>
      </c>
      <c r="B4191" t="s">
        <v>4809</v>
      </c>
      <c r="C4191" t="s">
        <v>2135</v>
      </c>
      <c r="D4191" s="2" t="s">
        <v>2136</v>
      </c>
      <c r="E4191" t="s">
        <v>1620</v>
      </c>
      <c r="F4191" t="s">
        <v>20</v>
      </c>
      <c r="G4191" t="s">
        <v>21</v>
      </c>
      <c r="H4191" t="s">
        <v>673</v>
      </c>
      <c r="I4191" t="s">
        <v>23</v>
      </c>
      <c r="J4191" t="s">
        <v>35</v>
      </c>
      <c r="K4191" s="2" t="s">
        <v>2149</v>
      </c>
      <c r="L4191" t="s">
        <v>26</v>
      </c>
      <c r="M4191">
        <v>337035</v>
      </c>
      <c r="N4191">
        <v>1</v>
      </c>
      <c r="O4191" s="3">
        <v>69990</v>
      </c>
      <c r="P4191" s="3">
        <v>37735</v>
      </c>
      <c r="Q4191" s="5">
        <f t="shared" si="195"/>
        <v>58815.126050420171</v>
      </c>
      <c r="R4191" s="5">
        <f t="shared" si="196"/>
        <v>37735</v>
      </c>
      <c r="S4191" s="5">
        <f t="shared" si="197"/>
        <v>21080.126050420171</v>
      </c>
    </row>
    <row r="4192" spans="1:19" hidden="1" x14ac:dyDescent="0.3">
      <c r="A4192">
        <v>170</v>
      </c>
      <c r="B4192" t="s">
        <v>4809</v>
      </c>
      <c r="C4192">
        <v>1687976791</v>
      </c>
      <c r="D4192" s="2" t="s">
        <v>200</v>
      </c>
      <c r="E4192" t="s">
        <v>201</v>
      </c>
      <c r="F4192" t="s">
        <v>201</v>
      </c>
      <c r="G4192" t="s">
        <v>202</v>
      </c>
      <c r="H4192" t="s">
        <v>202</v>
      </c>
      <c r="I4192" t="s">
        <v>23</v>
      </c>
      <c r="J4192" t="s">
        <v>202</v>
      </c>
      <c r="K4192" s="2" t="s">
        <v>2149</v>
      </c>
      <c r="L4192" t="s">
        <v>26</v>
      </c>
      <c r="M4192">
        <v>337035</v>
      </c>
      <c r="N4192">
        <v>1</v>
      </c>
      <c r="O4192">
        <v>1</v>
      </c>
      <c r="P4192">
        <v>1</v>
      </c>
      <c r="Q4192" s="5">
        <f t="shared" si="195"/>
        <v>0.84033613445378152</v>
      </c>
      <c r="R4192" s="5">
        <f t="shared" si="196"/>
        <v>1</v>
      </c>
      <c r="S4192" s="5">
        <f t="shared" si="197"/>
        <v>-0.15966386554621848</v>
      </c>
    </row>
    <row r="4193" spans="1:19" hidden="1" x14ac:dyDescent="0.3">
      <c r="A4193">
        <v>170</v>
      </c>
      <c r="B4193" t="s">
        <v>4809</v>
      </c>
      <c r="C4193" t="s">
        <v>5535</v>
      </c>
      <c r="D4193" s="2" t="s">
        <v>5536</v>
      </c>
      <c r="E4193" t="s">
        <v>4226</v>
      </c>
      <c r="F4193" t="s">
        <v>20</v>
      </c>
      <c r="G4193" t="s">
        <v>21</v>
      </c>
      <c r="H4193" t="s">
        <v>2189</v>
      </c>
      <c r="I4193" t="s">
        <v>23</v>
      </c>
      <c r="J4193" t="s">
        <v>40</v>
      </c>
      <c r="K4193" s="2" t="s">
        <v>2149</v>
      </c>
      <c r="L4193" t="s">
        <v>26</v>
      </c>
      <c r="M4193">
        <v>337036</v>
      </c>
      <c r="N4193">
        <v>1</v>
      </c>
      <c r="O4193" s="3">
        <v>74950</v>
      </c>
      <c r="P4193" s="3">
        <v>27730</v>
      </c>
      <c r="Q4193" s="5">
        <f t="shared" si="195"/>
        <v>62983.193277310929</v>
      </c>
      <c r="R4193" s="5">
        <f t="shared" si="196"/>
        <v>27730</v>
      </c>
      <c r="S4193" s="5">
        <f t="shared" si="197"/>
        <v>35253.193277310929</v>
      </c>
    </row>
    <row r="4194" spans="1:19" hidden="1" x14ac:dyDescent="0.3">
      <c r="A4194">
        <v>170</v>
      </c>
      <c r="B4194" t="s">
        <v>4809</v>
      </c>
      <c r="C4194" t="s">
        <v>2971</v>
      </c>
      <c r="D4194" s="2" t="s">
        <v>2972</v>
      </c>
      <c r="E4194" t="s">
        <v>2301</v>
      </c>
      <c r="F4194" t="s">
        <v>20</v>
      </c>
      <c r="G4194" t="s">
        <v>21</v>
      </c>
      <c r="H4194" t="s">
        <v>1124</v>
      </c>
      <c r="I4194" t="s">
        <v>23</v>
      </c>
      <c r="J4194" t="s">
        <v>24</v>
      </c>
      <c r="K4194" s="2" t="s">
        <v>2149</v>
      </c>
      <c r="L4194" t="s">
        <v>26</v>
      </c>
      <c r="M4194">
        <v>337037</v>
      </c>
      <c r="N4194">
        <v>1</v>
      </c>
      <c r="O4194" s="3">
        <v>74950</v>
      </c>
      <c r="P4194" s="3">
        <v>25834</v>
      </c>
      <c r="Q4194" s="5">
        <f t="shared" si="195"/>
        <v>62983.193277310929</v>
      </c>
      <c r="R4194" s="5">
        <f t="shared" si="196"/>
        <v>25834</v>
      </c>
      <c r="S4194" s="5">
        <f t="shared" si="197"/>
        <v>37149.193277310929</v>
      </c>
    </row>
    <row r="4195" spans="1:19" hidden="1" x14ac:dyDescent="0.3">
      <c r="A4195">
        <v>170</v>
      </c>
      <c r="B4195" t="s">
        <v>4809</v>
      </c>
      <c r="C4195" t="s">
        <v>5537</v>
      </c>
      <c r="D4195" s="2" t="s">
        <v>5538</v>
      </c>
      <c r="E4195" t="s">
        <v>1494</v>
      </c>
      <c r="F4195" t="s">
        <v>20</v>
      </c>
      <c r="G4195" t="s">
        <v>338</v>
      </c>
      <c r="H4195">
        <v>23763</v>
      </c>
      <c r="I4195" t="s">
        <v>23</v>
      </c>
      <c r="J4195" t="s">
        <v>40</v>
      </c>
      <c r="K4195" s="2" t="s">
        <v>2149</v>
      </c>
      <c r="L4195" t="s">
        <v>26</v>
      </c>
      <c r="M4195">
        <v>337038</v>
      </c>
      <c r="N4195">
        <v>1</v>
      </c>
      <c r="O4195" s="3">
        <v>59950</v>
      </c>
      <c r="P4195" s="3">
        <v>19813</v>
      </c>
      <c r="Q4195" s="5">
        <f t="shared" si="195"/>
        <v>50378.151260504201</v>
      </c>
      <c r="R4195" s="5">
        <f t="shared" si="196"/>
        <v>19813</v>
      </c>
      <c r="S4195" s="5">
        <f t="shared" si="197"/>
        <v>30565.151260504201</v>
      </c>
    </row>
    <row r="4196" spans="1:19" hidden="1" x14ac:dyDescent="0.3">
      <c r="A4196">
        <v>170</v>
      </c>
      <c r="B4196" t="s">
        <v>4809</v>
      </c>
      <c r="C4196" t="s">
        <v>3935</v>
      </c>
      <c r="D4196" s="2" t="s">
        <v>3936</v>
      </c>
      <c r="E4196" t="s">
        <v>1330</v>
      </c>
      <c r="F4196" t="s">
        <v>20</v>
      </c>
      <c r="G4196" t="s">
        <v>338</v>
      </c>
      <c r="H4196">
        <v>25133</v>
      </c>
      <c r="I4196" t="s">
        <v>23</v>
      </c>
      <c r="J4196" t="s">
        <v>35</v>
      </c>
      <c r="K4196" s="2" t="s">
        <v>2149</v>
      </c>
      <c r="L4196" t="s">
        <v>26</v>
      </c>
      <c r="M4196">
        <v>337038</v>
      </c>
      <c r="N4196">
        <v>1</v>
      </c>
      <c r="O4196" s="3">
        <v>63700</v>
      </c>
      <c r="P4196" s="3">
        <v>21167</v>
      </c>
      <c r="Q4196" s="5">
        <f t="shared" si="195"/>
        <v>53529.411764705888</v>
      </c>
      <c r="R4196" s="5">
        <f t="shared" si="196"/>
        <v>21167</v>
      </c>
      <c r="S4196" s="5">
        <f t="shared" si="197"/>
        <v>32362.411764705888</v>
      </c>
    </row>
    <row r="4197" spans="1:19" hidden="1" x14ac:dyDescent="0.3">
      <c r="A4197">
        <v>170</v>
      </c>
      <c r="B4197" t="s">
        <v>4809</v>
      </c>
      <c r="C4197" t="s">
        <v>2083</v>
      </c>
      <c r="D4197" s="2" t="s">
        <v>2084</v>
      </c>
      <c r="E4197" t="s">
        <v>2085</v>
      </c>
      <c r="F4197" t="s">
        <v>20</v>
      </c>
      <c r="G4197" t="s">
        <v>21</v>
      </c>
      <c r="H4197" t="s">
        <v>870</v>
      </c>
      <c r="I4197" t="s">
        <v>23</v>
      </c>
      <c r="J4197" t="s">
        <v>49</v>
      </c>
      <c r="K4197" s="2" t="s">
        <v>2149</v>
      </c>
      <c r="L4197" t="s">
        <v>26</v>
      </c>
      <c r="M4197">
        <v>337039</v>
      </c>
      <c r="N4197">
        <v>1</v>
      </c>
      <c r="O4197" s="3">
        <v>39990</v>
      </c>
      <c r="P4197" s="3">
        <v>22955</v>
      </c>
      <c r="Q4197" s="5">
        <f t="shared" si="195"/>
        <v>33605.042016806721</v>
      </c>
      <c r="R4197" s="5">
        <f t="shared" si="196"/>
        <v>22955</v>
      </c>
      <c r="S4197" s="5">
        <f t="shared" si="197"/>
        <v>10650.042016806721</v>
      </c>
    </row>
    <row r="4198" spans="1:19" hidden="1" x14ac:dyDescent="0.3">
      <c r="A4198">
        <v>170</v>
      </c>
      <c r="B4198" t="s">
        <v>4809</v>
      </c>
      <c r="C4198" t="s">
        <v>5423</v>
      </c>
      <c r="D4198" s="2" t="s">
        <v>5424</v>
      </c>
      <c r="E4198" t="s">
        <v>4577</v>
      </c>
      <c r="F4198" t="s">
        <v>20</v>
      </c>
      <c r="G4198" t="s">
        <v>338</v>
      </c>
      <c r="H4198">
        <v>23724</v>
      </c>
      <c r="I4198" t="s">
        <v>23</v>
      </c>
      <c r="J4198" t="s">
        <v>40</v>
      </c>
      <c r="K4198" s="2" t="s">
        <v>2149</v>
      </c>
      <c r="L4198" t="s">
        <v>26</v>
      </c>
      <c r="M4198">
        <v>337040</v>
      </c>
      <c r="N4198">
        <v>1</v>
      </c>
      <c r="O4198" s="3">
        <v>79950</v>
      </c>
      <c r="P4198" s="3">
        <v>26332</v>
      </c>
      <c r="Q4198" s="5">
        <f t="shared" si="195"/>
        <v>67184.873949579836</v>
      </c>
      <c r="R4198" s="5">
        <f t="shared" si="196"/>
        <v>26332</v>
      </c>
      <c r="S4198" s="5">
        <f t="shared" si="197"/>
        <v>40852.873949579836</v>
      </c>
    </row>
    <row r="4199" spans="1:19" hidden="1" x14ac:dyDescent="0.3">
      <c r="A4199">
        <v>170</v>
      </c>
      <c r="B4199" t="s">
        <v>4809</v>
      </c>
      <c r="C4199" t="s">
        <v>649</v>
      </c>
      <c r="D4199" s="2" t="s">
        <v>650</v>
      </c>
      <c r="E4199" t="s">
        <v>651</v>
      </c>
      <c r="F4199" t="s">
        <v>20</v>
      </c>
      <c r="G4199" t="s">
        <v>21</v>
      </c>
      <c r="H4199" t="s">
        <v>65</v>
      </c>
      <c r="I4199" t="s">
        <v>23</v>
      </c>
      <c r="J4199" t="s">
        <v>49</v>
      </c>
      <c r="K4199" s="2" t="s">
        <v>2192</v>
      </c>
      <c r="L4199" t="s">
        <v>2249</v>
      </c>
      <c r="M4199">
        <v>25394</v>
      </c>
      <c r="N4199">
        <v>-1</v>
      </c>
      <c r="O4199" s="3">
        <v>-39990</v>
      </c>
      <c r="P4199" s="3">
        <v>16644</v>
      </c>
      <c r="Q4199" s="5">
        <f t="shared" si="195"/>
        <v>-33605.042016806721</v>
      </c>
      <c r="R4199" s="5">
        <f t="shared" si="196"/>
        <v>-16644</v>
      </c>
      <c r="S4199" s="5">
        <f t="shared" si="197"/>
        <v>-16961.042016806721</v>
      </c>
    </row>
    <row r="4200" spans="1:19" hidden="1" x14ac:dyDescent="0.3">
      <c r="A4200">
        <v>170</v>
      </c>
      <c r="B4200" t="s">
        <v>4809</v>
      </c>
      <c r="C4200" t="s">
        <v>4028</v>
      </c>
      <c r="D4200" s="2" t="s">
        <v>4029</v>
      </c>
      <c r="E4200" t="s">
        <v>2160</v>
      </c>
      <c r="F4200" t="s">
        <v>20</v>
      </c>
      <c r="G4200" t="s">
        <v>21</v>
      </c>
      <c r="H4200" t="s">
        <v>970</v>
      </c>
      <c r="I4200" t="s">
        <v>23</v>
      </c>
      <c r="J4200" t="s">
        <v>40</v>
      </c>
      <c r="K4200" s="2" t="s">
        <v>2192</v>
      </c>
      <c r="L4200" t="s">
        <v>26</v>
      </c>
      <c r="M4200">
        <v>337041</v>
      </c>
      <c r="N4200">
        <v>1</v>
      </c>
      <c r="O4200" s="3">
        <v>49990</v>
      </c>
      <c r="P4200" s="3">
        <v>18249</v>
      </c>
      <c r="Q4200" s="5">
        <f t="shared" si="195"/>
        <v>42008.403361344543</v>
      </c>
      <c r="R4200" s="5">
        <f t="shared" si="196"/>
        <v>18249</v>
      </c>
      <c r="S4200" s="5">
        <f t="shared" si="197"/>
        <v>23759.403361344543</v>
      </c>
    </row>
    <row r="4201" spans="1:19" hidden="1" x14ac:dyDescent="0.3">
      <c r="A4201">
        <v>170</v>
      </c>
      <c r="B4201" t="s">
        <v>4809</v>
      </c>
      <c r="C4201" t="s">
        <v>3294</v>
      </c>
      <c r="D4201" s="2" t="s">
        <v>3295</v>
      </c>
      <c r="E4201" t="s">
        <v>3296</v>
      </c>
      <c r="F4201" t="s">
        <v>377</v>
      </c>
      <c r="G4201" t="s">
        <v>21</v>
      </c>
      <c r="H4201" t="s">
        <v>378</v>
      </c>
      <c r="I4201" t="s">
        <v>23</v>
      </c>
      <c r="J4201" t="s">
        <v>3297</v>
      </c>
      <c r="K4201" s="2" t="s">
        <v>2192</v>
      </c>
      <c r="L4201" t="s">
        <v>26</v>
      </c>
      <c r="M4201">
        <v>337041</v>
      </c>
      <c r="N4201">
        <v>1</v>
      </c>
      <c r="O4201">
        <v>500</v>
      </c>
      <c r="P4201">
        <v>358</v>
      </c>
      <c r="Q4201" s="5">
        <f t="shared" si="195"/>
        <v>420.1680672268908</v>
      </c>
      <c r="R4201" s="5">
        <f t="shared" si="196"/>
        <v>358</v>
      </c>
      <c r="S4201" s="5">
        <f t="shared" si="197"/>
        <v>62.168067226890798</v>
      </c>
    </row>
    <row r="4202" spans="1:19" hidden="1" x14ac:dyDescent="0.3">
      <c r="A4202">
        <v>170</v>
      </c>
      <c r="B4202" t="s">
        <v>4809</v>
      </c>
      <c r="C4202" t="s">
        <v>2000</v>
      </c>
      <c r="D4202" s="2" t="s">
        <v>2001</v>
      </c>
      <c r="E4202" t="s">
        <v>2002</v>
      </c>
      <c r="F4202" t="s">
        <v>20</v>
      </c>
      <c r="G4202" t="s">
        <v>338</v>
      </c>
      <c r="H4202">
        <v>25026</v>
      </c>
      <c r="I4202" t="s">
        <v>23</v>
      </c>
      <c r="J4202" t="s">
        <v>35</v>
      </c>
      <c r="K4202" s="2" t="s">
        <v>2192</v>
      </c>
      <c r="L4202" t="s">
        <v>26</v>
      </c>
      <c r="M4202">
        <v>337042</v>
      </c>
      <c r="N4202">
        <v>1</v>
      </c>
      <c r="O4202" s="3">
        <v>89950</v>
      </c>
      <c r="P4202" s="3">
        <v>28454</v>
      </c>
      <c r="Q4202" s="5">
        <f t="shared" si="195"/>
        <v>75588.23529411765</v>
      </c>
      <c r="R4202" s="5">
        <f t="shared" si="196"/>
        <v>28454</v>
      </c>
      <c r="S4202" s="5">
        <f t="shared" si="197"/>
        <v>47134.23529411765</v>
      </c>
    </row>
    <row r="4203" spans="1:19" hidden="1" x14ac:dyDescent="0.3">
      <c r="A4203">
        <v>170</v>
      </c>
      <c r="B4203" t="s">
        <v>4809</v>
      </c>
      <c r="C4203" t="s">
        <v>1756</v>
      </c>
      <c r="D4203" s="2" t="s">
        <v>1757</v>
      </c>
      <c r="E4203" t="s">
        <v>1758</v>
      </c>
      <c r="F4203" t="s">
        <v>20</v>
      </c>
      <c r="G4203" t="s">
        <v>338</v>
      </c>
      <c r="H4203">
        <v>25133</v>
      </c>
      <c r="I4203" t="s">
        <v>23</v>
      </c>
      <c r="J4203" t="s">
        <v>35</v>
      </c>
      <c r="K4203" s="2" t="s">
        <v>2192</v>
      </c>
      <c r="L4203" t="s">
        <v>26</v>
      </c>
      <c r="M4203">
        <v>337043</v>
      </c>
      <c r="N4203">
        <v>1</v>
      </c>
      <c r="O4203" s="3">
        <v>74950</v>
      </c>
      <c r="P4203" s="3">
        <v>21167</v>
      </c>
      <c r="Q4203" s="5">
        <f t="shared" si="195"/>
        <v>62983.193277310929</v>
      </c>
      <c r="R4203" s="5">
        <f t="shared" si="196"/>
        <v>21167</v>
      </c>
      <c r="S4203" s="5">
        <f t="shared" si="197"/>
        <v>41816.193277310929</v>
      </c>
    </row>
    <row r="4204" spans="1:19" hidden="1" x14ac:dyDescent="0.3">
      <c r="A4204">
        <v>170</v>
      </c>
      <c r="B4204" t="s">
        <v>4809</v>
      </c>
      <c r="C4204" t="s">
        <v>3294</v>
      </c>
      <c r="D4204" s="2" t="s">
        <v>3295</v>
      </c>
      <c r="E4204" t="s">
        <v>3296</v>
      </c>
      <c r="F4204" t="s">
        <v>377</v>
      </c>
      <c r="G4204" t="s">
        <v>21</v>
      </c>
      <c r="H4204" t="s">
        <v>378</v>
      </c>
      <c r="I4204" t="s">
        <v>23</v>
      </c>
      <c r="J4204" t="s">
        <v>3297</v>
      </c>
      <c r="K4204" s="2" t="s">
        <v>2192</v>
      </c>
      <c r="L4204" t="s">
        <v>26</v>
      </c>
      <c r="M4204">
        <v>337043</v>
      </c>
      <c r="N4204">
        <v>1</v>
      </c>
      <c r="O4204">
        <v>500</v>
      </c>
      <c r="P4204">
        <v>358</v>
      </c>
      <c r="Q4204" s="5">
        <f t="shared" si="195"/>
        <v>420.1680672268908</v>
      </c>
      <c r="R4204" s="5">
        <f t="shared" si="196"/>
        <v>358</v>
      </c>
      <c r="S4204" s="5">
        <f t="shared" si="197"/>
        <v>62.168067226890798</v>
      </c>
    </row>
    <row r="4205" spans="1:19" hidden="1" x14ac:dyDescent="0.3">
      <c r="A4205">
        <v>170</v>
      </c>
      <c r="B4205" t="s">
        <v>4809</v>
      </c>
      <c r="C4205" t="s">
        <v>3317</v>
      </c>
      <c r="D4205" s="2" t="s">
        <v>3318</v>
      </c>
      <c r="E4205" t="s">
        <v>2810</v>
      </c>
      <c r="F4205" t="s">
        <v>20</v>
      </c>
      <c r="G4205" t="s">
        <v>21</v>
      </c>
      <c r="H4205" t="s">
        <v>1987</v>
      </c>
      <c r="I4205" t="s">
        <v>23</v>
      </c>
      <c r="J4205" t="s">
        <v>35</v>
      </c>
      <c r="K4205" s="2" t="s">
        <v>2192</v>
      </c>
      <c r="L4205" t="s">
        <v>26</v>
      </c>
      <c r="M4205">
        <v>337044</v>
      </c>
      <c r="N4205">
        <v>1</v>
      </c>
      <c r="O4205" s="3">
        <v>89950</v>
      </c>
      <c r="P4205" s="3">
        <v>29858</v>
      </c>
      <c r="Q4205" s="5">
        <f t="shared" si="195"/>
        <v>75588.23529411765</v>
      </c>
      <c r="R4205" s="5">
        <f t="shared" si="196"/>
        <v>29858</v>
      </c>
      <c r="S4205" s="5">
        <f t="shared" si="197"/>
        <v>45730.23529411765</v>
      </c>
    </row>
    <row r="4206" spans="1:19" hidden="1" x14ac:dyDescent="0.3">
      <c r="A4206">
        <v>170</v>
      </c>
      <c r="B4206" t="s">
        <v>4809</v>
      </c>
      <c r="C4206" t="s">
        <v>3007</v>
      </c>
      <c r="D4206" s="2" t="s">
        <v>3008</v>
      </c>
      <c r="E4206" t="s">
        <v>2986</v>
      </c>
      <c r="F4206" t="s">
        <v>20</v>
      </c>
      <c r="G4206" t="s">
        <v>21</v>
      </c>
      <c r="H4206" t="s">
        <v>267</v>
      </c>
      <c r="I4206" t="s">
        <v>23</v>
      </c>
      <c r="J4206" t="s">
        <v>35</v>
      </c>
      <c r="K4206" s="2" t="s">
        <v>2192</v>
      </c>
      <c r="L4206" t="s">
        <v>26</v>
      </c>
      <c r="M4206">
        <v>337045</v>
      </c>
      <c r="N4206">
        <v>1</v>
      </c>
      <c r="O4206" s="3">
        <v>59990</v>
      </c>
      <c r="P4206" s="3">
        <v>24733</v>
      </c>
      <c r="Q4206" s="5">
        <f t="shared" si="195"/>
        <v>50411.764705882357</v>
      </c>
      <c r="R4206" s="5">
        <f t="shared" si="196"/>
        <v>24733</v>
      </c>
      <c r="S4206" s="5">
        <f t="shared" si="197"/>
        <v>25678.764705882357</v>
      </c>
    </row>
    <row r="4207" spans="1:19" hidden="1" x14ac:dyDescent="0.3">
      <c r="A4207">
        <v>170</v>
      </c>
      <c r="B4207" t="s">
        <v>4809</v>
      </c>
      <c r="C4207" t="s">
        <v>1756</v>
      </c>
      <c r="D4207" s="2" t="s">
        <v>1757</v>
      </c>
      <c r="E4207" t="s">
        <v>1758</v>
      </c>
      <c r="F4207" t="s">
        <v>20</v>
      </c>
      <c r="G4207" t="s">
        <v>338</v>
      </c>
      <c r="H4207">
        <v>25133</v>
      </c>
      <c r="I4207" t="s">
        <v>23</v>
      </c>
      <c r="J4207" t="s">
        <v>35</v>
      </c>
      <c r="K4207" s="2" t="s">
        <v>2192</v>
      </c>
      <c r="L4207" t="s">
        <v>26</v>
      </c>
      <c r="M4207">
        <v>337046</v>
      </c>
      <c r="N4207">
        <v>1</v>
      </c>
      <c r="O4207" s="3">
        <v>74950</v>
      </c>
      <c r="P4207" s="3">
        <v>21167</v>
      </c>
      <c r="Q4207" s="5">
        <f t="shared" si="195"/>
        <v>62983.193277310929</v>
      </c>
      <c r="R4207" s="5">
        <f t="shared" si="196"/>
        <v>21167</v>
      </c>
      <c r="S4207" s="5">
        <f t="shared" si="197"/>
        <v>41816.193277310929</v>
      </c>
    </row>
    <row r="4208" spans="1:19" hidden="1" x14ac:dyDescent="0.3">
      <c r="A4208">
        <v>170</v>
      </c>
      <c r="B4208" t="s">
        <v>4809</v>
      </c>
      <c r="C4208" t="s">
        <v>2772</v>
      </c>
      <c r="D4208" s="2" t="s">
        <v>2773</v>
      </c>
      <c r="E4208" t="s">
        <v>2771</v>
      </c>
      <c r="F4208" t="s">
        <v>20</v>
      </c>
      <c r="G4208" t="s">
        <v>21</v>
      </c>
      <c r="H4208" t="s">
        <v>57</v>
      </c>
      <c r="I4208" t="s">
        <v>23</v>
      </c>
      <c r="J4208" t="s">
        <v>35</v>
      </c>
      <c r="K4208" s="2" t="s">
        <v>2192</v>
      </c>
      <c r="L4208" t="s">
        <v>26</v>
      </c>
      <c r="M4208">
        <v>337046</v>
      </c>
      <c r="N4208">
        <v>-1</v>
      </c>
      <c r="O4208" s="3">
        <v>-79990</v>
      </c>
      <c r="P4208" s="3">
        <v>29189</v>
      </c>
      <c r="Q4208" s="5">
        <f t="shared" si="195"/>
        <v>-67218.487394957992</v>
      </c>
      <c r="R4208" s="5">
        <f t="shared" si="196"/>
        <v>-29189</v>
      </c>
      <c r="S4208" s="5">
        <f t="shared" si="197"/>
        <v>-38029.487394957992</v>
      </c>
    </row>
    <row r="4209" spans="1:19" hidden="1" x14ac:dyDescent="0.3">
      <c r="A4209">
        <v>170</v>
      </c>
      <c r="B4209" t="s">
        <v>4809</v>
      </c>
      <c r="C4209" t="s">
        <v>1761</v>
      </c>
      <c r="D4209" s="2" t="s">
        <v>1762</v>
      </c>
      <c r="E4209" t="s">
        <v>1763</v>
      </c>
      <c r="F4209" t="s">
        <v>377</v>
      </c>
      <c r="G4209" t="s">
        <v>21</v>
      </c>
      <c r="H4209" t="s">
        <v>378</v>
      </c>
      <c r="I4209" t="s">
        <v>23</v>
      </c>
      <c r="J4209" t="s">
        <v>379</v>
      </c>
      <c r="K4209" s="2" t="s">
        <v>2192</v>
      </c>
      <c r="L4209" t="s">
        <v>26</v>
      </c>
      <c r="M4209">
        <v>337046</v>
      </c>
      <c r="N4209">
        <v>1</v>
      </c>
      <c r="O4209" s="3">
        <v>5950</v>
      </c>
      <c r="P4209" s="3">
        <v>3279</v>
      </c>
      <c r="Q4209" s="5">
        <f t="shared" si="195"/>
        <v>5000</v>
      </c>
      <c r="R4209" s="5">
        <f t="shared" si="196"/>
        <v>3279</v>
      </c>
      <c r="S4209" s="5">
        <f t="shared" si="197"/>
        <v>1721</v>
      </c>
    </row>
    <row r="4210" spans="1:19" hidden="1" x14ac:dyDescent="0.3">
      <c r="A4210">
        <v>170</v>
      </c>
      <c r="B4210" t="s">
        <v>4809</v>
      </c>
      <c r="C4210" t="s">
        <v>5055</v>
      </c>
      <c r="D4210" s="2" t="s">
        <v>5056</v>
      </c>
      <c r="E4210" t="s">
        <v>3328</v>
      </c>
      <c r="F4210" t="s">
        <v>20</v>
      </c>
      <c r="G4210" t="s">
        <v>338</v>
      </c>
      <c r="H4210">
        <v>23720</v>
      </c>
      <c r="I4210" t="s">
        <v>23</v>
      </c>
      <c r="J4210" t="s">
        <v>40</v>
      </c>
      <c r="K4210" s="2" t="s">
        <v>2192</v>
      </c>
      <c r="L4210" t="s">
        <v>26</v>
      </c>
      <c r="M4210">
        <v>337047</v>
      </c>
      <c r="N4210">
        <v>1</v>
      </c>
      <c r="O4210" s="3">
        <v>59950</v>
      </c>
      <c r="P4210" s="3">
        <v>19579</v>
      </c>
      <c r="Q4210" s="5">
        <f t="shared" si="195"/>
        <v>50378.151260504201</v>
      </c>
      <c r="R4210" s="5">
        <f t="shared" si="196"/>
        <v>19579</v>
      </c>
      <c r="S4210" s="5">
        <f t="shared" si="197"/>
        <v>30799.151260504201</v>
      </c>
    </row>
    <row r="4211" spans="1:19" hidden="1" x14ac:dyDescent="0.3">
      <c r="A4211">
        <v>170</v>
      </c>
      <c r="B4211" t="s">
        <v>4809</v>
      </c>
      <c r="C4211" t="s">
        <v>5539</v>
      </c>
      <c r="D4211" s="2" t="s">
        <v>5540</v>
      </c>
      <c r="E4211" t="s">
        <v>5541</v>
      </c>
      <c r="F4211" t="s">
        <v>377</v>
      </c>
      <c r="G4211" t="s">
        <v>21</v>
      </c>
      <c r="H4211" t="s">
        <v>378</v>
      </c>
      <c r="I4211" t="s">
        <v>23</v>
      </c>
      <c r="J4211" t="s">
        <v>2638</v>
      </c>
      <c r="K4211" s="2" t="s">
        <v>2192</v>
      </c>
      <c r="L4211" t="s">
        <v>26</v>
      </c>
      <c r="M4211">
        <v>337048</v>
      </c>
      <c r="N4211">
        <v>1</v>
      </c>
      <c r="O4211" s="3">
        <v>3450</v>
      </c>
      <c r="P4211" s="3">
        <v>1510</v>
      </c>
      <c r="Q4211" s="5">
        <f t="shared" si="195"/>
        <v>2899.1596638655465</v>
      </c>
      <c r="R4211" s="5">
        <f t="shared" si="196"/>
        <v>1510</v>
      </c>
      <c r="S4211" s="5">
        <f t="shared" si="197"/>
        <v>1389.1596638655465</v>
      </c>
    </row>
    <row r="4212" spans="1:19" hidden="1" x14ac:dyDescent="0.3">
      <c r="A4212">
        <v>170</v>
      </c>
      <c r="B4212" t="s">
        <v>4809</v>
      </c>
      <c r="C4212" t="s">
        <v>1037</v>
      </c>
      <c r="D4212" s="2" t="s">
        <v>1038</v>
      </c>
      <c r="E4212" t="s">
        <v>1039</v>
      </c>
      <c r="F4212" t="s">
        <v>377</v>
      </c>
      <c r="G4212" t="s">
        <v>21</v>
      </c>
      <c r="H4212" t="s">
        <v>378</v>
      </c>
      <c r="I4212" t="s">
        <v>23</v>
      </c>
      <c r="J4212" t="s">
        <v>379</v>
      </c>
      <c r="K4212" s="2" t="s">
        <v>2192</v>
      </c>
      <c r="L4212" t="s">
        <v>26</v>
      </c>
      <c r="M4212">
        <v>337049</v>
      </c>
      <c r="N4212">
        <v>1</v>
      </c>
      <c r="O4212" s="3">
        <v>5950</v>
      </c>
      <c r="P4212" s="3">
        <v>3257</v>
      </c>
      <c r="Q4212" s="5">
        <f t="shared" si="195"/>
        <v>5000</v>
      </c>
      <c r="R4212" s="5">
        <f t="shared" si="196"/>
        <v>3257</v>
      </c>
      <c r="S4212" s="5">
        <f t="shared" si="197"/>
        <v>1743</v>
      </c>
    </row>
    <row r="4213" spans="1:19" hidden="1" x14ac:dyDescent="0.3">
      <c r="A4213">
        <v>170</v>
      </c>
      <c r="B4213" t="s">
        <v>4809</v>
      </c>
      <c r="C4213" t="s">
        <v>2719</v>
      </c>
      <c r="D4213" s="2" t="s">
        <v>2720</v>
      </c>
      <c r="E4213" t="s">
        <v>2721</v>
      </c>
      <c r="F4213" t="s">
        <v>20</v>
      </c>
      <c r="G4213" t="s">
        <v>21</v>
      </c>
      <c r="H4213" t="s">
        <v>1422</v>
      </c>
      <c r="I4213" t="s">
        <v>23</v>
      </c>
      <c r="J4213" t="s">
        <v>49</v>
      </c>
      <c r="K4213" s="2" t="s">
        <v>2192</v>
      </c>
      <c r="L4213" t="s">
        <v>26</v>
      </c>
      <c r="M4213">
        <v>337050</v>
      </c>
      <c r="N4213">
        <v>1</v>
      </c>
      <c r="O4213" s="3">
        <v>59990</v>
      </c>
      <c r="P4213" s="3">
        <v>27667</v>
      </c>
      <c r="Q4213" s="5">
        <f t="shared" si="195"/>
        <v>50411.764705882357</v>
      </c>
      <c r="R4213" s="5">
        <f t="shared" si="196"/>
        <v>27667</v>
      </c>
      <c r="S4213" s="5">
        <f t="shared" si="197"/>
        <v>22744.764705882357</v>
      </c>
    </row>
    <row r="4214" spans="1:19" hidden="1" x14ac:dyDescent="0.3">
      <c r="A4214">
        <v>170</v>
      </c>
      <c r="B4214" t="s">
        <v>4809</v>
      </c>
      <c r="C4214" t="s">
        <v>434</v>
      </c>
      <c r="D4214" s="2" t="s">
        <v>435</v>
      </c>
      <c r="E4214" t="s">
        <v>436</v>
      </c>
      <c r="F4214" t="s">
        <v>20</v>
      </c>
      <c r="G4214" t="s">
        <v>21</v>
      </c>
      <c r="H4214" t="s">
        <v>160</v>
      </c>
      <c r="I4214" t="s">
        <v>23</v>
      </c>
      <c r="J4214" t="s">
        <v>49</v>
      </c>
      <c r="K4214" s="2" t="s">
        <v>2192</v>
      </c>
      <c r="L4214" t="s">
        <v>26</v>
      </c>
      <c r="M4214">
        <v>337051</v>
      </c>
      <c r="N4214">
        <v>1</v>
      </c>
      <c r="O4214" s="3">
        <v>49990</v>
      </c>
      <c r="P4214" s="3">
        <v>26374</v>
      </c>
      <c r="Q4214" s="5">
        <f t="shared" si="195"/>
        <v>42008.403361344543</v>
      </c>
      <c r="R4214" s="5">
        <f t="shared" si="196"/>
        <v>26374</v>
      </c>
      <c r="S4214" s="5">
        <f t="shared" si="197"/>
        <v>15634.403361344543</v>
      </c>
    </row>
    <row r="4215" spans="1:19" hidden="1" x14ac:dyDescent="0.3">
      <c r="A4215">
        <v>170</v>
      </c>
      <c r="B4215" t="s">
        <v>4809</v>
      </c>
      <c r="C4215" t="s">
        <v>1888</v>
      </c>
      <c r="D4215" s="2" t="s">
        <v>1889</v>
      </c>
      <c r="E4215" t="s">
        <v>102</v>
      </c>
      <c r="F4215" t="s">
        <v>20</v>
      </c>
      <c r="G4215" t="s">
        <v>21</v>
      </c>
      <c r="H4215" t="s">
        <v>57</v>
      </c>
      <c r="I4215" t="s">
        <v>23</v>
      </c>
      <c r="J4215" t="s">
        <v>35</v>
      </c>
      <c r="K4215" s="2" t="s">
        <v>2192</v>
      </c>
      <c r="L4215" t="s">
        <v>26</v>
      </c>
      <c r="M4215">
        <v>337052</v>
      </c>
      <c r="N4215">
        <v>1</v>
      </c>
      <c r="O4215" s="3">
        <v>69991</v>
      </c>
      <c r="P4215" s="3">
        <v>35437</v>
      </c>
      <c r="Q4215" s="5">
        <f t="shared" si="195"/>
        <v>58815.966386554624</v>
      </c>
      <c r="R4215" s="5">
        <f t="shared" si="196"/>
        <v>35437</v>
      </c>
      <c r="S4215" s="5">
        <f t="shared" si="197"/>
        <v>23378.966386554624</v>
      </c>
    </row>
    <row r="4216" spans="1:19" hidden="1" x14ac:dyDescent="0.3">
      <c r="A4216">
        <v>170</v>
      </c>
      <c r="B4216" t="s">
        <v>4809</v>
      </c>
      <c r="C4216" t="s">
        <v>126</v>
      </c>
      <c r="D4216" s="2" t="s">
        <v>127</v>
      </c>
      <c r="E4216" t="s">
        <v>102</v>
      </c>
      <c r="F4216" t="s">
        <v>20</v>
      </c>
      <c r="G4216" t="s">
        <v>21</v>
      </c>
      <c r="H4216" t="s">
        <v>57</v>
      </c>
      <c r="I4216" t="s">
        <v>23</v>
      </c>
      <c r="J4216" t="s">
        <v>35</v>
      </c>
      <c r="K4216" s="2" t="s">
        <v>2192</v>
      </c>
      <c r="L4216" t="s">
        <v>26</v>
      </c>
      <c r="M4216">
        <v>337052</v>
      </c>
      <c r="N4216">
        <v>-1</v>
      </c>
      <c r="O4216" s="3">
        <v>-69990</v>
      </c>
      <c r="P4216" s="3">
        <v>35351</v>
      </c>
      <c r="Q4216" s="5">
        <f t="shared" si="195"/>
        <v>-58815.126050420171</v>
      </c>
      <c r="R4216" s="5">
        <f t="shared" si="196"/>
        <v>-35351</v>
      </c>
      <c r="S4216" s="5">
        <f t="shared" si="197"/>
        <v>-23464.126050420171</v>
      </c>
    </row>
    <row r="4217" spans="1:19" hidden="1" x14ac:dyDescent="0.3">
      <c r="A4217">
        <v>170</v>
      </c>
      <c r="B4217" t="s">
        <v>4809</v>
      </c>
      <c r="C4217" t="s">
        <v>5439</v>
      </c>
      <c r="D4217" s="2" t="s">
        <v>5440</v>
      </c>
      <c r="E4217" t="s">
        <v>3086</v>
      </c>
      <c r="F4217" t="s">
        <v>20</v>
      </c>
      <c r="G4217" t="s">
        <v>21</v>
      </c>
      <c r="H4217" t="s">
        <v>1418</v>
      </c>
      <c r="I4217" t="s">
        <v>23</v>
      </c>
      <c r="J4217" t="s">
        <v>35</v>
      </c>
      <c r="K4217" s="2" t="s">
        <v>2192</v>
      </c>
      <c r="L4217" t="s">
        <v>26</v>
      </c>
      <c r="M4217">
        <v>337053</v>
      </c>
      <c r="N4217">
        <v>-1</v>
      </c>
      <c r="O4217" s="3">
        <v>-64990</v>
      </c>
      <c r="P4217" s="3">
        <v>29189</v>
      </c>
      <c r="Q4217" s="5">
        <f t="shared" si="195"/>
        <v>-54613.445378151264</v>
      </c>
      <c r="R4217" s="5">
        <f t="shared" si="196"/>
        <v>-29189</v>
      </c>
      <c r="S4217" s="5">
        <f t="shared" si="197"/>
        <v>-25424.445378151264</v>
      </c>
    </row>
    <row r="4218" spans="1:19" hidden="1" x14ac:dyDescent="0.3">
      <c r="A4218">
        <v>170</v>
      </c>
      <c r="B4218" t="s">
        <v>4809</v>
      </c>
      <c r="C4218" t="s">
        <v>5542</v>
      </c>
      <c r="D4218" s="2" t="s">
        <v>5543</v>
      </c>
      <c r="E4218" t="s">
        <v>5544</v>
      </c>
      <c r="F4218" t="s">
        <v>20</v>
      </c>
      <c r="G4218" t="s">
        <v>338</v>
      </c>
      <c r="H4218">
        <v>86422</v>
      </c>
      <c r="I4218" t="s">
        <v>23</v>
      </c>
      <c r="J4218" t="s">
        <v>35</v>
      </c>
      <c r="K4218" s="2" t="s">
        <v>2192</v>
      </c>
      <c r="L4218" t="s">
        <v>26</v>
      </c>
      <c r="M4218">
        <v>337053</v>
      </c>
      <c r="N4218">
        <v>1</v>
      </c>
      <c r="O4218" s="3">
        <v>84950</v>
      </c>
      <c r="P4218" s="3">
        <v>33793</v>
      </c>
      <c r="Q4218" s="5">
        <f t="shared" si="195"/>
        <v>71386.554621848743</v>
      </c>
      <c r="R4218" s="5">
        <f t="shared" si="196"/>
        <v>33793</v>
      </c>
      <c r="S4218" s="5">
        <f t="shared" si="197"/>
        <v>37593.554621848743</v>
      </c>
    </row>
    <row r="4219" spans="1:19" hidden="1" x14ac:dyDescent="0.3">
      <c r="A4219">
        <v>170</v>
      </c>
      <c r="B4219" t="s">
        <v>4809</v>
      </c>
      <c r="C4219" t="s">
        <v>3692</v>
      </c>
      <c r="D4219" s="2" t="s">
        <v>3693</v>
      </c>
      <c r="E4219" t="s">
        <v>1758</v>
      </c>
      <c r="F4219" t="s">
        <v>20</v>
      </c>
      <c r="G4219" t="s">
        <v>338</v>
      </c>
      <c r="H4219">
        <v>25133</v>
      </c>
      <c r="I4219" t="s">
        <v>23</v>
      </c>
      <c r="J4219" t="s">
        <v>35</v>
      </c>
      <c r="K4219" s="2" t="s">
        <v>2192</v>
      </c>
      <c r="L4219" t="s">
        <v>26</v>
      </c>
      <c r="M4219">
        <v>337054</v>
      </c>
      <c r="N4219">
        <v>1</v>
      </c>
      <c r="O4219" s="3">
        <v>74950</v>
      </c>
      <c r="P4219" s="3">
        <v>21167</v>
      </c>
      <c r="Q4219" s="5">
        <f t="shared" si="195"/>
        <v>62983.193277310929</v>
      </c>
      <c r="R4219" s="5">
        <f t="shared" si="196"/>
        <v>21167</v>
      </c>
      <c r="S4219" s="5">
        <f t="shared" si="197"/>
        <v>41816.193277310929</v>
      </c>
    </row>
    <row r="4220" spans="1:19" hidden="1" x14ac:dyDescent="0.3">
      <c r="A4220">
        <v>170</v>
      </c>
      <c r="B4220" t="s">
        <v>4809</v>
      </c>
      <c r="C4220" t="s">
        <v>3294</v>
      </c>
      <c r="D4220" s="2" t="s">
        <v>3295</v>
      </c>
      <c r="E4220" t="s">
        <v>3296</v>
      </c>
      <c r="F4220" t="s">
        <v>377</v>
      </c>
      <c r="G4220" t="s">
        <v>21</v>
      </c>
      <c r="H4220" t="s">
        <v>378</v>
      </c>
      <c r="I4220" t="s">
        <v>23</v>
      </c>
      <c r="J4220" t="s">
        <v>3297</v>
      </c>
      <c r="K4220" s="2" t="s">
        <v>2192</v>
      </c>
      <c r="L4220" t="s">
        <v>26</v>
      </c>
      <c r="M4220">
        <v>337054</v>
      </c>
      <c r="N4220">
        <v>1</v>
      </c>
      <c r="O4220">
        <v>500</v>
      </c>
      <c r="P4220">
        <v>358</v>
      </c>
      <c r="Q4220" s="5">
        <f t="shared" si="195"/>
        <v>420.1680672268908</v>
      </c>
      <c r="R4220" s="5">
        <f t="shared" si="196"/>
        <v>358</v>
      </c>
      <c r="S4220" s="5">
        <f t="shared" si="197"/>
        <v>62.168067226890798</v>
      </c>
    </row>
    <row r="4221" spans="1:19" hidden="1" x14ac:dyDescent="0.3">
      <c r="A4221">
        <v>170</v>
      </c>
      <c r="B4221" t="s">
        <v>4809</v>
      </c>
      <c r="C4221" t="s">
        <v>5545</v>
      </c>
      <c r="D4221" s="2" t="s">
        <v>5546</v>
      </c>
      <c r="E4221" t="s">
        <v>3783</v>
      </c>
      <c r="F4221" t="s">
        <v>20</v>
      </c>
      <c r="G4221" t="s">
        <v>21</v>
      </c>
      <c r="H4221" t="s">
        <v>295</v>
      </c>
      <c r="I4221" t="s">
        <v>23</v>
      </c>
      <c r="J4221" t="s">
        <v>40</v>
      </c>
      <c r="K4221" s="2" t="s">
        <v>2192</v>
      </c>
      <c r="L4221" t="s">
        <v>26</v>
      </c>
      <c r="M4221">
        <v>337055</v>
      </c>
      <c r="N4221">
        <v>1</v>
      </c>
      <c r="O4221" s="3">
        <v>59990</v>
      </c>
      <c r="P4221" s="3">
        <v>25014</v>
      </c>
      <c r="Q4221" s="5">
        <f t="shared" si="195"/>
        <v>50411.764705882357</v>
      </c>
      <c r="R4221" s="5">
        <f t="shared" si="196"/>
        <v>25014</v>
      </c>
      <c r="S4221" s="5">
        <f t="shared" si="197"/>
        <v>25397.764705882357</v>
      </c>
    </row>
    <row r="4222" spans="1:19" hidden="1" x14ac:dyDescent="0.3">
      <c r="A4222">
        <v>170</v>
      </c>
      <c r="B4222" t="s">
        <v>4809</v>
      </c>
      <c r="C4222" t="s">
        <v>5115</v>
      </c>
      <c r="D4222" s="2" t="s">
        <v>5116</v>
      </c>
      <c r="E4222" t="s">
        <v>2952</v>
      </c>
      <c r="F4222" t="s">
        <v>20</v>
      </c>
      <c r="G4222" t="s">
        <v>21</v>
      </c>
      <c r="H4222" t="s">
        <v>2484</v>
      </c>
      <c r="I4222" t="s">
        <v>23</v>
      </c>
      <c r="J4222" t="s">
        <v>40</v>
      </c>
      <c r="K4222" s="2" t="s">
        <v>2192</v>
      </c>
      <c r="L4222" t="s">
        <v>26</v>
      </c>
      <c r="M4222">
        <v>337055</v>
      </c>
      <c r="N4222">
        <v>1</v>
      </c>
      <c r="O4222" s="3">
        <v>50950</v>
      </c>
      <c r="P4222" s="3">
        <v>18378</v>
      </c>
      <c r="Q4222" s="5">
        <f t="shared" si="195"/>
        <v>42815.126050420171</v>
      </c>
      <c r="R4222" s="5">
        <f t="shared" si="196"/>
        <v>18378</v>
      </c>
      <c r="S4222" s="5">
        <f t="shared" si="197"/>
        <v>24437.126050420171</v>
      </c>
    </row>
    <row r="4223" spans="1:19" hidden="1" x14ac:dyDescent="0.3">
      <c r="A4223">
        <v>170</v>
      </c>
      <c r="B4223" t="s">
        <v>4809</v>
      </c>
      <c r="C4223" t="s">
        <v>5547</v>
      </c>
      <c r="D4223" s="2" t="s">
        <v>5548</v>
      </c>
      <c r="E4223" t="s">
        <v>195</v>
      </c>
      <c r="F4223" t="s">
        <v>20</v>
      </c>
      <c r="G4223" t="s">
        <v>21</v>
      </c>
      <c r="H4223" t="s">
        <v>22</v>
      </c>
      <c r="I4223" t="s">
        <v>23</v>
      </c>
      <c r="J4223" t="s">
        <v>35</v>
      </c>
      <c r="K4223" s="2" t="s">
        <v>2192</v>
      </c>
      <c r="L4223" t="s">
        <v>26</v>
      </c>
      <c r="M4223">
        <v>337056</v>
      </c>
      <c r="N4223">
        <v>1</v>
      </c>
      <c r="O4223" s="3">
        <v>69990</v>
      </c>
      <c r="P4223" s="3">
        <v>35437</v>
      </c>
      <c r="Q4223" s="5">
        <f t="shared" si="195"/>
        <v>58815.126050420171</v>
      </c>
      <c r="R4223" s="5">
        <f t="shared" si="196"/>
        <v>35437</v>
      </c>
      <c r="S4223" s="5">
        <f t="shared" si="197"/>
        <v>23378.126050420171</v>
      </c>
    </row>
    <row r="4224" spans="1:19" hidden="1" x14ac:dyDescent="0.3">
      <c r="A4224">
        <v>170</v>
      </c>
      <c r="B4224" t="s">
        <v>4809</v>
      </c>
      <c r="C4224">
        <v>1687976791</v>
      </c>
      <c r="D4224" s="2" t="s">
        <v>200</v>
      </c>
      <c r="E4224" t="s">
        <v>201</v>
      </c>
      <c r="F4224" t="s">
        <v>201</v>
      </c>
      <c r="G4224" t="s">
        <v>202</v>
      </c>
      <c r="H4224" t="s">
        <v>202</v>
      </c>
      <c r="I4224" t="s">
        <v>23</v>
      </c>
      <c r="J4224" t="s">
        <v>202</v>
      </c>
      <c r="K4224" s="2" t="s">
        <v>2192</v>
      </c>
      <c r="L4224" t="s">
        <v>26</v>
      </c>
      <c r="M4224">
        <v>337056</v>
      </c>
      <c r="N4224">
        <v>1</v>
      </c>
      <c r="O4224">
        <v>1</v>
      </c>
      <c r="P4224">
        <v>1</v>
      </c>
      <c r="Q4224" s="5">
        <f t="shared" si="195"/>
        <v>0.84033613445378152</v>
      </c>
      <c r="R4224" s="5">
        <f t="shared" si="196"/>
        <v>1</v>
      </c>
      <c r="S4224" s="5">
        <f t="shared" si="197"/>
        <v>-0.15966386554621848</v>
      </c>
    </row>
    <row r="4225" spans="1:19" hidden="1" x14ac:dyDescent="0.3">
      <c r="A4225">
        <v>170</v>
      </c>
      <c r="B4225" t="s">
        <v>4809</v>
      </c>
      <c r="C4225" t="s">
        <v>2760</v>
      </c>
      <c r="D4225" s="2" t="s">
        <v>2761</v>
      </c>
      <c r="E4225" t="s">
        <v>1443</v>
      </c>
      <c r="F4225" t="s">
        <v>20</v>
      </c>
      <c r="G4225" t="s">
        <v>338</v>
      </c>
      <c r="H4225">
        <v>25301</v>
      </c>
      <c r="I4225" t="s">
        <v>23</v>
      </c>
      <c r="J4225" t="s">
        <v>35</v>
      </c>
      <c r="K4225" s="2" t="s">
        <v>2192</v>
      </c>
      <c r="L4225" t="s">
        <v>26</v>
      </c>
      <c r="M4225">
        <v>337057</v>
      </c>
      <c r="N4225">
        <v>1</v>
      </c>
      <c r="O4225" s="3">
        <v>99950</v>
      </c>
      <c r="P4225" s="3">
        <v>34157</v>
      </c>
      <c r="Q4225" s="5">
        <f t="shared" si="195"/>
        <v>83991.596638655465</v>
      </c>
      <c r="R4225" s="5">
        <f t="shared" si="196"/>
        <v>34157</v>
      </c>
      <c r="S4225" s="5">
        <f t="shared" si="197"/>
        <v>49834.596638655465</v>
      </c>
    </row>
    <row r="4226" spans="1:19" hidden="1" x14ac:dyDescent="0.3">
      <c r="A4226">
        <v>170</v>
      </c>
      <c r="B4226" t="s">
        <v>4809</v>
      </c>
      <c r="C4226" t="s">
        <v>3200</v>
      </c>
      <c r="D4226" s="2" t="s">
        <v>3201</v>
      </c>
      <c r="E4226" t="s">
        <v>3202</v>
      </c>
      <c r="F4226" t="s">
        <v>20</v>
      </c>
      <c r="G4226" t="s">
        <v>338</v>
      </c>
      <c r="H4226">
        <v>25702</v>
      </c>
      <c r="I4226" t="s">
        <v>23</v>
      </c>
      <c r="J4226" t="s">
        <v>35</v>
      </c>
      <c r="K4226" s="2" t="s">
        <v>2192</v>
      </c>
      <c r="L4226" t="s">
        <v>26</v>
      </c>
      <c r="M4226">
        <v>337057</v>
      </c>
      <c r="N4226">
        <v>1</v>
      </c>
      <c r="O4226" s="3">
        <v>93450</v>
      </c>
      <c r="P4226" s="3">
        <v>34974</v>
      </c>
      <c r="Q4226" s="5">
        <f t="shared" si="195"/>
        <v>78529.411764705888</v>
      </c>
      <c r="R4226" s="5">
        <f t="shared" si="196"/>
        <v>34974</v>
      </c>
      <c r="S4226" s="5">
        <f t="shared" si="197"/>
        <v>43555.411764705888</v>
      </c>
    </row>
    <row r="4227" spans="1:19" hidden="1" x14ac:dyDescent="0.3">
      <c r="A4227">
        <v>180</v>
      </c>
      <c r="B4227" t="s">
        <v>5549</v>
      </c>
      <c r="C4227" t="s">
        <v>5550</v>
      </c>
      <c r="D4227" s="2" t="s">
        <v>5551</v>
      </c>
      <c r="E4227" t="s">
        <v>2561</v>
      </c>
      <c r="F4227" t="s">
        <v>20</v>
      </c>
      <c r="G4227" t="s">
        <v>21</v>
      </c>
      <c r="H4227" t="s">
        <v>1914</v>
      </c>
      <c r="I4227" t="s">
        <v>23</v>
      </c>
      <c r="J4227" t="s">
        <v>35</v>
      </c>
      <c r="K4227" s="2" t="s">
        <v>25</v>
      </c>
      <c r="L4227" t="s">
        <v>26</v>
      </c>
      <c r="M4227">
        <v>344269</v>
      </c>
      <c r="N4227">
        <v>1</v>
      </c>
      <c r="O4227" s="3">
        <v>89950</v>
      </c>
      <c r="P4227" s="3">
        <v>28298</v>
      </c>
      <c r="Q4227" s="5">
        <f t="shared" si="195"/>
        <v>75588.23529411765</v>
      </c>
      <c r="R4227" s="5">
        <f t="shared" si="196"/>
        <v>28298</v>
      </c>
      <c r="S4227" s="5">
        <f t="shared" si="197"/>
        <v>47290.23529411765</v>
      </c>
    </row>
    <row r="4228" spans="1:19" hidden="1" x14ac:dyDescent="0.3">
      <c r="A4228">
        <v>180</v>
      </c>
      <c r="B4228" t="s">
        <v>5549</v>
      </c>
      <c r="C4228" t="s">
        <v>5552</v>
      </c>
      <c r="D4228" s="2" t="s">
        <v>5553</v>
      </c>
      <c r="E4228" t="s">
        <v>5554</v>
      </c>
      <c r="F4228" t="s">
        <v>20</v>
      </c>
      <c r="G4228" t="s">
        <v>21</v>
      </c>
      <c r="H4228" t="s">
        <v>2379</v>
      </c>
      <c r="I4228" t="s">
        <v>23</v>
      </c>
      <c r="J4228" t="s">
        <v>40</v>
      </c>
      <c r="K4228" s="2" t="s">
        <v>25</v>
      </c>
      <c r="L4228" t="s">
        <v>26</v>
      </c>
      <c r="M4228">
        <v>344270</v>
      </c>
      <c r="N4228">
        <v>-1</v>
      </c>
      <c r="O4228" s="3">
        <v>-49950</v>
      </c>
      <c r="P4228" s="3">
        <v>13523</v>
      </c>
      <c r="Q4228" s="5">
        <f t="shared" si="195"/>
        <v>-41974.789915966387</v>
      </c>
      <c r="R4228" s="5">
        <f t="shared" si="196"/>
        <v>-13523</v>
      </c>
      <c r="S4228" s="5">
        <f t="shared" si="197"/>
        <v>-28451.789915966387</v>
      </c>
    </row>
    <row r="4229" spans="1:19" hidden="1" x14ac:dyDescent="0.3">
      <c r="A4229">
        <v>180</v>
      </c>
      <c r="B4229" t="s">
        <v>5549</v>
      </c>
      <c r="C4229" t="s">
        <v>264</v>
      </c>
      <c r="D4229" s="2" t="s">
        <v>265</v>
      </c>
      <c r="E4229" t="s">
        <v>266</v>
      </c>
      <c r="F4229" t="s">
        <v>20</v>
      </c>
      <c r="G4229" t="s">
        <v>21</v>
      </c>
      <c r="H4229" t="s">
        <v>267</v>
      </c>
      <c r="I4229" t="s">
        <v>23</v>
      </c>
      <c r="J4229" t="s">
        <v>49</v>
      </c>
      <c r="K4229" s="2" t="s">
        <v>25</v>
      </c>
      <c r="L4229" t="s">
        <v>26</v>
      </c>
      <c r="M4229">
        <v>344270</v>
      </c>
      <c r="N4229">
        <v>1</v>
      </c>
      <c r="O4229" s="3">
        <v>64950</v>
      </c>
      <c r="P4229" s="3">
        <v>24504</v>
      </c>
      <c r="Q4229" s="5">
        <f t="shared" si="195"/>
        <v>54579.831932773115</v>
      </c>
      <c r="R4229" s="5">
        <f t="shared" si="196"/>
        <v>24504</v>
      </c>
      <c r="S4229" s="5">
        <f t="shared" si="197"/>
        <v>30075.831932773115</v>
      </c>
    </row>
    <row r="4230" spans="1:19" hidden="1" x14ac:dyDescent="0.3">
      <c r="A4230">
        <v>180</v>
      </c>
      <c r="B4230" t="s">
        <v>5549</v>
      </c>
      <c r="C4230" t="s">
        <v>4385</v>
      </c>
      <c r="D4230" s="2" t="s">
        <v>4386</v>
      </c>
      <c r="E4230" t="s">
        <v>609</v>
      </c>
      <c r="F4230" t="s">
        <v>20</v>
      </c>
      <c r="G4230" t="s">
        <v>21</v>
      </c>
      <c r="H4230" t="s">
        <v>610</v>
      </c>
      <c r="I4230" t="s">
        <v>23</v>
      </c>
      <c r="J4230" t="s">
        <v>40</v>
      </c>
      <c r="K4230" s="2" t="s">
        <v>25</v>
      </c>
      <c r="L4230" t="s">
        <v>26</v>
      </c>
      <c r="M4230">
        <v>344271</v>
      </c>
      <c r="N4230">
        <v>1</v>
      </c>
      <c r="O4230" s="3">
        <v>34990</v>
      </c>
      <c r="P4230" s="3">
        <v>14680</v>
      </c>
      <c r="Q4230" s="5">
        <f t="shared" ref="Q4230:Q4293" si="198">O4230/1.19</f>
        <v>29403.361344537818</v>
      </c>
      <c r="R4230" s="5">
        <f t="shared" ref="R4230:R4293" si="199">N4230*P4230</f>
        <v>14680</v>
      </c>
      <c r="S4230" s="5">
        <f t="shared" ref="S4230:S4293" si="200">Q4230-R4230</f>
        <v>14723.361344537818</v>
      </c>
    </row>
    <row r="4231" spans="1:19" hidden="1" x14ac:dyDescent="0.3">
      <c r="A4231">
        <v>180</v>
      </c>
      <c r="B4231" t="s">
        <v>5549</v>
      </c>
      <c r="C4231" t="s">
        <v>5555</v>
      </c>
      <c r="D4231" s="2" t="s">
        <v>5556</v>
      </c>
      <c r="E4231" t="s">
        <v>4702</v>
      </c>
      <c r="F4231" t="s">
        <v>20</v>
      </c>
      <c r="G4231" t="s">
        <v>21</v>
      </c>
      <c r="H4231" t="s">
        <v>295</v>
      </c>
      <c r="I4231" t="s">
        <v>23</v>
      </c>
      <c r="J4231" t="s">
        <v>40</v>
      </c>
      <c r="K4231" s="2" t="s">
        <v>25</v>
      </c>
      <c r="L4231" t="s">
        <v>26</v>
      </c>
      <c r="M4231">
        <v>344272</v>
      </c>
      <c r="N4231">
        <v>1</v>
      </c>
      <c r="O4231" s="3">
        <v>79950</v>
      </c>
      <c r="P4231" s="3">
        <v>26951</v>
      </c>
      <c r="Q4231" s="5">
        <f t="shared" si="198"/>
        <v>67184.873949579836</v>
      </c>
      <c r="R4231" s="5">
        <f t="shared" si="199"/>
        <v>26951</v>
      </c>
      <c r="S4231" s="5">
        <f t="shared" si="200"/>
        <v>40233.873949579836</v>
      </c>
    </row>
    <row r="4232" spans="1:19" hidden="1" x14ac:dyDescent="0.3">
      <c r="A4232">
        <v>180</v>
      </c>
      <c r="B4232" t="s">
        <v>5549</v>
      </c>
      <c r="C4232" t="s">
        <v>700</v>
      </c>
      <c r="D4232" s="2" t="s">
        <v>701</v>
      </c>
      <c r="E4232" t="s">
        <v>702</v>
      </c>
      <c r="F4232" t="s">
        <v>377</v>
      </c>
      <c r="G4232" t="s">
        <v>21</v>
      </c>
      <c r="H4232" t="s">
        <v>378</v>
      </c>
      <c r="I4232" t="s">
        <v>23</v>
      </c>
      <c r="J4232" t="s">
        <v>379</v>
      </c>
      <c r="K4232" s="2" t="s">
        <v>25</v>
      </c>
      <c r="L4232" t="s">
        <v>26</v>
      </c>
      <c r="M4232">
        <v>344272</v>
      </c>
      <c r="N4232">
        <v>1</v>
      </c>
      <c r="O4232" s="3">
        <v>4950</v>
      </c>
      <c r="P4232" s="3">
        <v>2529</v>
      </c>
      <c r="Q4232" s="5">
        <f t="shared" si="198"/>
        <v>4159.6638655462184</v>
      </c>
      <c r="R4232" s="5">
        <f t="shared" si="199"/>
        <v>2529</v>
      </c>
      <c r="S4232" s="5">
        <f t="shared" si="200"/>
        <v>1630.6638655462184</v>
      </c>
    </row>
    <row r="4233" spans="1:19" hidden="1" x14ac:dyDescent="0.3">
      <c r="A4233">
        <v>180</v>
      </c>
      <c r="B4233" t="s">
        <v>5549</v>
      </c>
      <c r="C4233" t="s">
        <v>5557</v>
      </c>
      <c r="D4233" s="2" t="s">
        <v>5558</v>
      </c>
      <c r="E4233" t="s">
        <v>2452</v>
      </c>
      <c r="F4233" t="s">
        <v>20</v>
      </c>
      <c r="G4233" t="s">
        <v>21</v>
      </c>
      <c r="H4233" t="s">
        <v>573</v>
      </c>
      <c r="I4233" t="s">
        <v>23</v>
      </c>
      <c r="J4233" t="s">
        <v>49</v>
      </c>
      <c r="K4233" s="2" t="s">
        <v>25</v>
      </c>
      <c r="L4233" t="s">
        <v>26</v>
      </c>
      <c r="M4233">
        <v>344273</v>
      </c>
      <c r="N4233">
        <v>1</v>
      </c>
      <c r="O4233" s="3">
        <v>44990</v>
      </c>
      <c r="P4233" s="3">
        <v>23211</v>
      </c>
      <c r="Q4233" s="5">
        <f t="shared" si="198"/>
        <v>37806.722689075636</v>
      </c>
      <c r="R4233" s="5">
        <f t="shared" si="199"/>
        <v>23211</v>
      </c>
      <c r="S4233" s="5">
        <f t="shared" si="200"/>
        <v>14595.722689075636</v>
      </c>
    </row>
    <row r="4234" spans="1:19" hidden="1" x14ac:dyDescent="0.3">
      <c r="A4234">
        <v>180</v>
      </c>
      <c r="B4234" t="s">
        <v>5549</v>
      </c>
      <c r="C4234" t="s">
        <v>5552</v>
      </c>
      <c r="D4234" s="2" t="s">
        <v>5553</v>
      </c>
      <c r="E4234" t="s">
        <v>5554</v>
      </c>
      <c r="F4234" t="s">
        <v>20</v>
      </c>
      <c r="G4234" t="s">
        <v>21</v>
      </c>
      <c r="H4234" t="s">
        <v>2379</v>
      </c>
      <c r="I4234" t="s">
        <v>23</v>
      </c>
      <c r="J4234" t="s">
        <v>40</v>
      </c>
      <c r="K4234" s="2" t="s">
        <v>25</v>
      </c>
      <c r="L4234" t="s">
        <v>26</v>
      </c>
      <c r="M4234">
        <v>344274</v>
      </c>
      <c r="N4234">
        <v>1</v>
      </c>
      <c r="O4234" s="3">
        <v>49950</v>
      </c>
      <c r="P4234" s="3">
        <v>13523</v>
      </c>
      <c r="Q4234" s="5">
        <f t="shared" si="198"/>
        <v>41974.789915966387</v>
      </c>
      <c r="R4234" s="5">
        <f t="shared" si="199"/>
        <v>13523</v>
      </c>
      <c r="S4234" s="5">
        <f t="shared" si="200"/>
        <v>28451.789915966387</v>
      </c>
    </row>
    <row r="4235" spans="1:19" hidden="1" x14ac:dyDescent="0.3">
      <c r="A4235">
        <v>180</v>
      </c>
      <c r="B4235" t="s">
        <v>5549</v>
      </c>
      <c r="C4235" t="s">
        <v>5559</v>
      </c>
      <c r="D4235" s="2" t="s">
        <v>5560</v>
      </c>
      <c r="E4235" t="s">
        <v>151</v>
      </c>
      <c r="F4235" t="s">
        <v>20</v>
      </c>
      <c r="G4235" t="s">
        <v>21</v>
      </c>
      <c r="H4235" t="s">
        <v>152</v>
      </c>
      <c r="I4235" t="s">
        <v>23</v>
      </c>
      <c r="J4235" t="s">
        <v>40</v>
      </c>
      <c r="K4235" s="2" t="s">
        <v>25</v>
      </c>
      <c r="L4235" t="s">
        <v>26</v>
      </c>
      <c r="M4235">
        <v>344274</v>
      </c>
      <c r="N4235">
        <v>-1</v>
      </c>
      <c r="O4235" s="3">
        <v>-35970</v>
      </c>
      <c r="P4235" s="3">
        <v>16861</v>
      </c>
      <c r="Q4235" s="5">
        <f t="shared" si="198"/>
        <v>-30226.890756302524</v>
      </c>
      <c r="R4235" s="5">
        <f t="shared" si="199"/>
        <v>-16861</v>
      </c>
      <c r="S4235" s="5">
        <f t="shared" si="200"/>
        <v>-13365.890756302524</v>
      </c>
    </row>
    <row r="4236" spans="1:19" hidden="1" x14ac:dyDescent="0.3">
      <c r="A4236">
        <v>180</v>
      </c>
      <c r="B4236" t="s">
        <v>5549</v>
      </c>
      <c r="C4236" t="s">
        <v>5561</v>
      </c>
      <c r="D4236" s="2" t="s">
        <v>5562</v>
      </c>
      <c r="E4236" t="s">
        <v>1834</v>
      </c>
      <c r="F4236" t="s">
        <v>20</v>
      </c>
      <c r="G4236" t="s">
        <v>21</v>
      </c>
      <c r="H4236" t="s">
        <v>114</v>
      </c>
      <c r="I4236" t="s">
        <v>23</v>
      </c>
      <c r="J4236" t="s">
        <v>49</v>
      </c>
      <c r="K4236" s="2" t="s">
        <v>25</v>
      </c>
      <c r="L4236" t="s">
        <v>26</v>
      </c>
      <c r="M4236">
        <v>344275</v>
      </c>
      <c r="N4236">
        <v>1</v>
      </c>
      <c r="O4236" s="3">
        <v>49990</v>
      </c>
      <c r="P4236" s="3">
        <v>25000</v>
      </c>
      <c r="Q4236" s="5">
        <f t="shared" si="198"/>
        <v>42008.403361344543</v>
      </c>
      <c r="R4236" s="5">
        <f t="shared" si="199"/>
        <v>25000</v>
      </c>
      <c r="S4236" s="5">
        <f t="shared" si="200"/>
        <v>17008.403361344543</v>
      </c>
    </row>
    <row r="4237" spans="1:19" hidden="1" x14ac:dyDescent="0.3">
      <c r="A4237">
        <v>180</v>
      </c>
      <c r="B4237" t="s">
        <v>5549</v>
      </c>
      <c r="C4237" t="s">
        <v>2739</v>
      </c>
      <c r="D4237" s="2" t="s">
        <v>2740</v>
      </c>
      <c r="E4237" t="s">
        <v>2741</v>
      </c>
      <c r="F4237" t="s">
        <v>20</v>
      </c>
      <c r="G4237" t="s">
        <v>21</v>
      </c>
      <c r="H4237" t="s">
        <v>2494</v>
      </c>
      <c r="I4237" t="s">
        <v>23</v>
      </c>
      <c r="J4237" t="s">
        <v>40</v>
      </c>
      <c r="K4237" s="2" t="s">
        <v>268</v>
      </c>
      <c r="L4237" t="s">
        <v>26</v>
      </c>
      <c r="M4237">
        <v>344276</v>
      </c>
      <c r="N4237">
        <v>1</v>
      </c>
      <c r="O4237" s="3">
        <v>69950</v>
      </c>
      <c r="P4237" s="3">
        <v>23470</v>
      </c>
      <c r="Q4237" s="5">
        <f t="shared" si="198"/>
        <v>58781.512605042022</v>
      </c>
      <c r="R4237" s="5">
        <f t="shared" si="199"/>
        <v>23470</v>
      </c>
      <c r="S4237" s="5">
        <f t="shared" si="200"/>
        <v>35311.512605042022</v>
      </c>
    </row>
    <row r="4238" spans="1:19" hidden="1" x14ac:dyDescent="0.3">
      <c r="A4238">
        <v>180</v>
      </c>
      <c r="B4238" t="s">
        <v>5549</v>
      </c>
      <c r="C4238" t="s">
        <v>5561</v>
      </c>
      <c r="D4238" s="2" t="s">
        <v>5562</v>
      </c>
      <c r="E4238" t="s">
        <v>1834</v>
      </c>
      <c r="F4238" t="s">
        <v>20</v>
      </c>
      <c r="G4238" t="s">
        <v>21</v>
      </c>
      <c r="H4238" t="s">
        <v>114</v>
      </c>
      <c r="I4238" t="s">
        <v>23</v>
      </c>
      <c r="J4238" t="s">
        <v>49</v>
      </c>
      <c r="K4238" s="2" t="s">
        <v>268</v>
      </c>
      <c r="L4238" t="s">
        <v>26</v>
      </c>
      <c r="M4238">
        <v>344277</v>
      </c>
      <c r="N4238">
        <v>-1</v>
      </c>
      <c r="O4238" s="3">
        <v>-49990</v>
      </c>
      <c r="P4238" s="3">
        <v>25000</v>
      </c>
      <c r="Q4238" s="5">
        <f t="shared" si="198"/>
        <v>-42008.403361344543</v>
      </c>
      <c r="R4238" s="5">
        <f t="shared" si="199"/>
        <v>-25000</v>
      </c>
      <c r="S4238" s="5">
        <f t="shared" si="200"/>
        <v>-17008.403361344543</v>
      </c>
    </row>
    <row r="4239" spans="1:19" hidden="1" x14ac:dyDescent="0.3">
      <c r="A4239">
        <v>180</v>
      </c>
      <c r="B4239" t="s">
        <v>5549</v>
      </c>
      <c r="C4239" t="s">
        <v>5563</v>
      </c>
      <c r="D4239" s="2" t="s">
        <v>5564</v>
      </c>
      <c r="E4239" t="s">
        <v>1834</v>
      </c>
      <c r="F4239" t="s">
        <v>20</v>
      </c>
      <c r="G4239" t="s">
        <v>21</v>
      </c>
      <c r="H4239" t="s">
        <v>114</v>
      </c>
      <c r="I4239" t="s">
        <v>23</v>
      </c>
      <c r="J4239" t="s">
        <v>49</v>
      </c>
      <c r="K4239" s="2" t="s">
        <v>268</v>
      </c>
      <c r="L4239" t="s">
        <v>26</v>
      </c>
      <c r="M4239">
        <v>344277</v>
      </c>
      <c r="N4239">
        <v>1</v>
      </c>
      <c r="O4239" s="3">
        <v>49991</v>
      </c>
      <c r="P4239" s="3">
        <v>25000</v>
      </c>
      <c r="Q4239" s="5">
        <f t="shared" si="198"/>
        <v>42009.243697478996</v>
      </c>
      <c r="R4239" s="5">
        <f t="shared" si="199"/>
        <v>25000</v>
      </c>
      <c r="S4239" s="5">
        <f t="shared" si="200"/>
        <v>17009.243697478996</v>
      </c>
    </row>
    <row r="4240" spans="1:19" hidden="1" x14ac:dyDescent="0.3">
      <c r="A4240">
        <v>180</v>
      </c>
      <c r="B4240" t="s">
        <v>5549</v>
      </c>
      <c r="C4240" t="s">
        <v>1434</v>
      </c>
      <c r="D4240" s="2" t="s">
        <v>1435</v>
      </c>
      <c r="E4240" t="s">
        <v>1436</v>
      </c>
      <c r="F4240" t="s">
        <v>20</v>
      </c>
      <c r="G4240" t="s">
        <v>21</v>
      </c>
      <c r="H4240" t="s">
        <v>500</v>
      </c>
      <c r="I4240" t="s">
        <v>23</v>
      </c>
      <c r="J4240" t="s">
        <v>40</v>
      </c>
      <c r="K4240" s="2" t="s">
        <v>268</v>
      </c>
      <c r="L4240" t="s">
        <v>26</v>
      </c>
      <c r="M4240">
        <v>344278</v>
      </c>
      <c r="N4240">
        <v>1</v>
      </c>
      <c r="O4240" s="3">
        <v>59950</v>
      </c>
      <c r="P4240" s="3">
        <v>17591</v>
      </c>
      <c r="Q4240" s="5">
        <f t="shared" si="198"/>
        <v>50378.151260504201</v>
      </c>
      <c r="R4240" s="5">
        <f t="shared" si="199"/>
        <v>17591</v>
      </c>
      <c r="S4240" s="5">
        <f t="shared" si="200"/>
        <v>32787.151260504201</v>
      </c>
    </row>
    <row r="4241" spans="1:19" hidden="1" x14ac:dyDescent="0.3">
      <c r="A4241">
        <v>180</v>
      </c>
      <c r="B4241" t="s">
        <v>5549</v>
      </c>
      <c r="C4241" t="s">
        <v>2984</v>
      </c>
      <c r="D4241" s="2" t="s">
        <v>2985</v>
      </c>
      <c r="E4241" t="s">
        <v>2986</v>
      </c>
      <c r="F4241" t="s">
        <v>20</v>
      </c>
      <c r="G4241" t="s">
        <v>21</v>
      </c>
      <c r="H4241" t="s">
        <v>267</v>
      </c>
      <c r="I4241" t="s">
        <v>23</v>
      </c>
      <c r="J4241" t="s">
        <v>35</v>
      </c>
      <c r="K4241" s="2" t="s">
        <v>268</v>
      </c>
      <c r="L4241" t="s">
        <v>26</v>
      </c>
      <c r="M4241">
        <v>344279</v>
      </c>
      <c r="N4241">
        <v>1</v>
      </c>
      <c r="O4241" s="3">
        <v>74950</v>
      </c>
      <c r="P4241" s="3">
        <v>24733</v>
      </c>
      <c r="Q4241" s="5">
        <f t="shared" si="198"/>
        <v>62983.193277310929</v>
      </c>
      <c r="R4241" s="5">
        <f t="shared" si="199"/>
        <v>24733</v>
      </c>
      <c r="S4241" s="5">
        <f t="shared" si="200"/>
        <v>38250.193277310929</v>
      </c>
    </row>
    <row r="4242" spans="1:19" hidden="1" x14ac:dyDescent="0.3">
      <c r="A4242">
        <v>180</v>
      </c>
      <c r="B4242" t="s">
        <v>5549</v>
      </c>
      <c r="C4242" t="s">
        <v>4724</v>
      </c>
      <c r="D4242" s="2" t="s">
        <v>4725</v>
      </c>
      <c r="E4242" t="s">
        <v>1244</v>
      </c>
      <c r="F4242" t="s">
        <v>20</v>
      </c>
      <c r="G4242" t="s">
        <v>338</v>
      </c>
      <c r="H4242">
        <v>83707</v>
      </c>
      <c r="I4242" t="s">
        <v>23</v>
      </c>
      <c r="J4242" t="s">
        <v>40</v>
      </c>
      <c r="K4242" s="2" t="s">
        <v>268</v>
      </c>
      <c r="L4242" t="s">
        <v>26</v>
      </c>
      <c r="M4242">
        <v>344280</v>
      </c>
      <c r="N4242">
        <v>1</v>
      </c>
      <c r="O4242" s="3">
        <v>69990</v>
      </c>
      <c r="P4242" s="3">
        <v>30263</v>
      </c>
      <c r="Q4242" s="5">
        <f t="shared" si="198"/>
        <v>58815.126050420171</v>
      </c>
      <c r="R4242" s="5">
        <f t="shared" si="199"/>
        <v>30263</v>
      </c>
      <c r="S4242" s="5">
        <f t="shared" si="200"/>
        <v>28552.126050420171</v>
      </c>
    </row>
    <row r="4243" spans="1:19" hidden="1" x14ac:dyDescent="0.3">
      <c r="A4243">
        <v>180</v>
      </c>
      <c r="B4243" t="s">
        <v>5549</v>
      </c>
      <c r="C4243" t="s">
        <v>5078</v>
      </c>
      <c r="D4243" s="2" t="s">
        <v>5079</v>
      </c>
      <c r="E4243" t="s">
        <v>1412</v>
      </c>
      <c r="F4243" t="s">
        <v>20</v>
      </c>
      <c r="G4243" t="s">
        <v>338</v>
      </c>
      <c r="H4243">
        <v>23603</v>
      </c>
      <c r="I4243" t="s">
        <v>23</v>
      </c>
      <c r="J4243" t="s">
        <v>40</v>
      </c>
      <c r="K4243" s="2" t="s">
        <v>268</v>
      </c>
      <c r="L4243" t="s">
        <v>26</v>
      </c>
      <c r="M4243">
        <v>344281</v>
      </c>
      <c r="N4243">
        <v>1</v>
      </c>
      <c r="O4243" s="3">
        <v>49991</v>
      </c>
      <c r="P4243" s="3">
        <v>22607</v>
      </c>
      <c r="Q4243" s="5">
        <f t="shared" si="198"/>
        <v>42009.243697478996</v>
      </c>
      <c r="R4243" s="5">
        <f t="shared" si="199"/>
        <v>22607</v>
      </c>
      <c r="S4243" s="5">
        <f t="shared" si="200"/>
        <v>19402.243697478996</v>
      </c>
    </row>
    <row r="4244" spans="1:19" hidden="1" x14ac:dyDescent="0.3">
      <c r="A4244">
        <v>180</v>
      </c>
      <c r="B4244" t="s">
        <v>5549</v>
      </c>
      <c r="C4244" t="s">
        <v>1410</v>
      </c>
      <c r="D4244" s="2" t="s">
        <v>1411</v>
      </c>
      <c r="E4244" t="s">
        <v>1412</v>
      </c>
      <c r="F4244" t="s">
        <v>20</v>
      </c>
      <c r="G4244" t="s">
        <v>338</v>
      </c>
      <c r="H4244">
        <v>23603</v>
      </c>
      <c r="I4244" t="s">
        <v>23</v>
      </c>
      <c r="J4244" t="s">
        <v>40</v>
      </c>
      <c r="K4244" s="2" t="s">
        <v>268</v>
      </c>
      <c r="L4244" t="s">
        <v>26</v>
      </c>
      <c r="M4244">
        <v>344281</v>
      </c>
      <c r="N4244">
        <v>-1</v>
      </c>
      <c r="O4244" s="3">
        <v>-49990</v>
      </c>
      <c r="P4244" s="3">
        <v>22607</v>
      </c>
      <c r="Q4244" s="5">
        <f t="shared" si="198"/>
        <v>-42008.403361344543</v>
      </c>
      <c r="R4244" s="5">
        <f t="shared" si="199"/>
        <v>-22607</v>
      </c>
      <c r="S4244" s="5">
        <f t="shared" si="200"/>
        <v>-19401.403361344543</v>
      </c>
    </row>
    <row r="4245" spans="1:19" hidden="1" x14ac:dyDescent="0.3">
      <c r="A4245">
        <v>180</v>
      </c>
      <c r="B4245" t="s">
        <v>5549</v>
      </c>
      <c r="C4245" t="s">
        <v>4167</v>
      </c>
      <c r="D4245" s="2" t="s">
        <v>4168</v>
      </c>
      <c r="E4245" t="s">
        <v>3691</v>
      </c>
      <c r="F4245" t="s">
        <v>20</v>
      </c>
      <c r="G4245" t="s">
        <v>338</v>
      </c>
      <c r="H4245">
        <v>23727</v>
      </c>
      <c r="I4245" t="s">
        <v>23</v>
      </c>
      <c r="J4245" t="s">
        <v>40</v>
      </c>
      <c r="K4245" s="2" t="s">
        <v>268</v>
      </c>
      <c r="L4245" t="s">
        <v>26</v>
      </c>
      <c r="M4245">
        <v>344282</v>
      </c>
      <c r="N4245">
        <v>1</v>
      </c>
      <c r="O4245" s="3">
        <v>49990</v>
      </c>
      <c r="P4245" s="3">
        <v>26539</v>
      </c>
      <c r="Q4245" s="5">
        <f t="shared" si="198"/>
        <v>42008.403361344543</v>
      </c>
      <c r="R4245" s="5">
        <f t="shared" si="199"/>
        <v>26539</v>
      </c>
      <c r="S4245" s="5">
        <f t="shared" si="200"/>
        <v>15469.403361344543</v>
      </c>
    </row>
    <row r="4246" spans="1:19" hidden="1" x14ac:dyDescent="0.3">
      <c r="A4246">
        <v>180</v>
      </c>
      <c r="B4246" t="s">
        <v>5549</v>
      </c>
      <c r="C4246" t="s">
        <v>4903</v>
      </c>
      <c r="D4246" s="2" t="s">
        <v>4904</v>
      </c>
      <c r="E4246" t="s">
        <v>4577</v>
      </c>
      <c r="F4246" t="s">
        <v>20</v>
      </c>
      <c r="G4246" t="s">
        <v>338</v>
      </c>
      <c r="H4246">
        <v>23724</v>
      </c>
      <c r="I4246" t="s">
        <v>23</v>
      </c>
      <c r="J4246" t="s">
        <v>40</v>
      </c>
      <c r="K4246" s="2" t="s">
        <v>268</v>
      </c>
      <c r="L4246" t="s">
        <v>26</v>
      </c>
      <c r="M4246">
        <v>344283</v>
      </c>
      <c r="N4246">
        <v>1</v>
      </c>
      <c r="O4246" s="3">
        <v>79950</v>
      </c>
      <c r="P4246" s="3">
        <v>26332</v>
      </c>
      <c r="Q4246" s="5">
        <f t="shared" si="198"/>
        <v>67184.873949579836</v>
      </c>
      <c r="R4246" s="5">
        <f t="shared" si="199"/>
        <v>26332</v>
      </c>
      <c r="S4246" s="5">
        <f t="shared" si="200"/>
        <v>40852.873949579836</v>
      </c>
    </row>
    <row r="4247" spans="1:19" hidden="1" x14ac:dyDescent="0.3">
      <c r="A4247">
        <v>180</v>
      </c>
      <c r="B4247" t="s">
        <v>5549</v>
      </c>
      <c r="C4247" t="s">
        <v>3242</v>
      </c>
      <c r="D4247" s="2" t="s">
        <v>3243</v>
      </c>
      <c r="E4247" t="s">
        <v>2378</v>
      </c>
      <c r="F4247" t="s">
        <v>20</v>
      </c>
      <c r="G4247" t="s">
        <v>21</v>
      </c>
      <c r="H4247" t="s">
        <v>2379</v>
      </c>
      <c r="I4247" t="s">
        <v>23</v>
      </c>
      <c r="J4247" t="s">
        <v>40</v>
      </c>
      <c r="K4247" s="2" t="s">
        <v>268</v>
      </c>
      <c r="L4247" t="s">
        <v>26</v>
      </c>
      <c r="M4247">
        <v>344284</v>
      </c>
      <c r="N4247">
        <v>1</v>
      </c>
      <c r="O4247" s="3">
        <v>49950</v>
      </c>
      <c r="P4247" s="3">
        <v>15735</v>
      </c>
      <c r="Q4247" s="5">
        <f t="shared" si="198"/>
        <v>41974.789915966387</v>
      </c>
      <c r="R4247" s="5">
        <f t="shared" si="199"/>
        <v>15735</v>
      </c>
      <c r="S4247" s="5">
        <f t="shared" si="200"/>
        <v>26239.789915966387</v>
      </c>
    </row>
    <row r="4248" spans="1:19" hidden="1" x14ac:dyDescent="0.3">
      <c r="A4248">
        <v>180</v>
      </c>
      <c r="B4248" t="s">
        <v>5549</v>
      </c>
      <c r="C4248" t="s">
        <v>5565</v>
      </c>
      <c r="D4248" s="2" t="s">
        <v>5566</v>
      </c>
      <c r="E4248" t="s">
        <v>3438</v>
      </c>
      <c r="F4248" t="s">
        <v>20</v>
      </c>
      <c r="G4248" t="s">
        <v>338</v>
      </c>
      <c r="H4248">
        <v>83707</v>
      </c>
      <c r="I4248" t="s">
        <v>23</v>
      </c>
      <c r="J4248" t="s">
        <v>40</v>
      </c>
      <c r="K4248" s="2" t="s">
        <v>268</v>
      </c>
      <c r="L4248" t="s">
        <v>26</v>
      </c>
      <c r="M4248">
        <v>344285</v>
      </c>
      <c r="N4248">
        <v>1</v>
      </c>
      <c r="O4248" s="3">
        <v>76450</v>
      </c>
      <c r="P4248" s="3">
        <v>30263</v>
      </c>
      <c r="Q4248" s="5">
        <f t="shared" si="198"/>
        <v>64243.697478991598</v>
      </c>
      <c r="R4248" s="5">
        <f t="shared" si="199"/>
        <v>30263</v>
      </c>
      <c r="S4248" s="5">
        <f t="shared" si="200"/>
        <v>33980.697478991598</v>
      </c>
    </row>
    <row r="4249" spans="1:19" hidden="1" x14ac:dyDescent="0.3">
      <c r="A4249">
        <v>180</v>
      </c>
      <c r="B4249" t="s">
        <v>5549</v>
      </c>
      <c r="C4249" t="s">
        <v>5567</v>
      </c>
      <c r="D4249" s="2" t="s">
        <v>5568</v>
      </c>
      <c r="E4249" t="s">
        <v>990</v>
      </c>
      <c r="F4249" t="s">
        <v>20</v>
      </c>
      <c r="G4249" t="s">
        <v>21</v>
      </c>
      <c r="H4249" t="s">
        <v>991</v>
      </c>
      <c r="I4249" t="s">
        <v>23</v>
      </c>
      <c r="J4249" t="s">
        <v>49</v>
      </c>
      <c r="K4249" s="2" t="s">
        <v>268</v>
      </c>
      <c r="L4249" t="s">
        <v>26</v>
      </c>
      <c r="M4249">
        <v>344286</v>
      </c>
      <c r="N4249">
        <v>1</v>
      </c>
      <c r="O4249" s="3">
        <v>69950</v>
      </c>
      <c r="P4249" s="3">
        <v>22189</v>
      </c>
      <c r="Q4249" s="5">
        <f t="shared" si="198"/>
        <v>58781.512605042022</v>
      </c>
      <c r="R4249" s="5">
        <f t="shared" si="199"/>
        <v>22189</v>
      </c>
      <c r="S4249" s="5">
        <f t="shared" si="200"/>
        <v>36592.512605042022</v>
      </c>
    </row>
    <row r="4250" spans="1:19" hidden="1" x14ac:dyDescent="0.3">
      <c r="A4250">
        <v>180</v>
      </c>
      <c r="B4250" t="s">
        <v>5549</v>
      </c>
      <c r="C4250" t="s">
        <v>3781</v>
      </c>
      <c r="D4250" s="2" t="s">
        <v>3782</v>
      </c>
      <c r="E4250" t="s">
        <v>3783</v>
      </c>
      <c r="F4250" t="s">
        <v>20</v>
      </c>
      <c r="G4250" t="s">
        <v>21</v>
      </c>
      <c r="H4250" t="s">
        <v>295</v>
      </c>
      <c r="I4250" t="s">
        <v>23</v>
      </c>
      <c r="J4250" t="s">
        <v>40</v>
      </c>
      <c r="K4250" s="2" t="s">
        <v>268</v>
      </c>
      <c r="L4250" t="s">
        <v>26</v>
      </c>
      <c r="M4250">
        <v>344287</v>
      </c>
      <c r="N4250">
        <v>1</v>
      </c>
      <c r="O4250" s="3">
        <v>79950</v>
      </c>
      <c r="P4250" s="3">
        <v>25028</v>
      </c>
      <c r="Q4250" s="5">
        <f t="shared" si="198"/>
        <v>67184.873949579836</v>
      </c>
      <c r="R4250" s="5">
        <f t="shared" si="199"/>
        <v>25028</v>
      </c>
      <c r="S4250" s="5">
        <f t="shared" si="200"/>
        <v>42156.873949579836</v>
      </c>
    </row>
    <row r="4251" spans="1:19" hidden="1" x14ac:dyDescent="0.3">
      <c r="A4251">
        <v>180</v>
      </c>
      <c r="B4251" t="s">
        <v>5549</v>
      </c>
      <c r="C4251" t="s">
        <v>5569</v>
      </c>
      <c r="D4251" s="2" t="s">
        <v>5570</v>
      </c>
      <c r="E4251" t="s">
        <v>3807</v>
      </c>
      <c r="F4251" t="s">
        <v>20</v>
      </c>
      <c r="G4251" t="s">
        <v>21</v>
      </c>
      <c r="H4251" t="s">
        <v>2782</v>
      </c>
      <c r="I4251" t="s">
        <v>23</v>
      </c>
      <c r="J4251" t="s">
        <v>40</v>
      </c>
      <c r="K4251" s="2" t="s">
        <v>268</v>
      </c>
      <c r="L4251" t="s">
        <v>26</v>
      </c>
      <c r="M4251">
        <v>344288</v>
      </c>
      <c r="N4251">
        <v>1</v>
      </c>
      <c r="O4251" s="3">
        <v>69950</v>
      </c>
      <c r="P4251" s="3">
        <v>23697</v>
      </c>
      <c r="Q4251" s="5">
        <f t="shared" si="198"/>
        <v>58781.512605042022</v>
      </c>
      <c r="R4251" s="5">
        <f t="shared" si="199"/>
        <v>23697</v>
      </c>
      <c r="S4251" s="5">
        <f t="shared" si="200"/>
        <v>35084.512605042022</v>
      </c>
    </row>
    <row r="4252" spans="1:19" hidden="1" x14ac:dyDescent="0.3">
      <c r="A4252">
        <v>180</v>
      </c>
      <c r="B4252" t="s">
        <v>5549</v>
      </c>
      <c r="C4252" t="s">
        <v>5571</v>
      </c>
      <c r="D4252" s="2" t="s">
        <v>5572</v>
      </c>
      <c r="E4252" t="s">
        <v>3914</v>
      </c>
      <c r="F4252" t="s">
        <v>20</v>
      </c>
      <c r="G4252" t="s">
        <v>338</v>
      </c>
      <c r="H4252">
        <v>24316</v>
      </c>
      <c r="I4252" t="s">
        <v>23</v>
      </c>
      <c r="J4252" t="s">
        <v>49</v>
      </c>
      <c r="K4252" s="2" t="s">
        <v>268</v>
      </c>
      <c r="L4252" t="s">
        <v>26</v>
      </c>
      <c r="M4252">
        <v>344289</v>
      </c>
      <c r="N4252">
        <v>1</v>
      </c>
      <c r="O4252" s="3">
        <v>74950</v>
      </c>
      <c r="P4252" s="3">
        <v>23473</v>
      </c>
      <c r="Q4252" s="5">
        <f t="shared" si="198"/>
        <v>62983.193277310929</v>
      </c>
      <c r="R4252" s="5">
        <f t="shared" si="199"/>
        <v>23473</v>
      </c>
      <c r="S4252" s="5">
        <f t="shared" si="200"/>
        <v>39510.193277310929</v>
      </c>
    </row>
    <row r="4253" spans="1:19" hidden="1" x14ac:dyDescent="0.3">
      <c r="A4253">
        <v>180</v>
      </c>
      <c r="B4253" t="s">
        <v>5549</v>
      </c>
      <c r="C4253" t="s">
        <v>1368</v>
      </c>
      <c r="D4253" s="2" t="s">
        <v>1369</v>
      </c>
      <c r="E4253" t="s">
        <v>1171</v>
      </c>
      <c r="F4253" t="s">
        <v>20</v>
      </c>
      <c r="G4253" t="s">
        <v>21</v>
      </c>
      <c r="H4253" t="s">
        <v>500</v>
      </c>
      <c r="I4253" t="s">
        <v>23</v>
      </c>
      <c r="J4253" t="s">
        <v>40</v>
      </c>
      <c r="K4253" s="2" t="s">
        <v>2344</v>
      </c>
      <c r="L4253" t="s">
        <v>26</v>
      </c>
      <c r="M4253">
        <v>344290</v>
      </c>
      <c r="N4253">
        <v>1</v>
      </c>
      <c r="O4253" s="3">
        <v>59950</v>
      </c>
      <c r="P4253" s="3">
        <v>17416</v>
      </c>
      <c r="Q4253" s="5">
        <f t="shared" si="198"/>
        <v>50378.151260504201</v>
      </c>
      <c r="R4253" s="5">
        <f t="shared" si="199"/>
        <v>17416</v>
      </c>
      <c r="S4253" s="5">
        <f t="shared" si="200"/>
        <v>32962.151260504201</v>
      </c>
    </row>
    <row r="4254" spans="1:19" hidden="1" x14ac:dyDescent="0.3">
      <c r="A4254">
        <v>180</v>
      </c>
      <c r="B4254" t="s">
        <v>5549</v>
      </c>
      <c r="C4254" t="s">
        <v>4425</v>
      </c>
      <c r="D4254" s="2" t="s">
        <v>4426</v>
      </c>
      <c r="E4254" t="s">
        <v>2262</v>
      </c>
      <c r="F4254" t="s">
        <v>20</v>
      </c>
      <c r="G4254" t="s">
        <v>21</v>
      </c>
      <c r="H4254" t="s">
        <v>565</v>
      </c>
      <c r="I4254" t="s">
        <v>23</v>
      </c>
      <c r="J4254" t="s">
        <v>49</v>
      </c>
      <c r="K4254" s="2" t="s">
        <v>2344</v>
      </c>
      <c r="L4254" t="s">
        <v>26</v>
      </c>
      <c r="M4254">
        <v>344291</v>
      </c>
      <c r="N4254">
        <v>1</v>
      </c>
      <c r="O4254" s="3">
        <v>69950</v>
      </c>
      <c r="P4254" s="3">
        <v>24012</v>
      </c>
      <c r="Q4254" s="5">
        <f t="shared" si="198"/>
        <v>58781.512605042022</v>
      </c>
      <c r="R4254" s="5">
        <f t="shared" si="199"/>
        <v>24012</v>
      </c>
      <c r="S4254" s="5">
        <f t="shared" si="200"/>
        <v>34769.512605042022</v>
      </c>
    </row>
    <row r="4255" spans="1:19" hidden="1" x14ac:dyDescent="0.3">
      <c r="A4255">
        <v>180</v>
      </c>
      <c r="B4255" t="s">
        <v>5549</v>
      </c>
      <c r="C4255" t="s">
        <v>5573</v>
      </c>
      <c r="D4255" s="2" t="s">
        <v>5574</v>
      </c>
      <c r="E4255" t="s">
        <v>5575</v>
      </c>
      <c r="F4255" t="s">
        <v>20</v>
      </c>
      <c r="G4255" t="s">
        <v>21</v>
      </c>
      <c r="H4255" t="s">
        <v>618</v>
      </c>
      <c r="I4255" t="s">
        <v>23</v>
      </c>
      <c r="J4255" t="s">
        <v>40</v>
      </c>
      <c r="K4255" s="2" t="s">
        <v>2344</v>
      </c>
      <c r="L4255" t="s">
        <v>26</v>
      </c>
      <c r="M4255">
        <v>344292</v>
      </c>
      <c r="N4255">
        <v>1</v>
      </c>
      <c r="O4255" s="3">
        <v>34990</v>
      </c>
      <c r="P4255" s="3">
        <v>16817</v>
      </c>
      <c r="Q4255" s="5">
        <f t="shared" si="198"/>
        <v>29403.361344537818</v>
      </c>
      <c r="R4255" s="5">
        <f t="shared" si="199"/>
        <v>16817</v>
      </c>
      <c r="S4255" s="5">
        <f t="shared" si="200"/>
        <v>12586.361344537818</v>
      </c>
    </row>
    <row r="4256" spans="1:19" hidden="1" x14ac:dyDescent="0.3">
      <c r="A4256">
        <v>180</v>
      </c>
      <c r="B4256" t="s">
        <v>5549</v>
      </c>
      <c r="C4256" t="s">
        <v>5576</v>
      </c>
      <c r="D4256" s="2" t="s">
        <v>5577</v>
      </c>
      <c r="E4256" t="s">
        <v>4396</v>
      </c>
      <c r="F4256" t="s">
        <v>20</v>
      </c>
      <c r="G4256" t="s">
        <v>21</v>
      </c>
      <c r="H4256" t="s">
        <v>2759</v>
      </c>
      <c r="I4256" t="s">
        <v>23</v>
      </c>
      <c r="J4256" t="s">
        <v>49</v>
      </c>
      <c r="K4256" s="2" t="s">
        <v>2344</v>
      </c>
      <c r="L4256" t="s">
        <v>26</v>
      </c>
      <c r="M4256">
        <v>344293</v>
      </c>
      <c r="N4256">
        <v>1</v>
      </c>
      <c r="O4256" s="3">
        <v>79950</v>
      </c>
      <c r="P4256" s="3">
        <v>33323</v>
      </c>
      <c r="Q4256" s="5">
        <f t="shared" si="198"/>
        <v>67184.873949579836</v>
      </c>
      <c r="R4256" s="5">
        <f t="shared" si="199"/>
        <v>33323</v>
      </c>
      <c r="S4256" s="5">
        <f t="shared" si="200"/>
        <v>33861.873949579836</v>
      </c>
    </row>
    <row r="4257" spans="1:19" hidden="1" x14ac:dyDescent="0.3">
      <c r="A4257">
        <v>180</v>
      </c>
      <c r="B4257" t="s">
        <v>5549</v>
      </c>
      <c r="C4257" t="s">
        <v>2365</v>
      </c>
      <c r="D4257" s="2" t="s">
        <v>2366</v>
      </c>
      <c r="E4257" t="s">
        <v>2367</v>
      </c>
      <c r="F4257" t="s">
        <v>377</v>
      </c>
      <c r="G4257" t="s">
        <v>21</v>
      </c>
      <c r="H4257" t="s">
        <v>378</v>
      </c>
      <c r="I4257" t="s">
        <v>23</v>
      </c>
      <c r="J4257" t="s">
        <v>379</v>
      </c>
      <c r="K4257" s="2" t="s">
        <v>2344</v>
      </c>
      <c r="L4257" t="s">
        <v>26</v>
      </c>
      <c r="M4257">
        <v>344294</v>
      </c>
      <c r="N4257">
        <v>2</v>
      </c>
      <c r="O4257" s="3">
        <v>13900</v>
      </c>
      <c r="P4257" s="3">
        <v>3759</v>
      </c>
      <c r="Q4257" s="5">
        <f t="shared" si="198"/>
        <v>11680.672268907563</v>
      </c>
      <c r="R4257" s="5">
        <f t="shared" si="199"/>
        <v>7518</v>
      </c>
      <c r="S4257" s="5">
        <f t="shared" si="200"/>
        <v>4162.6722689075632</v>
      </c>
    </row>
    <row r="4258" spans="1:19" hidden="1" x14ac:dyDescent="0.3">
      <c r="A4258">
        <v>180</v>
      </c>
      <c r="B4258" t="s">
        <v>5549</v>
      </c>
      <c r="C4258" t="s">
        <v>5578</v>
      </c>
      <c r="D4258" s="2" t="s">
        <v>5579</v>
      </c>
      <c r="E4258" t="s">
        <v>388</v>
      </c>
      <c r="F4258" t="s">
        <v>20</v>
      </c>
      <c r="G4258" t="s">
        <v>21</v>
      </c>
      <c r="H4258" t="s">
        <v>171</v>
      </c>
      <c r="I4258" t="s">
        <v>23</v>
      </c>
      <c r="J4258" t="s">
        <v>40</v>
      </c>
      <c r="K4258" s="2" t="s">
        <v>2344</v>
      </c>
      <c r="L4258" t="s">
        <v>26</v>
      </c>
      <c r="M4258">
        <v>344295</v>
      </c>
      <c r="N4258">
        <v>1</v>
      </c>
      <c r="O4258" s="3">
        <v>39990</v>
      </c>
      <c r="P4258" s="3">
        <v>28526</v>
      </c>
      <c r="Q4258" s="5">
        <f t="shared" si="198"/>
        <v>33605.042016806721</v>
      </c>
      <c r="R4258" s="5">
        <f t="shared" si="199"/>
        <v>28526</v>
      </c>
      <c r="S4258" s="5">
        <f t="shared" si="200"/>
        <v>5079.0420168067212</v>
      </c>
    </row>
    <row r="4259" spans="1:19" hidden="1" x14ac:dyDescent="0.3">
      <c r="A4259">
        <v>180</v>
      </c>
      <c r="B4259" t="s">
        <v>5549</v>
      </c>
      <c r="C4259">
        <v>1687976791</v>
      </c>
      <c r="D4259" s="2" t="s">
        <v>200</v>
      </c>
      <c r="E4259" t="s">
        <v>201</v>
      </c>
      <c r="F4259" t="s">
        <v>201</v>
      </c>
      <c r="G4259" t="s">
        <v>202</v>
      </c>
      <c r="H4259" t="s">
        <v>202</v>
      </c>
      <c r="I4259" t="s">
        <v>23</v>
      </c>
      <c r="J4259" t="s">
        <v>202</v>
      </c>
      <c r="K4259" s="2" t="s">
        <v>2344</v>
      </c>
      <c r="L4259" t="s">
        <v>26</v>
      </c>
      <c r="M4259">
        <v>344295</v>
      </c>
      <c r="N4259">
        <v>1</v>
      </c>
      <c r="O4259" s="3">
        <v>2000</v>
      </c>
      <c r="P4259">
        <v>1</v>
      </c>
      <c r="Q4259" s="5">
        <f t="shared" si="198"/>
        <v>1680.6722689075632</v>
      </c>
      <c r="R4259" s="5">
        <f t="shared" si="199"/>
        <v>1</v>
      </c>
      <c r="S4259" s="5">
        <f t="shared" si="200"/>
        <v>1679.6722689075632</v>
      </c>
    </row>
    <row r="4260" spans="1:19" hidden="1" x14ac:dyDescent="0.3">
      <c r="A4260">
        <v>180</v>
      </c>
      <c r="B4260" t="s">
        <v>5549</v>
      </c>
      <c r="C4260" t="s">
        <v>5580</v>
      </c>
      <c r="D4260" s="2" t="s">
        <v>5581</v>
      </c>
      <c r="E4260" t="s">
        <v>5582</v>
      </c>
      <c r="F4260" t="s">
        <v>20</v>
      </c>
      <c r="G4260" t="s">
        <v>21</v>
      </c>
      <c r="H4260" t="s">
        <v>44</v>
      </c>
      <c r="I4260" t="s">
        <v>23</v>
      </c>
      <c r="J4260" t="s">
        <v>40</v>
      </c>
      <c r="K4260" s="2" t="s">
        <v>2344</v>
      </c>
      <c r="L4260" t="s">
        <v>26</v>
      </c>
      <c r="M4260">
        <v>344296</v>
      </c>
      <c r="N4260">
        <v>1</v>
      </c>
      <c r="O4260" s="3">
        <v>39990</v>
      </c>
      <c r="P4260" s="3">
        <v>15368</v>
      </c>
      <c r="Q4260" s="5">
        <f t="shared" si="198"/>
        <v>33605.042016806721</v>
      </c>
      <c r="R4260" s="5">
        <f t="shared" si="199"/>
        <v>15368</v>
      </c>
      <c r="S4260" s="5">
        <f t="shared" si="200"/>
        <v>18237.042016806721</v>
      </c>
    </row>
    <row r="4261" spans="1:19" hidden="1" x14ac:dyDescent="0.3">
      <c r="A4261">
        <v>180</v>
      </c>
      <c r="B4261" t="s">
        <v>5549</v>
      </c>
      <c r="C4261" t="s">
        <v>4909</v>
      </c>
      <c r="D4261" s="2" t="s">
        <v>4910</v>
      </c>
      <c r="E4261" t="s">
        <v>3780</v>
      </c>
      <c r="F4261" t="s">
        <v>20</v>
      </c>
      <c r="G4261" t="s">
        <v>21</v>
      </c>
      <c r="H4261" t="s">
        <v>970</v>
      </c>
      <c r="I4261" t="s">
        <v>23</v>
      </c>
      <c r="J4261" t="s">
        <v>40</v>
      </c>
      <c r="K4261" s="2" t="s">
        <v>2344</v>
      </c>
      <c r="L4261" t="s">
        <v>26</v>
      </c>
      <c r="M4261">
        <v>344297</v>
      </c>
      <c r="N4261">
        <v>1</v>
      </c>
      <c r="O4261" s="3">
        <v>59950</v>
      </c>
      <c r="P4261" s="3">
        <v>15928</v>
      </c>
      <c r="Q4261" s="5">
        <f t="shared" si="198"/>
        <v>50378.151260504201</v>
      </c>
      <c r="R4261" s="5">
        <f t="shared" si="199"/>
        <v>15928</v>
      </c>
      <c r="S4261" s="5">
        <f t="shared" si="200"/>
        <v>34450.151260504201</v>
      </c>
    </row>
    <row r="4262" spans="1:19" hidden="1" x14ac:dyDescent="0.3">
      <c r="A4262">
        <v>180</v>
      </c>
      <c r="B4262" t="s">
        <v>5549</v>
      </c>
      <c r="C4262" t="s">
        <v>5531</v>
      </c>
      <c r="D4262" s="2" t="s">
        <v>5532</v>
      </c>
      <c r="E4262" t="s">
        <v>2533</v>
      </c>
      <c r="F4262" t="s">
        <v>20</v>
      </c>
      <c r="G4262" t="s">
        <v>21</v>
      </c>
      <c r="H4262" t="s">
        <v>500</v>
      </c>
      <c r="I4262" t="s">
        <v>23</v>
      </c>
      <c r="J4262" t="s">
        <v>40</v>
      </c>
      <c r="K4262" s="2" t="s">
        <v>2386</v>
      </c>
      <c r="L4262" t="s">
        <v>26</v>
      </c>
      <c r="M4262">
        <v>344298</v>
      </c>
      <c r="N4262">
        <v>1</v>
      </c>
      <c r="O4262" s="3">
        <v>49990</v>
      </c>
      <c r="P4262" s="3">
        <v>20043</v>
      </c>
      <c r="Q4262" s="5">
        <f t="shared" si="198"/>
        <v>42008.403361344543</v>
      </c>
      <c r="R4262" s="5">
        <f t="shared" si="199"/>
        <v>20043</v>
      </c>
      <c r="S4262" s="5">
        <f t="shared" si="200"/>
        <v>21965.403361344543</v>
      </c>
    </row>
    <row r="4263" spans="1:19" hidden="1" x14ac:dyDescent="0.3">
      <c r="A4263">
        <v>180</v>
      </c>
      <c r="B4263" t="s">
        <v>5549</v>
      </c>
      <c r="C4263" t="s">
        <v>492</v>
      </c>
      <c r="D4263" s="2" t="s">
        <v>493</v>
      </c>
      <c r="E4263" t="s">
        <v>494</v>
      </c>
      <c r="F4263" t="s">
        <v>20</v>
      </c>
      <c r="G4263" t="s">
        <v>21</v>
      </c>
      <c r="H4263" t="s">
        <v>317</v>
      </c>
      <c r="I4263" t="s">
        <v>23</v>
      </c>
      <c r="J4263" t="s">
        <v>35</v>
      </c>
      <c r="K4263" s="2" t="s">
        <v>2386</v>
      </c>
      <c r="L4263" t="s">
        <v>26</v>
      </c>
      <c r="M4263">
        <v>344299</v>
      </c>
      <c r="N4263">
        <v>1</v>
      </c>
      <c r="O4263" s="3">
        <v>69950</v>
      </c>
      <c r="P4263" s="3">
        <v>23619</v>
      </c>
      <c r="Q4263" s="5">
        <f t="shared" si="198"/>
        <v>58781.512605042022</v>
      </c>
      <c r="R4263" s="5">
        <f t="shared" si="199"/>
        <v>23619</v>
      </c>
      <c r="S4263" s="5">
        <f t="shared" si="200"/>
        <v>35162.512605042022</v>
      </c>
    </row>
    <row r="4264" spans="1:19" hidden="1" x14ac:dyDescent="0.3">
      <c r="A4264">
        <v>180</v>
      </c>
      <c r="B4264" t="s">
        <v>5549</v>
      </c>
      <c r="C4264" t="s">
        <v>4427</v>
      </c>
      <c r="D4264" s="2" t="s">
        <v>4428</v>
      </c>
      <c r="E4264" t="s">
        <v>1986</v>
      </c>
      <c r="F4264" t="s">
        <v>20</v>
      </c>
      <c r="G4264" t="s">
        <v>21</v>
      </c>
      <c r="H4264" t="s">
        <v>1987</v>
      </c>
      <c r="I4264" t="s">
        <v>23</v>
      </c>
      <c r="J4264" t="s">
        <v>49</v>
      </c>
      <c r="K4264" s="2" t="s">
        <v>2386</v>
      </c>
      <c r="L4264" t="s">
        <v>26</v>
      </c>
      <c r="M4264">
        <v>344300</v>
      </c>
      <c r="N4264">
        <v>1</v>
      </c>
      <c r="O4264" s="3">
        <v>74950</v>
      </c>
      <c r="P4264" s="3">
        <v>25014</v>
      </c>
      <c r="Q4264" s="5">
        <f t="shared" si="198"/>
        <v>62983.193277310929</v>
      </c>
      <c r="R4264" s="5">
        <f t="shared" si="199"/>
        <v>25014</v>
      </c>
      <c r="S4264" s="5">
        <f t="shared" si="200"/>
        <v>37969.193277310929</v>
      </c>
    </row>
    <row r="4265" spans="1:19" hidden="1" x14ac:dyDescent="0.3">
      <c r="A4265">
        <v>180</v>
      </c>
      <c r="B4265" t="s">
        <v>5549</v>
      </c>
      <c r="C4265" t="s">
        <v>1242</v>
      </c>
      <c r="D4265" s="2" t="s">
        <v>1243</v>
      </c>
      <c r="E4265" t="s">
        <v>1244</v>
      </c>
      <c r="F4265" t="s">
        <v>20</v>
      </c>
      <c r="G4265" t="s">
        <v>338</v>
      </c>
      <c r="H4265">
        <v>83707</v>
      </c>
      <c r="I4265" t="s">
        <v>23</v>
      </c>
      <c r="J4265" t="s">
        <v>40</v>
      </c>
      <c r="K4265" s="2" t="s">
        <v>2386</v>
      </c>
      <c r="L4265" t="s">
        <v>26</v>
      </c>
      <c r="M4265">
        <v>344301</v>
      </c>
      <c r="N4265">
        <v>1</v>
      </c>
      <c r="O4265" s="3">
        <v>69990</v>
      </c>
      <c r="P4265" s="3">
        <v>30263</v>
      </c>
      <c r="Q4265" s="5">
        <f t="shared" si="198"/>
        <v>58815.126050420171</v>
      </c>
      <c r="R4265" s="5">
        <f t="shared" si="199"/>
        <v>30263</v>
      </c>
      <c r="S4265" s="5">
        <f t="shared" si="200"/>
        <v>28552.126050420171</v>
      </c>
    </row>
    <row r="4266" spans="1:19" hidden="1" x14ac:dyDescent="0.3">
      <c r="A4266">
        <v>180</v>
      </c>
      <c r="B4266" t="s">
        <v>5549</v>
      </c>
      <c r="C4266" t="s">
        <v>5583</v>
      </c>
      <c r="D4266" s="2" t="s">
        <v>5584</v>
      </c>
      <c r="E4266" t="s">
        <v>2483</v>
      </c>
      <c r="F4266" t="s">
        <v>20</v>
      </c>
      <c r="G4266" t="s">
        <v>21</v>
      </c>
      <c r="H4266" t="s">
        <v>2484</v>
      </c>
      <c r="I4266" t="s">
        <v>23</v>
      </c>
      <c r="J4266" t="s">
        <v>40</v>
      </c>
      <c r="K4266" s="2" t="s">
        <v>2386</v>
      </c>
      <c r="L4266" t="s">
        <v>26</v>
      </c>
      <c r="M4266">
        <v>344302</v>
      </c>
      <c r="N4266">
        <v>1</v>
      </c>
      <c r="O4266" s="3">
        <v>59950</v>
      </c>
      <c r="P4266" s="3">
        <v>17503</v>
      </c>
      <c r="Q4266" s="5">
        <f t="shared" si="198"/>
        <v>50378.151260504201</v>
      </c>
      <c r="R4266" s="5">
        <f t="shared" si="199"/>
        <v>17503</v>
      </c>
      <c r="S4266" s="5">
        <f t="shared" si="200"/>
        <v>32875.151260504201</v>
      </c>
    </row>
    <row r="4267" spans="1:19" hidden="1" x14ac:dyDescent="0.3">
      <c r="A4267">
        <v>180</v>
      </c>
      <c r="B4267" t="s">
        <v>5549</v>
      </c>
      <c r="C4267">
        <v>1687976791</v>
      </c>
      <c r="D4267" s="2" t="s">
        <v>200</v>
      </c>
      <c r="E4267" t="s">
        <v>201</v>
      </c>
      <c r="F4267" t="s">
        <v>201</v>
      </c>
      <c r="G4267" t="s">
        <v>202</v>
      </c>
      <c r="H4267" t="s">
        <v>202</v>
      </c>
      <c r="I4267" t="s">
        <v>23</v>
      </c>
      <c r="J4267" t="s">
        <v>202</v>
      </c>
      <c r="K4267" s="2" t="s">
        <v>2386</v>
      </c>
      <c r="L4267" t="s">
        <v>26</v>
      </c>
      <c r="M4267">
        <v>344303</v>
      </c>
      <c r="N4267">
        <v>1</v>
      </c>
      <c r="O4267" s="3">
        <v>2000</v>
      </c>
      <c r="P4267">
        <v>1</v>
      </c>
      <c r="Q4267" s="5">
        <f t="shared" si="198"/>
        <v>1680.6722689075632</v>
      </c>
      <c r="R4267" s="5">
        <f t="shared" si="199"/>
        <v>1</v>
      </c>
      <c r="S4267" s="5">
        <f t="shared" si="200"/>
        <v>1679.6722689075632</v>
      </c>
    </row>
    <row r="4268" spans="1:19" hidden="1" x14ac:dyDescent="0.3">
      <c r="A4268">
        <v>180</v>
      </c>
      <c r="B4268" t="s">
        <v>5549</v>
      </c>
      <c r="C4268" t="s">
        <v>5585</v>
      </c>
      <c r="D4268" s="2" t="s">
        <v>5586</v>
      </c>
      <c r="E4268" t="s">
        <v>302</v>
      </c>
      <c r="F4268" t="s">
        <v>20</v>
      </c>
      <c r="G4268" t="s">
        <v>21</v>
      </c>
      <c r="H4268" t="s">
        <v>53</v>
      </c>
      <c r="I4268" t="s">
        <v>23</v>
      </c>
      <c r="J4268" t="s">
        <v>49</v>
      </c>
      <c r="K4268" s="2" t="s">
        <v>2386</v>
      </c>
      <c r="L4268" t="s">
        <v>26</v>
      </c>
      <c r="M4268">
        <v>344303</v>
      </c>
      <c r="N4268">
        <v>1</v>
      </c>
      <c r="O4268" s="3">
        <v>49990</v>
      </c>
      <c r="P4268" s="3">
        <v>21368</v>
      </c>
      <c r="Q4268" s="5">
        <f t="shared" si="198"/>
        <v>42008.403361344543</v>
      </c>
      <c r="R4268" s="5">
        <f t="shared" si="199"/>
        <v>21368</v>
      </c>
      <c r="S4268" s="5">
        <f t="shared" si="200"/>
        <v>20640.403361344543</v>
      </c>
    </row>
    <row r="4269" spans="1:19" hidden="1" x14ac:dyDescent="0.3">
      <c r="A4269">
        <v>180</v>
      </c>
      <c r="B4269" t="s">
        <v>5549</v>
      </c>
      <c r="C4269" t="s">
        <v>5587</v>
      </c>
      <c r="D4269" s="2" t="s">
        <v>5588</v>
      </c>
      <c r="E4269" t="s">
        <v>5589</v>
      </c>
      <c r="F4269" t="s">
        <v>20</v>
      </c>
      <c r="G4269" t="s">
        <v>21</v>
      </c>
      <c r="H4269" t="s">
        <v>966</v>
      </c>
      <c r="I4269" t="s">
        <v>23</v>
      </c>
      <c r="J4269" t="s">
        <v>40</v>
      </c>
      <c r="K4269" s="2" t="s">
        <v>2386</v>
      </c>
      <c r="L4269" t="s">
        <v>26</v>
      </c>
      <c r="M4269">
        <v>344304</v>
      </c>
      <c r="N4269">
        <v>1</v>
      </c>
      <c r="O4269" s="3">
        <v>49990</v>
      </c>
      <c r="P4269" s="3">
        <v>23551</v>
      </c>
      <c r="Q4269" s="5">
        <f t="shared" si="198"/>
        <v>42008.403361344543</v>
      </c>
      <c r="R4269" s="5">
        <f t="shared" si="199"/>
        <v>23551</v>
      </c>
      <c r="S4269" s="5">
        <f t="shared" si="200"/>
        <v>18457.403361344543</v>
      </c>
    </row>
    <row r="4270" spans="1:19" hidden="1" x14ac:dyDescent="0.3">
      <c r="A4270">
        <v>180</v>
      </c>
      <c r="B4270" t="s">
        <v>5549</v>
      </c>
      <c r="C4270" t="s">
        <v>2984</v>
      </c>
      <c r="D4270" s="2" t="s">
        <v>2985</v>
      </c>
      <c r="E4270" t="s">
        <v>2986</v>
      </c>
      <c r="F4270" t="s">
        <v>20</v>
      </c>
      <c r="G4270" t="s">
        <v>21</v>
      </c>
      <c r="H4270" t="s">
        <v>267</v>
      </c>
      <c r="I4270" t="s">
        <v>23</v>
      </c>
      <c r="J4270" t="s">
        <v>35</v>
      </c>
      <c r="K4270" s="2" t="s">
        <v>2386</v>
      </c>
      <c r="L4270" t="s">
        <v>26</v>
      </c>
      <c r="M4270">
        <v>344304</v>
      </c>
      <c r="N4270">
        <v>1</v>
      </c>
      <c r="O4270" s="3">
        <v>74950</v>
      </c>
      <c r="P4270" s="3">
        <v>24733</v>
      </c>
      <c r="Q4270" s="5">
        <f t="shared" si="198"/>
        <v>62983.193277310929</v>
      </c>
      <c r="R4270" s="5">
        <f t="shared" si="199"/>
        <v>24733</v>
      </c>
      <c r="S4270" s="5">
        <f t="shared" si="200"/>
        <v>38250.193277310929</v>
      </c>
    </row>
    <row r="4271" spans="1:19" hidden="1" x14ac:dyDescent="0.3">
      <c r="A4271">
        <v>180</v>
      </c>
      <c r="B4271" t="s">
        <v>5549</v>
      </c>
      <c r="C4271" t="s">
        <v>4886</v>
      </c>
      <c r="D4271" s="2" t="s">
        <v>4887</v>
      </c>
      <c r="E4271" t="s">
        <v>4060</v>
      </c>
      <c r="F4271" t="s">
        <v>20</v>
      </c>
      <c r="G4271" t="s">
        <v>338</v>
      </c>
      <c r="H4271">
        <v>23726</v>
      </c>
      <c r="I4271" t="s">
        <v>23</v>
      </c>
      <c r="J4271" t="s">
        <v>40</v>
      </c>
      <c r="K4271" s="2" t="s">
        <v>2386</v>
      </c>
      <c r="L4271" t="s">
        <v>26</v>
      </c>
      <c r="M4271">
        <v>344305</v>
      </c>
      <c r="N4271">
        <v>1</v>
      </c>
      <c r="O4271" s="3">
        <v>89950</v>
      </c>
      <c r="P4271" s="3">
        <v>29798</v>
      </c>
      <c r="Q4271" s="5">
        <f t="shared" si="198"/>
        <v>75588.23529411765</v>
      </c>
      <c r="R4271" s="5">
        <f t="shared" si="199"/>
        <v>29798</v>
      </c>
      <c r="S4271" s="5">
        <f t="shared" si="200"/>
        <v>45790.23529411765</v>
      </c>
    </row>
    <row r="4272" spans="1:19" hidden="1" x14ac:dyDescent="0.3">
      <c r="A4272">
        <v>180</v>
      </c>
      <c r="B4272" t="s">
        <v>5549</v>
      </c>
      <c r="C4272" t="s">
        <v>2485</v>
      </c>
      <c r="D4272" s="2" t="s">
        <v>2486</v>
      </c>
      <c r="E4272" t="s">
        <v>2487</v>
      </c>
      <c r="F4272" t="s">
        <v>377</v>
      </c>
      <c r="G4272" t="s">
        <v>21</v>
      </c>
      <c r="H4272" t="s">
        <v>378</v>
      </c>
      <c r="I4272" t="s">
        <v>23</v>
      </c>
      <c r="J4272" t="s">
        <v>379</v>
      </c>
      <c r="K4272" s="2" t="s">
        <v>2386</v>
      </c>
      <c r="L4272" t="s">
        <v>26</v>
      </c>
      <c r="M4272">
        <v>344305</v>
      </c>
      <c r="N4272">
        <v>1</v>
      </c>
      <c r="O4272" s="3">
        <v>5950</v>
      </c>
      <c r="P4272" s="3">
        <v>2243</v>
      </c>
      <c r="Q4272" s="5">
        <f t="shared" si="198"/>
        <v>5000</v>
      </c>
      <c r="R4272" s="5">
        <f t="shared" si="199"/>
        <v>2243</v>
      </c>
      <c r="S4272" s="5">
        <f t="shared" si="200"/>
        <v>2757</v>
      </c>
    </row>
    <row r="4273" spans="1:19" hidden="1" x14ac:dyDescent="0.3">
      <c r="A4273">
        <v>180</v>
      </c>
      <c r="B4273" t="s">
        <v>5549</v>
      </c>
      <c r="C4273" t="s">
        <v>4437</v>
      </c>
      <c r="D4273" s="2" t="s">
        <v>4438</v>
      </c>
      <c r="E4273" t="s">
        <v>4411</v>
      </c>
      <c r="F4273" t="s">
        <v>20</v>
      </c>
      <c r="G4273" t="s">
        <v>21</v>
      </c>
      <c r="H4273" t="s">
        <v>614</v>
      </c>
      <c r="I4273" t="s">
        <v>23</v>
      </c>
      <c r="J4273" t="s">
        <v>40</v>
      </c>
      <c r="K4273" s="2" t="s">
        <v>2386</v>
      </c>
      <c r="L4273" t="s">
        <v>26</v>
      </c>
      <c r="M4273">
        <v>344306</v>
      </c>
      <c r="N4273">
        <v>1</v>
      </c>
      <c r="O4273" s="3">
        <v>39990</v>
      </c>
      <c r="P4273" s="3">
        <v>14604</v>
      </c>
      <c r="Q4273" s="5">
        <f t="shared" si="198"/>
        <v>33605.042016806721</v>
      </c>
      <c r="R4273" s="5">
        <f t="shared" si="199"/>
        <v>14604</v>
      </c>
      <c r="S4273" s="5">
        <f t="shared" si="200"/>
        <v>19001.042016806721</v>
      </c>
    </row>
    <row r="4274" spans="1:19" hidden="1" x14ac:dyDescent="0.3">
      <c r="A4274">
        <v>180</v>
      </c>
      <c r="B4274" t="s">
        <v>5549</v>
      </c>
      <c r="C4274">
        <v>1687976791</v>
      </c>
      <c r="D4274" s="2" t="s">
        <v>200</v>
      </c>
      <c r="E4274" t="s">
        <v>201</v>
      </c>
      <c r="F4274" t="s">
        <v>201</v>
      </c>
      <c r="G4274" t="s">
        <v>202</v>
      </c>
      <c r="H4274" t="s">
        <v>202</v>
      </c>
      <c r="I4274" t="s">
        <v>23</v>
      </c>
      <c r="J4274" t="s">
        <v>202</v>
      </c>
      <c r="K4274" s="2" t="s">
        <v>2386</v>
      </c>
      <c r="L4274" t="s">
        <v>26</v>
      </c>
      <c r="M4274">
        <v>344306</v>
      </c>
      <c r="N4274">
        <v>1</v>
      </c>
      <c r="O4274" s="3">
        <v>3200</v>
      </c>
      <c r="P4274">
        <v>1</v>
      </c>
      <c r="Q4274" s="5">
        <f t="shared" si="198"/>
        <v>2689.0756302521008</v>
      </c>
      <c r="R4274" s="5">
        <f t="shared" si="199"/>
        <v>1</v>
      </c>
      <c r="S4274" s="5">
        <f t="shared" si="200"/>
        <v>2688.0756302521008</v>
      </c>
    </row>
    <row r="4275" spans="1:19" hidden="1" x14ac:dyDescent="0.3">
      <c r="A4275">
        <v>180</v>
      </c>
      <c r="B4275" t="s">
        <v>5549</v>
      </c>
      <c r="C4275" t="s">
        <v>615</v>
      </c>
      <c r="D4275" s="2" t="s">
        <v>616</v>
      </c>
      <c r="E4275" t="s">
        <v>617</v>
      </c>
      <c r="F4275" t="s">
        <v>20</v>
      </c>
      <c r="G4275" t="s">
        <v>21</v>
      </c>
      <c r="H4275" t="s">
        <v>618</v>
      </c>
      <c r="I4275" t="s">
        <v>23</v>
      </c>
      <c r="J4275" t="s">
        <v>40</v>
      </c>
      <c r="K4275" s="2" t="s">
        <v>2386</v>
      </c>
      <c r="L4275" t="s">
        <v>26</v>
      </c>
      <c r="M4275">
        <v>344307</v>
      </c>
      <c r="N4275">
        <v>-1</v>
      </c>
      <c r="O4275" s="3">
        <v>-34990</v>
      </c>
      <c r="P4275" s="3">
        <v>16817</v>
      </c>
      <c r="Q4275" s="5">
        <f t="shared" si="198"/>
        <v>-29403.361344537818</v>
      </c>
      <c r="R4275" s="5">
        <f t="shared" si="199"/>
        <v>-16817</v>
      </c>
      <c r="S4275" s="5">
        <f t="shared" si="200"/>
        <v>-12586.361344537818</v>
      </c>
    </row>
    <row r="4276" spans="1:19" hidden="1" x14ac:dyDescent="0.3">
      <c r="A4276">
        <v>180</v>
      </c>
      <c r="B4276" t="s">
        <v>5549</v>
      </c>
      <c r="C4276" t="s">
        <v>4158</v>
      </c>
      <c r="D4276" s="2" t="s">
        <v>4159</v>
      </c>
      <c r="E4276" t="s">
        <v>3328</v>
      </c>
      <c r="F4276" t="s">
        <v>20</v>
      </c>
      <c r="G4276" t="s">
        <v>338</v>
      </c>
      <c r="H4276">
        <v>23720</v>
      </c>
      <c r="I4276" t="s">
        <v>23</v>
      </c>
      <c r="J4276" t="s">
        <v>40</v>
      </c>
      <c r="K4276" s="2" t="s">
        <v>2386</v>
      </c>
      <c r="L4276" t="s">
        <v>26</v>
      </c>
      <c r="M4276">
        <v>344307</v>
      </c>
      <c r="N4276">
        <v>1</v>
      </c>
      <c r="O4276" s="3">
        <v>59950</v>
      </c>
      <c r="P4276" s="3">
        <v>19643</v>
      </c>
      <c r="Q4276" s="5">
        <f t="shared" si="198"/>
        <v>50378.151260504201</v>
      </c>
      <c r="R4276" s="5">
        <f t="shared" si="199"/>
        <v>19643</v>
      </c>
      <c r="S4276" s="5">
        <f t="shared" si="200"/>
        <v>30735.151260504201</v>
      </c>
    </row>
    <row r="4277" spans="1:19" hidden="1" x14ac:dyDescent="0.3">
      <c r="A4277">
        <v>180</v>
      </c>
      <c r="B4277" t="s">
        <v>5549</v>
      </c>
      <c r="C4277" t="s">
        <v>5590</v>
      </c>
      <c r="D4277" s="2" t="s">
        <v>5591</v>
      </c>
      <c r="E4277" t="s">
        <v>5592</v>
      </c>
      <c r="F4277" t="s">
        <v>20</v>
      </c>
      <c r="G4277" t="s">
        <v>21</v>
      </c>
      <c r="H4277" t="s">
        <v>224</v>
      </c>
      <c r="I4277" t="s">
        <v>23</v>
      </c>
      <c r="J4277" t="s">
        <v>49</v>
      </c>
      <c r="K4277" s="2" t="s">
        <v>2386</v>
      </c>
      <c r="L4277" t="s">
        <v>26</v>
      </c>
      <c r="M4277">
        <v>344308</v>
      </c>
      <c r="N4277">
        <v>1</v>
      </c>
      <c r="O4277" s="3">
        <v>49990</v>
      </c>
      <c r="P4277" s="3">
        <v>25246</v>
      </c>
      <c r="Q4277" s="5">
        <f t="shared" si="198"/>
        <v>42008.403361344543</v>
      </c>
      <c r="R4277" s="5">
        <f t="shared" si="199"/>
        <v>25246</v>
      </c>
      <c r="S4277" s="5">
        <f t="shared" si="200"/>
        <v>16762.403361344543</v>
      </c>
    </row>
    <row r="4278" spans="1:19" hidden="1" x14ac:dyDescent="0.3">
      <c r="A4278">
        <v>180</v>
      </c>
      <c r="B4278" t="s">
        <v>5549</v>
      </c>
      <c r="C4278" t="s">
        <v>3649</v>
      </c>
      <c r="D4278" s="2" t="s">
        <v>3650</v>
      </c>
      <c r="E4278" t="s">
        <v>3651</v>
      </c>
      <c r="F4278" t="s">
        <v>20</v>
      </c>
      <c r="G4278" t="s">
        <v>21</v>
      </c>
      <c r="H4278" t="s">
        <v>970</v>
      </c>
      <c r="I4278" t="s">
        <v>23</v>
      </c>
      <c r="J4278" t="s">
        <v>40</v>
      </c>
      <c r="K4278" s="2" t="s">
        <v>2386</v>
      </c>
      <c r="L4278" t="s">
        <v>26</v>
      </c>
      <c r="M4278">
        <v>344309</v>
      </c>
      <c r="N4278">
        <v>1</v>
      </c>
      <c r="O4278" s="3">
        <v>59950</v>
      </c>
      <c r="P4278" s="3">
        <v>18691</v>
      </c>
      <c r="Q4278" s="5">
        <f t="shared" si="198"/>
        <v>50378.151260504201</v>
      </c>
      <c r="R4278" s="5">
        <f t="shared" si="199"/>
        <v>18691</v>
      </c>
      <c r="S4278" s="5">
        <f t="shared" si="200"/>
        <v>31687.151260504201</v>
      </c>
    </row>
    <row r="4279" spans="1:19" hidden="1" x14ac:dyDescent="0.3">
      <c r="A4279">
        <v>180</v>
      </c>
      <c r="B4279" t="s">
        <v>5549</v>
      </c>
      <c r="C4279" t="s">
        <v>3029</v>
      </c>
      <c r="D4279" s="2" t="s">
        <v>3030</v>
      </c>
      <c r="E4279" t="s">
        <v>3031</v>
      </c>
      <c r="F4279" t="s">
        <v>20</v>
      </c>
      <c r="G4279" t="s">
        <v>21</v>
      </c>
      <c r="H4279" t="s">
        <v>2315</v>
      </c>
      <c r="I4279" t="s">
        <v>23</v>
      </c>
      <c r="J4279" t="s">
        <v>49</v>
      </c>
      <c r="K4279" s="2" t="s">
        <v>2386</v>
      </c>
      <c r="L4279" t="s">
        <v>26</v>
      </c>
      <c r="M4279">
        <v>344310</v>
      </c>
      <c r="N4279">
        <v>1</v>
      </c>
      <c r="O4279" s="3">
        <v>74950</v>
      </c>
      <c r="P4279" s="3">
        <v>24255</v>
      </c>
      <c r="Q4279" s="5">
        <f t="shared" si="198"/>
        <v>62983.193277310929</v>
      </c>
      <c r="R4279" s="5">
        <f t="shared" si="199"/>
        <v>24255</v>
      </c>
      <c r="S4279" s="5">
        <f t="shared" si="200"/>
        <v>38728.193277310929</v>
      </c>
    </row>
    <row r="4280" spans="1:19" hidden="1" x14ac:dyDescent="0.3">
      <c r="A4280">
        <v>180</v>
      </c>
      <c r="B4280" t="s">
        <v>5549</v>
      </c>
      <c r="C4280" t="s">
        <v>2000</v>
      </c>
      <c r="D4280" s="2" t="s">
        <v>2001</v>
      </c>
      <c r="E4280" t="s">
        <v>2002</v>
      </c>
      <c r="F4280" t="s">
        <v>20</v>
      </c>
      <c r="G4280" t="s">
        <v>338</v>
      </c>
      <c r="H4280">
        <v>25026</v>
      </c>
      <c r="I4280" t="s">
        <v>23</v>
      </c>
      <c r="J4280" t="s">
        <v>35</v>
      </c>
      <c r="K4280" s="2" t="s">
        <v>2386</v>
      </c>
      <c r="L4280" t="s">
        <v>26</v>
      </c>
      <c r="M4280">
        <v>344311</v>
      </c>
      <c r="N4280">
        <v>1</v>
      </c>
      <c r="O4280" s="3">
        <v>89950</v>
      </c>
      <c r="P4280" s="3">
        <v>28454</v>
      </c>
      <c r="Q4280" s="5">
        <f t="shared" si="198"/>
        <v>75588.23529411765</v>
      </c>
      <c r="R4280" s="5">
        <f t="shared" si="199"/>
        <v>28454</v>
      </c>
      <c r="S4280" s="5">
        <f t="shared" si="200"/>
        <v>47134.23529411765</v>
      </c>
    </row>
    <row r="4281" spans="1:19" hidden="1" x14ac:dyDescent="0.3">
      <c r="A4281">
        <v>180</v>
      </c>
      <c r="B4281" t="s">
        <v>5549</v>
      </c>
      <c r="C4281" t="s">
        <v>3586</v>
      </c>
      <c r="D4281" s="2" t="s">
        <v>3587</v>
      </c>
      <c r="E4281" t="s">
        <v>3449</v>
      </c>
      <c r="F4281" t="s">
        <v>20</v>
      </c>
      <c r="G4281" t="s">
        <v>338</v>
      </c>
      <c r="H4281">
        <v>25366</v>
      </c>
      <c r="I4281" t="s">
        <v>23</v>
      </c>
      <c r="J4281" t="s">
        <v>35</v>
      </c>
      <c r="K4281" s="2" t="s">
        <v>2386</v>
      </c>
      <c r="L4281" t="s">
        <v>26</v>
      </c>
      <c r="M4281">
        <v>344311</v>
      </c>
      <c r="N4281">
        <v>1</v>
      </c>
      <c r="O4281" s="3">
        <v>84950</v>
      </c>
      <c r="P4281" s="3">
        <v>33157</v>
      </c>
      <c r="Q4281" s="5">
        <f t="shared" si="198"/>
        <v>71386.554621848743</v>
      </c>
      <c r="R4281" s="5">
        <f t="shared" si="199"/>
        <v>33157</v>
      </c>
      <c r="S4281" s="5">
        <f t="shared" si="200"/>
        <v>38229.554621848743</v>
      </c>
    </row>
    <row r="4282" spans="1:19" hidden="1" x14ac:dyDescent="0.3">
      <c r="A4282">
        <v>180</v>
      </c>
      <c r="B4282" t="s">
        <v>5549</v>
      </c>
      <c r="C4282" t="s">
        <v>5593</v>
      </c>
      <c r="D4282" s="2" t="s">
        <v>5594</v>
      </c>
      <c r="E4282" t="s">
        <v>3807</v>
      </c>
      <c r="F4282" t="s">
        <v>20</v>
      </c>
      <c r="G4282" t="s">
        <v>21</v>
      </c>
      <c r="H4282" t="s">
        <v>2782</v>
      </c>
      <c r="I4282" t="s">
        <v>23</v>
      </c>
      <c r="J4282" t="s">
        <v>40</v>
      </c>
      <c r="K4282" s="2" t="s">
        <v>2386</v>
      </c>
      <c r="L4282" t="s">
        <v>26</v>
      </c>
      <c r="M4282">
        <v>344312</v>
      </c>
      <c r="N4282">
        <v>1</v>
      </c>
      <c r="O4282" s="3">
        <v>69950</v>
      </c>
      <c r="P4282" s="3">
        <v>23697</v>
      </c>
      <c r="Q4282" s="5">
        <f t="shared" si="198"/>
        <v>58781.512605042022</v>
      </c>
      <c r="R4282" s="5">
        <f t="shared" si="199"/>
        <v>23697</v>
      </c>
      <c r="S4282" s="5">
        <f t="shared" si="200"/>
        <v>35084.512605042022</v>
      </c>
    </row>
    <row r="4283" spans="1:19" hidden="1" x14ac:dyDescent="0.3">
      <c r="A4283">
        <v>180</v>
      </c>
      <c r="B4283" t="s">
        <v>5549</v>
      </c>
      <c r="C4283" t="s">
        <v>4427</v>
      </c>
      <c r="D4283" s="2" t="s">
        <v>4428</v>
      </c>
      <c r="E4283" t="s">
        <v>1986</v>
      </c>
      <c r="F4283" t="s">
        <v>20</v>
      </c>
      <c r="G4283" t="s">
        <v>21</v>
      </c>
      <c r="H4283" t="s">
        <v>1987</v>
      </c>
      <c r="I4283" t="s">
        <v>23</v>
      </c>
      <c r="J4283" t="s">
        <v>49</v>
      </c>
      <c r="K4283" s="2" t="s">
        <v>2470</v>
      </c>
      <c r="L4283" t="s">
        <v>26</v>
      </c>
      <c r="M4283">
        <v>344313</v>
      </c>
      <c r="N4283">
        <v>1</v>
      </c>
      <c r="O4283" s="3">
        <v>74950</v>
      </c>
      <c r="P4283" s="3">
        <v>25014</v>
      </c>
      <c r="Q4283" s="5">
        <f t="shared" si="198"/>
        <v>62983.193277310929</v>
      </c>
      <c r="R4283" s="5">
        <f t="shared" si="199"/>
        <v>25014</v>
      </c>
      <c r="S4283" s="5">
        <f t="shared" si="200"/>
        <v>37969.193277310929</v>
      </c>
    </row>
    <row r="4284" spans="1:19" hidden="1" x14ac:dyDescent="0.3">
      <c r="A4284">
        <v>180</v>
      </c>
      <c r="B4284" t="s">
        <v>5549</v>
      </c>
      <c r="C4284" t="s">
        <v>3211</v>
      </c>
      <c r="D4284" s="2" t="s">
        <v>3212</v>
      </c>
      <c r="E4284" t="s">
        <v>3213</v>
      </c>
      <c r="F4284" t="s">
        <v>377</v>
      </c>
      <c r="G4284" t="s">
        <v>21</v>
      </c>
      <c r="H4284" t="s">
        <v>378</v>
      </c>
      <c r="I4284" t="s">
        <v>23</v>
      </c>
      <c r="J4284" t="s">
        <v>2459</v>
      </c>
      <c r="K4284" s="2" t="s">
        <v>2470</v>
      </c>
      <c r="L4284" t="s">
        <v>26</v>
      </c>
      <c r="M4284">
        <v>344314</v>
      </c>
      <c r="N4284">
        <v>1</v>
      </c>
      <c r="O4284" s="3">
        <v>6950</v>
      </c>
      <c r="P4284" s="3">
        <v>3751</v>
      </c>
      <c r="Q4284" s="5">
        <f t="shared" si="198"/>
        <v>5840.3361344537816</v>
      </c>
      <c r="R4284" s="5">
        <f t="shared" si="199"/>
        <v>3751</v>
      </c>
      <c r="S4284" s="5">
        <f t="shared" si="200"/>
        <v>2089.3361344537816</v>
      </c>
    </row>
    <row r="4285" spans="1:19" hidden="1" x14ac:dyDescent="0.3">
      <c r="A4285">
        <v>180</v>
      </c>
      <c r="B4285" t="s">
        <v>5549</v>
      </c>
      <c r="C4285" t="s">
        <v>1325</v>
      </c>
      <c r="D4285" s="2" t="s">
        <v>1326</v>
      </c>
      <c r="E4285" t="s">
        <v>1327</v>
      </c>
      <c r="F4285" t="s">
        <v>20</v>
      </c>
      <c r="G4285" t="s">
        <v>21</v>
      </c>
      <c r="H4285" t="s">
        <v>247</v>
      </c>
      <c r="I4285" t="s">
        <v>23</v>
      </c>
      <c r="J4285" t="s">
        <v>40</v>
      </c>
      <c r="K4285" s="2" t="s">
        <v>2470</v>
      </c>
      <c r="L4285" t="s">
        <v>26</v>
      </c>
      <c r="M4285">
        <v>344315</v>
      </c>
      <c r="N4285">
        <v>1</v>
      </c>
      <c r="O4285" s="3">
        <v>59950</v>
      </c>
      <c r="P4285" s="3">
        <v>16541</v>
      </c>
      <c r="Q4285" s="5">
        <f t="shared" si="198"/>
        <v>50378.151260504201</v>
      </c>
      <c r="R4285" s="5">
        <f t="shared" si="199"/>
        <v>16541</v>
      </c>
      <c r="S4285" s="5">
        <f t="shared" si="200"/>
        <v>33837.151260504201</v>
      </c>
    </row>
    <row r="4286" spans="1:19" hidden="1" x14ac:dyDescent="0.3">
      <c r="A4286">
        <v>180</v>
      </c>
      <c r="B4286" t="s">
        <v>5549</v>
      </c>
      <c r="C4286" t="s">
        <v>5595</v>
      </c>
      <c r="D4286" s="2" t="s">
        <v>5596</v>
      </c>
      <c r="E4286" t="s">
        <v>4226</v>
      </c>
      <c r="F4286" t="s">
        <v>20</v>
      </c>
      <c r="G4286" t="s">
        <v>21</v>
      </c>
      <c r="H4286" t="s">
        <v>2189</v>
      </c>
      <c r="I4286" t="s">
        <v>23</v>
      </c>
      <c r="J4286" t="s">
        <v>40</v>
      </c>
      <c r="K4286" s="2" t="s">
        <v>2470</v>
      </c>
      <c r="L4286" t="s">
        <v>26</v>
      </c>
      <c r="M4286">
        <v>344316</v>
      </c>
      <c r="N4286">
        <v>1</v>
      </c>
      <c r="O4286" s="3">
        <v>74950</v>
      </c>
      <c r="P4286" s="3">
        <v>27730</v>
      </c>
      <c r="Q4286" s="5">
        <f t="shared" si="198"/>
        <v>62983.193277310929</v>
      </c>
      <c r="R4286" s="5">
        <f t="shared" si="199"/>
        <v>27730</v>
      </c>
      <c r="S4286" s="5">
        <f t="shared" si="200"/>
        <v>35253.193277310929</v>
      </c>
    </row>
    <row r="4287" spans="1:19" hidden="1" x14ac:dyDescent="0.3">
      <c r="A4287">
        <v>180</v>
      </c>
      <c r="B4287" t="s">
        <v>5549</v>
      </c>
      <c r="C4287" t="s">
        <v>4224</v>
      </c>
      <c r="D4287" s="2" t="s">
        <v>4225</v>
      </c>
      <c r="E4287" t="s">
        <v>4226</v>
      </c>
      <c r="F4287" t="s">
        <v>20</v>
      </c>
      <c r="G4287" t="s">
        <v>21</v>
      </c>
      <c r="H4287" t="s">
        <v>2189</v>
      </c>
      <c r="I4287" t="s">
        <v>23</v>
      </c>
      <c r="J4287" t="s">
        <v>40</v>
      </c>
      <c r="K4287" s="2" t="s">
        <v>2470</v>
      </c>
      <c r="L4287" t="s">
        <v>26</v>
      </c>
      <c r="M4287">
        <v>344317</v>
      </c>
      <c r="N4287">
        <v>1</v>
      </c>
      <c r="O4287" s="3">
        <v>74950</v>
      </c>
      <c r="P4287" s="3">
        <v>27728</v>
      </c>
      <c r="Q4287" s="5">
        <f t="shared" si="198"/>
        <v>62983.193277310929</v>
      </c>
      <c r="R4287" s="5">
        <f t="shared" si="199"/>
        <v>27728</v>
      </c>
      <c r="S4287" s="5">
        <f t="shared" si="200"/>
        <v>35255.193277310929</v>
      </c>
    </row>
    <row r="4288" spans="1:19" hidden="1" x14ac:dyDescent="0.3">
      <c r="A4288">
        <v>180</v>
      </c>
      <c r="B4288" t="s">
        <v>5549</v>
      </c>
      <c r="C4288" t="s">
        <v>4541</v>
      </c>
      <c r="D4288" s="2" t="s">
        <v>4542</v>
      </c>
      <c r="E4288" t="s">
        <v>3048</v>
      </c>
      <c r="F4288" t="s">
        <v>20</v>
      </c>
      <c r="G4288" t="s">
        <v>21</v>
      </c>
      <c r="H4288" t="s">
        <v>2484</v>
      </c>
      <c r="I4288" t="s">
        <v>23</v>
      </c>
      <c r="J4288" t="s">
        <v>40</v>
      </c>
      <c r="K4288" s="2" t="s">
        <v>2470</v>
      </c>
      <c r="L4288" t="s">
        <v>26</v>
      </c>
      <c r="M4288">
        <v>344318</v>
      </c>
      <c r="N4288">
        <v>1</v>
      </c>
      <c r="O4288" s="3">
        <v>59950</v>
      </c>
      <c r="P4288" s="3">
        <v>17503</v>
      </c>
      <c r="Q4288" s="5">
        <f t="shared" si="198"/>
        <v>50378.151260504201</v>
      </c>
      <c r="R4288" s="5">
        <f t="shared" si="199"/>
        <v>17503</v>
      </c>
      <c r="S4288" s="5">
        <f t="shared" si="200"/>
        <v>32875.151260504201</v>
      </c>
    </row>
    <row r="4289" spans="1:19" hidden="1" x14ac:dyDescent="0.3">
      <c r="A4289">
        <v>180</v>
      </c>
      <c r="B4289" t="s">
        <v>5549</v>
      </c>
      <c r="C4289" t="s">
        <v>3014</v>
      </c>
      <c r="D4289" s="2" t="s">
        <v>3015</v>
      </c>
      <c r="E4289" t="s">
        <v>3016</v>
      </c>
      <c r="F4289" t="s">
        <v>20</v>
      </c>
      <c r="G4289" t="s">
        <v>338</v>
      </c>
      <c r="H4289">
        <v>25301</v>
      </c>
      <c r="I4289" t="s">
        <v>23</v>
      </c>
      <c r="J4289" t="s">
        <v>35</v>
      </c>
      <c r="K4289" s="2" t="s">
        <v>2470</v>
      </c>
      <c r="L4289" t="s">
        <v>26</v>
      </c>
      <c r="M4289">
        <v>344319</v>
      </c>
      <c r="N4289">
        <v>1</v>
      </c>
      <c r="O4289" s="3">
        <v>99950</v>
      </c>
      <c r="P4289" s="3">
        <v>34679</v>
      </c>
      <c r="Q4289" s="5">
        <f t="shared" si="198"/>
        <v>83991.596638655465</v>
      </c>
      <c r="R4289" s="5">
        <f t="shared" si="199"/>
        <v>34679</v>
      </c>
      <c r="S4289" s="5">
        <f t="shared" si="200"/>
        <v>49312.596638655465</v>
      </c>
    </row>
    <row r="4290" spans="1:19" hidden="1" x14ac:dyDescent="0.3">
      <c r="A4290">
        <v>180</v>
      </c>
      <c r="B4290" t="s">
        <v>5549</v>
      </c>
      <c r="C4290" t="s">
        <v>1761</v>
      </c>
      <c r="D4290" s="2" t="s">
        <v>1762</v>
      </c>
      <c r="E4290" t="s">
        <v>1763</v>
      </c>
      <c r="F4290" t="s">
        <v>377</v>
      </c>
      <c r="G4290" t="s">
        <v>21</v>
      </c>
      <c r="H4290" t="s">
        <v>378</v>
      </c>
      <c r="I4290" t="s">
        <v>23</v>
      </c>
      <c r="J4290" t="s">
        <v>379</v>
      </c>
      <c r="K4290" s="2" t="s">
        <v>2470</v>
      </c>
      <c r="L4290" t="s">
        <v>26</v>
      </c>
      <c r="M4290">
        <v>344320</v>
      </c>
      <c r="N4290">
        <v>1</v>
      </c>
      <c r="O4290" s="3">
        <v>5950</v>
      </c>
      <c r="P4290" s="3">
        <v>3279</v>
      </c>
      <c r="Q4290" s="5">
        <f t="shared" si="198"/>
        <v>5000</v>
      </c>
      <c r="R4290" s="5">
        <f t="shared" si="199"/>
        <v>3279</v>
      </c>
      <c r="S4290" s="5">
        <f t="shared" si="200"/>
        <v>1721</v>
      </c>
    </row>
    <row r="4291" spans="1:19" hidden="1" x14ac:dyDescent="0.3">
      <c r="A4291">
        <v>180</v>
      </c>
      <c r="B4291" t="s">
        <v>5549</v>
      </c>
      <c r="C4291" t="s">
        <v>1334</v>
      </c>
      <c r="D4291" s="2" t="s">
        <v>1335</v>
      </c>
      <c r="E4291" t="s">
        <v>1336</v>
      </c>
      <c r="F4291" t="s">
        <v>20</v>
      </c>
      <c r="G4291" t="s">
        <v>21</v>
      </c>
      <c r="H4291" t="s">
        <v>1337</v>
      </c>
      <c r="I4291" t="s">
        <v>23</v>
      </c>
      <c r="J4291" t="s">
        <v>49</v>
      </c>
      <c r="K4291" s="2" t="s">
        <v>2470</v>
      </c>
      <c r="L4291" t="s">
        <v>26</v>
      </c>
      <c r="M4291">
        <v>344321</v>
      </c>
      <c r="N4291">
        <v>1</v>
      </c>
      <c r="O4291" s="3">
        <v>59950</v>
      </c>
      <c r="P4291" s="3">
        <v>19049</v>
      </c>
      <c r="Q4291" s="5">
        <f t="shared" si="198"/>
        <v>50378.151260504201</v>
      </c>
      <c r="R4291" s="5">
        <f t="shared" si="199"/>
        <v>19049</v>
      </c>
      <c r="S4291" s="5">
        <f t="shared" si="200"/>
        <v>31329.151260504201</v>
      </c>
    </row>
    <row r="4292" spans="1:19" hidden="1" x14ac:dyDescent="0.3">
      <c r="A4292">
        <v>180</v>
      </c>
      <c r="B4292" t="s">
        <v>5549</v>
      </c>
      <c r="C4292" t="s">
        <v>5597</v>
      </c>
      <c r="D4292" s="2" t="s">
        <v>5598</v>
      </c>
      <c r="E4292" t="s">
        <v>4396</v>
      </c>
      <c r="F4292" t="s">
        <v>20</v>
      </c>
      <c r="G4292" t="s">
        <v>21</v>
      </c>
      <c r="H4292" t="s">
        <v>2759</v>
      </c>
      <c r="I4292" t="s">
        <v>23</v>
      </c>
      <c r="J4292" t="s">
        <v>49</v>
      </c>
      <c r="K4292" s="2" t="s">
        <v>2470</v>
      </c>
      <c r="L4292" t="s">
        <v>26</v>
      </c>
      <c r="M4292">
        <v>344322</v>
      </c>
      <c r="N4292">
        <v>1</v>
      </c>
      <c r="O4292" s="3">
        <v>79950</v>
      </c>
      <c r="P4292" s="3">
        <v>33323</v>
      </c>
      <c r="Q4292" s="5">
        <f t="shared" si="198"/>
        <v>67184.873949579836</v>
      </c>
      <c r="R4292" s="5">
        <f t="shared" si="199"/>
        <v>33323</v>
      </c>
      <c r="S4292" s="5">
        <f t="shared" si="200"/>
        <v>33861.873949579836</v>
      </c>
    </row>
    <row r="4293" spans="1:19" hidden="1" x14ac:dyDescent="0.3">
      <c r="A4293">
        <v>180</v>
      </c>
      <c r="B4293" t="s">
        <v>5549</v>
      </c>
      <c r="C4293" t="s">
        <v>5599</v>
      </c>
      <c r="D4293" s="2" t="s">
        <v>5600</v>
      </c>
      <c r="E4293" t="s">
        <v>2923</v>
      </c>
      <c r="F4293" t="s">
        <v>20</v>
      </c>
      <c r="G4293" t="s">
        <v>21</v>
      </c>
      <c r="H4293" t="s">
        <v>818</v>
      </c>
      <c r="I4293" t="s">
        <v>23</v>
      </c>
      <c r="J4293" t="s">
        <v>35</v>
      </c>
      <c r="K4293" s="2" t="s">
        <v>2470</v>
      </c>
      <c r="L4293" t="s">
        <v>26</v>
      </c>
      <c r="M4293">
        <v>344323</v>
      </c>
      <c r="N4293">
        <v>1</v>
      </c>
      <c r="O4293" s="3">
        <v>89950</v>
      </c>
      <c r="P4293" s="3">
        <v>32825</v>
      </c>
      <c r="Q4293" s="5">
        <f t="shared" si="198"/>
        <v>75588.23529411765</v>
      </c>
      <c r="R4293" s="5">
        <f t="shared" si="199"/>
        <v>32825</v>
      </c>
      <c r="S4293" s="5">
        <f t="shared" si="200"/>
        <v>42763.23529411765</v>
      </c>
    </row>
    <row r="4294" spans="1:19" hidden="1" x14ac:dyDescent="0.3">
      <c r="A4294">
        <v>180</v>
      </c>
      <c r="B4294" t="s">
        <v>5549</v>
      </c>
      <c r="C4294" t="s">
        <v>700</v>
      </c>
      <c r="D4294" s="2" t="s">
        <v>701</v>
      </c>
      <c r="E4294" t="s">
        <v>702</v>
      </c>
      <c r="F4294" t="s">
        <v>377</v>
      </c>
      <c r="G4294" t="s">
        <v>21</v>
      </c>
      <c r="H4294" t="s">
        <v>378</v>
      </c>
      <c r="I4294" t="s">
        <v>23</v>
      </c>
      <c r="J4294" t="s">
        <v>379</v>
      </c>
      <c r="K4294" s="2" t="s">
        <v>2470</v>
      </c>
      <c r="L4294" t="s">
        <v>26</v>
      </c>
      <c r="M4294">
        <v>344324</v>
      </c>
      <c r="N4294">
        <v>1</v>
      </c>
      <c r="O4294" s="3">
        <v>4950</v>
      </c>
      <c r="P4294" s="3">
        <v>2529</v>
      </c>
      <c r="Q4294" s="5">
        <f t="shared" ref="Q4294:Q4357" si="201">O4294/1.19</f>
        <v>4159.6638655462184</v>
      </c>
      <c r="R4294" s="5">
        <f t="shared" ref="R4294:R4357" si="202">N4294*P4294</f>
        <v>2529</v>
      </c>
      <c r="S4294" s="5">
        <f t="shared" ref="S4294:S4357" si="203">Q4294-R4294</f>
        <v>1630.6638655462184</v>
      </c>
    </row>
    <row r="4295" spans="1:19" hidden="1" x14ac:dyDescent="0.3">
      <c r="A4295">
        <v>180</v>
      </c>
      <c r="B4295" t="s">
        <v>5549</v>
      </c>
      <c r="C4295" t="s">
        <v>5601</v>
      </c>
      <c r="D4295" s="2" t="s">
        <v>5602</v>
      </c>
      <c r="E4295" t="s">
        <v>5603</v>
      </c>
      <c r="F4295" t="s">
        <v>20</v>
      </c>
      <c r="G4295" t="s">
        <v>21</v>
      </c>
      <c r="H4295" t="s">
        <v>4980</v>
      </c>
      <c r="I4295" t="s">
        <v>23</v>
      </c>
      <c r="J4295" t="s">
        <v>207</v>
      </c>
      <c r="K4295" s="2" t="s">
        <v>2470</v>
      </c>
      <c r="L4295" t="s">
        <v>26</v>
      </c>
      <c r="M4295">
        <v>344325</v>
      </c>
      <c r="N4295">
        <v>-1</v>
      </c>
      <c r="O4295" s="3">
        <v>-54990</v>
      </c>
      <c r="P4295" s="3">
        <v>25572</v>
      </c>
      <c r="Q4295" s="5">
        <f t="shared" si="201"/>
        <v>-46210.08403361345</v>
      </c>
      <c r="R4295" s="5">
        <f t="shared" si="202"/>
        <v>-25572</v>
      </c>
      <c r="S4295" s="5">
        <f t="shared" si="203"/>
        <v>-20638.08403361345</v>
      </c>
    </row>
    <row r="4296" spans="1:19" hidden="1" x14ac:dyDescent="0.3">
      <c r="A4296">
        <v>180</v>
      </c>
      <c r="B4296" t="s">
        <v>5549</v>
      </c>
      <c r="C4296" t="s">
        <v>2767</v>
      </c>
      <c r="D4296" s="2" t="s">
        <v>2768</v>
      </c>
      <c r="E4296" t="s">
        <v>1336</v>
      </c>
      <c r="F4296" t="s">
        <v>20</v>
      </c>
      <c r="G4296" t="s">
        <v>21</v>
      </c>
      <c r="H4296" t="s">
        <v>1337</v>
      </c>
      <c r="I4296" t="s">
        <v>23</v>
      </c>
      <c r="J4296" t="s">
        <v>49</v>
      </c>
      <c r="K4296" s="2" t="s">
        <v>2470</v>
      </c>
      <c r="L4296" t="s">
        <v>26</v>
      </c>
      <c r="M4296">
        <v>344325</v>
      </c>
      <c r="N4296">
        <v>1</v>
      </c>
      <c r="O4296" s="3">
        <v>59950</v>
      </c>
      <c r="P4296" s="3">
        <v>19179</v>
      </c>
      <c r="Q4296" s="5">
        <f t="shared" si="201"/>
        <v>50378.151260504201</v>
      </c>
      <c r="R4296" s="5">
        <f t="shared" si="202"/>
        <v>19179</v>
      </c>
      <c r="S4296" s="5">
        <f t="shared" si="203"/>
        <v>31199.151260504201</v>
      </c>
    </row>
    <row r="4297" spans="1:19" hidden="1" x14ac:dyDescent="0.3">
      <c r="A4297">
        <v>180</v>
      </c>
      <c r="B4297" t="s">
        <v>5549</v>
      </c>
      <c r="C4297" t="s">
        <v>4878</v>
      </c>
      <c r="D4297" s="2" t="s">
        <v>4879</v>
      </c>
      <c r="E4297" t="s">
        <v>2653</v>
      </c>
      <c r="F4297" t="s">
        <v>20</v>
      </c>
      <c r="G4297" t="s">
        <v>21</v>
      </c>
      <c r="H4297" t="s">
        <v>2315</v>
      </c>
      <c r="I4297" t="s">
        <v>23</v>
      </c>
      <c r="J4297" t="s">
        <v>35</v>
      </c>
      <c r="K4297" s="2" t="s">
        <v>2470</v>
      </c>
      <c r="L4297" t="s">
        <v>26</v>
      </c>
      <c r="M4297">
        <v>344326</v>
      </c>
      <c r="N4297">
        <v>1</v>
      </c>
      <c r="O4297" s="3">
        <v>89950</v>
      </c>
      <c r="P4297" s="3">
        <v>30749</v>
      </c>
      <c r="Q4297" s="5">
        <f t="shared" si="201"/>
        <v>75588.23529411765</v>
      </c>
      <c r="R4297" s="5">
        <f t="shared" si="202"/>
        <v>30749</v>
      </c>
      <c r="S4297" s="5">
        <f t="shared" si="203"/>
        <v>44839.23529411765</v>
      </c>
    </row>
    <row r="4298" spans="1:19" hidden="1" x14ac:dyDescent="0.3">
      <c r="A4298">
        <v>180</v>
      </c>
      <c r="B4298" t="s">
        <v>5549</v>
      </c>
      <c r="C4298" t="s">
        <v>3253</v>
      </c>
      <c r="D4298" s="2" t="s">
        <v>3254</v>
      </c>
      <c r="E4298" t="s">
        <v>2653</v>
      </c>
      <c r="F4298" t="s">
        <v>20</v>
      </c>
      <c r="G4298" t="s">
        <v>21</v>
      </c>
      <c r="H4298" t="s">
        <v>2315</v>
      </c>
      <c r="I4298" t="s">
        <v>23</v>
      </c>
      <c r="J4298" t="s">
        <v>35</v>
      </c>
      <c r="K4298" s="2" t="s">
        <v>2470</v>
      </c>
      <c r="L4298" t="s">
        <v>26</v>
      </c>
      <c r="M4298">
        <v>344327</v>
      </c>
      <c r="N4298">
        <v>1</v>
      </c>
      <c r="O4298" s="3">
        <v>89950</v>
      </c>
      <c r="P4298" s="3">
        <v>30749</v>
      </c>
      <c r="Q4298" s="5">
        <f t="shared" si="201"/>
        <v>75588.23529411765</v>
      </c>
      <c r="R4298" s="5">
        <f t="shared" si="202"/>
        <v>30749</v>
      </c>
      <c r="S4298" s="5">
        <f t="shared" si="203"/>
        <v>44839.23529411765</v>
      </c>
    </row>
    <row r="4299" spans="1:19" hidden="1" x14ac:dyDescent="0.3">
      <c r="A4299">
        <v>180</v>
      </c>
      <c r="B4299" t="s">
        <v>5549</v>
      </c>
      <c r="C4299" t="s">
        <v>4028</v>
      </c>
      <c r="D4299" s="2" t="s">
        <v>4029</v>
      </c>
      <c r="E4299" t="s">
        <v>2160</v>
      </c>
      <c r="F4299" t="s">
        <v>20</v>
      </c>
      <c r="G4299" t="s">
        <v>21</v>
      </c>
      <c r="H4299" t="s">
        <v>970</v>
      </c>
      <c r="I4299" t="s">
        <v>23</v>
      </c>
      <c r="J4299" t="s">
        <v>40</v>
      </c>
      <c r="K4299" s="2" t="s">
        <v>2470</v>
      </c>
      <c r="L4299" t="s">
        <v>26</v>
      </c>
      <c r="M4299">
        <v>344328</v>
      </c>
      <c r="N4299">
        <v>1</v>
      </c>
      <c r="O4299" s="3">
        <v>49990</v>
      </c>
      <c r="P4299" s="3">
        <v>18249</v>
      </c>
      <c r="Q4299" s="5">
        <f t="shared" si="201"/>
        <v>42008.403361344543</v>
      </c>
      <c r="R4299" s="5">
        <f t="shared" si="202"/>
        <v>18249</v>
      </c>
      <c r="S4299" s="5">
        <f t="shared" si="203"/>
        <v>23759.403361344543</v>
      </c>
    </row>
    <row r="4300" spans="1:19" hidden="1" x14ac:dyDescent="0.3">
      <c r="A4300">
        <v>180</v>
      </c>
      <c r="B4300" t="s">
        <v>5549</v>
      </c>
      <c r="C4300" t="s">
        <v>4336</v>
      </c>
      <c r="D4300" s="2" t="s">
        <v>4337</v>
      </c>
      <c r="E4300" t="s">
        <v>599</v>
      </c>
      <c r="F4300" t="s">
        <v>20</v>
      </c>
      <c r="G4300" t="s">
        <v>21</v>
      </c>
      <c r="H4300" t="s">
        <v>600</v>
      </c>
      <c r="I4300" t="s">
        <v>23</v>
      </c>
      <c r="J4300" t="s">
        <v>40</v>
      </c>
      <c r="K4300" s="2" t="s">
        <v>2470</v>
      </c>
      <c r="L4300" t="s">
        <v>26</v>
      </c>
      <c r="M4300">
        <v>344329</v>
      </c>
      <c r="N4300">
        <v>1</v>
      </c>
      <c r="O4300" s="3">
        <v>49990</v>
      </c>
      <c r="P4300" s="3">
        <v>21327</v>
      </c>
      <c r="Q4300" s="5">
        <f t="shared" si="201"/>
        <v>42008.403361344543</v>
      </c>
      <c r="R4300" s="5">
        <f t="shared" si="202"/>
        <v>21327</v>
      </c>
      <c r="S4300" s="5">
        <f t="shared" si="203"/>
        <v>20681.403361344543</v>
      </c>
    </row>
    <row r="4301" spans="1:19" hidden="1" x14ac:dyDescent="0.3">
      <c r="A4301">
        <v>180</v>
      </c>
      <c r="B4301" t="s">
        <v>5549</v>
      </c>
      <c r="C4301" t="s">
        <v>5604</v>
      </c>
      <c r="D4301" s="2" t="s">
        <v>5605</v>
      </c>
      <c r="E4301" t="s">
        <v>5606</v>
      </c>
      <c r="F4301" t="s">
        <v>20</v>
      </c>
      <c r="G4301" t="s">
        <v>21</v>
      </c>
      <c r="H4301" t="s">
        <v>61</v>
      </c>
      <c r="I4301" t="s">
        <v>23</v>
      </c>
      <c r="J4301" t="s">
        <v>40</v>
      </c>
      <c r="K4301" s="2" t="s">
        <v>422</v>
      </c>
      <c r="L4301" t="s">
        <v>26</v>
      </c>
      <c r="M4301">
        <v>344330</v>
      </c>
      <c r="N4301">
        <v>1</v>
      </c>
      <c r="O4301" s="3">
        <v>39990</v>
      </c>
      <c r="P4301" s="3">
        <v>28607</v>
      </c>
      <c r="Q4301" s="5">
        <f t="shared" si="201"/>
        <v>33605.042016806721</v>
      </c>
      <c r="R4301" s="5">
        <f t="shared" si="202"/>
        <v>28607</v>
      </c>
      <c r="S4301" s="5">
        <f t="shared" si="203"/>
        <v>4998.0420168067212</v>
      </c>
    </row>
    <row r="4302" spans="1:19" hidden="1" x14ac:dyDescent="0.3">
      <c r="A4302">
        <v>180</v>
      </c>
      <c r="B4302" t="s">
        <v>5549</v>
      </c>
      <c r="C4302">
        <v>1687976791</v>
      </c>
      <c r="D4302" s="2" t="s">
        <v>200</v>
      </c>
      <c r="E4302" t="s">
        <v>201</v>
      </c>
      <c r="F4302" t="s">
        <v>201</v>
      </c>
      <c r="G4302" t="s">
        <v>202</v>
      </c>
      <c r="H4302" t="s">
        <v>202</v>
      </c>
      <c r="I4302" t="s">
        <v>23</v>
      </c>
      <c r="J4302" t="s">
        <v>202</v>
      </c>
      <c r="K4302" s="2" t="s">
        <v>422</v>
      </c>
      <c r="L4302" t="s">
        <v>26</v>
      </c>
      <c r="M4302">
        <v>344330</v>
      </c>
      <c r="N4302">
        <v>1</v>
      </c>
      <c r="O4302" s="3">
        <v>2000</v>
      </c>
      <c r="P4302">
        <v>1</v>
      </c>
      <c r="Q4302" s="5">
        <f t="shared" si="201"/>
        <v>1680.6722689075632</v>
      </c>
      <c r="R4302" s="5">
        <f t="shared" si="202"/>
        <v>1</v>
      </c>
      <c r="S4302" s="5">
        <f t="shared" si="203"/>
        <v>1679.6722689075632</v>
      </c>
    </row>
    <row r="4303" spans="1:19" hidden="1" x14ac:dyDescent="0.3">
      <c r="A4303">
        <v>180</v>
      </c>
      <c r="B4303" t="s">
        <v>5549</v>
      </c>
      <c r="C4303" t="s">
        <v>5140</v>
      </c>
      <c r="D4303" s="2" t="s">
        <v>5141</v>
      </c>
      <c r="E4303" t="s">
        <v>3438</v>
      </c>
      <c r="F4303" t="s">
        <v>20</v>
      </c>
      <c r="G4303" t="s">
        <v>338</v>
      </c>
      <c r="H4303">
        <v>83707</v>
      </c>
      <c r="I4303" t="s">
        <v>23</v>
      </c>
      <c r="J4303" t="s">
        <v>40</v>
      </c>
      <c r="K4303" s="2" t="s">
        <v>422</v>
      </c>
      <c r="L4303" t="s">
        <v>26</v>
      </c>
      <c r="M4303">
        <v>344331</v>
      </c>
      <c r="N4303">
        <v>1</v>
      </c>
      <c r="O4303" s="3">
        <v>89950</v>
      </c>
      <c r="P4303" s="3">
        <v>30263</v>
      </c>
      <c r="Q4303" s="5">
        <f t="shared" si="201"/>
        <v>75588.23529411765</v>
      </c>
      <c r="R4303" s="5">
        <f t="shared" si="202"/>
        <v>30263</v>
      </c>
      <c r="S4303" s="5">
        <f t="shared" si="203"/>
        <v>45325.23529411765</v>
      </c>
    </row>
    <row r="4304" spans="1:19" hidden="1" x14ac:dyDescent="0.3">
      <c r="A4304">
        <v>180</v>
      </c>
      <c r="B4304" t="s">
        <v>5549</v>
      </c>
      <c r="C4304" t="s">
        <v>2488</v>
      </c>
      <c r="D4304" s="2" t="s">
        <v>2489</v>
      </c>
      <c r="E4304" t="s">
        <v>2490</v>
      </c>
      <c r="F4304" t="s">
        <v>20</v>
      </c>
      <c r="G4304" t="s">
        <v>21</v>
      </c>
      <c r="H4304" t="s">
        <v>44</v>
      </c>
      <c r="I4304" t="s">
        <v>23</v>
      </c>
      <c r="J4304" t="s">
        <v>40</v>
      </c>
      <c r="K4304" s="2" t="s">
        <v>422</v>
      </c>
      <c r="L4304" t="s">
        <v>26</v>
      </c>
      <c r="M4304">
        <v>344332</v>
      </c>
      <c r="N4304">
        <v>1</v>
      </c>
      <c r="O4304" s="3">
        <v>39990</v>
      </c>
      <c r="P4304" s="3">
        <v>15254</v>
      </c>
      <c r="Q4304" s="5">
        <f t="shared" si="201"/>
        <v>33605.042016806721</v>
      </c>
      <c r="R4304" s="5">
        <f t="shared" si="202"/>
        <v>15254</v>
      </c>
      <c r="S4304" s="5">
        <f t="shared" si="203"/>
        <v>18351.042016806721</v>
      </c>
    </row>
    <row r="4305" spans="1:19" hidden="1" x14ac:dyDescent="0.3">
      <c r="A4305">
        <v>180</v>
      </c>
      <c r="B4305" t="s">
        <v>5549</v>
      </c>
      <c r="C4305" t="s">
        <v>3917</v>
      </c>
      <c r="D4305" s="2" t="s">
        <v>3918</v>
      </c>
      <c r="E4305" t="s">
        <v>3418</v>
      </c>
      <c r="F4305" t="s">
        <v>20</v>
      </c>
      <c r="G4305" t="s">
        <v>21</v>
      </c>
      <c r="H4305" t="s">
        <v>1418</v>
      </c>
      <c r="I4305" t="s">
        <v>23</v>
      </c>
      <c r="J4305" t="s">
        <v>35</v>
      </c>
      <c r="K4305" s="2" t="s">
        <v>422</v>
      </c>
      <c r="L4305" t="s">
        <v>26</v>
      </c>
      <c r="M4305">
        <v>344333</v>
      </c>
      <c r="N4305">
        <v>1</v>
      </c>
      <c r="O4305" s="3">
        <v>94950</v>
      </c>
      <c r="P4305" s="3">
        <v>30749</v>
      </c>
      <c r="Q4305" s="5">
        <f t="shared" si="201"/>
        <v>79789.915966386558</v>
      </c>
      <c r="R4305" s="5">
        <f t="shared" si="202"/>
        <v>30749</v>
      </c>
      <c r="S4305" s="5">
        <f t="shared" si="203"/>
        <v>49040.915966386558</v>
      </c>
    </row>
    <row r="4306" spans="1:19" hidden="1" x14ac:dyDescent="0.3">
      <c r="A4306">
        <v>180</v>
      </c>
      <c r="B4306" t="s">
        <v>5549</v>
      </c>
      <c r="C4306" t="s">
        <v>4387</v>
      </c>
      <c r="D4306" s="2" t="s">
        <v>4388</v>
      </c>
      <c r="E4306" t="s">
        <v>3068</v>
      </c>
      <c r="F4306" t="s">
        <v>20</v>
      </c>
      <c r="G4306" t="s">
        <v>21</v>
      </c>
      <c r="H4306" t="s">
        <v>1286</v>
      </c>
      <c r="I4306" t="s">
        <v>23</v>
      </c>
      <c r="J4306" t="s">
        <v>40</v>
      </c>
      <c r="K4306" s="2" t="s">
        <v>422</v>
      </c>
      <c r="L4306" t="s">
        <v>26</v>
      </c>
      <c r="M4306">
        <v>344334</v>
      </c>
      <c r="N4306">
        <v>1</v>
      </c>
      <c r="O4306" s="3">
        <v>69950</v>
      </c>
      <c r="P4306" s="3">
        <v>19604</v>
      </c>
      <c r="Q4306" s="5">
        <f t="shared" si="201"/>
        <v>58781.512605042022</v>
      </c>
      <c r="R4306" s="5">
        <f t="shared" si="202"/>
        <v>19604</v>
      </c>
      <c r="S4306" s="5">
        <f t="shared" si="203"/>
        <v>39177.512605042022</v>
      </c>
    </row>
    <row r="4307" spans="1:19" hidden="1" x14ac:dyDescent="0.3">
      <c r="A4307">
        <v>180</v>
      </c>
      <c r="B4307" t="s">
        <v>5549</v>
      </c>
      <c r="C4307" t="s">
        <v>3094</v>
      </c>
      <c r="D4307" s="2" t="s">
        <v>3095</v>
      </c>
      <c r="E4307" t="s">
        <v>3096</v>
      </c>
      <c r="F4307" t="s">
        <v>20</v>
      </c>
      <c r="G4307" t="s">
        <v>21</v>
      </c>
      <c r="H4307" t="s">
        <v>991</v>
      </c>
      <c r="I4307" t="s">
        <v>23</v>
      </c>
      <c r="J4307" t="s">
        <v>49</v>
      </c>
      <c r="K4307" s="2" t="s">
        <v>422</v>
      </c>
      <c r="L4307" t="s">
        <v>26</v>
      </c>
      <c r="M4307">
        <v>344335</v>
      </c>
      <c r="N4307">
        <v>1</v>
      </c>
      <c r="O4307" s="3">
        <v>69950</v>
      </c>
      <c r="P4307" s="3">
        <v>21265</v>
      </c>
      <c r="Q4307" s="5">
        <f t="shared" si="201"/>
        <v>58781.512605042022</v>
      </c>
      <c r="R4307" s="5">
        <f t="shared" si="202"/>
        <v>21265</v>
      </c>
      <c r="S4307" s="5">
        <f t="shared" si="203"/>
        <v>37516.512605042022</v>
      </c>
    </row>
    <row r="4308" spans="1:19" hidden="1" x14ac:dyDescent="0.3">
      <c r="A4308">
        <v>180</v>
      </c>
      <c r="B4308" t="s">
        <v>5549</v>
      </c>
      <c r="C4308">
        <v>1687976791</v>
      </c>
      <c r="D4308" s="2" t="s">
        <v>200</v>
      </c>
      <c r="E4308" t="s">
        <v>201</v>
      </c>
      <c r="F4308" t="s">
        <v>201</v>
      </c>
      <c r="G4308" t="s">
        <v>202</v>
      </c>
      <c r="H4308" t="s">
        <v>202</v>
      </c>
      <c r="I4308" t="s">
        <v>23</v>
      </c>
      <c r="J4308" t="s">
        <v>202</v>
      </c>
      <c r="K4308" s="2" t="s">
        <v>422</v>
      </c>
      <c r="L4308" t="s">
        <v>26</v>
      </c>
      <c r="M4308">
        <v>344335</v>
      </c>
      <c r="N4308">
        <v>1</v>
      </c>
      <c r="O4308" s="3">
        <v>3200</v>
      </c>
      <c r="P4308">
        <v>1</v>
      </c>
      <c r="Q4308" s="5">
        <f t="shared" si="201"/>
        <v>2689.0756302521008</v>
      </c>
      <c r="R4308" s="5">
        <f t="shared" si="202"/>
        <v>1</v>
      </c>
      <c r="S4308" s="5">
        <f t="shared" si="203"/>
        <v>2688.0756302521008</v>
      </c>
    </row>
    <row r="4309" spans="1:19" hidden="1" x14ac:dyDescent="0.3">
      <c r="A4309">
        <v>180</v>
      </c>
      <c r="B4309" t="s">
        <v>5549</v>
      </c>
      <c r="C4309" t="s">
        <v>2903</v>
      </c>
      <c r="D4309" s="2" t="s">
        <v>2904</v>
      </c>
      <c r="E4309" t="s">
        <v>2905</v>
      </c>
      <c r="F4309" t="s">
        <v>20</v>
      </c>
      <c r="G4309" t="s">
        <v>21</v>
      </c>
      <c r="H4309" t="s">
        <v>272</v>
      </c>
      <c r="I4309" t="s">
        <v>23</v>
      </c>
      <c r="J4309" t="s">
        <v>35</v>
      </c>
      <c r="K4309" s="2" t="s">
        <v>422</v>
      </c>
      <c r="L4309" t="s">
        <v>26</v>
      </c>
      <c r="M4309">
        <v>344336</v>
      </c>
      <c r="N4309">
        <v>1</v>
      </c>
      <c r="O4309" s="3">
        <v>79951</v>
      </c>
      <c r="P4309" s="3">
        <v>27771</v>
      </c>
      <c r="Q4309" s="5">
        <f t="shared" si="201"/>
        <v>67185.71428571429</v>
      </c>
      <c r="R4309" s="5">
        <f t="shared" si="202"/>
        <v>27771</v>
      </c>
      <c r="S4309" s="5">
        <f t="shared" si="203"/>
        <v>39414.71428571429</v>
      </c>
    </row>
    <row r="4310" spans="1:19" hidden="1" x14ac:dyDescent="0.3">
      <c r="A4310">
        <v>180</v>
      </c>
      <c r="B4310" t="s">
        <v>5549</v>
      </c>
      <c r="C4310" t="s">
        <v>3712</v>
      </c>
      <c r="D4310" s="2" t="s">
        <v>3713</v>
      </c>
      <c r="E4310" t="s">
        <v>3424</v>
      </c>
      <c r="F4310" t="s">
        <v>20</v>
      </c>
      <c r="G4310" t="s">
        <v>338</v>
      </c>
      <c r="H4310">
        <v>23709</v>
      </c>
      <c r="I4310" t="s">
        <v>23</v>
      </c>
      <c r="J4310" t="s">
        <v>40</v>
      </c>
      <c r="K4310" s="2" t="s">
        <v>422</v>
      </c>
      <c r="L4310" t="s">
        <v>26</v>
      </c>
      <c r="M4310">
        <v>344336</v>
      </c>
      <c r="N4310">
        <v>-1</v>
      </c>
      <c r="O4310" s="3">
        <v>-79950</v>
      </c>
      <c r="P4310" s="3">
        <v>27728</v>
      </c>
      <c r="Q4310" s="5">
        <f t="shared" si="201"/>
        <v>-67184.873949579836</v>
      </c>
      <c r="R4310" s="5">
        <f t="shared" si="202"/>
        <v>-27728</v>
      </c>
      <c r="S4310" s="5">
        <f t="shared" si="203"/>
        <v>-39456.873949579836</v>
      </c>
    </row>
    <row r="4311" spans="1:19" hidden="1" x14ac:dyDescent="0.3">
      <c r="A4311">
        <v>180</v>
      </c>
      <c r="B4311" t="s">
        <v>5549</v>
      </c>
      <c r="C4311">
        <v>1687976791</v>
      </c>
      <c r="D4311" s="2" t="s">
        <v>200</v>
      </c>
      <c r="E4311" t="s">
        <v>201</v>
      </c>
      <c r="F4311" t="s">
        <v>201</v>
      </c>
      <c r="G4311" t="s">
        <v>202</v>
      </c>
      <c r="H4311" t="s">
        <v>202</v>
      </c>
      <c r="I4311" t="s">
        <v>23</v>
      </c>
      <c r="J4311" t="s">
        <v>202</v>
      </c>
      <c r="K4311" s="2" t="s">
        <v>814</v>
      </c>
      <c r="L4311" t="s">
        <v>26</v>
      </c>
      <c r="M4311">
        <v>344337</v>
      </c>
      <c r="N4311">
        <v>1</v>
      </c>
      <c r="O4311" s="3">
        <v>3200</v>
      </c>
      <c r="P4311">
        <v>1</v>
      </c>
      <c r="Q4311" s="5">
        <f t="shared" si="201"/>
        <v>2689.0756302521008</v>
      </c>
      <c r="R4311" s="5">
        <f t="shared" si="202"/>
        <v>1</v>
      </c>
      <c r="S4311" s="5">
        <f t="shared" si="203"/>
        <v>2688.0756302521008</v>
      </c>
    </row>
    <row r="4312" spans="1:19" hidden="1" x14ac:dyDescent="0.3">
      <c r="A4312">
        <v>180</v>
      </c>
      <c r="B4312" t="s">
        <v>5549</v>
      </c>
      <c r="C4312" t="s">
        <v>3495</v>
      </c>
      <c r="D4312" s="2" t="s">
        <v>3496</v>
      </c>
      <c r="E4312" t="s">
        <v>1336</v>
      </c>
      <c r="F4312" t="s">
        <v>20</v>
      </c>
      <c r="G4312" t="s">
        <v>21</v>
      </c>
      <c r="H4312" t="s">
        <v>1337</v>
      </c>
      <c r="I4312" t="s">
        <v>23</v>
      </c>
      <c r="J4312" t="s">
        <v>49</v>
      </c>
      <c r="K4312" s="2" t="s">
        <v>814</v>
      </c>
      <c r="L4312" t="s">
        <v>26</v>
      </c>
      <c r="M4312">
        <v>344337</v>
      </c>
      <c r="N4312">
        <v>1</v>
      </c>
      <c r="O4312" s="3">
        <v>59950</v>
      </c>
      <c r="P4312" s="3">
        <v>19169</v>
      </c>
      <c r="Q4312" s="5">
        <f t="shared" si="201"/>
        <v>50378.151260504201</v>
      </c>
      <c r="R4312" s="5">
        <f t="shared" si="202"/>
        <v>19169</v>
      </c>
      <c r="S4312" s="5">
        <f t="shared" si="203"/>
        <v>31209.151260504201</v>
      </c>
    </row>
    <row r="4313" spans="1:19" hidden="1" x14ac:dyDescent="0.3">
      <c r="A4313">
        <v>180</v>
      </c>
      <c r="B4313" t="s">
        <v>5549</v>
      </c>
      <c r="C4313" t="s">
        <v>4239</v>
      </c>
      <c r="D4313" s="2" t="s">
        <v>4240</v>
      </c>
      <c r="E4313" t="s">
        <v>2539</v>
      </c>
      <c r="F4313" t="s">
        <v>20</v>
      </c>
      <c r="G4313" t="s">
        <v>21</v>
      </c>
      <c r="H4313" t="s">
        <v>966</v>
      </c>
      <c r="I4313" t="s">
        <v>23</v>
      </c>
      <c r="J4313" t="s">
        <v>35</v>
      </c>
      <c r="K4313" s="2" t="s">
        <v>814</v>
      </c>
      <c r="L4313" t="s">
        <v>26</v>
      </c>
      <c r="M4313">
        <v>344338</v>
      </c>
      <c r="N4313">
        <v>1</v>
      </c>
      <c r="O4313" s="3">
        <v>74950</v>
      </c>
      <c r="P4313" s="3">
        <v>26729</v>
      </c>
      <c r="Q4313" s="5">
        <f t="shared" si="201"/>
        <v>62983.193277310929</v>
      </c>
      <c r="R4313" s="5">
        <f t="shared" si="202"/>
        <v>26729</v>
      </c>
      <c r="S4313" s="5">
        <f t="shared" si="203"/>
        <v>36254.193277310929</v>
      </c>
    </row>
    <row r="4314" spans="1:19" hidden="1" x14ac:dyDescent="0.3">
      <c r="A4314">
        <v>180</v>
      </c>
      <c r="B4314" t="s">
        <v>5549</v>
      </c>
      <c r="C4314" t="s">
        <v>2365</v>
      </c>
      <c r="D4314" s="2" t="s">
        <v>2366</v>
      </c>
      <c r="E4314" t="s">
        <v>2367</v>
      </c>
      <c r="F4314" t="s">
        <v>377</v>
      </c>
      <c r="G4314" t="s">
        <v>21</v>
      </c>
      <c r="H4314" t="s">
        <v>378</v>
      </c>
      <c r="I4314" t="s">
        <v>23</v>
      </c>
      <c r="J4314" t="s">
        <v>379</v>
      </c>
      <c r="K4314" s="2" t="s">
        <v>814</v>
      </c>
      <c r="L4314" t="s">
        <v>26</v>
      </c>
      <c r="M4314">
        <v>344339</v>
      </c>
      <c r="N4314">
        <v>2</v>
      </c>
      <c r="O4314" s="3">
        <v>13900</v>
      </c>
      <c r="P4314" s="3">
        <v>3759</v>
      </c>
      <c r="Q4314" s="5">
        <f t="shared" si="201"/>
        <v>11680.672268907563</v>
      </c>
      <c r="R4314" s="5">
        <f t="shared" si="202"/>
        <v>7518</v>
      </c>
      <c r="S4314" s="5">
        <f t="shared" si="203"/>
        <v>4162.6722689075632</v>
      </c>
    </row>
    <row r="4315" spans="1:19" hidden="1" x14ac:dyDescent="0.3">
      <c r="A4315">
        <v>180</v>
      </c>
      <c r="B4315" t="s">
        <v>5549</v>
      </c>
      <c r="C4315" t="s">
        <v>5607</v>
      </c>
      <c r="D4315" s="2" t="s">
        <v>5608</v>
      </c>
      <c r="E4315" t="s">
        <v>5609</v>
      </c>
      <c r="F4315" t="s">
        <v>20</v>
      </c>
      <c r="G4315" t="s">
        <v>21</v>
      </c>
      <c r="H4315" t="s">
        <v>790</v>
      </c>
      <c r="I4315" t="s">
        <v>23</v>
      </c>
      <c r="J4315" t="s">
        <v>40</v>
      </c>
      <c r="K4315" s="2" t="s">
        <v>814</v>
      </c>
      <c r="L4315" t="s">
        <v>26</v>
      </c>
      <c r="M4315">
        <v>344340</v>
      </c>
      <c r="N4315">
        <v>1</v>
      </c>
      <c r="O4315" s="3">
        <v>79950</v>
      </c>
      <c r="P4315" s="3">
        <v>30692</v>
      </c>
      <c r="Q4315" s="5">
        <f t="shared" si="201"/>
        <v>67184.873949579836</v>
      </c>
      <c r="R4315" s="5">
        <f t="shared" si="202"/>
        <v>30692</v>
      </c>
      <c r="S4315" s="5">
        <f t="shared" si="203"/>
        <v>36492.873949579836</v>
      </c>
    </row>
    <row r="4316" spans="1:19" hidden="1" x14ac:dyDescent="0.3">
      <c r="A4316">
        <v>180</v>
      </c>
      <c r="B4316" t="s">
        <v>5549</v>
      </c>
      <c r="C4316" t="s">
        <v>2891</v>
      </c>
      <c r="D4316" s="2" t="s">
        <v>2892</v>
      </c>
      <c r="E4316" t="s">
        <v>2536</v>
      </c>
      <c r="F4316" t="s">
        <v>20</v>
      </c>
      <c r="G4316" t="s">
        <v>21</v>
      </c>
      <c r="H4316" t="s">
        <v>454</v>
      </c>
      <c r="I4316" t="s">
        <v>23</v>
      </c>
      <c r="J4316" t="s">
        <v>407</v>
      </c>
      <c r="K4316" s="2" t="s">
        <v>814</v>
      </c>
      <c r="L4316" t="s">
        <v>26</v>
      </c>
      <c r="M4316">
        <v>344341</v>
      </c>
      <c r="N4316">
        <v>1</v>
      </c>
      <c r="O4316" s="3">
        <v>39990</v>
      </c>
      <c r="P4316" s="3">
        <v>21038</v>
      </c>
      <c r="Q4316" s="5">
        <f t="shared" si="201"/>
        <v>33605.042016806721</v>
      </c>
      <c r="R4316" s="5">
        <f t="shared" si="202"/>
        <v>21038</v>
      </c>
      <c r="S4316" s="5">
        <f t="shared" si="203"/>
        <v>12567.042016806721</v>
      </c>
    </row>
    <row r="4317" spans="1:19" hidden="1" x14ac:dyDescent="0.3">
      <c r="A4317">
        <v>180</v>
      </c>
      <c r="B4317" t="s">
        <v>5549</v>
      </c>
      <c r="C4317" t="s">
        <v>5610</v>
      </c>
      <c r="D4317" s="2" t="s">
        <v>5611</v>
      </c>
      <c r="E4317" t="s">
        <v>5612</v>
      </c>
      <c r="F4317" t="s">
        <v>20</v>
      </c>
      <c r="G4317" t="s">
        <v>21</v>
      </c>
      <c r="H4317" t="s">
        <v>247</v>
      </c>
      <c r="I4317" t="s">
        <v>23</v>
      </c>
      <c r="J4317" t="s">
        <v>40</v>
      </c>
      <c r="K4317" s="2" t="s">
        <v>814</v>
      </c>
      <c r="L4317" t="s">
        <v>26</v>
      </c>
      <c r="M4317">
        <v>344342</v>
      </c>
      <c r="N4317">
        <v>1</v>
      </c>
      <c r="O4317" s="3">
        <v>34990</v>
      </c>
      <c r="P4317" s="3">
        <v>15398</v>
      </c>
      <c r="Q4317" s="5">
        <f t="shared" si="201"/>
        <v>29403.361344537818</v>
      </c>
      <c r="R4317" s="5">
        <f t="shared" si="202"/>
        <v>15398</v>
      </c>
      <c r="S4317" s="5">
        <f t="shared" si="203"/>
        <v>14005.361344537818</v>
      </c>
    </row>
    <row r="4318" spans="1:19" hidden="1" x14ac:dyDescent="0.3">
      <c r="A4318">
        <v>180</v>
      </c>
      <c r="B4318" t="s">
        <v>5549</v>
      </c>
      <c r="C4318" t="s">
        <v>2749</v>
      </c>
      <c r="D4318" s="2" t="s">
        <v>2750</v>
      </c>
      <c r="E4318" t="s">
        <v>2629</v>
      </c>
      <c r="F4318" t="s">
        <v>20</v>
      </c>
      <c r="G4318" t="s">
        <v>21</v>
      </c>
      <c r="H4318" t="s">
        <v>1987</v>
      </c>
      <c r="I4318" t="s">
        <v>23</v>
      </c>
      <c r="J4318" t="s">
        <v>49</v>
      </c>
      <c r="K4318" s="2" t="s">
        <v>814</v>
      </c>
      <c r="L4318" t="s">
        <v>26</v>
      </c>
      <c r="M4318">
        <v>344343</v>
      </c>
      <c r="N4318">
        <v>1</v>
      </c>
      <c r="O4318" s="3">
        <v>74950</v>
      </c>
      <c r="P4318" s="3">
        <v>23391</v>
      </c>
      <c r="Q4318" s="5">
        <f t="shared" si="201"/>
        <v>62983.193277310929</v>
      </c>
      <c r="R4318" s="5">
        <f t="shared" si="202"/>
        <v>23391</v>
      </c>
      <c r="S4318" s="5">
        <f t="shared" si="203"/>
        <v>39592.193277310929</v>
      </c>
    </row>
    <row r="4319" spans="1:19" hidden="1" x14ac:dyDescent="0.3">
      <c r="A4319">
        <v>180</v>
      </c>
      <c r="B4319" t="s">
        <v>5549</v>
      </c>
      <c r="C4319" t="s">
        <v>2456</v>
      </c>
      <c r="D4319" s="2" t="s">
        <v>2457</v>
      </c>
      <c r="E4319" t="s">
        <v>2458</v>
      </c>
      <c r="F4319" t="s">
        <v>377</v>
      </c>
      <c r="G4319" t="s">
        <v>21</v>
      </c>
      <c r="H4319" t="s">
        <v>378</v>
      </c>
      <c r="I4319" t="s">
        <v>23</v>
      </c>
      <c r="J4319" t="s">
        <v>2459</v>
      </c>
      <c r="K4319" s="2" t="s">
        <v>814</v>
      </c>
      <c r="L4319" t="s">
        <v>26</v>
      </c>
      <c r="M4319">
        <v>344344</v>
      </c>
      <c r="N4319">
        <v>1</v>
      </c>
      <c r="O4319" s="3">
        <v>6950</v>
      </c>
      <c r="P4319" s="3">
        <v>3421</v>
      </c>
      <c r="Q4319" s="5">
        <f t="shared" si="201"/>
        <v>5840.3361344537816</v>
      </c>
      <c r="R4319" s="5">
        <f t="shared" si="202"/>
        <v>3421</v>
      </c>
      <c r="S4319" s="5">
        <f t="shared" si="203"/>
        <v>2419.3361344537816</v>
      </c>
    </row>
    <row r="4320" spans="1:19" hidden="1" x14ac:dyDescent="0.3">
      <c r="A4320">
        <v>180</v>
      </c>
      <c r="B4320" t="s">
        <v>5549</v>
      </c>
      <c r="C4320" t="s">
        <v>5613</v>
      </c>
      <c r="D4320" s="2" t="s">
        <v>5614</v>
      </c>
      <c r="E4320" t="s">
        <v>2160</v>
      </c>
      <c r="F4320" t="s">
        <v>20</v>
      </c>
      <c r="G4320" t="s">
        <v>21</v>
      </c>
      <c r="H4320" t="s">
        <v>970</v>
      </c>
      <c r="I4320" t="s">
        <v>23</v>
      </c>
      <c r="J4320" t="s">
        <v>40</v>
      </c>
      <c r="K4320" s="2" t="s">
        <v>902</v>
      </c>
      <c r="L4320" t="s">
        <v>26</v>
      </c>
      <c r="M4320">
        <v>344345</v>
      </c>
      <c r="N4320">
        <v>1</v>
      </c>
      <c r="O4320" s="3">
        <v>49990</v>
      </c>
      <c r="P4320" s="3">
        <v>18259</v>
      </c>
      <c r="Q4320" s="5">
        <f t="shared" si="201"/>
        <v>42008.403361344543</v>
      </c>
      <c r="R4320" s="5">
        <f t="shared" si="202"/>
        <v>18259</v>
      </c>
      <c r="S4320" s="5">
        <f t="shared" si="203"/>
        <v>23749.403361344543</v>
      </c>
    </row>
    <row r="4321" spans="1:19" hidden="1" x14ac:dyDescent="0.3">
      <c r="A4321">
        <v>180</v>
      </c>
      <c r="B4321" t="s">
        <v>5549</v>
      </c>
      <c r="C4321" t="s">
        <v>2104</v>
      </c>
      <c r="D4321" s="2" t="s">
        <v>2105</v>
      </c>
      <c r="E4321" t="s">
        <v>2106</v>
      </c>
      <c r="F4321" t="s">
        <v>20</v>
      </c>
      <c r="G4321" t="s">
        <v>21</v>
      </c>
      <c r="H4321" t="s">
        <v>2107</v>
      </c>
      <c r="I4321" t="s">
        <v>23</v>
      </c>
      <c r="J4321" t="s">
        <v>40</v>
      </c>
      <c r="K4321" s="2" t="s">
        <v>902</v>
      </c>
      <c r="L4321" t="s">
        <v>26</v>
      </c>
      <c r="M4321">
        <v>344346</v>
      </c>
      <c r="N4321">
        <v>1</v>
      </c>
      <c r="O4321" s="3">
        <v>34990</v>
      </c>
      <c r="P4321" s="3">
        <v>23982</v>
      </c>
      <c r="Q4321" s="5">
        <f t="shared" si="201"/>
        <v>29403.361344537818</v>
      </c>
      <c r="R4321" s="5">
        <f t="shared" si="202"/>
        <v>23982</v>
      </c>
      <c r="S4321" s="5">
        <f t="shared" si="203"/>
        <v>5421.3613445378178</v>
      </c>
    </row>
    <row r="4322" spans="1:19" hidden="1" x14ac:dyDescent="0.3">
      <c r="A4322">
        <v>180</v>
      </c>
      <c r="B4322" t="s">
        <v>5549</v>
      </c>
      <c r="C4322" t="s">
        <v>3468</v>
      </c>
      <c r="D4322" s="2" t="s">
        <v>3469</v>
      </c>
      <c r="E4322" t="s">
        <v>1336</v>
      </c>
      <c r="F4322" t="s">
        <v>20</v>
      </c>
      <c r="G4322" t="s">
        <v>21</v>
      </c>
      <c r="H4322" t="s">
        <v>1337</v>
      </c>
      <c r="I4322" t="s">
        <v>23</v>
      </c>
      <c r="J4322" t="s">
        <v>49</v>
      </c>
      <c r="K4322" s="2" t="s">
        <v>902</v>
      </c>
      <c r="L4322" t="s">
        <v>26</v>
      </c>
      <c r="M4322">
        <v>344347</v>
      </c>
      <c r="N4322">
        <v>1</v>
      </c>
      <c r="O4322" s="3">
        <v>59950</v>
      </c>
      <c r="P4322" s="3">
        <v>19234</v>
      </c>
      <c r="Q4322" s="5">
        <f t="shared" si="201"/>
        <v>50378.151260504201</v>
      </c>
      <c r="R4322" s="5">
        <f t="shared" si="202"/>
        <v>19234</v>
      </c>
      <c r="S4322" s="5">
        <f t="shared" si="203"/>
        <v>31144.151260504201</v>
      </c>
    </row>
    <row r="4323" spans="1:19" hidden="1" x14ac:dyDescent="0.3">
      <c r="A4323">
        <v>180</v>
      </c>
      <c r="B4323" t="s">
        <v>5549</v>
      </c>
      <c r="C4323" t="s">
        <v>4866</v>
      </c>
      <c r="D4323" s="2" t="s">
        <v>4867</v>
      </c>
      <c r="E4323" t="s">
        <v>4753</v>
      </c>
      <c r="F4323" t="s">
        <v>20</v>
      </c>
      <c r="G4323" t="s">
        <v>338</v>
      </c>
      <c r="H4323">
        <v>23313</v>
      </c>
      <c r="I4323" t="s">
        <v>23</v>
      </c>
      <c r="J4323" t="s">
        <v>40</v>
      </c>
      <c r="K4323" s="2" t="s">
        <v>902</v>
      </c>
      <c r="L4323" t="s">
        <v>26</v>
      </c>
      <c r="M4323">
        <v>344348</v>
      </c>
      <c r="N4323">
        <v>1</v>
      </c>
      <c r="O4323" s="3">
        <v>69950</v>
      </c>
      <c r="P4323" s="3">
        <v>22675</v>
      </c>
      <c r="Q4323" s="5">
        <f t="shared" si="201"/>
        <v>58781.512605042022</v>
      </c>
      <c r="R4323" s="5">
        <f t="shared" si="202"/>
        <v>22675</v>
      </c>
      <c r="S4323" s="5">
        <f t="shared" si="203"/>
        <v>36106.512605042022</v>
      </c>
    </row>
    <row r="4324" spans="1:19" hidden="1" x14ac:dyDescent="0.3">
      <c r="A4324">
        <v>180</v>
      </c>
      <c r="B4324" t="s">
        <v>5549</v>
      </c>
      <c r="C4324" t="s">
        <v>5615</v>
      </c>
      <c r="D4324" s="2" t="s">
        <v>5616</v>
      </c>
      <c r="E4324" t="s">
        <v>3433</v>
      </c>
      <c r="F4324" t="s">
        <v>20</v>
      </c>
      <c r="G4324" t="s">
        <v>338</v>
      </c>
      <c r="H4324">
        <v>23732</v>
      </c>
      <c r="I4324" t="s">
        <v>23</v>
      </c>
      <c r="J4324" t="s">
        <v>40</v>
      </c>
      <c r="K4324" s="2" t="s">
        <v>902</v>
      </c>
      <c r="L4324" t="s">
        <v>26</v>
      </c>
      <c r="M4324">
        <v>344348</v>
      </c>
      <c r="N4324">
        <v>1</v>
      </c>
      <c r="O4324" s="3">
        <v>59990</v>
      </c>
      <c r="P4324" s="3">
        <v>26539</v>
      </c>
      <c r="Q4324" s="5">
        <f t="shared" si="201"/>
        <v>50411.764705882357</v>
      </c>
      <c r="R4324" s="5">
        <f t="shared" si="202"/>
        <v>26539</v>
      </c>
      <c r="S4324" s="5">
        <f t="shared" si="203"/>
        <v>23872.764705882357</v>
      </c>
    </row>
    <row r="4325" spans="1:19" hidden="1" x14ac:dyDescent="0.3">
      <c r="A4325">
        <v>180</v>
      </c>
      <c r="B4325" t="s">
        <v>5549</v>
      </c>
      <c r="C4325" t="s">
        <v>4891</v>
      </c>
      <c r="D4325" s="2" t="s">
        <v>4892</v>
      </c>
      <c r="E4325" t="s">
        <v>2493</v>
      </c>
      <c r="F4325" t="s">
        <v>20</v>
      </c>
      <c r="G4325" t="s">
        <v>21</v>
      </c>
      <c r="H4325" t="s">
        <v>2494</v>
      </c>
      <c r="I4325" t="s">
        <v>23</v>
      </c>
      <c r="J4325" t="s">
        <v>40</v>
      </c>
      <c r="K4325" s="2" t="s">
        <v>902</v>
      </c>
      <c r="L4325" t="s">
        <v>26</v>
      </c>
      <c r="M4325">
        <v>344349</v>
      </c>
      <c r="N4325">
        <v>1</v>
      </c>
      <c r="O4325" s="3">
        <v>69950</v>
      </c>
      <c r="P4325" s="3">
        <v>22206</v>
      </c>
      <c r="Q4325" s="5">
        <f t="shared" si="201"/>
        <v>58781.512605042022</v>
      </c>
      <c r="R4325" s="5">
        <f t="shared" si="202"/>
        <v>22206</v>
      </c>
      <c r="S4325" s="5">
        <f t="shared" si="203"/>
        <v>36575.512605042022</v>
      </c>
    </row>
    <row r="4326" spans="1:19" hidden="1" x14ac:dyDescent="0.3">
      <c r="A4326">
        <v>180</v>
      </c>
      <c r="B4326" t="s">
        <v>5549</v>
      </c>
      <c r="C4326" t="s">
        <v>5617</v>
      </c>
      <c r="D4326" s="2" t="s">
        <v>5618</v>
      </c>
      <c r="E4326" t="s">
        <v>2493</v>
      </c>
      <c r="F4326" t="s">
        <v>20</v>
      </c>
      <c r="G4326" t="s">
        <v>21</v>
      </c>
      <c r="H4326" t="s">
        <v>2494</v>
      </c>
      <c r="I4326" t="s">
        <v>23</v>
      </c>
      <c r="J4326" t="s">
        <v>40</v>
      </c>
      <c r="K4326" s="2" t="s">
        <v>902</v>
      </c>
      <c r="L4326" t="s">
        <v>26</v>
      </c>
      <c r="M4326">
        <v>344350</v>
      </c>
      <c r="N4326">
        <v>1</v>
      </c>
      <c r="O4326" s="3">
        <v>69951</v>
      </c>
      <c r="P4326" s="3">
        <v>22206</v>
      </c>
      <c r="Q4326" s="5">
        <f t="shared" si="201"/>
        <v>58782.352941176476</v>
      </c>
      <c r="R4326" s="5">
        <f t="shared" si="202"/>
        <v>22206</v>
      </c>
      <c r="S4326" s="5">
        <f t="shared" si="203"/>
        <v>36576.352941176476</v>
      </c>
    </row>
    <row r="4327" spans="1:19" hidden="1" x14ac:dyDescent="0.3">
      <c r="A4327">
        <v>180</v>
      </c>
      <c r="B4327" t="s">
        <v>5549</v>
      </c>
      <c r="C4327" t="s">
        <v>4891</v>
      </c>
      <c r="D4327" s="2" t="s">
        <v>4892</v>
      </c>
      <c r="E4327" t="s">
        <v>2493</v>
      </c>
      <c r="F4327" t="s">
        <v>20</v>
      </c>
      <c r="G4327" t="s">
        <v>21</v>
      </c>
      <c r="H4327" t="s">
        <v>2494</v>
      </c>
      <c r="I4327" t="s">
        <v>23</v>
      </c>
      <c r="J4327" t="s">
        <v>40</v>
      </c>
      <c r="K4327" s="2" t="s">
        <v>902</v>
      </c>
      <c r="L4327" t="s">
        <v>26</v>
      </c>
      <c r="M4327">
        <v>344350</v>
      </c>
      <c r="N4327">
        <v>-1</v>
      </c>
      <c r="O4327" s="3">
        <v>-69950</v>
      </c>
      <c r="P4327" s="3">
        <v>22206</v>
      </c>
      <c r="Q4327" s="5">
        <f t="shared" si="201"/>
        <v>-58781.512605042022</v>
      </c>
      <c r="R4327" s="5">
        <f t="shared" si="202"/>
        <v>-22206</v>
      </c>
      <c r="S4327" s="5">
        <f t="shared" si="203"/>
        <v>-36575.512605042022</v>
      </c>
    </row>
    <row r="4328" spans="1:19" hidden="1" x14ac:dyDescent="0.3">
      <c r="A4328">
        <v>180</v>
      </c>
      <c r="B4328" t="s">
        <v>5549</v>
      </c>
      <c r="C4328" t="s">
        <v>3046</v>
      </c>
      <c r="D4328" s="2" t="s">
        <v>3047</v>
      </c>
      <c r="E4328" t="s">
        <v>3048</v>
      </c>
      <c r="F4328" t="s">
        <v>20</v>
      </c>
      <c r="G4328" t="s">
        <v>21</v>
      </c>
      <c r="H4328" t="s">
        <v>2484</v>
      </c>
      <c r="I4328" t="s">
        <v>23</v>
      </c>
      <c r="J4328" t="s">
        <v>40</v>
      </c>
      <c r="K4328" s="2" t="s">
        <v>902</v>
      </c>
      <c r="L4328" t="s">
        <v>26</v>
      </c>
      <c r="M4328">
        <v>344351</v>
      </c>
      <c r="N4328">
        <v>1</v>
      </c>
      <c r="O4328" s="3">
        <v>59950</v>
      </c>
      <c r="P4328" s="3">
        <v>17503</v>
      </c>
      <c r="Q4328" s="5">
        <f t="shared" si="201"/>
        <v>50378.151260504201</v>
      </c>
      <c r="R4328" s="5">
        <f t="shared" si="202"/>
        <v>17503</v>
      </c>
      <c r="S4328" s="5">
        <f t="shared" si="203"/>
        <v>32875.151260504201</v>
      </c>
    </row>
    <row r="4329" spans="1:19" hidden="1" x14ac:dyDescent="0.3">
      <c r="A4329">
        <v>180</v>
      </c>
      <c r="B4329" t="s">
        <v>5549</v>
      </c>
      <c r="C4329" t="s">
        <v>5619</v>
      </c>
      <c r="D4329" s="2" t="s">
        <v>5620</v>
      </c>
      <c r="E4329" t="s">
        <v>5621</v>
      </c>
      <c r="F4329" t="s">
        <v>377</v>
      </c>
      <c r="G4329" t="s">
        <v>21</v>
      </c>
      <c r="H4329" t="s">
        <v>378</v>
      </c>
      <c r="I4329" t="s">
        <v>23</v>
      </c>
      <c r="J4329" t="s">
        <v>2620</v>
      </c>
      <c r="K4329" s="2" t="s">
        <v>902</v>
      </c>
      <c r="L4329" t="s">
        <v>26</v>
      </c>
      <c r="M4329">
        <v>344352</v>
      </c>
      <c r="N4329">
        <v>1</v>
      </c>
      <c r="O4329" s="3">
        <v>24950</v>
      </c>
      <c r="P4329" s="3">
        <v>12110</v>
      </c>
      <c r="Q4329" s="5">
        <f t="shared" si="201"/>
        <v>20966.386554621851</v>
      </c>
      <c r="R4329" s="5">
        <f t="shared" si="202"/>
        <v>12110</v>
      </c>
      <c r="S4329" s="5">
        <f t="shared" si="203"/>
        <v>8856.3865546218512</v>
      </c>
    </row>
    <row r="4330" spans="1:19" hidden="1" x14ac:dyDescent="0.3">
      <c r="A4330">
        <v>180</v>
      </c>
      <c r="B4330" t="s">
        <v>5549</v>
      </c>
      <c r="C4330" t="s">
        <v>4489</v>
      </c>
      <c r="D4330" s="2" t="s">
        <v>4490</v>
      </c>
      <c r="E4330" t="s">
        <v>3666</v>
      </c>
      <c r="F4330" t="s">
        <v>20</v>
      </c>
      <c r="G4330" t="s">
        <v>338</v>
      </c>
      <c r="H4330">
        <v>24316</v>
      </c>
      <c r="I4330" t="s">
        <v>23</v>
      </c>
      <c r="J4330" t="s">
        <v>49</v>
      </c>
      <c r="K4330" s="2" t="s">
        <v>902</v>
      </c>
      <c r="L4330" t="s">
        <v>26</v>
      </c>
      <c r="M4330">
        <v>344353</v>
      </c>
      <c r="N4330">
        <v>1</v>
      </c>
      <c r="O4330" s="3">
        <v>74950</v>
      </c>
      <c r="P4330" s="3">
        <v>23473</v>
      </c>
      <c r="Q4330" s="5">
        <f t="shared" si="201"/>
        <v>62983.193277310929</v>
      </c>
      <c r="R4330" s="5">
        <f t="shared" si="202"/>
        <v>23473</v>
      </c>
      <c r="S4330" s="5">
        <f t="shared" si="203"/>
        <v>39510.193277310929</v>
      </c>
    </row>
    <row r="4331" spans="1:19" hidden="1" x14ac:dyDescent="0.3">
      <c r="A4331">
        <v>180</v>
      </c>
      <c r="B4331" t="s">
        <v>5549</v>
      </c>
      <c r="C4331" t="s">
        <v>3315</v>
      </c>
      <c r="D4331" s="2" t="s">
        <v>3316</v>
      </c>
      <c r="E4331" t="s">
        <v>2888</v>
      </c>
      <c r="F4331" t="s">
        <v>20</v>
      </c>
      <c r="G4331" t="s">
        <v>21</v>
      </c>
      <c r="H4331" t="s">
        <v>2593</v>
      </c>
      <c r="I4331" t="s">
        <v>23</v>
      </c>
      <c r="J4331" t="s">
        <v>35</v>
      </c>
      <c r="K4331" s="2" t="s">
        <v>902</v>
      </c>
      <c r="L4331" t="s">
        <v>26</v>
      </c>
      <c r="M4331">
        <v>344354</v>
      </c>
      <c r="N4331">
        <v>1</v>
      </c>
      <c r="O4331" s="3">
        <v>99950</v>
      </c>
      <c r="P4331" s="3">
        <v>38102</v>
      </c>
      <c r="Q4331" s="5">
        <f t="shared" si="201"/>
        <v>83991.596638655465</v>
      </c>
      <c r="R4331" s="5">
        <f t="shared" si="202"/>
        <v>38102</v>
      </c>
      <c r="S4331" s="5">
        <f t="shared" si="203"/>
        <v>45889.596638655465</v>
      </c>
    </row>
    <row r="4332" spans="1:19" hidden="1" x14ac:dyDescent="0.3">
      <c r="A4332">
        <v>180</v>
      </c>
      <c r="B4332" t="s">
        <v>5549</v>
      </c>
      <c r="C4332" t="s">
        <v>5622</v>
      </c>
      <c r="D4332" s="2" t="s">
        <v>5623</v>
      </c>
      <c r="E4332" t="s">
        <v>2110</v>
      </c>
      <c r="F4332" t="s">
        <v>20</v>
      </c>
      <c r="G4332" t="s">
        <v>21</v>
      </c>
      <c r="H4332" t="s">
        <v>22</v>
      </c>
      <c r="I4332" t="s">
        <v>23</v>
      </c>
      <c r="J4332" t="s">
        <v>24</v>
      </c>
      <c r="K4332" s="2" t="s">
        <v>999</v>
      </c>
      <c r="L4332" t="s">
        <v>26</v>
      </c>
      <c r="M4332">
        <v>344355</v>
      </c>
      <c r="N4332">
        <v>1</v>
      </c>
      <c r="O4332" s="3">
        <v>79950</v>
      </c>
      <c r="P4332" s="3">
        <v>27760</v>
      </c>
      <c r="Q4332" s="5">
        <f t="shared" si="201"/>
        <v>67184.873949579836</v>
      </c>
      <c r="R4332" s="5">
        <f t="shared" si="202"/>
        <v>27760</v>
      </c>
      <c r="S4332" s="5">
        <f t="shared" si="203"/>
        <v>39424.873949579836</v>
      </c>
    </row>
    <row r="4333" spans="1:19" hidden="1" x14ac:dyDescent="0.3">
      <c r="A4333">
        <v>180</v>
      </c>
      <c r="B4333" t="s">
        <v>5549</v>
      </c>
      <c r="C4333" t="s">
        <v>5624</v>
      </c>
      <c r="D4333" s="2" t="s">
        <v>5625</v>
      </c>
      <c r="E4333" t="s">
        <v>5626</v>
      </c>
      <c r="F4333" t="s">
        <v>377</v>
      </c>
      <c r="G4333" t="s">
        <v>21</v>
      </c>
      <c r="H4333" t="s">
        <v>378</v>
      </c>
      <c r="I4333" t="s">
        <v>23</v>
      </c>
      <c r="J4333" t="s">
        <v>2620</v>
      </c>
      <c r="K4333" s="2" t="s">
        <v>999</v>
      </c>
      <c r="L4333" t="s">
        <v>26</v>
      </c>
      <c r="M4333">
        <v>344356</v>
      </c>
      <c r="N4333">
        <v>1</v>
      </c>
      <c r="O4333" s="3">
        <v>24950</v>
      </c>
      <c r="P4333" s="3">
        <v>8591</v>
      </c>
      <c r="Q4333" s="5">
        <f t="shared" si="201"/>
        <v>20966.386554621851</v>
      </c>
      <c r="R4333" s="5">
        <f t="shared" si="202"/>
        <v>8591</v>
      </c>
      <c r="S4333" s="5">
        <f t="shared" si="203"/>
        <v>12375.386554621851</v>
      </c>
    </row>
    <row r="4334" spans="1:19" hidden="1" x14ac:dyDescent="0.3">
      <c r="A4334">
        <v>180</v>
      </c>
      <c r="B4334" t="s">
        <v>5549</v>
      </c>
      <c r="C4334" t="s">
        <v>5627</v>
      </c>
      <c r="D4334" s="2" t="s">
        <v>5628</v>
      </c>
      <c r="E4334" t="s">
        <v>3061</v>
      </c>
      <c r="F4334" t="s">
        <v>20</v>
      </c>
      <c r="G4334" t="s">
        <v>21</v>
      </c>
      <c r="H4334" t="s">
        <v>2315</v>
      </c>
      <c r="I4334" t="s">
        <v>23</v>
      </c>
      <c r="J4334" t="s">
        <v>49</v>
      </c>
      <c r="K4334" s="2" t="s">
        <v>999</v>
      </c>
      <c r="L4334" t="s">
        <v>26</v>
      </c>
      <c r="M4334">
        <v>344357</v>
      </c>
      <c r="N4334">
        <v>1</v>
      </c>
      <c r="O4334" s="3">
        <v>74950</v>
      </c>
      <c r="P4334" s="3">
        <v>29089</v>
      </c>
      <c r="Q4334" s="5">
        <f t="shared" si="201"/>
        <v>62983.193277310929</v>
      </c>
      <c r="R4334" s="5">
        <f t="shared" si="202"/>
        <v>29089</v>
      </c>
      <c r="S4334" s="5">
        <f t="shared" si="203"/>
        <v>33894.193277310929</v>
      </c>
    </row>
    <row r="4335" spans="1:19" hidden="1" x14ac:dyDescent="0.3">
      <c r="A4335">
        <v>180</v>
      </c>
      <c r="B4335" t="s">
        <v>5549</v>
      </c>
      <c r="C4335" t="s">
        <v>5629</v>
      </c>
      <c r="D4335" s="2" t="s">
        <v>5630</v>
      </c>
      <c r="E4335" t="s">
        <v>2820</v>
      </c>
      <c r="F4335" t="s">
        <v>20</v>
      </c>
      <c r="G4335" t="s">
        <v>21</v>
      </c>
      <c r="H4335" t="s">
        <v>2821</v>
      </c>
      <c r="I4335" t="s">
        <v>23</v>
      </c>
      <c r="J4335" t="s">
        <v>40</v>
      </c>
      <c r="K4335" s="2" t="s">
        <v>999</v>
      </c>
      <c r="L4335" t="s">
        <v>26</v>
      </c>
      <c r="M4335">
        <v>344358</v>
      </c>
      <c r="N4335">
        <v>1</v>
      </c>
      <c r="O4335" s="3">
        <v>79950</v>
      </c>
      <c r="P4335" s="3">
        <v>32843</v>
      </c>
      <c r="Q4335" s="5">
        <f t="shared" si="201"/>
        <v>67184.873949579836</v>
      </c>
      <c r="R4335" s="5">
        <f t="shared" si="202"/>
        <v>32843</v>
      </c>
      <c r="S4335" s="5">
        <f t="shared" si="203"/>
        <v>34341.873949579836</v>
      </c>
    </row>
    <row r="4336" spans="1:19" hidden="1" x14ac:dyDescent="0.3">
      <c r="A4336">
        <v>180</v>
      </c>
      <c r="B4336" t="s">
        <v>5549</v>
      </c>
      <c r="C4336" t="s">
        <v>1325</v>
      </c>
      <c r="D4336" s="2" t="s">
        <v>1326</v>
      </c>
      <c r="E4336" t="s">
        <v>1327</v>
      </c>
      <c r="F4336" t="s">
        <v>20</v>
      </c>
      <c r="G4336" t="s">
        <v>21</v>
      </c>
      <c r="H4336" t="s">
        <v>247</v>
      </c>
      <c r="I4336" t="s">
        <v>23</v>
      </c>
      <c r="J4336" t="s">
        <v>40</v>
      </c>
      <c r="K4336" s="2" t="s">
        <v>999</v>
      </c>
      <c r="L4336" t="s">
        <v>26</v>
      </c>
      <c r="M4336">
        <v>344359</v>
      </c>
      <c r="N4336">
        <v>1</v>
      </c>
      <c r="O4336" s="3">
        <v>59950</v>
      </c>
      <c r="P4336" s="3">
        <v>16541</v>
      </c>
      <c r="Q4336" s="5">
        <f t="shared" si="201"/>
        <v>50378.151260504201</v>
      </c>
      <c r="R4336" s="5">
        <f t="shared" si="202"/>
        <v>16541</v>
      </c>
      <c r="S4336" s="5">
        <f t="shared" si="203"/>
        <v>33837.151260504201</v>
      </c>
    </row>
    <row r="4337" spans="1:19" hidden="1" x14ac:dyDescent="0.3">
      <c r="A4337">
        <v>180</v>
      </c>
      <c r="B4337" t="s">
        <v>5549</v>
      </c>
      <c r="C4337" t="s">
        <v>2900</v>
      </c>
      <c r="D4337" s="2" t="s">
        <v>2901</v>
      </c>
      <c r="E4337" t="s">
        <v>2902</v>
      </c>
      <c r="F4337" t="s">
        <v>20</v>
      </c>
      <c r="G4337" t="s">
        <v>21</v>
      </c>
      <c r="H4337" t="s">
        <v>267</v>
      </c>
      <c r="I4337" t="s">
        <v>23</v>
      </c>
      <c r="J4337" t="s">
        <v>49</v>
      </c>
      <c r="K4337" s="2" t="s">
        <v>999</v>
      </c>
      <c r="L4337" t="s">
        <v>26</v>
      </c>
      <c r="M4337">
        <v>344360</v>
      </c>
      <c r="N4337">
        <v>1</v>
      </c>
      <c r="O4337" s="3">
        <v>64950</v>
      </c>
      <c r="P4337" s="3">
        <v>24504</v>
      </c>
      <c r="Q4337" s="5">
        <f t="shared" si="201"/>
        <v>54579.831932773115</v>
      </c>
      <c r="R4337" s="5">
        <f t="shared" si="202"/>
        <v>24504</v>
      </c>
      <c r="S4337" s="5">
        <f t="shared" si="203"/>
        <v>30075.831932773115</v>
      </c>
    </row>
    <row r="4338" spans="1:19" hidden="1" x14ac:dyDescent="0.3">
      <c r="A4338">
        <v>180</v>
      </c>
      <c r="B4338" t="s">
        <v>5549</v>
      </c>
      <c r="C4338" t="s">
        <v>2405</v>
      </c>
      <c r="D4338" s="2" t="s">
        <v>2406</v>
      </c>
      <c r="E4338" t="s">
        <v>2407</v>
      </c>
      <c r="F4338" t="s">
        <v>20</v>
      </c>
      <c r="G4338" t="s">
        <v>21</v>
      </c>
      <c r="H4338" t="s">
        <v>30</v>
      </c>
      <c r="I4338" t="s">
        <v>23</v>
      </c>
      <c r="J4338" t="s">
        <v>49</v>
      </c>
      <c r="K4338" s="2" t="s">
        <v>999</v>
      </c>
      <c r="L4338" t="s">
        <v>26</v>
      </c>
      <c r="M4338">
        <v>344361</v>
      </c>
      <c r="N4338">
        <v>1</v>
      </c>
      <c r="O4338" s="3">
        <v>49990</v>
      </c>
      <c r="P4338" s="3">
        <v>23517</v>
      </c>
      <c r="Q4338" s="5">
        <f t="shared" si="201"/>
        <v>42008.403361344543</v>
      </c>
      <c r="R4338" s="5">
        <f t="shared" si="202"/>
        <v>23517</v>
      </c>
      <c r="S4338" s="5">
        <f t="shared" si="203"/>
        <v>18491.403361344543</v>
      </c>
    </row>
    <row r="4339" spans="1:19" hidden="1" x14ac:dyDescent="0.3">
      <c r="A4339">
        <v>180</v>
      </c>
      <c r="B4339" t="s">
        <v>5549</v>
      </c>
      <c r="C4339" t="s">
        <v>4862</v>
      </c>
      <c r="D4339" s="2" t="s">
        <v>4863</v>
      </c>
      <c r="E4339" t="s">
        <v>1281</v>
      </c>
      <c r="F4339" t="s">
        <v>20</v>
      </c>
      <c r="G4339" t="s">
        <v>21</v>
      </c>
      <c r="H4339" t="s">
        <v>1282</v>
      </c>
      <c r="I4339" t="s">
        <v>23</v>
      </c>
      <c r="J4339" t="s">
        <v>40</v>
      </c>
      <c r="K4339" s="2" t="s">
        <v>999</v>
      </c>
      <c r="L4339" t="s">
        <v>26</v>
      </c>
      <c r="M4339">
        <v>344362</v>
      </c>
      <c r="N4339">
        <v>1</v>
      </c>
      <c r="O4339" s="3">
        <v>49950</v>
      </c>
      <c r="P4339" s="3">
        <v>13922</v>
      </c>
      <c r="Q4339" s="5">
        <f t="shared" si="201"/>
        <v>41974.789915966387</v>
      </c>
      <c r="R4339" s="5">
        <f t="shared" si="202"/>
        <v>13922</v>
      </c>
      <c r="S4339" s="5">
        <f t="shared" si="203"/>
        <v>28052.789915966387</v>
      </c>
    </row>
    <row r="4340" spans="1:19" hidden="1" x14ac:dyDescent="0.3">
      <c r="A4340">
        <v>180</v>
      </c>
      <c r="B4340" t="s">
        <v>5549</v>
      </c>
      <c r="C4340" t="s">
        <v>3906</v>
      </c>
      <c r="D4340" s="2" t="s">
        <v>3907</v>
      </c>
      <c r="E4340" t="s">
        <v>2542</v>
      </c>
      <c r="F4340" t="s">
        <v>20</v>
      </c>
      <c r="G4340" t="s">
        <v>21</v>
      </c>
      <c r="H4340" t="s">
        <v>2469</v>
      </c>
      <c r="I4340" t="s">
        <v>23</v>
      </c>
      <c r="J4340" t="s">
        <v>49</v>
      </c>
      <c r="K4340" s="2" t="s">
        <v>999</v>
      </c>
      <c r="L4340" t="s">
        <v>26</v>
      </c>
      <c r="M4340">
        <v>344362</v>
      </c>
      <c r="N4340">
        <v>1</v>
      </c>
      <c r="O4340" s="3">
        <v>64950</v>
      </c>
      <c r="P4340" s="3">
        <v>21343</v>
      </c>
      <c r="Q4340" s="5">
        <f t="shared" si="201"/>
        <v>54579.831932773115</v>
      </c>
      <c r="R4340" s="5">
        <f t="shared" si="202"/>
        <v>21343</v>
      </c>
      <c r="S4340" s="5">
        <f t="shared" si="203"/>
        <v>33236.831932773115</v>
      </c>
    </row>
    <row r="4341" spans="1:19" hidden="1" x14ac:dyDescent="0.3">
      <c r="A4341">
        <v>180</v>
      </c>
      <c r="B4341" t="s">
        <v>5549</v>
      </c>
      <c r="C4341" t="s">
        <v>5599</v>
      </c>
      <c r="D4341" s="2" t="s">
        <v>5600</v>
      </c>
      <c r="E4341" t="s">
        <v>2923</v>
      </c>
      <c r="F4341" t="s">
        <v>20</v>
      </c>
      <c r="G4341" t="s">
        <v>21</v>
      </c>
      <c r="H4341" t="s">
        <v>818</v>
      </c>
      <c r="I4341" t="s">
        <v>23</v>
      </c>
      <c r="J4341" t="s">
        <v>35</v>
      </c>
      <c r="K4341" s="2" t="s">
        <v>999</v>
      </c>
      <c r="L4341" t="s">
        <v>26</v>
      </c>
      <c r="M4341">
        <v>344363</v>
      </c>
      <c r="N4341">
        <v>1</v>
      </c>
      <c r="O4341" s="3">
        <v>89950</v>
      </c>
      <c r="P4341" s="3">
        <v>32825</v>
      </c>
      <c r="Q4341" s="5">
        <f t="shared" si="201"/>
        <v>75588.23529411765</v>
      </c>
      <c r="R4341" s="5">
        <f t="shared" si="202"/>
        <v>32825</v>
      </c>
      <c r="S4341" s="5">
        <f t="shared" si="203"/>
        <v>42763.23529411765</v>
      </c>
    </row>
    <row r="4342" spans="1:19" hidden="1" x14ac:dyDescent="0.3">
      <c r="A4342">
        <v>180</v>
      </c>
      <c r="B4342" t="s">
        <v>5549</v>
      </c>
      <c r="C4342" t="s">
        <v>2960</v>
      </c>
      <c r="D4342" s="2" t="s">
        <v>2961</v>
      </c>
      <c r="E4342" t="s">
        <v>2539</v>
      </c>
      <c r="F4342" t="s">
        <v>20</v>
      </c>
      <c r="G4342" t="s">
        <v>21</v>
      </c>
      <c r="H4342" t="s">
        <v>966</v>
      </c>
      <c r="I4342" t="s">
        <v>23</v>
      </c>
      <c r="J4342" t="s">
        <v>35</v>
      </c>
      <c r="K4342" s="2" t="s">
        <v>999</v>
      </c>
      <c r="L4342" t="s">
        <v>26</v>
      </c>
      <c r="M4342">
        <v>344364</v>
      </c>
      <c r="N4342">
        <v>1</v>
      </c>
      <c r="O4342" s="3">
        <v>74950</v>
      </c>
      <c r="P4342" s="3">
        <v>27380</v>
      </c>
      <c r="Q4342" s="5">
        <f t="shared" si="201"/>
        <v>62983.193277310929</v>
      </c>
      <c r="R4342" s="5">
        <f t="shared" si="202"/>
        <v>27380</v>
      </c>
      <c r="S4342" s="5">
        <f t="shared" si="203"/>
        <v>35603.193277310929</v>
      </c>
    </row>
    <row r="4343" spans="1:19" hidden="1" x14ac:dyDescent="0.3">
      <c r="A4343">
        <v>180</v>
      </c>
      <c r="B4343" t="s">
        <v>5549</v>
      </c>
      <c r="C4343" t="s">
        <v>1169</v>
      </c>
      <c r="D4343" s="2" t="s">
        <v>1170</v>
      </c>
      <c r="E4343" t="s">
        <v>1171</v>
      </c>
      <c r="F4343" t="s">
        <v>20</v>
      </c>
      <c r="G4343" t="s">
        <v>21</v>
      </c>
      <c r="H4343" t="s">
        <v>500</v>
      </c>
      <c r="I4343" t="s">
        <v>23</v>
      </c>
      <c r="J4343" t="s">
        <v>40</v>
      </c>
      <c r="K4343" s="2" t="s">
        <v>999</v>
      </c>
      <c r="L4343" t="s">
        <v>26</v>
      </c>
      <c r="M4343">
        <v>344364</v>
      </c>
      <c r="N4343">
        <v>-1</v>
      </c>
      <c r="O4343" s="3">
        <v>-59950</v>
      </c>
      <c r="P4343" s="3">
        <v>17416</v>
      </c>
      <c r="Q4343" s="5">
        <f t="shared" si="201"/>
        <v>-50378.151260504201</v>
      </c>
      <c r="R4343" s="5">
        <f t="shared" si="202"/>
        <v>-17416</v>
      </c>
      <c r="S4343" s="5">
        <f t="shared" si="203"/>
        <v>-32962.151260504201</v>
      </c>
    </row>
    <row r="4344" spans="1:19" hidden="1" x14ac:dyDescent="0.3">
      <c r="A4344">
        <v>180</v>
      </c>
      <c r="B4344" t="s">
        <v>5549</v>
      </c>
      <c r="C4344" t="s">
        <v>2537</v>
      </c>
      <c r="D4344" s="2" t="s">
        <v>2538</v>
      </c>
      <c r="E4344" t="s">
        <v>2539</v>
      </c>
      <c r="F4344" t="s">
        <v>20</v>
      </c>
      <c r="G4344" t="s">
        <v>21</v>
      </c>
      <c r="H4344" t="s">
        <v>966</v>
      </c>
      <c r="I4344" t="s">
        <v>23</v>
      </c>
      <c r="J4344" t="s">
        <v>35</v>
      </c>
      <c r="K4344" s="2" t="s">
        <v>999</v>
      </c>
      <c r="L4344" t="s">
        <v>26</v>
      </c>
      <c r="M4344">
        <v>344365</v>
      </c>
      <c r="N4344">
        <v>1</v>
      </c>
      <c r="O4344" s="3">
        <v>74950</v>
      </c>
      <c r="P4344" s="3">
        <v>27299</v>
      </c>
      <c r="Q4344" s="5">
        <f t="shared" si="201"/>
        <v>62983.193277310929</v>
      </c>
      <c r="R4344" s="5">
        <f t="shared" si="202"/>
        <v>27299</v>
      </c>
      <c r="S4344" s="5">
        <f t="shared" si="203"/>
        <v>35684.193277310929</v>
      </c>
    </row>
    <row r="4345" spans="1:19" hidden="1" x14ac:dyDescent="0.3">
      <c r="A4345">
        <v>180</v>
      </c>
      <c r="B4345" t="s">
        <v>5549</v>
      </c>
      <c r="C4345" t="s">
        <v>2525</v>
      </c>
      <c r="D4345" s="2" t="s">
        <v>2526</v>
      </c>
      <c r="E4345" t="s">
        <v>2527</v>
      </c>
      <c r="F4345" t="s">
        <v>377</v>
      </c>
      <c r="G4345" t="s">
        <v>21</v>
      </c>
      <c r="H4345" t="s">
        <v>378</v>
      </c>
      <c r="I4345" t="s">
        <v>23</v>
      </c>
      <c r="J4345" t="s">
        <v>2459</v>
      </c>
      <c r="K4345" s="2" t="s">
        <v>999</v>
      </c>
      <c r="L4345" t="s">
        <v>26</v>
      </c>
      <c r="M4345">
        <v>344366</v>
      </c>
      <c r="N4345">
        <v>1</v>
      </c>
      <c r="O4345" s="3">
        <v>6950</v>
      </c>
      <c r="P4345" s="3">
        <v>2964</v>
      </c>
      <c r="Q4345" s="5">
        <f t="shared" si="201"/>
        <v>5840.3361344537816</v>
      </c>
      <c r="R4345" s="5">
        <f t="shared" si="202"/>
        <v>2964</v>
      </c>
      <c r="S4345" s="5">
        <f t="shared" si="203"/>
        <v>2876.3361344537816</v>
      </c>
    </row>
    <row r="4346" spans="1:19" hidden="1" x14ac:dyDescent="0.3">
      <c r="A4346">
        <v>180</v>
      </c>
      <c r="B4346" t="s">
        <v>5549</v>
      </c>
      <c r="C4346" t="s">
        <v>4797</v>
      </c>
      <c r="D4346" s="2" t="s">
        <v>4798</v>
      </c>
      <c r="E4346" t="s">
        <v>3168</v>
      </c>
      <c r="F4346" t="s">
        <v>20</v>
      </c>
      <c r="G4346" t="s">
        <v>338</v>
      </c>
      <c r="H4346">
        <v>23731</v>
      </c>
      <c r="I4346" t="s">
        <v>23</v>
      </c>
      <c r="J4346" t="s">
        <v>40</v>
      </c>
      <c r="K4346" s="2" t="s">
        <v>1072</v>
      </c>
      <c r="L4346" t="s">
        <v>26</v>
      </c>
      <c r="M4346">
        <v>344367</v>
      </c>
      <c r="N4346">
        <v>1</v>
      </c>
      <c r="O4346" s="3">
        <v>52460</v>
      </c>
      <c r="P4346" s="3">
        <v>23119</v>
      </c>
      <c r="Q4346" s="5">
        <f t="shared" si="201"/>
        <v>44084.033613445383</v>
      </c>
      <c r="R4346" s="5">
        <f t="shared" si="202"/>
        <v>23119</v>
      </c>
      <c r="S4346" s="5">
        <f t="shared" si="203"/>
        <v>20965.033613445383</v>
      </c>
    </row>
    <row r="4347" spans="1:19" hidden="1" x14ac:dyDescent="0.3">
      <c r="A4347">
        <v>180</v>
      </c>
      <c r="B4347" t="s">
        <v>5549</v>
      </c>
      <c r="C4347" t="s">
        <v>4637</v>
      </c>
      <c r="D4347" s="2" t="s">
        <v>4638</v>
      </c>
      <c r="E4347" t="s">
        <v>2648</v>
      </c>
      <c r="F4347" t="s">
        <v>20</v>
      </c>
      <c r="G4347" t="s">
        <v>21</v>
      </c>
      <c r="H4347" t="s">
        <v>970</v>
      </c>
      <c r="I4347" t="s">
        <v>23</v>
      </c>
      <c r="J4347" t="s">
        <v>40</v>
      </c>
      <c r="K4347" s="2" t="s">
        <v>1072</v>
      </c>
      <c r="L4347" t="s">
        <v>26</v>
      </c>
      <c r="M4347">
        <v>344368</v>
      </c>
      <c r="N4347">
        <v>1</v>
      </c>
      <c r="O4347" s="3">
        <v>59950</v>
      </c>
      <c r="P4347" s="3">
        <v>18491</v>
      </c>
      <c r="Q4347" s="5">
        <f t="shared" si="201"/>
        <v>50378.151260504201</v>
      </c>
      <c r="R4347" s="5">
        <f t="shared" si="202"/>
        <v>18491</v>
      </c>
      <c r="S4347" s="5">
        <f t="shared" si="203"/>
        <v>31887.151260504201</v>
      </c>
    </row>
    <row r="4348" spans="1:19" hidden="1" x14ac:dyDescent="0.3">
      <c r="A4348">
        <v>180</v>
      </c>
      <c r="B4348" t="s">
        <v>5549</v>
      </c>
      <c r="C4348" t="s">
        <v>2258</v>
      </c>
      <c r="D4348" s="2" t="s">
        <v>2259</v>
      </c>
      <c r="E4348" t="s">
        <v>2252</v>
      </c>
      <c r="F4348" t="s">
        <v>20</v>
      </c>
      <c r="G4348" t="s">
        <v>21</v>
      </c>
      <c r="H4348" t="s">
        <v>970</v>
      </c>
      <c r="I4348" t="s">
        <v>23</v>
      </c>
      <c r="J4348" t="s">
        <v>40</v>
      </c>
      <c r="K4348" s="2" t="s">
        <v>1072</v>
      </c>
      <c r="L4348" t="s">
        <v>26</v>
      </c>
      <c r="M4348">
        <v>344368</v>
      </c>
      <c r="N4348">
        <v>1</v>
      </c>
      <c r="O4348" s="3">
        <v>44960</v>
      </c>
      <c r="P4348" s="3">
        <v>15928</v>
      </c>
      <c r="Q4348" s="5">
        <f t="shared" si="201"/>
        <v>37781.512605042015</v>
      </c>
      <c r="R4348" s="5">
        <f t="shared" si="202"/>
        <v>15928</v>
      </c>
      <c r="S4348" s="5">
        <f t="shared" si="203"/>
        <v>21853.512605042015</v>
      </c>
    </row>
    <row r="4349" spans="1:19" hidden="1" x14ac:dyDescent="0.3">
      <c r="A4349">
        <v>180</v>
      </c>
      <c r="B4349" t="s">
        <v>5549</v>
      </c>
      <c r="C4349" t="s">
        <v>2884</v>
      </c>
      <c r="D4349" s="2" t="s">
        <v>2885</v>
      </c>
      <c r="E4349" t="s">
        <v>1330</v>
      </c>
      <c r="F4349" t="s">
        <v>20</v>
      </c>
      <c r="G4349" t="s">
        <v>338</v>
      </c>
      <c r="H4349">
        <v>25133</v>
      </c>
      <c r="I4349" t="s">
        <v>23</v>
      </c>
      <c r="J4349" t="s">
        <v>35</v>
      </c>
      <c r="K4349" s="2" t="s">
        <v>1072</v>
      </c>
      <c r="L4349" t="s">
        <v>26</v>
      </c>
      <c r="M4349">
        <v>344369</v>
      </c>
      <c r="N4349">
        <v>1</v>
      </c>
      <c r="O4349" s="3">
        <v>74950</v>
      </c>
      <c r="P4349" s="3">
        <v>21167</v>
      </c>
      <c r="Q4349" s="5">
        <f t="shared" si="201"/>
        <v>62983.193277310929</v>
      </c>
      <c r="R4349" s="5">
        <f t="shared" si="202"/>
        <v>21167</v>
      </c>
      <c r="S4349" s="5">
        <f t="shared" si="203"/>
        <v>41816.193277310929</v>
      </c>
    </row>
    <row r="4350" spans="1:19" hidden="1" x14ac:dyDescent="0.3">
      <c r="A4350">
        <v>180</v>
      </c>
      <c r="B4350" t="s">
        <v>5549</v>
      </c>
      <c r="C4350" t="s">
        <v>2774</v>
      </c>
      <c r="D4350" s="2" t="s">
        <v>2775</v>
      </c>
      <c r="E4350" t="s">
        <v>266</v>
      </c>
      <c r="F4350" t="s">
        <v>20</v>
      </c>
      <c r="G4350" t="s">
        <v>21</v>
      </c>
      <c r="H4350" t="s">
        <v>267</v>
      </c>
      <c r="I4350" t="s">
        <v>23</v>
      </c>
      <c r="J4350" t="s">
        <v>49</v>
      </c>
      <c r="K4350" s="2" t="s">
        <v>1072</v>
      </c>
      <c r="L4350" t="s">
        <v>26</v>
      </c>
      <c r="M4350">
        <v>344370</v>
      </c>
      <c r="N4350">
        <v>1</v>
      </c>
      <c r="O4350" s="3">
        <v>64950</v>
      </c>
      <c r="P4350" s="3">
        <v>24504</v>
      </c>
      <c r="Q4350" s="5">
        <f t="shared" si="201"/>
        <v>54579.831932773115</v>
      </c>
      <c r="R4350" s="5">
        <f t="shared" si="202"/>
        <v>24504</v>
      </c>
      <c r="S4350" s="5">
        <f t="shared" si="203"/>
        <v>30075.831932773115</v>
      </c>
    </row>
    <row r="4351" spans="1:19" hidden="1" x14ac:dyDescent="0.3">
      <c r="A4351">
        <v>180</v>
      </c>
      <c r="B4351" t="s">
        <v>5549</v>
      </c>
      <c r="C4351" t="s">
        <v>5631</v>
      </c>
      <c r="D4351" s="2" t="s">
        <v>5632</v>
      </c>
      <c r="E4351" t="s">
        <v>5633</v>
      </c>
      <c r="F4351" t="s">
        <v>20</v>
      </c>
      <c r="G4351" t="s">
        <v>21</v>
      </c>
      <c r="H4351" t="s">
        <v>1755</v>
      </c>
      <c r="I4351" t="s">
        <v>23</v>
      </c>
      <c r="J4351" t="s">
        <v>40</v>
      </c>
      <c r="K4351" s="2" t="s">
        <v>1072</v>
      </c>
      <c r="L4351" t="s">
        <v>26</v>
      </c>
      <c r="M4351">
        <v>344371</v>
      </c>
      <c r="N4351">
        <v>1</v>
      </c>
      <c r="O4351" s="3">
        <v>49990</v>
      </c>
      <c r="P4351" s="3">
        <v>28528</v>
      </c>
      <c r="Q4351" s="5">
        <f t="shared" si="201"/>
        <v>42008.403361344543</v>
      </c>
      <c r="R4351" s="5">
        <f t="shared" si="202"/>
        <v>28528</v>
      </c>
      <c r="S4351" s="5">
        <f t="shared" si="203"/>
        <v>13480.403361344543</v>
      </c>
    </row>
    <row r="4352" spans="1:19" hidden="1" x14ac:dyDescent="0.3">
      <c r="A4352">
        <v>180</v>
      </c>
      <c r="B4352" t="s">
        <v>5549</v>
      </c>
      <c r="C4352" t="s">
        <v>5634</v>
      </c>
      <c r="D4352" s="2" t="s">
        <v>5635</v>
      </c>
      <c r="E4352" t="s">
        <v>2490</v>
      </c>
      <c r="F4352" t="s">
        <v>20</v>
      </c>
      <c r="G4352" t="s">
        <v>21</v>
      </c>
      <c r="H4352" t="s">
        <v>44</v>
      </c>
      <c r="I4352" t="s">
        <v>23</v>
      </c>
      <c r="J4352" t="s">
        <v>40</v>
      </c>
      <c r="K4352" s="2" t="s">
        <v>1072</v>
      </c>
      <c r="L4352" t="s">
        <v>26</v>
      </c>
      <c r="M4352">
        <v>344372</v>
      </c>
      <c r="N4352">
        <v>1</v>
      </c>
      <c r="O4352" s="3">
        <v>39990</v>
      </c>
      <c r="P4352" s="3">
        <v>15254</v>
      </c>
      <c r="Q4352" s="5">
        <f t="shared" si="201"/>
        <v>33605.042016806721</v>
      </c>
      <c r="R4352" s="5">
        <f t="shared" si="202"/>
        <v>15254</v>
      </c>
      <c r="S4352" s="5">
        <f t="shared" si="203"/>
        <v>18351.042016806721</v>
      </c>
    </row>
    <row r="4353" spans="1:19" hidden="1" x14ac:dyDescent="0.3">
      <c r="A4353">
        <v>180</v>
      </c>
      <c r="B4353" t="s">
        <v>5549</v>
      </c>
      <c r="C4353" t="s">
        <v>5629</v>
      </c>
      <c r="D4353" s="2" t="s">
        <v>5630</v>
      </c>
      <c r="E4353" t="s">
        <v>2820</v>
      </c>
      <c r="F4353" t="s">
        <v>20</v>
      </c>
      <c r="G4353" t="s">
        <v>21</v>
      </c>
      <c r="H4353" t="s">
        <v>2821</v>
      </c>
      <c r="I4353" t="s">
        <v>23</v>
      </c>
      <c r="J4353" t="s">
        <v>40</v>
      </c>
      <c r="K4353" s="2" t="s">
        <v>2693</v>
      </c>
      <c r="L4353" t="s">
        <v>26</v>
      </c>
      <c r="M4353">
        <v>344373</v>
      </c>
      <c r="N4353">
        <v>1</v>
      </c>
      <c r="O4353" s="3">
        <v>79950</v>
      </c>
      <c r="P4353" s="3">
        <v>32843</v>
      </c>
      <c r="Q4353" s="5">
        <f t="shared" si="201"/>
        <v>67184.873949579836</v>
      </c>
      <c r="R4353" s="5">
        <f t="shared" si="202"/>
        <v>32843</v>
      </c>
      <c r="S4353" s="5">
        <f t="shared" si="203"/>
        <v>34341.873949579836</v>
      </c>
    </row>
    <row r="4354" spans="1:19" hidden="1" x14ac:dyDescent="0.3">
      <c r="A4354">
        <v>180</v>
      </c>
      <c r="B4354" t="s">
        <v>5549</v>
      </c>
      <c r="C4354" t="s">
        <v>3306</v>
      </c>
      <c r="D4354" s="2" t="s">
        <v>3307</v>
      </c>
      <c r="E4354" t="s">
        <v>3308</v>
      </c>
      <c r="F4354" t="s">
        <v>20</v>
      </c>
      <c r="G4354" t="s">
        <v>21</v>
      </c>
      <c r="H4354" t="s">
        <v>3309</v>
      </c>
      <c r="I4354" t="s">
        <v>23</v>
      </c>
      <c r="J4354" t="s">
        <v>40</v>
      </c>
      <c r="K4354" s="2" t="s">
        <v>2693</v>
      </c>
      <c r="L4354" t="s">
        <v>26</v>
      </c>
      <c r="M4354">
        <v>344373</v>
      </c>
      <c r="N4354">
        <v>1</v>
      </c>
      <c r="O4354" s="3">
        <v>64950</v>
      </c>
      <c r="P4354" s="3">
        <v>21130</v>
      </c>
      <c r="Q4354" s="5">
        <f t="shared" si="201"/>
        <v>54579.831932773115</v>
      </c>
      <c r="R4354" s="5">
        <f t="shared" si="202"/>
        <v>21130</v>
      </c>
      <c r="S4354" s="5">
        <f t="shared" si="203"/>
        <v>33449.831932773115</v>
      </c>
    </row>
    <row r="4355" spans="1:19" hidden="1" x14ac:dyDescent="0.3">
      <c r="A4355">
        <v>180</v>
      </c>
      <c r="B4355" t="s">
        <v>5549</v>
      </c>
      <c r="C4355" t="s">
        <v>5550</v>
      </c>
      <c r="D4355" s="2" t="s">
        <v>5551</v>
      </c>
      <c r="E4355" t="s">
        <v>2561</v>
      </c>
      <c r="F4355" t="s">
        <v>20</v>
      </c>
      <c r="G4355" t="s">
        <v>21</v>
      </c>
      <c r="H4355" t="s">
        <v>1914</v>
      </c>
      <c r="I4355" t="s">
        <v>23</v>
      </c>
      <c r="J4355" t="s">
        <v>35</v>
      </c>
      <c r="K4355" s="2" t="s">
        <v>2693</v>
      </c>
      <c r="L4355" t="s">
        <v>26</v>
      </c>
      <c r="M4355">
        <v>344374</v>
      </c>
      <c r="N4355">
        <v>1</v>
      </c>
      <c r="O4355" s="3">
        <v>89950</v>
      </c>
      <c r="P4355" s="3">
        <v>28298</v>
      </c>
      <c r="Q4355" s="5">
        <f t="shared" si="201"/>
        <v>75588.23529411765</v>
      </c>
      <c r="R4355" s="5">
        <f t="shared" si="202"/>
        <v>28298</v>
      </c>
      <c r="S4355" s="5">
        <f t="shared" si="203"/>
        <v>47290.23529411765</v>
      </c>
    </row>
    <row r="4356" spans="1:19" hidden="1" x14ac:dyDescent="0.3">
      <c r="A4356">
        <v>180</v>
      </c>
      <c r="B4356" t="s">
        <v>5549</v>
      </c>
      <c r="C4356" t="s">
        <v>5636</v>
      </c>
      <c r="D4356" s="2" t="s">
        <v>5637</v>
      </c>
      <c r="E4356" t="s">
        <v>985</v>
      </c>
      <c r="F4356" t="s">
        <v>20</v>
      </c>
      <c r="G4356" t="s">
        <v>21</v>
      </c>
      <c r="H4356" t="s">
        <v>565</v>
      </c>
      <c r="I4356" t="s">
        <v>23</v>
      </c>
      <c r="J4356" t="s">
        <v>49</v>
      </c>
      <c r="K4356" s="2" t="s">
        <v>2693</v>
      </c>
      <c r="L4356" t="s">
        <v>26</v>
      </c>
      <c r="M4356">
        <v>344375</v>
      </c>
      <c r="N4356">
        <v>1</v>
      </c>
      <c r="O4356" s="3">
        <v>69950</v>
      </c>
      <c r="P4356" s="3">
        <v>27795</v>
      </c>
      <c r="Q4356" s="5">
        <f t="shared" si="201"/>
        <v>58781.512605042022</v>
      </c>
      <c r="R4356" s="5">
        <f t="shared" si="202"/>
        <v>27795</v>
      </c>
      <c r="S4356" s="5">
        <f t="shared" si="203"/>
        <v>30986.512605042022</v>
      </c>
    </row>
    <row r="4357" spans="1:19" hidden="1" x14ac:dyDescent="0.3">
      <c r="A4357">
        <v>180</v>
      </c>
      <c r="B4357" t="s">
        <v>5549</v>
      </c>
      <c r="C4357" t="s">
        <v>4206</v>
      </c>
      <c r="D4357" s="2" t="s">
        <v>4207</v>
      </c>
      <c r="E4357" t="s">
        <v>2042</v>
      </c>
      <c r="F4357" t="s">
        <v>20</v>
      </c>
      <c r="G4357" t="s">
        <v>21</v>
      </c>
      <c r="H4357" t="s">
        <v>565</v>
      </c>
      <c r="I4357" t="s">
        <v>23</v>
      </c>
      <c r="J4357" t="s">
        <v>49</v>
      </c>
      <c r="K4357" s="2" t="s">
        <v>2693</v>
      </c>
      <c r="L4357" t="s">
        <v>26</v>
      </c>
      <c r="M4357">
        <v>344375</v>
      </c>
      <c r="N4357">
        <v>1</v>
      </c>
      <c r="O4357" s="3">
        <v>69950</v>
      </c>
      <c r="P4357" s="3">
        <v>24279</v>
      </c>
      <c r="Q4357" s="5">
        <f t="shared" si="201"/>
        <v>58781.512605042022</v>
      </c>
      <c r="R4357" s="5">
        <f t="shared" si="202"/>
        <v>24279</v>
      </c>
      <c r="S4357" s="5">
        <f t="shared" si="203"/>
        <v>34502.512605042022</v>
      </c>
    </row>
    <row r="4358" spans="1:19" hidden="1" x14ac:dyDescent="0.3">
      <c r="A4358">
        <v>180</v>
      </c>
      <c r="B4358" t="s">
        <v>5549</v>
      </c>
      <c r="C4358" t="s">
        <v>2575</v>
      </c>
      <c r="D4358" s="2" t="s">
        <v>2576</v>
      </c>
      <c r="E4358" t="s">
        <v>2577</v>
      </c>
      <c r="F4358" t="s">
        <v>377</v>
      </c>
      <c r="G4358" t="s">
        <v>21</v>
      </c>
      <c r="H4358" t="s">
        <v>378</v>
      </c>
      <c r="I4358" t="s">
        <v>23</v>
      </c>
      <c r="J4358" t="s">
        <v>379</v>
      </c>
      <c r="K4358" s="2" t="s">
        <v>2693</v>
      </c>
      <c r="L4358" t="s">
        <v>26</v>
      </c>
      <c r="M4358">
        <v>344375</v>
      </c>
      <c r="N4358">
        <v>1</v>
      </c>
      <c r="O4358" s="3">
        <v>5950</v>
      </c>
      <c r="P4358" s="3">
        <v>3307</v>
      </c>
      <c r="Q4358" s="5">
        <f t="shared" ref="Q4358:Q4421" si="204">O4358/1.19</f>
        <v>5000</v>
      </c>
      <c r="R4358" s="5">
        <f t="shared" ref="R4358:R4421" si="205">N4358*P4358</f>
        <v>3307</v>
      </c>
      <c r="S4358" s="5">
        <f t="shared" ref="S4358:S4421" si="206">Q4358-R4358</f>
        <v>1693</v>
      </c>
    </row>
    <row r="4359" spans="1:19" hidden="1" x14ac:dyDescent="0.3">
      <c r="A4359">
        <v>180</v>
      </c>
      <c r="B4359" t="s">
        <v>5549</v>
      </c>
      <c r="C4359" t="s">
        <v>5402</v>
      </c>
      <c r="D4359" s="2" t="s">
        <v>5403</v>
      </c>
      <c r="E4359" t="s">
        <v>3666</v>
      </c>
      <c r="F4359" t="s">
        <v>20</v>
      </c>
      <c r="G4359" t="s">
        <v>338</v>
      </c>
      <c r="H4359">
        <v>24316</v>
      </c>
      <c r="I4359" t="s">
        <v>23</v>
      </c>
      <c r="J4359" t="s">
        <v>49</v>
      </c>
      <c r="K4359" s="2" t="s">
        <v>2693</v>
      </c>
      <c r="L4359" t="s">
        <v>26</v>
      </c>
      <c r="M4359">
        <v>344376</v>
      </c>
      <c r="N4359">
        <v>1</v>
      </c>
      <c r="O4359" s="3">
        <v>74950</v>
      </c>
      <c r="P4359" s="3">
        <v>23473</v>
      </c>
      <c r="Q4359" s="5">
        <f t="shared" si="204"/>
        <v>62983.193277310929</v>
      </c>
      <c r="R4359" s="5">
        <f t="shared" si="205"/>
        <v>23473</v>
      </c>
      <c r="S4359" s="5">
        <f t="shared" si="206"/>
        <v>39510.193277310929</v>
      </c>
    </row>
    <row r="4360" spans="1:19" hidden="1" x14ac:dyDescent="0.3">
      <c r="A4360">
        <v>180</v>
      </c>
      <c r="B4360" t="s">
        <v>5549</v>
      </c>
      <c r="C4360" t="s">
        <v>4502</v>
      </c>
      <c r="D4360" s="2" t="s">
        <v>4503</v>
      </c>
      <c r="E4360" t="s">
        <v>3914</v>
      </c>
      <c r="F4360" t="s">
        <v>20</v>
      </c>
      <c r="G4360" t="s">
        <v>338</v>
      </c>
      <c r="H4360">
        <v>24316</v>
      </c>
      <c r="I4360" t="s">
        <v>23</v>
      </c>
      <c r="J4360" t="s">
        <v>49</v>
      </c>
      <c r="K4360" s="2" t="s">
        <v>2693</v>
      </c>
      <c r="L4360" t="s">
        <v>26</v>
      </c>
      <c r="M4360">
        <v>344377</v>
      </c>
      <c r="N4360">
        <v>1</v>
      </c>
      <c r="O4360" s="3">
        <v>74950</v>
      </c>
      <c r="P4360" s="3">
        <v>23473</v>
      </c>
      <c r="Q4360" s="5">
        <f t="shared" si="204"/>
        <v>62983.193277310929</v>
      </c>
      <c r="R4360" s="5">
        <f t="shared" si="205"/>
        <v>23473</v>
      </c>
      <c r="S4360" s="5">
        <f t="shared" si="206"/>
        <v>39510.193277310929</v>
      </c>
    </row>
    <row r="4361" spans="1:19" hidden="1" x14ac:dyDescent="0.3">
      <c r="A4361">
        <v>180</v>
      </c>
      <c r="B4361" t="s">
        <v>5549</v>
      </c>
      <c r="C4361" t="s">
        <v>5638</v>
      </c>
      <c r="D4361" s="2" t="s">
        <v>5639</v>
      </c>
      <c r="E4361" t="s">
        <v>3698</v>
      </c>
      <c r="F4361" t="s">
        <v>20</v>
      </c>
      <c r="G4361" t="s">
        <v>21</v>
      </c>
      <c r="H4361" t="s">
        <v>966</v>
      </c>
      <c r="I4361" t="s">
        <v>23</v>
      </c>
      <c r="J4361" t="s">
        <v>40</v>
      </c>
      <c r="K4361" s="2" t="s">
        <v>2693</v>
      </c>
      <c r="L4361" t="s">
        <v>26</v>
      </c>
      <c r="M4361">
        <v>344378</v>
      </c>
      <c r="N4361">
        <v>1</v>
      </c>
      <c r="O4361" s="3">
        <v>74950</v>
      </c>
      <c r="P4361" s="3">
        <v>27679</v>
      </c>
      <c r="Q4361" s="5">
        <f t="shared" si="204"/>
        <v>62983.193277310929</v>
      </c>
      <c r="R4361" s="5">
        <f t="shared" si="205"/>
        <v>27679</v>
      </c>
      <c r="S4361" s="5">
        <f t="shared" si="206"/>
        <v>35304.193277310929</v>
      </c>
    </row>
    <row r="4362" spans="1:19" hidden="1" x14ac:dyDescent="0.3">
      <c r="A4362">
        <v>180</v>
      </c>
      <c r="B4362" t="s">
        <v>5549</v>
      </c>
      <c r="C4362" t="s">
        <v>2575</v>
      </c>
      <c r="D4362" s="2" t="s">
        <v>2576</v>
      </c>
      <c r="E4362" t="s">
        <v>2577</v>
      </c>
      <c r="F4362" t="s">
        <v>377</v>
      </c>
      <c r="G4362" t="s">
        <v>21</v>
      </c>
      <c r="H4362" t="s">
        <v>378</v>
      </c>
      <c r="I4362" t="s">
        <v>23</v>
      </c>
      <c r="J4362" t="s">
        <v>379</v>
      </c>
      <c r="K4362" s="2" t="s">
        <v>2693</v>
      </c>
      <c r="L4362" t="s">
        <v>26</v>
      </c>
      <c r="M4362">
        <v>344378</v>
      </c>
      <c r="N4362">
        <v>1</v>
      </c>
      <c r="O4362" s="3">
        <v>5950</v>
      </c>
      <c r="P4362" s="3">
        <v>3307</v>
      </c>
      <c r="Q4362" s="5">
        <f t="shared" si="204"/>
        <v>5000</v>
      </c>
      <c r="R4362" s="5">
        <f t="shared" si="205"/>
        <v>3307</v>
      </c>
      <c r="S4362" s="5">
        <f t="shared" si="206"/>
        <v>1693</v>
      </c>
    </row>
    <row r="4363" spans="1:19" hidden="1" x14ac:dyDescent="0.3">
      <c r="A4363">
        <v>180</v>
      </c>
      <c r="B4363" t="s">
        <v>5549</v>
      </c>
      <c r="C4363" t="s">
        <v>2911</v>
      </c>
      <c r="D4363" s="2" t="s">
        <v>2912</v>
      </c>
      <c r="E4363" t="s">
        <v>2913</v>
      </c>
      <c r="F4363" t="s">
        <v>20</v>
      </c>
      <c r="G4363" t="s">
        <v>21</v>
      </c>
      <c r="H4363" t="s">
        <v>870</v>
      </c>
      <c r="I4363" t="s">
        <v>23</v>
      </c>
      <c r="J4363" t="s">
        <v>49</v>
      </c>
      <c r="K4363" s="2" t="s">
        <v>2693</v>
      </c>
      <c r="L4363" t="s">
        <v>26</v>
      </c>
      <c r="M4363">
        <v>344379</v>
      </c>
      <c r="N4363">
        <v>-1</v>
      </c>
      <c r="O4363" s="3">
        <v>-39990</v>
      </c>
      <c r="P4363" s="3">
        <v>22955</v>
      </c>
      <c r="Q4363" s="5">
        <f t="shared" si="204"/>
        <v>-33605.042016806721</v>
      </c>
      <c r="R4363" s="5">
        <f t="shared" si="205"/>
        <v>-22955</v>
      </c>
      <c r="S4363" s="5">
        <f t="shared" si="206"/>
        <v>-10650.042016806721</v>
      </c>
    </row>
    <row r="4364" spans="1:19" hidden="1" x14ac:dyDescent="0.3">
      <c r="A4364">
        <v>180</v>
      </c>
      <c r="B4364" t="s">
        <v>5549</v>
      </c>
      <c r="C4364" t="s">
        <v>3617</v>
      </c>
      <c r="D4364" s="2" t="s">
        <v>3618</v>
      </c>
      <c r="E4364" t="s">
        <v>3619</v>
      </c>
      <c r="F4364" t="s">
        <v>20</v>
      </c>
      <c r="G4364" t="s">
        <v>21</v>
      </c>
      <c r="H4364" t="s">
        <v>874</v>
      </c>
      <c r="I4364" t="s">
        <v>23</v>
      </c>
      <c r="J4364" t="s">
        <v>95</v>
      </c>
      <c r="K4364" s="2" t="s">
        <v>2693</v>
      </c>
      <c r="L4364" t="s">
        <v>26</v>
      </c>
      <c r="M4364">
        <v>344379</v>
      </c>
      <c r="N4364">
        <v>1</v>
      </c>
      <c r="O4364" s="3">
        <v>39991</v>
      </c>
      <c r="P4364" s="3">
        <v>21627</v>
      </c>
      <c r="Q4364" s="5">
        <f t="shared" si="204"/>
        <v>33605.882352941175</v>
      </c>
      <c r="R4364" s="5">
        <f t="shared" si="205"/>
        <v>21627</v>
      </c>
      <c r="S4364" s="5">
        <f t="shared" si="206"/>
        <v>11978.882352941175</v>
      </c>
    </row>
    <row r="4365" spans="1:19" hidden="1" x14ac:dyDescent="0.3">
      <c r="A4365">
        <v>180</v>
      </c>
      <c r="B4365" t="s">
        <v>5549</v>
      </c>
      <c r="C4365" t="s">
        <v>5640</v>
      </c>
      <c r="D4365" s="2" t="s">
        <v>5641</v>
      </c>
      <c r="E4365" t="s">
        <v>5642</v>
      </c>
      <c r="F4365" t="s">
        <v>20</v>
      </c>
      <c r="G4365" t="s">
        <v>21</v>
      </c>
      <c r="H4365" t="s">
        <v>2189</v>
      </c>
      <c r="I4365" t="s">
        <v>23</v>
      </c>
      <c r="J4365" t="s">
        <v>40</v>
      </c>
      <c r="K4365" s="2" t="s">
        <v>2693</v>
      </c>
      <c r="L4365" t="s">
        <v>26</v>
      </c>
      <c r="M4365">
        <v>344380</v>
      </c>
      <c r="N4365">
        <v>1</v>
      </c>
      <c r="O4365" s="3">
        <v>64950</v>
      </c>
      <c r="P4365" s="3">
        <v>20803</v>
      </c>
      <c r="Q4365" s="5">
        <f t="shared" si="204"/>
        <v>54579.831932773115</v>
      </c>
      <c r="R4365" s="5">
        <f t="shared" si="205"/>
        <v>20803</v>
      </c>
      <c r="S4365" s="5">
        <f t="shared" si="206"/>
        <v>33776.831932773115</v>
      </c>
    </row>
    <row r="4366" spans="1:19" hidden="1" x14ac:dyDescent="0.3">
      <c r="A4366">
        <v>180</v>
      </c>
      <c r="B4366" t="s">
        <v>5549</v>
      </c>
      <c r="C4366" t="s">
        <v>5643</v>
      </c>
      <c r="D4366" s="2" t="s">
        <v>5644</v>
      </c>
      <c r="E4366" t="s">
        <v>2558</v>
      </c>
      <c r="F4366" t="s">
        <v>20</v>
      </c>
      <c r="G4366" t="s">
        <v>21</v>
      </c>
      <c r="H4366" t="s">
        <v>870</v>
      </c>
      <c r="I4366" t="s">
        <v>23</v>
      </c>
      <c r="J4366" t="s">
        <v>49</v>
      </c>
      <c r="K4366" s="2" t="s">
        <v>2693</v>
      </c>
      <c r="L4366" t="s">
        <v>26</v>
      </c>
      <c r="M4366">
        <v>344381</v>
      </c>
      <c r="N4366">
        <v>1</v>
      </c>
      <c r="O4366" s="3">
        <v>64950</v>
      </c>
      <c r="P4366" s="3">
        <v>22955</v>
      </c>
      <c r="Q4366" s="5">
        <f t="shared" si="204"/>
        <v>54579.831932773115</v>
      </c>
      <c r="R4366" s="5">
        <f t="shared" si="205"/>
        <v>22955</v>
      </c>
      <c r="S4366" s="5">
        <f t="shared" si="206"/>
        <v>31624.831932773115</v>
      </c>
    </row>
    <row r="4367" spans="1:19" hidden="1" x14ac:dyDescent="0.3">
      <c r="A4367">
        <v>180</v>
      </c>
      <c r="B4367" t="s">
        <v>5549</v>
      </c>
      <c r="C4367">
        <v>1687976791</v>
      </c>
      <c r="D4367" s="2" t="s">
        <v>200</v>
      </c>
      <c r="E4367" t="s">
        <v>201</v>
      </c>
      <c r="F4367" t="s">
        <v>201</v>
      </c>
      <c r="G4367" t="s">
        <v>202</v>
      </c>
      <c r="H4367" t="s">
        <v>202</v>
      </c>
      <c r="I4367" t="s">
        <v>23</v>
      </c>
      <c r="J4367" t="s">
        <v>202</v>
      </c>
      <c r="K4367" s="2" t="s">
        <v>2693</v>
      </c>
      <c r="L4367" t="s">
        <v>26</v>
      </c>
      <c r="M4367">
        <v>344382</v>
      </c>
      <c r="N4367">
        <v>1</v>
      </c>
      <c r="O4367">
        <v>1</v>
      </c>
      <c r="P4367">
        <v>1</v>
      </c>
      <c r="Q4367" s="5">
        <f t="shared" si="204"/>
        <v>0.84033613445378152</v>
      </c>
      <c r="R4367" s="5">
        <f t="shared" si="205"/>
        <v>1</v>
      </c>
      <c r="S4367" s="5">
        <f t="shared" si="206"/>
        <v>-0.15966386554621848</v>
      </c>
    </row>
    <row r="4368" spans="1:19" hidden="1" x14ac:dyDescent="0.3">
      <c r="A4368">
        <v>180</v>
      </c>
      <c r="B4368" t="s">
        <v>5549</v>
      </c>
      <c r="C4368" t="s">
        <v>2260</v>
      </c>
      <c r="D4368" s="2" t="s">
        <v>2261</v>
      </c>
      <c r="E4368" t="s">
        <v>2262</v>
      </c>
      <c r="F4368" t="s">
        <v>20</v>
      </c>
      <c r="G4368" t="s">
        <v>21</v>
      </c>
      <c r="H4368" t="s">
        <v>565</v>
      </c>
      <c r="I4368" t="s">
        <v>23</v>
      </c>
      <c r="J4368" t="s">
        <v>49</v>
      </c>
      <c r="K4368" s="2" t="s">
        <v>2693</v>
      </c>
      <c r="L4368" t="s">
        <v>26</v>
      </c>
      <c r="M4368">
        <v>344382</v>
      </c>
      <c r="N4368">
        <v>1</v>
      </c>
      <c r="O4368" s="3">
        <v>59450</v>
      </c>
      <c r="P4368" s="3">
        <v>23775</v>
      </c>
      <c r="Q4368" s="5">
        <f t="shared" si="204"/>
        <v>49957.983193277316</v>
      </c>
      <c r="R4368" s="5">
        <f t="shared" si="205"/>
        <v>23775</v>
      </c>
      <c r="S4368" s="5">
        <f t="shared" si="206"/>
        <v>26182.983193277316</v>
      </c>
    </row>
    <row r="4369" spans="1:19" hidden="1" x14ac:dyDescent="0.3">
      <c r="A4369">
        <v>180</v>
      </c>
      <c r="B4369" t="s">
        <v>5549</v>
      </c>
      <c r="C4369" t="s">
        <v>5645</v>
      </c>
      <c r="D4369" s="2" t="s">
        <v>5646</v>
      </c>
      <c r="E4369" t="s">
        <v>1223</v>
      </c>
      <c r="F4369" t="s">
        <v>20</v>
      </c>
      <c r="G4369" t="s">
        <v>21</v>
      </c>
      <c r="H4369" t="s">
        <v>500</v>
      </c>
      <c r="I4369" t="s">
        <v>23</v>
      </c>
      <c r="J4369" t="s">
        <v>40</v>
      </c>
      <c r="K4369" s="2" t="s">
        <v>2693</v>
      </c>
      <c r="L4369" t="s">
        <v>26</v>
      </c>
      <c r="M4369">
        <v>344383</v>
      </c>
      <c r="N4369">
        <v>-1</v>
      </c>
      <c r="O4369" s="3">
        <v>-49990</v>
      </c>
      <c r="P4369" s="3">
        <v>20043</v>
      </c>
      <c r="Q4369" s="5">
        <f t="shared" si="204"/>
        <v>-42008.403361344543</v>
      </c>
      <c r="R4369" s="5">
        <f t="shared" si="205"/>
        <v>-20043</v>
      </c>
      <c r="S4369" s="5">
        <f t="shared" si="206"/>
        <v>-21965.403361344543</v>
      </c>
    </row>
    <row r="4370" spans="1:19" hidden="1" x14ac:dyDescent="0.3">
      <c r="A4370">
        <v>180</v>
      </c>
      <c r="B4370" t="s">
        <v>5549</v>
      </c>
      <c r="C4370" t="s">
        <v>3273</v>
      </c>
      <c r="D4370" s="2" t="s">
        <v>3274</v>
      </c>
      <c r="E4370" t="s">
        <v>499</v>
      </c>
      <c r="F4370" t="s">
        <v>20</v>
      </c>
      <c r="G4370" t="s">
        <v>21</v>
      </c>
      <c r="H4370" t="s">
        <v>500</v>
      </c>
      <c r="I4370" t="s">
        <v>23</v>
      </c>
      <c r="J4370" t="s">
        <v>40</v>
      </c>
      <c r="K4370" s="2" t="s">
        <v>2693</v>
      </c>
      <c r="L4370" t="s">
        <v>26</v>
      </c>
      <c r="M4370">
        <v>344383</v>
      </c>
      <c r="N4370">
        <v>1</v>
      </c>
      <c r="O4370" s="3">
        <v>59950</v>
      </c>
      <c r="P4370" s="3">
        <v>17416</v>
      </c>
      <c r="Q4370" s="5">
        <f t="shared" si="204"/>
        <v>50378.151260504201</v>
      </c>
      <c r="R4370" s="5">
        <f t="shared" si="205"/>
        <v>17416</v>
      </c>
      <c r="S4370" s="5">
        <f t="shared" si="206"/>
        <v>32962.151260504201</v>
      </c>
    </row>
    <row r="4371" spans="1:19" hidden="1" x14ac:dyDescent="0.3">
      <c r="A4371">
        <v>180</v>
      </c>
      <c r="B4371" t="s">
        <v>5549</v>
      </c>
      <c r="C4371" t="s">
        <v>5647</v>
      </c>
      <c r="D4371" s="2" t="s">
        <v>5648</v>
      </c>
      <c r="E4371" t="s">
        <v>3013</v>
      </c>
      <c r="F4371" t="s">
        <v>20</v>
      </c>
      <c r="G4371" t="s">
        <v>21</v>
      </c>
      <c r="H4371" t="s">
        <v>2070</v>
      </c>
      <c r="I4371" t="s">
        <v>23</v>
      </c>
      <c r="J4371" t="s">
        <v>24</v>
      </c>
      <c r="K4371" s="2" t="s">
        <v>2693</v>
      </c>
      <c r="L4371" t="s">
        <v>26</v>
      </c>
      <c r="M4371">
        <v>344384</v>
      </c>
      <c r="N4371">
        <v>1</v>
      </c>
      <c r="O4371" s="3">
        <v>63710</v>
      </c>
      <c r="P4371" s="3">
        <v>27716</v>
      </c>
      <c r="Q4371" s="5">
        <f t="shared" si="204"/>
        <v>53537.815126050424</v>
      </c>
      <c r="R4371" s="5">
        <f t="shared" si="205"/>
        <v>27716</v>
      </c>
      <c r="S4371" s="5">
        <f t="shared" si="206"/>
        <v>25821.815126050424</v>
      </c>
    </row>
    <row r="4372" spans="1:19" hidden="1" x14ac:dyDescent="0.3">
      <c r="A4372">
        <v>180</v>
      </c>
      <c r="B4372" t="s">
        <v>5549</v>
      </c>
      <c r="C4372" t="s">
        <v>3436</v>
      </c>
      <c r="D4372" s="2" t="s">
        <v>3437</v>
      </c>
      <c r="E4372" t="s">
        <v>3438</v>
      </c>
      <c r="F4372" t="s">
        <v>20</v>
      </c>
      <c r="G4372" t="s">
        <v>338</v>
      </c>
      <c r="H4372">
        <v>83707</v>
      </c>
      <c r="I4372" t="s">
        <v>23</v>
      </c>
      <c r="J4372" t="s">
        <v>40</v>
      </c>
      <c r="K4372" s="2" t="s">
        <v>2693</v>
      </c>
      <c r="L4372" t="s">
        <v>26</v>
      </c>
      <c r="M4372">
        <v>344385</v>
      </c>
      <c r="N4372">
        <v>1</v>
      </c>
      <c r="O4372" s="3">
        <v>67460</v>
      </c>
      <c r="P4372" s="3">
        <v>30263</v>
      </c>
      <c r="Q4372" s="5">
        <f t="shared" si="204"/>
        <v>56689.075630252104</v>
      </c>
      <c r="R4372" s="5">
        <f t="shared" si="205"/>
        <v>30263</v>
      </c>
      <c r="S4372" s="5">
        <f t="shared" si="206"/>
        <v>26426.075630252104</v>
      </c>
    </row>
    <row r="4373" spans="1:19" hidden="1" x14ac:dyDescent="0.3">
      <c r="A4373">
        <v>180</v>
      </c>
      <c r="B4373" t="s">
        <v>5549</v>
      </c>
      <c r="C4373" t="s">
        <v>5649</v>
      </c>
      <c r="D4373" s="2" t="s">
        <v>5650</v>
      </c>
      <c r="E4373" t="s">
        <v>3340</v>
      </c>
      <c r="F4373" t="s">
        <v>20</v>
      </c>
      <c r="G4373" t="s">
        <v>338</v>
      </c>
      <c r="H4373">
        <v>25097</v>
      </c>
      <c r="I4373" t="s">
        <v>23</v>
      </c>
      <c r="J4373" t="s">
        <v>24</v>
      </c>
      <c r="K4373" s="2" t="s">
        <v>2693</v>
      </c>
      <c r="L4373" t="s">
        <v>26</v>
      </c>
      <c r="M4373">
        <v>344386</v>
      </c>
      <c r="N4373">
        <v>1</v>
      </c>
      <c r="O4373" s="3">
        <v>74950</v>
      </c>
      <c r="P4373" s="3">
        <v>23242</v>
      </c>
      <c r="Q4373" s="5">
        <f t="shared" si="204"/>
        <v>62983.193277310929</v>
      </c>
      <c r="R4373" s="5">
        <f t="shared" si="205"/>
        <v>23242</v>
      </c>
      <c r="S4373" s="5">
        <f t="shared" si="206"/>
        <v>39741.193277310929</v>
      </c>
    </row>
    <row r="4374" spans="1:19" hidden="1" x14ac:dyDescent="0.3">
      <c r="A4374">
        <v>180</v>
      </c>
      <c r="B4374" t="s">
        <v>5549</v>
      </c>
      <c r="C4374" t="s">
        <v>264</v>
      </c>
      <c r="D4374" s="2" t="s">
        <v>265</v>
      </c>
      <c r="E4374" t="s">
        <v>266</v>
      </c>
      <c r="F4374" t="s">
        <v>20</v>
      </c>
      <c r="G4374" t="s">
        <v>21</v>
      </c>
      <c r="H4374" t="s">
        <v>267</v>
      </c>
      <c r="I4374" t="s">
        <v>23</v>
      </c>
      <c r="J4374" t="s">
        <v>49</v>
      </c>
      <c r="K4374" s="2" t="s">
        <v>2693</v>
      </c>
      <c r="L4374" t="s">
        <v>26</v>
      </c>
      <c r="M4374">
        <v>344387</v>
      </c>
      <c r="N4374">
        <v>1</v>
      </c>
      <c r="O4374" s="3">
        <v>64950</v>
      </c>
      <c r="P4374" s="3">
        <v>24504</v>
      </c>
      <c r="Q4374" s="5">
        <f t="shared" si="204"/>
        <v>54579.831932773115</v>
      </c>
      <c r="R4374" s="5">
        <f t="shared" si="205"/>
        <v>24504</v>
      </c>
      <c r="S4374" s="5">
        <f t="shared" si="206"/>
        <v>30075.831932773115</v>
      </c>
    </row>
    <row r="4375" spans="1:19" hidden="1" x14ac:dyDescent="0.3">
      <c r="A4375">
        <v>180</v>
      </c>
      <c r="B4375" t="s">
        <v>5549</v>
      </c>
      <c r="C4375" t="s">
        <v>4146</v>
      </c>
      <c r="D4375" s="2" t="s">
        <v>4147</v>
      </c>
      <c r="E4375" t="s">
        <v>2738</v>
      </c>
      <c r="F4375" t="s">
        <v>20</v>
      </c>
      <c r="G4375" t="s">
        <v>21</v>
      </c>
      <c r="H4375" t="s">
        <v>22</v>
      </c>
      <c r="I4375" t="s">
        <v>23</v>
      </c>
      <c r="J4375" t="s">
        <v>49</v>
      </c>
      <c r="K4375" s="2" t="s">
        <v>2693</v>
      </c>
      <c r="L4375" t="s">
        <v>26</v>
      </c>
      <c r="M4375">
        <v>344388</v>
      </c>
      <c r="N4375">
        <v>1</v>
      </c>
      <c r="O4375" s="3">
        <v>74950</v>
      </c>
      <c r="P4375" s="3">
        <v>26246</v>
      </c>
      <c r="Q4375" s="5">
        <f t="shared" si="204"/>
        <v>62983.193277310929</v>
      </c>
      <c r="R4375" s="5">
        <f t="shared" si="205"/>
        <v>26246</v>
      </c>
      <c r="S4375" s="5">
        <f t="shared" si="206"/>
        <v>36737.193277310929</v>
      </c>
    </row>
    <row r="4376" spans="1:19" hidden="1" x14ac:dyDescent="0.3">
      <c r="A4376">
        <v>180</v>
      </c>
      <c r="B4376" t="s">
        <v>5549</v>
      </c>
      <c r="C4376" t="s">
        <v>5295</v>
      </c>
      <c r="D4376" s="2" t="s">
        <v>5296</v>
      </c>
      <c r="E4376" t="s">
        <v>4736</v>
      </c>
      <c r="F4376" t="s">
        <v>20</v>
      </c>
      <c r="G4376" t="s">
        <v>21</v>
      </c>
      <c r="H4376" t="s">
        <v>1914</v>
      </c>
      <c r="I4376" t="s">
        <v>23</v>
      </c>
      <c r="J4376" t="s">
        <v>49</v>
      </c>
      <c r="K4376" s="2" t="s">
        <v>2693</v>
      </c>
      <c r="L4376" t="s">
        <v>26</v>
      </c>
      <c r="M4376">
        <v>344389</v>
      </c>
      <c r="N4376">
        <v>1</v>
      </c>
      <c r="O4376" s="3">
        <v>74950</v>
      </c>
      <c r="P4376" s="3">
        <v>24728</v>
      </c>
      <c r="Q4376" s="5">
        <f t="shared" si="204"/>
        <v>62983.193277310929</v>
      </c>
      <c r="R4376" s="5">
        <f t="shared" si="205"/>
        <v>24728</v>
      </c>
      <c r="S4376" s="5">
        <f t="shared" si="206"/>
        <v>38255.193277310929</v>
      </c>
    </row>
    <row r="4377" spans="1:19" hidden="1" x14ac:dyDescent="0.3">
      <c r="A4377">
        <v>180</v>
      </c>
      <c r="B4377" t="s">
        <v>5549</v>
      </c>
      <c r="C4377" t="s">
        <v>2395</v>
      </c>
      <c r="D4377" s="2" t="s">
        <v>2396</v>
      </c>
      <c r="E4377" t="s">
        <v>425</v>
      </c>
      <c r="F4377" t="s">
        <v>20</v>
      </c>
      <c r="G4377" t="s">
        <v>21</v>
      </c>
      <c r="H4377" t="s">
        <v>22</v>
      </c>
      <c r="I4377" t="s">
        <v>23</v>
      </c>
      <c r="J4377" t="s">
        <v>24</v>
      </c>
      <c r="K4377" s="2" t="s">
        <v>2693</v>
      </c>
      <c r="L4377" t="s">
        <v>26</v>
      </c>
      <c r="M4377">
        <v>344390</v>
      </c>
      <c r="N4377">
        <v>1</v>
      </c>
      <c r="O4377" s="3">
        <v>79950</v>
      </c>
      <c r="P4377" s="3">
        <v>27848</v>
      </c>
      <c r="Q4377" s="5">
        <f t="shared" si="204"/>
        <v>67184.873949579836</v>
      </c>
      <c r="R4377" s="5">
        <f t="shared" si="205"/>
        <v>27848</v>
      </c>
      <c r="S4377" s="5">
        <f t="shared" si="206"/>
        <v>39336.873949579836</v>
      </c>
    </row>
    <row r="4378" spans="1:19" hidden="1" x14ac:dyDescent="0.3">
      <c r="A4378">
        <v>180</v>
      </c>
      <c r="B4378" t="s">
        <v>5549</v>
      </c>
      <c r="C4378" t="s">
        <v>5651</v>
      </c>
      <c r="D4378" s="2" t="s">
        <v>5652</v>
      </c>
      <c r="E4378" t="s">
        <v>2490</v>
      </c>
      <c r="F4378" t="s">
        <v>20</v>
      </c>
      <c r="G4378" t="s">
        <v>21</v>
      </c>
      <c r="H4378" t="s">
        <v>44</v>
      </c>
      <c r="I4378" t="s">
        <v>23</v>
      </c>
      <c r="J4378" t="s">
        <v>40</v>
      </c>
      <c r="K4378" s="2" t="s">
        <v>2693</v>
      </c>
      <c r="L4378" t="s">
        <v>26</v>
      </c>
      <c r="M4378">
        <v>344391</v>
      </c>
      <c r="N4378">
        <v>1</v>
      </c>
      <c r="O4378" s="3">
        <v>39990</v>
      </c>
      <c r="P4378" s="3">
        <v>15254</v>
      </c>
      <c r="Q4378" s="5">
        <f t="shared" si="204"/>
        <v>33605.042016806721</v>
      </c>
      <c r="R4378" s="5">
        <f t="shared" si="205"/>
        <v>15254</v>
      </c>
      <c r="S4378" s="5">
        <f t="shared" si="206"/>
        <v>18351.042016806721</v>
      </c>
    </row>
    <row r="4379" spans="1:19" hidden="1" x14ac:dyDescent="0.3">
      <c r="A4379">
        <v>180</v>
      </c>
      <c r="B4379" t="s">
        <v>5549</v>
      </c>
      <c r="C4379" t="s">
        <v>5275</v>
      </c>
      <c r="D4379" s="2" t="s">
        <v>5276</v>
      </c>
      <c r="E4379" t="s">
        <v>741</v>
      </c>
      <c r="F4379" t="s">
        <v>20</v>
      </c>
      <c r="G4379" t="s">
        <v>21</v>
      </c>
      <c r="H4379" t="s">
        <v>742</v>
      </c>
      <c r="I4379" t="s">
        <v>23</v>
      </c>
      <c r="J4379" t="s">
        <v>40</v>
      </c>
      <c r="K4379" s="2" t="s">
        <v>2693</v>
      </c>
      <c r="L4379" t="s">
        <v>26</v>
      </c>
      <c r="M4379">
        <v>344392</v>
      </c>
      <c r="N4379">
        <v>1</v>
      </c>
      <c r="O4379" s="3">
        <v>74950</v>
      </c>
      <c r="P4379" s="3">
        <v>24229</v>
      </c>
      <c r="Q4379" s="5">
        <f t="shared" si="204"/>
        <v>62983.193277310929</v>
      </c>
      <c r="R4379" s="5">
        <f t="shared" si="205"/>
        <v>24229</v>
      </c>
      <c r="S4379" s="5">
        <f t="shared" si="206"/>
        <v>38754.193277310929</v>
      </c>
    </row>
    <row r="4380" spans="1:19" hidden="1" x14ac:dyDescent="0.3">
      <c r="A4380">
        <v>180</v>
      </c>
      <c r="B4380" t="s">
        <v>5549</v>
      </c>
      <c r="C4380" t="s">
        <v>5653</v>
      </c>
      <c r="D4380" s="2" t="s">
        <v>5654</v>
      </c>
      <c r="E4380" t="s">
        <v>4702</v>
      </c>
      <c r="F4380" t="s">
        <v>20</v>
      </c>
      <c r="G4380" t="s">
        <v>21</v>
      </c>
      <c r="H4380" t="s">
        <v>295</v>
      </c>
      <c r="I4380" t="s">
        <v>23</v>
      </c>
      <c r="J4380" t="s">
        <v>40</v>
      </c>
      <c r="K4380" s="2" t="s">
        <v>2693</v>
      </c>
      <c r="L4380" t="s">
        <v>26</v>
      </c>
      <c r="M4380">
        <v>344392</v>
      </c>
      <c r="N4380">
        <v>1</v>
      </c>
      <c r="O4380" s="3">
        <v>79950</v>
      </c>
      <c r="P4380" s="3">
        <v>26951</v>
      </c>
      <c r="Q4380" s="5">
        <f t="shared" si="204"/>
        <v>67184.873949579836</v>
      </c>
      <c r="R4380" s="5">
        <f t="shared" si="205"/>
        <v>26951</v>
      </c>
      <c r="S4380" s="5">
        <f t="shared" si="206"/>
        <v>40233.873949579836</v>
      </c>
    </row>
    <row r="4381" spans="1:19" hidden="1" x14ac:dyDescent="0.3">
      <c r="A4381">
        <v>180</v>
      </c>
      <c r="B4381" t="s">
        <v>5549</v>
      </c>
      <c r="C4381" t="s">
        <v>5655</v>
      </c>
      <c r="D4381" s="2" t="s">
        <v>5656</v>
      </c>
      <c r="E4381" t="s">
        <v>5657</v>
      </c>
      <c r="F4381" t="s">
        <v>20</v>
      </c>
      <c r="G4381" t="s">
        <v>21</v>
      </c>
      <c r="H4381" t="s">
        <v>1755</v>
      </c>
      <c r="I4381" t="s">
        <v>23</v>
      </c>
      <c r="J4381" t="s">
        <v>40</v>
      </c>
      <c r="K4381" s="2" t="s">
        <v>2751</v>
      </c>
      <c r="L4381" t="s">
        <v>26</v>
      </c>
      <c r="M4381">
        <v>344393</v>
      </c>
      <c r="N4381">
        <v>-1</v>
      </c>
      <c r="O4381" s="3">
        <v>-45040</v>
      </c>
      <c r="P4381" s="3">
        <v>28528</v>
      </c>
      <c r="Q4381" s="5">
        <f t="shared" si="204"/>
        <v>-37848.73949579832</v>
      </c>
      <c r="R4381" s="5">
        <f t="shared" si="205"/>
        <v>-28528</v>
      </c>
      <c r="S4381" s="5">
        <f t="shared" si="206"/>
        <v>-9320.7394957983197</v>
      </c>
    </row>
    <row r="4382" spans="1:19" hidden="1" x14ac:dyDescent="0.3">
      <c r="A4382">
        <v>180</v>
      </c>
      <c r="B4382" t="s">
        <v>5549</v>
      </c>
      <c r="C4382" t="s">
        <v>3781</v>
      </c>
      <c r="D4382" s="2" t="s">
        <v>3782</v>
      </c>
      <c r="E4382" t="s">
        <v>3783</v>
      </c>
      <c r="F4382" t="s">
        <v>20</v>
      </c>
      <c r="G4382" t="s">
        <v>21</v>
      </c>
      <c r="H4382" t="s">
        <v>295</v>
      </c>
      <c r="I4382" t="s">
        <v>23</v>
      </c>
      <c r="J4382" t="s">
        <v>40</v>
      </c>
      <c r="K4382" s="2" t="s">
        <v>2751</v>
      </c>
      <c r="L4382" t="s">
        <v>26</v>
      </c>
      <c r="M4382">
        <v>344393</v>
      </c>
      <c r="N4382">
        <v>1</v>
      </c>
      <c r="O4382" s="3">
        <v>79950</v>
      </c>
      <c r="P4382" s="3">
        <v>25028</v>
      </c>
      <c r="Q4382" s="5">
        <f t="shared" si="204"/>
        <v>67184.873949579836</v>
      </c>
      <c r="R4382" s="5">
        <f t="shared" si="205"/>
        <v>25028</v>
      </c>
      <c r="S4382" s="5">
        <f t="shared" si="206"/>
        <v>42156.873949579836</v>
      </c>
    </row>
    <row r="4383" spans="1:19" hidden="1" x14ac:dyDescent="0.3">
      <c r="A4383">
        <v>180</v>
      </c>
      <c r="B4383" t="s">
        <v>5549</v>
      </c>
      <c r="C4383" t="s">
        <v>2625</v>
      </c>
      <c r="D4383" s="2" t="s">
        <v>2626</v>
      </c>
      <c r="E4383" t="s">
        <v>2539</v>
      </c>
      <c r="F4383" t="s">
        <v>20</v>
      </c>
      <c r="G4383" t="s">
        <v>21</v>
      </c>
      <c r="H4383" t="s">
        <v>966</v>
      </c>
      <c r="I4383" t="s">
        <v>23</v>
      </c>
      <c r="J4383" t="s">
        <v>35</v>
      </c>
      <c r="K4383" s="2" t="s">
        <v>2751</v>
      </c>
      <c r="L4383" t="s">
        <v>26</v>
      </c>
      <c r="M4383">
        <v>344394</v>
      </c>
      <c r="N4383">
        <v>1</v>
      </c>
      <c r="O4383" s="3">
        <v>74950</v>
      </c>
      <c r="P4383" s="3">
        <v>27026</v>
      </c>
      <c r="Q4383" s="5">
        <f t="shared" si="204"/>
        <v>62983.193277310929</v>
      </c>
      <c r="R4383" s="5">
        <f t="shared" si="205"/>
        <v>27026</v>
      </c>
      <c r="S4383" s="5">
        <f t="shared" si="206"/>
        <v>35957.193277310929</v>
      </c>
    </row>
    <row r="4384" spans="1:19" hidden="1" x14ac:dyDescent="0.3">
      <c r="A4384">
        <v>180</v>
      </c>
      <c r="B4384" t="s">
        <v>5549</v>
      </c>
      <c r="C4384" t="s">
        <v>1105</v>
      </c>
      <c r="D4384" s="2" t="s">
        <v>1106</v>
      </c>
      <c r="E4384" t="s">
        <v>316</v>
      </c>
      <c r="F4384" t="s">
        <v>20</v>
      </c>
      <c r="G4384" t="s">
        <v>21</v>
      </c>
      <c r="H4384" t="s">
        <v>317</v>
      </c>
      <c r="I4384" t="s">
        <v>23</v>
      </c>
      <c r="J4384" t="s">
        <v>35</v>
      </c>
      <c r="K4384" s="2" t="s">
        <v>2751</v>
      </c>
      <c r="L4384" t="s">
        <v>26</v>
      </c>
      <c r="M4384">
        <v>344394</v>
      </c>
      <c r="N4384">
        <v>1</v>
      </c>
      <c r="O4384" s="3">
        <v>69950</v>
      </c>
      <c r="P4384" s="3">
        <v>24908</v>
      </c>
      <c r="Q4384" s="5">
        <f t="shared" si="204"/>
        <v>58781.512605042022</v>
      </c>
      <c r="R4384" s="5">
        <f t="shared" si="205"/>
        <v>24908</v>
      </c>
      <c r="S4384" s="5">
        <f t="shared" si="206"/>
        <v>33873.512605042022</v>
      </c>
    </row>
    <row r="4385" spans="1:19" hidden="1" x14ac:dyDescent="0.3">
      <c r="A4385">
        <v>180</v>
      </c>
      <c r="B4385" t="s">
        <v>5549</v>
      </c>
      <c r="C4385" t="s">
        <v>2453</v>
      </c>
      <c r="D4385" s="2" t="s">
        <v>2454</v>
      </c>
      <c r="E4385" t="s">
        <v>2455</v>
      </c>
      <c r="F4385" t="s">
        <v>20</v>
      </c>
      <c r="G4385" t="s">
        <v>21</v>
      </c>
      <c r="H4385" t="s">
        <v>742</v>
      </c>
      <c r="I4385" t="s">
        <v>23</v>
      </c>
      <c r="J4385" t="s">
        <v>40</v>
      </c>
      <c r="K4385" s="2" t="s">
        <v>2751</v>
      </c>
      <c r="L4385" t="s">
        <v>26</v>
      </c>
      <c r="M4385">
        <v>344395</v>
      </c>
      <c r="N4385">
        <v>1</v>
      </c>
      <c r="O4385" s="3">
        <v>79950</v>
      </c>
      <c r="P4385" s="3">
        <v>28467</v>
      </c>
      <c r="Q4385" s="5">
        <f t="shared" si="204"/>
        <v>67184.873949579836</v>
      </c>
      <c r="R4385" s="5">
        <f t="shared" si="205"/>
        <v>28467</v>
      </c>
      <c r="S4385" s="5">
        <f t="shared" si="206"/>
        <v>38717.873949579836</v>
      </c>
    </row>
    <row r="4386" spans="1:19" hidden="1" x14ac:dyDescent="0.3">
      <c r="A4386">
        <v>180</v>
      </c>
      <c r="B4386" t="s">
        <v>5549</v>
      </c>
      <c r="C4386" t="s">
        <v>3176</v>
      </c>
      <c r="D4386" s="2" t="s">
        <v>3177</v>
      </c>
      <c r="E4386" t="s">
        <v>2539</v>
      </c>
      <c r="F4386" t="s">
        <v>20</v>
      </c>
      <c r="G4386" t="s">
        <v>21</v>
      </c>
      <c r="H4386" t="s">
        <v>966</v>
      </c>
      <c r="I4386" t="s">
        <v>23</v>
      </c>
      <c r="J4386" t="s">
        <v>35</v>
      </c>
      <c r="K4386" s="2" t="s">
        <v>2751</v>
      </c>
      <c r="L4386" t="s">
        <v>26</v>
      </c>
      <c r="M4386">
        <v>344396</v>
      </c>
      <c r="N4386">
        <v>1</v>
      </c>
      <c r="O4386" s="3">
        <v>74950</v>
      </c>
      <c r="P4386" s="3">
        <v>27328</v>
      </c>
      <c r="Q4386" s="5">
        <f t="shared" si="204"/>
        <v>62983.193277310929</v>
      </c>
      <c r="R4386" s="5">
        <f t="shared" si="205"/>
        <v>27328</v>
      </c>
      <c r="S4386" s="5">
        <f t="shared" si="206"/>
        <v>35655.193277310929</v>
      </c>
    </row>
    <row r="4387" spans="1:19" hidden="1" x14ac:dyDescent="0.3">
      <c r="A4387">
        <v>180</v>
      </c>
      <c r="B4387" t="s">
        <v>5549</v>
      </c>
      <c r="C4387" t="s">
        <v>2739</v>
      </c>
      <c r="D4387" s="2" t="s">
        <v>2740</v>
      </c>
      <c r="E4387" t="s">
        <v>2741</v>
      </c>
      <c r="F4387" t="s">
        <v>20</v>
      </c>
      <c r="G4387" t="s">
        <v>21</v>
      </c>
      <c r="H4387" t="s">
        <v>2494</v>
      </c>
      <c r="I4387" t="s">
        <v>23</v>
      </c>
      <c r="J4387" t="s">
        <v>40</v>
      </c>
      <c r="K4387" s="2" t="s">
        <v>2751</v>
      </c>
      <c r="L4387" t="s">
        <v>26</v>
      </c>
      <c r="M4387">
        <v>344397</v>
      </c>
      <c r="N4387">
        <v>1</v>
      </c>
      <c r="O4387" s="3">
        <v>59450</v>
      </c>
      <c r="P4387" s="3">
        <v>23470</v>
      </c>
      <c r="Q4387" s="5">
        <f t="shared" si="204"/>
        <v>49957.983193277316</v>
      </c>
      <c r="R4387" s="5">
        <f t="shared" si="205"/>
        <v>23470</v>
      </c>
      <c r="S4387" s="5">
        <f t="shared" si="206"/>
        <v>26487.983193277316</v>
      </c>
    </row>
    <row r="4388" spans="1:19" hidden="1" x14ac:dyDescent="0.3">
      <c r="A4388">
        <v>180</v>
      </c>
      <c r="B4388" t="s">
        <v>5549</v>
      </c>
      <c r="C4388" t="s">
        <v>2997</v>
      </c>
      <c r="D4388" s="2" t="s">
        <v>2998</v>
      </c>
      <c r="E4388" t="s">
        <v>2483</v>
      </c>
      <c r="F4388" t="s">
        <v>20</v>
      </c>
      <c r="G4388" t="s">
        <v>21</v>
      </c>
      <c r="H4388" t="s">
        <v>2484</v>
      </c>
      <c r="I4388" t="s">
        <v>23</v>
      </c>
      <c r="J4388" t="s">
        <v>40</v>
      </c>
      <c r="K4388" s="2" t="s">
        <v>2751</v>
      </c>
      <c r="L4388" t="s">
        <v>26</v>
      </c>
      <c r="M4388">
        <v>344397</v>
      </c>
      <c r="N4388">
        <v>1</v>
      </c>
      <c r="O4388" s="3">
        <v>59950</v>
      </c>
      <c r="P4388" s="3">
        <v>17503</v>
      </c>
      <c r="Q4388" s="5">
        <f t="shared" si="204"/>
        <v>50378.151260504201</v>
      </c>
      <c r="R4388" s="5">
        <f t="shared" si="205"/>
        <v>17503</v>
      </c>
      <c r="S4388" s="5">
        <f t="shared" si="206"/>
        <v>32875.151260504201</v>
      </c>
    </row>
    <row r="4389" spans="1:19" hidden="1" x14ac:dyDescent="0.3">
      <c r="A4389">
        <v>180</v>
      </c>
      <c r="B4389" t="s">
        <v>5549</v>
      </c>
      <c r="C4389" t="s">
        <v>3416</v>
      </c>
      <c r="D4389" s="2" t="s">
        <v>3417</v>
      </c>
      <c r="E4389" t="s">
        <v>3418</v>
      </c>
      <c r="F4389" t="s">
        <v>20</v>
      </c>
      <c r="G4389" t="s">
        <v>21</v>
      </c>
      <c r="H4389" t="s">
        <v>1418</v>
      </c>
      <c r="I4389" t="s">
        <v>23</v>
      </c>
      <c r="J4389" t="s">
        <v>35</v>
      </c>
      <c r="K4389" s="2" t="s">
        <v>2751</v>
      </c>
      <c r="L4389" t="s">
        <v>26</v>
      </c>
      <c r="M4389">
        <v>344398</v>
      </c>
      <c r="N4389">
        <v>1</v>
      </c>
      <c r="O4389" s="3">
        <v>94950</v>
      </c>
      <c r="P4389" s="3">
        <v>30749</v>
      </c>
      <c r="Q4389" s="5">
        <f t="shared" si="204"/>
        <v>79789.915966386558</v>
      </c>
      <c r="R4389" s="5">
        <f t="shared" si="205"/>
        <v>30749</v>
      </c>
      <c r="S4389" s="5">
        <f t="shared" si="206"/>
        <v>49040.915966386558</v>
      </c>
    </row>
    <row r="4390" spans="1:19" hidden="1" x14ac:dyDescent="0.3">
      <c r="A4390">
        <v>180</v>
      </c>
      <c r="B4390" t="s">
        <v>5549</v>
      </c>
      <c r="C4390" t="s">
        <v>5658</v>
      </c>
      <c r="D4390" s="2" t="s">
        <v>5659</v>
      </c>
      <c r="E4390" t="s">
        <v>1913</v>
      </c>
      <c r="F4390" t="s">
        <v>20</v>
      </c>
      <c r="G4390" t="s">
        <v>21</v>
      </c>
      <c r="H4390" t="s">
        <v>1914</v>
      </c>
      <c r="I4390" t="s">
        <v>23</v>
      </c>
      <c r="J4390" t="s">
        <v>35</v>
      </c>
      <c r="K4390" s="2" t="s">
        <v>2751</v>
      </c>
      <c r="L4390" t="s">
        <v>26</v>
      </c>
      <c r="M4390">
        <v>344399</v>
      </c>
      <c r="N4390">
        <v>1</v>
      </c>
      <c r="O4390" s="3">
        <v>89950</v>
      </c>
      <c r="P4390" s="3">
        <v>28298</v>
      </c>
      <c r="Q4390" s="5">
        <f t="shared" si="204"/>
        <v>75588.23529411765</v>
      </c>
      <c r="R4390" s="5">
        <f t="shared" si="205"/>
        <v>28298</v>
      </c>
      <c r="S4390" s="5">
        <f t="shared" si="206"/>
        <v>47290.23529411765</v>
      </c>
    </row>
    <row r="4391" spans="1:19" hidden="1" x14ac:dyDescent="0.3">
      <c r="A4391">
        <v>180</v>
      </c>
      <c r="B4391" t="s">
        <v>5549</v>
      </c>
      <c r="C4391" t="s">
        <v>5660</v>
      </c>
      <c r="D4391" s="2" t="s">
        <v>5661</v>
      </c>
      <c r="E4391" t="s">
        <v>2810</v>
      </c>
      <c r="F4391" t="s">
        <v>20</v>
      </c>
      <c r="G4391" t="s">
        <v>21</v>
      </c>
      <c r="H4391" t="s">
        <v>1987</v>
      </c>
      <c r="I4391" t="s">
        <v>23</v>
      </c>
      <c r="J4391" t="s">
        <v>35</v>
      </c>
      <c r="K4391" s="2" t="s">
        <v>2751</v>
      </c>
      <c r="L4391" t="s">
        <v>26</v>
      </c>
      <c r="M4391">
        <v>344399</v>
      </c>
      <c r="N4391">
        <v>1</v>
      </c>
      <c r="O4391" s="3">
        <v>76450</v>
      </c>
      <c r="P4391" s="3">
        <v>29858</v>
      </c>
      <c r="Q4391" s="5">
        <f t="shared" si="204"/>
        <v>64243.697478991598</v>
      </c>
      <c r="R4391" s="5">
        <f t="shared" si="205"/>
        <v>29858</v>
      </c>
      <c r="S4391" s="5">
        <f t="shared" si="206"/>
        <v>34385.697478991598</v>
      </c>
    </row>
    <row r="4392" spans="1:19" hidden="1" x14ac:dyDescent="0.3">
      <c r="A4392">
        <v>180</v>
      </c>
      <c r="B4392" t="s">
        <v>5549</v>
      </c>
      <c r="C4392" t="s">
        <v>4762</v>
      </c>
      <c r="D4392" s="2" t="s">
        <v>4763</v>
      </c>
      <c r="E4392" t="s">
        <v>1330</v>
      </c>
      <c r="F4392" t="s">
        <v>20</v>
      </c>
      <c r="G4392" t="s">
        <v>338</v>
      </c>
      <c r="H4392">
        <v>25133</v>
      </c>
      <c r="I4392" t="s">
        <v>23</v>
      </c>
      <c r="J4392" t="s">
        <v>35</v>
      </c>
      <c r="K4392" s="2" t="s">
        <v>2751</v>
      </c>
      <c r="L4392" t="s">
        <v>26</v>
      </c>
      <c r="M4392">
        <v>344400</v>
      </c>
      <c r="N4392">
        <v>1</v>
      </c>
      <c r="O4392" s="3">
        <v>74950</v>
      </c>
      <c r="P4392" s="3">
        <v>21167</v>
      </c>
      <c r="Q4392" s="5">
        <f t="shared" si="204"/>
        <v>62983.193277310929</v>
      </c>
      <c r="R4392" s="5">
        <f t="shared" si="205"/>
        <v>21167</v>
      </c>
      <c r="S4392" s="5">
        <f t="shared" si="206"/>
        <v>41816.193277310929</v>
      </c>
    </row>
    <row r="4393" spans="1:19" hidden="1" x14ac:dyDescent="0.3">
      <c r="A4393">
        <v>180</v>
      </c>
      <c r="B4393" t="s">
        <v>5549</v>
      </c>
      <c r="C4393" t="s">
        <v>5662</v>
      </c>
      <c r="D4393" s="2" t="s">
        <v>5663</v>
      </c>
      <c r="E4393" t="s">
        <v>3795</v>
      </c>
      <c r="F4393" t="s">
        <v>20</v>
      </c>
      <c r="G4393" t="s">
        <v>338</v>
      </c>
      <c r="H4393">
        <v>25529</v>
      </c>
      <c r="I4393" t="s">
        <v>23</v>
      </c>
      <c r="J4393" t="s">
        <v>31</v>
      </c>
      <c r="K4393" s="2" t="s">
        <v>2751</v>
      </c>
      <c r="L4393" t="s">
        <v>26</v>
      </c>
      <c r="M4393">
        <v>344400</v>
      </c>
      <c r="N4393">
        <v>1</v>
      </c>
      <c r="O4393" s="3">
        <v>149950</v>
      </c>
      <c r="P4393" s="3">
        <v>50690</v>
      </c>
      <c r="Q4393" s="5">
        <f t="shared" si="204"/>
        <v>126008.40336134455</v>
      </c>
      <c r="R4393" s="5">
        <f t="shared" si="205"/>
        <v>50690</v>
      </c>
      <c r="S4393" s="5">
        <f t="shared" si="206"/>
        <v>75318.40336134455</v>
      </c>
    </row>
    <row r="4394" spans="1:19" hidden="1" x14ac:dyDescent="0.3">
      <c r="A4394">
        <v>180</v>
      </c>
      <c r="B4394" t="s">
        <v>5549</v>
      </c>
      <c r="C4394" t="s">
        <v>5576</v>
      </c>
      <c r="D4394" s="2" t="s">
        <v>5577</v>
      </c>
      <c r="E4394" t="s">
        <v>4396</v>
      </c>
      <c r="F4394" t="s">
        <v>20</v>
      </c>
      <c r="G4394" t="s">
        <v>21</v>
      </c>
      <c r="H4394" t="s">
        <v>2759</v>
      </c>
      <c r="I4394" t="s">
        <v>23</v>
      </c>
      <c r="J4394" t="s">
        <v>49</v>
      </c>
      <c r="K4394" s="2" t="s">
        <v>2751</v>
      </c>
      <c r="L4394" t="s">
        <v>26</v>
      </c>
      <c r="M4394">
        <v>344401</v>
      </c>
      <c r="N4394">
        <v>1</v>
      </c>
      <c r="O4394" s="3">
        <v>79950</v>
      </c>
      <c r="P4394" s="3">
        <v>33323</v>
      </c>
      <c r="Q4394" s="5">
        <f t="shared" si="204"/>
        <v>67184.873949579836</v>
      </c>
      <c r="R4394" s="5">
        <f t="shared" si="205"/>
        <v>33323</v>
      </c>
      <c r="S4394" s="5">
        <f t="shared" si="206"/>
        <v>33861.873949579836</v>
      </c>
    </row>
    <row r="4395" spans="1:19" hidden="1" x14ac:dyDescent="0.3">
      <c r="A4395">
        <v>180</v>
      </c>
      <c r="B4395" t="s">
        <v>5549</v>
      </c>
      <c r="C4395" t="s">
        <v>3133</v>
      </c>
      <c r="D4395" s="2" t="s">
        <v>3134</v>
      </c>
      <c r="E4395" t="s">
        <v>3135</v>
      </c>
      <c r="F4395" t="s">
        <v>377</v>
      </c>
      <c r="G4395" t="s">
        <v>21</v>
      </c>
      <c r="H4395" t="s">
        <v>378</v>
      </c>
      <c r="I4395" t="s">
        <v>23</v>
      </c>
      <c r="J4395" t="s">
        <v>2638</v>
      </c>
      <c r="K4395" s="2" t="s">
        <v>2751</v>
      </c>
      <c r="L4395" t="s">
        <v>26</v>
      </c>
      <c r="M4395">
        <v>344401</v>
      </c>
      <c r="N4395">
        <v>1</v>
      </c>
      <c r="O4395" s="3">
        <v>3450</v>
      </c>
      <c r="P4395" s="3">
        <v>1410</v>
      </c>
      <c r="Q4395" s="5">
        <f t="shared" si="204"/>
        <v>2899.1596638655465</v>
      </c>
      <c r="R4395" s="5">
        <f t="shared" si="205"/>
        <v>1410</v>
      </c>
      <c r="S4395" s="5">
        <f t="shared" si="206"/>
        <v>1489.1596638655465</v>
      </c>
    </row>
    <row r="4396" spans="1:19" hidden="1" x14ac:dyDescent="0.3">
      <c r="A4396">
        <v>180</v>
      </c>
      <c r="B4396" t="s">
        <v>5549</v>
      </c>
      <c r="C4396" t="s">
        <v>3925</v>
      </c>
      <c r="D4396" s="2" t="s">
        <v>3926</v>
      </c>
      <c r="E4396" t="s">
        <v>3127</v>
      </c>
      <c r="F4396" t="s">
        <v>20</v>
      </c>
      <c r="G4396" t="s">
        <v>21</v>
      </c>
      <c r="H4396" t="s">
        <v>3128</v>
      </c>
      <c r="I4396" t="s">
        <v>23</v>
      </c>
      <c r="J4396" t="s">
        <v>35</v>
      </c>
      <c r="K4396" s="2" t="s">
        <v>1152</v>
      </c>
      <c r="L4396" t="s">
        <v>26</v>
      </c>
      <c r="M4396">
        <v>344402</v>
      </c>
      <c r="N4396">
        <v>1</v>
      </c>
      <c r="O4396" s="3">
        <v>84950</v>
      </c>
      <c r="P4396" s="3">
        <v>29189</v>
      </c>
      <c r="Q4396" s="5">
        <f t="shared" si="204"/>
        <v>71386.554621848743</v>
      </c>
      <c r="R4396" s="5">
        <f t="shared" si="205"/>
        <v>29189</v>
      </c>
      <c r="S4396" s="5">
        <f t="shared" si="206"/>
        <v>42197.554621848743</v>
      </c>
    </row>
    <row r="4397" spans="1:19" hidden="1" x14ac:dyDescent="0.3">
      <c r="A4397">
        <v>180</v>
      </c>
      <c r="B4397" t="s">
        <v>5549</v>
      </c>
      <c r="C4397" t="s">
        <v>2525</v>
      </c>
      <c r="D4397" s="2" t="s">
        <v>2526</v>
      </c>
      <c r="E4397" t="s">
        <v>2527</v>
      </c>
      <c r="F4397" t="s">
        <v>377</v>
      </c>
      <c r="G4397" t="s">
        <v>21</v>
      </c>
      <c r="H4397" t="s">
        <v>378</v>
      </c>
      <c r="I4397" t="s">
        <v>23</v>
      </c>
      <c r="J4397" t="s">
        <v>2459</v>
      </c>
      <c r="K4397" s="2" t="s">
        <v>1152</v>
      </c>
      <c r="L4397" t="s">
        <v>26</v>
      </c>
      <c r="M4397">
        <v>344403</v>
      </c>
      <c r="N4397">
        <v>1</v>
      </c>
      <c r="O4397" s="3">
        <v>6950</v>
      </c>
      <c r="P4397" s="3">
        <v>2964</v>
      </c>
      <c r="Q4397" s="5">
        <f t="shared" si="204"/>
        <v>5840.3361344537816</v>
      </c>
      <c r="R4397" s="5">
        <f t="shared" si="205"/>
        <v>2964</v>
      </c>
      <c r="S4397" s="5">
        <f t="shared" si="206"/>
        <v>2876.3361344537816</v>
      </c>
    </row>
    <row r="4398" spans="1:19" hidden="1" x14ac:dyDescent="0.3">
      <c r="A4398">
        <v>180</v>
      </c>
      <c r="B4398" t="s">
        <v>5549</v>
      </c>
      <c r="C4398" t="s">
        <v>3358</v>
      </c>
      <c r="D4398" s="2" t="s">
        <v>3359</v>
      </c>
      <c r="E4398" t="s">
        <v>2069</v>
      </c>
      <c r="F4398" t="s">
        <v>20</v>
      </c>
      <c r="G4398" t="s">
        <v>21</v>
      </c>
      <c r="H4398" t="s">
        <v>2070</v>
      </c>
      <c r="I4398" t="s">
        <v>23</v>
      </c>
      <c r="J4398" t="s">
        <v>35</v>
      </c>
      <c r="K4398" s="2" t="s">
        <v>1152</v>
      </c>
      <c r="L4398" t="s">
        <v>26</v>
      </c>
      <c r="M4398">
        <v>344404</v>
      </c>
      <c r="N4398">
        <v>1</v>
      </c>
      <c r="O4398" s="3">
        <v>89950</v>
      </c>
      <c r="P4398" s="3">
        <v>29635</v>
      </c>
      <c r="Q4398" s="5">
        <f t="shared" si="204"/>
        <v>75588.23529411765</v>
      </c>
      <c r="R4398" s="5">
        <f t="shared" si="205"/>
        <v>29635</v>
      </c>
      <c r="S4398" s="5">
        <f t="shared" si="206"/>
        <v>45953.23529411765</v>
      </c>
    </row>
    <row r="4399" spans="1:19" hidden="1" x14ac:dyDescent="0.3">
      <c r="A4399">
        <v>180</v>
      </c>
      <c r="B4399" t="s">
        <v>5549</v>
      </c>
      <c r="C4399" t="s">
        <v>3917</v>
      </c>
      <c r="D4399" s="2" t="s">
        <v>3918</v>
      </c>
      <c r="E4399" t="s">
        <v>3418</v>
      </c>
      <c r="F4399" t="s">
        <v>20</v>
      </c>
      <c r="G4399" t="s">
        <v>21</v>
      </c>
      <c r="H4399" t="s">
        <v>1418</v>
      </c>
      <c r="I4399" t="s">
        <v>23</v>
      </c>
      <c r="J4399" t="s">
        <v>35</v>
      </c>
      <c r="K4399" s="2" t="s">
        <v>1152</v>
      </c>
      <c r="L4399" t="s">
        <v>26</v>
      </c>
      <c r="M4399">
        <v>344404</v>
      </c>
      <c r="N4399">
        <v>-1</v>
      </c>
      <c r="O4399" s="3">
        <v>-94950</v>
      </c>
      <c r="P4399" s="3">
        <v>30749</v>
      </c>
      <c r="Q4399" s="5">
        <f t="shared" si="204"/>
        <v>-79789.915966386558</v>
      </c>
      <c r="R4399" s="5">
        <f t="shared" si="205"/>
        <v>-30749</v>
      </c>
      <c r="S4399" s="5">
        <f t="shared" si="206"/>
        <v>-49040.915966386558</v>
      </c>
    </row>
    <row r="4400" spans="1:19" hidden="1" x14ac:dyDescent="0.3">
      <c r="A4400">
        <v>180</v>
      </c>
      <c r="B4400" t="s">
        <v>5549</v>
      </c>
      <c r="C4400" t="s">
        <v>1761</v>
      </c>
      <c r="D4400" s="2" t="s">
        <v>1762</v>
      </c>
      <c r="E4400" t="s">
        <v>1763</v>
      </c>
      <c r="F4400" t="s">
        <v>377</v>
      </c>
      <c r="G4400" t="s">
        <v>21</v>
      </c>
      <c r="H4400" t="s">
        <v>378</v>
      </c>
      <c r="I4400" t="s">
        <v>23</v>
      </c>
      <c r="J4400" t="s">
        <v>379</v>
      </c>
      <c r="K4400" s="2" t="s">
        <v>1152</v>
      </c>
      <c r="L4400" t="s">
        <v>26</v>
      </c>
      <c r="M4400">
        <v>344404</v>
      </c>
      <c r="N4400">
        <v>1</v>
      </c>
      <c r="O4400" s="3">
        <v>5950</v>
      </c>
      <c r="P4400" s="3">
        <v>3279</v>
      </c>
      <c r="Q4400" s="5">
        <f t="shared" si="204"/>
        <v>5000</v>
      </c>
      <c r="R4400" s="5">
        <f t="shared" si="205"/>
        <v>3279</v>
      </c>
      <c r="S4400" s="5">
        <f t="shared" si="206"/>
        <v>1721</v>
      </c>
    </row>
    <row r="4401" spans="1:19" hidden="1" x14ac:dyDescent="0.3">
      <c r="A4401">
        <v>180</v>
      </c>
      <c r="B4401" t="s">
        <v>5549</v>
      </c>
      <c r="C4401" t="s">
        <v>1037</v>
      </c>
      <c r="D4401" s="2" t="s">
        <v>1038</v>
      </c>
      <c r="E4401" t="s">
        <v>1039</v>
      </c>
      <c r="F4401" t="s">
        <v>377</v>
      </c>
      <c r="G4401" t="s">
        <v>21</v>
      </c>
      <c r="H4401" t="s">
        <v>378</v>
      </c>
      <c r="I4401" t="s">
        <v>23</v>
      </c>
      <c r="J4401" t="s">
        <v>379</v>
      </c>
      <c r="K4401" s="2" t="s">
        <v>1152</v>
      </c>
      <c r="L4401" t="s">
        <v>26</v>
      </c>
      <c r="M4401">
        <v>344405</v>
      </c>
      <c r="N4401">
        <v>1</v>
      </c>
      <c r="O4401" s="3">
        <v>5950</v>
      </c>
      <c r="P4401" s="3">
        <v>3257</v>
      </c>
      <c r="Q4401" s="5">
        <f t="shared" si="204"/>
        <v>5000</v>
      </c>
      <c r="R4401" s="5">
        <f t="shared" si="205"/>
        <v>3257</v>
      </c>
      <c r="S4401" s="5">
        <f t="shared" si="206"/>
        <v>1743</v>
      </c>
    </row>
    <row r="4402" spans="1:19" hidden="1" x14ac:dyDescent="0.3">
      <c r="A4402">
        <v>180</v>
      </c>
      <c r="B4402" t="s">
        <v>5549</v>
      </c>
      <c r="C4402" t="s">
        <v>5664</v>
      </c>
      <c r="D4402" s="2" t="s">
        <v>5665</v>
      </c>
      <c r="E4402" t="s">
        <v>3656</v>
      </c>
      <c r="F4402" t="s">
        <v>20</v>
      </c>
      <c r="G4402" t="s">
        <v>21</v>
      </c>
      <c r="H4402" t="s">
        <v>614</v>
      </c>
      <c r="I4402" t="s">
        <v>23</v>
      </c>
      <c r="J4402" t="s">
        <v>40</v>
      </c>
      <c r="K4402" s="2" t="s">
        <v>1152</v>
      </c>
      <c r="L4402" t="s">
        <v>26</v>
      </c>
      <c r="M4402">
        <v>344406</v>
      </c>
      <c r="N4402">
        <v>1</v>
      </c>
      <c r="O4402" s="3">
        <v>54950</v>
      </c>
      <c r="P4402" s="3">
        <v>14265</v>
      </c>
      <c r="Q4402" s="5">
        <f t="shared" si="204"/>
        <v>46176.470588235294</v>
      </c>
      <c r="R4402" s="5">
        <f t="shared" si="205"/>
        <v>14265</v>
      </c>
      <c r="S4402" s="5">
        <f t="shared" si="206"/>
        <v>31911.470588235294</v>
      </c>
    </row>
    <row r="4403" spans="1:19" hidden="1" x14ac:dyDescent="0.3">
      <c r="A4403">
        <v>180</v>
      </c>
      <c r="B4403" t="s">
        <v>5549</v>
      </c>
      <c r="C4403" t="s">
        <v>5666</v>
      </c>
      <c r="D4403" s="2" t="s">
        <v>5667</v>
      </c>
      <c r="E4403" t="s">
        <v>3804</v>
      </c>
      <c r="F4403" t="s">
        <v>20</v>
      </c>
      <c r="G4403" t="s">
        <v>338</v>
      </c>
      <c r="H4403">
        <v>24200</v>
      </c>
      <c r="I4403" t="s">
        <v>23</v>
      </c>
      <c r="J4403" t="s">
        <v>95</v>
      </c>
      <c r="K4403" s="2" t="s">
        <v>1152</v>
      </c>
      <c r="L4403" t="s">
        <v>26</v>
      </c>
      <c r="M4403">
        <v>344407</v>
      </c>
      <c r="N4403">
        <v>1</v>
      </c>
      <c r="O4403" s="3">
        <v>84950</v>
      </c>
      <c r="P4403" s="3">
        <v>26056</v>
      </c>
      <c r="Q4403" s="5">
        <f t="shared" si="204"/>
        <v>71386.554621848743</v>
      </c>
      <c r="R4403" s="5">
        <f t="shared" si="205"/>
        <v>26056</v>
      </c>
      <c r="S4403" s="5">
        <f t="shared" si="206"/>
        <v>45330.554621848743</v>
      </c>
    </row>
    <row r="4404" spans="1:19" hidden="1" x14ac:dyDescent="0.3">
      <c r="A4404">
        <v>180</v>
      </c>
      <c r="B4404" t="s">
        <v>5549</v>
      </c>
      <c r="C4404" t="s">
        <v>3480</v>
      </c>
      <c r="D4404" s="2" t="s">
        <v>3481</v>
      </c>
      <c r="E4404" t="s">
        <v>3226</v>
      </c>
      <c r="F4404" t="s">
        <v>20</v>
      </c>
      <c r="G4404" t="s">
        <v>21</v>
      </c>
      <c r="H4404" t="s">
        <v>557</v>
      </c>
      <c r="I4404" t="s">
        <v>23</v>
      </c>
      <c r="J4404" t="s">
        <v>40</v>
      </c>
      <c r="K4404" s="2" t="s">
        <v>1152</v>
      </c>
      <c r="L4404" t="s">
        <v>26</v>
      </c>
      <c r="M4404">
        <v>344408</v>
      </c>
      <c r="N4404">
        <v>1</v>
      </c>
      <c r="O4404" s="3">
        <v>79950</v>
      </c>
      <c r="P4404" s="3">
        <v>26810</v>
      </c>
      <c r="Q4404" s="5">
        <f t="shared" si="204"/>
        <v>67184.873949579836</v>
      </c>
      <c r="R4404" s="5">
        <f t="shared" si="205"/>
        <v>26810</v>
      </c>
      <c r="S4404" s="5">
        <f t="shared" si="206"/>
        <v>40374.873949579836</v>
      </c>
    </row>
    <row r="4405" spans="1:19" hidden="1" x14ac:dyDescent="0.3">
      <c r="A4405">
        <v>180</v>
      </c>
      <c r="B4405" t="s">
        <v>5549</v>
      </c>
      <c r="C4405" t="s">
        <v>5668</v>
      </c>
      <c r="D4405" s="2" t="s">
        <v>5669</v>
      </c>
      <c r="E4405" t="s">
        <v>5670</v>
      </c>
      <c r="F4405" t="s">
        <v>20</v>
      </c>
      <c r="G4405" t="s">
        <v>338</v>
      </c>
      <c r="H4405">
        <v>28295</v>
      </c>
      <c r="I4405" t="s">
        <v>23</v>
      </c>
      <c r="J4405" t="s">
        <v>207</v>
      </c>
      <c r="K4405" s="2" t="s">
        <v>1152</v>
      </c>
      <c r="L4405" t="s">
        <v>26</v>
      </c>
      <c r="M4405">
        <v>344408</v>
      </c>
      <c r="N4405">
        <v>-1</v>
      </c>
      <c r="O4405" s="3">
        <v>-39990</v>
      </c>
      <c r="P4405" s="3">
        <v>17485</v>
      </c>
      <c r="Q4405" s="5">
        <f t="shared" si="204"/>
        <v>-33605.042016806721</v>
      </c>
      <c r="R4405" s="5">
        <f t="shared" si="205"/>
        <v>-17485</v>
      </c>
      <c r="S4405" s="5">
        <f t="shared" si="206"/>
        <v>-16120.042016806721</v>
      </c>
    </row>
    <row r="4406" spans="1:19" hidden="1" x14ac:dyDescent="0.3">
      <c r="A4406">
        <v>180</v>
      </c>
      <c r="B4406" t="s">
        <v>5549</v>
      </c>
      <c r="C4406" t="s">
        <v>5671</v>
      </c>
      <c r="D4406" s="2" t="s">
        <v>5672</v>
      </c>
      <c r="E4406" t="s">
        <v>3350</v>
      </c>
      <c r="F4406" t="s">
        <v>20</v>
      </c>
      <c r="G4406" t="s">
        <v>21</v>
      </c>
      <c r="H4406" t="s">
        <v>3351</v>
      </c>
      <c r="I4406" t="s">
        <v>23</v>
      </c>
      <c r="J4406" t="s">
        <v>40</v>
      </c>
      <c r="K4406" s="2" t="s">
        <v>1309</v>
      </c>
      <c r="L4406" t="s">
        <v>26</v>
      </c>
      <c r="M4406">
        <v>344409</v>
      </c>
      <c r="N4406">
        <v>1</v>
      </c>
      <c r="O4406" s="3">
        <v>59960</v>
      </c>
      <c r="P4406" s="3">
        <v>28199</v>
      </c>
      <c r="Q4406" s="5">
        <f t="shared" si="204"/>
        <v>50386.554621848743</v>
      </c>
      <c r="R4406" s="5">
        <f t="shared" si="205"/>
        <v>28199</v>
      </c>
      <c r="S4406" s="5">
        <f t="shared" si="206"/>
        <v>22187.554621848743</v>
      </c>
    </row>
    <row r="4407" spans="1:19" hidden="1" x14ac:dyDescent="0.3">
      <c r="A4407">
        <v>180</v>
      </c>
      <c r="B4407" t="s">
        <v>5549</v>
      </c>
      <c r="C4407" t="s">
        <v>492</v>
      </c>
      <c r="D4407" s="2" t="s">
        <v>493</v>
      </c>
      <c r="E4407" t="s">
        <v>494</v>
      </c>
      <c r="F4407" t="s">
        <v>20</v>
      </c>
      <c r="G4407" t="s">
        <v>21</v>
      </c>
      <c r="H4407" t="s">
        <v>317</v>
      </c>
      <c r="I4407" t="s">
        <v>23</v>
      </c>
      <c r="J4407" t="s">
        <v>35</v>
      </c>
      <c r="K4407" s="2" t="s">
        <v>1309</v>
      </c>
      <c r="L4407" t="s">
        <v>26</v>
      </c>
      <c r="M4407">
        <v>344410</v>
      </c>
      <c r="N4407">
        <v>1</v>
      </c>
      <c r="O4407" s="3">
        <v>69950</v>
      </c>
      <c r="P4407" s="3">
        <v>23619</v>
      </c>
      <c r="Q4407" s="5">
        <f t="shared" si="204"/>
        <v>58781.512605042022</v>
      </c>
      <c r="R4407" s="5">
        <f t="shared" si="205"/>
        <v>23619</v>
      </c>
      <c r="S4407" s="5">
        <f t="shared" si="206"/>
        <v>35162.512605042022</v>
      </c>
    </row>
    <row r="4408" spans="1:19" hidden="1" x14ac:dyDescent="0.3">
      <c r="A4408">
        <v>180</v>
      </c>
      <c r="B4408" t="s">
        <v>5549</v>
      </c>
      <c r="C4408" t="s">
        <v>492</v>
      </c>
      <c r="D4408" s="2" t="s">
        <v>493</v>
      </c>
      <c r="E4408" t="s">
        <v>494</v>
      </c>
      <c r="F4408" t="s">
        <v>20</v>
      </c>
      <c r="G4408" t="s">
        <v>21</v>
      </c>
      <c r="H4408" t="s">
        <v>317</v>
      </c>
      <c r="I4408" t="s">
        <v>23</v>
      </c>
      <c r="J4408" t="s">
        <v>35</v>
      </c>
      <c r="K4408" s="2" t="s">
        <v>1309</v>
      </c>
      <c r="L4408" t="s">
        <v>26</v>
      </c>
      <c r="M4408">
        <v>344411</v>
      </c>
      <c r="N4408">
        <v>1</v>
      </c>
      <c r="O4408" s="3">
        <v>69950</v>
      </c>
      <c r="P4408" s="3">
        <v>23619</v>
      </c>
      <c r="Q4408" s="5">
        <f t="shared" si="204"/>
        <v>58781.512605042022</v>
      </c>
      <c r="R4408" s="5">
        <f t="shared" si="205"/>
        <v>23619</v>
      </c>
      <c r="S4408" s="5">
        <f t="shared" si="206"/>
        <v>35162.512605042022</v>
      </c>
    </row>
    <row r="4409" spans="1:19" hidden="1" x14ac:dyDescent="0.3">
      <c r="A4409">
        <v>180</v>
      </c>
      <c r="B4409" t="s">
        <v>5549</v>
      </c>
      <c r="C4409" t="s">
        <v>5576</v>
      </c>
      <c r="D4409" s="2" t="s">
        <v>5577</v>
      </c>
      <c r="E4409" t="s">
        <v>4396</v>
      </c>
      <c r="F4409" t="s">
        <v>20</v>
      </c>
      <c r="G4409" t="s">
        <v>21</v>
      </c>
      <c r="H4409" t="s">
        <v>2759</v>
      </c>
      <c r="I4409" t="s">
        <v>23</v>
      </c>
      <c r="J4409" t="s">
        <v>49</v>
      </c>
      <c r="K4409" s="2" t="s">
        <v>1309</v>
      </c>
      <c r="L4409" t="s">
        <v>26</v>
      </c>
      <c r="M4409">
        <v>344412</v>
      </c>
      <c r="N4409">
        <v>1</v>
      </c>
      <c r="O4409" s="3">
        <v>79950</v>
      </c>
      <c r="P4409" s="3">
        <v>33323</v>
      </c>
      <c r="Q4409" s="5">
        <f t="shared" si="204"/>
        <v>67184.873949579836</v>
      </c>
      <c r="R4409" s="5">
        <f t="shared" si="205"/>
        <v>33323</v>
      </c>
      <c r="S4409" s="5">
        <f t="shared" si="206"/>
        <v>33861.873949579836</v>
      </c>
    </row>
    <row r="4410" spans="1:19" hidden="1" x14ac:dyDescent="0.3">
      <c r="A4410">
        <v>180</v>
      </c>
      <c r="B4410" t="s">
        <v>5549</v>
      </c>
      <c r="C4410" t="s">
        <v>5421</v>
      </c>
      <c r="D4410" s="2" t="s">
        <v>5422</v>
      </c>
      <c r="E4410" t="s">
        <v>3438</v>
      </c>
      <c r="F4410" t="s">
        <v>20</v>
      </c>
      <c r="G4410" t="s">
        <v>338</v>
      </c>
      <c r="H4410">
        <v>83707</v>
      </c>
      <c r="I4410" t="s">
        <v>23</v>
      </c>
      <c r="J4410" t="s">
        <v>40</v>
      </c>
      <c r="K4410" s="2" t="s">
        <v>1309</v>
      </c>
      <c r="L4410" t="s">
        <v>26</v>
      </c>
      <c r="M4410">
        <v>344413</v>
      </c>
      <c r="N4410">
        <v>1</v>
      </c>
      <c r="O4410" s="3">
        <v>89950</v>
      </c>
      <c r="P4410" s="3">
        <v>30263</v>
      </c>
      <c r="Q4410" s="5">
        <f t="shared" si="204"/>
        <v>75588.23529411765</v>
      </c>
      <c r="R4410" s="5">
        <f t="shared" si="205"/>
        <v>30263</v>
      </c>
      <c r="S4410" s="5">
        <f t="shared" si="206"/>
        <v>45325.23529411765</v>
      </c>
    </row>
    <row r="4411" spans="1:19" hidden="1" x14ac:dyDescent="0.3">
      <c r="A4411">
        <v>180</v>
      </c>
      <c r="B4411" t="s">
        <v>5549</v>
      </c>
      <c r="C4411" t="s">
        <v>5673</v>
      </c>
      <c r="D4411" s="2" t="s">
        <v>5674</v>
      </c>
      <c r="E4411" t="s">
        <v>4060</v>
      </c>
      <c r="F4411" t="s">
        <v>20</v>
      </c>
      <c r="G4411" t="s">
        <v>338</v>
      </c>
      <c r="H4411">
        <v>23726</v>
      </c>
      <c r="I4411" t="s">
        <v>23</v>
      </c>
      <c r="J4411" t="s">
        <v>40</v>
      </c>
      <c r="K4411" s="2" t="s">
        <v>1309</v>
      </c>
      <c r="L4411" t="s">
        <v>26</v>
      </c>
      <c r="M4411">
        <v>344414</v>
      </c>
      <c r="N4411">
        <v>1</v>
      </c>
      <c r="O4411" s="3">
        <v>89950</v>
      </c>
      <c r="P4411" s="3">
        <v>29798</v>
      </c>
      <c r="Q4411" s="5">
        <f t="shared" si="204"/>
        <v>75588.23529411765</v>
      </c>
      <c r="R4411" s="5">
        <f t="shared" si="205"/>
        <v>29798</v>
      </c>
      <c r="S4411" s="5">
        <f t="shared" si="206"/>
        <v>45790.23529411765</v>
      </c>
    </row>
    <row r="4412" spans="1:19" hidden="1" x14ac:dyDescent="0.3">
      <c r="A4412">
        <v>180</v>
      </c>
      <c r="B4412" t="s">
        <v>5549</v>
      </c>
      <c r="C4412" t="s">
        <v>5675</v>
      </c>
      <c r="D4412" s="2" t="s">
        <v>5676</v>
      </c>
      <c r="E4412" t="s">
        <v>4556</v>
      </c>
      <c r="F4412" t="s">
        <v>20</v>
      </c>
      <c r="G4412" t="s">
        <v>21</v>
      </c>
      <c r="H4412" t="s">
        <v>1987</v>
      </c>
      <c r="I4412" t="s">
        <v>23</v>
      </c>
      <c r="J4412" t="s">
        <v>35</v>
      </c>
      <c r="K4412" s="2" t="s">
        <v>1309</v>
      </c>
      <c r="L4412" t="s">
        <v>26</v>
      </c>
      <c r="M4412">
        <v>344415</v>
      </c>
      <c r="N4412">
        <v>1</v>
      </c>
      <c r="O4412" s="3">
        <v>76450</v>
      </c>
      <c r="P4412" s="3">
        <v>29858</v>
      </c>
      <c r="Q4412" s="5">
        <f t="shared" si="204"/>
        <v>64243.697478991598</v>
      </c>
      <c r="R4412" s="5">
        <f t="shared" si="205"/>
        <v>29858</v>
      </c>
      <c r="S4412" s="5">
        <f t="shared" si="206"/>
        <v>34385.697478991598</v>
      </c>
    </row>
    <row r="4413" spans="1:19" hidden="1" x14ac:dyDescent="0.3">
      <c r="A4413">
        <v>180</v>
      </c>
      <c r="B4413" t="s">
        <v>5549</v>
      </c>
      <c r="C4413" t="s">
        <v>4350</v>
      </c>
      <c r="D4413" s="2" t="s">
        <v>4351</v>
      </c>
      <c r="E4413" t="s">
        <v>3406</v>
      </c>
      <c r="F4413" t="s">
        <v>20</v>
      </c>
      <c r="G4413" t="s">
        <v>338</v>
      </c>
      <c r="H4413">
        <v>26825</v>
      </c>
      <c r="I4413" t="s">
        <v>23</v>
      </c>
      <c r="J4413" t="s">
        <v>35</v>
      </c>
      <c r="K4413" s="2" t="s">
        <v>1309</v>
      </c>
      <c r="L4413" t="s">
        <v>26</v>
      </c>
      <c r="M4413">
        <v>344415</v>
      </c>
      <c r="N4413">
        <v>1</v>
      </c>
      <c r="O4413" s="3">
        <v>79950</v>
      </c>
      <c r="P4413" s="3">
        <v>23119</v>
      </c>
      <c r="Q4413" s="5">
        <f t="shared" si="204"/>
        <v>67184.873949579836</v>
      </c>
      <c r="R4413" s="5">
        <f t="shared" si="205"/>
        <v>23119</v>
      </c>
      <c r="S4413" s="5">
        <f t="shared" si="206"/>
        <v>44065.873949579836</v>
      </c>
    </row>
    <row r="4414" spans="1:19" hidden="1" x14ac:dyDescent="0.3">
      <c r="A4414">
        <v>180</v>
      </c>
      <c r="B4414" t="s">
        <v>5549</v>
      </c>
      <c r="C4414" t="s">
        <v>2884</v>
      </c>
      <c r="D4414" s="2" t="s">
        <v>2885</v>
      </c>
      <c r="E4414" t="s">
        <v>1330</v>
      </c>
      <c r="F4414" t="s">
        <v>20</v>
      </c>
      <c r="G4414" t="s">
        <v>338</v>
      </c>
      <c r="H4414">
        <v>25133</v>
      </c>
      <c r="I4414" t="s">
        <v>23</v>
      </c>
      <c r="J4414" t="s">
        <v>35</v>
      </c>
      <c r="K4414" s="2" t="s">
        <v>1365</v>
      </c>
      <c r="L4414" t="s">
        <v>26</v>
      </c>
      <c r="M4414">
        <v>344416</v>
      </c>
      <c r="N4414">
        <v>1</v>
      </c>
      <c r="O4414" s="3">
        <v>74950</v>
      </c>
      <c r="P4414" s="3">
        <v>21167</v>
      </c>
      <c r="Q4414" s="5">
        <f t="shared" si="204"/>
        <v>62983.193277310929</v>
      </c>
      <c r="R4414" s="5">
        <f t="shared" si="205"/>
        <v>21167</v>
      </c>
      <c r="S4414" s="5">
        <f t="shared" si="206"/>
        <v>41816.193277310929</v>
      </c>
    </row>
    <row r="4415" spans="1:19" hidden="1" x14ac:dyDescent="0.3">
      <c r="A4415">
        <v>180</v>
      </c>
      <c r="B4415" t="s">
        <v>5549</v>
      </c>
      <c r="C4415" t="s">
        <v>3477</v>
      </c>
      <c r="D4415" s="2" t="s">
        <v>3478</v>
      </c>
      <c r="E4415" t="s">
        <v>3479</v>
      </c>
      <c r="F4415" t="s">
        <v>377</v>
      </c>
      <c r="G4415" t="s">
        <v>21</v>
      </c>
      <c r="H4415" t="s">
        <v>378</v>
      </c>
      <c r="I4415" t="s">
        <v>23</v>
      </c>
      <c r="J4415" t="s">
        <v>379</v>
      </c>
      <c r="K4415" s="2" t="s">
        <v>1365</v>
      </c>
      <c r="L4415" t="s">
        <v>26</v>
      </c>
      <c r="M4415">
        <v>344417</v>
      </c>
      <c r="N4415">
        <v>1</v>
      </c>
      <c r="O4415" s="3">
        <v>5950</v>
      </c>
      <c r="P4415" s="3">
        <v>3311</v>
      </c>
      <c r="Q4415" s="5">
        <f t="shared" si="204"/>
        <v>5000</v>
      </c>
      <c r="R4415" s="5">
        <f t="shared" si="205"/>
        <v>3311</v>
      </c>
      <c r="S4415" s="5">
        <f t="shared" si="206"/>
        <v>1689</v>
      </c>
    </row>
    <row r="4416" spans="1:19" hidden="1" x14ac:dyDescent="0.3">
      <c r="A4416">
        <v>180</v>
      </c>
      <c r="B4416" t="s">
        <v>5549</v>
      </c>
      <c r="C4416" t="s">
        <v>1328</v>
      </c>
      <c r="D4416" s="2" t="s">
        <v>1329</v>
      </c>
      <c r="E4416" t="s">
        <v>1330</v>
      </c>
      <c r="F4416" t="s">
        <v>20</v>
      </c>
      <c r="G4416" t="s">
        <v>338</v>
      </c>
      <c r="H4416">
        <v>25133</v>
      </c>
      <c r="I4416" t="s">
        <v>23</v>
      </c>
      <c r="J4416" t="s">
        <v>35</v>
      </c>
      <c r="K4416" s="2" t="s">
        <v>1365</v>
      </c>
      <c r="L4416" t="s">
        <v>26</v>
      </c>
      <c r="M4416">
        <v>344418</v>
      </c>
      <c r="N4416">
        <v>1</v>
      </c>
      <c r="O4416" s="3">
        <v>74950</v>
      </c>
      <c r="P4416" s="3">
        <v>21167</v>
      </c>
      <c r="Q4416" s="5">
        <f t="shared" si="204"/>
        <v>62983.193277310929</v>
      </c>
      <c r="R4416" s="5">
        <f t="shared" si="205"/>
        <v>21167</v>
      </c>
      <c r="S4416" s="5">
        <f t="shared" si="206"/>
        <v>41816.193277310929</v>
      </c>
    </row>
    <row r="4417" spans="1:19" hidden="1" x14ac:dyDescent="0.3">
      <c r="A4417">
        <v>180</v>
      </c>
      <c r="B4417" t="s">
        <v>5549</v>
      </c>
      <c r="C4417" t="s">
        <v>5677</v>
      </c>
      <c r="D4417" s="2" t="s">
        <v>5678</v>
      </c>
      <c r="E4417" t="s">
        <v>2718</v>
      </c>
      <c r="F4417" t="s">
        <v>20</v>
      </c>
      <c r="G4417" t="s">
        <v>21</v>
      </c>
      <c r="H4417" t="s">
        <v>1887</v>
      </c>
      <c r="I4417" t="s">
        <v>23</v>
      </c>
      <c r="J4417" t="s">
        <v>40</v>
      </c>
      <c r="K4417" s="2" t="s">
        <v>1365</v>
      </c>
      <c r="L4417" t="s">
        <v>26</v>
      </c>
      <c r="M4417">
        <v>344419</v>
      </c>
      <c r="N4417">
        <v>1</v>
      </c>
      <c r="O4417" s="3">
        <v>69950</v>
      </c>
      <c r="P4417" s="3">
        <v>22018</v>
      </c>
      <c r="Q4417" s="5">
        <f t="shared" si="204"/>
        <v>58781.512605042022</v>
      </c>
      <c r="R4417" s="5">
        <f t="shared" si="205"/>
        <v>22018</v>
      </c>
      <c r="S4417" s="5">
        <f t="shared" si="206"/>
        <v>36763.512605042022</v>
      </c>
    </row>
    <row r="4418" spans="1:19" hidden="1" x14ac:dyDescent="0.3">
      <c r="A4418">
        <v>180</v>
      </c>
      <c r="B4418" t="s">
        <v>5549</v>
      </c>
      <c r="C4418" t="s">
        <v>5679</v>
      </c>
      <c r="D4418" s="2" t="s">
        <v>5680</v>
      </c>
      <c r="E4418" t="s">
        <v>1177</v>
      </c>
      <c r="F4418" t="s">
        <v>20</v>
      </c>
      <c r="G4418" t="s">
        <v>338</v>
      </c>
      <c r="H4418">
        <v>23724</v>
      </c>
      <c r="I4418" t="s">
        <v>23</v>
      </c>
      <c r="J4418" t="s">
        <v>40</v>
      </c>
      <c r="K4418" s="2" t="s">
        <v>1365</v>
      </c>
      <c r="L4418" t="s">
        <v>26</v>
      </c>
      <c r="M4418">
        <v>344420</v>
      </c>
      <c r="N4418">
        <v>1</v>
      </c>
      <c r="O4418" s="3">
        <v>79950</v>
      </c>
      <c r="P4418" s="3">
        <v>26332</v>
      </c>
      <c r="Q4418" s="5">
        <f t="shared" si="204"/>
        <v>67184.873949579836</v>
      </c>
      <c r="R4418" s="5">
        <f t="shared" si="205"/>
        <v>26332</v>
      </c>
      <c r="S4418" s="5">
        <f t="shared" si="206"/>
        <v>40852.873949579836</v>
      </c>
    </row>
    <row r="4419" spans="1:19" hidden="1" x14ac:dyDescent="0.3">
      <c r="A4419">
        <v>180</v>
      </c>
      <c r="B4419" t="s">
        <v>5549</v>
      </c>
      <c r="C4419" t="s">
        <v>4058</v>
      </c>
      <c r="D4419" s="2" t="s">
        <v>4059</v>
      </c>
      <c r="E4419" t="s">
        <v>4060</v>
      </c>
      <c r="F4419" t="s">
        <v>20</v>
      </c>
      <c r="G4419" t="s">
        <v>338</v>
      </c>
      <c r="H4419">
        <v>23726</v>
      </c>
      <c r="I4419" t="s">
        <v>23</v>
      </c>
      <c r="J4419" t="s">
        <v>40</v>
      </c>
      <c r="K4419" s="2" t="s">
        <v>1365</v>
      </c>
      <c r="L4419" t="s">
        <v>26</v>
      </c>
      <c r="M4419">
        <v>344421</v>
      </c>
      <c r="N4419">
        <v>1</v>
      </c>
      <c r="O4419" s="3">
        <v>89950</v>
      </c>
      <c r="P4419" s="3">
        <v>29798</v>
      </c>
      <c r="Q4419" s="5">
        <f t="shared" si="204"/>
        <v>75588.23529411765</v>
      </c>
      <c r="R4419" s="5">
        <f t="shared" si="205"/>
        <v>29798</v>
      </c>
      <c r="S4419" s="5">
        <f t="shared" si="206"/>
        <v>45790.23529411765</v>
      </c>
    </row>
    <row r="4420" spans="1:19" hidden="1" x14ac:dyDescent="0.3">
      <c r="A4420">
        <v>180</v>
      </c>
      <c r="B4420" t="s">
        <v>5549</v>
      </c>
      <c r="C4420" t="s">
        <v>5681</v>
      </c>
      <c r="D4420" s="2" t="s">
        <v>5682</v>
      </c>
      <c r="E4420" t="s">
        <v>2641</v>
      </c>
      <c r="F4420" t="s">
        <v>20</v>
      </c>
      <c r="G4420" t="s">
        <v>21</v>
      </c>
      <c r="H4420" t="s">
        <v>30</v>
      </c>
      <c r="I4420" t="s">
        <v>23</v>
      </c>
      <c r="J4420" t="s">
        <v>49</v>
      </c>
      <c r="K4420" s="2" t="s">
        <v>1365</v>
      </c>
      <c r="L4420" t="s">
        <v>26</v>
      </c>
      <c r="M4420">
        <v>344422</v>
      </c>
      <c r="N4420">
        <v>1</v>
      </c>
      <c r="O4420" s="3">
        <v>59450</v>
      </c>
      <c r="P4420" s="3">
        <v>26131</v>
      </c>
      <c r="Q4420" s="5">
        <f t="shared" si="204"/>
        <v>49957.983193277316</v>
      </c>
      <c r="R4420" s="5">
        <f t="shared" si="205"/>
        <v>26131</v>
      </c>
      <c r="S4420" s="5">
        <f t="shared" si="206"/>
        <v>23826.983193277316</v>
      </c>
    </row>
    <row r="4421" spans="1:19" hidden="1" x14ac:dyDescent="0.3">
      <c r="A4421">
        <v>180</v>
      </c>
      <c r="B4421" t="s">
        <v>5549</v>
      </c>
      <c r="C4421" t="s">
        <v>5683</v>
      </c>
      <c r="D4421" s="2" t="s">
        <v>5684</v>
      </c>
      <c r="E4421" t="s">
        <v>5685</v>
      </c>
      <c r="F4421" t="s">
        <v>377</v>
      </c>
      <c r="G4421" t="s">
        <v>21</v>
      </c>
      <c r="H4421" t="s">
        <v>378</v>
      </c>
      <c r="I4421" t="s">
        <v>23</v>
      </c>
      <c r="J4421" t="s">
        <v>2638</v>
      </c>
      <c r="K4421" s="2" t="s">
        <v>1365</v>
      </c>
      <c r="L4421" t="s">
        <v>26</v>
      </c>
      <c r="M4421">
        <v>344423</v>
      </c>
      <c r="N4421">
        <v>1</v>
      </c>
      <c r="O4421" s="3">
        <v>1950</v>
      </c>
      <c r="P4421">
        <v>859</v>
      </c>
      <c r="Q4421" s="5">
        <f t="shared" si="204"/>
        <v>1638.6554621848741</v>
      </c>
      <c r="R4421" s="5">
        <f t="shared" si="205"/>
        <v>859</v>
      </c>
      <c r="S4421" s="5">
        <f t="shared" si="206"/>
        <v>779.65546218487407</v>
      </c>
    </row>
    <row r="4422" spans="1:19" hidden="1" x14ac:dyDescent="0.3">
      <c r="A4422">
        <v>180</v>
      </c>
      <c r="B4422" t="s">
        <v>5549</v>
      </c>
      <c r="C4422" t="s">
        <v>5283</v>
      </c>
      <c r="D4422" s="2" t="s">
        <v>5284</v>
      </c>
      <c r="E4422" t="s">
        <v>2462</v>
      </c>
      <c r="F4422" t="s">
        <v>20</v>
      </c>
      <c r="G4422" t="s">
        <v>21</v>
      </c>
      <c r="H4422" t="s">
        <v>65</v>
      </c>
      <c r="I4422" t="s">
        <v>23</v>
      </c>
      <c r="J4422" t="s">
        <v>49</v>
      </c>
      <c r="K4422" s="2" t="s">
        <v>1365</v>
      </c>
      <c r="L4422" t="s">
        <v>26</v>
      </c>
      <c r="M4422">
        <v>344424</v>
      </c>
      <c r="N4422">
        <v>1</v>
      </c>
      <c r="O4422" s="3">
        <v>64950</v>
      </c>
      <c r="P4422" s="3">
        <v>20381</v>
      </c>
      <c r="Q4422" s="5">
        <f t="shared" ref="Q4422:Q4485" si="207">O4422/1.19</f>
        <v>54579.831932773115</v>
      </c>
      <c r="R4422" s="5">
        <f t="shared" ref="R4422:R4485" si="208">N4422*P4422</f>
        <v>20381</v>
      </c>
      <c r="S4422" s="5">
        <f t="shared" ref="S4422:S4485" si="209">Q4422-R4422</f>
        <v>34198.831932773115</v>
      </c>
    </row>
    <row r="4423" spans="1:19" hidden="1" x14ac:dyDescent="0.3">
      <c r="A4423">
        <v>180</v>
      </c>
      <c r="B4423" t="s">
        <v>5549</v>
      </c>
      <c r="C4423" t="s">
        <v>2642</v>
      </c>
      <c r="D4423" s="2" t="s">
        <v>2643</v>
      </c>
      <c r="E4423" t="s">
        <v>425</v>
      </c>
      <c r="F4423" t="s">
        <v>20</v>
      </c>
      <c r="G4423" t="s">
        <v>21</v>
      </c>
      <c r="H4423" t="s">
        <v>22</v>
      </c>
      <c r="I4423" t="s">
        <v>23</v>
      </c>
      <c r="J4423" t="s">
        <v>24</v>
      </c>
      <c r="K4423" s="2" t="s">
        <v>1365</v>
      </c>
      <c r="L4423" t="s">
        <v>26</v>
      </c>
      <c r="M4423">
        <v>344425</v>
      </c>
      <c r="N4423">
        <v>1</v>
      </c>
      <c r="O4423" s="3">
        <v>79950</v>
      </c>
      <c r="P4423" s="3">
        <v>27799</v>
      </c>
      <c r="Q4423" s="5">
        <f t="shared" si="207"/>
        <v>67184.873949579836</v>
      </c>
      <c r="R4423" s="5">
        <f t="shared" si="208"/>
        <v>27799</v>
      </c>
      <c r="S4423" s="5">
        <f t="shared" si="209"/>
        <v>39385.873949579836</v>
      </c>
    </row>
    <row r="4424" spans="1:19" hidden="1" x14ac:dyDescent="0.3">
      <c r="A4424">
        <v>180</v>
      </c>
      <c r="B4424" t="s">
        <v>5549</v>
      </c>
      <c r="C4424" t="s">
        <v>5686</v>
      </c>
      <c r="D4424" s="2" t="s">
        <v>5687</v>
      </c>
      <c r="E4424" t="s">
        <v>5688</v>
      </c>
      <c r="F4424" t="s">
        <v>20</v>
      </c>
      <c r="G4424" t="s">
        <v>338</v>
      </c>
      <c r="H4424">
        <v>23724</v>
      </c>
      <c r="I4424" t="s">
        <v>23</v>
      </c>
      <c r="J4424" t="s">
        <v>40</v>
      </c>
      <c r="K4424" s="2" t="s">
        <v>1365</v>
      </c>
      <c r="L4424" t="s">
        <v>26</v>
      </c>
      <c r="M4424">
        <v>344426</v>
      </c>
      <c r="N4424">
        <v>-1</v>
      </c>
      <c r="O4424" s="3">
        <v>-79950</v>
      </c>
      <c r="P4424" s="3">
        <v>26332</v>
      </c>
      <c r="Q4424" s="5">
        <f t="shared" si="207"/>
        <v>-67184.873949579836</v>
      </c>
      <c r="R4424" s="5">
        <f t="shared" si="208"/>
        <v>-26332</v>
      </c>
      <c r="S4424" s="5">
        <f t="shared" si="209"/>
        <v>-40852.873949579836</v>
      </c>
    </row>
    <row r="4425" spans="1:19" hidden="1" x14ac:dyDescent="0.3">
      <c r="A4425">
        <v>180</v>
      </c>
      <c r="B4425" t="s">
        <v>5549</v>
      </c>
      <c r="C4425" t="s">
        <v>4913</v>
      </c>
      <c r="D4425" s="2" t="s">
        <v>4914</v>
      </c>
      <c r="E4425" t="s">
        <v>4915</v>
      </c>
      <c r="F4425" t="s">
        <v>20</v>
      </c>
      <c r="G4425" t="s">
        <v>338</v>
      </c>
      <c r="H4425">
        <v>83716</v>
      </c>
      <c r="I4425" t="s">
        <v>23</v>
      </c>
      <c r="J4425" t="s">
        <v>40</v>
      </c>
      <c r="K4425" s="2" t="s">
        <v>1365</v>
      </c>
      <c r="L4425" t="s">
        <v>26</v>
      </c>
      <c r="M4425">
        <v>344426</v>
      </c>
      <c r="N4425">
        <v>1</v>
      </c>
      <c r="O4425" s="3">
        <v>89950</v>
      </c>
      <c r="P4425" s="3">
        <v>30263</v>
      </c>
      <c r="Q4425" s="5">
        <f t="shared" si="207"/>
        <v>75588.23529411765</v>
      </c>
      <c r="R4425" s="5">
        <f t="shared" si="208"/>
        <v>30263</v>
      </c>
      <c r="S4425" s="5">
        <f t="shared" si="209"/>
        <v>45325.23529411765</v>
      </c>
    </row>
    <row r="4426" spans="1:19" hidden="1" x14ac:dyDescent="0.3">
      <c r="A4426">
        <v>180</v>
      </c>
      <c r="B4426" t="s">
        <v>5549</v>
      </c>
      <c r="C4426" t="s">
        <v>5689</v>
      </c>
      <c r="D4426" s="2" t="s">
        <v>5690</v>
      </c>
      <c r="E4426" t="s">
        <v>4049</v>
      </c>
      <c r="F4426" t="s">
        <v>20</v>
      </c>
      <c r="G4426" t="s">
        <v>21</v>
      </c>
      <c r="H4426" t="s">
        <v>3351</v>
      </c>
      <c r="I4426" t="s">
        <v>23</v>
      </c>
      <c r="J4426" t="s">
        <v>40</v>
      </c>
      <c r="K4426" s="2" t="s">
        <v>1450</v>
      </c>
      <c r="L4426" t="s">
        <v>26</v>
      </c>
      <c r="M4426">
        <v>344427</v>
      </c>
      <c r="N4426">
        <v>1</v>
      </c>
      <c r="O4426" s="3">
        <v>79950</v>
      </c>
      <c r="P4426" s="3">
        <v>30166</v>
      </c>
      <c r="Q4426" s="5">
        <f t="shared" si="207"/>
        <v>67184.873949579836</v>
      </c>
      <c r="R4426" s="5">
        <f t="shared" si="208"/>
        <v>30166</v>
      </c>
      <c r="S4426" s="5">
        <f t="shared" si="209"/>
        <v>37018.873949579836</v>
      </c>
    </row>
    <row r="4427" spans="1:19" hidden="1" x14ac:dyDescent="0.3">
      <c r="A4427">
        <v>180</v>
      </c>
      <c r="B4427" t="s">
        <v>5549</v>
      </c>
      <c r="C4427" t="s">
        <v>5078</v>
      </c>
      <c r="D4427" s="2" t="s">
        <v>5079</v>
      </c>
      <c r="E4427" t="s">
        <v>1412</v>
      </c>
      <c r="F4427" t="s">
        <v>20</v>
      </c>
      <c r="G4427" t="s">
        <v>338</v>
      </c>
      <c r="H4427">
        <v>23603</v>
      </c>
      <c r="I4427" t="s">
        <v>23</v>
      </c>
      <c r="J4427" t="s">
        <v>40</v>
      </c>
      <c r="K4427" s="2" t="s">
        <v>1450</v>
      </c>
      <c r="L4427" t="s">
        <v>26</v>
      </c>
      <c r="M4427">
        <v>344428</v>
      </c>
      <c r="N4427">
        <v>1</v>
      </c>
      <c r="O4427" s="3">
        <v>49990</v>
      </c>
      <c r="P4427" s="3">
        <v>22607</v>
      </c>
      <c r="Q4427" s="5">
        <f t="shared" si="207"/>
        <v>42008.403361344543</v>
      </c>
      <c r="R4427" s="5">
        <f t="shared" si="208"/>
        <v>22607</v>
      </c>
      <c r="S4427" s="5">
        <f t="shared" si="209"/>
        <v>19401.403361344543</v>
      </c>
    </row>
    <row r="4428" spans="1:19" hidden="1" x14ac:dyDescent="0.3">
      <c r="A4428">
        <v>180</v>
      </c>
      <c r="B4428" t="s">
        <v>5549</v>
      </c>
      <c r="C4428" t="s">
        <v>3356</v>
      </c>
      <c r="D4428" s="2" t="s">
        <v>3357</v>
      </c>
      <c r="E4428" t="s">
        <v>345</v>
      </c>
      <c r="F4428" t="s">
        <v>20</v>
      </c>
      <c r="G4428" t="s">
        <v>21</v>
      </c>
      <c r="H4428" t="s">
        <v>346</v>
      </c>
      <c r="I4428" t="s">
        <v>23</v>
      </c>
      <c r="J4428" t="s">
        <v>49</v>
      </c>
      <c r="K4428" s="2" t="s">
        <v>1450</v>
      </c>
      <c r="L4428" t="s">
        <v>26</v>
      </c>
      <c r="M4428">
        <v>344429</v>
      </c>
      <c r="N4428">
        <v>-1</v>
      </c>
      <c r="O4428" s="3">
        <v>-49990</v>
      </c>
      <c r="P4428" s="3">
        <v>21039</v>
      </c>
      <c r="Q4428" s="5">
        <f t="shared" si="207"/>
        <v>-42008.403361344543</v>
      </c>
      <c r="R4428" s="5">
        <f t="shared" si="208"/>
        <v>-21039</v>
      </c>
      <c r="S4428" s="5">
        <f t="shared" si="209"/>
        <v>-20969.403361344543</v>
      </c>
    </row>
    <row r="4429" spans="1:19" hidden="1" x14ac:dyDescent="0.3">
      <c r="A4429">
        <v>180</v>
      </c>
      <c r="B4429" t="s">
        <v>5549</v>
      </c>
      <c r="C4429" t="s">
        <v>2296</v>
      </c>
      <c r="D4429" s="2" t="s">
        <v>2297</v>
      </c>
      <c r="E4429" t="s">
        <v>2298</v>
      </c>
      <c r="F4429" t="s">
        <v>20</v>
      </c>
      <c r="G4429" t="s">
        <v>21</v>
      </c>
      <c r="H4429" t="s">
        <v>2189</v>
      </c>
      <c r="I4429" t="s">
        <v>23</v>
      </c>
      <c r="J4429" t="s">
        <v>40</v>
      </c>
      <c r="K4429" s="2" t="s">
        <v>1450</v>
      </c>
      <c r="L4429" t="s">
        <v>26</v>
      </c>
      <c r="M4429">
        <v>344429</v>
      </c>
      <c r="N4429">
        <v>1</v>
      </c>
      <c r="O4429" s="3">
        <v>64950</v>
      </c>
      <c r="P4429" s="3">
        <v>20781</v>
      </c>
      <c r="Q4429" s="5">
        <f t="shared" si="207"/>
        <v>54579.831932773115</v>
      </c>
      <c r="R4429" s="5">
        <f t="shared" si="208"/>
        <v>20781</v>
      </c>
      <c r="S4429" s="5">
        <f t="shared" si="209"/>
        <v>33798.831932773115</v>
      </c>
    </row>
    <row r="4430" spans="1:19" hidden="1" x14ac:dyDescent="0.3">
      <c r="A4430">
        <v>180</v>
      </c>
      <c r="B4430" t="s">
        <v>5549</v>
      </c>
      <c r="C4430" t="s">
        <v>5691</v>
      </c>
      <c r="D4430" s="2" t="s">
        <v>5692</v>
      </c>
      <c r="E4430" t="s">
        <v>4565</v>
      </c>
      <c r="F4430" t="s">
        <v>20</v>
      </c>
      <c r="G4430" t="s">
        <v>21</v>
      </c>
      <c r="H4430" t="s">
        <v>790</v>
      </c>
      <c r="I4430" t="s">
        <v>23</v>
      </c>
      <c r="J4430" t="s">
        <v>40</v>
      </c>
      <c r="K4430" s="2" t="s">
        <v>1450</v>
      </c>
      <c r="L4430" t="s">
        <v>26</v>
      </c>
      <c r="M4430">
        <v>344430</v>
      </c>
      <c r="N4430">
        <v>1</v>
      </c>
      <c r="O4430" s="3">
        <v>79950</v>
      </c>
      <c r="P4430" s="3">
        <v>30692</v>
      </c>
      <c r="Q4430" s="5">
        <f t="shared" si="207"/>
        <v>67184.873949579836</v>
      </c>
      <c r="R4430" s="5">
        <f t="shared" si="208"/>
        <v>30692</v>
      </c>
      <c r="S4430" s="5">
        <f t="shared" si="209"/>
        <v>36492.873949579836</v>
      </c>
    </row>
    <row r="4431" spans="1:19" hidden="1" x14ac:dyDescent="0.3">
      <c r="A4431">
        <v>180</v>
      </c>
      <c r="B4431" t="s">
        <v>5549</v>
      </c>
      <c r="C4431" t="s">
        <v>264</v>
      </c>
      <c r="D4431" s="2" t="s">
        <v>265</v>
      </c>
      <c r="E4431" t="s">
        <v>266</v>
      </c>
      <c r="F4431" t="s">
        <v>20</v>
      </c>
      <c r="G4431" t="s">
        <v>21</v>
      </c>
      <c r="H4431" t="s">
        <v>267</v>
      </c>
      <c r="I4431" t="s">
        <v>23</v>
      </c>
      <c r="J4431" t="s">
        <v>49</v>
      </c>
      <c r="K4431" s="2" t="s">
        <v>1450</v>
      </c>
      <c r="L4431" t="s">
        <v>26</v>
      </c>
      <c r="M4431">
        <v>344431</v>
      </c>
      <c r="N4431">
        <v>1</v>
      </c>
      <c r="O4431" s="3">
        <v>64950</v>
      </c>
      <c r="P4431" s="3">
        <v>24504</v>
      </c>
      <c r="Q4431" s="5">
        <f t="shared" si="207"/>
        <v>54579.831932773115</v>
      </c>
      <c r="R4431" s="5">
        <f t="shared" si="208"/>
        <v>24504</v>
      </c>
      <c r="S4431" s="5">
        <f t="shared" si="209"/>
        <v>30075.831932773115</v>
      </c>
    </row>
    <row r="4432" spans="1:19" hidden="1" x14ac:dyDescent="0.3">
      <c r="A4432">
        <v>180</v>
      </c>
      <c r="B4432" t="s">
        <v>5549</v>
      </c>
      <c r="C4432" t="s">
        <v>5693</v>
      </c>
      <c r="D4432" s="2" t="s">
        <v>5694</v>
      </c>
      <c r="E4432" t="s">
        <v>2314</v>
      </c>
      <c r="F4432" t="s">
        <v>20</v>
      </c>
      <c r="G4432" t="s">
        <v>21</v>
      </c>
      <c r="H4432" t="s">
        <v>2315</v>
      </c>
      <c r="I4432" t="s">
        <v>23</v>
      </c>
      <c r="J4432" t="s">
        <v>49</v>
      </c>
      <c r="K4432" s="2" t="s">
        <v>1450</v>
      </c>
      <c r="L4432" t="s">
        <v>26</v>
      </c>
      <c r="M4432">
        <v>344432</v>
      </c>
      <c r="N4432">
        <v>1</v>
      </c>
      <c r="O4432" s="3">
        <v>74950</v>
      </c>
      <c r="P4432" s="3">
        <v>29091</v>
      </c>
      <c r="Q4432" s="5">
        <f t="shared" si="207"/>
        <v>62983.193277310929</v>
      </c>
      <c r="R4432" s="5">
        <f t="shared" si="208"/>
        <v>29091</v>
      </c>
      <c r="S4432" s="5">
        <f t="shared" si="209"/>
        <v>33892.193277310929</v>
      </c>
    </row>
    <row r="4433" spans="1:19" hidden="1" x14ac:dyDescent="0.3">
      <c r="A4433">
        <v>180</v>
      </c>
      <c r="B4433" t="s">
        <v>5549</v>
      </c>
      <c r="C4433" t="s">
        <v>2830</v>
      </c>
      <c r="D4433" s="2" t="s">
        <v>2831</v>
      </c>
      <c r="E4433" t="s">
        <v>1330</v>
      </c>
      <c r="F4433" t="s">
        <v>20</v>
      </c>
      <c r="G4433" t="s">
        <v>338</v>
      </c>
      <c r="H4433">
        <v>25133</v>
      </c>
      <c r="I4433" t="s">
        <v>23</v>
      </c>
      <c r="J4433" t="s">
        <v>35</v>
      </c>
      <c r="K4433" s="2" t="s">
        <v>1525</v>
      </c>
      <c r="L4433" t="s">
        <v>26</v>
      </c>
      <c r="M4433">
        <v>344433</v>
      </c>
      <c r="N4433">
        <v>1</v>
      </c>
      <c r="O4433" s="3">
        <v>74950</v>
      </c>
      <c r="P4433" s="3">
        <v>21167</v>
      </c>
      <c r="Q4433" s="5">
        <f t="shared" si="207"/>
        <v>62983.193277310929</v>
      </c>
      <c r="R4433" s="5">
        <f t="shared" si="208"/>
        <v>21167</v>
      </c>
      <c r="S4433" s="5">
        <f t="shared" si="209"/>
        <v>41816.193277310929</v>
      </c>
    </row>
    <row r="4434" spans="1:19" hidden="1" x14ac:dyDescent="0.3">
      <c r="A4434">
        <v>180</v>
      </c>
      <c r="B4434" t="s">
        <v>5549</v>
      </c>
      <c r="C4434" t="s">
        <v>2635</v>
      </c>
      <c r="D4434" s="2" t="s">
        <v>2636</v>
      </c>
      <c r="E4434" t="s">
        <v>2637</v>
      </c>
      <c r="F4434" t="s">
        <v>377</v>
      </c>
      <c r="G4434" t="s">
        <v>21</v>
      </c>
      <c r="H4434" t="s">
        <v>378</v>
      </c>
      <c r="I4434" t="s">
        <v>23</v>
      </c>
      <c r="J4434" t="s">
        <v>2638</v>
      </c>
      <c r="K4434" s="2" t="s">
        <v>1525</v>
      </c>
      <c r="L4434" t="s">
        <v>26</v>
      </c>
      <c r="M4434">
        <v>344434</v>
      </c>
      <c r="N4434">
        <v>1</v>
      </c>
      <c r="O4434" s="3">
        <v>3450</v>
      </c>
      <c r="P4434" s="3">
        <v>1510</v>
      </c>
      <c r="Q4434" s="5">
        <f t="shared" si="207"/>
        <v>2899.1596638655465</v>
      </c>
      <c r="R4434" s="5">
        <f t="shared" si="208"/>
        <v>1510</v>
      </c>
      <c r="S4434" s="5">
        <f t="shared" si="209"/>
        <v>1389.1596638655465</v>
      </c>
    </row>
    <row r="4435" spans="1:19" hidden="1" x14ac:dyDescent="0.3">
      <c r="A4435">
        <v>180</v>
      </c>
      <c r="B4435" t="s">
        <v>5549</v>
      </c>
      <c r="C4435" t="s">
        <v>2625</v>
      </c>
      <c r="D4435" s="2" t="s">
        <v>2626</v>
      </c>
      <c r="E4435" t="s">
        <v>2539</v>
      </c>
      <c r="F4435" t="s">
        <v>20</v>
      </c>
      <c r="G4435" t="s">
        <v>21</v>
      </c>
      <c r="H4435" t="s">
        <v>966</v>
      </c>
      <c r="I4435" t="s">
        <v>23</v>
      </c>
      <c r="J4435" t="s">
        <v>35</v>
      </c>
      <c r="K4435" s="2" t="s">
        <v>1525</v>
      </c>
      <c r="L4435" t="s">
        <v>26</v>
      </c>
      <c r="M4435">
        <v>344435</v>
      </c>
      <c r="N4435">
        <v>1</v>
      </c>
      <c r="O4435" s="3">
        <v>74950</v>
      </c>
      <c r="P4435" s="3">
        <v>27026</v>
      </c>
      <c r="Q4435" s="5">
        <f t="shared" si="207"/>
        <v>62983.193277310929</v>
      </c>
      <c r="R4435" s="5">
        <f t="shared" si="208"/>
        <v>27026</v>
      </c>
      <c r="S4435" s="5">
        <f t="shared" si="209"/>
        <v>35957.193277310929</v>
      </c>
    </row>
    <row r="4436" spans="1:19" hidden="1" x14ac:dyDescent="0.3">
      <c r="A4436">
        <v>180</v>
      </c>
      <c r="B4436" t="s">
        <v>5549</v>
      </c>
      <c r="C4436" t="s">
        <v>5695</v>
      </c>
      <c r="D4436" s="2" t="s">
        <v>5696</v>
      </c>
      <c r="E4436" t="s">
        <v>985</v>
      </c>
      <c r="F4436" t="s">
        <v>20</v>
      </c>
      <c r="G4436" t="s">
        <v>21</v>
      </c>
      <c r="H4436" t="s">
        <v>565</v>
      </c>
      <c r="I4436" t="s">
        <v>23</v>
      </c>
      <c r="J4436" t="s">
        <v>49</v>
      </c>
      <c r="K4436" s="2" t="s">
        <v>1525</v>
      </c>
      <c r="L4436" t="s">
        <v>26</v>
      </c>
      <c r="M4436">
        <v>344436</v>
      </c>
      <c r="N4436">
        <v>1</v>
      </c>
      <c r="O4436" s="3">
        <v>69950</v>
      </c>
      <c r="P4436" s="3">
        <v>27014</v>
      </c>
      <c r="Q4436" s="5">
        <f t="shared" si="207"/>
        <v>58781.512605042022</v>
      </c>
      <c r="R4436" s="5">
        <f t="shared" si="208"/>
        <v>27014</v>
      </c>
      <c r="S4436" s="5">
        <f t="shared" si="209"/>
        <v>31767.512605042022</v>
      </c>
    </row>
    <row r="4437" spans="1:19" hidden="1" x14ac:dyDescent="0.3">
      <c r="A4437">
        <v>180</v>
      </c>
      <c r="B4437" t="s">
        <v>5549</v>
      </c>
      <c r="C4437" t="s">
        <v>5697</v>
      </c>
      <c r="D4437" s="2" t="s">
        <v>5698</v>
      </c>
      <c r="E4437" t="s">
        <v>5688</v>
      </c>
      <c r="F4437" t="s">
        <v>20</v>
      </c>
      <c r="G4437" t="s">
        <v>338</v>
      </c>
      <c r="H4437">
        <v>23724</v>
      </c>
      <c r="I4437" t="s">
        <v>23</v>
      </c>
      <c r="J4437" t="s">
        <v>40</v>
      </c>
      <c r="K4437" s="2" t="s">
        <v>1525</v>
      </c>
      <c r="L4437" t="s">
        <v>26</v>
      </c>
      <c r="M4437">
        <v>344437</v>
      </c>
      <c r="N4437">
        <v>-1</v>
      </c>
      <c r="O4437" s="3">
        <v>-79950</v>
      </c>
      <c r="P4437" s="3">
        <v>26332</v>
      </c>
      <c r="Q4437" s="5">
        <f t="shared" si="207"/>
        <v>-67184.873949579836</v>
      </c>
      <c r="R4437" s="5">
        <f t="shared" si="208"/>
        <v>-26332</v>
      </c>
      <c r="S4437" s="5">
        <f t="shared" si="209"/>
        <v>-40852.873949579836</v>
      </c>
    </row>
    <row r="4438" spans="1:19" hidden="1" x14ac:dyDescent="0.3">
      <c r="A4438">
        <v>180</v>
      </c>
      <c r="B4438" t="s">
        <v>5549</v>
      </c>
      <c r="C4438" t="s">
        <v>5699</v>
      </c>
      <c r="D4438" s="2" t="s">
        <v>5700</v>
      </c>
      <c r="E4438" t="s">
        <v>4915</v>
      </c>
      <c r="F4438" t="s">
        <v>20</v>
      </c>
      <c r="G4438" t="s">
        <v>338</v>
      </c>
      <c r="H4438">
        <v>83716</v>
      </c>
      <c r="I4438" t="s">
        <v>23</v>
      </c>
      <c r="J4438" t="s">
        <v>40</v>
      </c>
      <c r="K4438" s="2" t="s">
        <v>1525</v>
      </c>
      <c r="L4438" t="s">
        <v>26</v>
      </c>
      <c r="M4438">
        <v>344437</v>
      </c>
      <c r="N4438">
        <v>1</v>
      </c>
      <c r="O4438" s="3">
        <v>89950</v>
      </c>
      <c r="P4438" s="3">
        <v>30263</v>
      </c>
      <c r="Q4438" s="5">
        <f t="shared" si="207"/>
        <v>75588.23529411765</v>
      </c>
      <c r="R4438" s="5">
        <f t="shared" si="208"/>
        <v>30263</v>
      </c>
      <c r="S4438" s="5">
        <f t="shared" si="209"/>
        <v>45325.23529411765</v>
      </c>
    </row>
    <row r="4439" spans="1:19" hidden="1" x14ac:dyDescent="0.3">
      <c r="A4439">
        <v>180</v>
      </c>
      <c r="B4439" t="s">
        <v>5549</v>
      </c>
      <c r="C4439" t="s">
        <v>4909</v>
      </c>
      <c r="D4439" s="2" t="s">
        <v>4910</v>
      </c>
      <c r="E4439" t="s">
        <v>3780</v>
      </c>
      <c r="F4439" t="s">
        <v>20</v>
      </c>
      <c r="G4439" t="s">
        <v>21</v>
      </c>
      <c r="H4439" t="s">
        <v>970</v>
      </c>
      <c r="I4439" t="s">
        <v>23</v>
      </c>
      <c r="J4439" t="s">
        <v>40</v>
      </c>
      <c r="K4439" s="2" t="s">
        <v>1525</v>
      </c>
      <c r="L4439" t="s">
        <v>26</v>
      </c>
      <c r="M4439">
        <v>344438</v>
      </c>
      <c r="N4439">
        <v>1</v>
      </c>
      <c r="O4439" s="3">
        <v>59950</v>
      </c>
      <c r="P4439" s="3">
        <v>15928</v>
      </c>
      <c r="Q4439" s="5">
        <f t="shared" si="207"/>
        <v>50378.151260504201</v>
      </c>
      <c r="R4439" s="5">
        <f t="shared" si="208"/>
        <v>15928</v>
      </c>
      <c r="S4439" s="5">
        <f t="shared" si="209"/>
        <v>34450.151260504201</v>
      </c>
    </row>
    <row r="4440" spans="1:19" hidden="1" x14ac:dyDescent="0.3">
      <c r="A4440">
        <v>180</v>
      </c>
      <c r="B4440" t="s">
        <v>5549</v>
      </c>
      <c r="C4440" t="s">
        <v>5701</v>
      </c>
      <c r="D4440" s="2" t="s">
        <v>5702</v>
      </c>
      <c r="E4440" t="s">
        <v>5703</v>
      </c>
      <c r="F4440" t="s">
        <v>377</v>
      </c>
      <c r="G4440" t="s">
        <v>21</v>
      </c>
      <c r="H4440" t="s">
        <v>378</v>
      </c>
      <c r="I4440" t="s">
        <v>23</v>
      </c>
      <c r="J4440" t="s">
        <v>5704</v>
      </c>
      <c r="K4440" s="2" t="s">
        <v>1525</v>
      </c>
      <c r="L4440" t="s">
        <v>26</v>
      </c>
      <c r="M4440">
        <v>344439</v>
      </c>
      <c r="N4440">
        <v>1</v>
      </c>
      <c r="O4440" s="3">
        <v>4450</v>
      </c>
      <c r="P4440" s="3">
        <v>2178</v>
      </c>
      <c r="Q4440" s="5">
        <f t="shared" si="207"/>
        <v>3739.4957983193281</v>
      </c>
      <c r="R4440" s="5">
        <f t="shared" si="208"/>
        <v>2178</v>
      </c>
      <c r="S4440" s="5">
        <f t="shared" si="209"/>
        <v>1561.4957983193281</v>
      </c>
    </row>
    <row r="4441" spans="1:19" hidden="1" x14ac:dyDescent="0.3">
      <c r="A4441">
        <v>180</v>
      </c>
      <c r="B4441" t="s">
        <v>5549</v>
      </c>
      <c r="C4441" t="s">
        <v>5705</v>
      </c>
      <c r="D4441" s="2" t="s">
        <v>5706</v>
      </c>
      <c r="E4441" t="s">
        <v>5707</v>
      </c>
      <c r="F4441" t="s">
        <v>377</v>
      </c>
      <c r="G4441" t="s">
        <v>21</v>
      </c>
      <c r="H4441" t="s">
        <v>378</v>
      </c>
      <c r="I4441" t="s">
        <v>23</v>
      </c>
      <c r="J4441" t="s">
        <v>5704</v>
      </c>
      <c r="K4441" s="2" t="s">
        <v>1525</v>
      </c>
      <c r="L4441" t="s">
        <v>26</v>
      </c>
      <c r="M4441">
        <v>344439</v>
      </c>
      <c r="N4441">
        <v>1</v>
      </c>
      <c r="O4441" s="3">
        <v>4450</v>
      </c>
      <c r="P4441" s="3">
        <v>2224</v>
      </c>
      <c r="Q4441" s="5">
        <f t="shared" si="207"/>
        <v>3739.4957983193281</v>
      </c>
      <c r="R4441" s="5">
        <f t="shared" si="208"/>
        <v>2224</v>
      </c>
      <c r="S4441" s="5">
        <f t="shared" si="209"/>
        <v>1515.4957983193281</v>
      </c>
    </row>
    <row r="4442" spans="1:19" hidden="1" x14ac:dyDescent="0.3">
      <c r="A4442">
        <v>180</v>
      </c>
      <c r="B4442" t="s">
        <v>5549</v>
      </c>
      <c r="C4442" t="s">
        <v>3023</v>
      </c>
      <c r="D4442" s="2" t="s">
        <v>3024</v>
      </c>
      <c r="E4442" t="s">
        <v>938</v>
      </c>
      <c r="F4442" t="s">
        <v>20</v>
      </c>
      <c r="G4442" t="s">
        <v>21</v>
      </c>
      <c r="H4442" t="s">
        <v>317</v>
      </c>
      <c r="I4442" t="s">
        <v>23</v>
      </c>
      <c r="J4442" t="s">
        <v>35</v>
      </c>
      <c r="K4442" s="2" t="s">
        <v>2983</v>
      </c>
      <c r="L4442" t="s">
        <v>26</v>
      </c>
      <c r="M4442">
        <v>344440</v>
      </c>
      <c r="N4442">
        <v>1</v>
      </c>
      <c r="O4442" s="3">
        <v>69950</v>
      </c>
      <c r="P4442" s="3">
        <v>26455</v>
      </c>
      <c r="Q4442" s="5">
        <f t="shared" si="207"/>
        <v>58781.512605042022</v>
      </c>
      <c r="R4442" s="5">
        <f t="shared" si="208"/>
        <v>26455</v>
      </c>
      <c r="S4442" s="5">
        <f t="shared" si="209"/>
        <v>32326.512605042022</v>
      </c>
    </row>
    <row r="4443" spans="1:19" hidden="1" x14ac:dyDescent="0.3">
      <c r="A4443">
        <v>180</v>
      </c>
      <c r="B4443" t="s">
        <v>5549</v>
      </c>
      <c r="C4443" t="s">
        <v>3341</v>
      </c>
      <c r="D4443" s="2" t="s">
        <v>3342</v>
      </c>
      <c r="E4443" t="s">
        <v>2661</v>
      </c>
      <c r="F4443" t="s">
        <v>20</v>
      </c>
      <c r="G4443" t="s">
        <v>21</v>
      </c>
      <c r="H4443" t="s">
        <v>317</v>
      </c>
      <c r="I4443" t="s">
        <v>23</v>
      </c>
      <c r="J4443" t="s">
        <v>35</v>
      </c>
      <c r="K4443" s="2" t="s">
        <v>2983</v>
      </c>
      <c r="L4443" t="s">
        <v>26</v>
      </c>
      <c r="M4443">
        <v>344441</v>
      </c>
      <c r="N4443">
        <v>1</v>
      </c>
      <c r="O4443" s="3">
        <v>69950</v>
      </c>
      <c r="P4443" s="3">
        <v>25924</v>
      </c>
      <c r="Q4443" s="5">
        <f t="shared" si="207"/>
        <v>58781.512605042022</v>
      </c>
      <c r="R4443" s="5">
        <f t="shared" si="208"/>
        <v>25924</v>
      </c>
      <c r="S4443" s="5">
        <f t="shared" si="209"/>
        <v>32857.512605042022</v>
      </c>
    </row>
    <row r="4444" spans="1:19" hidden="1" x14ac:dyDescent="0.3">
      <c r="A4444">
        <v>180</v>
      </c>
      <c r="B4444" t="s">
        <v>5549</v>
      </c>
      <c r="C4444" t="s">
        <v>2575</v>
      </c>
      <c r="D4444" s="2" t="s">
        <v>2576</v>
      </c>
      <c r="E4444" t="s">
        <v>2577</v>
      </c>
      <c r="F4444" t="s">
        <v>377</v>
      </c>
      <c r="G4444" t="s">
        <v>21</v>
      </c>
      <c r="H4444" t="s">
        <v>378</v>
      </c>
      <c r="I4444" t="s">
        <v>23</v>
      </c>
      <c r="J4444" t="s">
        <v>379</v>
      </c>
      <c r="K4444" s="2" t="s">
        <v>2983</v>
      </c>
      <c r="L4444" t="s">
        <v>26</v>
      </c>
      <c r="M4444">
        <v>344441</v>
      </c>
      <c r="N4444">
        <v>1</v>
      </c>
      <c r="O4444" s="3">
        <v>5950</v>
      </c>
      <c r="P4444" s="3">
        <v>3307</v>
      </c>
      <c r="Q4444" s="5">
        <f t="shared" si="207"/>
        <v>5000</v>
      </c>
      <c r="R4444" s="5">
        <f t="shared" si="208"/>
        <v>3307</v>
      </c>
      <c r="S4444" s="5">
        <f t="shared" si="209"/>
        <v>1693</v>
      </c>
    </row>
    <row r="4445" spans="1:19" hidden="1" x14ac:dyDescent="0.3">
      <c r="A4445">
        <v>180</v>
      </c>
      <c r="B4445" t="s">
        <v>5549</v>
      </c>
      <c r="C4445" t="s">
        <v>3311</v>
      </c>
      <c r="D4445" s="2" t="s">
        <v>3312</v>
      </c>
      <c r="E4445" t="s">
        <v>494</v>
      </c>
      <c r="F4445" t="s">
        <v>20</v>
      </c>
      <c r="G4445" t="s">
        <v>21</v>
      </c>
      <c r="H4445" t="s">
        <v>317</v>
      </c>
      <c r="I4445" t="s">
        <v>23</v>
      </c>
      <c r="J4445" t="s">
        <v>35</v>
      </c>
      <c r="K4445" s="2" t="s">
        <v>2983</v>
      </c>
      <c r="L4445" t="s">
        <v>26</v>
      </c>
      <c r="M4445">
        <v>344442</v>
      </c>
      <c r="N4445">
        <v>1</v>
      </c>
      <c r="O4445" s="3">
        <v>69950</v>
      </c>
      <c r="P4445" s="3">
        <v>23619</v>
      </c>
      <c r="Q4445" s="5">
        <f t="shared" si="207"/>
        <v>58781.512605042022</v>
      </c>
      <c r="R4445" s="5">
        <f t="shared" si="208"/>
        <v>23619</v>
      </c>
      <c r="S4445" s="5">
        <f t="shared" si="209"/>
        <v>35162.512605042022</v>
      </c>
    </row>
    <row r="4446" spans="1:19" hidden="1" x14ac:dyDescent="0.3">
      <c r="A4446">
        <v>180</v>
      </c>
      <c r="B4446" t="s">
        <v>5549</v>
      </c>
      <c r="C4446" t="s">
        <v>4842</v>
      </c>
      <c r="D4446" s="2" t="s">
        <v>4843</v>
      </c>
      <c r="E4446" t="s">
        <v>3096</v>
      </c>
      <c r="F4446" t="s">
        <v>20</v>
      </c>
      <c r="G4446" t="s">
        <v>21</v>
      </c>
      <c r="H4446" t="s">
        <v>991</v>
      </c>
      <c r="I4446" t="s">
        <v>23</v>
      </c>
      <c r="J4446" t="s">
        <v>49</v>
      </c>
      <c r="K4446" s="2" t="s">
        <v>2983</v>
      </c>
      <c r="L4446" t="s">
        <v>26</v>
      </c>
      <c r="M4446">
        <v>344443</v>
      </c>
      <c r="N4446">
        <v>1</v>
      </c>
      <c r="O4446" s="3">
        <v>54990</v>
      </c>
      <c r="P4446" s="3">
        <v>21207</v>
      </c>
      <c r="Q4446" s="5">
        <f t="shared" si="207"/>
        <v>46210.08403361345</v>
      </c>
      <c r="R4446" s="5">
        <f t="shared" si="208"/>
        <v>21207</v>
      </c>
      <c r="S4446" s="5">
        <f t="shared" si="209"/>
        <v>25003.08403361345</v>
      </c>
    </row>
    <row r="4447" spans="1:19" hidden="1" x14ac:dyDescent="0.3">
      <c r="A4447">
        <v>180</v>
      </c>
      <c r="B4447" t="s">
        <v>5549</v>
      </c>
      <c r="C4447" t="s">
        <v>5708</v>
      </c>
      <c r="D4447" s="2" t="s">
        <v>5709</v>
      </c>
      <c r="E4447" t="s">
        <v>2542</v>
      </c>
      <c r="F4447" t="s">
        <v>20</v>
      </c>
      <c r="G4447" t="s">
        <v>21</v>
      </c>
      <c r="H4447" t="s">
        <v>2469</v>
      </c>
      <c r="I4447" t="s">
        <v>23</v>
      </c>
      <c r="J4447" t="s">
        <v>49</v>
      </c>
      <c r="K4447" s="2" t="s">
        <v>2983</v>
      </c>
      <c r="L4447" t="s">
        <v>26</v>
      </c>
      <c r="M4447">
        <v>344444</v>
      </c>
      <c r="N4447">
        <v>1</v>
      </c>
      <c r="O4447" s="3">
        <v>64950</v>
      </c>
      <c r="P4447" s="3">
        <v>21343</v>
      </c>
      <c r="Q4447" s="5">
        <f t="shared" si="207"/>
        <v>54579.831932773115</v>
      </c>
      <c r="R4447" s="5">
        <f t="shared" si="208"/>
        <v>21343</v>
      </c>
      <c r="S4447" s="5">
        <f t="shared" si="209"/>
        <v>33236.831932773115</v>
      </c>
    </row>
    <row r="4448" spans="1:19" hidden="1" x14ac:dyDescent="0.3">
      <c r="A4448">
        <v>180</v>
      </c>
      <c r="B4448" t="s">
        <v>5549</v>
      </c>
      <c r="C4448" t="s">
        <v>5710</v>
      </c>
      <c r="D4448" s="2" t="s">
        <v>5711</v>
      </c>
      <c r="E4448" t="s">
        <v>1171</v>
      </c>
      <c r="F4448" t="s">
        <v>20</v>
      </c>
      <c r="G4448" t="s">
        <v>21</v>
      </c>
      <c r="H4448" t="s">
        <v>500</v>
      </c>
      <c r="I4448" t="s">
        <v>23</v>
      </c>
      <c r="J4448" t="s">
        <v>40</v>
      </c>
      <c r="K4448" s="2" t="s">
        <v>2983</v>
      </c>
      <c r="L4448" t="s">
        <v>26</v>
      </c>
      <c r="M4448">
        <v>344445</v>
      </c>
      <c r="N4448">
        <v>1</v>
      </c>
      <c r="O4448" s="3">
        <v>59950</v>
      </c>
      <c r="P4448" s="3">
        <v>17416</v>
      </c>
      <c r="Q4448" s="5">
        <f t="shared" si="207"/>
        <v>50378.151260504201</v>
      </c>
      <c r="R4448" s="5">
        <f t="shared" si="208"/>
        <v>17416</v>
      </c>
      <c r="S4448" s="5">
        <f t="shared" si="209"/>
        <v>32962.151260504201</v>
      </c>
    </row>
    <row r="4449" spans="1:19" hidden="1" x14ac:dyDescent="0.3">
      <c r="A4449">
        <v>180</v>
      </c>
      <c r="B4449" t="s">
        <v>5549</v>
      </c>
      <c r="C4449" t="s">
        <v>3692</v>
      </c>
      <c r="D4449" s="2" t="s">
        <v>3693</v>
      </c>
      <c r="E4449" t="s">
        <v>1758</v>
      </c>
      <c r="F4449" t="s">
        <v>20</v>
      </c>
      <c r="G4449" t="s">
        <v>338</v>
      </c>
      <c r="H4449">
        <v>25133</v>
      </c>
      <c r="I4449" t="s">
        <v>23</v>
      </c>
      <c r="J4449" t="s">
        <v>35</v>
      </c>
      <c r="K4449" s="2" t="s">
        <v>2983</v>
      </c>
      <c r="L4449" t="s">
        <v>26</v>
      </c>
      <c r="M4449">
        <v>344446</v>
      </c>
      <c r="N4449">
        <v>1</v>
      </c>
      <c r="O4449" s="3">
        <v>74950</v>
      </c>
      <c r="P4449" s="3">
        <v>21167</v>
      </c>
      <c r="Q4449" s="5">
        <f t="shared" si="207"/>
        <v>62983.193277310929</v>
      </c>
      <c r="R4449" s="5">
        <f t="shared" si="208"/>
        <v>21167</v>
      </c>
      <c r="S4449" s="5">
        <f t="shared" si="209"/>
        <v>41816.193277310929</v>
      </c>
    </row>
    <row r="4450" spans="1:19" hidden="1" x14ac:dyDescent="0.3">
      <c r="A4450">
        <v>180</v>
      </c>
      <c r="B4450" t="s">
        <v>5549</v>
      </c>
      <c r="C4450" t="s">
        <v>5712</v>
      </c>
      <c r="D4450" s="2" t="s">
        <v>5713</v>
      </c>
      <c r="E4450" t="s">
        <v>2490</v>
      </c>
      <c r="F4450" t="s">
        <v>20</v>
      </c>
      <c r="G4450" t="s">
        <v>21</v>
      </c>
      <c r="H4450" t="s">
        <v>44</v>
      </c>
      <c r="I4450" t="s">
        <v>23</v>
      </c>
      <c r="J4450" t="s">
        <v>40</v>
      </c>
      <c r="K4450" s="2" t="s">
        <v>2983</v>
      </c>
      <c r="L4450" t="s">
        <v>26</v>
      </c>
      <c r="M4450">
        <v>344447</v>
      </c>
      <c r="N4450">
        <v>1</v>
      </c>
      <c r="O4450" s="3">
        <v>39990</v>
      </c>
      <c r="P4450" s="3">
        <v>15254</v>
      </c>
      <c r="Q4450" s="5">
        <f t="shared" si="207"/>
        <v>33605.042016806721</v>
      </c>
      <c r="R4450" s="5">
        <f t="shared" si="208"/>
        <v>15254</v>
      </c>
      <c r="S4450" s="5">
        <f t="shared" si="209"/>
        <v>18351.042016806721</v>
      </c>
    </row>
    <row r="4451" spans="1:19" hidden="1" x14ac:dyDescent="0.3">
      <c r="A4451">
        <v>180</v>
      </c>
      <c r="B4451" t="s">
        <v>5549</v>
      </c>
      <c r="C4451" t="s">
        <v>3860</v>
      </c>
      <c r="D4451" s="2" t="s">
        <v>3861</v>
      </c>
      <c r="E4451" t="s">
        <v>3096</v>
      </c>
      <c r="F4451" t="s">
        <v>20</v>
      </c>
      <c r="G4451" t="s">
        <v>21</v>
      </c>
      <c r="H4451" t="s">
        <v>991</v>
      </c>
      <c r="I4451" t="s">
        <v>23</v>
      </c>
      <c r="J4451" t="s">
        <v>49</v>
      </c>
      <c r="K4451" s="2" t="s">
        <v>2983</v>
      </c>
      <c r="L4451" t="s">
        <v>26</v>
      </c>
      <c r="M4451">
        <v>344448</v>
      </c>
      <c r="N4451">
        <v>1</v>
      </c>
      <c r="O4451" s="3">
        <v>54990</v>
      </c>
      <c r="P4451" s="3">
        <v>21216</v>
      </c>
      <c r="Q4451" s="5">
        <f t="shared" si="207"/>
        <v>46210.08403361345</v>
      </c>
      <c r="R4451" s="5">
        <f t="shared" si="208"/>
        <v>21216</v>
      </c>
      <c r="S4451" s="5">
        <f t="shared" si="209"/>
        <v>24994.08403361345</v>
      </c>
    </row>
    <row r="4452" spans="1:19" hidden="1" x14ac:dyDescent="0.3">
      <c r="A4452">
        <v>180</v>
      </c>
      <c r="B4452" t="s">
        <v>5549</v>
      </c>
      <c r="C4452" t="s">
        <v>2984</v>
      </c>
      <c r="D4452" s="2" t="s">
        <v>2985</v>
      </c>
      <c r="E4452" t="s">
        <v>2986</v>
      </c>
      <c r="F4452" t="s">
        <v>20</v>
      </c>
      <c r="G4452" t="s">
        <v>21</v>
      </c>
      <c r="H4452" t="s">
        <v>267</v>
      </c>
      <c r="I4452" t="s">
        <v>23</v>
      </c>
      <c r="J4452" t="s">
        <v>35</v>
      </c>
      <c r="K4452" s="2" t="s">
        <v>2983</v>
      </c>
      <c r="L4452" t="s">
        <v>26</v>
      </c>
      <c r="M4452">
        <v>344449</v>
      </c>
      <c r="N4452">
        <v>1</v>
      </c>
      <c r="O4452" s="3">
        <v>59990</v>
      </c>
      <c r="P4452" s="3">
        <v>24733</v>
      </c>
      <c r="Q4452" s="5">
        <f t="shared" si="207"/>
        <v>50411.764705882357</v>
      </c>
      <c r="R4452" s="5">
        <f t="shared" si="208"/>
        <v>24733</v>
      </c>
      <c r="S4452" s="5">
        <f t="shared" si="209"/>
        <v>25678.764705882357</v>
      </c>
    </row>
    <row r="4453" spans="1:19" hidden="1" x14ac:dyDescent="0.3">
      <c r="A4453">
        <v>180</v>
      </c>
      <c r="B4453" t="s">
        <v>5549</v>
      </c>
      <c r="C4453" t="s">
        <v>5714</v>
      </c>
      <c r="D4453" s="2" t="s">
        <v>5715</v>
      </c>
      <c r="E4453" t="s">
        <v>4753</v>
      </c>
      <c r="F4453" t="s">
        <v>20</v>
      </c>
      <c r="G4453" t="s">
        <v>338</v>
      </c>
      <c r="H4453">
        <v>23313</v>
      </c>
      <c r="I4453" t="s">
        <v>23</v>
      </c>
      <c r="J4453" t="s">
        <v>40</v>
      </c>
      <c r="K4453" s="2" t="s">
        <v>2983</v>
      </c>
      <c r="L4453" t="s">
        <v>26</v>
      </c>
      <c r="M4453">
        <v>344450</v>
      </c>
      <c r="N4453">
        <v>1</v>
      </c>
      <c r="O4453" s="3">
        <v>69950</v>
      </c>
      <c r="P4453" s="3">
        <v>22451</v>
      </c>
      <c r="Q4453" s="5">
        <f t="shared" si="207"/>
        <v>58781.512605042022</v>
      </c>
      <c r="R4453" s="5">
        <f t="shared" si="208"/>
        <v>22451</v>
      </c>
      <c r="S4453" s="5">
        <f t="shared" si="209"/>
        <v>36330.512605042022</v>
      </c>
    </row>
    <row r="4454" spans="1:19" hidden="1" x14ac:dyDescent="0.3">
      <c r="A4454">
        <v>180</v>
      </c>
      <c r="B4454" t="s">
        <v>5549</v>
      </c>
      <c r="C4454" t="s">
        <v>4840</v>
      </c>
      <c r="D4454" s="2" t="s">
        <v>4841</v>
      </c>
      <c r="E4454" t="s">
        <v>1501</v>
      </c>
      <c r="F4454" t="s">
        <v>20</v>
      </c>
      <c r="G4454" t="s">
        <v>21</v>
      </c>
      <c r="H4454" t="s">
        <v>742</v>
      </c>
      <c r="I4454" t="s">
        <v>23</v>
      </c>
      <c r="J4454" t="s">
        <v>40</v>
      </c>
      <c r="K4454" s="2" t="s">
        <v>2983</v>
      </c>
      <c r="L4454" t="s">
        <v>26</v>
      </c>
      <c r="M4454">
        <v>344451</v>
      </c>
      <c r="N4454">
        <v>1</v>
      </c>
      <c r="O4454" s="3">
        <v>69990</v>
      </c>
      <c r="P4454" s="3">
        <v>28723</v>
      </c>
      <c r="Q4454" s="5">
        <f t="shared" si="207"/>
        <v>58815.126050420171</v>
      </c>
      <c r="R4454" s="5">
        <f t="shared" si="208"/>
        <v>28723</v>
      </c>
      <c r="S4454" s="5">
        <f t="shared" si="209"/>
        <v>30092.126050420171</v>
      </c>
    </row>
    <row r="4455" spans="1:19" hidden="1" x14ac:dyDescent="0.3">
      <c r="A4455">
        <v>180</v>
      </c>
      <c r="B4455" t="s">
        <v>5549</v>
      </c>
      <c r="C4455" t="s">
        <v>3682</v>
      </c>
      <c r="D4455" s="2" t="s">
        <v>3683</v>
      </c>
      <c r="E4455" t="s">
        <v>3684</v>
      </c>
      <c r="F4455" t="s">
        <v>20</v>
      </c>
      <c r="G4455" t="s">
        <v>21</v>
      </c>
      <c r="H4455" t="s">
        <v>114</v>
      </c>
      <c r="I4455" t="s">
        <v>23</v>
      </c>
      <c r="J4455" t="s">
        <v>49</v>
      </c>
      <c r="K4455" s="2" t="s">
        <v>2983</v>
      </c>
      <c r="L4455" t="s">
        <v>26</v>
      </c>
      <c r="M4455">
        <v>344452</v>
      </c>
      <c r="N4455">
        <v>-1</v>
      </c>
      <c r="O4455" s="3">
        <v>-69950</v>
      </c>
      <c r="P4455" s="3">
        <v>23514</v>
      </c>
      <c r="Q4455" s="5">
        <f t="shared" si="207"/>
        <v>-58781.512605042022</v>
      </c>
      <c r="R4455" s="5">
        <f t="shared" si="208"/>
        <v>-23514</v>
      </c>
      <c r="S4455" s="5">
        <f t="shared" si="209"/>
        <v>-35267.512605042022</v>
      </c>
    </row>
    <row r="4456" spans="1:19" hidden="1" x14ac:dyDescent="0.3">
      <c r="A4456">
        <v>180</v>
      </c>
      <c r="B4456" t="s">
        <v>5549</v>
      </c>
      <c r="C4456" t="s">
        <v>5716</v>
      </c>
      <c r="D4456" s="2" t="s">
        <v>5717</v>
      </c>
      <c r="E4456" t="s">
        <v>3684</v>
      </c>
      <c r="F4456" t="s">
        <v>20</v>
      </c>
      <c r="G4456" t="s">
        <v>21</v>
      </c>
      <c r="H4456" t="s">
        <v>114</v>
      </c>
      <c r="I4456" t="s">
        <v>23</v>
      </c>
      <c r="J4456" t="s">
        <v>49</v>
      </c>
      <c r="K4456" s="2" t="s">
        <v>2983</v>
      </c>
      <c r="L4456" t="s">
        <v>26</v>
      </c>
      <c r="M4456">
        <v>344452</v>
      </c>
      <c r="N4456">
        <v>1</v>
      </c>
      <c r="O4456" s="3">
        <v>69951</v>
      </c>
      <c r="P4456" s="3">
        <v>23514</v>
      </c>
      <c r="Q4456" s="5">
        <f t="shared" si="207"/>
        <v>58782.352941176476</v>
      </c>
      <c r="R4456" s="5">
        <f t="shared" si="208"/>
        <v>23514</v>
      </c>
      <c r="S4456" s="5">
        <f t="shared" si="209"/>
        <v>35268.352941176476</v>
      </c>
    </row>
    <row r="4457" spans="1:19" hidden="1" x14ac:dyDescent="0.3">
      <c r="A4457">
        <v>180</v>
      </c>
      <c r="B4457" t="s">
        <v>5549</v>
      </c>
      <c r="C4457" t="s">
        <v>3064</v>
      </c>
      <c r="D4457" s="2" t="s">
        <v>3065</v>
      </c>
      <c r="E4457" t="s">
        <v>3031</v>
      </c>
      <c r="F4457" t="s">
        <v>20</v>
      </c>
      <c r="G4457" t="s">
        <v>21</v>
      </c>
      <c r="H4457" t="s">
        <v>2315</v>
      </c>
      <c r="I4457" t="s">
        <v>23</v>
      </c>
      <c r="J4457" t="s">
        <v>49</v>
      </c>
      <c r="K4457" s="2" t="s">
        <v>2983</v>
      </c>
      <c r="L4457" t="s">
        <v>26</v>
      </c>
      <c r="M4457">
        <v>344453</v>
      </c>
      <c r="N4457">
        <v>1</v>
      </c>
      <c r="O4457" s="3">
        <v>74950</v>
      </c>
      <c r="P4457" s="3">
        <v>24255</v>
      </c>
      <c r="Q4457" s="5">
        <f t="shared" si="207"/>
        <v>62983.193277310929</v>
      </c>
      <c r="R4457" s="5">
        <f t="shared" si="208"/>
        <v>24255</v>
      </c>
      <c r="S4457" s="5">
        <f t="shared" si="209"/>
        <v>38728.193277310929</v>
      </c>
    </row>
    <row r="4458" spans="1:19" hidden="1" x14ac:dyDescent="0.3">
      <c r="A4458">
        <v>180</v>
      </c>
      <c r="B4458" t="s">
        <v>5549</v>
      </c>
      <c r="C4458" t="s">
        <v>5718</v>
      </c>
      <c r="D4458" s="2" t="s">
        <v>5719</v>
      </c>
      <c r="E4458" t="s">
        <v>5505</v>
      </c>
      <c r="F4458" t="s">
        <v>20</v>
      </c>
      <c r="G4458" t="s">
        <v>338</v>
      </c>
      <c r="H4458">
        <v>86422</v>
      </c>
      <c r="I4458" t="s">
        <v>23</v>
      </c>
      <c r="J4458" t="s">
        <v>35</v>
      </c>
      <c r="K4458" s="2" t="s">
        <v>2983</v>
      </c>
      <c r="L4458" t="s">
        <v>26</v>
      </c>
      <c r="M4458">
        <v>344454</v>
      </c>
      <c r="N4458">
        <v>1</v>
      </c>
      <c r="O4458" s="3">
        <v>109950</v>
      </c>
      <c r="P4458" s="3">
        <v>33793</v>
      </c>
      <c r="Q4458" s="5">
        <f t="shared" si="207"/>
        <v>92394.957983193279</v>
      </c>
      <c r="R4458" s="5">
        <f t="shared" si="208"/>
        <v>33793</v>
      </c>
      <c r="S4458" s="5">
        <f t="shared" si="209"/>
        <v>58601.957983193279</v>
      </c>
    </row>
    <row r="4459" spans="1:19" hidden="1" x14ac:dyDescent="0.3">
      <c r="A4459">
        <v>180</v>
      </c>
      <c r="B4459" t="s">
        <v>5549</v>
      </c>
      <c r="C4459" t="s">
        <v>4605</v>
      </c>
      <c r="D4459" s="2" t="s">
        <v>4606</v>
      </c>
      <c r="E4459" t="s">
        <v>2933</v>
      </c>
      <c r="F4459" t="s">
        <v>20</v>
      </c>
      <c r="G4459" t="s">
        <v>338</v>
      </c>
      <c r="H4459">
        <v>25539</v>
      </c>
      <c r="I4459" t="s">
        <v>23</v>
      </c>
      <c r="J4459" t="s">
        <v>31</v>
      </c>
      <c r="K4459" s="2" t="s">
        <v>2983</v>
      </c>
      <c r="L4459" t="s">
        <v>26</v>
      </c>
      <c r="M4459">
        <v>344455</v>
      </c>
      <c r="N4459">
        <v>1</v>
      </c>
      <c r="O4459" s="3">
        <v>139950</v>
      </c>
      <c r="P4459" s="3">
        <v>46011</v>
      </c>
      <c r="Q4459" s="5">
        <f t="shared" si="207"/>
        <v>117605.04201680672</v>
      </c>
      <c r="R4459" s="5">
        <f t="shared" si="208"/>
        <v>46011</v>
      </c>
      <c r="S4459" s="5">
        <f t="shared" si="209"/>
        <v>71594.042016806721</v>
      </c>
    </row>
    <row r="4460" spans="1:19" hidden="1" x14ac:dyDescent="0.3">
      <c r="A4460">
        <v>180</v>
      </c>
      <c r="B4460" t="s">
        <v>5549</v>
      </c>
      <c r="C4460" t="s">
        <v>3321</v>
      </c>
      <c r="D4460" s="2" t="s">
        <v>3322</v>
      </c>
      <c r="E4460" t="s">
        <v>3323</v>
      </c>
      <c r="F4460" t="s">
        <v>20</v>
      </c>
      <c r="G4460" t="s">
        <v>21</v>
      </c>
      <c r="H4460" t="s">
        <v>625</v>
      </c>
      <c r="I4460" t="s">
        <v>23</v>
      </c>
      <c r="J4460" t="s">
        <v>35</v>
      </c>
      <c r="K4460" s="2" t="s">
        <v>3074</v>
      </c>
      <c r="L4460" t="s">
        <v>26</v>
      </c>
      <c r="M4460">
        <v>344456</v>
      </c>
      <c r="N4460">
        <v>1</v>
      </c>
      <c r="O4460" s="3">
        <v>49990</v>
      </c>
      <c r="P4460" s="3">
        <v>24956</v>
      </c>
      <c r="Q4460" s="5">
        <f t="shared" si="207"/>
        <v>42008.403361344543</v>
      </c>
      <c r="R4460" s="5">
        <f t="shared" si="208"/>
        <v>24956</v>
      </c>
      <c r="S4460" s="5">
        <f t="shared" si="209"/>
        <v>17052.403361344543</v>
      </c>
    </row>
    <row r="4461" spans="1:19" hidden="1" x14ac:dyDescent="0.3">
      <c r="A4461">
        <v>180</v>
      </c>
      <c r="B4461" t="s">
        <v>5549</v>
      </c>
      <c r="C4461" t="s">
        <v>2987</v>
      </c>
      <c r="D4461" s="2" t="s">
        <v>2988</v>
      </c>
      <c r="E4461" t="s">
        <v>2870</v>
      </c>
      <c r="F4461" t="s">
        <v>20</v>
      </c>
      <c r="G4461" t="s">
        <v>21</v>
      </c>
      <c r="H4461" t="s">
        <v>30</v>
      </c>
      <c r="I4461" t="s">
        <v>23</v>
      </c>
      <c r="J4461" t="s">
        <v>35</v>
      </c>
      <c r="K4461" s="2" t="s">
        <v>3074</v>
      </c>
      <c r="L4461" t="s">
        <v>26</v>
      </c>
      <c r="M4461">
        <v>344457</v>
      </c>
      <c r="N4461">
        <v>1</v>
      </c>
      <c r="O4461" s="3">
        <v>79950</v>
      </c>
      <c r="P4461" s="3">
        <v>30749</v>
      </c>
      <c r="Q4461" s="5">
        <f t="shared" si="207"/>
        <v>67184.873949579836</v>
      </c>
      <c r="R4461" s="5">
        <f t="shared" si="208"/>
        <v>30749</v>
      </c>
      <c r="S4461" s="5">
        <f t="shared" si="209"/>
        <v>36435.873949579836</v>
      </c>
    </row>
    <row r="4462" spans="1:19" hidden="1" x14ac:dyDescent="0.3">
      <c r="A4462">
        <v>180</v>
      </c>
      <c r="B4462" t="s">
        <v>5549</v>
      </c>
      <c r="C4462" t="s">
        <v>4677</v>
      </c>
      <c r="D4462" s="2" t="s">
        <v>4678</v>
      </c>
      <c r="E4462" t="s">
        <v>266</v>
      </c>
      <c r="F4462" t="s">
        <v>20</v>
      </c>
      <c r="G4462" t="s">
        <v>21</v>
      </c>
      <c r="H4462" t="s">
        <v>267</v>
      </c>
      <c r="I4462" t="s">
        <v>23</v>
      </c>
      <c r="J4462" t="s">
        <v>49</v>
      </c>
      <c r="K4462" s="2" t="s">
        <v>3074</v>
      </c>
      <c r="L4462" t="s">
        <v>26</v>
      </c>
      <c r="M4462">
        <v>344458</v>
      </c>
      <c r="N4462">
        <v>1</v>
      </c>
      <c r="O4462" s="3">
        <v>64950</v>
      </c>
      <c r="P4462" s="3">
        <v>24504</v>
      </c>
      <c r="Q4462" s="5">
        <f t="shared" si="207"/>
        <v>54579.831932773115</v>
      </c>
      <c r="R4462" s="5">
        <f t="shared" si="208"/>
        <v>24504</v>
      </c>
      <c r="S4462" s="5">
        <f t="shared" si="209"/>
        <v>30075.831932773115</v>
      </c>
    </row>
    <row r="4463" spans="1:19" hidden="1" x14ac:dyDescent="0.3">
      <c r="A4463">
        <v>180</v>
      </c>
      <c r="B4463" t="s">
        <v>5549</v>
      </c>
      <c r="C4463" t="s">
        <v>1334</v>
      </c>
      <c r="D4463" s="2" t="s">
        <v>1335</v>
      </c>
      <c r="E4463" t="s">
        <v>1336</v>
      </c>
      <c r="F4463" t="s">
        <v>20</v>
      </c>
      <c r="G4463" t="s">
        <v>21</v>
      </c>
      <c r="H4463" t="s">
        <v>1337</v>
      </c>
      <c r="I4463" t="s">
        <v>23</v>
      </c>
      <c r="J4463" t="s">
        <v>49</v>
      </c>
      <c r="K4463" s="2" t="s">
        <v>3074</v>
      </c>
      <c r="L4463" t="s">
        <v>26</v>
      </c>
      <c r="M4463">
        <v>344458</v>
      </c>
      <c r="N4463">
        <v>1</v>
      </c>
      <c r="O4463" s="3">
        <v>59950</v>
      </c>
      <c r="P4463" s="3">
        <v>19049</v>
      </c>
      <c r="Q4463" s="5">
        <f t="shared" si="207"/>
        <v>50378.151260504201</v>
      </c>
      <c r="R4463" s="5">
        <f t="shared" si="208"/>
        <v>19049</v>
      </c>
      <c r="S4463" s="5">
        <f t="shared" si="209"/>
        <v>31329.151260504201</v>
      </c>
    </row>
    <row r="4464" spans="1:19" hidden="1" x14ac:dyDescent="0.3">
      <c r="A4464">
        <v>180</v>
      </c>
      <c r="B4464" t="s">
        <v>5549</v>
      </c>
      <c r="C4464" t="s">
        <v>492</v>
      </c>
      <c r="D4464" s="2" t="s">
        <v>493</v>
      </c>
      <c r="E4464" t="s">
        <v>494</v>
      </c>
      <c r="F4464" t="s">
        <v>20</v>
      </c>
      <c r="G4464" t="s">
        <v>21</v>
      </c>
      <c r="H4464" t="s">
        <v>317</v>
      </c>
      <c r="I4464" t="s">
        <v>23</v>
      </c>
      <c r="J4464" t="s">
        <v>35</v>
      </c>
      <c r="K4464" s="2" t="s">
        <v>3074</v>
      </c>
      <c r="L4464" t="s">
        <v>26</v>
      </c>
      <c r="M4464">
        <v>344459</v>
      </c>
      <c r="N4464">
        <v>-1</v>
      </c>
      <c r="O4464" s="3">
        <v>-69950</v>
      </c>
      <c r="P4464" s="3">
        <v>23619</v>
      </c>
      <c r="Q4464" s="5">
        <f t="shared" si="207"/>
        <v>-58781.512605042022</v>
      </c>
      <c r="R4464" s="5">
        <f t="shared" si="208"/>
        <v>-23619</v>
      </c>
      <c r="S4464" s="5">
        <f t="shared" si="209"/>
        <v>-35162.512605042022</v>
      </c>
    </row>
    <row r="4465" spans="1:19" hidden="1" x14ac:dyDescent="0.3">
      <c r="A4465">
        <v>180</v>
      </c>
      <c r="B4465" t="s">
        <v>5549</v>
      </c>
      <c r="C4465" t="s">
        <v>2097</v>
      </c>
      <c r="D4465" s="2" t="s">
        <v>2098</v>
      </c>
      <c r="E4465" t="s">
        <v>494</v>
      </c>
      <c r="F4465" t="s">
        <v>20</v>
      </c>
      <c r="G4465" t="s">
        <v>21</v>
      </c>
      <c r="H4465" t="s">
        <v>317</v>
      </c>
      <c r="I4465" t="s">
        <v>23</v>
      </c>
      <c r="J4465" t="s">
        <v>35</v>
      </c>
      <c r="K4465" s="2" t="s">
        <v>3074</v>
      </c>
      <c r="L4465" t="s">
        <v>26</v>
      </c>
      <c r="M4465">
        <v>344459</v>
      </c>
      <c r="N4465">
        <v>1</v>
      </c>
      <c r="O4465" s="3">
        <v>69950</v>
      </c>
      <c r="P4465" s="3">
        <v>23619</v>
      </c>
      <c r="Q4465" s="5">
        <f t="shared" si="207"/>
        <v>58781.512605042022</v>
      </c>
      <c r="R4465" s="5">
        <f t="shared" si="208"/>
        <v>23619</v>
      </c>
      <c r="S4465" s="5">
        <f t="shared" si="209"/>
        <v>35162.512605042022</v>
      </c>
    </row>
    <row r="4466" spans="1:19" hidden="1" x14ac:dyDescent="0.3">
      <c r="A4466">
        <v>180</v>
      </c>
      <c r="B4466" t="s">
        <v>5549</v>
      </c>
      <c r="C4466" t="s">
        <v>3547</v>
      </c>
      <c r="D4466" s="2" t="s">
        <v>3548</v>
      </c>
      <c r="E4466" t="s">
        <v>3549</v>
      </c>
      <c r="F4466" t="s">
        <v>377</v>
      </c>
      <c r="G4466" t="s">
        <v>21</v>
      </c>
      <c r="H4466" t="s">
        <v>378</v>
      </c>
      <c r="I4466" t="s">
        <v>23</v>
      </c>
      <c r="J4466" t="s">
        <v>379</v>
      </c>
      <c r="K4466" s="2" t="s">
        <v>3074</v>
      </c>
      <c r="L4466" t="s">
        <v>26</v>
      </c>
      <c r="M4466">
        <v>344459</v>
      </c>
      <c r="N4466">
        <v>1</v>
      </c>
      <c r="O4466" s="3">
        <v>5950</v>
      </c>
      <c r="P4466" s="3">
        <v>3184</v>
      </c>
      <c r="Q4466" s="5">
        <f t="shared" si="207"/>
        <v>5000</v>
      </c>
      <c r="R4466" s="5">
        <f t="shared" si="208"/>
        <v>3184</v>
      </c>
      <c r="S4466" s="5">
        <f t="shared" si="209"/>
        <v>1816</v>
      </c>
    </row>
    <row r="4467" spans="1:19" hidden="1" x14ac:dyDescent="0.3">
      <c r="A4467">
        <v>180</v>
      </c>
      <c r="B4467" t="s">
        <v>5549</v>
      </c>
      <c r="C4467" t="s">
        <v>5720</v>
      </c>
      <c r="D4467" s="2" t="s">
        <v>5721</v>
      </c>
      <c r="E4467" t="s">
        <v>3786</v>
      </c>
      <c r="F4467" t="s">
        <v>20</v>
      </c>
      <c r="G4467" t="s">
        <v>21</v>
      </c>
      <c r="H4467" t="s">
        <v>1405</v>
      </c>
      <c r="I4467" t="s">
        <v>23</v>
      </c>
      <c r="J4467" t="s">
        <v>40</v>
      </c>
      <c r="K4467" s="2" t="s">
        <v>3074</v>
      </c>
      <c r="L4467" t="s">
        <v>26</v>
      </c>
      <c r="M4467">
        <v>344460</v>
      </c>
      <c r="N4467">
        <v>1</v>
      </c>
      <c r="O4467" s="3">
        <v>49950</v>
      </c>
      <c r="P4467" s="3">
        <v>13302</v>
      </c>
      <c r="Q4467" s="5">
        <f t="shared" si="207"/>
        <v>41974.789915966387</v>
      </c>
      <c r="R4467" s="5">
        <f t="shared" si="208"/>
        <v>13302</v>
      </c>
      <c r="S4467" s="5">
        <f t="shared" si="209"/>
        <v>28672.789915966387</v>
      </c>
    </row>
    <row r="4468" spans="1:19" hidden="1" x14ac:dyDescent="0.3">
      <c r="A4468">
        <v>180</v>
      </c>
      <c r="B4468" t="s">
        <v>5549</v>
      </c>
      <c r="C4468" t="s">
        <v>5722</v>
      </c>
      <c r="D4468" s="2" t="s">
        <v>5723</v>
      </c>
      <c r="E4468" t="s">
        <v>4088</v>
      </c>
      <c r="F4468" t="s">
        <v>20</v>
      </c>
      <c r="G4468" t="s">
        <v>21</v>
      </c>
      <c r="H4468" t="s">
        <v>3272</v>
      </c>
      <c r="I4468" t="s">
        <v>23</v>
      </c>
      <c r="J4468" t="s">
        <v>40</v>
      </c>
      <c r="K4468" s="2" t="s">
        <v>3074</v>
      </c>
      <c r="L4468" t="s">
        <v>26</v>
      </c>
      <c r="M4468">
        <v>344460</v>
      </c>
      <c r="N4468">
        <v>1</v>
      </c>
      <c r="O4468" s="3">
        <v>59950</v>
      </c>
      <c r="P4468" s="3">
        <v>23104</v>
      </c>
      <c r="Q4468" s="5">
        <f t="shared" si="207"/>
        <v>50378.151260504201</v>
      </c>
      <c r="R4468" s="5">
        <f t="shared" si="208"/>
        <v>23104</v>
      </c>
      <c r="S4468" s="5">
        <f t="shared" si="209"/>
        <v>27274.151260504201</v>
      </c>
    </row>
    <row r="4469" spans="1:19" hidden="1" x14ac:dyDescent="0.3">
      <c r="A4469">
        <v>180</v>
      </c>
      <c r="B4469" t="s">
        <v>5549</v>
      </c>
      <c r="C4469" t="s">
        <v>2049</v>
      </c>
      <c r="D4469" s="2" t="s">
        <v>2050</v>
      </c>
      <c r="E4469" t="s">
        <v>1913</v>
      </c>
      <c r="F4469" t="s">
        <v>20</v>
      </c>
      <c r="G4469" t="s">
        <v>21</v>
      </c>
      <c r="H4469" t="s">
        <v>1914</v>
      </c>
      <c r="I4469" t="s">
        <v>23</v>
      </c>
      <c r="J4469" t="s">
        <v>35</v>
      </c>
      <c r="K4469" s="2" t="s">
        <v>3074</v>
      </c>
      <c r="L4469" t="s">
        <v>26</v>
      </c>
      <c r="M4469">
        <v>344461</v>
      </c>
      <c r="N4469">
        <v>1</v>
      </c>
      <c r="O4469" s="3">
        <v>89950</v>
      </c>
      <c r="P4469" s="3">
        <v>28298</v>
      </c>
      <c r="Q4469" s="5">
        <f t="shared" si="207"/>
        <v>75588.23529411765</v>
      </c>
      <c r="R4469" s="5">
        <f t="shared" si="208"/>
        <v>28298</v>
      </c>
      <c r="S4469" s="5">
        <f t="shared" si="209"/>
        <v>47290.23529411765</v>
      </c>
    </row>
    <row r="4470" spans="1:19" hidden="1" x14ac:dyDescent="0.3">
      <c r="A4470">
        <v>180</v>
      </c>
      <c r="B4470" t="s">
        <v>5549</v>
      </c>
      <c r="C4470" t="s">
        <v>2948</v>
      </c>
      <c r="D4470" s="2" t="s">
        <v>2949</v>
      </c>
      <c r="E4470" t="s">
        <v>2226</v>
      </c>
      <c r="F4470" t="s">
        <v>20</v>
      </c>
      <c r="G4470" t="s">
        <v>21</v>
      </c>
      <c r="H4470" t="s">
        <v>53</v>
      </c>
      <c r="I4470" t="s">
        <v>23</v>
      </c>
      <c r="J4470" t="s">
        <v>49</v>
      </c>
      <c r="K4470" s="2" t="s">
        <v>3074</v>
      </c>
      <c r="L4470" t="s">
        <v>26</v>
      </c>
      <c r="M4470">
        <v>344462</v>
      </c>
      <c r="N4470">
        <v>1</v>
      </c>
      <c r="O4470" s="3">
        <v>69950</v>
      </c>
      <c r="P4470" s="3">
        <v>21044</v>
      </c>
      <c r="Q4470" s="5">
        <f t="shared" si="207"/>
        <v>58781.512605042022</v>
      </c>
      <c r="R4470" s="5">
        <f t="shared" si="208"/>
        <v>21044</v>
      </c>
      <c r="S4470" s="5">
        <f t="shared" si="209"/>
        <v>37737.512605042022</v>
      </c>
    </row>
    <row r="4471" spans="1:19" hidden="1" x14ac:dyDescent="0.3">
      <c r="A4471">
        <v>180</v>
      </c>
      <c r="B4471" t="s">
        <v>5549</v>
      </c>
      <c r="C4471" t="s">
        <v>3603</v>
      </c>
      <c r="D4471" s="2" t="s">
        <v>3604</v>
      </c>
      <c r="E4471" t="s">
        <v>428</v>
      </c>
      <c r="F4471" t="s">
        <v>20</v>
      </c>
      <c r="G4471" t="s">
        <v>21</v>
      </c>
      <c r="H4471" t="s">
        <v>429</v>
      </c>
      <c r="I4471" t="s">
        <v>23</v>
      </c>
      <c r="J4471" t="s">
        <v>49</v>
      </c>
      <c r="K4471" s="2" t="s">
        <v>3074</v>
      </c>
      <c r="L4471" t="s">
        <v>26</v>
      </c>
      <c r="M4471">
        <v>344463</v>
      </c>
      <c r="N4471">
        <v>1</v>
      </c>
      <c r="O4471" s="3">
        <v>59990</v>
      </c>
      <c r="P4471" s="3">
        <v>28718</v>
      </c>
      <c r="Q4471" s="5">
        <f t="shared" si="207"/>
        <v>50411.764705882357</v>
      </c>
      <c r="R4471" s="5">
        <f t="shared" si="208"/>
        <v>28718</v>
      </c>
      <c r="S4471" s="5">
        <f t="shared" si="209"/>
        <v>21693.764705882357</v>
      </c>
    </row>
    <row r="4472" spans="1:19" hidden="1" x14ac:dyDescent="0.3">
      <c r="A4472">
        <v>180</v>
      </c>
      <c r="B4472" t="s">
        <v>5549</v>
      </c>
      <c r="C4472" t="s">
        <v>1037</v>
      </c>
      <c r="D4472" s="2" t="s">
        <v>1038</v>
      </c>
      <c r="E4472" t="s">
        <v>1039</v>
      </c>
      <c r="F4472" t="s">
        <v>377</v>
      </c>
      <c r="G4472" t="s">
        <v>21</v>
      </c>
      <c r="H4472" t="s">
        <v>378</v>
      </c>
      <c r="I4472" t="s">
        <v>23</v>
      </c>
      <c r="J4472" t="s">
        <v>379</v>
      </c>
      <c r="K4472" s="2" t="s">
        <v>3074</v>
      </c>
      <c r="L4472" t="s">
        <v>26</v>
      </c>
      <c r="M4472">
        <v>344463</v>
      </c>
      <c r="N4472">
        <v>1</v>
      </c>
      <c r="O4472" s="3">
        <v>5950</v>
      </c>
      <c r="P4472" s="3">
        <v>3257</v>
      </c>
      <c r="Q4472" s="5">
        <f t="shared" si="207"/>
        <v>5000</v>
      </c>
      <c r="R4472" s="5">
        <f t="shared" si="208"/>
        <v>3257</v>
      </c>
      <c r="S4472" s="5">
        <f t="shared" si="209"/>
        <v>1743</v>
      </c>
    </row>
    <row r="4473" spans="1:19" hidden="1" x14ac:dyDescent="0.3">
      <c r="A4473">
        <v>180</v>
      </c>
      <c r="B4473" t="s">
        <v>5549</v>
      </c>
      <c r="C4473" t="s">
        <v>5640</v>
      </c>
      <c r="D4473" s="2" t="s">
        <v>5641</v>
      </c>
      <c r="E4473" t="s">
        <v>5642</v>
      </c>
      <c r="F4473" t="s">
        <v>20</v>
      </c>
      <c r="G4473" t="s">
        <v>21</v>
      </c>
      <c r="H4473" t="s">
        <v>2189</v>
      </c>
      <c r="I4473" t="s">
        <v>23</v>
      </c>
      <c r="J4473" t="s">
        <v>40</v>
      </c>
      <c r="K4473" s="2" t="s">
        <v>3074</v>
      </c>
      <c r="L4473" t="s">
        <v>26</v>
      </c>
      <c r="M4473">
        <v>344464</v>
      </c>
      <c r="N4473">
        <v>1</v>
      </c>
      <c r="O4473" s="3">
        <v>64950</v>
      </c>
      <c r="P4473" s="3">
        <v>20803</v>
      </c>
      <c r="Q4473" s="5">
        <f t="shared" si="207"/>
        <v>54579.831932773115</v>
      </c>
      <c r="R4473" s="5">
        <f t="shared" si="208"/>
        <v>20803</v>
      </c>
      <c r="S4473" s="5">
        <f t="shared" si="209"/>
        <v>33776.831932773115</v>
      </c>
    </row>
    <row r="4474" spans="1:19" hidden="1" x14ac:dyDescent="0.3">
      <c r="A4474">
        <v>180</v>
      </c>
      <c r="B4474" t="s">
        <v>5549</v>
      </c>
      <c r="C4474" t="s">
        <v>3484</v>
      </c>
      <c r="D4474" s="2" t="s">
        <v>3485</v>
      </c>
      <c r="E4474" t="s">
        <v>3486</v>
      </c>
      <c r="F4474" t="s">
        <v>20</v>
      </c>
      <c r="G4474" t="s">
        <v>21</v>
      </c>
      <c r="H4474" t="s">
        <v>247</v>
      </c>
      <c r="I4474" t="s">
        <v>23</v>
      </c>
      <c r="J4474" t="s">
        <v>40</v>
      </c>
      <c r="K4474" s="2" t="s">
        <v>3074</v>
      </c>
      <c r="L4474" t="s">
        <v>26</v>
      </c>
      <c r="M4474">
        <v>344465</v>
      </c>
      <c r="N4474">
        <v>1</v>
      </c>
      <c r="O4474" s="3">
        <v>59950</v>
      </c>
      <c r="P4474" s="3">
        <v>16103</v>
      </c>
      <c r="Q4474" s="5">
        <f t="shared" si="207"/>
        <v>50378.151260504201</v>
      </c>
      <c r="R4474" s="5">
        <f t="shared" si="208"/>
        <v>16103</v>
      </c>
      <c r="S4474" s="5">
        <f t="shared" si="209"/>
        <v>34275.151260504201</v>
      </c>
    </row>
    <row r="4475" spans="1:19" hidden="1" x14ac:dyDescent="0.3">
      <c r="A4475">
        <v>180</v>
      </c>
      <c r="B4475" t="s">
        <v>5549</v>
      </c>
      <c r="C4475" t="s">
        <v>3023</v>
      </c>
      <c r="D4475" s="2" t="s">
        <v>3024</v>
      </c>
      <c r="E4475" t="s">
        <v>938</v>
      </c>
      <c r="F4475" t="s">
        <v>20</v>
      </c>
      <c r="G4475" t="s">
        <v>21</v>
      </c>
      <c r="H4475" t="s">
        <v>317</v>
      </c>
      <c r="I4475" t="s">
        <v>23</v>
      </c>
      <c r="J4475" t="s">
        <v>35</v>
      </c>
      <c r="K4475" s="2" t="s">
        <v>3074</v>
      </c>
      <c r="L4475" t="s">
        <v>26</v>
      </c>
      <c r="M4475">
        <v>344465</v>
      </c>
      <c r="N4475">
        <v>1</v>
      </c>
      <c r="O4475" s="3">
        <v>69950</v>
      </c>
      <c r="P4475" s="3">
        <v>26455</v>
      </c>
      <c r="Q4475" s="5">
        <f t="shared" si="207"/>
        <v>58781.512605042022</v>
      </c>
      <c r="R4475" s="5">
        <f t="shared" si="208"/>
        <v>26455</v>
      </c>
      <c r="S4475" s="5">
        <f t="shared" si="209"/>
        <v>32326.512605042022</v>
      </c>
    </row>
    <row r="4476" spans="1:19" hidden="1" x14ac:dyDescent="0.3">
      <c r="A4476">
        <v>180</v>
      </c>
      <c r="B4476" t="s">
        <v>5549</v>
      </c>
      <c r="C4476" t="s">
        <v>5724</v>
      </c>
      <c r="D4476" s="2" t="s">
        <v>5725</v>
      </c>
      <c r="E4476" t="s">
        <v>3226</v>
      </c>
      <c r="F4476" t="s">
        <v>20</v>
      </c>
      <c r="G4476" t="s">
        <v>21</v>
      </c>
      <c r="H4476" t="s">
        <v>557</v>
      </c>
      <c r="I4476" t="s">
        <v>23</v>
      </c>
      <c r="J4476" t="s">
        <v>40</v>
      </c>
      <c r="K4476" s="2" t="s">
        <v>3074</v>
      </c>
      <c r="L4476" t="s">
        <v>26</v>
      </c>
      <c r="M4476">
        <v>344466</v>
      </c>
      <c r="N4476">
        <v>1</v>
      </c>
      <c r="O4476" s="3">
        <v>69990</v>
      </c>
      <c r="P4476" s="3">
        <v>26809</v>
      </c>
      <c r="Q4476" s="5">
        <f t="shared" si="207"/>
        <v>58815.126050420171</v>
      </c>
      <c r="R4476" s="5">
        <f t="shared" si="208"/>
        <v>26809</v>
      </c>
      <c r="S4476" s="5">
        <f t="shared" si="209"/>
        <v>32006.126050420171</v>
      </c>
    </row>
    <row r="4477" spans="1:19" hidden="1" x14ac:dyDescent="0.3">
      <c r="A4477">
        <v>180</v>
      </c>
      <c r="B4477" t="s">
        <v>5549</v>
      </c>
      <c r="C4477" t="s">
        <v>5726</v>
      </c>
      <c r="D4477" s="2" t="s">
        <v>5727</v>
      </c>
      <c r="E4477" t="s">
        <v>2262</v>
      </c>
      <c r="F4477" t="s">
        <v>20</v>
      </c>
      <c r="G4477" t="s">
        <v>21</v>
      </c>
      <c r="H4477" t="s">
        <v>565</v>
      </c>
      <c r="I4477" t="s">
        <v>23</v>
      </c>
      <c r="J4477" t="s">
        <v>49</v>
      </c>
      <c r="K4477" s="2" t="s">
        <v>3074</v>
      </c>
      <c r="L4477" t="s">
        <v>26</v>
      </c>
      <c r="M4477">
        <v>344467</v>
      </c>
      <c r="N4477">
        <v>1</v>
      </c>
      <c r="O4477" s="3">
        <v>69950</v>
      </c>
      <c r="P4477" s="3">
        <v>23972</v>
      </c>
      <c r="Q4477" s="5">
        <f t="shared" si="207"/>
        <v>58781.512605042022</v>
      </c>
      <c r="R4477" s="5">
        <f t="shared" si="208"/>
        <v>23972</v>
      </c>
      <c r="S4477" s="5">
        <f t="shared" si="209"/>
        <v>34809.512605042022</v>
      </c>
    </row>
    <row r="4478" spans="1:19" hidden="1" x14ac:dyDescent="0.3">
      <c r="A4478">
        <v>180</v>
      </c>
      <c r="B4478" t="s">
        <v>5549</v>
      </c>
      <c r="C4478" t="s">
        <v>1761</v>
      </c>
      <c r="D4478" s="2" t="s">
        <v>1762</v>
      </c>
      <c r="E4478" t="s">
        <v>1763</v>
      </c>
      <c r="F4478" t="s">
        <v>377</v>
      </c>
      <c r="G4478" t="s">
        <v>21</v>
      </c>
      <c r="H4478" t="s">
        <v>378</v>
      </c>
      <c r="I4478" t="s">
        <v>23</v>
      </c>
      <c r="J4478" t="s">
        <v>379</v>
      </c>
      <c r="K4478" s="2" t="s">
        <v>3074</v>
      </c>
      <c r="L4478" t="s">
        <v>26</v>
      </c>
      <c r="M4478">
        <v>344467</v>
      </c>
      <c r="N4478">
        <v>1</v>
      </c>
      <c r="O4478" s="3">
        <v>5950</v>
      </c>
      <c r="P4478" s="3">
        <v>3279</v>
      </c>
      <c r="Q4478" s="5">
        <f t="shared" si="207"/>
        <v>5000</v>
      </c>
      <c r="R4478" s="5">
        <f t="shared" si="208"/>
        <v>3279</v>
      </c>
      <c r="S4478" s="5">
        <f t="shared" si="209"/>
        <v>1721</v>
      </c>
    </row>
    <row r="4479" spans="1:19" hidden="1" x14ac:dyDescent="0.3">
      <c r="A4479">
        <v>180</v>
      </c>
      <c r="B4479" t="s">
        <v>5549</v>
      </c>
      <c r="C4479" t="s">
        <v>5640</v>
      </c>
      <c r="D4479" s="2" t="s">
        <v>5641</v>
      </c>
      <c r="E4479" t="s">
        <v>5642</v>
      </c>
      <c r="F4479" t="s">
        <v>20</v>
      </c>
      <c r="G4479" t="s">
        <v>21</v>
      </c>
      <c r="H4479" t="s">
        <v>2189</v>
      </c>
      <c r="I4479" t="s">
        <v>23</v>
      </c>
      <c r="J4479" t="s">
        <v>40</v>
      </c>
      <c r="K4479" s="2" t="s">
        <v>3074</v>
      </c>
      <c r="L4479" t="s">
        <v>26</v>
      </c>
      <c r="M4479">
        <v>344468</v>
      </c>
      <c r="N4479">
        <v>1</v>
      </c>
      <c r="O4479" s="3">
        <v>64950</v>
      </c>
      <c r="P4479" s="3">
        <v>20803</v>
      </c>
      <c r="Q4479" s="5">
        <f t="shared" si="207"/>
        <v>54579.831932773115</v>
      </c>
      <c r="R4479" s="5">
        <f t="shared" si="208"/>
        <v>20803</v>
      </c>
      <c r="S4479" s="5">
        <f t="shared" si="209"/>
        <v>33776.831932773115</v>
      </c>
    </row>
    <row r="4480" spans="1:19" hidden="1" x14ac:dyDescent="0.3">
      <c r="A4480">
        <v>180</v>
      </c>
      <c r="B4480" t="s">
        <v>5549</v>
      </c>
      <c r="C4480" t="s">
        <v>374</v>
      </c>
      <c r="D4480" s="2" t="s">
        <v>375</v>
      </c>
      <c r="E4480" t="s">
        <v>376</v>
      </c>
      <c r="F4480" t="s">
        <v>377</v>
      </c>
      <c r="G4480" t="s">
        <v>21</v>
      </c>
      <c r="H4480" t="s">
        <v>378</v>
      </c>
      <c r="I4480" t="s">
        <v>23</v>
      </c>
      <c r="J4480" t="s">
        <v>379</v>
      </c>
      <c r="K4480" s="2" t="s">
        <v>1569</v>
      </c>
      <c r="L4480" t="s">
        <v>26</v>
      </c>
      <c r="M4480">
        <v>344469</v>
      </c>
      <c r="N4480">
        <v>1</v>
      </c>
      <c r="O4480" s="3">
        <v>2960</v>
      </c>
      <c r="P4480" s="3">
        <v>1041</v>
      </c>
      <c r="Q4480" s="5">
        <f t="shared" si="207"/>
        <v>2487.3949579831933</v>
      </c>
      <c r="R4480" s="5">
        <f t="shared" si="208"/>
        <v>1041</v>
      </c>
      <c r="S4480" s="5">
        <f t="shared" si="209"/>
        <v>1446.3949579831933</v>
      </c>
    </row>
    <row r="4481" spans="1:19" hidden="1" x14ac:dyDescent="0.3">
      <c r="A4481">
        <v>180</v>
      </c>
      <c r="B4481" t="s">
        <v>5549</v>
      </c>
      <c r="C4481" t="s">
        <v>2365</v>
      </c>
      <c r="D4481" s="2" t="s">
        <v>2366</v>
      </c>
      <c r="E4481" t="s">
        <v>2367</v>
      </c>
      <c r="F4481" t="s">
        <v>377</v>
      </c>
      <c r="G4481" t="s">
        <v>21</v>
      </c>
      <c r="H4481" t="s">
        <v>378</v>
      </c>
      <c r="I4481" t="s">
        <v>23</v>
      </c>
      <c r="J4481" t="s">
        <v>379</v>
      </c>
      <c r="K4481" s="2" t="s">
        <v>1569</v>
      </c>
      <c r="L4481" t="s">
        <v>26</v>
      </c>
      <c r="M4481">
        <v>344469</v>
      </c>
      <c r="N4481">
        <v>1</v>
      </c>
      <c r="O4481" s="3">
        <v>5210</v>
      </c>
      <c r="P4481" s="3">
        <v>3759</v>
      </c>
      <c r="Q4481" s="5">
        <f t="shared" si="207"/>
        <v>4378.1512605042017</v>
      </c>
      <c r="R4481" s="5">
        <f t="shared" si="208"/>
        <v>3759</v>
      </c>
      <c r="S4481" s="5">
        <f t="shared" si="209"/>
        <v>619.15126050420167</v>
      </c>
    </row>
    <row r="4482" spans="1:19" hidden="1" x14ac:dyDescent="0.3">
      <c r="A4482">
        <v>180</v>
      </c>
      <c r="B4482" t="s">
        <v>5549</v>
      </c>
      <c r="C4482" t="s">
        <v>5728</v>
      </c>
      <c r="D4482" s="2" t="s">
        <v>5729</v>
      </c>
      <c r="E4482" t="s">
        <v>4771</v>
      </c>
      <c r="F4482" t="s">
        <v>20</v>
      </c>
      <c r="G4482" t="s">
        <v>338</v>
      </c>
      <c r="H4482">
        <v>85200</v>
      </c>
      <c r="I4482" t="s">
        <v>23</v>
      </c>
      <c r="J4482" t="s">
        <v>35</v>
      </c>
      <c r="K4482" s="2" t="s">
        <v>1569</v>
      </c>
      <c r="L4482" t="s">
        <v>26</v>
      </c>
      <c r="M4482">
        <v>344470</v>
      </c>
      <c r="N4482">
        <v>1</v>
      </c>
      <c r="O4482" s="3">
        <v>89950</v>
      </c>
      <c r="P4482" s="3">
        <v>27253</v>
      </c>
      <c r="Q4482" s="5">
        <f t="shared" si="207"/>
        <v>75588.23529411765</v>
      </c>
      <c r="R4482" s="5">
        <f t="shared" si="208"/>
        <v>27253</v>
      </c>
      <c r="S4482" s="5">
        <f t="shared" si="209"/>
        <v>48335.23529411765</v>
      </c>
    </row>
    <row r="4483" spans="1:19" hidden="1" x14ac:dyDescent="0.3">
      <c r="A4483">
        <v>180</v>
      </c>
      <c r="B4483" t="s">
        <v>5549</v>
      </c>
      <c r="C4483" t="s">
        <v>4762</v>
      </c>
      <c r="D4483" s="2" t="s">
        <v>4763</v>
      </c>
      <c r="E4483" t="s">
        <v>1330</v>
      </c>
      <c r="F4483" t="s">
        <v>20</v>
      </c>
      <c r="G4483" t="s">
        <v>338</v>
      </c>
      <c r="H4483">
        <v>25133</v>
      </c>
      <c r="I4483" t="s">
        <v>23</v>
      </c>
      <c r="J4483" t="s">
        <v>35</v>
      </c>
      <c r="K4483" s="2" t="s">
        <v>1569</v>
      </c>
      <c r="L4483" t="s">
        <v>26</v>
      </c>
      <c r="M4483">
        <v>344471</v>
      </c>
      <c r="N4483">
        <v>1</v>
      </c>
      <c r="O4483" s="3">
        <v>74950</v>
      </c>
      <c r="P4483" s="3">
        <v>21167</v>
      </c>
      <c r="Q4483" s="5">
        <f t="shared" si="207"/>
        <v>62983.193277310929</v>
      </c>
      <c r="R4483" s="5">
        <f t="shared" si="208"/>
        <v>21167</v>
      </c>
      <c r="S4483" s="5">
        <f t="shared" si="209"/>
        <v>41816.193277310929</v>
      </c>
    </row>
    <row r="4484" spans="1:19" hidden="1" x14ac:dyDescent="0.3">
      <c r="A4484">
        <v>180</v>
      </c>
      <c r="B4484" t="s">
        <v>5549</v>
      </c>
      <c r="C4484" t="s">
        <v>4107</v>
      </c>
      <c r="D4484" s="2" t="s">
        <v>4108</v>
      </c>
      <c r="E4484" t="s">
        <v>4109</v>
      </c>
      <c r="F4484" t="s">
        <v>20</v>
      </c>
      <c r="G4484" t="s">
        <v>21</v>
      </c>
      <c r="H4484" t="s">
        <v>818</v>
      </c>
      <c r="I4484" t="s">
        <v>23</v>
      </c>
      <c r="J4484" t="s">
        <v>35</v>
      </c>
      <c r="K4484" s="2" t="s">
        <v>1569</v>
      </c>
      <c r="L4484" t="s">
        <v>26</v>
      </c>
      <c r="M4484">
        <v>344472</v>
      </c>
      <c r="N4484">
        <v>1</v>
      </c>
      <c r="O4484" s="3">
        <v>89950</v>
      </c>
      <c r="P4484" s="3">
        <v>32839</v>
      </c>
      <c r="Q4484" s="5">
        <f t="shared" si="207"/>
        <v>75588.23529411765</v>
      </c>
      <c r="R4484" s="5">
        <f t="shared" si="208"/>
        <v>32839</v>
      </c>
      <c r="S4484" s="5">
        <f t="shared" si="209"/>
        <v>42749.23529411765</v>
      </c>
    </row>
    <row r="4485" spans="1:19" hidden="1" x14ac:dyDescent="0.3">
      <c r="A4485">
        <v>180</v>
      </c>
      <c r="B4485" t="s">
        <v>5549</v>
      </c>
      <c r="C4485" t="s">
        <v>5328</v>
      </c>
      <c r="D4485" s="2" t="s">
        <v>5329</v>
      </c>
      <c r="E4485" t="s">
        <v>2959</v>
      </c>
      <c r="F4485" t="s">
        <v>20</v>
      </c>
      <c r="G4485" t="s">
        <v>338</v>
      </c>
      <c r="H4485">
        <v>25529</v>
      </c>
      <c r="I4485" t="s">
        <v>23</v>
      </c>
      <c r="J4485" t="s">
        <v>31</v>
      </c>
      <c r="K4485" s="2" t="s">
        <v>1569</v>
      </c>
      <c r="L4485" t="s">
        <v>26</v>
      </c>
      <c r="M4485">
        <v>344473</v>
      </c>
      <c r="N4485">
        <v>1</v>
      </c>
      <c r="O4485" s="3">
        <v>149950</v>
      </c>
      <c r="P4485" s="3">
        <v>50690</v>
      </c>
      <c r="Q4485" s="5">
        <f t="shared" si="207"/>
        <v>126008.40336134455</v>
      </c>
      <c r="R4485" s="5">
        <f t="shared" si="208"/>
        <v>50690</v>
      </c>
      <c r="S4485" s="5">
        <f t="shared" si="209"/>
        <v>75318.40336134455</v>
      </c>
    </row>
    <row r="4486" spans="1:19" hidden="1" x14ac:dyDescent="0.3">
      <c r="A4486">
        <v>180</v>
      </c>
      <c r="B4486" t="s">
        <v>5549</v>
      </c>
      <c r="C4486" t="s">
        <v>2525</v>
      </c>
      <c r="D4486" s="2" t="s">
        <v>2526</v>
      </c>
      <c r="E4486" t="s">
        <v>2527</v>
      </c>
      <c r="F4486" t="s">
        <v>377</v>
      </c>
      <c r="G4486" t="s">
        <v>21</v>
      </c>
      <c r="H4486" t="s">
        <v>378</v>
      </c>
      <c r="I4486" t="s">
        <v>23</v>
      </c>
      <c r="J4486" t="s">
        <v>2459</v>
      </c>
      <c r="K4486" s="2" t="s">
        <v>1569</v>
      </c>
      <c r="L4486" t="s">
        <v>26</v>
      </c>
      <c r="M4486">
        <v>344473</v>
      </c>
      <c r="N4486">
        <v>1</v>
      </c>
      <c r="O4486" s="3">
        <v>6950</v>
      </c>
      <c r="P4486" s="3">
        <v>2964</v>
      </c>
      <c r="Q4486" s="5">
        <f t="shared" ref="Q4486:Q4549" si="210">O4486/1.19</f>
        <v>5840.3361344537816</v>
      </c>
      <c r="R4486" s="5">
        <f t="shared" ref="R4486:R4549" si="211">N4486*P4486</f>
        <v>2964</v>
      </c>
      <c r="S4486" s="5">
        <f t="shared" ref="S4486:S4549" si="212">Q4486-R4486</f>
        <v>2876.3361344537816</v>
      </c>
    </row>
    <row r="4487" spans="1:19" hidden="1" x14ac:dyDescent="0.3">
      <c r="A4487">
        <v>180</v>
      </c>
      <c r="B4487" t="s">
        <v>5549</v>
      </c>
      <c r="C4487" t="s">
        <v>2288</v>
      </c>
      <c r="D4487" s="2" t="s">
        <v>2289</v>
      </c>
      <c r="E4487" t="s">
        <v>2188</v>
      </c>
      <c r="F4487" t="s">
        <v>20</v>
      </c>
      <c r="G4487" t="s">
        <v>21</v>
      </c>
      <c r="H4487" t="s">
        <v>2189</v>
      </c>
      <c r="I4487" t="s">
        <v>23</v>
      </c>
      <c r="J4487" t="s">
        <v>40</v>
      </c>
      <c r="K4487" s="2" t="s">
        <v>1569</v>
      </c>
      <c r="L4487" t="s">
        <v>26</v>
      </c>
      <c r="M4487">
        <v>344474</v>
      </c>
      <c r="N4487">
        <v>1</v>
      </c>
      <c r="O4487" s="3">
        <v>74950</v>
      </c>
      <c r="P4487" s="3">
        <v>27725</v>
      </c>
      <c r="Q4487" s="5">
        <f t="shared" si="210"/>
        <v>62983.193277310929</v>
      </c>
      <c r="R4487" s="5">
        <f t="shared" si="211"/>
        <v>27725</v>
      </c>
      <c r="S4487" s="5">
        <f t="shared" si="212"/>
        <v>35258.193277310929</v>
      </c>
    </row>
    <row r="4488" spans="1:19" hidden="1" x14ac:dyDescent="0.3">
      <c r="A4488">
        <v>180</v>
      </c>
      <c r="B4488" t="s">
        <v>5549</v>
      </c>
      <c r="C4488" t="s">
        <v>3049</v>
      </c>
      <c r="D4488" s="2" t="s">
        <v>3050</v>
      </c>
      <c r="E4488" t="s">
        <v>3051</v>
      </c>
      <c r="F4488" t="s">
        <v>20</v>
      </c>
      <c r="G4488" t="s">
        <v>21</v>
      </c>
      <c r="H4488" t="s">
        <v>1440</v>
      </c>
      <c r="I4488" t="s">
        <v>23</v>
      </c>
      <c r="J4488" t="s">
        <v>40</v>
      </c>
      <c r="K4488" s="2" t="s">
        <v>1569</v>
      </c>
      <c r="L4488" t="s">
        <v>26</v>
      </c>
      <c r="M4488">
        <v>344474</v>
      </c>
      <c r="N4488">
        <v>1</v>
      </c>
      <c r="O4488" s="3">
        <v>64950</v>
      </c>
      <c r="P4488" s="3">
        <v>17328</v>
      </c>
      <c r="Q4488" s="5">
        <f t="shared" si="210"/>
        <v>54579.831932773115</v>
      </c>
      <c r="R4488" s="5">
        <f t="shared" si="211"/>
        <v>17328</v>
      </c>
      <c r="S4488" s="5">
        <f t="shared" si="212"/>
        <v>37251.831932773115</v>
      </c>
    </row>
    <row r="4489" spans="1:19" hidden="1" x14ac:dyDescent="0.3">
      <c r="A4489">
        <v>180</v>
      </c>
      <c r="B4489" t="s">
        <v>5549</v>
      </c>
      <c r="C4489">
        <v>1687976791</v>
      </c>
      <c r="D4489" s="2" t="s">
        <v>200</v>
      </c>
      <c r="E4489" t="s">
        <v>201</v>
      </c>
      <c r="F4489" t="s">
        <v>201</v>
      </c>
      <c r="G4489" t="s">
        <v>202</v>
      </c>
      <c r="H4489" t="s">
        <v>202</v>
      </c>
      <c r="I4489" t="s">
        <v>23</v>
      </c>
      <c r="J4489" t="s">
        <v>202</v>
      </c>
      <c r="K4489" s="2" t="s">
        <v>1744</v>
      </c>
      <c r="L4489" t="s">
        <v>26</v>
      </c>
      <c r="M4489">
        <v>344475</v>
      </c>
      <c r="N4489">
        <v>1</v>
      </c>
      <c r="O4489" s="3">
        <v>3400</v>
      </c>
      <c r="P4489">
        <v>1</v>
      </c>
      <c r="Q4489" s="5">
        <f t="shared" si="210"/>
        <v>2857.1428571428573</v>
      </c>
      <c r="R4489" s="5">
        <f t="shared" si="211"/>
        <v>1</v>
      </c>
      <c r="S4489" s="5">
        <f t="shared" si="212"/>
        <v>2856.1428571428573</v>
      </c>
    </row>
    <row r="4490" spans="1:19" hidden="1" x14ac:dyDescent="0.3">
      <c r="A4490">
        <v>180</v>
      </c>
      <c r="B4490" t="s">
        <v>5549</v>
      </c>
      <c r="C4490" t="s">
        <v>5730</v>
      </c>
      <c r="D4490" s="2" t="s">
        <v>5731</v>
      </c>
      <c r="E4490" t="s">
        <v>3175</v>
      </c>
      <c r="F4490" t="s">
        <v>20</v>
      </c>
      <c r="G4490" t="s">
        <v>21</v>
      </c>
      <c r="H4490" t="s">
        <v>625</v>
      </c>
      <c r="I4490" t="s">
        <v>23</v>
      </c>
      <c r="J4490" t="s">
        <v>35</v>
      </c>
      <c r="K4490" s="2" t="s">
        <v>1744</v>
      </c>
      <c r="L4490" t="s">
        <v>26</v>
      </c>
      <c r="M4490">
        <v>344475</v>
      </c>
      <c r="N4490">
        <v>1</v>
      </c>
      <c r="O4490" s="3">
        <v>49990</v>
      </c>
      <c r="P4490" s="3">
        <v>24956</v>
      </c>
      <c r="Q4490" s="5">
        <f t="shared" si="210"/>
        <v>42008.403361344543</v>
      </c>
      <c r="R4490" s="5">
        <f t="shared" si="211"/>
        <v>24956</v>
      </c>
      <c r="S4490" s="5">
        <f t="shared" si="212"/>
        <v>17052.403361344543</v>
      </c>
    </row>
    <row r="4491" spans="1:19" hidden="1" x14ac:dyDescent="0.3">
      <c r="A4491">
        <v>180</v>
      </c>
      <c r="B4491" t="s">
        <v>5549</v>
      </c>
      <c r="C4491" t="s">
        <v>3007</v>
      </c>
      <c r="D4491" s="2" t="s">
        <v>3008</v>
      </c>
      <c r="E4491" t="s">
        <v>2986</v>
      </c>
      <c r="F4491" t="s">
        <v>20</v>
      </c>
      <c r="G4491" t="s">
        <v>21</v>
      </c>
      <c r="H4491" t="s">
        <v>267</v>
      </c>
      <c r="I4491" t="s">
        <v>23</v>
      </c>
      <c r="J4491" t="s">
        <v>35</v>
      </c>
      <c r="K4491" s="2" t="s">
        <v>1744</v>
      </c>
      <c r="L4491" t="s">
        <v>26</v>
      </c>
      <c r="M4491">
        <v>344476</v>
      </c>
      <c r="N4491">
        <v>1</v>
      </c>
      <c r="O4491" s="3">
        <v>59990</v>
      </c>
      <c r="P4491" s="3">
        <v>24733</v>
      </c>
      <c r="Q4491" s="5">
        <f t="shared" si="210"/>
        <v>50411.764705882357</v>
      </c>
      <c r="R4491" s="5">
        <f t="shared" si="211"/>
        <v>24733</v>
      </c>
      <c r="S4491" s="5">
        <f t="shared" si="212"/>
        <v>25678.764705882357</v>
      </c>
    </row>
    <row r="4492" spans="1:19" hidden="1" x14ac:dyDescent="0.3">
      <c r="A4492">
        <v>180</v>
      </c>
      <c r="B4492" t="s">
        <v>5549</v>
      </c>
      <c r="C4492" t="s">
        <v>1520</v>
      </c>
      <c r="D4492" s="2" t="s">
        <v>1521</v>
      </c>
      <c r="E4492" t="s">
        <v>1522</v>
      </c>
      <c r="F4492" t="s">
        <v>20</v>
      </c>
      <c r="G4492" t="s">
        <v>21</v>
      </c>
      <c r="H4492" t="s">
        <v>61</v>
      </c>
      <c r="I4492" t="s">
        <v>23</v>
      </c>
      <c r="J4492" t="s">
        <v>40</v>
      </c>
      <c r="K4492" s="2" t="s">
        <v>1744</v>
      </c>
      <c r="L4492" t="s">
        <v>26</v>
      </c>
      <c r="M4492">
        <v>344477</v>
      </c>
      <c r="N4492">
        <v>-1</v>
      </c>
      <c r="O4492" s="3">
        <v>-49990</v>
      </c>
      <c r="P4492" s="3">
        <v>26042</v>
      </c>
      <c r="Q4492" s="5">
        <f t="shared" si="210"/>
        <v>-42008.403361344543</v>
      </c>
      <c r="R4492" s="5">
        <f t="shared" si="211"/>
        <v>-26042</v>
      </c>
      <c r="S4492" s="5">
        <f t="shared" si="212"/>
        <v>-15966.403361344543</v>
      </c>
    </row>
    <row r="4493" spans="1:19" hidden="1" x14ac:dyDescent="0.3">
      <c r="A4493">
        <v>180</v>
      </c>
      <c r="B4493" t="s">
        <v>5549</v>
      </c>
      <c r="C4493" t="s">
        <v>4137</v>
      </c>
      <c r="D4493" s="2" t="s">
        <v>4138</v>
      </c>
      <c r="E4493" t="s">
        <v>3651</v>
      </c>
      <c r="F4493" t="s">
        <v>20</v>
      </c>
      <c r="G4493" t="s">
        <v>21</v>
      </c>
      <c r="H4493" t="s">
        <v>970</v>
      </c>
      <c r="I4493" t="s">
        <v>23</v>
      </c>
      <c r="J4493" t="s">
        <v>40</v>
      </c>
      <c r="K4493" s="2" t="s">
        <v>1744</v>
      </c>
      <c r="L4493" t="s">
        <v>26</v>
      </c>
      <c r="M4493">
        <v>344477</v>
      </c>
      <c r="N4493">
        <v>1</v>
      </c>
      <c r="O4493" s="3">
        <v>59950</v>
      </c>
      <c r="P4493" s="3">
        <v>18738</v>
      </c>
      <c r="Q4493" s="5">
        <f t="shared" si="210"/>
        <v>50378.151260504201</v>
      </c>
      <c r="R4493" s="5">
        <f t="shared" si="211"/>
        <v>18738</v>
      </c>
      <c r="S4493" s="5">
        <f t="shared" si="212"/>
        <v>31640.151260504201</v>
      </c>
    </row>
    <row r="4494" spans="1:19" hidden="1" x14ac:dyDescent="0.3">
      <c r="A4494">
        <v>180</v>
      </c>
      <c r="B4494" t="s">
        <v>5549</v>
      </c>
      <c r="C4494" t="s">
        <v>3894</v>
      </c>
      <c r="D4494" s="2" t="s">
        <v>3895</v>
      </c>
      <c r="E4494" t="s">
        <v>2476</v>
      </c>
      <c r="F4494" t="s">
        <v>20</v>
      </c>
      <c r="G4494" t="s">
        <v>21</v>
      </c>
      <c r="H4494" t="s">
        <v>114</v>
      </c>
      <c r="I4494" t="s">
        <v>23</v>
      </c>
      <c r="J4494" t="s">
        <v>49</v>
      </c>
      <c r="K4494" s="2" t="s">
        <v>1744</v>
      </c>
      <c r="L4494" t="s">
        <v>26</v>
      </c>
      <c r="M4494">
        <v>344478</v>
      </c>
      <c r="N4494">
        <v>-1</v>
      </c>
      <c r="O4494" s="3">
        <v>-69950</v>
      </c>
      <c r="P4494" s="3">
        <v>22187</v>
      </c>
      <c r="Q4494" s="5">
        <f t="shared" si="210"/>
        <v>-58781.512605042022</v>
      </c>
      <c r="R4494" s="5">
        <f t="shared" si="211"/>
        <v>-22187</v>
      </c>
      <c r="S4494" s="5">
        <f t="shared" si="212"/>
        <v>-36594.512605042022</v>
      </c>
    </row>
    <row r="4495" spans="1:19" hidden="1" x14ac:dyDescent="0.3">
      <c r="A4495">
        <v>180</v>
      </c>
      <c r="B4495" t="s">
        <v>5549</v>
      </c>
      <c r="C4495" t="s">
        <v>3791</v>
      </c>
      <c r="D4495" s="2" t="s">
        <v>3792</v>
      </c>
      <c r="E4495" t="s">
        <v>1453</v>
      </c>
      <c r="F4495" t="s">
        <v>20</v>
      </c>
      <c r="G4495" t="s">
        <v>338</v>
      </c>
      <c r="H4495">
        <v>22410</v>
      </c>
      <c r="I4495" t="s">
        <v>23</v>
      </c>
      <c r="J4495" t="s">
        <v>49</v>
      </c>
      <c r="K4495" s="2" t="s">
        <v>1744</v>
      </c>
      <c r="L4495" t="s">
        <v>26</v>
      </c>
      <c r="M4495">
        <v>344478</v>
      </c>
      <c r="N4495">
        <v>1</v>
      </c>
      <c r="O4495" s="3">
        <v>69951</v>
      </c>
      <c r="P4495" s="3">
        <v>20848</v>
      </c>
      <c r="Q4495" s="5">
        <f t="shared" si="210"/>
        <v>58782.352941176476</v>
      </c>
      <c r="R4495" s="5">
        <f t="shared" si="211"/>
        <v>20848</v>
      </c>
      <c r="S4495" s="5">
        <f t="shared" si="212"/>
        <v>37934.352941176476</v>
      </c>
    </row>
    <row r="4496" spans="1:19" hidden="1" x14ac:dyDescent="0.3">
      <c r="A4496">
        <v>180</v>
      </c>
      <c r="B4496" t="s">
        <v>5549</v>
      </c>
      <c r="C4496" t="s">
        <v>4120</v>
      </c>
      <c r="D4496" s="2" t="s">
        <v>4121</v>
      </c>
      <c r="E4496" t="s">
        <v>1439</v>
      </c>
      <c r="F4496" t="s">
        <v>20</v>
      </c>
      <c r="G4496" t="s">
        <v>21</v>
      </c>
      <c r="H4496" t="s">
        <v>1440</v>
      </c>
      <c r="I4496" t="s">
        <v>23</v>
      </c>
      <c r="J4496" t="s">
        <v>40</v>
      </c>
      <c r="K4496" s="2" t="s">
        <v>1797</v>
      </c>
      <c r="L4496" t="s">
        <v>26</v>
      </c>
      <c r="M4496">
        <v>344479</v>
      </c>
      <c r="N4496">
        <v>1</v>
      </c>
      <c r="O4496" s="3">
        <v>64950</v>
      </c>
      <c r="P4496" s="3">
        <v>17328</v>
      </c>
      <c r="Q4496" s="5">
        <f t="shared" si="210"/>
        <v>54579.831932773115</v>
      </c>
      <c r="R4496" s="5">
        <f t="shared" si="211"/>
        <v>17328</v>
      </c>
      <c r="S4496" s="5">
        <f t="shared" si="212"/>
        <v>37251.831932773115</v>
      </c>
    </row>
    <row r="4497" spans="1:19" hidden="1" x14ac:dyDescent="0.3">
      <c r="A4497">
        <v>180</v>
      </c>
      <c r="B4497" t="s">
        <v>5549</v>
      </c>
      <c r="C4497" t="s">
        <v>5732</v>
      </c>
      <c r="D4497" s="2" t="s">
        <v>5733</v>
      </c>
      <c r="E4497" t="s">
        <v>3051</v>
      </c>
      <c r="F4497" t="s">
        <v>20</v>
      </c>
      <c r="G4497" t="s">
        <v>21</v>
      </c>
      <c r="H4497" t="s">
        <v>1440</v>
      </c>
      <c r="I4497" t="s">
        <v>23</v>
      </c>
      <c r="J4497" t="s">
        <v>40</v>
      </c>
      <c r="K4497" s="2" t="s">
        <v>1797</v>
      </c>
      <c r="L4497" t="s">
        <v>26</v>
      </c>
      <c r="M4497">
        <v>344479</v>
      </c>
      <c r="N4497">
        <v>1</v>
      </c>
      <c r="O4497" s="3">
        <v>64950</v>
      </c>
      <c r="P4497" s="3">
        <v>17328</v>
      </c>
      <c r="Q4497" s="5">
        <f t="shared" si="210"/>
        <v>54579.831932773115</v>
      </c>
      <c r="R4497" s="5">
        <f t="shared" si="211"/>
        <v>17328</v>
      </c>
      <c r="S4497" s="5">
        <f t="shared" si="212"/>
        <v>37251.831932773115</v>
      </c>
    </row>
    <row r="4498" spans="1:19" hidden="1" x14ac:dyDescent="0.3">
      <c r="A4498">
        <v>180</v>
      </c>
      <c r="B4498" t="s">
        <v>5549</v>
      </c>
      <c r="C4498" t="s">
        <v>5069</v>
      </c>
      <c r="D4498" s="2" t="s">
        <v>5070</v>
      </c>
      <c r="E4498" t="s">
        <v>3016</v>
      </c>
      <c r="F4498" t="s">
        <v>20</v>
      </c>
      <c r="G4498" t="s">
        <v>338</v>
      </c>
      <c r="H4498">
        <v>25301</v>
      </c>
      <c r="I4498" t="s">
        <v>23</v>
      </c>
      <c r="J4498" t="s">
        <v>35</v>
      </c>
      <c r="K4498" s="2" t="s">
        <v>1797</v>
      </c>
      <c r="L4498" t="s">
        <v>26</v>
      </c>
      <c r="M4498">
        <v>344479</v>
      </c>
      <c r="N4498">
        <v>1</v>
      </c>
      <c r="O4498" s="3">
        <v>99950</v>
      </c>
      <c r="P4498" s="3">
        <v>34679</v>
      </c>
      <c r="Q4498" s="5">
        <f t="shared" si="210"/>
        <v>83991.596638655465</v>
      </c>
      <c r="R4498" s="5">
        <f t="shared" si="211"/>
        <v>34679</v>
      </c>
      <c r="S4498" s="5">
        <f t="shared" si="212"/>
        <v>49312.596638655465</v>
      </c>
    </row>
    <row r="4499" spans="1:19" hidden="1" x14ac:dyDescent="0.3">
      <c r="A4499">
        <v>180</v>
      </c>
      <c r="B4499" t="s">
        <v>5549</v>
      </c>
      <c r="C4499" t="s">
        <v>2097</v>
      </c>
      <c r="D4499" s="2" t="s">
        <v>2098</v>
      </c>
      <c r="E4499" t="s">
        <v>494</v>
      </c>
      <c r="F4499" t="s">
        <v>20</v>
      </c>
      <c r="G4499" t="s">
        <v>21</v>
      </c>
      <c r="H4499" t="s">
        <v>317</v>
      </c>
      <c r="I4499" t="s">
        <v>23</v>
      </c>
      <c r="J4499" t="s">
        <v>35</v>
      </c>
      <c r="K4499" s="2" t="s">
        <v>1797</v>
      </c>
      <c r="L4499" t="s">
        <v>26</v>
      </c>
      <c r="M4499">
        <v>344480</v>
      </c>
      <c r="N4499">
        <v>1</v>
      </c>
      <c r="O4499" s="3">
        <v>69950</v>
      </c>
      <c r="P4499" s="3">
        <v>23619</v>
      </c>
      <c r="Q4499" s="5">
        <f t="shared" si="210"/>
        <v>58781.512605042022</v>
      </c>
      <c r="R4499" s="5">
        <f t="shared" si="211"/>
        <v>23619</v>
      </c>
      <c r="S4499" s="5">
        <f t="shared" si="212"/>
        <v>35162.512605042022</v>
      </c>
    </row>
    <row r="4500" spans="1:19" hidden="1" x14ac:dyDescent="0.3">
      <c r="A4500">
        <v>180</v>
      </c>
      <c r="B4500" t="s">
        <v>5549</v>
      </c>
      <c r="C4500" t="s">
        <v>3802</v>
      </c>
      <c r="D4500" s="2" t="s">
        <v>3803</v>
      </c>
      <c r="E4500" t="s">
        <v>3804</v>
      </c>
      <c r="F4500" t="s">
        <v>20</v>
      </c>
      <c r="G4500" t="s">
        <v>338</v>
      </c>
      <c r="H4500">
        <v>24200</v>
      </c>
      <c r="I4500" t="s">
        <v>23</v>
      </c>
      <c r="J4500" t="s">
        <v>95</v>
      </c>
      <c r="K4500" s="2" t="s">
        <v>1797</v>
      </c>
      <c r="L4500" t="s">
        <v>26</v>
      </c>
      <c r="M4500">
        <v>344481</v>
      </c>
      <c r="N4500">
        <v>1</v>
      </c>
      <c r="O4500" s="3">
        <v>84950</v>
      </c>
      <c r="P4500" s="3">
        <v>26145</v>
      </c>
      <c r="Q4500" s="5">
        <f t="shared" si="210"/>
        <v>71386.554621848743</v>
      </c>
      <c r="R4500" s="5">
        <f t="shared" si="211"/>
        <v>26145</v>
      </c>
      <c r="S4500" s="5">
        <f t="shared" si="212"/>
        <v>45241.554621848743</v>
      </c>
    </row>
    <row r="4501" spans="1:19" hidden="1" x14ac:dyDescent="0.3">
      <c r="A4501">
        <v>180</v>
      </c>
      <c r="B4501" t="s">
        <v>5549</v>
      </c>
      <c r="C4501" t="s">
        <v>5734</v>
      </c>
      <c r="D4501" s="2" t="s">
        <v>5735</v>
      </c>
      <c r="E4501" t="s">
        <v>1075</v>
      </c>
      <c r="F4501" t="s">
        <v>20</v>
      </c>
      <c r="G4501" t="s">
        <v>338</v>
      </c>
      <c r="H4501">
        <v>25097</v>
      </c>
      <c r="I4501" t="s">
        <v>23</v>
      </c>
      <c r="J4501" t="s">
        <v>24</v>
      </c>
      <c r="K4501" s="2" t="s">
        <v>1797</v>
      </c>
      <c r="L4501" t="s">
        <v>26</v>
      </c>
      <c r="M4501">
        <v>344482</v>
      </c>
      <c r="N4501">
        <v>1</v>
      </c>
      <c r="O4501" s="3">
        <v>59990</v>
      </c>
      <c r="P4501" s="3">
        <v>23242</v>
      </c>
      <c r="Q4501" s="5">
        <f t="shared" si="210"/>
        <v>50411.764705882357</v>
      </c>
      <c r="R4501" s="5">
        <f t="shared" si="211"/>
        <v>23242</v>
      </c>
      <c r="S4501" s="5">
        <f t="shared" si="212"/>
        <v>27169.764705882357</v>
      </c>
    </row>
    <row r="4502" spans="1:19" hidden="1" x14ac:dyDescent="0.3">
      <c r="A4502">
        <v>180</v>
      </c>
      <c r="B4502" t="s">
        <v>5549</v>
      </c>
      <c r="C4502" t="s">
        <v>3009</v>
      </c>
      <c r="D4502" s="2" t="s">
        <v>3010</v>
      </c>
      <c r="E4502" t="s">
        <v>2208</v>
      </c>
      <c r="F4502" t="s">
        <v>20</v>
      </c>
      <c r="G4502" t="s">
        <v>338</v>
      </c>
      <c r="H4502">
        <v>25823</v>
      </c>
      <c r="I4502" t="s">
        <v>23</v>
      </c>
      <c r="J4502" t="s">
        <v>35</v>
      </c>
      <c r="K4502" s="2" t="s">
        <v>1797</v>
      </c>
      <c r="L4502" t="s">
        <v>26</v>
      </c>
      <c r="M4502">
        <v>344483</v>
      </c>
      <c r="N4502">
        <v>1</v>
      </c>
      <c r="O4502" s="3">
        <v>99950</v>
      </c>
      <c r="P4502" s="3">
        <v>33748</v>
      </c>
      <c r="Q4502" s="5">
        <f t="shared" si="210"/>
        <v>83991.596638655465</v>
      </c>
      <c r="R4502" s="5">
        <f t="shared" si="211"/>
        <v>33748</v>
      </c>
      <c r="S4502" s="5">
        <f t="shared" si="212"/>
        <v>50243.596638655465</v>
      </c>
    </row>
    <row r="4503" spans="1:19" hidden="1" x14ac:dyDescent="0.3">
      <c r="A4503">
        <v>180</v>
      </c>
      <c r="B4503" t="s">
        <v>5549</v>
      </c>
      <c r="C4503" t="s">
        <v>4913</v>
      </c>
      <c r="D4503" s="2" t="s">
        <v>4914</v>
      </c>
      <c r="E4503" t="s">
        <v>4915</v>
      </c>
      <c r="F4503" t="s">
        <v>20</v>
      </c>
      <c r="G4503" t="s">
        <v>338</v>
      </c>
      <c r="H4503">
        <v>83716</v>
      </c>
      <c r="I4503" t="s">
        <v>23</v>
      </c>
      <c r="J4503" t="s">
        <v>40</v>
      </c>
      <c r="K4503" s="2" t="s">
        <v>1797</v>
      </c>
      <c r="L4503" t="s">
        <v>26</v>
      </c>
      <c r="M4503">
        <v>344484</v>
      </c>
      <c r="N4503">
        <v>-1</v>
      </c>
      <c r="O4503" s="3">
        <v>-89950</v>
      </c>
      <c r="P4503" s="3">
        <v>30263</v>
      </c>
      <c r="Q4503" s="5">
        <f t="shared" si="210"/>
        <v>-75588.23529411765</v>
      </c>
      <c r="R4503" s="5">
        <f t="shared" si="211"/>
        <v>-30263</v>
      </c>
      <c r="S4503" s="5">
        <f t="shared" si="212"/>
        <v>-45325.23529411765</v>
      </c>
    </row>
    <row r="4504" spans="1:19" hidden="1" x14ac:dyDescent="0.3">
      <c r="A4504">
        <v>180</v>
      </c>
      <c r="B4504" t="s">
        <v>5549</v>
      </c>
      <c r="C4504" t="s">
        <v>3569</v>
      </c>
      <c r="D4504" s="2" t="s">
        <v>3570</v>
      </c>
      <c r="E4504" t="s">
        <v>2616</v>
      </c>
      <c r="F4504" t="s">
        <v>20</v>
      </c>
      <c r="G4504" t="s">
        <v>338</v>
      </c>
      <c r="H4504">
        <v>83717</v>
      </c>
      <c r="I4504" t="s">
        <v>23</v>
      </c>
      <c r="J4504" t="s">
        <v>40</v>
      </c>
      <c r="K4504" s="2" t="s">
        <v>1797</v>
      </c>
      <c r="L4504" t="s">
        <v>26</v>
      </c>
      <c r="M4504">
        <v>344484</v>
      </c>
      <c r="N4504">
        <v>1</v>
      </c>
      <c r="O4504" s="3">
        <v>89951</v>
      </c>
      <c r="P4504" s="3">
        <v>30263</v>
      </c>
      <c r="Q4504" s="5">
        <f t="shared" si="210"/>
        <v>75589.075630252104</v>
      </c>
      <c r="R4504" s="5">
        <f t="shared" si="211"/>
        <v>30263</v>
      </c>
      <c r="S4504" s="5">
        <f t="shared" si="212"/>
        <v>45326.075630252104</v>
      </c>
    </row>
    <row r="4505" spans="1:19" hidden="1" x14ac:dyDescent="0.3">
      <c r="A4505">
        <v>180</v>
      </c>
      <c r="B4505" t="s">
        <v>5549</v>
      </c>
      <c r="C4505" t="s">
        <v>2716</v>
      </c>
      <c r="D4505" s="2" t="s">
        <v>2717</v>
      </c>
      <c r="E4505" t="s">
        <v>2718</v>
      </c>
      <c r="F4505" t="s">
        <v>20</v>
      </c>
      <c r="G4505" t="s">
        <v>21</v>
      </c>
      <c r="H4505" t="s">
        <v>1887</v>
      </c>
      <c r="I4505" t="s">
        <v>23</v>
      </c>
      <c r="J4505" t="s">
        <v>40</v>
      </c>
      <c r="K4505" s="2" t="s">
        <v>1853</v>
      </c>
      <c r="L4505" t="s">
        <v>26</v>
      </c>
      <c r="M4505">
        <v>344485</v>
      </c>
      <c r="N4505">
        <v>1</v>
      </c>
      <c r="O4505" s="3">
        <v>69950</v>
      </c>
      <c r="P4505" s="3">
        <v>22018</v>
      </c>
      <c r="Q4505" s="5">
        <f t="shared" si="210"/>
        <v>58781.512605042022</v>
      </c>
      <c r="R4505" s="5">
        <f t="shared" si="211"/>
        <v>22018</v>
      </c>
      <c r="S4505" s="5">
        <f t="shared" si="212"/>
        <v>36763.512605042022</v>
      </c>
    </row>
    <row r="4506" spans="1:19" hidden="1" x14ac:dyDescent="0.3">
      <c r="A4506">
        <v>180</v>
      </c>
      <c r="B4506" t="s">
        <v>5549</v>
      </c>
      <c r="C4506">
        <v>1687976791</v>
      </c>
      <c r="D4506" s="2" t="s">
        <v>200</v>
      </c>
      <c r="E4506" t="s">
        <v>201</v>
      </c>
      <c r="F4506" t="s">
        <v>201</v>
      </c>
      <c r="G4506" t="s">
        <v>202</v>
      </c>
      <c r="H4506" t="s">
        <v>202</v>
      </c>
      <c r="I4506" t="s">
        <v>23</v>
      </c>
      <c r="J4506" t="s">
        <v>202</v>
      </c>
      <c r="K4506" s="2" t="s">
        <v>1853</v>
      </c>
      <c r="L4506" t="s">
        <v>26</v>
      </c>
      <c r="M4506">
        <v>344485</v>
      </c>
      <c r="N4506">
        <v>1</v>
      </c>
      <c r="O4506" s="3">
        <v>3400</v>
      </c>
      <c r="P4506">
        <v>1</v>
      </c>
      <c r="Q4506" s="5">
        <f t="shared" si="210"/>
        <v>2857.1428571428573</v>
      </c>
      <c r="R4506" s="5">
        <f t="shared" si="211"/>
        <v>1</v>
      </c>
      <c r="S4506" s="5">
        <f t="shared" si="212"/>
        <v>2856.1428571428573</v>
      </c>
    </row>
    <row r="4507" spans="1:19" hidden="1" x14ac:dyDescent="0.3">
      <c r="A4507">
        <v>180</v>
      </c>
      <c r="B4507" t="s">
        <v>5549</v>
      </c>
      <c r="C4507" t="s">
        <v>3333</v>
      </c>
      <c r="D4507" s="2" t="s">
        <v>3334</v>
      </c>
      <c r="E4507" t="s">
        <v>3335</v>
      </c>
      <c r="F4507" t="s">
        <v>20</v>
      </c>
      <c r="G4507" t="s">
        <v>338</v>
      </c>
      <c r="H4507">
        <v>25273</v>
      </c>
      <c r="I4507" t="s">
        <v>23</v>
      </c>
      <c r="J4507" t="s">
        <v>35</v>
      </c>
      <c r="K4507" s="2" t="s">
        <v>1853</v>
      </c>
      <c r="L4507" t="s">
        <v>26</v>
      </c>
      <c r="M4507">
        <v>344486</v>
      </c>
      <c r="N4507">
        <v>1</v>
      </c>
      <c r="O4507" s="3">
        <v>99950</v>
      </c>
      <c r="P4507" s="3">
        <v>32658</v>
      </c>
      <c r="Q4507" s="5">
        <f t="shared" si="210"/>
        <v>83991.596638655465</v>
      </c>
      <c r="R4507" s="5">
        <f t="shared" si="211"/>
        <v>32658</v>
      </c>
      <c r="S4507" s="5">
        <f t="shared" si="212"/>
        <v>51333.596638655465</v>
      </c>
    </row>
    <row r="4508" spans="1:19" hidden="1" x14ac:dyDescent="0.3">
      <c r="A4508">
        <v>180</v>
      </c>
      <c r="B4508" t="s">
        <v>5549</v>
      </c>
      <c r="C4508" t="s">
        <v>5736</v>
      </c>
      <c r="D4508" s="2" t="s">
        <v>5737</v>
      </c>
      <c r="E4508" t="s">
        <v>4736</v>
      </c>
      <c r="F4508" t="s">
        <v>20</v>
      </c>
      <c r="G4508" t="s">
        <v>21</v>
      </c>
      <c r="H4508" t="s">
        <v>1914</v>
      </c>
      <c r="I4508" t="s">
        <v>23</v>
      </c>
      <c r="J4508" t="s">
        <v>49</v>
      </c>
      <c r="K4508" s="2" t="s">
        <v>1853</v>
      </c>
      <c r="L4508" t="s">
        <v>26</v>
      </c>
      <c r="M4508">
        <v>344487</v>
      </c>
      <c r="N4508">
        <v>1</v>
      </c>
      <c r="O4508" s="3">
        <v>74950</v>
      </c>
      <c r="P4508" s="3">
        <v>24728</v>
      </c>
      <c r="Q4508" s="5">
        <f t="shared" si="210"/>
        <v>62983.193277310929</v>
      </c>
      <c r="R4508" s="5">
        <f t="shared" si="211"/>
        <v>24728</v>
      </c>
      <c r="S4508" s="5">
        <f t="shared" si="212"/>
        <v>38255.193277310929</v>
      </c>
    </row>
    <row r="4509" spans="1:19" hidden="1" x14ac:dyDescent="0.3">
      <c r="A4509">
        <v>180</v>
      </c>
      <c r="B4509" t="s">
        <v>5549</v>
      </c>
      <c r="C4509" t="s">
        <v>5738</v>
      </c>
      <c r="D4509" s="2" t="s">
        <v>5739</v>
      </c>
      <c r="E4509" t="s">
        <v>2708</v>
      </c>
      <c r="F4509" t="s">
        <v>20</v>
      </c>
      <c r="G4509" t="s">
        <v>21</v>
      </c>
      <c r="H4509" t="s">
        <v>783</v>
      </c>
      <c r="I4509" t="s">
        <v>23</v>
      </c>
      <c r="J4509" t="s">
        <v>40</v>
      </c>
      <c r="K4509" s="2" t="s">
        <v>1853</v>
      </c>
      <c r="L4509" t="s">
        <v>26</v>
      </c>
      <c r="M4509">
        <v>344488</v>
      </c>
      <c r="N4509">
        <v>1</v>
      </c>
      <c r="O4509" s="3">
        <v>54950</v>
      </c>
      <c r="P4509" s="3">
        <v>19451</v>
      </c>
      <c r="Q4509" s="5">
        <f t="shared" si="210"/>
        <v>46176.470588235294</v>
      </c>
      <c r="R4509" s="5">
        <f t="shared" si="211"/>
        <v>19451</v>
      </c>
      <c r="S4509" s="5">
        <f t="shared" si="212"/>
        <v>26725.470588235294</v>
      </c>
    </row>
    <row r="4510" spans="1:19" hidden="1" x14ac:dyDescent="0.3">
      <c r="A4510">
        <v>180</v>
      </c>
      <c r="B4510" t="s">
        <v>5549</v>
      </c>
      <c r="C4510" t="s">
        <v>3367</v>
      </c>
      <c r="D4510" s="2" t="s">
        <v>3368</v>
      </c>
      <c r="E4510" t="s">
        <v>2902</v>
      </c>
      <c r="F4510" t="s">
        <v>20</v>
      </c>
      <c r="G4510" t="s">
        <v>21</v>
      </c>
      <c r="H4510" t="s">
        <v>267</v>
      </c>
      <c r="I4510" t="s">
        <v>23</v>
      </c>
      <c r="J4510" t="s">
        <v>49</v>
      </c>
      <c r="K4510" s="2" t="s">
        <v>1853</v>
      </c>
      <c r="L4510" t="s">
        <v>26</v>
      </c>
      <c r="M4510">
        <v>344489</v>
      </c>
      <c r="N4510">
        <v>1</v>
      </c>
      <c r="O4510" s="3">
        <v>55200</v>
      </c>
      <c r="P4510" s="3">
        <v>24504</v>
      </c>
      <c r="Q4510" s="5">
        <f t="shared" si="210"/>
        <v>46386.554621848743</v>
      </c>
      <c r="R4510" s="5">
        <f t="shared" si="211"/>
        <v>24504</v>
      </c>
      <c r="S4510" s="5">
        <f t="shared" si="212"/>
        <v>21882.554621848743</v>
      </c>
    </row>
    <row r="4511" spans="1:19" hidden="1" x14ac:dyDescent="0.3">
      <c r="A4511">
        <v>180</v>
      </c>
      <c r="B4511" t="s">
        <v>5549</v>
      </c>
      <c r="C4511" t="s">
        <v>2739</v>
      </c>
      <c r="D4511" s="2" t="s">
        <v>2740</v>
      </c>
      <c r="E4511" t="s">
        <v>2741</v>
      </c>
      <c r="F4511" t="s">
        <v>20</v>
      </c>
      <c r="G4511" t="s">
        <v>21</v>
      </c>
      <c r="H4511" t="s">
        <v>2494</v>
      </c>
      <c r="I4511" t="s">
        <v>23</v>
      </c>
      <c r="J4511" t="s">
        <v>40</v>
      </c>
      <c r="K4511" s="2" t="s">
        <v>1853</v>
      </c>
      <c r="L4511" t="s">
        <v>26</v>
      </c>
      <c r="M4511">
        <v>344490</v>
      </c>
      <c r="N4511">
        <v>1</v>
      </c>
      <c r="O4511" s="3">
        <v>69950</v>
      </c>
      <c r="P4511" s="3">
        <v>23470</v>
      </c>
      <c r="Q4511" s="5">
        <f t="shared" si="210"/>
        <v>58781.512605042022</v>
      </c>
      <c r="R4511" s="5">
        <f t="shared" si="211"/>
        <v>23470</v>
      </c>
      <c r="S4511" s="5">
        <f t="shared" si="212"/>
        <v>35311.512605042022</v>
      </c>
    </row>
    <row r="4512" spans="1:19" hidden="1" x14ac:dyDescent="0.3">
      <c r="A4512">
        <v>180</v>
      </c>
      <c r="B4512" t="s">
        <v>5549</v>
      </c>
      <c r="C4512" t="s">
        <v>5539</v>
      </c>
      <c r="D4512" s="2" t="s">
        <v>5540</v>
      </c>
      <c r="E4512" t="s">
        <v>5541</v>
      </c>
      <c r="F4512" t="s">
        <v>377</v>
      </c>
      <c r="G4512" t="s">
        <v>21</v>
      </c>
      <c r="H4512" t="s">
        <v>378</v>
      </c>
      <c r="I4512" t="s">
        <v>23</v>
      </c>
      <c r="J4512" t="s">
        <v>2638</v>
      </c>
      <c r="K4512" s="2" t="s">
        <v>1853</v>
      </c>
      <c r="L4512" t="s">
        <v>26</v>
      </c>
      <c r="M4512">
        <v>344491</v>
      </c>
      <c r="N4512">
        <v>1</v>
      </c>
      <c r="O4512" s="3">
        <v>3450</v>
      </c>
      <c r="P4512" s="3">
        <v>1510</v>
      </c>
      <c r="Q4512" s="5">
        <f t="shared" si="210"/>
        <v>2899.1596638655465</v>
      </c>
      <c r="R4512" s="5">
        <f t="shared" si="211"/>
        <v>1510</v>
      </c>
      <c r="S4512" s="5">
        <f t="shared" si="212"/>
        <v>1389.1596638655465</v>
      </c>
    </row>
    <row r="4513" spans="1:19" hidden="1" x14ac:dyDescent="0.3">
      <c r="A4513">
        <v>180</v>
      </c>
      <c r="B4513" t="s">
        <v>5549</v>
      </c>
      <c r="C4513" t="s">
        <v>5740</v>
      </c>
      <c r="D4513" s="2" t="s">
        <v>5741</v>
      </c>
      <c r="E4513" t="s">
        <v>2939</v>
      </c>
      <c r="F4513" t="s">
        <v>20</v>
      </c>
      <c r="G4513" t="s">
        <v>338</v>
      </c>
      <c r="H4513">
        <v>25321</v>
      </c>
      <c r="I4513" t="s">
        <v>23</v>
      </c>
      <c r="J4513" t="s">
        <v>35</v>
      </c>
      <c r="K4513" s="2" t="s">
        <v>1853</v>
      </c>
      <c r="L4513" t="s">
        <v>26</v>
      </c>
      <c r="M4513">
        <v>344492</v>
      </c>
      <c r="N4513">
        <v>1</v>
      </c>
      <c r="O4513" s="3">
        <v>109950</v>
      </c>
      <c r="P4513" s="3">
        <v>33748</v>
      </c>
      <c r="Q4513" s="5">
        <f t="shared" si="210"/>
        <v>92394.957983193279</v>
      </c>
      <c r="R4513" s="5">
        <f t="shared" si="211"/>
        <v>33748</v>
      </c>
      <c r="S4513" s="5">
        <f t="shared" si="212"/>
        <v>58646.957983193279</v>
      </c>
    </row>
    <row r="4514" spans="1:19" hidden="1" x14ac:dyDescent="0.3">
      <c r="A4514">
        <v>180</v>
      </c>
      <c r="B4514" t="s">
        <v>5549</v>
      </c>
      <c r="C4514" t="s">
        <v>3338</v>
      </c>
      <c r="D4514" s="2" t="s">
        <v>3339</v>
      </c>
      <c r="E4514" t="s">
        <v>3340</v>
      </c>
      <c r="F4514" t="s">
        <v>20</v>
      </c>
      <c r="G4514" t="s">
        <v>338</v>
      </c>
      <c r="H4514">
        <v>25097</v>
      </c>
      <c r="I4514" t="s">
        <v>23</v>
      </c>
      <c r="J4514" t="s">
        <v>24</v>
      </c>
      <c r="K4514" s="2" t="s">
        <v>1853</v>
      </c>
      <c r="L4514" t="s">
        <v>26</v>
      </c>
      <c r="M4514">
        <v>344493</v>
      </c>
      <c r="N4514">
        <v>1</v>
      </c>
      <c r="O4514" s="3">
        <v>59990</v>
      </c>
      <c r="P4514" s="3">
        <v>23242</v>
      </c>
      <c r="Q4514" s="5">
        <f t="shared" si="210"/>
        <v>50411.764705882357</v>
      </c>
      <c r="R4514" s="5">
        <f t="shared" si="211"/>
        <v>23242</v>
      </c>
      <c r="S4514" s="5">
        <f t="shared" si="212"/>
        <v>27169.764705882357</v>
      </c>
    </row>
    <row r="4515" spans="1:19" hidden="1" x14ac:dyDescent="0.3">
      <c r="A4515">
        <v>180</v>
      </c>
      <c r="B4515" t="s">
        <v>5549</v>
      </c>
      <c r="C4515" t="s">
        <v>1761</v>
      </c>
      <c r="D4515" s="2" t="s">
        <v>1762</v>
      </c>
      <c r="E4515" t="s">
        <v>1763</v>
      </c>
      <c r="F4515" t="s">
        <v>377</v>
      </c>
      <c r="G4515" t="s">
        <v>21</v>
      </c>
      <c r="H4515" t="s">
        <v>378</v>
      </c>
      <c r="I4515" t="s">
        <v>23</v>
      </c>
      <c r="J4515" t="s">
        <v>379</v>
      </c>
      <c r="K4515" s="2" t="s">
        <v>1853</v>
      </c>
      <c r="L4515" t="s">
        <v>26</v>
      </c>
      <c r="M4515">
        <v>344493</v>
      </c>
      <c r="N4515">
        <v>1</v>
      </c>
      <c r="O4515" s="3">
        <v>5950</v>
      </c>
      <c r="P4515" s="3">
        <v>3279</v>
      </c>
      <c r="Q4515" s="5">
        <f t="shared" si="210"/>
        <v>5000</v>
      </c>
      <c r="R4515" s="5">
        <f t="shared" si="211"/>
        <v>3279</v>
      </c>
      <c r="S4515" s="5">
        <f t="shared" si="212"/>
        <v>1721</v>
      </c>
    </row>
    <row r="4516" spans="1:19" hidden="1" x14ac:dyDescent="0.3">
      <c r="A4516">
        <v>180</v>
      </c>
      <c r="B4516" t="s">
        <v>5549</v>
      </c>
      <c r="C4516" t="s">
        <v>4857</v>
      </c>
      <c r="D4516" s="2" t="s">
        <v>4858</v>
      </c>
      <c r="E4516" t="s">
        <v>4859</v>
      </c>
      <c r="F4516" t="s">
        <v>20</v>
      </c>
      <c r="G4516" t="s">
        <v>338</v>
      </c>
      <c r="H4516">
        <v>23624</v>
      </c>
      <c r="I4516" t="s">
        <v>23</v>
      </c>
      <c r="J4516" t="s">
        <v>40</v>
      </c>
      <c r="K4516" s="2" t="s">
        <v>1910</v>
      </c>
      <c r="L4516" t="s">
        <v>26</v>
      </c>
      <c r="M4516">
        <v>344494</v>
      </c>
      <c r="N4516">
        <v>1</v>
      </c>
      <c r="O4516" s="3">
        <v>69990</v>
      </c>
      <c r="P4516" s="3">
        <v>24718</v>
      </c>
      <c r="Q4516" s="5">
        <f t="shared" si="210"/>
        <v>58815.126050420171</v>
      </c>
      <c r="R4516" s="5">
        <f t="shared" si="211"/>
        <v>24718</v>
      </c>
      <c r="S4516" s="5">
        <f t="shared" si="212"/>
        <v>34097.126050420171</v>
      </c>
    </row>
    <row r="4517" spans="1:19" hidden="1" x14ac:dyDescent="0.3">
      <c r="A4517">
        <v>180</v>
      </c>
      <c r="B4517" t="s">
        <v>5549</v>
      </c>
      <c r="C4517" t="s">
        <v>2485</v>
      </c>
      <c r="D4517" s="2" t="s">
        <v>2486</v>
      </c>
      <c r="E4517" t="s">
        <v>2487</v>
      </c>
      <c r="F4517" t="s">
        <v>377</v>
      </c>
      <c r="G4517" t="s">
        <v>21</v>
      </c>
      <c r="H4517" t="s">
        <v>378</v>
      </c>
      <c r="I4517" t="s">
        <v>23</v>
      </c>
      <c r="J4517" t="s">
        <v>379</v>
      </c>
      <c r="K4517" s="2" t="s">
        <v>1910</v>
      </c>
      <c r="L4517" t="s">
        <v>26</v>
      </c>
      <c r="M4517">
        <v>344494</v>
      </c>
      <c r="N4517">
        <v>1</v>
      </c>
      <c r="O4517" s="3">
        <v>5950</v>
      </c>
      <c r="P4517" s="3">
        <v>2243</v>
      </c>
      <c r="Q4517" s="5">
        <f t="shared" si="210"/>
        <v>5000</v>
      </c>
      <c r="R4517" s="5">
        <f t="shared" si="211"/>
        <v>2243</v>
      </c>
      <c r="S4517" s="5">
        <f t="shared" si="212"/>
        <v>2757</v>
      </c>
    </row>
    <row r="4518" spans="1:19" hidden="1" x14ac:dyDescent="0.3">
      <c r="A4518">
        <v>180</v>
      </c>
      <c r="B4518" t="s">
        <v>5549</v>
      </c>
      <c r="C4518" t="s">
        <v>4842</v>
      </c>
      <c r="D4518" s="2" t="s">
        <v>4843</v>
      </c>
      <c r="E4518" t="s">
        <v>3096</v>
      </c>
      <c r="F4518" t="s">
        <v>20</v>
      </c>
      <c r="G4518" t="s">
        <v>21</v>
      </c>
      <c r="H4518" t="s">
        <v>991</v>
      </c>
      <c r="I4518" t="s">
        <v>23</v>
      </c>
      <c r="J4518" t="s">
        <v>49</v>
      </c>
      <c r="K4518" s="2" t="s">
        <v>1910</v>
      </c>
      <c r="L4518" t="s">
        <v>26</v>
      </c>
      <c r="M4518">
        <v>344495</v>
      </c>
      <c r="N4518">
        <v>1</v>
      </c>
      <c r="O4518" s="3">
        <v>54990</v>
      </c>
      <c r="P4518" s="3">
        <v>21207</v>
      </c>
      <c r="Q4518" s="5">
        <f t="shared" si="210"/>
        <v>46210.08403361345</v>
      </c>
      <c r="R4518" s="5">
        <f t="shared" si="211"/>
        <v>21207</v>
      </c>
      <c r="S4518" s="5">
        <f t="shared" si="212"/>
        <v>25003.08403361345</v>
      </c>
    </row>
    <row r="4519" spans="1:19" hidden="1" x14ac:dyDescent="0.3">
      <c r="A4519">
        <v>180</v>
      </c>
      <c r="B4519" t="s">
        <v>5549</v>
      </c>
      <c r="C4519" t="s">
        <v>5742</v>
      </c>
      <c r="D4519" s="2" t="s">
        <v>5743</v>
      </c>
      <c r="E4519" t="s">
        <v>3086</v>
      </c>
      <c r="F4519" t="s">
        <v>20</v>
      </c>
      <c r="G4519" t="s">
        <v>21</v>
      </c>
      <c r="H4519" t="s">
        <v>1418</v>
      </c>
      <c r="I4519" t="s">
        <v>23</v>
      </c>
      <c r="J4519" t="s">
        <v>35</v>
      </c>
      <c r="K4519" s="2" t="s">
        <v>1910</v>
      </c>
      <c r="L4519" t="s">
        <v>26</v>
      </c>
      <c r="M4519">
        <v>344496</v>
      </c>
      <c r="N4519">
        <v>1</v>
      </c>
      <c r="O4519" s="3">
        <v>64990</v>
      </c>
      <c r="P4519" s="3">
        <v>29189</v>
      </c>
      <c r="Q4519" s="5">
        <f t="shared" si="210"/>
        <v>54613.445378151264</v>
      </c>
      <c r="R4519" s="5">
        <f t="shared" si="211"/>
        <v>29189</v>
      </c>
      <c r="S4519" s="5">
        <f t="shared" si="212"/>
        <v>25424.445378151264</v>
      </c>
    </row>
    <row r="4520" spans="1:19" hidden="1" x14ac:dyDescent="0.3">
      <c r="A4520">
        <v>180</v>
      </c>
      <c r="B4520" t="s">
        <v>5549</v>
      </c>
      <c r="C4520" t="s">
        <v>3389</v>
      </c>
      <c r="D4520" s="2" t="s">
        <v>3390</v>
      </c>
      <c r="E4520" t="s">
        <v>1706</v>
      </c>
      <c r="F4520" t="s">
        <v>20</v>
      </c>
      <c r="G4520" t="s">
        <v>338</v>
      </c>
      <c r="H4520">
        <v>23201</v>
      </c>
      <c r="I4520" t="s">
        <v>23</v>
      </c>
      <c r="J4520" t="s">
        <v>49</v>
      </c>
      <c r="K4520" s="2" t="s">
        <v>1910</v>
      </c>
      <c r="L4520" t="s">
        <v>26</v>
      </c>
      <c r="M4520">
        <v>344497</v>
      </c>
      <c r="N4520">
        <v>1</v>
      </c>
      <c r="O4520" s="3">
        <v>84950</v>
      </c>
      <c r="P4520" s="3">
        <v>26390</v>
      </c>
      <c r="Q4520" s="5">
        <f t="shared" si="210"/>
        <v>71386.554621848743</v>
      </c>
      <c r="R4520" s="5">
        <f t="shared" si="211"/>
        <v>26390</v>
      </c>
      <c r="S4520" s="5">
        <f t="shared" si="212"/>
        <v>44996.554621848743</v>
      </c>
    </row>
    <row r="4521" spans="1:19" hidden="1" x14ac:dyDescent="0.3">
      <c r="A4521">
        <v>180</v>
      </c>
      <c r="B4521" t="s">
        <v>5549</v>
      </c>
      <c r="C4521" t="s">
        <v>3294</v>
      </c>
      <c r="D4521" s="2" t="s">
        <v>3295</v>
      </c>
      <c r="E4521" t="s">
        <v>3296</v>
      </c>
      <c r="F4521" t="s">
        <v>377</v>
      </c>
      <c r="G4521" t="s">
        <v>21</v>
      </c>
      <c r="H4521" t="s">
        <v>378</v>
      </c>
      <c r="I4521" t="s">
        <v>23</v>
      </c>
      <c r="J4521" t="s">
        <v>3297</v>
      </c>
      <c r="K4521" s="2" t="s">
        <v>1910</v>
      </c>
      <c r="L4521" t="s">
        <v>26</v>
      </c>
      <c r="M4521">
        <v>344497</v>
      </c>
      <c r="N4521">
        <v>1</v>
      </c>
      <c r="O4521">
        <v>500</v>
      </c>
      <c r="P4521">
        <v>358</v>
      </c>
      <c r="Q4521" s="5">
        <f t="shared" si="210"/>
        <v>420.1680672268908</v>
      </c>
      <c r="R4521" s="5">
        <f t="shared" si="211"/>
        <v>358</v>
      </c>
      <c r="S4521" s="5">
        <f t="shared" si="212"/>
        <v>62.168067226890798</v>
      </c>
    </row>
    <row r="4522" spans="1:19" hidden="1" x14ac:dyDescent="0.3">
      <c r="A4522">
        <v>180</v>
      </c>
      <c r="B4522" t="s">
        <v>5549</v>
      </c>
      <c r="C4522" t="s">
        <v>2900</v>
      </c>
      <c r="D4522" s="2" t="s">
        <v>2901</v>
      </c>
      <c r="E4522" t="s">
        <v>2902</v>
      </c>
      <c r="F4522" t="s">
        <v>20</v>
      </c>
      <c r="G4522" t="s">
        <v>21</v>
      </c>
      <c r="H4522" t="s">
        <v>267</v>
      </c>
      <c r="I4522" t="s">
        <v>23</v>
      </c>
      <c r="J4522" t="s">
        <v>49</v>
      </c>
      <c r="K4522" s="2" t="s">
        <v>1910</v>
      </c>
      <c r="L4522" t="s">
        <v>26</v>
      </c>
      <c r="M4522">
        <v>344498</v>
      </c>
      <c r="N4522">
        <v>1</v>
      </c>
      <c r="O4522" s="3">
        <v>64950</v>
      </c>
      <c r="P4522" s="3">
        <v>24504</v>
      </c>
      <c r="Q4522" s="5">
        <f t="shared" si="210"/>
        <v>54579.831932773115</v>
      </c>
      <c r="R4522" s="5">
        <f t="shared" si="211"/>
        <v>24504</v>
      </c>
      <c r="S4522" s="5">
        <f t="shared" si="212"/>
        <v>30075.831932773115</v>
      </c>
    </row>
    <row r="4523" spans="1:19" hidden="1" x14ac:dyDescent="0.3">
      <c r="A4523">
        <v>180</v>
      </c>
      <c r="B4523" t="s">
        <v>5549</v>
      </c>
      <c r="C4523" t="s">
        <v>5744</v>
      </c>
      <c r="D4523" s="2" t="s">
        <v>5745</v>
      </c>
      <c r="E4523" t="s">
        <v>3086</v>
      </c>
      <c r="F4523" t="s">
        <v>20</v>
      </c>
      <c r="G4523" t="s">
        <v>21</v>
      </c>
      <c r="H4523" t="s">
        <v>1418</v>
      </c>
      <c r="I4523" t="s">
        <v>23</v>
      </c>
      <c r="J4523" t="s">
        <v>35</v>
      </c>
      <c r="K4523" s="2" t="s">
        <v>1910</v>
      </c>
      <c r="L4523" t="s">
        <v>26</v>
      </c>
      <c r="M4523">
        <v>344499</v>
      </c>
      <c r="N4523">
        <v>1</v>
      </c>
      <c r="O4523" s="3">
        <v>64990</v>
      </c>
      <c r="P4523" s="3">
        <v>29189</v>
      </c>
      <c r="Q4523" s="5">
        <f t="shared" si="210"/>
        <v>54613.445378151264</v>
      </c>
      <c r="R4523" s="5">
        <f t="shared" si="211"/>
        <v>29189</v>
      </c>
      <c r="S4523" s="5">
        <f t="shared" si="212"/>
        <v>25424.445378151264</v>
      </c>
    </row>
    <row r="4524" spans="1:19" hidden="1" x14ac:dyDescent="0.3">
      <c r="A4524">
        <v>180</v>
      </c>
      <c r="B4524" t="s">
        <v>5549</v>
      </c>
      <c r="C4524" t="s">
        <v>1037</v>
      </c>
      <c r="D4524" s="2" t="s">
        <v>1038</v>
      </c>
      <c r="E4524" t="s">
        <v>1039</v>
      </c>
      <c r="F4524" t="s">
        <v>377</v>
      </c>
      <c r="G4524" t="s">
        <v>21</v>
      </c>
      <c r="H4524" t="s">
        <v>378</v>
      </c>
      <c r="I4524" t="s">
        <v>23</v>
      </c>
      <c r="J4524" t="s">
        <v>379</v>
      </c>
      <c r="K4524" s="2" t="s">
        <v>1910</v>
      </c>
      <c r="L4524" t="s">
        <v>26</v>
      </c>
      <c r="M4524">
        <v>344499</v>
      </c>
      <c r="N4524">
        <v>1</v>
      </c>
      <c r="O4524" s="3">
        <v>5950</v>
      </c>
      <c r="P4524" s="3">
        <v>3257</v>
      </c>
      <c r="Q4524" s="5">
        <f t="shared" si="210"/>
        <v>5000</v>
      </c>
      <c r="R4524" s="5">
        <f t="shared" si="211"/>
        <v>3257</v>
      </c>
      <c r="S4524" s="5">
        <f t="shared" si="212"/>
        <v>1743</v>
      </c>
    </row>
    <row r="4525" spans="1:19" hidden="1" x14ac:dyDescent="0.3">
      <c r="A4525">
        <v>180</v>
      </c>
      <c r="B4525" t="s">
        <v>5549</v>
      </c>
      <c r="C4525" t="s">
        <v>5746</v>
      </c>
      <c r="D4525" s="2" t="s">
        <v>5747</v>
      </c>
      <c r="E4525" t="s">
        <v>3180</v>
      </c>
      <c r="F4525" t="s">
        <v>20</v>
      </c>
      <c r="G4525" t="s">
        <v>338</v>
      </c>
      <c r="H4525">
        <v>23313</v>
      </c>
      <c r="I4525" t="s">
        <v>23</v>
      </c>
      <c r="J4525" t="s">
        <v>40</v>
      </c>
      <c r="K4525" s="2" t="s">
        <v>1910</v>
      </c>
      <c r="L4525" t="s">
        <v>26</v>
      </c>
      <c r="M4525">
        <v>344500</v>
      </c>
      <c r="N4525">
        <v>1</v>
      </c>
      <c r="O4525" s="3">
        <v>69950</v>
      </c>
      <c r="P4525" s="3">
        <v>23441</v>
      </c>
      <c r="Q4525" s="5">
        <f t="shared" si="210"/>
        <v>58781.512605042022</v>
      </c>
      <c r="R4525" s="5">
        <f t="shared" si="211"/>
        <v>23441</v>
      </c>
      <c r="S4525" s="5">
        <f t="shared" si="212"/>
        <v>35340.512605042022</v>
      </c>
    </row>
    <row r="4526" spans="1:19" hidden="1" x14ac:dyDescent="0.3">
      <c r="A4526">
        <v>180</v>
      </c>
      <c r="B4526" t="s">
        <v>5549</v>
      </c>
      <c r="C4526" t="s">
        <v>3007</v>
      </c>
      <c r="D4526" s="2" t="s">
        <v>3008</v>
      </c>
      <c r="E4526" t="s">
        <v>2986</v>
      </c>
      <c r="F4526" t="s">
        <v>20</v>
      </c>
      <c r="G4526" t="s">
        <v>21</v>
      </c>
      <c r="H4526" t="s">
        <v>267</v>
      </c>
      <c r="I4526" t="s">
        <v>23</v>
      </c>
      <c r="J4526" t="s">
        <v>35</v>
      </c>
      <c r="K4526" s="2" t="s">
        <v>1910</v>
      </c>
      <c r="L4526" t="s">
        <v>26</v>
      </c>
      <c r="M4526">
        <v>344501</v>
      </c>
      <c r="N4526">
        <v>1</v>
      </c>
      <c r="O4526" s="3">
        <v>59990</v>
      </c>
      <c r="P4526" s="3">
        <v>24733</v>
      </c>
      <c r="Q4526" s="5">
        <f t="shared" si="210"/>
        <v>50411.764705882357</v>
      </c>
      <c r="R4526" s="5">
        <f t="shared" si="211"/>
        <v>24733</v>
      </c>
      <c r="S4526" s="5">
        <f t="shared" si="212"/>
        <v>25678.764705882357</v>
      </c>
    </row>
    <row r="4527" spans="1:19" hidden="1" x14ac:dyDescent="0.3">
      <c r="A4527">
        <v>180</v>
      </c>
      <c r="B4527" t="s">
        <v>5549</v>
      </c>
      <c r="C4527" t="s">
        <v>2525</v>
      </c>
      <c r="D4527" s="2" t="s">
        <v>2526</v>
      </c>
      <c r="E4527" t="s">
        <v>2527</v>
      </c>
      <c r="F4527" t="s">
        <v>377</v>
      </c>
      <c r="G4527" t="s">
        <v>21</v>
      </c>
      <c r="H4527" t="s">
        <v>378</v>
      </c>
      <c r="I4527" t="s">
        <v>23</v>
      </c>
      <c r="J4527" t="s">
        <v>2459</v>
      </c>
      <c r="K4527" s="2" t="s">
        <v>1910</v>
      </c>
      <c r="L4527" t="s">
        <v>26</v>
      </c>
      <c r="M4527">
        <v>344502</v>
      </c>
      <c r="N4527">
        <v>1</v>
      </c>
      <c r="O4527" s="3">
        <v>6950</v>
      </c>
      <c r="P4527" s="3">
        <v>2964</v>
      </c>
      <c r="Q4527" s="5">
        <f t="shared" si="210"/>
        <v>5840.3361344537816</v>
      </c>
      <c r="R4527" s="5">
        <f t="shared" si="211"/>
        <v>2964</v>
      </c>
      <c r="S4527" s="5">
        <f t="shared" si="212"/>
        <v>2876.3361344537816</v>
      </c>
    </row>
    <row r="4528" spans="1:19" hidden="1" x14ac:dyDescent="0.3">
      <c r="A4528">
        <v>180</v>
      </c>
      <c r="B4528" t="s">
        <v>5549</v>
      </c>
      <c r="C4528" t="s">
        <v>3007</v>
      </c>
      <c r="D4528" s="2" t="s">
        <v>3008</v>
      </c>
      <c r="E4528" t="s">
        <v>2986</v>
      </c>
      <c r="F4528" t="s">
        <v>20</v>
      </c>
      <c r="G4528" t="s">
        <v>21</v>
      </c>
      <c r="H4528" t="s">
        <v>267</v>
      </c>
      <c r="I4528" t="s">
        <v>23</v>
      </c>
      <c r="J4528" t="s">
        <v>35</v>
      </c>
      <c r="K4528" s="2" t="s">
        <v>1910</v>
      </c>
      <c r="L4528" t="s">
        <v>26</v>
      </c>
      <c r="M4528">
        <v>344503</v>
      </c>
      <c r="N4528">
        <v>1</v>
      </c>
      <c r="O4528" s="3">
        <v>59990</v>
      </c>
      <c r="P4528" s="3">
        <v>24733</v>
      </c>
      <c r="Q4528" s="5">
        <f t="shared" si="210"/>
        <v>50411.764705882357</v>
      </c>
      <c r="R4528" s="5">
        <f t="shared" si="211"/>
        <v>24733</v>
      </c>
      <c r="S4528" s="5">
        <f t="shared" si="212"/>
        <v>25678.764705882357</v>
      </c>
    </row>
    <row r="4529" spans="1:19" hidden="1" x14ac:dyDescent="0.3">
      <c r="A4529">
        <v>180</v>
      </c>
      <c r="B4529" t="s">
        <v>5549</v>
      </c>
      <c r="C4529" t="s">
        <v>3294</v>
      </c>
      <c r="D4529" s="2" t="s">
        <v>3295</v>
      </c>
      <c r="E4529" t="s">
        <v>3296</v>
      </c>
      <c r="F4529" t="s">
        <v>377</v>
      </c>
      <c r="G4529" t="s">
        <v>21</v>
      </c>
      <c r="H4529" t="s">
        <v>378</v>
      </c>
      <c r="I4529" t="s">
        <v>23</v>
      </c>
      <c r="J4529" t="s">
        <v>3297</v>
      </c>
      <c r="K4529" s="2" t="s">
        <v>1910</v>
      </c>
      <c r="L4529" t="s">
        <v>26</v>
      </c>
      <c r="M4529">
        <v>344503</v>
      </c>
      <c r="N4529">
        <v>1</v>
      </c>
      <c r="O4529">
        <v>500</v>
      </c>
      <c r="P4529">
        <v>358</v>
      </c>
      <c r="Q4529" s="5">
        <f t="shared" si="210"/>
        <v>420.1680672268908</v>
      </c>
      <c r="R4529" s="5">
        <f t="shared" si="211"/>
        <v>358</v>
      </c>
      <c r="S4529" s="5">
        <f t="shared" si="212"/>
        <v>62.168067226890798</v>
      </c>
    </row>
    <row r="4530" spans="1:19" hidden="1" x14ac:dyDescent="0.3">
      <c r="A4530">
        <v>180</v>
      </c>
      <c r="B4530" t="s">
        <v>5549</v>
      </c>
      <c r="C4530" t="s">
        <v>5643</v>
      </c>
      <c r="D4530" s="2" t="s">
        <v>5644</v>
      </c>
      <c r="E4530" t="s">
        <v>2558</v>
      </c>
      <c r="F4530" t="s">
        <v>20</v>
      </c>
      <c r="G4530" t="s">
        <v>21</v>
      </c>
      <c r="H4530" t="s">
        <v>870</v>
      </c>
      <c r="I4530" t="s">
        <v>23</v>
      </c>
      <c r="J4530" t="s">
        <v>49</v>
      </c>
      <c r="K4530" s="2" t="s">
        <v>1910</v>
      </c>
      <c r="L4530" t="s">
        <v>26</v>
      </c>
      <c r="M4530">
        <v>344504</v>
      </c>
      <c r="N4530">
        <v>-1</v>
      </c>
      <c r="O4530" s="3">
        <v>-64950</v>
      </c>
      <c r="P4530" s="3">
        <v>22955</v>
      </c>
      <c r="Q4530" s="5">
        <f t="shared" si="210"/>
        <v>-54579.831932773115</v>
      </c>
      <c r="R4530" s="5">
        <f t="shared" si="211"/>
        <v>-22955</v>
      </c>
      <c r="S4530" s="5">
        <f t="shared" si="212"/>
        <v>-31624.831932773115</v>
      </c>
    </row>
    <row r="4531" spans="1:19" hidden="1" x14ac:dyDescent="0.3">
      <c r="A4531">
        <v>180</v>
      </c>
      <c r="B4531" t="s">
        <v>5549</v>
      </c>
      <c r="C4531" t="s">
        <v>5235</v>
      </c>
      <c r="D4531" s="2" t="s">
        <v>5236</v>
      </c>
      <c r="E4531" t="s">
        <v>2787</v>
      </c>
      <c r="F4531" t="s">
        <v>20</v>
      </c>
      <c r="G4531" t="s">
        <v>21</v>
      </c>
      <c r="H4531" t="s">
        <v>1286</v>
      </c>
      <c r="I4531" t="s">
        <v>23</v>
      </c>
      <c r="J4531" t="s">
        <v>40</v>
      </c>
      <c r="K4531" s="2" t="s">
        <v>1910</v>
      </c>
      <c r="L4531" t="s">
        <v>26</v>
      </c>
      <c r="M4531">
        <v>344504</v>
      </c>
      <c r="N4531">
        <v>1</v>
      </c>
      <c r="O4531" s="3">
        <v>49990</v>
      </c>
      <c r="P4531" s="3">
        <v>24783</v>
      </c>
      <c r="Q4531" s="5">
        <f t="shared" si="210"/>
        <v>42008.403361344543</v>
      </c>
      <c r="R4531" s="5">
        <f t="shared" si="211"/>
        <v>24783</v>
      </c>
      <c r="S4531" s="5">
        <f t="shared" si="212"/>
        <v>17225.403361344543</v>
      </c>
    </row>
    <row r="4532" spans="1:19" hidden="1" x14ac:dyDescent="0.3">
      <c r="A4532">
        <v>180</v>
      </c>
      <c r="B4532" t="s">
        <v>5549</v>
      </c>
      <c r="C4532" t="s">
        <v>5748</v>
      </c>
      <c r="D4532" s="2" t="s">
        <v>5749</v>
      </c>
      <c r="E4532" t="s">
        <v>5750</v>
      </c>
      <c r="F4532" t="s">
        <v>377</v>
      </c>
      <c r="G4532" t="s">
        <v>21</v>
      </c>
      <c r="H4532" t="s">
        <v>378</v>
      </c>
      <c r="I4532" t="s">
        <v>23</v>
      </c>
      <c r="J4532" t="s">
        <v>5704</v>
      </c>
      <c r="K4532" s="2" t="s">
        <v>1910</v>
      </c>
      <c r="L4532" t="s">
        <v>26</v>
      </c>
      <c r="M4532">
        <v>344504</v>
      </c>
      <c r="N4532">
        <v>1</v>
      </c>
      <c r="O4532" s="3">
        <v>10950</v>
      </c>
      <c r="P4532" s="3">
        <v>6653</v>
      </c>
      <c r="Q4532" s="5">
        <f t="shared" si="210"/>
        <v>9201.6806722689071</v>
      </c>
      <c r="R4532" s="5">
        <f t="shared" si="211"/>
        <v>6653</v>
      </c>
      <c r="S4532" s="5">
        <f t="shared" si="212"/>
        <v>2548.6806722689071</v>
      </c>
    </row>
    <row r="4533" spans="1:19" hidden="1" x14ac:dyDescent="0.3">
      <c r="A4533">
        <v>180</v>
      </c>
      <c r="B4533" t="s">
        <v>5549</v>
      </c>
      <c r="C4533" t="s">
        <v>5751</v>
      </c>
      <c r="D4533" s="2" t="s">
        <v>5752</v>
      </c>
      <c r="E4533" t="s">
        <v>5753</v>
      </c>
      <c r="F4533" t="s">
        <v>377</v>
      </c>
      <c r="G4533" t="s">
        <v>21</v>
      </c>
      <c r="H4533" t="s">
        <v>378</v>
      </c>
      <c r="I4533" t="s">
        <v>23</v>
      </c>
      <c r="J4533" t="s">
        <v>5704</v>
      </c>
      <c r="K4533" s="2" t="s">
        <v>1910</v>
      </c>
      <c r="L4533" t="s">
        <v>26</v>
      </c>
      <c r="M4533">
        <v>344504</v>
      </c>
      <c r="N4533">
        <v>1</v>
      </c>
      <c r="O4533" s="3">
        <v>4950</v>
      </c>
      <c r="P4533" s="3">
        <v>2421</v>
      </c>
      <c r="Q4533" s="5">
        <f t="shared" si="210"/>
        <v>4159.6638655462184</v>
      </c>
      <c r="R4533" s="5">
        <f t="shared" si="211"/>
        <v>2421</v>
      </c>
      <c r="S4533" s="5">
        <f t="shared" si="212"/>
        <v>1738.6638655462184</v>
      </c>
    </row>
    <row r="4534" spans="1:19" hidden="1" x14ac:dyDescent="0.3">
      <c r="A4534">
        <v>180</v>
      </c>
      <c r="B4534" t="s">
        <v>5549</v>
      </c>
      <c r="C4534" t="s">
        <v>2644</v>
      </c>
      <c r="D4534" s="2" t="s">
        <v>2645</v>
      </c>
      <c r="E4534" t="s">
        <v>428</v>
      </c>
      <c r="F4534" t="s">
        <v>20</v>
      </c>
      <c r="G4534" t="s">
        <v>21</v>
      </c>
      <c r="H4534" t="s">
        <v>429</v>
      </c>
      <c r="I4534" t="s">
        <v>23</v>
      </c>
      <c r="J4534" t="s">
        <v>49</v>
      </c>
      <c r="K4534" s="2" t="s">
        <v>1910</v>
      </c>
      <c r="L4534" t="s">
        <v>26</v>
      </c>
      <c r="M4534">
        <v>344505</v>
      </c>
      <c r="N4534">
        <v>1</v>
      </c>
      <c r="O4534" s="3">
        <v>59990</v>
      </c>
      <c r="P4534" s="3">
        <v>28864</v>
      </c>
      <c r="Q4534" s="5">
        <f t="shared" si="210"/>
        <v>50411.764705882357</v>
      </c>
      <c r="R4534" s="5">
        <f t="shared" si="211"/>
        <v>28864</v>
      </c>
      <c r="S4534" s="5">
        <f t="shared" si="212"/>
        <v>21547.764705882357</v>
      </c>
    </row>
    <row r="4535" spans="1:19" hidden="1" x14ac:dyDescent="0.3">
      <c r="A4535">
        <v>180</v>
      </c>
      <c r="B4535" t="s">
        <v>5549</v>
      </c>
      <c r="C4535" t="s">
        <v>3089</v>
      </c>
      <c r="D4535" s="2" t="s">
        <v>3090</v>
      </c>
      <c r="E4535" t="s">
        <v>3091</v>
      </c>
      <c r="F4535" t="s">
        <v>20</v>
      </c>
      <c r="G4535" t="s">
        <v>338</v>
      </c>
      <c r="H4535">
        <v>26266</v>
      </c>
      <c r="I4535" t="s">
        <v>23</v>
      </c>
      <c r="J4535" t="s">
        <v>35</v>
      </c>
      <c r="K4535" s="2" t="s">
        <v>1910</v>
      </c>
      <c r="L4535" t="s">
        <v>26</v>
      </c>
      <c r="M4535">
        <v>344506</v>
      </c>
      <c r="N4535">
        <v>1</v>
      </c>
      <c r="O4535" s="3">
        <v>79950</v>
      </c>
      <c r="P4535" s="3">
        <v>25300</v>
      </c>
      <c r="Q4535" s="5">
        <f t="shared" si="210"/>
        <v>67184.873949579836</v>
      </c>
      <c r="R4535" s="5">
        <f t="shared" si="211"/>
        <v>25300</v>
      </c>
      <c r="S4535" s="5">
        <f t="shared" si="212"/>
        <v>41884.873949579836</v>
      </c>
    </row>
    <row r="4536" spans="1:19" hidden="1" x14ac:dyDescent="0.3">
      <c r="A4536">
        <v>180</v>
      </c>
      <c r="B4536" t="s">
        <v>5549</v>
      </c>
      <c r="C4536" t="s">
        <v>3294</v>
      </c>
      <c r="D4536" s="2" t="s">
        <v>3295</v>
      </c>
      <c r="E4536" t="s">
        <v>3296</v>
      </c>
      <c r="F4536" t="s">
        <v>377</v>
      </c>
      <c r="G4536" t="s">
        <v>21</v>
      </c>
      <c r="H4536" t="s">
        <v>378</v>
      </c>
      <c r="I4536" t="s">
        <v>23</v>
      </c>
      <c r="J4536" t="s">
        <v>3297</v>
      </c>
      <c r="K4536" s="2" t="s">
        <v>1910</v>
      </c>
      <c r="L4536" t="s">
        <v>26</v>
      </c>
      <c r="M4536">
        <v>344506</v>
      </c>
      <c r="N4536">
        <v>1</v>
      </c>
      <c r="O4536">
        <v>500</v>
      </c>
      <c r="P4536">
        <v>358</v>
      </c>
      <c r="Q4536" s="5">
        <f t="shared" si="210"/>
        <v>420.1680672268908</v>
      </c>
      <c r="R4536" s="5">
        <f t="shared" si="211"/>
        <v>358</v>
      </c>
      <c r="S4536" s="5">
        <f t="shared" si="212"/>
        <v>62.168067226890798</v>
      </c>
    </row>
    <row r="4537" spans="1:19" hidden="1" x14ac:dyDescent="0.3">
      <c r="A4537">
        <v>180</v>
      </c>
      <c r="B4537" t="s">
        <v>5549</v>
      </c>
      <c r="C4537" t="s">
        <v>4171</v>
      </c>
      <c r="D4537" s="2" t="s">
        <v>4172</v>
      </c>
      <c r="E4537" t="s">
        <v>1466</v>
      </c>
      <c r="F4537" t="s">
        <v>20</v>
      </c>
      <c r="G4537" t="s">
        <v>21</v>
      </c>
      <c r="H4537" t="s">
        <v>65</v>
      </c>
      <c r="I4537" t="s">
        <v>23</v>
      </c>
      <c r="J4537" t="s">
        <v>49</v>
      </c>
      <c r="K4537" s="2" t="s">
        <v>1910</v>
      </c>
      <c r="L4537" t="s">
        <v>26</v>
      </c>
      <c r="M4537">
        <v>344507</v>
      </c>
      <c r="N4537">
        <v>1</v>
      </c>
      <c r="O4537" s="3">
        <v>64950</v>
      </c>
      <c r="P4537" s="3">
        <v>18535</v>
      </c>
      <c r="Q4537" s="5">
        <f t="shared" si="210"/>
        <v>54579.831932773115</v>
      </c>
      <c r="R4537" s="5">
        <f t="shared" si="211"/>
        <v>18535</v>
      </c>
      <c r="S4537" s="5">
        <f t="shared" si="212"/>
        <v>36044.831932773115</v>
      </c>
    </row>
    <row r="4538" spans="1:19" hidden="1" x14ac:dyDescent="0.3">
      <c r="A4538">
        <v>180</v>
      </c>
      <c r="B4538" t="s">
        <v>5549</v>
      </c>
      <c r="C4538" t="s">
        <v>5754</v>
      </c>
      <c r="D4538" s="2" t="s">
        <v>5755</v>
      </c>
      <c r="E4538" t="s">
        <v>2490</v>
      </c>
      <c r="F4538" t="s">
        <v>20</v>
      </c>
      <c r="G4538" t="s">
        <v>21</v>
      </c>
      <c r="H4538" t="s">
        <v>44</v>
      </c>
      <c r="I4538" t="s">
        <v>23</v>
      </c>
      <c r="J4538" t="s">
        <v>40</v>
      </c>
      <c r="K4538" s="2" t="s">
        <v>1910</v>
      </c>
      <c r="L4538" t="s">
        <v>26</v>
      </c>
      <c r="M4538">
        <v>344508</v>
      </c>
      <c r="N4538">
        <v>1</v>
      </c>
      <c r="O4538" s="3">
        <v>39990</v>
      </c>
      <c r="P4538" s="3">
        <v>15254</v>
      </c>
      <c r="Q4538" s="5">
        <f t="shared" si="210"/>
        <v>33605.042016806721</v>
      </c>
      <c r="R4538" s="5">
        <f t="shared" si="211"/>
        <v>15254</v>
      </c>
      <c r="S4538" s="5">
        <f t="shared" si="212"/>
        <v>18351.042016806721</v>
      </c>
    </row>
    <row r="4539" spans="1:19" hidden="1" x14ac:dyDescent="0.3">
      <c r="A4539">
        <v>180</v>
      </c>
      <c r="B4539" t="s">
        <v>5549</v>
      </c>
      <c r="C4539" t="s">
        <v>2984</v>
      </c>
      <c r="D4539" s="2" t="s">
        <v>2985</v>
      </c>
      <c r="E4539" t="s">
        <v>2986</v>
      </c>
      <c r="F4539" t="s">
        <v>20</v>
      </c>
      <c r="G4539" t="s">
        <v>21</v>
      </c>
      <c r="H4539" t="s">
        <v>267</v>
      </c>
      <c r="I4539" t="s">
        <v>23</v>
      </c>
      <c r="J4539" t="s">
        <v>35</v>
      </c>
      <c r="K4539" s="2" t="s">
        <v>1910</v>
      </c>
      <c r="L4539" t="s">
        <v>26</v>
      </c>
      <c r="M4539">
        <v>344509</v>
      </c>
      <c r="N4539">
        <v>1</v>
      </c>
      <c r="O4539" s="3">
        <v>59990</v>
      </c>
      <c r="P4539" s="3">
        <v>24733</v>
      </c>
      <c r="Q4539" s="5">
        <f t="shared" si="210"/>
        <v>50411.764705882357</v>
      </c>
      <c r="R4539" s="5">
        <f t="shared" si="211"/>
        <v>24733</v>
      </c>
      <c r="S4539" s="5">
        <f t="shared" si="212"/>
        <v>25678.764705882357</v>
      </c>
    </row>
    <row r="4540" spans="1:19" hidden="1" x14ac:dyDescent="0.3">
      <c r="A4540">
        <v>180</v>
      </c>
      <c r="B4540" t="s">
        <v>5549</v>
      </c>
      <c r="C4540" t="s">
        <v>5756</v>
      </c>
      <c r="D4540" s="2" t="s">
        <v>5757</v>
      </c>
      <c r="E4540" t="s">
        <v>2333</v>
      </c>
      <c r="F4540" t="s">
        <v>20</v>
      </c>
      <c r="G4540" t="s">
        <v>21</v>
      </c>
      <c r="H4540" t="s">
        <v>1282</v>
      </c>
      <c r="I4540" t="s">
        <v>23</v>
      </c>
      <c r="J4540" t="s">
        <v>40</v>
      </c>
      <c r="K4540" s="2" t="s">
        <v>3310</v>
      </c>
      <c r="L4540" t="s">
        <v>26</v>
      </c>
      <c r="M4540">
        <v>344510</v>
      </c>
      <c r="N4540">
        <v>1</v>
      </c>
      <c r="O4540" s="3">
        <v>49950</v>
      </c>
      <c r="P4540" s="3">
        <v>13922</v>
      </c>
      <c r="Q4540" s="5">
        <f t="shared" si="210"/>
        <v>41974.789915966387</v>
      </c>
      <c r="R4540" s="5">
        <f t="shared" si="211"/>
        <v>13922</v>
      </c>
      <c r="S4540" s="5">
        <f t="shared" si="212"/>
        <v>28052.789915966387</v>
      </c>
    </row>
    <row r="4541" spans="1:19" hidden="1" x14ac:dyDescent="0.3">
      <c r="A4541">
        <v>180</v>
      </c>
      <c r="B4541" t="s">
        <v>5549</v>
      </c>
      <c r="C4541" t="s">
        <v>3294</v>
      </c>
      <c r="D4541" s="2" t="s">
        <v>3295</v>
      </c>
      <c r="E4541" t="s">
        <v>3296</v>
      </c>
      <c r="F4541" t="s">
        <v>377</v>
      </c>
      <c r="G4541" t="s">
        <v>21</v>
      </c>
      <c r="H4541" t="s">
        <v>378</v>
      </c>
      <c r="I4541" t="s">
        <v>23</v>
      </c>
      <c r="J4541" t="s">
        <v>3297</v>
      </c>
      <c r="K4541" s="2" t="s">
        <v>3310</v>
      </c>
      <c r="L4541" t="s">
        <v>26</v>
      </c>
      <c r="M4541">
        <v>344510</v>
      </c>
      <c r="N4541">
        <v>1</v>
      </c>
      <c r="O4541">
        <v>500</v>
      </c>
      <c r="P4541">
        <v>358</v>
      </c>
      <c r="Q4541" s="5">
        <f t="shared" si="210"/>
        <v>420.1680672268908</v>
      </c>
      <c r="R4541" s="5">
        <f t="shared" si="211"/>
        <v>358</v>
      </c>
      <c r="S4541" s="5">
        <f t="shared" si="212"/>
        <v>62.168067226890798</v>
      </c>
    </row>
    <row r="4542" spans="1:19" hidden="1" x14ac:dyDescent="0.3">
      <c r="A4542">
        <v>180</v>
      </c>
      <c r="B4542" t="s">
        <v>5549</v>
      </c>
      <c r="C4542" t="s">
        <v>2960</v>
      </c>
      <c r="D4542" s="2" t="s">
        <v>2961</v>
      </c>
      <c r="E4542" t="s">
        <v>2539</v>
      </c>
      <c r="F4542" t="s">
        <v>20</v>
      </c>
      <c r="G4542" t="s">
        <v>21</v>
      </c>
      <c r="H4542" t="s">
        <v>966</v>
      </c>
      <c r="I4542" t="s">
        <v>23</v>
      </c>
      <c r="J4542" t="s">
        <v>35</v>
      </c>
      <c r="K4542" s="2" t="s">
        <v>3310</v>
      </c>
      <c r="L4542" t="s">
        <v>26</v>
      </c>
      <c r="M4542">
        <v>344511</v>
      </c>
      <c r="N4542">
        <v>1</v>
      </c>
      <c r="O4542" s="3">
        <v>74950</v>
      </c>
      <c r="P4542" s="3">
        <v>27380</v>
      </c>
      <c r="Q4542" s="5">
        <f t="shared" si="210"/>
        <v>62983.193277310929</v>
      </c>
      <c r="R4542" s="5">
        <f t="shared" si="211"/>
        <v>27380</v>
      </c>
      <c r="S4542" s="5">
        <f t="shared" si="212"/>
        <v>35603.193277310929</v>
      </c>
    </row>
    <row r="4543" spans="1:19" hidden="1" x14ac:dyDescent="0.3">
      <c r="A4543">
        <v>180</v>
      </c>
      <c r="B4543" t="s">
        <v>5549</v>
      </c>
      <c r="C4543" t="s">
        <v>4903</v>
      </c>
      <c r="D4543" s="2" t="s">
        <v>4904</v>
      </c>
      <c r="E4543" t="s">
        <v>4577</v>
      </c>
      <c r="F4543" t="s">
        <v>20</v>
      </c>
      <c r="G4543" t="s">
        <v>338</v>
      </c>
      <c r="H4543">
        <v>23724</v>
      </c>
      <c r="I4543" t="s">
        <v>23</v>
      </c>
      <c r="J4543" t="s">
        <v>40</v>
      </c>
      <c r="K4543" s="2" t="s">
        <v>3310</v>
      </c>
      <c r="L4543" t="s">
        <v>26</v>
      </c>
      <c r="M4543">
        <v>344512</v>
      </c>
      <c r="N4543">
        <v>1</v>
      </c>
      <c r="O4543" s="3">
        <v>79950</v>
      </c>
      <c r="P4543" s="3">
        <v>26332</v>
      </c>
      <c r="Q4543" s="5">
        <f t="shared" si="210"/>
        <v>67184.873949579836</v>
      </c>
      <c r="R4543" s="5">
        <f t="shared" si="211"/>
        <v>26332</v>
      </c>
      <c r="S4543" s="5">
        <f t="shared" si="212"/>
        <v>40852.873949579836</v>
      </c>
    </row>
    <row r="4544" spans="1:19" hidden="1" x14ac:dyDescent="0.3">
      <c r="A4544">
        <v>180</v>
      </c>
      <c r="B4544" t="s">
        <v>5549</v>
      </c>
      <c r="C4544" t="s">
        <v>3294</v>
      </c>
      <c r="D4544" s="2" t="s">
        <v>3295</v>
      </c>
      <c r="E4544" t="s">
        <v>3296</v>
      </c>
      <c r="F4544" t="s">
        <v>377</v>
      </c>
      <c r="G4544" t="s">
        <v>21</v>
      </c>
      <c r="H4544" t="s">
        <v>378</v>
      </c>
      <c r="I4544" t="s">
        <v>23</v>
      </c>
      <c r="J4544" t="s">
        <v>3297</v>
      </c>
      <c r="K4544" s="2" t="s">
        <v>3310</v>
      </c>
      <c r="L4544" t="s">
        <v>26</v>
      </c>
      <c r="M4544">
        <v>344512</v>
      </c>
      <c r="N4544">
        <v>1</v>
      </c>
      <c r="O4544">
        <v>500</v>
      </c>
      <c r="P4544">
        <v>358</v>
      </c>
      <c r="Q4544" s="5">
        <f t="shared" si="210"/>
        <v>420.1680672268908</v>
      </c>
      <c r="R4544" s="5">
        <f t="shared" si="211"/>
        <v>358</v>
      </c>
      <c r="S4544" s="5">
        <f t="shared" si="212"/>
        <v>62.168067226890798</v>
      </c>
    </row>
    <row r="4545" spans="1:19" hidden="1" x14ac:dyDescent="0.3">
      <c r="A4545">
        <v>180</v>
      </c>
      <c r="B4545" t="s">
        <v>5549</v>
      </c>
      <c r="C4545" t="s">
        <v>2575</v>
      </c>
      <c r="D4545" s="2" t="s">
        <v>2576</v>
      </c>
      <c r="E4545" t="s">
        <v>2577</v>
      </c>
      <c r="F4545" t="s">
        <v>377</v>
      </c>
      <c r="G4545" t="s">
        <v>21</v>
      </c>
      <c r="H4545" t="s">
        <v>378</v>
      </c>
      <c r="I4545" t="s">
        <v>23</v>
      </c>
      <c r="J4545" t="s">
        <v>379</v>
      </c>
      <c r="K4545" s="2" t="s">
        <v>3310</v>
      </c>
      <c r="L4545" t="s">
        <v>26</v>
      </c>
      <c r="M4545">
        <v>344512</v>
      </c>
      <c r="N4545">
        <v>1</v>
      </c>
      <c r="O4545" s="3">
        <v>5950</v>
      </c>
      <c r="P4545" s="3">
        <v>3307</v>
      </c>
      <c r="Q4545" s="5">
        <f t="shared" si="210"/>
        <v>5000</v>
      </c>
      <c r="R4545" s="5">
        <f t="shared" si="211"/>
        <v>3307</v>
      </c>
      <c r="S4545" s="5">
        <f t="shared" si="212"/>
        <v>1693</v>
      </c>
    </row>
    <row r="4546" spans="1:19" hidden="1" x14ac:dyDescent="0.3">
      <c r="A4546">
        <v>180</v>
      </c>
      <c r="B4546" t="s">
        <v>5549</v>
      </c>
      <c r="C4546" t="s">
        <v>5758</v>
      </c>
      <c r="D4546" s="2" t="s">
        <v>5759</v>
      </c>
      <c r="E4546" t="s">
        <v>5621</v>
      </c>
      <c r="F4546" t="s">
        <v>377</v>
      </c>
      <c r="G4546" t="s">
        <v>21</v>
      </c>
      <c r="H4546" t="s">
        <v>378</v>
      </c>
      <c r="I4546" t="s">
        <v>23</v>
      </c>
      <c r="J4546" t="s">
        <v>2620</v>
      </c>
      <c r="K4546" s="2" t="s">
        <v>3310</v>
      </c>
      <c r="L4546" t="s">
        <v>26</v>
      </c>
      <c r="M4546">
        <v>344513</v>
      </c>
      <c r="N4546">
        <v>1</v>
      </c>
      <c r="O4546" s="3">
        <v>24950</v>
      </c>
      <c r="P4546" s="3">
        <v>12110</v>
      </c>
      <c r="Q4546" s="5">
        <f t="shared" si="210"/>
        <v>20966.386554621851</v>
      </c>
      <c r="R4546" s="5">
        <f t="shared" si="211"/>
        <v>12110</v>
      </c>
      <c r="S4546" s="5">
        <f t="shared" si="212"/>
        <v>8856.3865546218512</v>
      </c>
    </row>
    <row r="4547" spans="1:19" hidden="1" x14ac:dyDescent="0.3">
      <c r="A4547">
        <v>180</v>
      </c>
      <c r="B4547" t="s">
        <v>5549</v>
      </c>
      <c r="C4547" t="s">
        <v>3603</v>
      </c>
      <c r="D4547" s="2" t="s">
        <v>3604</v>
      </c>
      <c r="E4547" t="s">
        <v>428</v>
      </c>
      <c r="F4547" t="s">
        <v>20</v>
      </c>
      <c r="G4547" t="s">
        <v>21</v>
      </c>
      <c r="H4547" t="s">
        <v>429</v>
      </c>
      <c r="I4547" t="s">
        <v>23</v>
      </c>
      <c r="J4547" t="s">
        <v>49</v>
      </c>
      <c r="K4547" s="2" t="s">
        <v>3310</v>
      </c>
      <c r="L4547" t="s">
        <v>26</v>
      </c>
      <c r="M4547">
        <v>344514</v>
      </c>
      <c r="N4547">
        <v>1</v>
      </c>
      <c r="O4547" s="3">
        <v>59991</v>
      </c>
      <c r="P4547" s="3">
        <v>28718</v>
      </c>
      <c r="Q4547" s="5">
        <f t="shared" si="210"/>
        <v>50412.60504201681</v>
      </c>
      <c r="R4547" s="5">
        <f t="shared" si="211"/>
        <v>28718</v>
      </c>
      <c r="S4547" s="5">
        <f t="shared" si="212"/>
        <v>21694.60504201681</v>
      </c>
    </row>
    <row r="4548" spans="1:19" hidden="1" x14ac:dyDescent="0.3">
      <c r="A4548">
        <v>180</v>
      </c>
      <c r="B4548" t="s">
        <v>5549</v>
      </c>
      <c r="C4548" t="s">
        <v>2644</v>
      </c>
      <c r="D4548" s="2" t="s">
        <v>2645</v>
      </c>
      <c r="E4548" t="s">
        <v>428</v>
      </c>
      <c r="F4548" t="s">
        <v>20</v>
      </c>
      <c r="G4548" t="s">
        <v>21</v>
      </c>
      <c r="H4548" t="s">
        <v>429</v>
      </c>
      <c r="I4548" t="s">
        <v>23</v>
      </c>
      <c r="J4548" t="s">
        <v>49</v>
      </c>
      <c r="K4548" s="2" t="s">
        <v>3310</v>
      </c>
      <c r="L4548" t="s">
        <v>26</v>
      </c>
      <c r="M4548">
        <v>344514</v>
      </c>
      <c r="N4548">
        <v>-1</v>
      </c>
      <c r="O4548" s="3">
        <v>-59990</v>
      </c>
      <c r="P4548" s="3">
        <v>28864</v>
      </c>
      <c r="Q4548" s="5">
        <f t="shared" si="210"/>
        <v>-50411.764705882357</v>
      </c>
      <c r="R4548" s="5">
        <f t="shared" si="211"/>
        <v>-28864</v>
      </c>
      <c r="S4548" s="5">
        <f t="shared" si="212"/>
        <v>-21547.764705882357</v>
      </c>
    </row>
    <row r="4549" spans="1:19" hidden="1" x14ac:dyDescent="0.3">
      <c r="A4549">
        <v>180</v>
      </c>
      <c r="B4549" t="s">
        <v>5549</v>
      </c>
      <c r="C4549" t="s">
        <v>5760</v>
      </c>
      <c r="D4549" s="2" t="s">
        <v>5761</v>
      </c>
      <c r="E4549" t="s">
        <v>3804</v>
      </c>
      <c r="F4549" t="s">
        <v>20</v>
      </c>
      <c r="G4549" t="s">
        <v>338</v>
      </c>
      <c r="H4549">
        <v>24200</v>
      </c>
      <c r="I4549" t="s">
        <v>23</v>
      </c>
      <c r="J4549" t="s">
        <v>95</v>
      </c>
      <c r="K4549" s="2" t="s">
        <v>3310</v>
      </c>
      <c r="L4549" t="s">
        <v>26</v>
      </c>
      <c r="M4549">
        <v>344515</v>
      </c>
      <c r="N4549">
        <v>1</v>
      </c>
      <c r="O4549" s="3">
        <v>84950</v>
      </c>
      <c r="P4549" s="3">
        <v>27291</v>
      </c>
      <c r="Q4549" s="5">
        <f t="shared" si="210"/>
        <v>71386.554621848743</v>
      </c>
      <c r="R4549" s="5">
        <f t="shared" si="211"/>
        <v>27291</v>
      </c>
      <c r="S4549" s="5">
        <f t="shared" si="212"/>
        <v>44095.554621848743</v>
      </c>
    </row>
    <row r="4550" spans="1:19" hidden="1" x14ac:dyDescent="0.3">
      <c r="A4550">
        <v>180</v>
      </c>
      <c r="B4550" t="s">
        <v>5549</v>
      </c>
      <c r="C4550" t="s">
        <v>5762</v>
      </c>
      <c r="D4550" s="2" t="s">
        <v>5763</v>
      </c>
      <c r="E4550" t="s">
        <v>4768</v>
      </c>
      <c r="F4550" t="s">
        <v>20</v>
      </c>
      <c r="G4550" t="s">
        <v>21</v>
      </c>
      <c r="H4550" t="s">
        <v>2782</v>
      </c>
      <c r="I4550" t="s">
        <v>23</v>
      </c>
      <c r="J4550" t="s">
        <v>40</v>
      </c>
      <c r="K4550" s="2" t="s">
        <v>3310</v>
      </c>
      <c r="L4550" t="s">
        <v>26</v>
      </c>
      <c r="M4550">
        <v>344516</v>
      </c>
      <c r="N4550">
        <v>1</v>
      </c>
      <c r="O4550" s="3">
        <v>69950</v>
      </c>
      <c r="P4550" s="3">
        <v>23697</v>
      </c>
      <c r="Q4550" s="5">
        <f t="shared" ref="Q4550:Q4613" si="213">O4550/1.19</f>
        <v>58781.512605042022</v>
      </c>
      <c r="R4550" s="5">
        <f t="shared" ref="R4550:R4613" si="214">N4550*P4550</f>
        <v>23697</v>
      </c>
      <c r="S4550" s="5">
        <f t="shared" ref="S4550:S4613" si="215">Q4550-R4550</f>
        <v>35084.512605042022</v>
      </c>
    </row>
    <row r="4551" spans="1:19" hidden="1" x14ac:dyDescent="0.3">
      <c r="A4551">
        <v>180</v>
      </c>
      <c r="B4551" t="s">
        <v>5549</v>
      </c>
      <c r="C4551" t="s">
        <v>5437</v>
      </c>
      <c r="D4551" s="2" t="s">
        <v>5438</v>
      </c>
      <c r="E4551" t="s">
        <v>3666</v>
      </c>
      <c r="F4551" t="s">
        <v>20</v>
      </c>
      <c r="G4551" t="s">
        <v>338</v>
      </c>
      <c r="H4551">
        <v>24316</v>
      </c>
      <c r="I4551" t="s">
        <v>23</v>
      </c>
      <c r="J4551" t="s">
        <v>49</v>
      </c>
      <c r="K4551" s="2" t="s">
        <v>3310</v>
      </c>
      <c r="L4551" t="s">
        <v>26</v>
      </c>
      <c r="M4551">
        <v>344517</v>
      </c>
      <c r="N4551">
        <v>1</v>
      </c>
      <c r="O4551" s="3">
        <v>63700</v>
      </c>
      <c r="P4551" s="3">
        <v>23473</v>
      </c>
      <c r="Q4551" s="5">
        <f t="shared" si="213"/>
        <v>53529.411764705888</v>
      </c>
      <c r="R4551" s="5">
        <f t="shared" si="214"/>
        <v>23473</v>
      </c>
      <c r="S4551" s="5">
        <f t="shared" si="215"/>
        <v>30056.411764705888</v>
      </c>
    </row>
    <row r="4552" spans="1:19" hidden="1" x14ac:dyDescent="0.3">
      <c r="A4552">
        <v>180</v>
      </c>
      <c r="B4552" t="s">
        <v>5549</v>
      </c>
      <c r="C4552" t="s">
        <v>5764</v>
      </c>
      <c r="D4552" s="2" t="s">
        <v>5765</v>
      </c>
      <c r="E4552" t="s">
        <v>3914</v>
      </c>
      <c r="F4552" t="s">
        <v>20</v>
      </c>
      <c r="G4552" t="s">
        <v>338</v>
      </c>
      <c r="H4552">
        <v>24316</v>
      </c>
      <c r="I4552" t="s">
        <v>23</v>
      </c>
      <c r="J4552" t="s">
        <v>49</v>
      </c>
      <c r="K4552" s="2" t="s">
        <v>3310</v>
      </c>
      <c r="L4552" t="s">
        <v>26</v>
      </c>
      <c r="M4552">
        <v>344517</v>
      </c>
      <c r="N4552">
        <v>1</v>
      </c>
      <c r="O4552" s="3">
        <v>74950</v>
      </c>
      <c r="P4552" s="3">
        <v>23473</v>
      </c>
      <c r="Q4552" s="5">
        <f t="shared" si="213"/>
        <v>62983.193277310929</v>
      </c>
      <c r="R4552" s="5">
        <f t="shared" si="214"/>
        <v>23473</v>
      </c>
      <c r="S4552" s="5">
        <f t="shared" si="215"/>
        <v>39510.193277310929</v>
      </c>
    </row>
    <row r="4553" spans="1:19" hidden="1" x14ac:dyDescent="0.3">
      <c r="A4553">
        <v>180</v>
      </c>
      <c r="B4553" t="s">
        <v>5549</v>
      </c>
      <c r="C4553" t="s">
        <v>5766</v>
      </c>
      <c r="D4553" s="2" t="s">
        <v>5767</v>
      </c>
      <c r="E4553" t="s">
        <v>2493</v>
      </c>
      <c r="F4553" t="s">
        <v>20</v>
      </c>
      <c r="G4553" t="s">
        <v>21</v>
      </c>
      <c r="H4553" t="s">
        <v>2494</v>
      </c>
      <c r="I4553" t="s">
        <v>23</v>
      </c>
      <c r="J4553" t="s">
        <v>40</v>
      </c>
      <c r="K4553" s="2" t="s">
        <v>3310</v>
      </c>
      <c r="L4553" t="s">
        <v>26</v>
      </c>
      <c r="M4553">
        <v>344518</v>
      </c>
      <c r="N4553">
        <v>1</v>
      </c>
      <c r="O4553" s="3">
        <v>69950</v>
      </c>
      <c r="P4553" s="3">
        <v>22206</v>
      </c>
      <c r="Q4553" s="5">
        <f t="shared" si="213"/>
        <v>58781.512605042022</v>
      </c>
      <c r="R4553" s="5">
        <f t="shared" si="214"/>
        <v>22206</v>
      </c>
      <c r="S4553" s="5">
        <f t="shared" si="215"/>
        <v>36575.512605042022</v>
      </c>
    </row>
    <row r="4554" spans="1:19" hidden="1" x14ac:dyDescent="0.3">
      <c r="A4554">
        <v>180</v>
      </c>
      <c r="B4554" t="s">
        <v>5549</v>
      </c>
      <c r="C4554" t="s">
        <v>2296</v>
      </c>
      <c r="D4554" s="2" t="s">
        <v>2297</v>
      </c>
      <c r="E4554" t="s">
        <v>2298</v>
      </c>
      <c r="F4554" t="s">
        <v>20</v>
      </c>
      <c r="G4554" t="s">
        <v>21</v>
      </c>
      <c r="H4554" t="s">
        <v>2189</v>
      </c>
      <c r="I4554" t="s">
        <v>23</v>
      </c>
      <c r="J4554" t="s">
        <v>40</v>
      </c>
      <c r="K4554" s="2" t="s">
        <v>3310</v>
      </c>
      <c r="L4554" t="s">
        <v>26</v>
      </c>
      <c r="M4554">
        <v>344519</v>
      </c>
      <c r="N4554">
        <v>1</v>
      </c>
      <c r="O4554" s="3">
        <v>64950</v>
      </c>
      <c r="P4554" s="3">
        <v>20781</v>
      </c>
      <c r="Q4554" s="5">
        <f t="shared" si="213"/>
        <v>54579.831932773115</v>
      </c>
      <c r="R4554" s="5">
        <f t="shared" si="214"/>
        <v>20781</v>
      </c>
      <c r="S4554" s="5">
        <f t="shared" si="215"/>
        <v>33798.831932773115</v>
      </c>
    </row>
    <row r="4555" spans="1:19" hidden="1" x14ac:dyDescent="0.3">
      <c r="A4555">
        <v>180</v>
      </c>
      <c r="B4555" t="s">
        <v>5549</v>
      </c>
      <c r="C4555" t="s">
        <v>1334</v>
      </c>
      <c r="D4555" s="2" t="s">
        <v>1335</v>
      </c>
      <c r="E4555" t="s">
        <v>1336</v>
      </c>
      <c r="F4555" t="s">
        <v>20</v>
      </c>
      <c r="G4555" t="s">
        <v>21</v>
      </c>
      <c r="H4555" t="s">
        <v>1337</v>
      </c>
      <c r="I4555" t="s">
        <v>23</v>
      </c>
      <c r="J4555" t="s">
        <v>49</v>
      </c>
      <c r="K4555" s="2" t="s">
        <v>3310</v>
      </c>
      <c r="L4555" t="s">
        <v>26</v>
      </c>
      <c r="M4555">
        <v>344519</v>
      </c>
      <c r="N4555">
        <v>-1</v>
      </c>
      <c r="O4555" s="3">
        <v>-59950</v>
      </c>
      <c r="P4555" s="3">
        <v>19049</v>
      </c>
      <c r="Q4555" s="5">
        <f t="shared" si="213"/>
        <v>-50378.151260504201</v>
      </c>
      <c r="R4555" s="5">
        <f t="shared" si="214"/>
        <v>-19049</v>
      </c>
      <c r="S4555" s="5">
        <f t="shared" si="215"/>
        <v>-31329.151260504201</v>
      </c>
    </row>
    <row r="4556" spans="1:19" hidden="1" x14ac:dyDescent="0.3">
      <c r="A4556">
        <v>180</v>
      </c>
      <c r="B4556" t="s">
        <v>5549</v>
      </c>
      <c r="C4556" t="s">
        <v>4105</v>
      </c>
      <c r="D4556" s="2" t="s">
        <v>4106</v>
      </c>
      <c r="E4556" t="s">
        <v>2959</v>
      </c>
      <c r="F4556" t="s">
        <v>20</v>
      </c>
      <c r="G4556" t="s">
        <v>338</v>
      </c>
      <c r="H4556">
        <v>25529</v>
      </c>
      <c r="I4556" t="s">
        <v>23</v>
      </c>
      <c r="J4556" t="s">
        <v>31</v>
      </c>
      <c r="K4556" s="2" t="s">
        <v>3310</v>
      </c>
      <c r="L4556" t="s">
        <v>26</v>
      </c>
      <c r="M4556">
        <v>344520</v>
      </c>
      <c r="N4556">
        <v>1</v>
      </c>
      <c r="O4556" s="3">
        <v>149950</v>
      </c>
      <c r="P4556" s="3">
        <v>50690</v>
      </c>
      <c r="Q4556" s="5">
        <f t="shared" si="213"/>
        <v>126008.40336134455</v>
      </c>
      <c r="R4556" s="5">
        <f t="shared" si="214"/>
        <v>50690</v>
      </c>
      <c r="S4556" s="5">
        <f t="shared" si="215"/>
        <v>75318.40336134455</v>
      </c>
    </row>
    <row r="4557" spans="1:19" hidden="1" x14ac:dyDescent="0.3">
      <c r="A4557">
        <v>180</v>
      </c>
      <c r="B4557" t="s">
        <v>5549</v>
      </c>
      <c r="C4557" t="s">
        <v>5768</v>
      </c>
      <c r="D4557" s="2" t="s">
        <v>5769</v>
      </c>
      <c r="E4557" t="s">
        <v>5688</v>
      </c>
      <c r="F4557" t="s">
        <v>20</v>
      </c>
      <c r="G4557" t="s">
        <v>338</v>
      </c>
      <c r="H4557">
        <v>23724</v>
      </c>
      <c r="I4557" t="s">
        <v>23</v>
      </c>
      <c r="J4557" t="s">
        <v>40</v>
      </c>
      <c r="K4557" s="2" t="s">
        <v>3310</v>
      </c>
      <c r="L4557" t="s">
        <v>26</v>
      </c>
      <c r="M4557">
        <v>344521</v>
      </c>
      <c r="N4557">
        <v>1</v>
      </c>
      <c r="O4557" s="3">
        <v>79950</v>
      </c>
      <c r="P4557" s="3">
        <v>26332</v>
      </c>
      <c r="Q4557" s="5">
        <f t="shared" si="213"/>
        <v>67184.873949579836</v>
      </c>
      <c r="R4557" s="5">
        <f t="shared" si="214"/>
        <v>26332</v>
      </c>
      <c r="S4557" s="5">
        <f t="shared" si="215"/>
        <v>40852.873949579836</v>
      </c>
    </row>
    <row r="4558" spans="1:19" hidden="1" x14ac:dyDescent="0.3">
      <c r="A4558">
        <v>180</v>
      </c>
      <c r="B4558" t="s">
        <v>5549</v>
      </c>
      <c r="C4558" t="s">
        <v>4167</v>
      </c>
      <c r="D4558" s="2" t="s">
        <v>4168</v>
      </c>
      <c r="E4558" t="s">
        <v>3691</v>
      </c>
      <c r="F4558" t="s">
        <v>20</v>
      </c>
      <c r="G4558" t="s">
        <v>338</v>
      </c>
      <c r="H4558">
        <v>23727</v>
      </c>
      <c r="I4558" t="s">
        <v>23</v>
      </c>
      <c r="J4558" t="s">
        <v>40</v>
      </c>
      <c r="K4558" s="2" t="s">
        <v>3310</v>
      </c>
      <c r="L4558" t="s">
        <v>26</v>
      </c>
      <c r="M4558">
        <v>344521</v>
      </c>
      <c r="N4558">
        <v>-1</v>
      </c>
      <c r="O4558" s="3">
        <v>-49990</v>
      </c>
      <c r="P4558" s="3">
        <v>26539</v>
      </c>
      <c r="Q4558" s="5">
        <f t="shared" si="213"/>
        <v>-42008.403361344543</v>
      </c>
      <c r="R4558" s="5">
        <f t="shared" si="214"/>
        <v>-26539</v>
      </c>
      <c r="S4558" s="5">
        <f t="shared" si="215"/>
        <v>-15469.403361344543</v>
      </c>
    </row>
    <row r="4559" spans="1:19" hidden="1" x14ac:dyDescent="0.3">
      <c r="A4559">
        <v>180</v>
      </c>
      <c r="B4559" t="s">
        <v>5549</v>
      </c>
      <c r="C4559" t="s">
        <v>5770</v>
      </c>
      <c r="D4559" s="2" t="s">
        <v>5771</v>
      </c>
      <c r="E4559" t="s">
        <v>5323</v>
      </c>
      <c r="F4559" t="s">
        <v>20</v>
      </c>
      <c r="G4559" t="s">
        <v>338</v>
      </c>
      <c r="H4559">
        <v>25908</v>
      </c>
      <c r="I4559" t="s">
        <v>23</v>
      </c>
      <c r="J4559" t="s">
        <v>35</v>
      </c>
      <c r="K4559" s="2" t="s">
        <v>3310</v>
      </c>
      <c r="L4559" t="s">
        <v>26</v>
      </c>
      <c r="M4559">
        <v>344522</v>
      </c>
      <c r="N4559">
        <v>1</v>
      </c>
      <c r="O4559" s="3">
        <v>89950</v>
      </c>
      <c r="P4559" s="3">
        <v>27207</v>
      </c>
      <c r="Q4559" s="5">
        <f t="shared" si="213"/>
        <v>75588.23529411765</v>
      </c>
      <c r="R4559" s="5">
        <f t="shared" si="214"/>
        <v>27207</v>
      </c>
      <c r="S4559" s="5">
        <f t="shared" si="215"/>
        <v>48381.23529411765</v>
      </c>
    </row>
    <row r="4560" spans="1:19" hidden="1" x14ac:dyDescent="0.3">
      <c r="A4560">
        <v>180</v>
      </c>
      <c r="B4560" t="s">
        <v>5549</v>
      </c>
      <c r="C4560" t="s">
        <v>3294</v>
      </c>
      <c r="D4560" s="2" t="s">
        <v>3295</v>
      </c>
      <c r="E4560" t="s">
        <v>3296</v>
      </c>
      <c r="F4560" t="s">
        <v>377</v>
      </c>
      <c r="G4560" t="s">
        <v>21</v>
      </c>
      <c r="H4560" t="s">
        <v>378</v>
      </c>
      <c r="I4560" t="s">
        <v>23</v>
      </c>
      <c r="J4560" t="s">
        <v>3297</v>
      </c>
      <c r="K4560" s="2" t="s">
        <v>3310</v>
      </c>
      <c r="L4560" t="s">
        <v>26</v>
      </c>
      <c r="M4560">
        <v>344522</v>
      </c>
      <c r="N4560">
        <v>1</v>
      </c>
      <c r="O4560">
        <v>500</v>
      </c>
      <c r="P4560">
        <v>358</v>
      </c>
      <c r="Q4560" s="5">
        <f t="shared" si="213"/>
        <v>420.1680672268908</v>
      </c>
      <c r="R4560" s="5">
        <f t="shared" si="214"/>
        <v>358</v>
      </c>
      <c r="S4560" s="5">
        <f t="shared" si="215"/>
        <v>62.168067226890798</v>
      </c>
    </row>
    <row r="4561" spans="1:19" hidden="1" x14ac:dyDescent="0.3">
      <c r="A4561">
        <v>180</v>
      </c>
      <c r="B4561" t="s">
        <v>5549</v>
      </c>
      <c r="C4561" t="s">
        <v>1005</v>
      </c>
      <c r="D4561" s="2" t="s">
        <v>1006</v>
      </c>
      <c r="E4561" t="s">
        <v>1007</v>
      </c>
      <c r="F4561" t="s">
        <v>20</v>
      </c>
      <c r="G4561" t="s">
        <v>21</v>
      </c>
      <c r="H4561" t="s">
        <v>22</v>
      </c>
      <c r="I4561" t="s">
        <v>23</v>
      </c>
      <c r="J4561" t="s">
        <v>31</v>
      </c>
      <c r="K4561" s="2" t="s">
        <v>3310</v>
      </c>
      <c r="L4561" t="s">
        <v>26</v>
      </c>
      <c r="M4561">
        <v>344523</v>
      </c>
      <c r="N4561">
        <v>1</v>
      </c>
      <c r="O4561" s="3">
        <v>84990</v>
      </c>
      <c r="P4561" s="3">
        <v>49625</v>
      </c>
      <c r="Q4561" s="5">
        <f t="shared" si="213"/>
        <v>71420.168067226899</v>
      </c>
      <c r="R4561" s="5">
        <f t="shared" si="214"/>
        <v>49625</v>
      </c>
      <c r="S4561" s="5">
        <f t="shared" si="215"/>
        <v>21795.168067226899</v>
      </c>
    </row>
    <row r="4562" spans="1:19" hidden="1" x14ac:dyDescent="0.3">
      <c r="A4562">
        <v>180</v>
      </c>
      <c r="B4562" t="s">
        <v>5549</v>
      </c>
      <c r="C4562" t="s">
        <v>5772</v>
      </c>
      <c r="D4562" s="2" t="s">
        <v>5773</v>
      </c>
      <c r="E4562" t="s">
        <v>3219</v>
      </c>
      <c r="F4562" t="s">
        <v>20</v>
      </c>
      <c r="G4562" t="s">
        <v>21</v>
      </c>
      <c r="H4562" t="s">
        <v>1296</v>
      </c>
      <c r="I4562" t="s">
        <v>23</v>
      </c>
      <c r="J4562" t="s">
        <v>35</v>
      </c>
      <c r="K4562" s="2" t="s">
        <v>3310</v>
      </c>
      <c r="L4562" t="s">
        <v>26</v>
      </c>
      <c r="M4562">
        <v>344524</v>
      </c>
      <c r="N4562">
        <v>1</v>
      </c>
      <c r="O4562" s="3">
        <v>69990</v>
      </c>
      <c r="P4562" s="3">
        <v>34091</v>
      </c>
      <c r="Q4562" s="5">
        <f t="shared" si="213"/>
        <v>58815.126050420171</v>
      </c>
      <c r="R4562" s="5">
        <f t="shared" si="214"/>
        <v>34091</v>
      </c>
      <c r="S4562" s="5">
        <f t="shared" si="215"/>
        <v>24724.126050420171</v>
      </c>
    </row>
    <row r="4563" spans="1:19" hidden="1" x14ac:dyDescent="0.3">
      <c r="A4563">
        <v>180</v>
      </c>
      <c r="B4563" t="s">
        <v>5549</v>
      </c>
      <c r="C4563" t="s">
        <v>5738</v>
      </c>
      <c r="D4563" s="2" t="s">
        <v>5739</v>
      </c>
      <c r="E4563" t="s">
        <v>2708</v>
      </c>
      <c r="F4563" t="s">
        <v>20</v>
      </c>
      <c r="G4563" t="s">
        <v>21</v>
      </c>
      <c r="H4563" t="s">
        <v>783</v>
      </c>
      <c r="I4563" t="s">
        <v>23</v>
      </c>
      <c r="J4563" t="s">
        <v>40</v>
      </c>
      <c r="K4563" s="2" t="s">
        <v>3310</v>
      </c>
      <c r="L4563" t="s">
        <v>26</v>
      </c>
      <c r="M4563">
        <v>344525</v>
      </c>
      <c r="N4563">
        <v>1</v>
      </c>
      <c r="O4563" s="3">
        <v>54950</v>
      </c>
      <c r="P4563" s="3">
        <v>19451</v>
      </c>
      <c r="Q4563" s="5">
        <f t="shared" si="213"/>
        <v>46176.470588235294</v>
      </c>
      <c r="R4563" s="5">
        <f t="shared" si="214"/>
        <v>19451</v>
      </c>
      <c r="S4563" s="5">
        <f t="shared" si="215"/>
        <v>26725.470588235294</v>
      </c>
    </row>
    <row r="4564" spans="1:19" hidden="1" x14ac:dyDescent="0.3">
      <c r="A4564">
        <v>180</v>
      </c>
      <c r="B4564" t="s">
        <v>5549</v>
      </c>
      <c r="C4564" t="s">
        <v>3294</v>
      </c>
      <c r="D4564" s="2" t="s">
        <v>3295</v>
      </c>
      <c r="E4564" t="s">
        <v>3296</v>
      </c>
      <c r="F4564" t="s">
        <v>377</v>
      </c>
      <c r="G4564" t="s">
        <v>21</v>
      </c>
      <c r="H4564" t="s">
        <v>378</v>
      </c>
      <c r="I4564" t="s">
        <v>23</v>
      </c>
      <c r="J4564" t="s">
        <v>3297</v>
      </c>
      <c r="K4564" s="2" t="s">
        <v>3310</v>
      </c>
      <c r="L4564" t="s">
        <v>26</v>
      </c>
      <c r="M4564">
        <v>344525</v>
      </c>
      <c r="N4564">
        <v>1</v>
      </c>
      <c r="O4564">
        <v>500</v>
      </c>
      <c r="P4564">
        <v>358</v>
      </c>
      <c r="Q4564" s="5">
        <f t="shared" si="213"/>
        <v>420.1680672268908</v>
      </c>
      <c r="R4564" s="5">
        <f t="shared" si="214"/>
        <v>358</v>
      </c>
      <c r="S4564" s="5">
        <f t="shared" si="215"/>
        <v>62.168067226890798</v>
      </c>
    </row>
    <row r="4565" spans="1:19" hidden="1" x14ac:dyDescent="0.3">
      <c r="A4565">
        <v>180</v>
      </c>
      <c r="B4565" t="s">
        <v>5549</v>
      </c>
      <c r="C4565" t="s">
        <v>5748</v>
      </c>
      <c r="D4565" s="2" t="s">
        <v>5749</v>
      </c>
      <c r="E4565" t="s">
        <v>5750</v>
      </c>
      <c r="F4565" t="s">
        <v>377</v>
      </c>
      <c r="G4565" t="s">
        <v>21</v>
      </c>
      <c r="H4565" t="s">
        <v>378</v>
      </c>
      <c r="I4565" t="s">
        <v>23</v>
      </c>
      <c r="J4565" t="s">
        <v>5704</v>
      </c>
      <c r="K4565" s="2" t="s">
        <v>3310</v>
      </c>
      <c r="L4565" t="s">
        <v>26</v>
      </c>
      <c r="M4565">
        <v>344525</v>
      </c>
      <c r="N4565">
        <v>1</v>
      </c>
      <c r="O4565" s="3">
        <v>10950</v>
      </c>
      <c r="P4565" s="3">
        <v>6653</v>
      </c>
      <c r="Q4565" s="5">
        <f t="shared" si="213"/>
        <v>9201.6806722689071</v>
      </c>
      <c r="R4565" s="5">
        <f t="shared" si="214"/>
        <v>6653</v>
      </c>
      <c r="S4565" s="5">
        <f t="shared" si="215"/>
        <v>2548.6806722689071</v>
      </c>
    </row>
    <row r="4566" spans="1:19" hidden="1" x14ac:dyDescent="0.3">
      <c r="A4566">
        <v>180</v>
      </c>
      <c r="B4566" t="s">
        <v>5549</v>
      </c>
      <c r="C4566" t="s">
        <v>5774</v>
      </c>
      <c r="D4566" s="2" t="s">
        <v>5775</v>
      </c>
      <c r="E4566" t="s">
        <v>5776</v>
      </c>
      <c r="F4566" t="s">
        <v>377</v>
      </c>
      <c r="G4566" t="s">
        <v>21</v>
      </c>
      <c r="H4566" t="s">
        <v>378</v>
      </c>
      <c r="I4566" t="s">
        <v>23</v>
      </c>
      <c r="J4566" t="s">
        <v>5704</v>
      </c>
      <c r="K4566" s="2" t="s">
        <v>3310</v>
      </c>
      <c r="L4566" t="s">
        <v>26</v>
      </c>
      <c r="M4566">
        <v>344525</v>
      </c>
      <c r="N4566">
        <v>1</v>
      </c>
      <c r="O4566" s="3">
        <v>4450</v>
      </c>
      <c r="P4566" s="3">
        <v>2206</v>
      </c>
      <c r="Q4566" s="5">
        <f t="shared" si="213"/>
        <v>3739.4957983193281</v>
      </c>
      <c r="R4566" s="5">
        <f t="shared" si="214"/>
        <v>2206</v>
      </c>
      <c r="S4566" s="5">
        <f t="shared" si="215"/>
        <v>1533.4957983193281</v>
      </c>
    </row>
    <row r="4567" spans="1:19" hidden="1" x14ac:dyDescent="0.3">
      <c r="A4567">
        <v>180</v>
      </c>
      <c r="B4567" t="s">
        <v>5549</v>
      </c>
      <c r="C4567" t="s">
        <v>2625</v>
      </c>
      <c r="D4567" s="2" t="s">
        <v>2626</v>
      </c>
      <c r="E4567" t="s">
        <v>2539</v>
      </c>
      <c r="F4567" t="s">
        <v>20</v>
      </c>
      <c r="G4567" t="s">
        <v>21</v>
      </c>
      <c r="H4567" t="s">
        <v>966</v>
      </c>
      <c r="I4567" t="s">
        <v>23</v>
      </c>
      <c r="J4567" t="s">
        <v>35</v>
      </c>
      <c r="K4567" s="2" t="s">
        <v>3366</v>
      </c>
      <c r="L4567" t="s">
        <v>26</v>
      </c>
      <c r="M4567">
        <v>344526</v>
      </c>
      <c r="N4567">
        <v>1</v>
      </c>
      <c r="O4567" s="3">
        <v>74950</v>
      </c>
      <c r="P4567" s="3">
        <v>27026</v>
      </c>
      <c r="Q4567" s="5">
        <f t="shared" si="213"/>
        <v>62983.193277310929</v>
      </c>
      <c r="R4567" s="5">
        <f t="shared" si="214"/>
        <v>27026</v>
      </c>
      <c r="S4567" s="5">
        <f t="shared" si="215"/>
        <v>35957.193277310929</v>
      </c>
    </row>
    <row r="4568" spans="1:19" hidden="1" x14ac:dyDescent="0.3">
      <c r="A4568">
        <v>180</v>
      </c>
      <c r="B4568" t="s">
        <v>5549</v>
      </c>
      <c r="C4568" t="s">
        <v>3294</v>
      </c>
      <c r="D4568" s="2" t="s">
        <v>3295</v>
      </c>
      <c r="E4568" t="s">
        <v>3296</v>
      </c>
      <c r="F4568" t="s">
        <v>377</v>
      </c>
      <c r="G4568" t="s">
        <v>21</v>
      </c>
      <c r="H4568" t="s">
        <v>378</v>
      </c>
      <c r="I4568" t="s">
        <v>23</v>
      </c>
      <c r="J4568" t="s">
        <v>3297</v>
      </c>
      <c r="K4568" s="2" t="s">
        <v>3366</v>
      </c>
      <c r="L4568" t="s">
        <v>26</v>
      </c>
      <c r="M4568">
        <v>344526</v>
      </c>
      <c r="N4568">
        <v>1</v>
      </c>
      <c r="O4568">
        <v>500</v>
      </c>
      <c r="P4568">
        <v>358</v>
      </c>
      <c r="Q4568" s="5">
        <f t="shared" si="213"/>
        <v>420.1680672268908</v>
      </c>
      <c r="R4568" s="5">
        <f t="shared" si="214"/>
        <v>358</v>
      </c>
      <c r="S4568" s="5">
        <f t="shared" si="215"/>
        <v>62.168067226890798</v>
      </c>
    </row>
    <row r="4569" spans="1:19" hidden="1" x14ac:dyDescent="0.3">
      <c r="A4569">
        <v>180</v>
      </c>
      <c r="B4569" t="s">
        <v>5549</v>
      </c>
      <c r="C4569" t="s">
        <v>3885</v>
      </c>
      <c r="D4569" s="2" t="s">
        <v>3886</v>
      </c>
      <c r="E4569" t="s">
        <v>2986</v>
      </c>
      <c r="F4569" t="s">
        <v>20</v>
      </c>
      <c r="G4569" t="s">
        <v>21</v>
      </c>
      <c r="H4569" t="s">
        <v>267</v>
      </c>
      <c r="I4569" t="s">
        <v>23</v>
      </c>
      <c r="J4569" t="s">
        <v>35</v>
      </c>
      <c r="K4569" s="2" t="s">
        <v>3366</v>
      </c>
      <c r="L4569" t="s">
        <v>26</v>
      </c>
      <c r="M4569">
        <v>344527</v>
      </c>
      <c r="N4569">
        <v>1</v>
      </c>
      <c r="O4569" s="3">
        <v>59990</v>
      </c>
      <c r="P4569" s="3">
        <v>24733</v>
      </c>
      <c r="Q4569" s="5">
        <f t="shared" si="213"/>
        <v>50411.764705882357</v>
      </c>
      <c r="R4569" s="5">
        <f t="shared" si="214"/>
        <v>24733</v>
      </c>
      <c r="S4569" s="5">
        <f t="shared" si="215"/>
        <v>25678.764705882357</v>
      </c>
    </row>
    <row r="4570" spans="1:19" hidden="1" x14ac:dyDescent="0.3">
      <c r="A4570">
        <v>180</v>
      </c>
      <c r="B4570" t="s">
        <v>5549</v>
      </c>
      <c r="C4570" t="s">
        <v>5777</v>
      </c>
      <c r="D4570" s="2" t="s">
        <v>5778</v>
      </c>
      <c r="E4570" t="s">
        <v>3058</v>
      </c>
      <c r="F4570" t="s">
        <v>20</v>
      </c>
      <c r="G4570" t="s">
        <v>338</v>
      </c>
      <c r="H4570">
        <v>26419</v>
      </c>
      <c r="I4570" t="s">
        <v>23</v>
      </c>
      <c r="J4570" t="s">
        <v>35</v>
      </c>
      <c r="K4570" s="2" t="s">
        <v>3366</v>
      </c>
      <c r="L4570" t="s">
        <v>26</v>
      </c>
      <c r="M4570">
        <v>344527</v>
      </c>
      <c r="N4570">
        <v>1</v>
      </c>
      <c r="O4570" s="3">
        <v>69990</v>
      </c>
      <c r="P4570" s="3">
        <v>24346</v>
      </c>
      <c r="Q4570" s="5">
        <f t="shared" si="213"/>
        <v>58815.126050420171</v>
      </c>
      <c r="R4570" s="5">
        <f t="shared" si="214"/>
        <v>24346</v>
      </c>
      <c r="S4570" s="5">
        <f t="shared" si="215"/>
        <v>34469.126050420171</v>
      </c>
    </row>
    <row r="4571" spans="1:19" hidden="1" x14ac:dyDescent="0.3">
      <c r="A4571">
        <v>180</v>
      </c>
      <c r="B4571" t="s">
        <v>5549</v>
      </c>
      <c r="C4571" t="s">
        <v>264</v>
      </c>
      <c r="D4571" s="2" t="s">
        <v>265</v>
      </c>
      <c r="E4571" t="s">
        <v>266</v>
      </c>
      <c r="F4571" t="s">
        <v>20</v>
      </c>
      <c r="G4571" t="s">
        <v>21</v>
      </c>
      <c r="H4571" t="s">
        <v>267</v>
      </c>
      <c r="I4571" t="s">
        <v>23</v>
      </c>
      <c r="J4571" t="s">
        <v>49</v>
      </c>
      <c r="K4571" s="2" t="s">
        <v>3366</v>
      </c>
      <c r="L4571" t="s">
        <v>26</v>
      </c>
      <c r="M4571">
        <v>344528</v>
      </c>
      <c r="N4571">
        <v>1</v>
      </c>
      <c r="O4571" s="3">
        <v>64950</v>
      </c>
      <c r="P4571" s="3">
        <v>24504</v>
      </c>
      <c r="Q4571" s="5">
        <f t="shared" si="213"/>
        <v>54579.831932773115</v>
      </c>
      <c r="R4571" s="5">
        <f t="shared" si="214"/>
        <v>24504</v>
      </c>
      <c r="S4571" s="5">
        <f t="shared" si="215"/>
        <v>30075.831932773115</v>
      </c>
    </row>
    <row r="4572" spans="1:19" hidden="1" x14ac:dyDescent="0.3">
      <c r="A4572">
        <v>180</v>
      </c>
      <c r="B4572" t="s">
        <v>5549</v>
      </c>
      <c r="C4572" t="s">
        <v>3294</v>
      </c>
      <c r="D4572" s="2" t="s">
        <v>3295</v>
      </c>
      <c r="E4572" t="s">
        <v>3296</v>
      </c>
      <c r="F4572" t="s">
        <v>377</v>
      </c>
      <c r="G4572" t="s">
        <v>21</v>
      </c>
      <c r="H4572" t="s">
        <v>378</v>
      </c>
      <c r="I4572" t="s">
        <v>23</v>
      </c>
      <c r="J4572" t="s">
        <v>3297</v>
      </c>
      <c r="K4572" s="2" t="s">
        <v>3366</v>
      </c>
      <c r="L4572" t="s">
        <v>26</v>
      </c>
      <c r="M4572">
        <v>344528</v>
      </c>
      <c r="N4572">
        <v>1</v>
      </c>
      <c r="O4572">
        <v>500</v>
      </c>
      <c r="P4572">
        <v>358</v>
      </c>
      <c r="Q4572" s="5">
        <f t="shared" si="213"/>
        <v>420.1680672268908</v>
      </c>
      <c r="R4572" s="5">
        <f t="shared" si="214"/>
        <v>358</v>
      </c>
      <c r="S4572" s="5">
        <f t="shared" si="215"/>
        <v>62.168067226890798</v>
      </c>
    </row>
    <row r="4573" spans="1:19" hidden="1" x14ac:dyDescent="0.3">
      <c r="A4573">
        <v>180</v>
      </c>
      <c r="B4573" t="s">
        <v>5549</v>
      </c>
      <c r="C4573" t="s">
        <v>2575</v>
      </c>
      <c r="D4573" s="2" t="s">
        <v>2576</v>
      </c>
      <c r="E4573" t="s">
        <v>2577</v>
      </c>
      <c r="F4573" t="s">
        <v>377</v>
      </c>
      <c r="G4573" t="s">
        <v>21</v>
      </c>
      <c r="H4573" t="s">
        <v>378</v>
      </c>
      <c r="I4573" t="s">
        <v>23</v>
      </c>
      <c r="J4573" t="s">
        <v>379</v>
      </c>
      <c r="K4573" s="2" t="s">
        <v>3366</v>
      </c>
      <c r="L4573" t="s">
        <v>26</v>
      </c>
      <c r="M4573">
        <v>344528</v>
      </c>
      <c r="N4573">
        <v>1</v>
      </c>
      <c r="O4573" s="3">
        <v>5950</v>
      </c>
      <c r="P4573" s="3">
        <v>3307</v>
      </c>
      <c r="Q4573" s="5">
        <f t="shared" si="213"/>
        <v>5000</v>
      </c>
      <c r="R4573" s="5">
        <f t="shared" si="214"/>
        <v>3307</v>
      </c>
      <c r="S4573" s="5">
        <f t="shared" si="215"/>
        <v>1693</v>
      </c>
    </row>
    <row r="4574" spans="1:19" hidden="1" x14ac:dyDescent="0.3">
      <c r="A4574">
        <v>180</v>
      </c>
      <c r="B4574" t="s">
        <v>5549</v>
      </c>
      <c r="C4574" t="s">
        <v>3084</v>
      </c>
      <c r="D4574" s="2" t="s">
        <v>3085</v>
      </c>
      <c r="E4574" t="s">
        <v>3086</v>
      </c>
      <c r="F4574" t="s">
        <v>20</v>
      </c>
      <c r="G4574" t="s">
        <v>21</v>
      </c>
      <c r="H4574" t="s">
        <v>1418</v>
      </c>
      <c r="I4574" t="s">
        <v>23</v>
      </c>
      <c r="J4574" t="s">
        <v>35</v>
      </c>
      <c r="K4574" s="2" t="s">
        <v>3366</v>
      </c>
      <c r="L4574" t="s">
        <v>26</v>
      </c>
      <c r="M4574">
        <v>344529</v>
      </c>
      <c r="N4574">
        <v>1</v>
      </c>
      <c r="O4574" s="3">
        <v>64990</v>
      </c>
      <c r="P4574" s="3">
        <v>29189</v>
      </c>
      <c r="Q4574" s="5">
        <f t="shared" si="213"/>
        <v>54613.445378151264</v>
      </c>
      <c r="R4574" s="5">
        <f t="shared" si="214"/>
        <v>29189</v>
      </c>
      <c r="S4574" s="5">
        <f t="shared" si="215"/>
        <v>25424.445378151264</v>
      </c>
    </row>
    <row r="4575" spans="1:19" hidden="1" x14ac:dyDescent="0.3">
      <c r="A4575">
        <v>180</v>
      </c>
      <c r="B4575" t="s">
        <v>5549</v>
      </c>
      <c r="C4575" t="s">
        <v>2830</v>
      </c>
      <c r="D4575" s="2" t="s">
        <v>2831</v>
      </c>
      <c r="E4575" t="s">
        <v>1330</v>
      </c>
      <c r="F4575" t="s">
        <v>20</v>
      </c>
      <c r="G4575" t="s">
        <v>338</v>
      </c>
      <c r="H4575">
        <v>25133</v>
      </c>
      <c r="I4575" t="s">
        <v>23</v>
      </c>
      <c r="J4575" t="s">
        <v>35</v>
      </c>
      <c r="K4575" s="2" t="s">
        <v>3366</v>
      </c>
      <c r="L4575" t="s">
        <v>26</v>
      </c>
      <c r="M4575">
        <v>344530</v>
      </c>
      <c r="N4575">
        <v>1</v>
      </c>
      <c r="O4575" s="3">
        <v>74950</v>
      </c>
      <c r="P4575" s="3">
        <v>21167</v>
      </c>
      <c r="Q4575" s="5">
        <f t="shared" si="213"/>
        <v>62983.193277310929</v>
      </c>
      <c r="R4575" s="5">
        <f t="shared" si="214"/>
        <v>21167</v>
      </c>
      <c r="S4575" s="5">
        <f t="shared" si="215"/>
        <v>41816.193277310929</v>
      </c>
    </row>
    <row r="4576" spans="1:19" hidden="1" x14ac:dyDescent="0.3">
      <c r="A4576">
        <v>180</v>
      </c>
      <c r="B4576" t="s">
        <v>5549</v>
      </c>
      <c r="C4576" t="s">
        <v>3294</v>
      </c>
      <c r="D4576" s="2" t="s">
        <v>3295</v>
      </c>
      <c r="E4576" t="s">
        <v>3296</v>
      </c>
      <c r="F4576" t="s">
        <v>377</v>
      </c>
      <c r="G4576" t="s">
        <v>21</v>
      </c>
      <c r="H4576" t="s">
        <v>378</v>
      </c>
      <c r="I4576" t="s">
        <v>23</v>
      </c>
      <c r="J4576" t="s">
        <v>3297</v>
      </c>
      <c r="K4576" s="2" t="s">
        <v>3366</v>
      </c>
      <c r="L4576" t="s">
        <v>26</v>
      </c>
      <c r="M4576">
        <v>344530</v>
      </c>
      <c r="N4576">
        <v>1</v>
      </c>
      <c r="O4576">
        <v>500</v>
      </c>
      <c r="P4576">
        <v>358</v>
      </c>
      <c r="Q4576" s="5">
        <f t="shared" si="213"/>
        <v>420.1680672268908</v>
      </c>
      <c r="R4576" s="5">
        <f t="shared" si="214"/>
        <v>358</v>
      </c>
      <c r="S4576" s="5">
        <f t="shared" si="215"/>
        <v>62.168067226890798</v>
      </c>
    </row>
    <row r="4577" spans="1:19" hidden="1" x14ac:dyDescent="0.3">
      <c r="A4577">
        <v>180</v>
      </c>
      <c r="B4577" t="s">
        <v>5549</v>
      </c>
      <c r="C4577" t="s">
        <v>2309</v>
      </c>
      <c r="D4577" s="2" t="s">
        <v>2310</v>
      </c>
      <c r="E4577" t="s">
        <v>2311</v>
      </c>
      <c r="F4577" t="s">
        <v>20</v>
      </c>
      <c r="G4577" t="s">
        <v>338</v>
      </c>
      <c r="H4577">
        <v>83716</v>
      </c>
      <c r="I4577" t="s">
        <v>23</v>
      </c>
      <c r="J4577" t="s">
        <v>40</v>
      </c>
      <c r="K4577" s="2" t="s">
        <v>3366</v>
      </c>
      <c r="L4577" t="s">
        <v>26</v>
      </c>
      <c r="M4577">
        <v>344531</v>
      </c>
      <c r="N4577">
        <v>1</v>
      </c>
      <c r="O4577" s="3">
        <v>76450</v>
      </c>
      <c r="P4577" s="3">
        <v>30263</v>
      </c>
      <c r="Q4577" s="5">
        <f t="shared" si="213"/>
        <v>64243.697478991598</v>
      </c>
      <c r="R4577" s="5">
        <f t="shared" si="214"/>
        <v>30263</v>
      </c>
      <c r="S4577" s="5">
        <f t="shared" si="215"/>
        <v>33980.697478991598</v>
      </c>
    </row>
    <row r="4578" spans="1:19" hidden="1" x14ac:dyDescent="0.3">
      <c r="A4578">
        <v>180</v>
      </c>
      <c r="B4578" t="s">
        <v>5549</v>
      </c>
      <c r="C4578" t="s">
        <v>3294</v>
      </c>
      <c r="D4578" s="2" t="s">
        <v>3295</v>
      </c>
      <c r="E4578" t="s">
        <v>3296</v>
      </c>
      <c r="F4578" t="s">
        <v>377</v>
      </c>
      <c r="G4578" t="s">
        <v>21</v>
      </c>
      <c r="H4578" t="s">
        <v>378</v>
      </c>
      <c r="I4578" t="s">
        <v>23</v>
      </c>
      <c r="J4578" t="s">
        <v>3297</v>
      </c>
      <c r="K4578" s="2" t="s">
        <v>3366</v>
      </c>
      <c r="L4578" t="s">
        <v>26</v>
      </c>
      <c r="M4578">
        <v>344531</v>
      </c>
      <c r="N4578">
        <v>1</v>
      </c>
      <c r="O4578">
        <v>500</v>
      </c>
      <c r="P4578">
        <v>358</v>
      </c>
      <c r="Q4578" s="5">
        <f t="shared" si="213"/>
        <v>420.1680672268908</v>
      </c>
      <c r="R4578" s="5">
        <f t="shared" si="214"/>
        <v>358</v>
      </c>
      <c r="S4578" s="5">
        <f t="shared" si="215"/>
        <v>62.168067226890798</v>
      </c>
    </row>
    <row r="4579" spans="1:19" hidden="1" x14ac:dyDescent="0.3">
      <c r="A4579">
        <v>180</v>
      </c>
      <c r="B4579" t="s">
        <v>5549</v>
      </c>
      <c r="C4579" t="s">
        <v>5779</v>
      </c>
      <c r="D4579" s="2" t="s">
        <v>5780</v>
      </c>
      <c r="E4579" t="s">
        <v>3323</v>
      </c>
      <c r="F4579" t="s">
        <v>20</v>
      </c>
      <c r="G4579" t="s">
        <v>21</v>
      </c>
      <c r="H4579" t="s">
        <v>625</v>
      </c>
      <c r="I4579" t="s">
        <v>23</v>
      </c>
      <c r="J4579" t="s">
        <v>35</v>
      </c>
      <c r="K4579" s="2" t="s">
        <v>3366</v>
      </c>
      <c r="L4579" t="s">
        <v>26</v>
      </c>
      <c r="M4579">
        <v>344532</v>
      </c>
      <c r="N4579">
        <v>1</v>
      </c>
      <c r="O4579" s="3">
        <v>49990</v>
      </c>
      <c r="P4579" s="3">
        <v>24956</v>
      </c>
      <c r="Q4579" s="5">
        <f t="shared" si="213"/>
        <v>42008.403361344543</v>
      </c>
      <c r="R4579" s="5">
        <f t="shared" si="214"/>
        <v>24956</v>
      </c>
      <c r="S4579" s="5">
        <f t="shared" si="215"/>
        <v>17052.403361344543</v>
      </c>
    </row>
    <row r="4580" spans="1:19" hidden="1" x14ac:dyDescent="0.3">
      <c r="A4580">
        <v>180</v>
      </c>
      <c r="B4580" t="s">
        <v>5549</v>
      </c>
      <c r="C4580" t="s">
        <v>936</v>
      </c>
      <c r="D4580" s="2" t="s">
        <v>937</v>
      </c>
      <c r="E4580" t="s">
        <v>938</v>
      </c>
      <c r="F4580" t="s">
        <v>20</v>
      </c>
      <c r="G4580" t="s">
        <v>21</v>
      </c>
      <c r="H4580" t="s">
        <v>317</v>
      </c>
      <c r="I4580" t="s">
        <v>23</v>
      </c>
      <c r="J4580" t="s">
        <v>35</v>
      </c>
      <c r="K4580" s="2" t="s">
        <v>3366</v>
      </c>
      <c r="L4580" t="s">
        <v>26</v>
      </c>
      <c r="M4580">
        <v>344532</v>
      </c>
      <c r="N4580">
        <v>1</v>
      </c>
      <c r="O4580" s="3">
        <v>69950</v>
      </c>
      <c r="P4580" s="3">
        <v>25640</v>
      </c>
      <c r="Q4580" s="5">
        <f t="shared" si="213"/>
        <v>58781.512605042022</v>
      </c>
      <c r="R4580" s="5">
        <f t="shared" si="214"/>
        <v>25640</v>
      </c>
      <c r="S4580" s="5">
        <f t="shared" si="215"/>
        <v>33141.512605042022</v>
      </c>
    </row>
    <row r="4581" spans="1:19" hidden="1" x14ac:dyDescent="0.3">
      <c r="A4581">
        <v>180</v>
      </c>
      <c r="B4581" t="s">
        <v>5549</v>
      </c>
      <c r="C4581" t="s">
        <v>5376</v>
      </c>
      <c r="D4581" s="2" t="s">
        <v>5377</v>
      </c>
      <c r="E4581" t="s">
        <v>4274</v>
      </c>
      <c r="F4581" t="s">
        <v>20</v>
      </c>
      <c r="G4581" t="s">
        <v>338</v>
      </c>
      <c r="H4581">
        <v>22410</v>
      </c>
      <c r="I4581" t="s">
        <v>23</v>
      </c>
      <c r="J4581" t="s">
        <v>49</v>
      </c>
      <c r="K4581" s="2" t="s">
        <v>3366</v>
      </c>
      <c r="L4581" t="s">
        <v>26</v>
      </c>
      <c r="M4581">
        <v>344533</v>
      </c>
      <c r="N4581">
        <v>1</v>
      </c>
      <c r="O4581" s="3">
        <v>69950</v>
      </c>
      <c r="P4581" s="3">
        <v>20848</v>
      </c>
      <c r="Q4581" s="5">
        <f t="shared" si="213"/>
        <v>58781.512605042022</v>
      </c>
      <c r="R4581" s="5">
        <f t="shared" si="214"/>
        <v>20848</v>
      </c>
      <c r="S4581" s="5">
        <f t="shared" si="215"/>
        <v>37933.512605042022</v>
      </c>
    </row>
    <row r="4582" spans="1:19" hidden="1" x14ac:dyDescent="0.3">
      <c r="A4582">
        <v>180</v>
      </c>
      <c r="B4582" t="s">
        <v>5549</v>
      </c>
      <c r="C4582" t="s">
        <v>3294</v>
      </c>
      <c r="D4582" s="2" t="s">
        <v>3295</v>
      </c>
      <c r="E4582" t="s">
        <v>3296</v>
      </c>
      <c r="F4582" t="s">
        <v>377</v>
      </c>
      <c r="G4582" t="s">
        <v>21</v>
      </c>
      <c r="H4582" t="s">
        <v>378</v>
      </c>
      <c r="I4582" t="s">
        <v>23</v>
      </c>
      <c r="J4582" t="s">
        <v>3297</v>
      </c>
      <c r="K4582" s="2" t="s">
        <v>3366</v>
      </c>
      <c r="L4582" t="s">
        <v>26</v>
      </c>
      <c r="M4582">
        <v>344533</v>
      </c>
      <c r="N4582">
        <v>1</v>
      </c>
      <c r="O4582">
        <v>500</v>
      </c>
      <c r="P4582">
        <v>358</v>
      </c>
      <c r="Q4582" s="5">
        <f t="shared" si="213"/>
        <v>420.1680672268908</v>
      </c>
      <c r="R4582" s="5">
        <f t="shared" si="214"/>
        <v>358</v>
      </c>
      <c r="S4582" s="5">
        <f t="shared" si="215"/>
        <v>62.168067226890798</v>
      </c>
    </row>
    <row r="4583" spans="1:19" hidden="1" x14ac:dyDescent="0.3">
      <c r="A4583">
        <v>180</v>
      </c>
      <c r="B4583" t="s">
        <v>5549</v>
      </c>
      <c r="C4583" t="s">
        <v>2580</v>
      </c>
      <c r="D4583" s="2" t="s">
        <v>2581</v>
      </c>
      <c r="E4583" t="s">
        <v>2462</v>
      </c>
      <c r="F4583" t="s">
        <v>20</v>
      </c>
      <c r="G4583" t="s">
        <v>21</v>
      </c>
      <c r="H4583" t="s">
        <v>65</v>
      </c>
      <c r="I4583" t="s">
        <v>23</v>
      </c>
      <c r="J4583" t="s">
        <v>49</v>
      </c>
      <c r="K4583" s="2" t="s">
        <v>3366</v>
      </c>
      <c r="L4583" t="s">
        <v>26</v>
      </c>
      <c r="M4583">
        <v>344534</v>
      </c>
      <c r="N4583">
        <v>1</v>
      </c>
      <c r="O4583" s="3">
        <v>64950</v>
      </c>
      <c r="P4583" s="3">
        <v>22105</v>
      </c>
      <c r="Q4583" s="5">
        <f t="shared" si="213"/>
        <v>54579.831932773115</v>
      </c>
      <c r="R4583" s="5">
        <f t="shared" si="214"/>
        <v>22105</v>
      </c>
      <c r="S4583" s="5">
        <f t="shared" si="215"/>
        <v>32474.831932773115</v>
      </c>
    </row>
    <row r="4584" spans="1:19" hidden="1" x14ac:dyDescent="0.3">
      <c r="A4584">
        <v>180</v>
      </c>
      <c r="B4584" t="s">
        <v>5549</v>
      </c>
      <c r="C4584" t="s">
        <v>5781</v>
      </c>
      <c r="D4584" s="2" t="s">
        <v>5782</v>
      </c>
      <c r="E4584" t="s">
        <v>2378</v>
      </c>
      <c r="F4584" t="s">
        <v>20</v>
      </c>
      <c r="G4584" t="s">
        <v>21</v>
      </c>
      <c r="H4584" t="s">
        <v>2379</v>
      </c>
      <c r="I4584" t="s">
        <v>23</v>
      </c>
      <c r="J4584" t="s">
        <v>40</v>
      </c>
      <c r="K4584" s="2" t="s">
        <v>3366</v>
      </c>
      <c r="L4584" t="s">
        <v>26</v>
      </c>
      <c r="M4584">
        <v>344535</v>
      </c>
      <c r="N4584">
        <v>1</v>
      </c>
      <c r="O4584" s="3">
        <v>39990</v>
      </c>
      <c r="P4584" s="3">
        <v>15753</v>
      </c>
      <c r="Q4584" s="5">
        <f t="shared" si="213"/>
        <v>33605.042016806721</v>
      </c>
      <c r="R4584" s="5">
        <f t="shared" si="214"/>
        <v>15753</v>
      </c>
      <c r="S4584" s="5">
        <f t="shared" si="215"/>
        <v>17852.042016806721</v>
      </c>
    </row>
    <row r="4585" spans="1:19" hidden="1" x14ac:dyDescent="0.3">
      <c r="A4585">
        <v>180</v>
      </c>
      <c r="B4585" t="s">
        <v>5549</v>
      </c>
      <c r="C4585" t="s">
        <v>5265</v>
      </c>
      <c r="D4585" s="2" t="s">
        <v>5266</v>
      </c>
      <c r="E4585" t="s">
        <v>2265</v>
      </c>
      <c r="F4585" t="s">
        <v>20</v>
      </c>
      <c r="G4585" t="s">
        <v>21</v>
      </c>
      <c r="H4585" t="s">
        <v>2070</v>
      </c>
      <c r="I4585" t="s">
        <v>23</v>
      </c>
      <c r="J4585" t="s">
        <v>35</v>
      </c>
      <c r="K4585" s="2" t="s">
        <v>3366</v>
      </c>
      <c r="L4585" t="s">
        <v>26</v>
      </c>
      <c r="M4585">
        <v>344536</v>
      </c>
      <c r="N4585">
        <v>1</v>
      </c>
      <c r="O4585" s="3">
        <v>89950</v>
      </c>
      <c r="P4585" s="3">
        <v>29635</v>
      </c>
      <c r="Q4585" s="5">
        <f t="shared" si="213"/>
        <v>75588.23529411765</v>
      </c>
      <c r="R4585" s="5">
        <f t="shared" si="214"/>
        <v>29635</v>
      </c>
      <c r="S4585" s="5">
        <f t="shared" si="215"/>
        <v>45953.23529411765</v>
      </c>
    </row>
    <row r="4586" spans="1:19" hidden="1" x14ac:dyDescent="0.3">
      <c r="A4586">
        <v>180</v>
      </c>
      <c r="B4586" t="s">
        <v>5549</v>
      </c>
      <c r="C4586" t="s">
        <v>3294</v>
      </c>
      <c r="D4586" s="2" t="s">
        <v>3295</v>
      </c>
      <c r="E4586" t="s">
        <v>3296</v>
      </c>
      <c r="F4586" t="s">
        <v>377</v>
      </c>
      <c r="G4586" t="s">
        <v>21</v>
      </c>
      <c r="H4586" t="s">
        <v>378</v>
      </c>
      <c r="I4586" t="s">
        <v>23</v>
      </c>
      <c r="J4586" t="s">
        <v>3297</v>
      </c>
      <c r="K4586" s="2" t="s">
        <v>3366</v>
      </c>
      <c r="L4586" t="s">
        <v>26</v>
      </c>
      <c r="M4586">
        <v>344536</v>
      </c>
      <c r="N4586">
        <v>1</v>
      </c>
      <c r="O4586">
        <v>500</v>
      </c>
      <c r="P4586">
        <v>358</v>
      </c>
      <c r="Q4586" s="5">
        <f t="shared" si="213"/>
        <v>420.1680672268908</v>
      </c>
      <c r="R4586" s="5">
        <f t="shared" si="214"/>
        <v>358</v>
      </c>
      <c r="S4586" s="5">
        <f t="shared" si="215"/>
        <v>62.168067226890798</v>
      </c>
    </row>
    <row r="4587" spans="1:19" hidden="1" x14ac:dyDescent="0.3">
      <c r="A4587">
        <v>180</v>
      </c>
      <c r="B4587" t="s">
        <v>5549</v>
      </c>
      <c r="C4587" t="s">
        <v>2940</v>
      </c>
      <c r="D4587" s="2" t="s">
        <v>2941</v>
      </c>
      <c r="E4587" t="s">
        <v>1986</v>
      </c>
      <c r="F4587" t="s">
        <v>20</v>
      </c>
      <c r="G4587" t="s">
        <v>21</v>
      </c>
      <c r="H4587" t="s">
        <v>1987</v>
      </c>
      <c r="I4587" t="s">
        <v>23</v>
      </c>
      <c r="J4587" t="s">
        <v>49</v>
      </c>
      <c r="K4587" s="2" t="s">
        <v>3366</v>
      </c>
      <c r="L4587" t="s">
        <v>26</v>
      </c>
      <c r="M4587">
        <v>344537</v>
      </c>
      <c r="N4587">
        <v>1</v>
      </c>
      <c r="O4587" s="3">
        <v>74950</v>
      </c>
      <c r="P4587" s="3">
        <v>25014</v>
      </c>
      <c r="Q4587" s="5">
        <f t="shared" si="213"/>
        <v>62983.193277310929</v>
      </c>
      <c r="R4587" s="5">
        <f t="shared" si="214"/>
        <v>25014</v>
      </c>
      <c r="S4587" s="5">
        <f t="shared" si="215"/>
        <v>37969.193277310929</v>
      </c>
    </row>
    <row r="4588" spans="1:19" hidden="1" x14ac:dyDescent="0.3">
      <c r="A4588">
        <v>180</v>
      </c>
      <c r="B4588" t="s">
        <v>5549</v>
      </c>
      <c r="C4588" t="s">
        <v>3211</v>
      </c>
      <c r="D4588" s="2" t="s">
        <v>3212</v>
      </c>
      <c r="E4588" t="s">
        <v>3213</v>
      </c>
      <c r="F4588" t="s">
        <v>377</v>
      </c>
      <c r="G4588" t="s">
        <v>21</v>
      </c>
      <c r="H4588" t="s">
        <v>378</v>
      </c>
      <c r="I4588" t="s">
        <v>23</v>
      </c>
      <c r="J4588" t="s">
        <v>2459</v>
      </c>
      <c r="K4588" s="2" t="s">
        <v>1958</v>
      </c>
      <c r="L4588" t="s">
        <v>26</v>
      </c>
      <c r="M4588">
        <v>344538</v>
      </c>
      <c r="N4588">
        <v>2</v>
      </c>
      <c r="O4588" s="3">
        <v>13900</v>
      </c>
      <c r="P4588" s="3">
        <v>3751</v>
      </c>
      <c r="Q4588" s="5">
        <f t="shared" si="213"/>
        <v>11680.672268907563</v>
      </c>
      <c r="R4588" s="5">
        <f t="shared" si="214"/>
        <v>7502</v>
      </c>
      <c r="S4588" s="5">
        <f t="shared" si="215"/>
        <v>4178.6722689075632</v>
      </c>
    </row>
    <row r="4589" spans="1:19" hidden="1" x14ac:dyDescent="0.3">
      <c r="A4589">
        <v>180</v>
      </c>
      <c r="B4589" t="s">
        <v>5549</v>
      </c>
      <c r="C4589" t="s">
        <v>2575</v>
      </c>
      <c r="D4589" s="2" t="s">
        <v>2576</v>
      </c>
      <c r="E4589" t="s">
        <v>2577</v>
      </c>
      <c r="F4589" t="s">
        <v>377</v>
      </c>
      <c r="G4589" t="s">
        <v>21</v>
      </c>
      <c r="H4589" t="s">
        <v>378</v>
      </c>
      <c r="I4589" t="s">
        <v>23</v>
      </c>
      <c r="J4589" t="s">
        <v>379</v>
      </c>
      <c r="K4589" s="2" t="s">
        <v>1958</v>
      </c>
      <c r="L4589" t="s">
        <v>26</v>
      </c>
      <c r="M4589">
        <v>344539</v>
      </c>
      <c r="N4589">
        <v>1</v>
      </c>
      <c r="O4589" s="3">
        <v>5950</v>
      </c>
      <c r="P4589" s="3">
        <v>3307</v>
      </c>
      <c r="Q4589" s="5">
        <f t="shared" si="213"/>
        <v>5000</v>
      </c>
      <c r="R4589" s="5">
        <f t="shared" si="214"/>
        <v>3307</v>
      </c>
      <c r="S4589" s="5">
        <f t="shared" si="215"/>
        <v>1693</v>
      </c>
    </row>
    <row r="4590" spans="1:19" hidden="1" x14ac:dyDescent="0.3">
      <c r="A4590">
        <v>180</v>
      </c>
      <c r="B4590" t="s">
        <v>5549</v>
      </c>
      <c r="C4590" t="s">
        <v>2224</v>
      </c>
      <c r="D4590" s="2" t="s">
        <v>2225</v>
      </c>
      <c r="E4590" t="s">
        <v>2226</v>
      </c>
      <c r="F4590" t="s">
        <v>20</v>
      </c>
      <c r="G4590" t="s">
        <v>21</v>
      </c>
      <c r="H4590" t="s">
        <v>53</v>
      </c>
      <c r="I4590" t="s">
        <v>23</v>
      </c>
      <c r="J4590" t="s">
        <v>49</v>
      </c>
      <c r="K4590" s="2" t="s">
        <v>1958</v>
      </c>
      <c r="L4590" t="s">
        <v>26</v>
      </c>
      <c r="M4590">
        <v>344540</v>
      </c>
      <c r="N4590">
        <v>1</v>
      </c>
      <c r="O4590" s="3">
        <v>69950</v>
      </c>
      <c r="P4590" s="3">
        <v>20951</v>
      </c>
      <c r="Q4590" s="5">
        <f t="shared" si="213"/>
        <v>58781.512605042022</v>
      </c>
      <c r="R4590" s="5">
        <f t="shared" si="214"/>
        <v>20951</v>
      </c>
      <c r="S4590" s="5">
        <f t="shared" si="215"/>
        <v>37830.512605042022</v>
      </c>
    </row>
    <row r="4591" spans="1:19" hidden="1" x14ac:dyDescent="0.3">
      <c r="A4591">
        <v>180</v>
      </c>
      <c r="B4591" t="s">
        <v>5549</v>
      </c>
      <c r="C4591" t="s">
        <v>3037</v>
      </c>
      <c r="D4591" s="2" t="s">
        <v>3038</v>
      </c>
      <c r="E4591" t="s">
        <v>1404</v>
      </c>
      <c r="F4591" t="s">
        <v>20</v>
      </c>
      <c r="G4591" t="s">
        <v>21</v>
      </c>
      <c r="H4591" t="s">
        <v>1405</v>
      </c>
      <c r="I4591" t="s">
        <v>23</v>
      </c>
      <c r="J4591" t="s">
        <v>40</v>
      </c>
      <c r="K4591" s="2" t="s">
        <v>1958</v>
      </c>
      <c r="L4591" t="s">
        <v>26</v>
      </c>
      <c r="M4591">
        <v>344541</v>
      </c>
      <c r="N4591">
        <v>1</v>
      </c>
      <c r="O4591" s="3">
        <v>42450</v>
      </c>
      <c r="P4591" s="3">
        <v>13302</v>
      </c>
      <c r="Q4591" s="5">
        <f t="shared" si="213"/>
        <v>35672.268907563026</v>
      </c>
      <c r="R4591" s="5">
        <f t="shared" si="214"/>
        <v>13302</v>
      </c>
      <c r="S4591" s="5">
        <f t="shared" si="215"/>
        <v>22370.268907563026</v>
      </c>
    </row>
    <row r="4592" spans="1:19" hidden="1" x14ac:dyDescent="0.3">
      <c r="A4592">
        <v>180</v>
      </c>
      <c r="B4592" t="s">
        <v>5549</v>
      </c>
      <c r="C4592" t="s">
        <v>3007</v>
      </c>
      <c r="D4592" s="2" t="s">
        <v>3008</v>
      </c>
      <c r="E4592" t="s">
        <v>2986</v>
      </c>
      <c r="F4592" t="s">
        <v>20</v>
      </c>
      <c r="G4592" t="s">
        <v>21</v>
      </c>
      <c r="H4592" t="s">
        <v>267</v>
      </c>
      <c r="I4592" t="s">
        <v>23</v>
      </c>
      <c r="J4592" t="s">
        <v>35</v>
      </c>
      <c r="K4592" s="2" t="s">
        <v>1958</v>
      </c>
      <c r="L4592" t="s">
        <v>26</v>
      </c>
      <c r="M4592">
        <v>344542</v>
      </c>
      <c r="N4592">
        <v>1</v>
      </c>
      <c r="O4592" s="3">
        <v>59990</v>
      </c>
      <c r="P4592" s="3">
        <v>24733</v>
      </c>
      <c r="Q4592" s="5">
        <f t="shared" si="213"/>
        <v>50411.764705882357</v>
      </c>
      <c r="R4592" s="5">
        <f t="shared" si="214"/>
        <v>24733</v>
      </c>
      <c r="S4592" s="5">
        <f t="shared" si="215"/>
        <v>25678.764705882357</v>
      </c>
    </row>
    <row r="4593" spans="1:19" hidden="1" x14ac:dyDescent="0.3">
      <c r="A4593">
        <v>180</v>
      </c>
      <c r="B4593" t="s">
        <v>5549</v>
      </c>
      <c r="C4593" t="s">
        <v>3151</v>
      </c>
      <c r="D4593" s="2" t="s">
        <v>3152</v>
      </c>
      <c r="E4593" t="s">
        <v>2666</v>
      </c>
      <c r="F4593" t="s">
        <v>20</v>
      </c>
      <c r="G4593" t="s">
        <v>21</v>
      </c>
      <c r="H4593" t="s">
        <v>65</v>
      </c>
      <c r="I4593" t="s">
        <v>23</v>
      </c>
      <c r="J4593" t="s">
        <v>49</v>
      </c>
      <c r="K4593" s="2" t="s">
        <v>1958</v>
      </c>
      <c r="L4593" t="s">
        <v>26</v>
      </c>
      <c r="M4593">
        <v>344543</v>
      </c>
      <c r="N4593">
        <v>1</v>
      </c>
      <c r="O4593" s="3">
        <v>64950</v>
      </c>
      <c r="P4593" s="3">
        <v>22816</v>
      </c>
      <c r="Q4593" s="5">
        <f t="shared" si="213"/>
        <v>54579.831932773115</v>
      </c>
      <c r="R4593" s="5">
        <f t="shared" si="214"/>
        <v>22816</v>
      </c>
      <c r="S4593" s="5">
        <f t="shared" si="215"/>
        <v>31763.831932773115</v>
      </c>
    </row>
    <row r="4594" spans="1:19" hidden="1" x14ac:dyDescent="0.3">
      <c r="A4594">
        <v>180</v>
      </c>
      <c r="B4594" t="s">
        <v>5549</v>
      </c>
      <c r="C4594" t="s">
        <v>2049</v>
      </c>
      <c r="D4594" s="2" t="s">
        <v>2050</v>
      </c>
      <c r="E4594" t="s">
        <v>1913</v>
      </c>
      <c r="F4594" t="s">
        <v>20</v>
      </c>
      <c r="G4594" t="s">
        <v>21</v>
      </c>
      <c r="H4594" t="s">
        <v>1914</v>
      </c>
      <c r="I4594" t="s">
        <v>23</v>
      </c>
      <c r="J4594" t="s">
        <v>35</v>
      </c>
      <c r="K4594" s="2" t="s">
        <v>1958</v>
      </c>
      <c r="L4594" t="s">
        <v>26</v>
      </c>
      <c r="M4594">
        <v>344544</v>
      </c>
      <c r="N4594">
        <v>1</v>
      </c>
      <c r="O4594" s="3">
        <v>89950</v>
      </c>
      <c r="P4594" s="3">
        <v>28298</v>
      </c>
      <c r="Q4594" s="5">
        <f t="shared" si="213"/>
        <v>75588.23529411765</v>
      </c>
      <c r="R4594" s="5">
        <f t="shared" si="214"/>
        <v>28298</v>
      </c>
      <c r="S4594" s="5">
        <f t="shared" si="215"/>
        <v>47290.23529411765</v>
      </c>
    </row>
    <row r="4595" spans="1:19" hidden="1" x14ac:dyDescent="0.3">
      <c r="A4595">
        <v>180</v>
      </c>
      <c r="B4595" t="s">
        <v>5549</v>
      </c>
      <c r="C4595" t="s">
        <v>2955</v>
      </c>
      <c r="D4595" s="2" t="s">
        <v>2956</v>
      </c>
      <c r="E4595" t="s">
        <v>1758</v>
      </c>
      <c r="F4595" t="s">
        <v>20</v>
      </c>
      <c r="G4595" t="s">
        <v>338</v>
      </c>
      <c r="H4595">
        <v>25133</v>
      </c>
      <c r="I4595" t="s">
        <v>23</v>
      </c>
      <c r="J4595" t="s">
        <v>35</v>
      </c>
      <c r="K4595" s="2" t="s">
        <v>2093</v>
      </c>
      <c r="L4595" t="s">
        <v>26</v>
      </c>
      <c r="M4595">
        <v>344545</v>
      </c>
      <c r="N4595">
        <v>1</v>
      </c>
      <c r="O4595" s="3">
        <v>74950</v>
      </c>
      <c r="P4595" s="3">
        <v>21167</v>
      </c>
      <c r="Q4595" s="5">
        <f t="shared" si="213"/>
        <v>62983.193277310929</v>
      </c>
      <c r="R4595" s="5">
        <f t="shared" si="214"/>
        <v>21167</v>
      </c>
      <c r="S4595" s="5">
        <f t="shared" si="215"/>
        <v>41816.193277310929</v>
      </c>
    </row>
    <row r="4596" spans="1:19" hidden="1" x14ac:dyDescent="0.3">
      <c r="A4596">
        <v>180</v>
      </c>
      <c r="B4596" t="s">
        <v>5549</v>
      </c>
      <c r="C4596" t="s">
        <v>4637</v>
      </c>
      <c r="D4596" s="2" t="s">
        <v>4638</v>
      </c>
      <c r="E4596" t="s">
        <v>2648</v>
      </c>
      <c r="F4596" t="s">
        <v>20</v>
      </c>
      <c r="G4596" t="s">
        <v>21</v>
      </c>
      <c r="H4596" t="s">
        <v>970</v>
      </c>
      <c r="I4596" t="s">
        <v>23</v>
      </c>
      <c r="J4596" t="s">
        <v>40</v>
      </c>
      <c r="K4596" s="2" t="s">
        <v>2093</v>
      </c>
      <c r="L4596" t="s">
        <v>26</v>
      </c>
      <c r="M4596">
        <v>344546</v>
      </c>
      <c r="N4596">
        <v>1</v>
      </c>
      <c r="O4596" s="3">
        <v>59950</v>
      </c>
      <c r="P4596" s="3">
        <v>18491</v>
      </c>
      <c r="Q4596" s="5">
        <f t="shared" si="213"/>
        <v>50378.151260504201</v>
      </c>
      <c r="R4596" s="5">
        <f t="shared" si="214"/>
        <v>18491</v>
      </c>
      <c r="S4596" s="5">
        <f t="shared" si="215"/>
        <v>31887.151260504201</v>
      </c>
    </row>
    <row r="4597" spans="1:19" hidden="1" x14ac:dyDescent="0.3">
      <c r="A4597">
        <v>180</v>
      </c>
      <c r="B4597" t="s">
        <v>5549</v>
      </c>
      <c r="C4597" t="s">
        <v>5783</v>
      </c>
      <c r="D4597" s="2" t="s">
        <v>5784</v>
      </c>
      <c r="E4597" t="s">
        <v>4771</v>
      </c>
      <c r="F4597" t="s">
        <v>20</v>
      </c>
      <c r="G4597" t="s">
        <v>338</v>
      </c>
      <c r="H4597">
        <v>85200</v>
      </c>
      <c r="I4597" t="s">
        <v>23</v>
      </c>
      <c r="J4597" t="s">
        <v>35</v>
      </c>
      <c r="K4597" s="2" t="s">
        <v>2093</v>
      </c>
      <c r="L4597" t="s">
        <v>26</v>
      </c>
      <c r="M4597">
        <v>344546</v>
      </c>
      <c r="N4597">
        <v>1</v>
      </c>
      <c r="O4597" s="3">
        <v>76450</v>
      </c>
      <c r="P4597" s="3">
        <v>27253</v>
      </c>
      <c r="Q4597" s="5">
        <f t="shared" si="213"/>
        <v>64243.697478991598</v>
      </c>
      <c r="R4597" s="5">
        <f t="shared" si="214"/>
        <v>27253</v>
      </c>
      <c r="S4597" s="5">
        <f t="shared" si="215"/>
        <v>36990.697478991598</v>
      </c>
    </row>
    <row r="4598" spans="1:19" hidden="1" x14ac:dyDescent="0.3">
      <c r="A4598">
        <v>180</v>
      </c>
      <c r="B4598" t="s">
        <v>5549</v>
      </c>
      <c r="C4598" t="s">
        <v>3294</v>
      </c>
      <c r="D4598" s="2" t="s">
        <v>3295</v>
      </c>
      <c r="E4598" t="s">
        <v>3296</v>
      </c>
      <c r="F4598" t="s">
        <v>377</v>
      </c>
      <c r="G4598" t="s">
        <v>21</v>
      </c>
      <c r="H4598" t="s">
        <v>378</v>
      </c>
      <c r="I4598" t="s">
        <v>23</v>
      </c>
      <c r="J4598" t="s">
        <v>3297</v>
      </c>
      <c r="K4598" s="2" t="s">
        <v>2093</v>
      </c>
      <c r="L4598" t="s">
        <v>26</v>
      </c>
      <c r="M4598">
        <v>344546</v>
      </c>
      <c r="N4598">
        <v>1</v>
      </c>
      <c r="O4598">
        <v>500</v>
      </c>
      <c r="P4598">
        <v>358</v>
      </c>
      <c r="Q4598" s="5">
        <f t="shared" si="213"/>
        <v>420.1680672268908</v>
      </c>
      <c r="R4598" s="5">
        <f t="shared" si="214"/>
        <v>358</v>
      </c>
      <c r="S4598" s="5">
        <f t="shared" si="215"/>
        <v>62.168067226890798</v>
      </c>
    </row>
    <row r="4599" spans="1:19" hidden="1" x14ac:dyDescent="0.3">
      <c r="A4599">
        <v>180</v>
      </c>
      <c r="B4599" t="s">
        <v>5549</v>
      </c>
      <c r="C4599" t="s">
        <v>4403</v>
      </c>
      <c r="D4599" s="2" t="s">
        <v>4404</v>
      </c>
      <c r="E4599" t="s">
        <v>2771</v>
      </c>
      <c r="F4599" t="s">
        <v>20</v>
      </c>
      <c r="G4599" t="s">
        <v>21</v>
      </c>
      <c r="H4599" t="s">
        <v>57</v>
      </c>
      <c r="I4599" t="s">
        <v>23</v>
      </c>
      <c r="J4599" t="s">
        <v>35</v>
      </c>
      <c r="K4599" s="2" t="s">
        <v>2093</v>
      </c>
      <c r="L4599" t="s">
        <v>26</v>
      </c>
      <c r="M4599">
        <v>344547</v>
      </c>
      <c r="N4599">
        <v>1</v>
      </c>
      <c r="O4599" s="3">
        <v>79990</v>
      </c>
      <c r="P4599" s="3">
        <v>29189</v>
      </c>
      <c r="Q4599" s="5">
        <f t="shared" si="213"/>
        <v>67218.487394957992</v>
      </c>
      <c r="R4599" s="5">
        <f t="shared" si="214"/>
        <v>29189</v>
      </c>
      <c r="S4599" s="5">
        <f t="shared" si="215"/>
        <v>38029.487394957992</v>
      </c>
    </row>
    <row r="4600" spans="1:19" hidden="1" x14ac:dyDescent="0.3">
      <c r="A4600">
        <v>180</v>
      </c>
      <c r="B4600" t="s">
        <v>5549</v>
      </c>
      <c r="C4600" t="s">
        <v>5785</v>
      </c>
      <c r="D4600" s="2" t="s">
        <v>5786</v>
      </c>
      <c r="E4600" t="s">
        <v>425</v>
      </c>
      <c r="F4600" t="s">
        <v>20</v>
      </c>
      <c r="G4600" t="s">
        <v>21</v>
      </c>
      <c r="H4600" t="s">
        <v>22</v>
      </c>
      <c r="I4600" t="s">
        <v>23</v>
      </c>
      <c r="J4600" t="s">
        <v>24</v>
      </c>
      <c r="K4600" s="2" t="s">
        <v>2093</v>
      </c>
      <c r="L4600" t="s">
        <v>26</v>
      </c>
      <c r="M4600">
        <v>344548</v>
      </c>
      <c r="N4600">
        <v>1</v>
      </c>
      <c r="O4600" s="3">
        <v>79950</v>
      </c>
      <c r="P4600" s="3">
        <v>27806</v>
      </c>
      <c r="Q4600" s="5">
        <f t="shared" si="213"/>
        <v>67184.873949579836</v>
      </c>
      <c r="R4600" s="5">
        <f t="shared" si="214"/>
        <v>27806</v>
      </c>
      <c r="S4600" s="5">
        <f t="shared" si="215"/>
        <v>39378.873949579836</v>
      </c>
    </row>
    <row r="4601" spans="1:19" hidden="1" x14ac:dyDescent="0.3">
      <c r="A4601">
        <v>180</v>
      </c>
      <c r="B4601" t="s">
        <v>5549</v>
      </c>
      <c r="C4601" t="s">
        <v>3089</v>
      </c>
      <c r="D4601" s="2" t="s">
        <v>3090</v>
      </c>
      <c r="E4601" t="s">
        <v>3091</v>
      </c>
      <c r="F4601" t="s">
        <v>20</v>
      </c>
      <c r="G4601" t="s">
        <v>338</v>
      </c>
      <c r="H4601">
        <v>26266</v>
      </c>
      <c r="I4601" t="s">
        <v>23</v>
      </c>
      <c r="J4601" t="s">
        <v>35</v>
      </c>
      <c r="K4601" s="2" t="s">
        <v>2093</v>
      </c>
      <c r="L4601" t="s">
        <v>26</v>
      </c>
      <c r="M4601">
        <v>344549</v>
      </c>
      <c r="N4601">
        <v>1</v>
      </c>
      <c r="O4601" s="3">
        <v>79950</v>
      </c>
      <c r="P4601" s="3">
        <v>25300</v>
      </c>
      <c r="Q4601" s="5">
        <f t="shared" si="213"/>
        <v>67184.873949579836</v>
      </c>
      <c r="R4601" s="5">
        <f t="shared" si="214"/>
        <v>25300</v>
      </c>
      <c r="S4601" s="5">
        <f t="shared" si="215"/>
        <v>41884.873949579836</v>
      </c>
    </row>
    <row r="4602" spans="1:19" hidden="1" x14ac:dyDescent="0.3">
      <c r="A4602">
        <v>180</v>
      </c>
      <c r="B4602" t="s">
        <v>5549</v>
      </c>
      <c r="C4602" t="s">
        <v>5787</v>
      </c>
      <c r="D4602" s="2" t="s">
        <v>5788</v>
      </c>
      <c r="E4602" t="s">
        <v>2666</v>
      </c>
      <c r="F4602" t="s">
        <v>20</v>
      </c>
      <c r="G4602" t="s">
        <v>21</v>
      </c>
      <c r="H4602" t="s">
        <v>65</v>
      </c>
      <c r="I4602" t="s">
        <v>23</v>
      </c>
      <c r="J4602" t="s">
        <v>49</v>
      </c>
      <c r="K4602" s="2" t="s">
        <v>2093</v>
      </c>
      <c r="L4602" t="s">
        <v>26</v>
      </c>
      <c r="M4602">
        <v>344550</v>
      </c>
      <c r="N4602">
        <v>1</v>
      </c>
      <c r="O4602" s="3">
        <v>64950</v>
      </c>
      <c r="P4602" s="3">
        <v>22505</v>
      </c>
      <c r="Q4602" s="5">
        <f t="shared" si="213"/>
        <v>54579.831932773115</v>
      </c>
      <c r="R4602" s="5">
        <f t="shared" si="214"/>
        <v>22505</v>
      </c>
      <c r="S4602" s="5">
        <f t="shared" si="215"/>
        <v>32074.831932773115</v>
      </c>
    </row>
    <row r="4603" spans="1:19" hidden="1" x14ac:dyDescent="0.3">
      <c r="A4603">
        <v>180</v>
      </c>
      <c r="B4603" t="s">
        <v>5549</v>
      </c>
      <c r="C4603" t="s">
        <v>4089</v>
      </c>
      <c r="D4603" s="2" t="s">
        <v>4090</v>
      </c>
      <c r="E4603" t="s">
        <v>2741</v>
      </c>
      <c r="F4603" t="s">
        <v>20</v>
      </c>
      <c r="G4603" t="s">
        <v>21</v>
      </c>
      <c r="H4603" t="s">
        <v>2494</v>
      </c>
      <c r="I4603" t="s">
        <v>23</v>
      </c>
      <c r="J4603" t="s">
        <v>40</v>
      </c>
      <c r="K4603" s="2" t="s">
        <v>2093</v>
      </c>
      <c r="L4603" t="s">
        <v>26</v>
      </c>
      <c r="M4603">
        <v>344551</v>
      </c>
      <c r="N4603">
        <v>1</v>
      </c>
      <c r="O4603" s="3">
        <v>69950</v>
      </c>
      <c r="P4603" s="3">
        <v>23470</v>
      </c>
      <c r="Q4603" s="5">
        <f t="shared" si="213"/>
        <v>58781.512605042022</v>
      </c>
      <c r="R4603" s="5">
        <f t="shared" si="214"/>
        <v>23470</v>
      </c>
      <c r="S4603" s="5">
        <f t="shared" si="215"/>
        <v>35311.512605042022</v>
      </c>
    </row>
    <row r="4604" spans="1:19" hidden="1" x14ac:dyDescent="0.3">
      <c r="A4604">
        <v>180</v>
      </c>
      <c r="B4604" t="s">
        <v>5549</v>
      </c>
      <c r="C4604" t="s">
        <v>524</v>
      </c>
      <c r="D4604" s="2" t="s">
        <v>525</v>
      </c>
      <c r="E4604" t="s">
        <v>526</v>
      </c>
      <c r="F4604" t="s">
        <v>20</v>
      </c>
      <c r="G4604" t="s">
        <v>21</v>
      </c>
      <c r="H4604" t="s">
        <v>527</v>
      </c>
      <c r="I4604" t="s">
        <v>23</v>
      </c>
      <c r="J4604" t="s">
        <v>35</v>
      </c>
      <c r="K4604" s="2" t="s">
        <v>2093</v>
      </c>
      <c r="L4604" t="s">
        <v>26</v>
      </c>
      <c r="M4604">
        <v>344551</v>
      </c>
      <c r="N4604">
        <v>1</v>
      </c>
      <c r="O4604" s="3">
        <v>84950</v>
      </c>
      <c r="P4604" s="3">
        <v>35050</v>
      </c>
      <c r="Q4604" s="5">
        <f t="shared" si="213"/>
        <v>71386.554621848743</v>
      </c>
      <c r="R4604" s="5">
        <f t="shared" si="214"/>
        <v>35050</v>
      </c>
      <c r="S4604" s="5">
        <f t="shared" si="215"/>
        <v>36336.554621848743</v>
      </c>
    </row>
    <row r="4605" spans="1:19" hidden="1" x14ac:dyDescent="0.3">
      <c r="A4605">
        <v>180</v>
      </c>
      <c r="B4605" t="s">
        <v>5549</v>
      </c>
      <c r="C4605" t="s">
        <v>3294</v>
      </c>
      <c r="D4605" s="2" t="s">
        <v>3295</v>
      </c>
      <c r="E4605" t="s">
        <v>3296</v>
      </c>
      <c r="F4605" t="s">
        <v>377</v>
      </c>
      <c r="G4605" t="s">
        <v>21</v>
      </c>
      <c r="H4605" t="s">
        <v>378</v>
      </c>
      <c r="I4605" t="s">
        <v>23</v>
      </c>
      <c r="J4605" t="s">
        <v>3297</v>
      </c>
      <c r="K4605" s="2" t="s">
        <v>2093</v>
      </c>
      <c r="L4605" t="s">
        <v>26</v>
      </c>
      <c r="M4605">
        <v>344551</v>
      </c>
      <c r="N4605">
        <v>1</v>
      </c>
      <c r="O4605">
        <v>500</v>
      </c>
      <c r="P4605">
        <v>358</v>
      </c>
      <c r="Q4605" s="5">
        <f t="shared" si="213"/>
        <v>420.1680672268908</v>
      </c>
      <c r="R4605" s="5">
        <f t="shared" si="214"/>
        <v>358</v>
      </c>
      <c r="S4605" s="5">
        <f t="shared" si="215"/>
        <v>62.168067226890798</v>
      </c>
    </row>
    <row r="4606" spans="1:19" hidden="1" x14ac:dyDescent="0.3">
      <c r="A4606">
        <v>180</v>
      </c>
      <c r="B4606" t="s">
        <v>5549</v>
      </c>
      <c r="C4606" t="s">
        <v>3367</v>
      </c>
      <c r="D4606" s="2" t="s">
        <v>3368</v>
      </c>
      <c r="E4606" t="s">
        <v>2902</v>
      </c>
      <c r="F4606" t="s">
        <v>20</v>
      </c>
      <c r="G4606" t="s">
        <v>21</v>
      </c>
      <c r="H4606" t="s">
        <v>267</v>
      </c>
      <c r="I4606" t="s">
        <v>23</v>
      </c>
      <c r="J4606" t="s">
        <v>49</v>
      </c>
      <c r="K4606" s="2" t="s">
        <v>2093</v>
      </c>
      <c r="L4606" t="s">
        <v>26</v>
      </c>
      <c r="M4606">
        <v>344552</v>
      </c>
      <c r="N4606">
        <v>-1</v>
      </c>
      <c r="O4606" s="3">
        <v>-64950</v>
      </c>
      <c r="P4606" s="3">
        <v>24504</v>
      </c>
      <c r="Q4606" s="5">
        <f t="shared" si="213"/>
        <v>-54579.831932773115</v>
      </c>
      <c r="R4606" s="5">
        <f t="shared" si="214"/>
        <v>-24504</v>
      </c>
      <c r="S4606" s="5">
        <f t="shared" si="215"/>
        <v>-30075.831932773115</v>
      </c>
    </row>
    <row r="4607" spans="1:19" hidden="1" x14ac:dyDescent="0.3">
      <c r="A4607">
        <v>180</v>
      </c>
      <c r="B4607" t="s">
        <v>5549</v>
      </c>
      <c r="C4607" t="s">
        <v>264</v>
      </c>
      <c r="D4607" s="2" t="s">
        <v>265</v>
      </c>
      <c r="E4607" t="s">
        <v>266</v>
      </c>
      <c r="F4607" t="s">
        <v>20</v>
      </c>
      <c r="G4607" t="s">
        <v>21</v>
      </c>
      <c r="H4607" t="s">
        <v>267</v>
      </c>
      <c r="I4607" t="s">
        <v>23</v>
      </c>
      <c r="J4607" t="s">
        <v>49</v>
      </c>
      <c r="K4607" s="2" t="s">
        <v>2093</v>
      </c>
      <c r="L4607" t="s">
        <v>26</v>
      </c>
      <c r="M4607">
        <v>344552</v>
      </c>
      <c r="N4607">
        <v>1</v>
      </c>
      <c r="O4607" s="3">
        <v>64951</v>
      </c>
      <c r="P4607" s="3">
        <v>24504</v>
      </c>
      <c r="Q4607" s="5">
        <f t="shared" si="213"/>
        <v>54580.672268907569</v>
      </c>
      <c r="R4607" s="5">
        <f t="shared" si="214"/>
        <v>24504</v>
      </c>
      <c r="S4607" s="5">
        <f t="shared" si="215"/>
        <v>30076.672268907569</v>
      </c>
    </row>
    <row r="4608" spans="1:19" hidden="1" x14ac:dyDescent="0.3">
      <c r="A4608">
        <v>180</v>
      </c>
      <c r="B4608" t="s">
        <v>5549</v>
      </c>
      <c r="C4608" t="s">
        <v>5695</v>
      </c>
      <c r="D4608" s="2" t="s">
        <v>5696</v>
      </c>
      <c r="E4608" t="s">
        <v>985</v>
      </c>
      <c r="F4608" t="s">
        <v>20</v>
      </c>
      <c r="G4608" t="s">
        <v>21</v>
      </c>
      <c r="H4608" t="s">
        <v>565</v>
      </c>
      <c r="I4608" t="s">
        <v>23</v>
      </c>
      <c r="J4608" t="s">
        <v>49</v>
      </c>
      <c r="K4608" s="2" t="s">
        <v>2093</v>
      </c>
      <c r="L4608" t="s">
        <v>26</v>
      </c>
      <c r="M4608">
        <v>344553</v>
      </c>
      <c r="N4608">
        <v>1</v>
      </c>
      <c r="O4608" s="3">
        <v>69950</v>
      </c>
      <c r="P4608" s="3">
        <v>27014</v>
      </c>
      <c r="Q4608" s="5">
        <f t="shared" si="213"/>
        <v>58781.512605042022</v>
      </c>
      <c r="R4608" s="5">
        <f t="shared" si="214"/>
        <v>27014</v>
      </c>
      <c r="S4608" s="5">
        <f t="shared" si="215"/>
        <v>31767.512605042022</v>
      </c>
    </row>
    <row r="4609" spans="1:19" hidden="1" x14ac:dyDescent="0.3">
      <c r="A4609">
        <v>180</v>
      </c>
      <c r="B4609" t="s">
        <v>5549</v>
      </c>
      <c r="C4609" t="s">
        <v>5772</v>
      </c>
      <c r="D4609" s="2" t="s">
        <v>5773</v>
      </c>
      <c r="E4609" t="s">
        <v>3219</v>
      </c>
      <c r="F4609" t="s">
        <v>20</v>
      </c>
      <c r="G4609" t="s">
        <v>21</v>
      </c>
      <c r="H4609" t="s">
        <v>1296</v>
      </c>
      <c r="I4609" t="s">
        <v>23</v>
      </c>
      <c r="J4609" t="s">
        <v>35</v>
      </c>
      <c r="K4609" s="2" t="s">
        <v>2093</v>
      </c>
      <c r="L4609" t="s">
        <v>26</v>
      </c>
      <c r="M4609">
        <v>344554</v>
      </c>
      <c r="N4609">
        <v>-1</v>
      </c>
      <c r="O4609" s="3">
        <v>-69990</v>
      </c>
      <c r="P4609" s="3">
        <v>34091</v>
      </c>
      <c r="Q4609" s="5">
        <f t="shared" si="213"/>
        <v>-58815.126050420171</v>
      </c>
      <c r="R4609" s="5">
        <f t="shared" si="214"/>
        <v>-34091</v>
      </c>
      <c r="S4609" s="5">
        <f t="shared" si="215"/>
        <v>-24724.126050420171</v>
      </c>
    </row>
    <row r="4610" spans="1:19" hidden="1" x14ac:dyDescent="0.3">
      <c r="A4610">
        <v>180</v>
      </c>
      <c r="B4610" t="s">
        <v>5549</v>
      </c>
      <c r="C4610" t="s">
        <v>5519</v>
      </c>
      <c r="D4610" s="2" t="s">
        <v>5520</v>
      </c>
      <c r="E4610" t="s">
        <v>3219</v>
      </c>
      <c r="F4610" t="s">
        <v>20</v>
      </c>
      <c r="G4610" t="s">
        <v>21</v>
      </c>
      <c r="H4610" t="s">
        <v>1296</v>
      </c>
      <c r="I4610" t="s">
        <v>23</v>
      </c>
      <c r="J4610" t="s">
        <v>35</v>
      </c>
      <c r="K4610" s="2" t="s">
        <v>2093</v>
      </c>
      <c r="L4610" t="s">
        <v>26</v>
      </c>
      <c r="M4610">
        <v>344554</v>
      </c>
      <c r="N4610">
        <v>1</v>
      </c>
      <c r="O4610" s="3">
        <v>69991</v>
      </c>
      <c r="P4610" s="3">
        <v>34091</v>
      </c>
      <c r="Q4610" s="5">
        <f t="shared" si="213"/>
        <v>58815.966386554624</v>
      </c>
      <c r="R4610" s="5">
        <f t="shared" si="214"/>
        <v>34091</v>
      </c>
      <c r="S4610" s="5">
        <f t="shared" si="215"/>
        <v>24724.966386554624</v>
      </c>
    </row>
    <row r="4611" spans="1:19" hidden="1" x14ac:dyDescent="0.3">
      <c r="A4611">
        <v>180</v>
      </c>
      <c r="B4611" t="s">
        <v>5549</v>
      </c>
      <c r="C4611" t="s">
        <v>4120</v>
      </c>
      <c r="D4611" s="2" t="s">
        <v>4121</v>
      </c>
      <c r="E4611" t="s">
        <v>1439</v>
      </c>
      <c r="F4611" t="s">
        <v>20</v>
      </c>
      <c r="G4611" t="s">
        <v>21</v>
      </c>
      <c r="H4611" t="s">
        <v>1440</v>
      </c>
      <c r="I4611" t="s">
        <v>23</v>
      </c>
      <c r="J4611" t="s">
        <v>40</v>
      </c>
      <c r="K4611" s="2" t="s">
        <v>2149</v>
      </c>
      <c r="L4611" t="s">
        <v>26</v>
      </c>
      <c r="M4611">
        <v>344555</v>
      </c>
      <c r="N4611">
        <v>1</v>
      </c>
      <c r="O4611" s="3">
        <v>64950</v>
      </c>
      <c r="P4611" s="3">
        <v>17328</v>
      </c>
      <c r="Q4611" s="5">
        <f t="shared" si="213"/>
        <v>54579.831932773115</v>
      </c>
      <c r="R4611" s="5">
        <f t="shared" si="214"/>
        <v>17328</v>
      </c>
      <c r="S4611" s="5">
        <f t="shared" si="215"/>
        <v>37251.831932773115</v>
      </c>
    </row>
    <row r="4612" spans="1:19" hidden="1" x14ac:dyDescent="0.3">
      <c r="A4612">
        <v>180</v>
      </c>
      <c r="B4612" t="s">
        <v>5549</v>
      </c>
      <c r="C4612" t="s">
        <v>5789</v>
      </c>
      <c r="D4612" s="2" t="s">
        <v>5790</v>
      </c>
      <c r="E4612" t="s">
        <v>3914</v>
      </c>
      <c r="F4612" t="s">
        <v>20</v>
      </c>
      <c r="G4612" t="s">
        <v>338</v>
      </c>
      <c r="H4612">
        <v>24316</v>
      </c>
      <c r="I4612" t="s">
        <v>23</v>
      </c>
      <c r="J4612" t="s">
        <v>49</v>
      </c>
      <c r="K4612" s="2" t="s">
        <v>2149</v>
      </c>
      <c r="L4612" t="s">
        <v>26</v>
      </c>
      <c r="M4612">
        <v>344556</v>
      </c>
      <c r="N4612">
        <v>1</v>
      </c>
      <c r="O4612" s="3">
        <v>74950</v>
      </c>
      <c r="P4612" s="3">
        <v>23473</v>
      </c>
      <c r="Q4612" s="5">
        <f t="shared" si="213"/>
        <v>62983.193277310929</v>
      </c>
      <c r="R4612" s="5">
        <f t="shared" si="214"/>
        <v>23473</v>
      </c>
      <c r="S4612" s="5">
        <f t="shared" si="215"/>
        <v>39510.193277310929</v>
      </c>
    </row>
    <row r="4613" spans="1:19" hidden="1" x14ac:dyDescent="0.3">
      <c r="A4613">
        <v>180</v>
      </c>
      <c r="B4613" t="s">
        <v>5549</v>
      </c>
      <c r="C4613">
        <v>1687976791</v>
      </c>
      <c r="D4613" s="2" t="s">
        <v>200</v>
      </c>
      <c r="E4613" t="s">
        <v>201</v>
      </c>
      <c r="F4613" t="s">
        <v>201</v>
      </c>
      <c r="G4613" t="s">
        <v>202</v>
      </c>
      <c r="H4613" t="s">
        <v>202</v>
      </c>
      <c r="I4613" t="s">
        <v>23</v>
      </c>
      <c r="J4613" t="s">
        <v>202</v>
      </c>
      <c r="K4613" s="2" t="s">
        <v>2149</v>
      </c>
      <c r="L4613" t="s">
        <v>26</v>
      </c>
      <c r="M4613">
        <v>344557</v>
      </c>
      <c r="N4613">
        <v>1</v>
      </c>
      <c r="O4613" s="3">
        <v>3400</v>
      </c>
      <c r="P4613">
        <v>1</v>
      </c>
      <c r="Q4613" s="5">
        <f t="shared" si="213"/>
        <v>2857.1428571428573</v>
      </c>
      <c r="R4613" s="5">
        <f t="shared" si="214"/>
        <v>1</v>
      </c>
      <c r="S4613" s="5">
        <f t="shared" si="215"/>
        <v>2856.1428571428573</v>
      </c>
    </row>
    <row r="4614" spans="1:19" hidden="1" x14ac:dyDescent="0.3">
      <c r="A4614">
        <v>180</v>
      </c>
      <c r="B4614" t="s">
        <v>5549</v>
      </c>
      <c r="C4614" t="s">
        <v>1215</v>
      </c>
      <c r="D4614" s="2" t="s">
        <v>1216</v>
      </c>
      <c r="E4614" t="s">
        <v>1217</v>
      </c>
      <c r="F4614" t="s">
        <v>20</v>
      </c>
      <c r="G4614" t="s">
        <v>21</v>
      </c>
      <c r="H4614" t="s">
        <v>53</v>
      </c>
      <c r="I4614" t="s">
        <v>23</v>
      </c>
      <c r="J4614" t="s">
        <v>49</v>
      </c>
      <c r="K4614" s="2" t="s">
        <v>2149</v>
      </c>
      <c r="L4614" t="s">
        <v>26</v>
      </c>
      <c r="M4614">
        <v>344557</v>
      </c>
      <c r="N4614">
        <v>1</v>
      </c>
      <c r="O4614" s="3">
        <v>49990</v>
      </c>
      <c r="P4614" s="3">
        <v>20180</v>
      </c>
      <c r="Q4614" s="5">
        <f t="shared" ref="Q4614:Q4677" si="216">O4614/1.19</f>
        <v>42008.403361344543</v>
      </c>
      <c r="R4614" s="5">
        <f t="shared" ref="R4614:R4677" si="217">N4614*P4614</f>
        <v>20180</v>
      </c>
      <c r="S4614" s="5">
        <f t="shared" ref="S4614:S4677" si="218">Q4614-R4614</f>
        <v>21828.403361344543</v>
      </c>
    </row>
    <row r="4615" spans="1:19" hidden="1" x14ac:dyDescent="0.3">
      <c r="A4615">
        <v>180</v>
      </c>
      <c r="B4615" t="s">
        <v>5549</v>
      </c>
      <c r="C4615" t="s">
        <v>5791</v>
      </c>
      <c r="D4615" s="2" t="s">
        <v>5792</v>
      </c>
      <c r="E4615" t="s">
        <v>2993</v>
      </c>
      <c r="F4615" t="s">
        <v>20</v>
      </c>
      <c r="G4615" t="s">
        <v>21</v>
      </c>
      <c r="H4615" t="s">
        <v>1887</v>
      </c>
      <c r="I4615" t="s">
        <v>23</v>
      </c>
      <c r="J4615" t="s">
        <v>40</v>
      </c>
      <c r="K4615" s="2" t="s">
        <v>2149</v>
      </c>
      <c r="L4615" t="s">
        <v>26</v>
      </c>
      <c r="M4615">
        <v>344558</v>
      </c>
      <c r="N4615">
        <v>1</v>
      </c>
      <c r="O4615" s="3">
        <v>59450</v>
      </c>
      <c r="P4615" s="3">
        <v>22018</v>
      </c>
      <c r="Q4615" s="5">
        <f t="shared" si="216"/>
        <v>49957.983193277316</v>
      </c>
      <c r="R4615" s="5">
        <f t="shared" si="217"/>
        <v>22018</v>
      </c>
      <c r="S4615" s="5">
        <f t="shared" si="218"/>
        <v>27939.983193277316</v>
      </c>
    </row>
    <row r="4616" spans="1:19" hidden="1" x14ac:dyDescent="0.3">
      <c r="A4616">
        <v>180</v>
      </c>
      <c r="B4616" t="s">
        <v>5549</v>
      </c>
      <c r="C4616" t="s">
        <v>1328</v>
      </c>
      <c r="D4616" s="2" t="s">
        <v>1329</v>
      </c>
      <c r="E4616" t="s">
        <v>1330</v>
      </c>
      <c r="F4616" t="s">
        <v>20</v>
      </c>
      <c r="G4616" t="s">
        <v>338</v>
      </c>
      <c r="H4616">
        <v>25133</v>
      </c>
      <c r="I4616" t="s">
        <v>23</v>
      </c>
      <c r="J4616" t="s">
        <v>35</v>
      </c>
      <c r="K4616" s="2" t="s">
        <v>2149</v>
      </c>
      <c r="L4616" t="s">
        <v>26</v>
      </c>
      <c r="M4616">
        <v>344559</v>
      </c>
      <c r="N4616">
        <v>1</v>
      </c>
      <c r="O4616" s="3">
        <v>63701</v>
      </c>
      <c r="P4616" s="3">
        <v>21167</v>
      </c>
      <c r="Q4616" s="5">
        <f t="shared" si="216"/>
        <v>53530.252100840342</v>
      </c>
      <c r="R4616" s="5">
        <f t="shared" si="217"/>
        <v>21167</v>
      </c>
      <c r="S4616" s="5">
        <f t="shared" si="218"/>
        <v>32363.252100840342</v>
      </c>
    </row>
    <row r="4617" spans="1:19" hidden="1" x14ac:dyDescent="0.3">
      <c r="A4617">
        <v>180</v>
      </c>
      <c r="B4617" t="s">
        <v>5549</v>
      </c>
      <c r="C4617" t="s">
        <v>3935</v>
      </c>
      <c r="D4617" s="2" t="s">
        <v>3936</v>
      </c>
      <c r="E4617" t="s">
        <v>1330</v>
      </c>
      <c r="F4617" t="s">
        <v>20</v>
      </c>
      <c r="G4617" t="s">
        <v>338</v>
      </c>
      <c r="H4617">
        <v>25133</v>
      </c>
      <c r="I4617" t="s">
        <v>23</v>
      </c>
      <c r="J4617" t="s">
        <v>35</v>
      </c>
      <c r="K4617" s="2" t="s">
        <v>2149</v>
      </c>
      <c r="L4617" t="s">
        <v>26</v>
      </c>
      <c r="M4617">
        <v>344559</v>
      </c>
      <c r="N4617">
        <v>-1</v>
      </c>
      <c r="O4617" s="3">
        <v>-63700</v>
      </c>
      <c r="P4617" s="3">
        <v>21167</v>
      </c>
      <c r="Q4617" s="5">
        <f t="shared" si="216"/>
        <v>-53529.411764705888</v>
      </c>
      <c r="R4617" s="5">
        <f t="shared" si="217"/>
        <v>-21167</v>
      </c>
      <c r="S4617" s="5">
        <f t="shared" si="218"/>
        <v>-32362.411764705888</v>
      </c>
    </row>
    <row r="4618" spans="1:19" hidden="1" x14ac:dyDescent="0.3">
      <c r="A4618">
        <v>180</v>
      </c>
      <c r="B4618" t="s">
        <v>5549</v>
      </c>
      <c r="C4618" t="s">
        <v>952</v>
      </c>
      <c r="D4618" s="2" t="s">
        <v>953</v>
      </c>
      <c r="E4618" t="s">
        <v>954</v>
      </c>
      <c r="F4618" t="s">
        <v>20</v>
      </c>
      <c r="G4618" t="s">
        <v>21</v>
      </c>
      <c r="H4618" t="s">
        <v>557</v>
      </c>
      <c r="I4618" t="s">
        <v>23</v>
      </c>
      <c r="J4618" t="s">
        <v>40</v>
      </c>
      <c r="K4618" s="2" t="s">
        <v>2149</v>
      </c>
      <c r="L4618" t="s">
        <v>26</v>
      </c>
      <c r="M4618">
        <v>344560</v>
      </c>
      <c r="N4618">
        <v>-1</v>
      </c>
      <c r="O4618" s="3">
        <v>-79950</v>
      </c>
      <c r="P4618" s="3">
        <v>26779</v>
      </c>
      <c r="Q4618" s="5">
        <f t="shared" si="216"/>
        <v>-67184.873949579836</v>
      </c>
      <c r="R4618" s="5">
        <f t="shared" si="217"/>
        <v>-26779</v>
      </c>
      <c r="S4618" s="5">
        <f t="shared" si="218"/>
        <v>-40405.873949579836</v>
      </c>
    </row>
    <row r="4619" spans="1:19" hidden="1" x14ac:dyDescent="0.3">
      <c r="A4619">
        <v>180</v>
      </c>
      <c r="B4619" t="s">
        <v>5549</v>
      </c>
      <c r="C4619" t="s">
        <v>2319</v>
      </c>
      <c r="D4619" s="2" t="s">
        <v>2320</v>
      </c>
      <c r="E4619" t="s">
        <v>954</v>
      </c>
      <c r="F4619" t="s">
        <v>20</v>
      </c>
      <c r="G4619" t="s">
        <v>21</v>
      </c>
      <c r="H4619" t="s">
        <v>557</v>
      </c>
      <c r="I4619" t="s">
        <v>23</v>
      </c>
      <c r="J4619" t="s">
        <v>40</v>
      </c>
      <c r="K4619" s="2" t="s">
        <v>2149</v>
      </c>
      <c r="L4619" t="s">
        <v>26</v>
      </c>
      <c r="M4619">
        <v>344560</v>
      </c>
      <c r="N4619">
        <v>1</v>
      </c>
      <c r="O4619" s="3">
        <v>79951</v>
      </c>
      <c r="P4619" s="3">
        <v>26791</v>
      </c>
      <c r="Q4619" s="5">
        <f t="shared" si="216"/>
        <v>67185.71428571429</v>
      </c>
      <c r="R4619" s="5">
        <f t="shared" si="217"/>
        <v>26791</v>
      </c>
      <c r="S4619" s="5">
        <f t="shared" si="218"/>
        <v>40394.71428571429</v>
      </c>
    </row>
    <row r="4620" spans="1:19" hidden="1" x14ac:dyDescent="0.3">
      <c r="A4620">
        <v>180</v>
      </c>
      <c r="B4620" t="s">
        <v>5549</v>
      </c>
      <c r="C4620" t="s">
        <v>3580</v>
      </c>
      <c r="D4620" s="2" t="s">
        <v>3581</v>
      </c>
      <c r="E4620" t="s">
        <v>2834</v>
      </c>
      <c r="F4620" t="s">
        <v>20</v>
      </c>
      <c r="G4620" t="s">
        <v>21</v>
      </c>
      <c r="H4620" t="s">
        <v>870</v>
      </c>
      <c r="I4620" t="s">
        <v>23</v>
      </c>
      <c r="J4620" t="s">
        <v>49</v>
      </c>
      <c r="K4620" s="2" t="s">
        <v>2149</v>
      </c>
      <c r="L4620" t="s">
        <v>26</v>
      </c>
      <c r="M4620">
        <v>344561</v>
      </c>
      <c r="N4620">
        <v>1</v>
      </c>
      <c r="O4620" s="3">
        <v>64950</v>
      </c>
      <c r="P4620" s="3">
        <v>23542</v>
      </c>
      <c r="Q4620" s="5">
        <f t="shared" si="216"/>
        <v>54579.831932773115</v>
      </c>
      <c r="R4620" s="5">
        <f t="shared" si="217"/>
        <v>23542</v>
      </c>
      <c r="S4620" s="5">
        <f t="shared" si="218"/>
        <v>31037.831932773115</v>
      </c>
    </row>
    <row r="4621" spans="1:19" hidden="1" x14ac:dyDescent="0.3">
      <c r="A4621">
        <v>180</v>
      </c>
      <c r="B4621" t="s">
        <v>5549</v>
      </c>
      <c r="C4621" t="s">
        <v>3852</v>
      </c>
      <c r="D4621" s="2" t="s">
        <v>3853</v>
      </c>
      <c r="E4621" t="s">
        <v>990</v>
      </c>
      <c r="F4621" t="s">
        <v>20</v>
      </c>
      <c r="G4621" t="s">
        <v>21</v>
      </c>
      <c r="H4621" t="s">
        <v>991</v>
      </c>
      <c r="I4621" t="s">
        <v>23</v>
      </c>
      <c r="J4621" t="s">
        <v>49</v>
      </c>
      <c r="K4621" s="2" t="s">
        <v>2192</v>
      </c>
      <c r="L4621" t="s">
        <v>26</v>
      </c>
      <c r="M4621">
        <v>344562</v>
      </c>
      <c r="N4621">
        <v>1</v>
      </c>
      <c r="O4621" s="3">
        <v>69950</v>
      </c>
      <c r="P4621" s="3">
        <v>22162</v>
      </c>
      <c r="Q4621" s="5">
        <f t="shared" si="216"/>
        <v>58781.512605042022</v>
      </c>
      <c r="R4621" s="5">
        <f t="shared" si="217"/>
        <v>22162</v>
      </c>
      <c r="S4621" s="5">
        <f t="shared" si="218"/>
        <v>36619.512605042022</v>
      </c>
    </row>
    <row r="4622" spans="1:19" hidden="1" x14ac:dyDescent="0.3">
      <c r="A4622">
        <v>180</v>
      </c>
      <c r="B4622" t="s">
        <v>5549</v>
      </c>
      <c r="C4622" t="s">
        <v>3951</v>
      </c>
      <c r="D4622" s="2" t="s">
        <v>3952</v>
      </c>
      <c r="E4622" t="s">
        <v>2741</v>
      </c>
      <c r="F4622" t="s">
        <v>20</v>
      </c>
      <c r="G4622" t="s">
        <v>21</v>
      </c>
      <c r="H4622" t="s">
        <v>2494</v>
      </c>
      <c r="I4622" t="s">
        <v>23</v>
      </c>
      <c r="J4622" t="s">
        <v>40</v>
      </c>
      <c r="K4622" s="2" t="s">
        <v>2192</v>
      </c>
      <c r="L4622" t="s">
        <v>26</v>
      </c>
      <c r="M4622">
        <v>344563</v>
      </c>
      <c r="N4622">
        <v>1</v>
      </c>
      <c r="O4622" s="3">
        <v>69950</v>
      </c>
      <c r="P4622" s="3">
        <v>23470</v>
      </c>
      <c r="Q4622" s="5">
        <f t="shared" si="216"/>
        <v>58781.512605042022</v>
      </c>
      <c r="R4622" s="5">
        <f t="shared" si="217"/>
        <v>23470</v>
      </c>
      <c r="S4622" s="5">
        <f t="shared" si="218"/>
        <v>35311.512605042022</v>
      </c>
    </row>
    <row r="4623" spans="1:19" hidden="1" x14ac:dyDescent="0.3">
      <c r="A4623">
        <v>180</v>
      </c>
      <c r="B4623" t="s">
        <v>5549</v>
      </c>
      <c r="C4623">
        <v>1687976791</v>
      </c>
      <c r="D4623" s="2" t="s">
        <v>200</v>
      </c>
      <c r="E4623" t="s">
        <v>201</v>
      </c>
      <c r="F4623" t="s">
        <v>201</v>
      </c>
      <c r="G4623" t="s">
        <v>202</v>
      </c>
      <c r="H4623" t="s">
        <v>202</v>
      </c>
      <c r="I4623" t="s">
        <v>23</v>
      </c>
      <c r="J4623" t="s">
        <v>202</v>
      </c>
      <c r="K4623" s="2" t="s">
        <v>2192</v>
      </c>
      <c r="L4623" t="s">
        <v>26</v>
      </c>
      <c r="M4623">
        <v>344563</v>
      </c>
      <c r="N4623">
        <v>1</v>
      </c>
      <c r="O4623" s="3">
        <v>3400</v>
      </c>
      <c r="P4623">
        <v>1</v>
      </c>
      <c r="Q4623" s="5">
        <f t="shared" si="216"/>
        <v>2857.1428571428573</v>
      </c>
      <c r="R4623" s="5">
        <f t="shared" si="217"/>
        <v>1</v>
      </c>
      <c r="S4623" s="5">
        <f t="shared" si="218"/>
        <v>2856.1428571428573</v>
      </c>
    </row>
    <row r="4624" spans="1:19" hidden="1" x14ac:dyDescent="0.3">
      <c r="A4624">
        <v>180</v>
      </c>
      <c r="B4624" t="s">
        <v>5549</v>
      </c>
      <c r="C4624" t="s">
        <v>4340</v>
      </c>
      <c r="D4624" s="2" t="s">
        <v>4341</v>
      </c>
      <c r="E4624" t="s">
        <v>1174</v>
      </c>
      <c r="F4624" t="s">
        <v>20</v>
      </c>
      <c r="G4624" t="s">
        <v>21</v>
      </c>
      <c r="H4624" t="s">
        <v>272</v>
      </c>
      <c r="I4624" t="s">
        <v>23</v>
      </c>
      <c r="J4624" t="s">
        <v>40</v>
      </c>
      <c r="K4624" s="2" t="s">
        <v>2192</v>
      </c>
      <c r="L4624" t="s">
        <v>26</v>
      </c>
      <c r="M4624">
        <v>344564</v>
      </c>
      <c r="N4624">
        <v>0</v>
      </c>
      <c r="O4624">
        <v>1</v>
      </c>
      <c r="P4624" s="3">
        <v>25232</v>
      </c>
      <c r="Q4624" s="5">
        <f t="shared" si="216"/>
        <v>0.84033613445378152</v>
      </c>
      <c r="R4624" s="5">
        <f t="shared" si="217"/>
        <v>0</v>
      </c>
      <c r="S4624" s="5">
        <f t="shared" si="218"/>
        <v>0.84033613445378152</v>
      </c>
    </row>
    <row r="4625" spans="1:19" hidden="1" x14ac:dyDescent="0.3">
      <c r="A4625">
        <v>180</v>
      </c>
      <c r="B4625" t="s">
        <v>5549</v>
      </c>
      <c r="C4625" t="s">
        <v>3186</v>
      </c>
      <c r="D4625" s="2" t="s">
        <v>3187</v>
      </c>
      <c r="E4625" t="s">
        <v>789</v>
      </c>
      <c r="F4625" t="s">
        <v>20</v>
      </c>
      <c r="G4625" t="s">
        <v>21</v>
      </c>
      <c r="H4625" t="s">
        <v>790</v>
      </c>
      <c r="I4625" t="s">
        <v>23</v>
      </c>
      <c r="J4625" t="s">
        <v>40</v>
      </c>
      <c r="K4625" s="2" t="s">
        <v>2192</v>
      </c>
      <c r="L4625" t="s">
        <v>26</v>
      </c>
      <c r="M4625">
        <v>344565</v>
      </c>
      <c r="N4625">
        <v>1</v>
      </c>
      <c r="O4625" s="3">
        <v>69990</v>
      </c>
      <c r="P4625" s="3">
        <v>30692</v>
      </c>
      <c r="Q4625" s="5">
        <f t="shared" si="216"/>
        <v>58815.126050420171</v>
      </c>
      <c r="R4625" s="5">
        <f t="shared" si="217"/>
        <v>30692</v>
      </c>
      <c r="S4625" s="5">
        <f t="shared" si="218"/>
        <v>28123.126050420171</v>
      </c>
    </row>
    <row r="4626" spans="1:19" hidden="1" x14ac:dyDescent="0.3">
      <c r="A4626">
        <v>180</v>
      </c>
      <c r="B4626" t="s">
        <v>5549</v>
      </c>
      <c r="C4626" t="s">
        <v>3294</v>
      </c>
      <c r="D4626" s="2" t="s">
        <v>3295</v>
      </c>
      <c r="E4626" t="s">
        <v>3296</v>
      </c>
      <c r="F4626" t="s">
        <v>377</v>
      </c>
      <c r="G4626" t="s">
        <v>21</v>
      </c>
      <c r="H4626" t="s">
        <v>378</v>
      </c>
      <c r="I4626" t="s">
        <v>23</v>
      </c>
      <c r="J4626" t="s">
        <v>3297</v>
      </c>
      <c r="K4626" s="2" t="s">
        <v>2192</v>
      </c>
      <c r="L4626" t="s">
        <v>26</v>
      </c>
      <c r="M4626">
        <v>344565</v>
      </c>
      <c r="N4626">
        <v>1</v>
      </c>
      <c r="O4626">
        <v>500</v>
      </c>
      <c r="P4626">
        <v>358</v>
      </c>
      <c r="Q4626" s="5">
        <f t="shared" si="216"/>
        <v>420.1680672268908</v>
      </c>
      <c r="R4626" s="5">
        <f t="shared" si="217"/>
        <v>358</v>
      </c>
      <c r="S4626" s="5">
        <f t="shared" si="218"/>
        <v>62.168067226890798</v>
      </c>
    </row>
    <row r="4627" spans="1:19" hidden="1" x14ac:dyDescent="0.3">
      <c r="A4627">
        <v>180</v>
      </c>
      <c r="B4627" t="s">
        <v>5549</v>
      </c>
      <c r="C4627" t="s">
        <v>3089</v>
      </c>
      <c r="D4627" s="2" t="s">
        <v>3090</v>
      </c>
      <c r="E4627" t="s">
        <v>3091</v>
      </c>
      <c r="F4627" t="s">
        <v>20</v>
      </c>
      <c r="G4627" t="s">
        <v>338</v>
      </c>
      <c r="H4627">
        <v>26266</v>
      </c>
      <c r="I4627" t="s">
        <v>23</v>
      </c>
      <c r="J4627" t="s">
        <v>35</v>
      </c>
      <c r="K4627" s="2" t="s">
        <v>2192</v>
      </c>
      <c r="L4627" t="s">
        <v>26</v>
      </c>
      <c r="M4627">
        <v>344566</v>
      </c>
      <c r="N4627">
        <v>1</v>
      </c>
      <c r="O4627" s="3">
        <v>79950</v>
      </c>
      <c r="P4627" s="3">
        <v>25300</v>
      </c>
      <c r="Q4627" s="5">
        <f t="shared" si="216"/>
        <v>67184.873949579836</v>
      </c>
      <c r="R4627" s="5">
        <f t="shared" si="217"/>
        <v>25300</v>
      </c>
      <c r="S4627" s="5">
        <f t="shared" si="218"/>
        <v>41884.873949579836</v>
      </c>
    </row>
    <row r="4628" spans="1:19" hidden="1" x14ac:dyDescent="0.3">
      <c r="A4628">
        <v>180</v>
      </c>
      <c r="B4628" t="s">
        <v>5549</v>
      </c>
      <c r="C4628" t="s">
        <v>2405</v>
      </c>
      <c r="D4628" s="2" t="s">
        <v>2406</v>
      </c>
      <c r="E4628" t="s">
        <v>2407</v>
      </c>
      <c r="F4628" t="s">
        <v>20</v>
      </c>
      <c r="G4628" t="s">
        <v>21</v>
      </c>
      <c r="H4628" t="s">
        <v>30</v>
      </c>
      <c r="I4628" t="s">
        <v>23</v>
      </c>
      <c r="J4628" t="s">
        <v>49</v>
      </c>
      <c r="K4628" s="2" t="s">
        <v>2192</v>
      </c>
      <c r="L4628" t="s">
        <v>26</v>
      </c>
      <c r="M4628">
        <v>344567</v>
      </c>
      <c r="N4628">
        <v>-1</v>
      </c>
      <c r="O4628" s="3">
        <v>-49990</v>
      </c>
      <c r="P4628" s="3">
        <v>23517</v>
      </c>
      <c r="Q4628" s="5">
        <f t="shared" si="216"/>
        <v>-42008.403361344543</v>
      </c>
      <c r="R4628" s="5">
        <f t="shared" si="217"/>
        <v>-23517</v>
      </c>
      <c r="S4628" s="5">
        <f t="shared" si="218"/>
        <v>-18491.403361344543</v>
      </c>
    </row>
    <row r="4629" spans="1:19" hidden="1" x14ac:dyDescent="0.3">
      <c r="A4629">
        <v>180</v>
      </c>
      <c r="B4629" t="s">
        <v>5549</v>
      </c>
      <c r="C4629" t="s">
        <v>2097</v>
      </c>
      <c r="D4629" s="2" t="s">
        <v>2098</v>
      </c>
      <c r="E4629" t="s">
        <v>494</v>
      </c>
      <c r="F4629" t="s">
        <v>20</v>
      </c>
      <c r="G4629" t="s">
        <v>21</v>
      </c>
      <c r="H4629" t="s">
        <v>317</v>
      </c>
      <c r="I4629" t="s">
        <v>23</v>
      </c>
      <c r="J4629" t="s">
        <v>35</v>
      </c>
      <c r="K4629" s="2" t="s">
        <v>2192</v>
      </c>
      <c r="L4629" t="s">
        <v>26</v>
      </c>
      <c r="M4629">
        <v>344567</v>
      </c>
      <c r="N4629">
        <v>1</v>
      </c>
      <c r="O4629" s="3">
        <v>69950</v>
      </c>
      <c r="P4629" s="3">
        <v>23619</v>
      </c>
      <c r="Q4629" s="5">
        <f t="shared" si="216"/>
        <v>58781.512605042022</v>
      </c>
      <c r="R4629" s="5">
        <f t="shared" si="217"/>
        <v>23619</v>
      </c>
      <c r="S4629" s="5">
        <f t="shared" si="218"/>
        <v>35162.512605042022</v>
      </c>
    </row>
    <row r="4630" spans="1:19" hidden="1" x14ac:dyDescent="0.3">
      <c r="A4630">
        <v>180</v>
      </c>
      <c r="B4630" t="s">
        <v>5549</v>
      </c>
      <c r="C4630" t="s">
        <v>1172</v>
      </c>
      <c r="D4630" s="2" t="s">
        <v>1173</v>
      </c>
      <c r="E4630" t="s">
        <v>1174</v>
      </c>
      <c r="F4630" t="s">
        <v>20</v>
      </c>
      <c r="G4630" t="s">
        <v>21</v>
      </c>
      <c r="H4630" t="s">
        <v>272</v>
      </c>
      <c r="I4630" t="s">
        <v>23</v>
      </c>
      <c r="J4630" t="s">
        <v>40</v>
      </c>
      <c r="K4630" s="2" t="s">
        <v>2192</v>
      </c>
      <c r="L4630" t="s">
        <v>26</v>
      </c>
      <c r="M4630">
        <v>344568</v>
      </c>
      <c r="N4630">
        <v>1</v>
      </c>
      <c r="O4630" s="3">
        <v>59990</v>
      </c>
      <c r="P4630" s="3">
        <v>25136</v>
      </c>
      <c r="Q4630" s="5">
        <f t="shared" si="216"/>
        <v>50411.764705882357</v>
      </c>
      <c r="R4630" s="5">
        <f t="shared" si="217"/>
        <v>25136</v>
      </c>
      <c r="S4630" s="5">
        <f t="shared" si="218"/>
        <v>25275.764705882357</v>
      </c>
    </row>
    <row r="4631" spans="1:19" hidden="1" x14ac:dyDescent="0.3">
      <c r="A4631">
        <v>180</v>
      </c>
      <c r="B4631" t="s">
        <v>5549</v>
      </c>
      <c r="C4631" t="s">
        <v>5793</v>
      </c>
      <c r="D4631" s="2" t="s">
        <v>5794</v>
      </c>
      <c r="E4631" t="s">
        <v>2295</v>
      </c>
      <c r="F4631" t="s">
        <v>20</v>
      </c>
      <c r="G4631" t="s">
        <v>338</v>
      </c>
      <c r="H4631">
        <v>25026</v>
      </c>
      <c r="I4631" t="s">
        <v>23</v>
      </c>
      <c r="J4631" t="s">
        <v>35</v>
      </c>
      <c r="K4631" s="2" t="s">
        <v>2192</v>
      </c>
      <c r="L4631" t="s">
        <v>26</v>
      </c>
      <c r="M4631">
        <v>344569</v>
      </c>
      <c r="N4631">
        <v>1</v>
      </c>
      <c r="O4631" s="3">
        <v>69990</v>
      </c>
      <c r="P4631" s="3">
        <v>28454</v>
      </c>
      <c r="Q4631" s="5">
        <f t="shared" si="216"/>
        <v>58815.126050420171</v>
      </c>
      <c r="R4631" s="5">
        <f t="shared" si="217"/>
        <v>28454</v>
      </c>
      <c r="S4631" s="5">
        <f t="shared" si="218"/>
        <v>30361.126050420171</v>
      </c>
    </row>
    <row r="4632" spans="1:19" hidden="1" x14ac:dyDescent="0.3">
      <c r="A4632">
        <v>180</v>
      </c>
      <c r="B4632" t="s">
        <v>5549</v>
      </c>
      <c r="C4632" t="s">
        <v>5795</v>
      </c>
      <c r="D4632" s="2" t="s">
        <v>5796</v>
      </c>
      <c r="E4632" t="s">
        <v>3795</v>
      </c>
      <c r="F4632" t="s">
        <v>20</v>
      </c>
      <c r="G4632" t="s">
        <v>338</v>
      </c>
      <c r="H4632">
        <v>25529</v>
      </c>
      <c r="I4632" t="s">
        <v>23</v>
      </c>
      <c r="J4632" t="s">
        <v>31</v>
      </c>
      <c r="K4632" s="2" t="s">
        <v>2192</v>
      </c>
      <c r="L4632" t="s">
        <v>26</v>
      </c>
      <c r="M4632">
        <v>344569</v>
      </c>
      <c r="N4632">
        <v>-1</v>
      </c>
      <c r="O4632" s="3">
        <v>-149950</v>
      </c>
      <c r="P4632" s="3">
        <v>50690</v>
      </c>
      <c r="Q4632" s="5">
        <f t="shared" si="216"/>
        <v>-126008.40336134455</v>
      </c>
      <c r="R4632" s="5">
        <f t="shared" si="217"/>
        <v>-50690</v>
      </c>
      <c r="S4632" s="5">
        <f t="shared" si="218"/>
        <v>-75318.40336134455</v>
      </c>
    </row>
    <row r="4633" spans="1:19" hidden="1" x14ac:dyDescent="0.3">
      <c r="A4633">
        <v>180</v>
      </c>
      <c r="B4633" t="s">
        <v>5549</v>
      </c>
      <c r="C4633" t="s">
        <v>5797</v>
      </c>
      <c r="D4633" s="2" t="s">
        <v>5798</v>
      </c>
      <c r="E4633" t="s">
        <v>3202</v>
      </c>
      <c r="F4633" t="s">
        <v>20</v>
      </c>
      <c r="G4633" t="s">
        <v>338</v>
      </c>
      <c r="H4633">
        <v>25702</v>
      </c>
      <c r="I4633" t="s">
        <v>23</v>
      </c>
      <c r="J4633" t="s">
        <v>35</v>
      </c>
      <c r="K4633" s="2" t="s">
        <v>2192</v>
      </c>
      <c r="L4633" t="s">
        <v>26</v>
      </c>
      <c r="M4633">
        <v>344569</v>
      </c>
      <c r="N4633">
        <v>1</v>
      </c>
      <c r="O4633" s="3">
        <v>109950</v>
      </c>
      <c r="P4633" s="3">
        <v>34974</v>
      </c>
      <c r="Q4633" s="5">
        <f t="shared" si="216"/>
        <v>92394.957983193279</v>
      </c>
      <c r="R4633" s="5">
        <f t="shared" si="217"/>
        <v>34974</v>
      </c>
      <c r="S4633" s="5">
        <f t="shared" si="218"/>
        <v>57420.957983193279</v>
      </c>
    </row>
    <row r="4634" spans="1:19" hidden="1" x14ac:dyDescent="0.3">
      <c r="A4634">
        <v>180</v>
      </c>
      <c r="B4634" t="s">
        <v>5549</v>
      </c>
      <c r="C4634" t="s">
        <v>3294</v>
      </c>
      <c r="D4634" s="2" t="s">
        <v>3295</v>
      </c>
      <c r="E4634" t="s">
        <v>3296</v>
      </c>
      <c r="F4634" t="s">
        <v>377</v>
      </c>
      <c r="G4634" t="s">
        <v>21</v>
      </c>
      <c r="H4634" t="s">
        <v>378</v>
      </c>
      <c r="I4634" t="s">
        <v>23</v>
      </c>
      <c r="J4634" t="s">
        <v>3297</v>
      </c>
      <c r="K4634" s="2" t="s">
        <v>2192</v>
      </c>
      <c r="L4634" t="s">
        <v>26</v>
      </c>
      <c r="M4634">
        <v>344569</v>
      </c>
      <c r="N4634">
        <v>1</v>
      </c>
      <c r="O4634">
        <v>500</v>
      </c>
      <c r="P4634">
        <v>358</v>
      </c>
      <c r="Q4634" s="5">
        <f t="shared" si="216"/>
        <v>420.1680672268908</v>
      </c>
      <c r="R4634" s="5">
        <f t="shared" si="217"/>
        <v>358</v>
      </c>
      <c r="S4634" s="5">
        <f t="shared" si="218"/>
        <v>62.168067226890798</v>
      </c>
    </row>
    <row r="4635" spans="1:19" hidden="1" x14ac:dyDescent="0.3">
      <c r="A4635">
        <v>180</v>
      </c>
      <c r="B4635" t="s">
        <v>5549</v>
      </c>
      <c r="C4635" t="s">
        <v>2426</v>
      </c>
      <c r="D4635" s="2" t="s">
        <v>2427</v>
      </c>
      <c r="E4635" t="s">
        <v>2428</v>
      </c>
      <c r="F4635" t="s">
        <v>20</v>
      </c>
      <c r="G4635" t="s">
        <v>21</v>
      </c>
      <c r="H4635" t="s">
        <v>2315</v>
      </c>
      <c r="I4635" t="s">
        <v>23</v>
      </c>
      <c r="J4635" t="s">
        <v>35</v>
      </c>
      <c r="K4635" s="2" t="s">
        <v>2192</v>
      </c>
      <c r="L4635" t="s">
        <v>26</v>
      </c>
      <c r="M4635">
        <v>344570</v>
      </c>
      <c r="N4635">
        <v>1</v>
      </c>
      <c r="O4635" s="3">
        <v>89950</v>
      </c>
      <c r="P4635" s="3">
        <v>30749</v>
      </c>
      <c r="Q4635" s="5">
        <f t="shared" si="216"/>
        <v>75588.23529411765</v>
      </c>
      <c r="R4635" s="5">
        <f t="shared" si="217"/>
        <v>30749</v>
      </c>
      <c r="S4635" s="5">
        <f t="shared" si="218"/>
        <v>44839.23529411765</v>
      </c>
    </row>
    <row r="4636" spans="1:19" hidden="1" x14ac:dyDescent="0.3">
      <c r="A4636">
        <v>180</v>
      </c>
      <c r="B4636" t="s">
        <v>5549</v>
      </c>
      <c r="C4636" t="s">
        <v>3294</v>
      </c>
      <c r="D4636" s="2" t="s">
        <v>3295</v>
      </c>
      <c r="E4636" t="s">
        <v>3296</v>
      </c>
      <c r="F4636" t="s">
        <v>377</v>
      </c>
      <c r="G4636" t="s">
        <v>21</v>
      </c>
      <c r="H4636" t="s">
        <v>378</v>
      </c>
      <c r="I4636" t="s">
        <v>23</v>
      </c>
      <c r="J4636" t="s">
        <v>3297</v>
      </c>
      <c r="K4636" s="2" t="s">
        <v>2192</v>
      </c>
      <c r="L4636" t="s">
        <v>26</v>
      </c>
      <c r="M4636">
        <v>344570</v>
      </c>
      <c r="N4636">
        <v>1</v>
      </c>
      <c r="O4636">
        <v>500</v>
      </c>
      <c r="P4636">
        <v>358</v>
      </c>
      <c r="Q4636" s="5">
        <f t="shared" si="216"/>
        <v>420.1680672268908</v>
      </c>
      <c r="R4636" s="5">
        <f t="shared" si="217"/>
        <v>358</v>
      </c>
      <c r="S4636" s="5">
        <f t="shared" si="218"/>
        <v>62.168067226890798</v>
      </c>
    </row>
    <row r="4637" spans="1:19" hidden="1" x14ac:dyDescent="0.3">
      <c r="A4637">
        <v>180</v>
      </c>
      <c r="B4637" t="s">
        <v>5549</v>
      </c>
      <c r="C4637" t="s">
        <v>2772</v>
      </c>
      <c r="D4637" s="2" t="s">
        <v>2773</v>
      </c>
      <c r="E4637" t="s">
        <v>2771</v>
      </c>
      <c r="F4637" t="s">
        <v>20</v>
      </c>
      <c r="G4637" t="s">
        <v>21</v>
      </c>
      <c r="H4637" t="s">
        <v>57</v>
      </c>
      <c r="I4637" t="s">
        <v>23</v>
      </c>
      <c r="J4637" t="s">
        <v>35</v>
      </c>
      <c r="K4637" s="2" t="s">
        <v>2192</v>
      </c>
      <c r="L4637" t="s">
        <v>26</v>
      </c>
      <c r="M4637">
        <v>344571</v>
      </c>
      <c r="N4637">
        <v>1</v>
      </c>
      <c r="O4637" s="3">
        <v>79990</v>
      </c>
      <c r="P4637" s="3">
        <v>29189</v>
      </c>
      <c r="Q4637" s="5">
        <f t="shared" si="216"/>
        <v>67218.487394957992</v>
      </c>
      <c r="R4637" s="5">
        <f t="shared" si="217"/>
        <v>29189</v>
      </c>
      <c r="S4637" s="5">
        <f t="shared" si="218"/>
        <v>38029.487394957992</v>
      </c>
    </row>
    <row r="4638" spans="1:19" hidden="1" x14ac:dyDescent="0.3">
      <c r="A4638">
        <v>180</v>
      </c>
      <c r="B4638" t="s">
        <v>5549</v>
      </c>
      <c r="C4638" t="s">
        <v>3294</v>
      </c>
      <c r="D4638" s="2" t="s">
        <v>3295</v>
      </c>
      <c r="E4638" t="s">
        <v>3296</v>
      </c>
      <c r="F4638" t="s">
        <v>377</v>
      </c>
      <c r="G4638" t="s">
        <v>21</v>
      </c>
      <c r="H4638" t="s">
        <v>378</v>
      </c>
      <c r="I4638" t="s">
        <v>23</v>
      </c>
      <c r="J4638" t="s">
        <v>3297</v>
      </c>
      <c r="K4638" s="2" t="s">
        <v>2192</v>
      </c>
      <c r="L4638" t="s">
        <v>26</v>
      </c>
      <c r="M4638">
        <v>344571</v>
      </c>
      <c r="N4638">
        <v>1</v>
      </c>
      <c r="O4638">
        <v>500</v>
      </c>
      <c r="P4638">
        <v>358</v>
      </c>
      <c r="Q4638" s="5">
        <f t="shared" si="216"/>
        <v>420.1680672268908</v>
      </c>
      <c r="R4638" s="5">
        <f t="shared" si="217"/>
        <v>358</v>
      </c>
      <c r="S4638" s="5">
        <f t="shared" si="218"/>
        <v>62.168067226890798</v>
      </c>
    </row>
    <row r="4639" spans="1:19" hidden="1" x14ac:dyDescent="0.3">
      <c r="A4639">
        <v>180</v>
      </c>
      <c r="B4639" t="s">
        <v>5549</v>
      </c>
      <c r="C4639" t="s">
        <v>3787</v>
      </c>
      <c r="D4639" s="2" t="s">
        <v>3788</v>
      </c>
      <c r="E4639" t="s">
        <v>2748</v>
      </c>
      <c r="F4639" t="s">
        <v>20</v>
      </c>
      <c r="G4639" t="s">
        <v>338</v>
      </c>
      <c r="H4639">
        <v>26266</v>
      </c>
      <c r="I4639" t="s">
        <v>23</v>
      </c>
      <c r="J4639" t="s">
        <v>35</v>
      </c>
      <c r="K4639" s="2" t="s">
        <v>2192</v>
      </c>
      <c r="L4639" t="s">
        <v>26</v>
      </c>
      <c r="M4639">
        <v>344572</v>
      </c>
      <c r="N4639">
        <v>1</v>
      </c>
      <c r="O4639" s="3">
        <v>79950</v>
      </c>
      <c r="P4639" s="3">
        <v>25300</v>
      </c>
      <c r="Q4639" s="5">
        <f t="shared" si="216"/>
        <v>67184.873949579836</v>
      </c>
      <c r="R4639" s="5">
        <f t="shared" si="217"/>
        <v>25300</v>
      </c>
      <c r="S4639" s="5">
        <f t="shared" si="218"/>
        <v>41884.873949579836</v>
      </c>
    </row>
    <row r="4640" spans="1:19" hidden="1" x14ac:dyDescent="0.3">
      <c r="A4640">
        <v>180</v>
      </c>
      <c r="B4640" t="s">
        <v>5549</v>
      </c>
      <c r="C4640" t="s">
        <v>3294</v>
      </c>
      <c r="D4640" s="2" t="s">
        <v>3295</v>
      </c>
      <c r="E4640" t="s">
        <v>3296</v>
      </c>
      <c r="F4640" t="s">
        <v>377</v>
      </c>
      <c r="G4640" t="s">
        <v>21</v>
      </c>
      <c r="H4640" t="s">
        <v>378</v>
      </c>
      <c r="I4640" t="s">
        <v>23</v>
      </c>
      <c r="J4640" t="s">
        <v>3297</v>
      </c>
      <c r="K4640" s="2" t="s">
        <v>2192</v>
      </c>
      <c r="L4640" t="s">
        <v>26</v>
      </c>
      <c r="M4640">
        <v>344572</v>
      </c>
      <c r="N4640">
        <v>1</v>
      </c>
      <c r="O4640">
        <v>500</v>
      </c>
      <c r="P4640">
        <v>358</v>
      </c>
      <c r="Q4640" s="5">
        <f t="shared" si="216"/>
        <v>420.1680672268908</v>
      </c>
      <c r="R4640" s="5">
        <f t="shared" si="217"/>
        <v>358</v>
      </c>
      <c r="S4640" s="5">
        <f t="shared" si="218"/>
        <v>62.168067226890798</v>
      </c>
    </row>
    <row r="4641" spans="1:19" hidden="1" x14ac:dyDescent="0.3">
      <c r="A4641">
        <v>180</v>
      </c>
      <c r="B4641" t="s">
        <v>5549</v>
      </c>
      <c r="C4641" t="s">
        <v>5213</v>
      </c>
      <c r="D4641" s="2" t="s">
        <v>5214</v>
      </c>
      <c r="E4641" t="s">
        <v>2284</v>
      </c>
      <c r="F4641" t="s">
        <v>20</v>
      </c>
      <c r="G4641" t="s">
        <v>21</v>
      </c>
      <c r="H4641" t="s">
        <v>247</v>
      </c>
      <c r="I4641" t="s">
        <v>23</v>
      </c>
      <c r="J4641" t="s">
        <v>40</v>
      </c>
      <c r="K4641" s="2" t="s">
        <v>2192</v>
      </c>
      <c r="L4641" t="s">
        <v>26</v>
      </c>
      <c r="M4641">
        <v>344573</v>
      </c>
      <c r="N4641">
        <v>1</v>
      </c>
      <c r="O4641" s="3">
        <v>59950</v>
      </c>
      <c r="P4641" s="3">
        <v>16541</v>
      </c>
      <c r="Q4641" s="5">
        <f t="shared" si="216"/>
        <v>50378.151260504201</v>
      </c>
      <c r="R4641" s="5">
        <f t="shared" si="217"/>
        <v>16541</v>
      </c>
      <c r="S4641" s="5">
        <f t="shared" si="218"/>
        <v>33837.151260504201</v>
      </c>
    </row>
    <row r="4642" spans="1:19" hidden="1" x14ac:dyDescent="0.3">
      <c r="A4642">
        <v>180</v>
      </c>
      <c r="B4642" t="s">
        <v>5549</v>
      </c>
      <c r="C4642" t="s">
        <v>5799</v>
      </c>
      <c r="D4642" s="2" t="s">
        <v>5800</v>
      </c>
      <c r="E4642" t="s">
        <v>1397</v>
      </c>
      <c r="F4642" t="s">
        <v>20</v>
      </c>
      <c r="G4642" t="s">
        <v>21</v>
      </c>
      <c r="H4642" t="s">
        <v>152</v>
      </c>
      <c r="I4642" t="s">
        <v>23</v>
      </c>
      <c r="J4642" t="s">
        <v>40</v>
      </c>
      <c r="K4642" s="2" t="s">
        <v>2192</v>
      </c>
      <c r="L4642" t="s">
        <v>26</v>
      </c>
      <c r="M4642">
        <v>344573</v>
      </c>
      <c r="N4642">
        <v>-1</v>
      </c>
      <c r="O4642" s="3">
        <v>-34990</v>
      </c>
      <c r="P4642" s="3">
        <v>15642</v>
      </c>
      <c r="Q4642" s="5">
        <f t="shared" si="216"/>
        <v>-29403.361344537818</v>
      </c>
      <c r="R4642" s="5">
        <f t="shared" si="217"/>
        <v>-15642</v>
      </c>
      <c r="S4642" s="5">
        <f t="shared" si="218"/>
        <v>-13761.361344537818</v>
      </c>
    </row>
    <row r="4643" spans="1:19" hidden="1" x14ac:dyDescent="0.3">
      <c r="A4643">
        <v>190</v>
      </c>
      <c r="B4643" t="s">
        <v>5801</v>
      </c>
      <c r="C4643" t="s">
        <v>3450</v>
      </c>
      <c r="D4643" s="2" t="s">
        <v>3451</v>
      </c>
      <c r="E4643" t="s">
        <v>3452</v>
      </c>
      <c r="F4643" t="s">
        <v>377</v>
      </c>
      <c r="G4643" t="s">
        <v>21</v>
      </c>
      <c r="H4643" t="s">
        <v>378</v>
      </c>
      <c r="I4643" t="s">
        <v>23</v>
      </c>
      <c r="J4643" t="s">
        <v>379</v>
      </c>
      <c r="K4643" s="2" t="s">
        <v>25</v>
      </c>
      <c r="L4643" t="s">
        <v>26</v>
      </c>
      <c r="M4643">
        <v>326527</v>
      </c>
      <c r="N4643">
        <v>1</v>
      </c>
      <c r="O4643" s="3">
        <v>6950</v>
      </c>
      <c r="P4643" s="3">
        <v>3458</v>
      </c>
      <c r="Q4643" s="5">
        <f t="shared" si="216"/>
        <v>5840.3361344537816</v>
      </c>
      <c r="R4643" s="5">
        <f t="shared" si="217"/>
        <v>3458</v>
      </c>
      <c r="S4643" s="5">
        <f t="shared" si="218"/>
        <v>2382.3361344537816</v>
      </c>
    </row>
    <row r="4644" spans="1:19" hidden="1" x14ac:dyDescent="0.3">
      <c r="A4644">
        <v>190</v>
      </c>
      <c r="B4644" t="s">
        <v>5801</v>
      </c>
      <c r="C4644" t="s">
        <v>3383</v>
      </c>
      <c r="D4644" s="2" t="s">
        <v>3384</v>
      </c>
      <c r="E4644" t="s">
        <v>2360</v>
      </c>
      <c r="F4644" t="s">
        <v>20</v>
      </c>
      <c r="G4644" t="s">
        <v>21</v>
      </c>
      <c r="H4644" t="s">
        <v>1286</v>
      </c>
      <c r="I4644" t="s">
        <v>23</v>
      </c>
      <c r="J4644" t="s">
        <v>40</v>
      </c>
      <c r="K4644" s="2" t="s">
        <v>25</v>
      </c>
      <c r="L4644" t="s">
        <v>26</v>
      </c>
      <c r="M4644">
        <v>326528</v>
      </c>
      <c r="N4644">
        <v>1</v>
      </c>
      <c r="O4644" s="3">
        <v>49990</v>
      </c>
      <c r="P4644" s="3">
        <v>24783</v>
      </c>
      <c r="Q4644" s="5">
        <f t="shared" si="216"/>
        <v>42008.403361344543</v>
      </c>
      <c r="R4644" s="5">
        <f t="shared" si="217"/>
        <v>24783</v>
      </c>
      <c r="S4644" s="5">
        <f t="shared" si="218"/>
        <v>17225.403361344543</v>
      </c>
    </row>
    <row r="4645" spans="1:19" hidden="1" x14ac:dyDescent="0.3">
      <c r="A4645">
        <v>190</v>
      </c>
      <c r="B4645" t="s">
        <v>5801</v>
      </c>
      <c r="C4645" t="s">
        <v>5802</v>
      </c>
      <c r="D4645" s="2" t="s">
        <v>5803</v>
      </c>
      <c r="E4645" t="s">
        <v>3068</v>
      </c>
      <c r="F4645" t="s">
        <v>20</v>
      </c>
      <c r="G4645" t="s">
        <v>21</v>
      </c>
      <c r="H4645" t="s">
        <v>1286</v>
      </c>
      <c r="I4645" t="s">
        <v>23</v>
      </c>
      <c r="J4645" t="s">
        <v>40</v>
      </c>
      <c r="K4645" s="2" t="s">
        <v>25</v>
      </c>
      <c r="L4645" t="s">
        <v>26</v>
      </c>
      <c r="M4645">
        <v>326528</v>
      </c>
      <c r="N4645">
        <v>1</v>
      </c>
      <c r="O4645" s="3">
        <v>59450</v>
      </c>
      <c r="P4645" s="3">
        <v>19604</v>
      </c>
      <c r="Q4645" s="5">
        <f t="shared" si="216"/>
        <v>49957.983193277316</v>
      </c>
      <c r="R4645" s="5">
        <f t="shared" si="217"/>
        <v>19604</v>
      </c>
      <c r="S4645" s="5">
        <f t="shared" si="218"/>
        <v>30353.983193277316</v>
      </c>
    </row>
    <row r="4646" spans="1:19" hidden="1" x14ac:dyDescent="0.3">
      <c r="A4646">
        <v>190</v>
      </c>
      <c r="B4646" t="s">
        <v>5801</v>
      </c>
      <c r="C4646" t="s">
        <v>3842</v>
      </c>
      <c r="D4646" s="2" t="s">
        <v>3843</v>
      </c>
      <c r="E4646" t="s">
        <v>2606</v>
      </c>
      <c r="F4646" t="s">
        <v>20</v>
      </c>
      <c r="G4646" t="s">
        <v>21</v>
      </c>
      <c r="H4646" t="s">
        <v>970</v>
      </c>
      <c r="I4646" t="s">
        <v>23</v>
      </c>
      <c r="J4646" t="s">
        <v>40</v>
      </c>
      <c r="K4646" s="2" t="s">
        <v>25</v>
      </c>
      <c r="L4646" t="s">
        <v>26</v>
      </c>
      <c r="M4646">
        <v>326529</v>
      </c>
      <c r="N4646">
        <v>1</v>
      </c>
      <c r="O4646" s="3">
        <v>49990</v>
      </c>
      <c r="P4646" s="3">
        <v>18897</v>
      </c>
      <c r="Q4646" s="5">
        <f t="shared" si="216"/>
        <v>42008.403361344543</v>
      </c>
      <c r="R4646" s="5">
        <f t="shared" si="217"/>
        <v>18897</v>
      </c>
      <c r="S4646" s="5">
        <f t="shared" si="218"/>
        <v>23111.403361344543</v>
      </c>
    </row>
    <row r="4647" spans="1:19" hidden="1" x14ac:dyDescent="0.3">
      <c r="A4647">
        <v>190</v>
      </c>
      <c r="B4647" t="s">
        <v>5801</v>
      </c>
      <c r="C4647" t="s">
        <v>4167</v>
      </c>
      <c r="D4647" s="2" t="s">
        <v>4168</v>
      </c>
      <c r="E4647" t="s">
        <v>3691</v>
      </c>
      <c r="F4647" t="s">
        <v>20</v>
      </c>
      <c r="G4647" t="s">
        <v>338</v>
      </c>
      <c r="H4647">
        <v>23727</v>
      </c>
      <c r="I4647" t="s">
        <v>23</v>
      </c>
      <c r="J4647" t="s">
        <v>40</v>
      </c>
      <c r="K4647" s="2" t="s">
        <v>25</v>
      </c>
      <c r="L4647" t="s">
        <v>26</v>
      </c>
      <c r="M4647">
        <v>326530</v>
      </c>
      <c r="N4647">
        <v>1</v>
      </c>
      <c r="O4647" s="3">
        <v>49990</v>
      </c>
      <c r="P4647" s="3">
        <v>26539</v>
      </c>
      <c r="Q4647" s="5">
        <f t="shared" si="216"/>
        <v>42008.403361344543</v>
      </c>
      <c r="R4647" s="5">
        <f t="shared" si="217"/>
        <v>26539</v>
      </c>
      <c r="S4647" s="5">
        <f t="shared" si="218"/>
        <v>15469.403361344543</v>
      </c>
    </row>
    <row r="4648" spans="1:19" hidden="1" x14ac:dyDescent="0.3">
      <c r="A4648">
        <v>190</v>
      </c>
      <c r="B4648" t="s">
        <v>5801</v>
      </c>
      <c r="C4648" t="s">
        <v>5804</v>
      </c>
      <c r="D4648" s="2" t="s">
        <v>5805</v>
      </c>
      <c r="E4648" t="s">
        <v>4702</v>
      </c>
      <c r="F4648" t="s">
        <v>20</v>
      </c>
      <c r="G4648" t="s">
        <v>21</v>
      </c>
      <c r="H4648" t="s">
        <v>295</v>
      </c>
      <c r="I4648" t="s">
        <v>23</v>
      </c>
      <c r="J4648" t="s">
        <v>40</v>
      </c>
      <c r="K4648" s="2" t="s">
        <v>25</v>
      </c>
      <c r="L4648" t="s">
        <v>26</v>
      </c>
      <c r="M4648">
        <v>326531</v>
      </c>
      <c r="N4648">
        <v>1</v>
      </c>
      <c r="O4648" s="3">
        <v>67950</v>
      </c>
      <c r="P4648" s="3">
        <v>26951</v>
      </c>
      <c r="Q4648" s="5">
        <f t="shared" si="216"/>
        <v>57100.840336134454</v>
      </c>
      <c r="R4648" s="5">
        <f t="shared" si="217"/>
        <v>26951</v>
      </c>
      <c r="S4648" s="5">
        <f t="shared" si="218"/>
        <v>30149.840336134454</v>
      </c>
    </row>
    <row r="4649" spans="1:19" hidden="1" x14ac:dyDescent="0.3">
      <c r="A4649">
        <v>190</v>
      </c>
      <c r="B4649" t="s">
        <v>5801</v>
      </c>
      <c r="C4649" t="s">
        <v>5806</v>
      </c>
      <c r="D4649" s="2" t="s">
        <v>5807</v>
      </c>
      <c r="E4649" t="s">
        <v>2247</v>
      </c>
      <c r="F4649" t="s">
        <v>20</v>
      </c>
      <c r="G4649" t="s">
        <v>21</v>
      </c>
      <c r="H4649" t="s">
        <v>2248</v>
      </c>
      <c r="I4649" t="s">
        <v>23</v>
      </c>
      <c r="J4649" t="s">
        <v>49</v>
      </c>
      <c r="K4649" s="2" t="s">
        <v>25</v>
      </c>
      <c r="L4649" t="s">
        <v>26</v>
      </c>
      <c r="M4649">
        <v>326531</v>
      </c>
      <c r="N4649">
        <v>1</v>
      </c>
      <c r="O4649" s="3">
        <v>39990</v>
      </c>
      <c r="P4649" s="3">
        <v>21850</v>
      </c>
      <c r="Q4649" s="5">
        <f t="shared" si="216"/>
        <v>33605.042016806721</v>
      </c>
      <c r="R4649" s="5">
        <f t="shared" si="217"/>
        <v>21850</v>
      </c>
      <c r="S4649" s="5">
        <f t="shared" si="218"/>
        <v>11755.042016806721</v>
      </c>
    </row>
    <row r="4650" spans="1:19" hidden="1" x14ac:dyDescent="0.3">
      <c r="A4650">
        <v>190</v>
      </c>
      <c r="B4650" t="s">
        <v>5801</v>
      </c>
      <c r="C4650" t="s">
        <v>5808</v>
      </c>
      <c r="D4650" s="2" t="s">
        <v>5809</v>
      </c>
      <c r="E4650" t="s">
        <v>2870</v>
      </c>
      <c r="F4650" t="s">
        <v>20</v>
      </c>
      <c r="G4650" t="s">
        <v>21</v>
      </c>
      <c r="H4650" t="s">
        <v>30</v>
      </c>
      <c r="I4650" t="s">
        <v>23</v>
      </c>
      <c r="J4650" t="s">
        <v>35</v>
      </c>
      <c r="K4650" s="2" t="s">
        <v>25</v>
      </c>
      <c r="L4650" t="s">
        <v>26</v>
      </c>
      <c r="M4650">
        <v>326532</v>
      </c>
      <c r="N4650">
        <v>1</v>
      </c>
      <c r="O4650" s="3">
        <v>79950</v>
      </c>
      <c r="P4650" s="3">
        <v>30749</v>
      </c>
      <c r="Q4650" s="5">
        <f t="shared" si="216"/>
        <v>67184.873949579836</v>
      </c>
      <c r="R4650" s="5">
        <f t="shared" si="217"/>
        <v>30749</v>
      </c>
      <c r="S4650" s="5">
        <f t="shared" si="218"/>
        <v>36435.873949579836</v>
      </c>
    </row>
    <row r="4651" spans="1:19" hidden="1" x14ac:dyDescent="0.3">
      <c r="A4651">
        <v>190</v>
      </c>
      <c r="B4651" t="s">
        <v>5801</v>
      </c>
      <c r="C4651" t="s">
        <v>3230</v>
      </c>
      <c r="D4651" s="2" t="s">
        <v>3231</v>
      </c>
      <c r="E4651" t="s">
        <v>3183</v>
      </c>
      <c r="F4651" t="s">
        <v>20</v>
      </c>
      <c r="G4651" t="s">
        <v>21</v>
      </c>
      <c r="H4651" t="s">
        <v>614</v>
      </c>
      <c r="I4651" t="s">
        <v>23</v>
      </c>
      <c r="J4651" t="s">
        <v>40</v>
      </c>
      <c r="K4651" s="2" t="s">
        <v>25</v>
      </c>
      <c r="L4651" t="s">
        <v>26</v>
      </c>
      <c r="M4651">
        <v>326533</v>
      </c>
      <c r="N4651">
        <v>1</v>
      </c>
      <c r="O4651" s="3">
        <v>39990</v>
      </c>
      <c r="P4651" s="3">
        <v>17378</v>
      </c>
      <c r="Q4651" s="5">
        <f t="shared" si="216"/>
        <v>33605.042016806721</v>
      </c>
      <c r="R4651" s="5">
        <f t="shared" si="217"/>
        <v>17378</v>
      </c>
      <c r="S4651" s="5">
        <f t="shared" si="218"/>
        <v>16227.042016806721</v>
      </c>
    </row>
    <row r="4652" spans="1:19" hidden="1" x14ac:dyDescent="0.3">
      <c r="A4652">
        <v>190</v>
      </c>
      <c r="B4652" t="s">
        <v>5801</v>
      </c>
      <c r="C4652" t="s">
        <v>3963</v>
      </c>
      <c r="D4652" s="2" t="s">
        <v>3964</v>
      </c>
      <c r="E4652" t="s">
        <v>2986</v>
      </c>
      <c r="F4652" t="s">
        <v>20</v>
      </c>
      <c r="G4652" t="s">
        <v>21</v>
      </c>
      <c r="H4652" t="s">
        <v>267</v>
      </c>
      <c r="I4652" t="s">
        <v>23</v>
      </c>
      <c r="J4652" t="s">
        <v>35</v>
      </c>
      <c r="K4652" s="2" t="s">
        <v>25</v>
      </c>
      <c r="L4652" t="s">
        <v>26</v>
      </c>
      <c r="M4652">
        <v>326534</v>
      </c>
      <c r="N4652">
        <v>1</v>
      </c>
      <c r="O4652" s="3">
        <v>63700</v>
      </c>
      <c r="P4652" s="3">
        <v>24733</v>
      </c>
      <c r="Q4652" s="5">
        <f t="shared" si="216"/>
        <v>53529.411764705888</v>
      </c>
      <c r="R4652" s="5">
        <f t="shared" si="217"/>
        <v>24733</v>
      </c>
      <c r="S4652" s="5">
        <f t="shared" si="218"/>
        <v>28796.411764705888</v>
      </c>
    </row>
    <row r="4653" spans="1:19" hidden="1" x14ac:dyDescent="0.3">
      <c r="A4653">
        <v>190</v>
      </c>
      <c r="B4653" t="s">
        <v>5801</v>
      </c>
      <c r="C4653" t="s">
        <v>3286</v>
      </c>
      <c r="D4653" s="2" t="s">
        <v>3287</v>
      </c>
      <c r="E4653" t="s">
        <v>2226</v>
      </c>
      <c r="F4653" t="s">
        <v>20</v>
      </c>
      <c r="G4653" t="s">
        <v>21</v>
      </c>
      <c r="H4653" t="s">
        <v>53</v>
      </c>
      <c r="I4653" t="s">
        <v>23</v>
      </c>
      <c r="J4653" t="s">
        <v>49</v>
      </c>
      <c r="K4653" s="2" t="s">
        <v>25</v>
      </c>
      <c r="L4653" t="s">
        <v>26</v>
      </c>
      <c r="M4653">
        <v>326534</v>
      </c>
      <c r="N4653">
        <v>1</v>
      </c>
      <c r="O4653" s="3">
        <v>69950</v>
      </c>
      <c r="P4653" s="3">
        <v>20849</v>
      </c>
      <c r="Q4653" s="5">
        <f t="shared" si="216"/>
        <v>58781.512605042022</v>
      </c>
      <c r="R4653" s="5">
        <f t="shared" si="217"/>
        <v>20849</v>
      </c>
      <c r="S4653" s="5">
        <f t="shared" si="218"/>
        <v>37932.512605042022</v>
      </c>
    </row>
    <row r="4654" spans="1:19" hidden="1" x14ac:dyDescent="0.3">
      <c r="A4654">
        <v>190</v>
      </c>
      <c r="B4654" t="s">
        <v>5801</v>
      </c>
      <c r="C4654" t="s">
        <v>4137</v>
      </c>
      <c r="D4654" s="2" t="s">
        <v>4138</v>
      </c>
      <c r="E4654" t="s">
        <v>3651</v>
      </c>
      <c r="F4654" t="s">
        <v>20</v>
      </c>
      <c r="G4654" t="s">
        <v>21</v>
      </c>
      <c r="H4654" t="s">
        <v>970</v>
      </c>
      <c r="I4654" t="s">
        <v>23</v>
      </c>
      <c r="J4654" t="s">
        <v>40</v>
      </c>
      <c r="K4654" s="2" t="s">
        <v>25</v>
      </c>
      <c r="L4654" t="s">
        <v>26</v>
      </c>
      <c r="M4654">
        <v>326535</v>
      </c>
      <c r="N4654">
        <v>-1</v>
      </c>
      <c r="O4654" s="3">
        <v>-59950</v>
      </c>
      <c r="P4654" s="3">
        <v>18738</v>
      </c>
      <c r="Q4654" s="5">
        <f t="shared" si="216"/>
        <v>-50378.151260504201</v>
      </c>
      <c r="R4654" s="5">
        <f t="shared" si="217"/>
        <v>-18738</v>
      </c>
      <c r="S4654" s="5">
        <f t="shared" si="218"/>
        <v>-31640.151260504201</v>
      </c>
    </row>
    <row r="4655" spans="1:19" hidden="1" x14ac:dyDescent="0.3">
      <c r="A4655">
        <v>190</v>
      </c>
      <c r="B4655" t="s">
        <v>5801</v>
      </c>
      <c r="C4655" t="s">
        <v>5339</v>
      </c>
      <c r="D4655" s="2" t="s">
        <v>5340</v>
      </c>
      <c r="E4655" t="s">
        <v>3651</v>
      </c>
      <c r="F4655" t="s">
        <v>20</v>
      </c>
      <c r="G4655" t="s">
        <v>21</v>
      </c>
      <c r="H4655" t="s">
        <v>970</v>
      </c>
      <c r="I4655" t="s">
        <v>23</v>
      </c>
      <c r="J4655" t="s">
        <v>40</v>
      </c>
      <c r="K4655" s="2" t="s">
        <v>25</v>
      </c>
      <c r="L4655" t="s">
        <v>26</v>
      </c>
      <c r="M4655">
        <v>326535</v>
      </c>
      <c r="N4655">
        <v>1</v>
      </c>
      <c r="O4655" s="3">
        <v>59951</v>
      </c>
      <c r="P4655" s="3">
        <v>18614</v>
      </c>
      <c r="Q4655" s="5">
        <f t="shared" si="216"/>
        <v>50378.991596638654</v>
      </c>
      <c r="R4655" s="5">
        <f t="shared" si="217"/>
        <v>18614</v>
      </c>
      <c r="S4655" s="5">
        <f t="shared" si="218"/>
        <v>31764.991596638654</v>
      </c>
    </row>
    <row r="4656" spans="1:19" hidden="1" x14ac:dyDescent="0.3">
      <c r="A4656">
        <v>190</v>
      </c>
      <c r="B4656" t="s">
        <v>5801</v>
      </c>
      <c r="C4656" t="s">
        <v>3543</v>
      </c>
      <c r="D4656" s="2" t="s">
        <v>3544</v>
      </c>
      <c r="E4656" t="s">
        <v>3183</v>
      </c>
      <c r="F4656" t="s">
        <v>20</v>
      </c>
      <c r="G4656" t="s">
        <v>21</v>
      </c>
      <c r="H4656" t="s">
        <v>614</v>
      </c>
      <c r="I4656" t="s">
        <v>23</v>
      </c>
      <c r="J4656" t="s">
        <v>40</v>
      </c>
      <c r="K4656" s="2" t="s">
        <v>25</v>
      </c>
      <c r="L4656" t="s">
        <v>26</v>
      </c>
      <c r="M4656">
        <v>326536</v>
      </c>
      <c r="N4656">
        <v>1</v>
      </c>
      <c r="O4656" s="3">
        <v>39990</v>
      </c>
      <c r="P4656" s="3">
        <v>17378</v>
      </c>
      <c r="Q4656" s="5">
        <f t="shared" si="216"/>
        <v>33605.042016806721</v>
      </c>
      <c r="R4656" s="5">
        <f t="shared" si="217"/>
        <v>17378</v>
      </c>
      <c r="S4656" s="5">
        <f t="shared" si="218"/>
        <v>16227.042016806721</v>
      </c>
    </row>
    <row r="4657" spans="1:19" hidden="1" x14ac:dyDescent="0.3">
      <c r="A4657">
        <v>190</v>
      </c>
      <c r="B4657" t="s">
        <v>5801</v>
      </c>
      <c r="C4657" t="s">
        <v>5181</v>
      </c>
      <c r="D4657" s="2" t="s">
        <v>5182</v>
      </c>
      <c r="E4657" t="s">
        <v>5183</v>
      </c>
      <c r="F4657" t="s">
        <v>20</v>
      </c>
      <c r="G4657" t="s">
        <v>21</v>
      </c>
      <c r="H4657" t="s">
        <v>835</v>
      </c>
      <c r="I4657" t="s">
        <v>23</v>
      </c>
      <c r="J4657" t="s">
        <v>40</v>
      </c>
      <c r="K4657" s="2" t="s">
        <v>25</v>
      </c>
      <c r="L4657" t="s">
        <v>26</v>
      </c>
      <c r="M4657">
        <v>326537</v>
      </c>
      <c r="N4657">
        <v>1</v>
      </c>
      <c r="O4657" s="3">
        <v>39990</v>
      </c>
      <c r="P4657" s="3">
        <v>26569</v>
      </c>
      <c r="Q4657" s="5">
        <f t="shared" si="216"/>
        <v>33605.042016806721</v>
      </c>
      <c r="R4657" s="5">
        <f t="shared" si="217"/>
        <v>26569</v>
      </c>
      <c r="S4657" s="5">
        <f t="shared" si="218"/>
        <v>7036.0420168067212</v>
      </c>
    </row>
    <row r="4658" spans="1:19" hidden="1" x14ac:dyDescent="0.3">
      <c r="A4658">
        <v>190</v>
      </c>
      <c r="B4658" t="s">
        <v>5801</v>
      </c>
      <c r="C4658" t="s">
        <v>2485</v>
      </c>
      <c r="D4658" s="2" t="s">
        <v>2486</v>
      </c>
      <c r="E4658" t="s">
        <v>2487</v>
      </c>
      <c r="F4658" t="s">
        <v>377</v>
      </c>
      <c r="G4658" t="s">
        <v>21</v>
      </c>
      <c r="H4658" t="s">
        <v>378</v>
      </c>
      <c r="I4658" t="s">
        <v>23</v>
      </c>
      <c r="J4658" t="s">
        <v>379</v>
      </c>
      <c r="K4658" s="2" t="s">
        <v>25</v>
      </c>
      <c r="L4658" t="s">
        <v>26</v>
      </c>
      <c r="M4658">
        <v>326537</v>
      </c>
      <c r="N4658">
        <v>1</v>
      </c>
      <c r="O4658" s="3">
        <v>5950</v>
      </c>
      <c r="P4658" s="3">
        <v>2243</v>
      </c>
      <c r="Q4658" s="5">
        <f t="shared" si="216"/>
        <v>5000</v>
      </c>
      <c r="R4658" s="5">
        <f t="shared" si="217"/>
        <v>2243</v>
      </c>
      <c r="S4658" s="5">
        <f t="shared" si="218"/>
        <v>2757</v>
      </c>
    </row>
    <row r="4659" spans="1:19" hidden="1" x14ac:dyDescent="0.3">
      <c r="A4659">
        <v>190</v>
      </c>
      <c r="B4659" t="s">
        <v>5801</v>
      </c>
      <c r="C4659" t="s">
        <v>5810</v>
      </c>
      <c r="D4659" s="2" t="s">
        <v>5811</v>
      </c>
      <c r="E4659" t="s">
        <v>3777</v>
      </c>
      <c r="F4659" t="s">
        <v>20</v>
      </c>
      <c r="G4659" t="s">
        <v>21</v>
      </c>
      <c r="H4659" t="s">
        <v>794</v>
      </c>
      <c r="I4659" t="s">
        <v>23</v>
      </c>
      <c r="J4659" t="s">
        <v>40</v>
      </c>
      <c r="K4659" s="2" t="s">
        <v>25</v>
      </c>
      <c r="L4659" t="s">
        <v>26</v>
      </c>
      <c r="M4659">
        <v>326538</v>
      </c>
      <c r="N4659">
        <v>1</v>
      </c>
      <c r="O4659" s="3">
        <v>49991</v>
      </c>
      <c r="P4659" s="3">
        <v>21475</v>
      </c>
      <c r="Q4659" s="5">
        <f t="shared" si="216"/>
        <v>42009.243697478996</v>
      </c>
      <c r="R4659" s="5">
        <f t="shared" si="217"/>
        <v>21475</v>
      </c>
      <c r="S4659" s="5">
        <f t="shared" si="218"/>
        <v>20534.243697478996</v>
      </c>
    </row>
    <row r="4660" spans="1:19" hidden="1" x14ac:dyDescent="0.3">
      <c r="A4660">
        <v>190</v>
      </c>
      <c r="B4660" t="s">
        <v>5801</v>
      </c>
      <c r="C4660" t="s">
        <v>5812</v>
      </c>
      <c r="D4660" s="2" t="s">
        <v>5813</v>
      </c>
      <c r="E4660" t="s">
        <v>3777</v>
      </c>
      <c r="F4660" t="s">
        <v>20</v>
      </c>
      <c r="G4660" t="s">
        <v>21</v>
      </c>
      <c r="H4660" t="s">
        <v>794</v>
      </c>
      <c r="I4660" t="s">
        <v>23</v>
      </c>
      <c r="J4660" t="s">
        <v>40</v>
      </c>
      <c r="K4660" s="2" t="s">
        <v>25</v>
      </c>
      <c r="L4660" t="s">
        <v>26</v>
      </c>
      <c r="M4660">
        <v>326538</v>
      </c>
      <c r="N4660">
        <v>-1</v>
      </c>
      <c r="O4660" s="3">
        <v>-49990</v>
      </c>
      <c r="P4660" s="3">
        <v>21475</v>
      </c>
      <c r="Q4660" s="5">
        <f t="shared" si="216"/>
        <v>-42008.403361344543</v>
      </c>
      <c r="R4660" s="5">
        <f t="shared" si="217"/>
        <v>-21475</v>
      </c>
      <c r="S4660" s="5">
        <f t="shared" si="218"/>
        <v>-20533.403361344543</v>
      </c>
    </row>
    <row r="4661" spans="1:19" hidden="1" x14ac:dyDescent="0.3">
      <c r="A4661">
        <v>190</v>
      </c>
      <c r="B4661" t="s">
        <v>5801</v>
      </c>
      <c r="C4661" t="s">
        <v>2321</v>
      </c>
      <c r="D4661" s="2" t="s">
        <v>2322</v>
      </c>
      <c r="E4661" t="s">
        <v>2323</v>
      </c>
      <c r="F4661" t="s">
        <v>20</v>
      </c>
      <c r="G4661" t="s">
        <v>21</v>
      </c>
      <c r="H4661" t="s">
        <v>1887</v>
      </c>
      <c r="I4661" t="s">
        <v>23</v>
      </c>
      <c r="J4661" t="s">
        <v>40</v>
      </c>
      <c r="K4661" s="2" t="s">
        <v>25</v>
      </c>
      <c r="L4661" t="s">
        <v>26</v>
      </c>
      <c r="M4661">
        <v>326539</v>
      </c>
      <c r="N4661">
        <v>1</v>
      </c>
      <c r="O4661" s="3">
        <v>69950</v>
      </c>
      <c r="P4661" s="3">
        <v>21623</v>
      </c>
      <c r="Q4661" s="5">
        <f t="shared" si="216"/>
        <v>58781.512605042022</v>
      </c>
      <c r="R4661" s="5">
        <f t="shared" si="217"/>
        <v>21623</v>
      </c>
      <c r="S4661" s="5">
        <f t="shared" si="218"/>
        <v>37158.512605042022</v>
      </c>
    </row>
    <row r="4662" spans="1:19" hidden="1" x14ac:dyDescent="0.3">
      <c r="A4662">
        <v>190</v>
      </c>
      <c r="B4662" t="s">
        <v>5801</v>
      </c>
      <c r="C4662" t="s">
        <v>5814</v>
      </c>
      <c r="D4662" s="2" t="s">
        <v>5815</v>
      </c>
      <c r="E4662" t="s">
        <v>405</v>
      </c>
      <c r="F4662" t="s">
        <v>20</v>
      </c>
      <c r="G4662" t="s">
        <v>21</v>
      </c>
      <c r="H4662" t="s">
        <v>406</v>
      </c>
      <c r="I4662" t="s">
        <v>23</v>
      </c>
      <c r="J4662" t="s">
        <v>407</v>
      </c>
      <c r="K4662" s="2" t="s">
        <v>25</v>
      </c>
      <c r="L4662" t="s">
        <v>26</v>
      </c>
      <c r="M4662">
        <v>326540</v>
      </c>
      <c r="N4662">
        <v>1</v>
      </c>
      <c r="O4662" s="3">
        <v>64950</v>
      </c>
      <c r="P4662" s="3">
        <v>19806</v>
      </c>
      <c r="Q4662" s="5">
        <f t="shared" si="216"/>
        <v>54579.831932773115</v>
      </c>
      <c r="R4662" s="5">
        <f t="shared" si="217"/>
        <v>19806</v>
      </c>
      <c r="S4662" s="5">
        <f t="shared" si="218"/>
        <v>34773.831932773115</v>
      </c>
    </row>
    <row r="4663" spans="1:19" hidden="1" x14ac:dyDescent="0.3">
      <c r="A4663">
        <v>190</v>
      </c>
      <c r="B4663" t="s">
        <v>5801</v>
      </c>
      <c r="C4663" t="s">
        <v>5120</v>
      </c>
      <c r="D4663" s="2" t="s">
        <v>5121</v>
      </c>
      <c r="E4663" t="s">
        <v>453</v>
      </c>
      <c r="F4663" t="s">
        <v>20</v>
      </c>
      <c r="G4663" t="s">
        <v>21</v>
      </c>
      <c r="H4663" t="s">
        <v>454</v>
      </c>
      <c r="I4663" t="s">
        <v>23</v>
      </c>
      <c r="J4663" t="s">
        <v>407</v>
      </c>
      <c r="K4663" s="2" t="s">
        <v>25</v>
      </c>
      <c r="L4663" t="s">
        <v>26</v>
      </c>
      <c r="M4663">
        <v>326541</v>
      </c>
      <c r="N4663">
        <v>1</v>
      </c>
      <c r="O4663" s="3">
        <v>39990</v>
      </c>
      <c r="P4663" s="3">
        <v>21038</v>
      </c>
      <c r="Q4663" s="5">
        <f t="shared" si="216"/>
        <v>33605.042016806721</v>
      </c>
      <c r="R4663" s="5">
        <f t="shared" si="217"/>
        <v>21038</v>
      </c>
      <c r="S4663" s="5">
        <f t="shared" si="218"/>
        <v>12567.042016806721</v>
      </c>
    </row>
    <row r="4664" spans="1:19" hidden="1" x14ac:dyDescent="0.3">
      <c r="A4664">
        <v>190</v>
      </c>
      <c r="B4664" t="s">
        <v>5801</v>
      </c>
      <c r="C4664" t="s">
        <v>2830</v>
      </c>
      <c r="D4664" s="2" t="s">
        <v>2831</v>
      </c>
      <c r="E4664" t="s">
        <v>1330</v>
      </c>
      <c r="F4664" t="s">
        <v>20</v>
      </c>
      <c r="G4664" t="s">
        <v>338</v>
      </c>
      <c r="H4664">
        <v>25133</v>
      </c>
      <c r="I4664" t="s">
        <v>23</v>
      </c>
      <c r="J4664" t="s">
        <v>35</v>
      </c>
      <c r="K4664" s="2" t="s">
        <v>25</v>
      </c>
      <c r="L4664" t="s">
        <v>26</v>
      </c>
      <c r="M4664">
        <v>326542</v>
      </c>
      <c r="N4664">
        <v>1</v>
      </c>
      <c r="O4664" s="3">
        <v>74950</v>
      </c>
      <c r="P4664" s="3">
        <v>21167</v>
      </c>
      <c r="Q4664" s="5">
        <f t="shared" si="216"/>
        <v>62983.193277310929</v>
      </c>
      <c r="R4664" s="5">
        <f t="shared" si="217"/>
        <v>21167</v>
      </c>
      <c r="S4664" s="5">
        <f t="shared" si="218"/>
        <v>41816.193277310929</v>
      </c>
    </row>
    <row r="4665" spans="1:19" hidden="1" x14ac:dyDescent="0.3">
      <c r="A4665">
        <v>190</v>
      </c>
      <c r="B4665" t="s">
        <v>5801</v>
      </c>
      <c r="C4665" t="s">
        <v>4671</v>
      </c>
      <c r="D4665" s="2" t="s">
        <v>4672</v>
      </c>
      <c r="E4665" t="s">
        <v>4673</v>
      </c>
      <c r="F4665" t="s">
        <v>377</v>
      </c>
      <c r="G4665" t="s">
        <v>21</v>
      </c>
      <c r="H4665" t="s">
        <v>378</v>
      </c>
      <c r="I4665" t="s">
        <v>23</v>
      </c>
      <c r="J4665" t="s">
        <v>379</v>
      </c>
      <c r="K4665" s="2" t="s">
        <v>25</v>
      </c>
      <c r="L4665" t="s">
        <v>26</v>
      </c>
      <c r="M4665">
        <v>326543</v>
      </c>
      <c r="N4665">
        <v>1</v>
      </c>
      <c r="O4665" s="3">
        <v>6950</v>
      </c>
      <c r="P4665" s="3">
        <v>3551</v>
      </c>
      <c r="Q4665" s="5">
        <f t="shared" si="216"/>
        <v>5840.3361344537816</v>
      </c>
      <c r="R4665" s="5">
        <f t="shared" si="217"/>
        <v>3551</v>
      </c>
      <c r="S4665" s="5">
        <f t="shared" si="218"/>
        <v>2289.3361344537816</v>
      </c>
    </row>
    <row r="4666" spans="1:19" hidden="1" x14ac:dyDescent="0.3">
      <c r="A4666">
        <v>190</v>
      </c>
      <c r="B4666" t="s">
        <v>5801</v>
      </c>
      <c r="C4666" t="s">
        <v>5816</v>
      </c>
      <c r="D4666" s="2" t="s">
        <v>5817</v>
      </c>
      <c r="E4666" t="s">
        <v>5183</v>
      </c>
      <c r="F4666" t="s">
        <v>20</v>
      </c>
      <c r="G4666" t="s">
        <v>21</v>
      </c>
      <c r="H4666" t="s">
        <v>835</v>
      </c>
      <c r="I4666" t="s">
        <v>23</v>
      </c>
      <c r="J4666" t="s">
        <v>40</v>
      </c>
      <c r="K4666" s="2" t="s">
        <v>25</v>
      </c>
      <c r="L4666" t="s">
        <v>26</v>
      </c>
      <c r="M4666">
        <v>326544</v>
      </c>
      <c r="N4666">
        <v>1</v>
      </c>
      <c r="O4666" s="3">
        <v>39990</v>
      </c>
      <c r="P4666" s="3">
        <v>26433</v>
      </c>
      <c r="Q4666" s="5">
        <f t="shared" si="216"/>
        <v>33605.042016806721</v>
      </c>
      <c r="R4666" s="5">
        <f t="shared" si="217"/>
        <v>26433</v>
      </c>
      <c r="S4666" s="5">
        <f t="shared" si="218"/>
        <v>7172.0420168067212</v>
      </c>
    </row>
    <row r="4667" spans="1:19" hidden="1" x14ac:dyDescent="0.3">
      <c r="A4667">
        <v>190</v>
      </c>
      <c r="B4667" t="s">
        <v>5801</v>
      </c>
      <c r="C4667" t="s">
        <v>4833</v>
      </c>
      <c r="D4667" s="2" t="s">
        <v>4834</v>
      </c>
      <c r="E4667" t="s">
        <v>3003</v>
      </c>
      <c r="F4667" t="s">
        <v>20</v>
      </c>
      <c r="G4667" t="s">
        <v>338</v>
      </c>
      <c r="H4667">
        <v>25312</v>
      </c>
      <c r="I4667" t="s">
        <v>23</v>
      </c>
      <c r="J4667" t="s">
        <v>35</v>
      </c>
      <c r="K4667" s="2" t="s">
        <v>25</v>
      </c>
      <c r="L4667" t="s">
        <v>26</v>
      </c>
      <c r="M4667">
        <v>326545</v>
      </c>
      <c r="N4667">
        <v>1</v>
      </c>
      <c r="O4667" s="3">
        <v>59450</v>
      </c>
      <c r="P4667" s="3">
        <v>21167</v>
      </c>
      <c r="Q4667" s="5">
        <f t="shared" si="216"/>
        <v>49957.983193277316</v>
      </c>
      <c r="R4667" s="5">
        <f t="shared" si="217"/>
        <v>21167</v>
      </c>
      <c r="S4667" s="5">
        <f t="shared" si="218"/>
        <v>28790.983193277316</v>
      </c>
    </row>
    <row r="4668" spans="1:19" hidden="1" x14ac:dyDescent="0.3">
      <c r="A4668">
        <v>190</v>
      </c>
      <c r="B4668" t="s">
        <v>5801</v>
      </c>
      <c r="C4668" t="s">
        <v>3529</v>
      </c>
      <c r="D4668" s="2" t="s">
        <v>3530</v>
      </c>
      <c r="E4668" t="s">
        <v>3531</v>
      </c>
      <c r="F4668" t="s">
        <v>20</v>
      </c>
      <c r="G4668" t="s">
        <v>338</v>
      </c>
      <c r="H4668">
        <v>84316</v>
      </c>
      <c r="I4668" t="s">
        <v>23</v>
      </c>
      <c r="J4668" t="s">
        <v>49</v>
      </c>
      <c r="K4668" s="2" t="s">
        <v>25</v>
      </c>
      <c r="L4668" t="s">
        <v>26</v>
      </c>
      <c r="M4668">
        <v>326545</v>
      </c>
      <c r="N4668">
        <v>1</v>
      </c>
      <c r="O4668" s="3">
        <v>89950</v>
      </c>
      <c r="P4668" s="3">
        <v>31128</v>
      </c>
      <c r="Q4668" s="5">
        <f t="shared" si="216"/>
        <v>75588.23529411765</v>
      </c>
      <c r="R4668" s="5">
        <f t="shared" si="217"/>
        <v>31128</v>
      </c>
      <c r="S4668" s="5">
        <f t="shared" si="218"/>
        <v>44460.23529411765</v>
      </c>
    </row>
    <row r="4669" spans="1:19" hidden="1" x14ac:dyDescent="0.3">
      <c r="A4669">
        <v>190</v>
      </c>
      <c r="B4669" t="s">
        <v>5801</v>
      </c>
      <c r="C4669" t="s">
        <v>2602</v>
      </c>
      <c r="D4669" s="2" t="s">
        <v>2603</v>
      </c>
      <c r="E4669" t="s">
        <v>2533</v>
      </c>
      <c r="F4669" t="s">
        <v>20</v>
      </c>
      <c r="G4669" t="s">
        <v>21</v>
      </c>
      <c r="H4669" t="s">
        <v>500</v>
      </c>
      <c r="I4669" t="s">
        <v>23</v>
      </c>
      <c r="J4669" t="s">
        <v>40</v>
      </c>
      <c r="K4669" s="2" t="s">
        <v>268</v>
      </c>
      <c r="L4669" t="s">
        <v>26</v>
      </c>
      <c r="M4669">
        <v>326546</v>
      </c>
      <c r="N4669">
        <v>1</v>
      </c>
      <c r="O4669" s="3">
        <v>49990</v>
      </c>
      <c r="P4669" s="3">
        <v>20043</v>
      </c>
      <c r="Q4669" s="5">
        <f t="shared" si="216"/>
        <v>42008.403361344543</v>
      </c>
      <c r="R4669" s="5">
        <f t="shared" si="217"/>
        <v>20043</v>
      </c>
      <c r="S4669" s="5">
        <f t="shared" si="218"/>
        <v>21965.403361344543</v>
      </c>
    </row>
    <row r="4670" spans="1:19" hidden="1" x14ac:dyDescent="0.3">
      <c r="A4670">
        <v>190</v>
      </c>
      <c r="B4670" t="s">
        <v>5801</v>
      </c>
      <c r="C4670" t="s">
        <v>3032</v>
      </c>
      <c r="D4670" s="2" t="s">
        <v>3033</v>
      </c>
      <c r="E4670" t="s">
        <v>2653</v>
      </c>
      <c r="F4670" t="s">
        <v>20</v>
      </c>
      <c r="G4670" t="s">
        <v>21</v>
      </c>
      <c r="H4670" t="s">
        <v>2315</v>
      </c>
      <c r="I4670" t="s">
        <v>23</v>
      </c>
      <c r="J4670" t="s">
        <v>35</v>
      </c>
      <c r="K4670" s="2" t="s">
        <v>268</v>
      </c>
      <c r="L4670" t="s">
        <v>26</v>
      </c>
      <c r="M4670">
        <v>326547</v>
      </c>
      <c r="N4670">
        <v>1</v>
      </c>
      <c r="O4670" s="3">
        <v>89951</v>
      </c>
      <c r="P4670" s="3">
        <v>30749</v>
      </c>
      <c r="Q4670" s="5">
        <f t="shared" si="216"/>
        <v>75589.075630252104</v>
      </c>
      <c r="R4670" s="5">
        <f t="shared" si="217"/>
        <v>30749</v>
      </c>
      <c r="S4670" s="5">
        <f t="shared" si="218"/>
        <v>44840.075630252104</v>
      </c>
    </row>
    <row r="4671" spans="1:19" hidden="1" x14ac:dyDescent="0.3">
      <c r="A4671">
        <v>190</v>
      </c>
      <c r="B4671" t="s">
        <v>5801</v>
      </c>
      <c r="C4671" t="s">
        <v>2266</v>
      </c>
      <c r="D4671" s="2" t="s">
        <v>2267</v>
      </c>
      <c r="E4671" t="s">
        <v>2069</v>
      </c>
      <c r="F4671" t="s">
        <v>20</v>
      </c>
      <c r="G4671" t="s">
        <v>21</v>
      </c>
      <c r="H4671" t="s">
        <v>2070</v>
      </c>
      <c r="I4671" t="s">
        <v>23</v>
      </c>
      <c r="J4671" t="s">
        <v>35</v>
      </c>
      <c r="K4671" s="2" t="s">
        <v>268</v>
      </c>
      <c r="L4671" t="s">
        <v>26</v>
      </c>
      <c r="M4671">
        <v>326547</v>
      </c>
      <c r="N4671">
        <v>-1</v>
      </c>
      <c r="O4671" s="3">
        <v>-89950</v>
      </c>
      <c r="P4671" s="3">
        <v>29635</v>
      </c>
      <c r="Q4671" s="5">
        <f t="shared" si="216"/>
        <v>-75588.23529411765</v>
      </c>
      <c r="R4671" s="5">
        <f t="shared" si="217"/>
        <v>-29635</v>
      </c>
      <c r="S4671" s="5">
        <f t="shared" si="218"/>
        <v>-45953.23529411765</v>
      </c>
    </row>
    <row r="4672" spans="1:19" hidden="1" x14ac:dyDescent="0.3">
      <c r="A4672">
        <v>190</v>
      </c>
      <c r="B4672" t="s">
        <v>5801</v>
      </c>
      <c r="C4672" t="s">
        <v>5818</v>
      </c>
      <c r="D4672" s="2" t="s">
        <v>5819</v>
      </c>
      <c r="E4672" t="s">
        <v>2718</v>
      </c>
      <c r="F4672" t="s">
        <v>20</v>
      </c>
      <c r="G4672" t="s">
        <v>21</v>
      </c>
      <c r="H4672" t="s">
        <v>1887</v>
      </c>
      <c r="I4672" t="s">
        <v>23</v>
      </c>
      <c r="J4672" t="s">
        <v>40</v>
      </c>
      <c r="K4672" s="2" t="s">
        <v>268</v>
      </c>
      <c r="L4672" t="s">
        <v>26</v>
      </c>
      <c r="M4672">
        <v>326548</v>
      </c>
      <c r="N4672">
        <v>1</v>
      </c>
      <c r="O4672" s="3">
        <v>69950</v>
      </c>
      <c r="P4672" s="3">
        <v>22018</v>
      </c>
      <c r="Q4672" s="5">
        <f t="shared" si="216"/>
        <v>58781.512605042022</v>
      </c>
      <c r="R4672" s="5">
        <f t="shared" si="217"/>
        <v>22018</v>
      </c>
      <c r="S4672" s="5">
        <f t="shared" si="218"/>
        <v>36763.512605042022</v>
      </c>
    </row>
    <row r="4673" spans="1:19" hidden="1" x14ac:dyDescent="0.3">
      <c r="A4673">
        <v>190</v>
      </c>
      <c r="B4673" t="s">
        <v>5801</v>
      </c>
      <c r="C4673" t="s">
        <v>5820</v>
      </c>
      <c r="D4673" s="2" t="s">
        <v>5821</v>
      </c>
      <c r="E4673" t="s">
        <v>1428</v>
      </c>
      <c r="F4673" t="s">
        <v>20</v>
      </c>
      <c r="G4673" t="s">
        <v>21</v>
      </c>
      <c r="H4673" t="s">
        <v>57</v>
      </c>
      <c r="I4673" t="s">
        <v>23</v>
      </c>
      <c r="J4673" t="s">
        <v>35</v>
      </c>
      <c r="K4673" s="2" t="s">
        <v>268</v>
      </c>
      <c r="L4673" t="s">
        <v>26</v>
      </c>
      <c r="M4673">
        <v>326548</v>
      </c>
      <c r="N4673">
        <v>1</v>
      </c>
      <c r="O4673" s="3">
        <v>76450</v>
      </c>
      <c r="P4673" s="3">
        <v>31783</v>
      </c>
      <c r="Q4673" s="5">
        <f t="shared" si="216"/>
        <v>64243.697478991598</v>
      </c>
      <c r="R4673" s="5">
        <f t="shared" si="217"/>
        <v>31783</v>
      </c>
      <c r="S4673" s="5">
        <f t="shared" si="218"/>
        <v>32460.697478991598</v>
      </c>
    </row>
    <row r="4674" spans="1:19" hidden="1" x14ac:dyDescent="0.3">
      <c r="A4674">
        <v>190</v>
      </c>
      <c r="B4674" t="s">
        <v>5801</v>
      </c>
      <c r="C4674" t="s">
        <v>5404</v>
      </c>
      <c r="D4674" s="2" t="s">
        <v>5405</v>
      </c>
      <c r="E4674" t="s">
        <v>553</v>
      </c>
      <c r="F4674" t="s">
        <v>20</v>
      </c>
      <c r="G4674" t="s">
        <v>21</v>
      </c>
      <c r="H4674" t="s">
        <v>353</v>
      </c>
      <c r="I4674" t="s">
        <v>23</v>
      </c>
      <c r="J4674" t="s">
        <v>95</v>
      </c>
      <c r="K4674" s="2" t="s">
        <v>268</v>
      </c>
      <c r="L4674" t="s">
        <v>26</v>
      </c>
      <c r="M4674">
        <v>326549</v>
      </c>
      <c r="N4674">
        <v>1</v>
      </c>
      <c r="O4674" s="3">
        <v>44990</v>
      </c>
      <c r="P4674" s="3">
        <v>31000</v>
      </c>
      <c r="Q4674" s="5">
        <f t="shared" si="216"/>
        <v>37806.722689075636</v>
      </c>
      <c r="R4674" s="5">
        <f t="shared" si="217"/>
        <v>31000</v>
      </c>
      <c r="S4674" s="5">
        <f t="shared" si="218"/>
        <v>6806.7226890756356</v>
      </c>
    </row>
    <row r="4675" spans="1:19" hidden="1" x14ac:dyDescent="0.3">
      <c r="A4675">
        <v>190</v>
      </c>
      <c r="B4675" t="s">
        <v>5801</v>
      </c>
      <c r="C4675" t="s">
        <v>2646</v>
      </c>
      <c r="D4675" s="2" t="s">
        <v>2647</v>
      </c>
      <c r="E4675" t="s">
        <v>2648</v>
      </c>
      <c r="F4675" t="s">
        <v>20</v>
      </c>
      <c r="G4675" t="s">
        <v>21</v>
      </c>
      <c r="H4675" t="s">
        <v>970</v>
      </c>
      <c r="I4675" t="s">
        <v>23</v>
      </c>
      <c r="J4675" t="s">
        <v>40</v>
      </c>
      <c r="K4675" s="2" t="s">
        <v>268</v>
      </c>
      <c r="L4675" t="s">
        <v>26</v>
      </c>
      <c r="M4675">
        <v>326550</v>
      </c>
      <c r="N4675">
        <v>1</v>
      </c>
      <c r="O4675" s="3">
        <v>59950</v>
      </c>
      <c r="P4675" s="3">
        <v>18610</v>
      </c>
      <c r="Q4675" s="5">
        <f t="shared" si="216"/>
        <v>50378.151260504201</v>
      </c>
      <c r="R4675" s="5">
        <f t="shared" si="217"/>
        <v>18610</v>
      </c>
      <c r="S4675" s="5">
        <f t="shared" si="218"/>
        <v>31768.151260504201</v>
      </c>
    </row>
    <row r="4676" spans="1:19" hidden="1" x14ac:dyDescent="0.3">
      <c r="A4676">
        <v>190</v>
      </c>
      <c r="B4676" t="s">
        <v>5801</v>
      </c>
      <c r="C4676" t="s">
        <v>4435</v>
      </c>
      <c r="D4676" s="2" t="s">
        <v>4436</v>
      </c>
      <c r="E4676" t="s">
        <v>2671</v>
      </c>
      <c r="F4676" t="s">
        <v>20</v>
      </c>
      <c r="G4676" t="s">
        <v>21</v>
      </c>
      <c r="H4676" t="s">
        <v>874</v>
      </c>
      <c r="I4676" t="s">
        <v>23</v>
      </c>
      <c r="J4676" t="s">
        <v>95</v>
      </c>
      <c r="K4676" s="2" t="s">
        <v>268</v>
      </c>
      <c r="L4676" t="s">
        <v>26</v>
      </c>
      <c r="M4676">
        <v>326551</v>
      </c>
      <c r="N4676">
        <v>1</v>
      </c>
      <c r="O4676" s="3">
        <v>39990</v>
      </c>
      <c r="P4676" s="3">
        <v>20699</v>
      </c>
      <c r="Q4676" s="5">
        <f t="shared" si="216"/>
        <v>33605.042016806721</v>
      </c>
      <c r="R4676" s="5">
        <f t="shared" si="217"/>
        <v>20699</v>
      </c>
      <c r="S4676" s="5">
        <f t="shared" si="218"/>
        <v>12906.042016806721</v>
      </c>
    </row>
    <row r="4677" spans="1:19" hidden="1" x14ac:dyDescent="0.3">
      <c r="A4677">
        <v>190</v>
      </c>
      <c r="B4677" t="s">
        <v>5801</v>
      </c>
      <c r="C4677" t="s">
        <v>3401</v>
      </c>
      <c r="D4677" s="2" t="s">
        <v>3402</v>
      </c>
      <c r="E4677" t="s">
        <v>3403</v>
      </c>
      <c r="F4677" t="s">
        <v>377</v>
      </c>
      <c r="G4677" t="s">
        <v>21</v>
      </c>
      <c r="H4677" t="s">
        <v>378</v>
      </c>
      <c r="I4677" t="s">
        <v>23</v>
      </c>
      <c r="J4677" t="s">
        <v>3297</v>
      </c>
      <c r="K4677" s="2" t="s">
        <v>268</v>
      </c>
      <c r="L4677" t="s">
        <v>26</v>
      </c>
      <c r="M4677">
        <v>326551</v>
      </c>
      <c r="N4677">
        <v>1</v>
      </c>
      <c r="O4677">
        <v>500</v>
      </c>
      <c r="P4677">
        <v>418</v>
      </c>
      <c r="Q4677" s="5">
        <f t="shared" si="216"/>
        <v>420.1680672268908</v>
      </c>
      <c r="R4677" s="5">
        <f t="shared" si="217"/>
        <v>418</v>
      </c>
      <c r="S4677" s="5">
        <f t="shared" si="218"/>
        <v>2.1680672268907983</v>
      </c>
    </row>
    <row r="4678" spans="1:19" hidden="1" x14ac:dyDescent="0.3">
      <c r="A4678">
        <v>190</v>
      </c>
      <c r="B4678" t="s">
        <v>5801</v>
      </c>
      <c r="C4678" t="s">
        <v>3381</v>
      </c>
      <c r="D4678" s="2" t="s">
        <v>3382</v>
      </c>
      <c r="E4678" t="s">
        <v>2002</v>
      </c>
      <c r="F4678" t="s">
        <v>20</v>
      </c>
      <c r="G4678" t="s">
        <v>338</v>
      </c>
      <c r="H4678">
        <v>25026</v>
      </c>
      <c r="I4678" t="s">
        <v>23</v>
      </c>
      <c r="J4678" t="s">
        <v>35</v>
      </c>
      <c r="K4678" s="2" t="s">
        <v>268</v>
      </c>
      <c r="L4678" t="s">
        <v>26</v>
      </c>
      <c r="M4678">
        <v>326552</v>
      </c>
      <c r="N4678">
        <v>1</v>
      </c>
      <c r="O4678" s="3">
        <v>89950</v>
      </c>
      <c r="P4678" s="3">
        <v>28454</v>
      </c>
      <c r="Q4678" s="5">
        <f t="shared" ref="Q4678:Q4741" si="219">O4678/1.19</f>
        <v>75588.23529411765</v>
      </c>
      <c r="R4678" s="5">
        <f t="shared" ref="R4678:R4741" si="220">N4678*P4678</f>
        <v>28454</v>
      </c>
      <c r="S4678" s="5">
        <f t="shared" ref="S4678:S4741" si="221">Q4678-R4678</f>
        <v>47134.23529411765</v>
      </c>
    </row>
    <row r="4679" spans="1:19" hidden="1" x14ac:dyDescent="0.3">
      <c r="A4679">
        <v>190</v>
      </c>
      <c r="B4679" t="s">
        <v>5801</v>
      </c>
      <c r="C4679">
        <v>1687976791</v>
      </c>
      <c r="D4679" s="2" t="s">
        <v>200</v>
      </c>
      <c r="E4679" t="s">
        <v>201</v>
      </c>
      <c r="F4679" t="s">
        <v>201</v>
      </c>
      <c r="G4679" t="s">
        <v>202</v>
      </c>
      <c r="H4679" t="s">
        <v>202</v>
      </c>
      <c r="I4679" t="s">
        <v>23</v>
      </c>
      <c r="J4679" t="s">
        <v>202</v>
      </c>
      <c r="K4679" s="2" t="s">
        <v>268</v>
      </c>
      <c r="L4679" t="s">
        <v>26</v>
      </c>
      <c r="M4679">
        <v>326553</v>
      </c>
      <c r="N4679">
        <v>1</v>
      </c>
      <c r="O4679" s="3">
        <v>2000</v>
      </c>
      <c r="P4679">
        <v>1</v>
      </c>
      <c r="Q4679" s="5">
        <f t="shared" si="219"/>
        <v>1680.6722689075632</v>
      </c>
      <c r="R4679" s="5">
        <f t="shared" si="220"/>
        <v>1</v>
      </c>
      <c r="S4679" s="5">
        <f t="shared" si="221"/>
        <v>1679.6722689075632</v>
      </c>
    </row>
    <row r="4680" spans="1:19" hidden="1" x14ac:dyDescent="0.3">
      <c r="A4680">
        <v>190</v>
      </c>
      <c r="B4680" t="s">
        <v>5801</v>
      </c>
      <c r="C4680" t="s">
        <v>5822</v>
      </c>
      <c r="D4680" s="2" t="s">
        <v>5823</v>
      </c>
      <c r="E4680" t="s">
        <v>2085</v>
      </c>
      <c r="F4680" t="s">
        <v>20</v>
      </c>
      <c r="G4680" t="s">
        <v>21</v>
      </c>
      <c r="H4680" t="s">
        <v>870</v>
      </c>
      <c r="I4680" t="s">
        <v>23</v>
      </c>
      <c r="J4680" t="s">
        <v>49</v>
      </c>
      <c r="K4680" s="2" t="s">
        <v>268</v>
      </c>
      <c r="L4680" t="s">
        <v>26</v>
      </c>
      <c r="M4680">
        <v>326553</v>
      </c>
      <c r="N4680">
        <v>1</v>
      </c>
      <c r="O4680" s="3">
        <v>39990</v>
      </c>
      <c r="P4680" s="3">
        <v>22955</v>
      </c>
      <c r="Q4680" s="5">
        <f t="shared" si="219"/>
        <v>33605.042016806721</v>
      </c>
      <c r="R4680" s="5">
        <f t="shared" si="220"/>
        <v>22955</v>
      </c>
      <c r="S4680" s="5">
        <f t="shared" si="221"/>
        <v>10650.042016806721</v>
      </c>
    </row>
    <row r="4681" spans="1:19" hidden="1" x14ac:dyDescent="0.3">
      <c r="A4681">
        <v>190</v>
      </c>
      <c r="B4681" t="s">
        <v>5801</v>
      </c>
      <c r="C4681" t="s">
        <v>5824</v>
      </c>
      <c r="D4681" s="2" t="s">
        <v>5825</v>
      </c>
      <c r="E4681" t="s">
        <v>5826</v>
      </c>
      <c r="F4681" t="s">
        <v>20</v>
      </c>
      <c r="G4681" t="s">
        <v>21</v>
      </c>
      <c r="H4681" t="s">
        <v>5827</v>
      </c>
      <c r="I4681" t="s">
        <v>23</v>
      </c>
      <c r="J4681" t="s">
        <v>207</v>
      </c>
      <c r="K4681" s="2" t="s">
        <v>268</v>
      </c>
      <c r="L4681" t="s">
        <v>26</v>
      </c>
      <c r="M4681">
        <v>326554</v>
      </c>
      <c r="N4681">
        <v>-1</v>
      </c>
      <c r="O4681" s="3">
        <v>-49990</v>
      </c>
      <c r="P4681" s="3">
        <v>26228</v>
      </c>
      <c r="Q4681" s="5">
        <f t="shared" si="219"/>
        <v>-42008.403361344543</v>
      </c>
      <c r="R4681" s="5">
        <f t="shared" si="220"/>
        <v>-26228</v>
      </c>
      <c r="S4681" s="5">
        <f t="shared" si="221"/>
        <v>-15780.403361344543</v>
      </c>
    </row>
    <row r="4682" spans="1:19" hidden="1" x14ac:dyDescent="0.3">
      <c r="A4682">
        <v>190</v>
      </c>
      <c r="B4682" t="s">
        <v>5801</v>
      </c>
      <c r="C4682" t="s">
        <v>1328</v>
      </c>
      <c r="D4682" s="2" t="s">
        <v>1329</v>
      </c>
      <c r="E4682" t="s">
        <v>1330</v>
      </c>
      <c r="F4682" t="s">
        <v>20</v>
      </c>
      <c r="G4682" t="s">
        <v>338</v>
      </c>
      <c r="H4682">
        <v>25133</v>
      </c>
      <c r="I4682" t="s">
        <v>23</v>
      </c>
      <c r="J4682" t="s">
        <v>35</v>
      </c>
      <c r="K4682" s="2" t="s">
        <v>268</v>
      </c>
      <c r="L4682" t="s">
        <v>26</v>
      </c>
      <c r="M4682">
        <v>326554</v>
      </c>
      <c r="N4682">
        <v>1</v>
      </c>
      <c r="O4682" s="3">
        <v>74950</v>
      </c>
      <c r="P4682" s="3">
        <v>21167</v>
      </c>
      <c r="Q4682" s="5">
        <f t="shared" si="219"/>
        <v>62983.193277310929</v>
      </c>
      <c r="R4682" s="5">
        <f t="shared" si="220"/>
        <v>21167</v>
      </c>
      <c r="S4682" s="5">
        <f t="shared" si="221"/>
        <v>41816.193277310929</v>
      </c>
    </row>
    <row r="4683" spans="1:19" hidden="1" x14ac:dyDescent="0.3">
      <c r="A4683">
        <v>190</v>
      </c>
      <c r="B4683" t="s">
        <v>5801</v>
      </c>
      <c r="C4683" t="s">
        <v>2987</v>
      </c>
      <c r="D4683" s="2" t="s">
        <v>2988</v>
      </c>
      <c r="E4683" t="s">
        <v>2870</v>
      </c>
      <c r="F4683" t="s">
        <v>20</v>
      </c>
      <c r="G4683" t="s">
        <v>21</v>
      </c>
      <c r="H4683" t="s">
        <v>30</v>
      </c>
      <c r="I4683" t="s">
        <v>23</v>
      </c>
      <c r="J4683" t="s">
        <v>35</v>
      </c>
      <c r="K4683" s="2" t="s">
        <v>268</v>
      </c>
      <c r="L4683" t="s">
        <v>26</v>
      </c>
      <c r="M4683">
        <v>326555</v>
      </c>
      <c r="N4683">
        <v>1</v>
      </c>
      <c r="O4683" s="3">
        <v>79950</v>
      </c>
      <c r="P4683" s="3">
        <v>30749</v>
      </c>
      <c r="Q4683" s="5">
        <f t="shared" si="219"/>
        <v>67184.873949579836</v>
      </c>
      <c r="R4683" s="5">
        <f t="shared" si="220"/>
        <v>30749</v>
      </c>
      <c r="S4683" s="5">
        <f t="shared" si="221"/>
        <v>36435.873949579836</v>
      </c>
    </row>
    <row r="4684" spans="1:19" hidden="1" x14ac:dyDescent="0.3">
      <c r="A4684">
        <v>190</v>
      </c>
      <c r="B4684" t="s">
        <v>5801</v>
      </c>
      <c r="C4684" t="s">
        <v>2324</v>
      </c>
      <c r="D4684" s="2" t="s">
        <v>2325</v>
      </c>
      <c r="E4684" t="s">
        <v>453</v>
      </c>
      <c r="F4684" t="s">
        <v>20</v>
      </c>
      <c r="G4684" t="s">
        <v>21</v>
      </c>
      <c r="H4684" t="s">
        <v>454</v>
      </c>
      <c r="I4684" t="s">
        <v>23</v>
      </c>
      <c r="J4684" t="s">
        <v>407</v>
      </c>
      <c r="K4684" s="2" t="s">
        <v>268</v>
      </c>
      <c r="L4684" t="s">
        <v>26</v>
      </c>
      <c r="M4684">
        <v>326556</v>
      </c>
      <c r="N4684">
        <v>1</v>
      </c>
      <c r="O4684" s="3">
        <v>39990</v>
      </c>
      <c r="P4684" s="3">
        <v>21038</v>
      </c>
      <c r="Q4684" s="5">
        <f t="shared" si="219"/>
        <v>33605.042016806721</v>
      </c>
      <c r="R4684" s="5">
        <f t="shared" si="220"/>
        <v>21038</v>
      </c>
      <c r="S4684" s="5">
        <f t="shared" si="221"/>
        <v>12567.042016806721</v>
      </c>
    </row>
    <row r="4685" spans="1:19" hidden="1" x14ac:dyDescent="0.3">
      <c r="A4685">
        <v>190</v>
      </c>
      <c r="B4685" t="s">
        <v>5801</v>
      </c>
      <c r="C4685" t="s">
        <v>2739</v>
      </c>
      <c r="D4685" s="2" t="s">
        <v>2740</v>
      </c>
      <c r="E4685" t="s">
        <v>2741</v>
      </c>
      <c r="F4685" t="s">
        <v>20</v>
      </c>
      <c r="G4685" t="s">
        <v>21</v>
      </c>
      <c r="H4685" t="s">
        <v>2494</v>
      </c>
      <c r="I4685" t="s">
        <v>23</v>
      </c>
      <c r="J4685" t="s">
        <v>40</v>
      </c>
      <c r="K4685" s="2" t="s">
        <v>268</v>
      </c>
      <c r="L4685" t="s">
        <v>26</v>
      </c>
      <c r="M4685">
        <v>326557</v>
      </c>
      <c r="N4685">
        <v>1</v>
      </c>
      <c r="O4685" s="3">
        <v>59450</v>
      </c>
      <c r="P4685" s="3">
        <v>23470</v>
      </c>
      <c r="Q4685" s="5">
        <f t="shared" si="219"/>
        <v>49957.983193277316</v>
      </c>
      <c r="R4685" s="5">
        <f t="shared" si="220"/>
        <v>23470</v>
      </c>
      <c r="S4685" s="5">
        <f t="shared" si="221"/>
        <v>26487.983193277316</v>
      </c>
    </row>
    <row r="4686" spans="1:19" hidden="1" x14ac:dyDescent="0.3">
      <c r="A4686">
        <v>190</v>
      </c>
      <c r="B4686" t="s">
        <v>5801</v>
      </c>
      <c r="C4686" t="s">
        <v>3507</v>
      </c>
      <c r="D4686" s="2" t="s">
        <v>3508</v>
      </c>
      <c r="E4686" t="s">
        <v>2323</v>
      </c>
      <c r="F4686" t="s">
        <v>20</v>
      </c>
      <c r="G4686" t="s">
        <v>21</v>
      </c>
      <c r="H4686" t="s">
        <v>1887</v>
      </c>
      <c r="I4686" t="s">
        <v>23</v>
      </c>
      <c r="J4686" t="s">
        <v>40</v>
      </c>
      <c r="K4686" s="2" t="s">
        <v>268</v>
      </c>
      <c r="L4686" t="s">
        <v>26</v>
      </c>
      <c r="M4686">
        <v>326557</v>
      </c>
      <c r="N4686">
        <v>1</v>
      </c>
      <c r="O4686" s="3">
        <v>69950</v>
      </c>
      <c r="P4686" s="3">
        <v>21623</v>
      </c>
      <c r="Q4686" s="5">
        <f t="shared" si="219"/>
        <v>58781.512605042022</v>
      </c>
      <c r="R4686" s="5">
        <f t="shared" si="220"/>
        <v>21623</v>
      </c>
      <c r="S4686" s="5">
        <f t="shared" si="221"/>
        <v>37158.512605042022</v>
      </c>
    </row>
    <row r="4687" spans="1:19" hidden="1" x14ac:dyDescent="0.3">
      <c r="A4687">
        <v>190</v>
      </c>
      <c r="B4687" t="s">
        <v>5801</v>
      </c>
      <c r="C4687" t="s">
        <v>3977</v>
      </c>
      <c r="D4687" s="2" t="s">
        <v>3978</v>
      </c>
      <c r="E4687" t="s">
        <v>453</v>
      </c>
      <c r="F4687" t="s">
        <v>20</v>
      </c>
      <c r="G4687" t="s">
        <v>21</v>
      </c>
      <c r="H4687" t="s">
        <v>454</v>
      </c>
      <c r="I4687" t="s">
        <v>23</v>
      </c>
      <c r="J4687" t="s">
        <v>407</v>
      </c>
      <c r="K4687" s="2" t="s">
        <v>268</v>
      </c>
      <c r="L4687" t="s">
        <v>26</v>
      </c>
      <c r="M4687">
        <v>326558</v>
      </c>
      <c r="N4687">
        <v>1</v>
      </c>
      <c r="O4687" s="3">
        <v>39990</v>
      </c>
      <c r="P4687" s="3">
        <v>21038</v>
      </c>
      <c r="Q4687" s="5">
        <f t="shared" si="219"/>
        <v>33605.042016806721</v>
      </c>
      <c r="R4687" s="5">
        <f t="shared" si="220"/>
        <v>21038</v>
      </c>
      <c r="S4687" s="5">
        <f t="shared" si="221"/>
        <v>12567.042016806721</v>
      </c>
    </row>
    <row r="4688" spans="1:19" hidden="1" x14ac:dyDescent="0.3">
      <c r="A4688">
        <v>190</v>
      </c>
      <c r="B4688" t="s">
        <v>5801</v>
      </c>
      <c r="C4688" t="s">
        <v>3413</v>
      </c>
      <c r="D4688" s="2" t="s">
        <v>3414</v>
      </c>
      <c r="E4688" t="s">
        <v>3415</v>
      </c>
      <c r="F4688" t="s">
        <v>20</v>
      </c>
      <c r="G4688" t="s">
        <v>21</v>
      </c>
      <c r="H4688" t="s">
        <v>2745</v>
      </c>
      <c r="I4688" t="s">
        <v>23</v>
      </c>
      <c r="J4688" t="s">
        <v>35</v>
      </c>
      <c r="K4688" s="2" t="s">
        <v>268</v>
      </c>
      <c r="L4688" t="s">
        <v>26</v>
      </c>
      <c r="M4688">
        <v>326558</v>
      </c>
      <c r="N4688">
        <v>1</v>
      </c>
      <c r="O4688" s="3">
        <v>84950</v>
      </c>
      <c r="P4688" s="3">
        <v>33200</v>
      </c>
      <c r="Q4688" s="5">
        <f t="shared" si="219"/>
        <v>71386.554621848743</v>
      </c>
      <c r="R4688" s="5">
        <f t="shared" si="220"/>
        <v>33200</v>
      </c>
      <c r="S4688" s="5">
        <f t="shared" si="221"/>
        <v>38186.554621848743</v>
      </c>
    </row>
    <row r="4689" spans="1:19" hidden="1" x14ac:dyDescent="0.3">
      <c r="A4689">
        <v>190</v>
      </c>
      <c r="B4689" t="s">
        <v>5801</v>
      </c>
      <c r="C4689" t="s">
        <v>5078</v>
      </c>
      <c r="D4689" s="2" t="s">
        <v>5079</v>
      </c>
      <c r="E4689" t="s">
        <v>1412</v>
      </c>
      <c r="F4689" t="s">
        <v>20</v>
      </c>
      <c r="G4689" t="s">
        <v>338</v>
      </c>
      <c r="H4689">
        <v>23603</v>
      </c>
      <c r="I4689" t="s">
        <v>23</v>
      </c>
      <c r="J4689" t="s">
        <v>40</v>
      </c>
      <c r="K4689" s="2" t="s">
        <v>268</v>
      </c>
      <c r="L4689" t="s">
        <v>26</v>
      </c>
      <c r="M4689">
        <v>326559</v>
      </c>
      <c r="N4689">
        <v>1</v>
      </c>
      <c r="O4689" s="3">
        <v>49990</v>
      </c>
      <c r="P4689" s="3">
        <v>22607</v>
      </c>
      <c r="Q4689" s="5">
        <f t="shared" si="219"/>
        <v>42008.403361344543</v>
      </c>
      <c r="R4689" s="5">
        <f t="shared" si="220"/>
        <v>22607</v>
      </c>
      <c r="S4689" s="5">
        <f t="shared" si="221"/>
        <v>19401.403361344543</v>
      </c>
    </row>
    <row r="4690" spans="1:19" hidden="1" x14ac:dyDescent="0.3">
      <c r="A4690">
        <v>190</v>
      </c>
      <c r="B4690" t="s">
        <v>5801</v>
      </c>
      <c r="C4690" t="s">
        <v>5828</v>
      </c>
      <c r="D4690" s="2" t="s">
        <v>5829</v>
      </c>
      <c r="E4690" t="s">
        <v>3633</v>
      </c>
      <c r="F4690" t="s">
        <v>20</v>
      </c>
      <c r="G4690" t="s">
        <v>21</v>
      </c>
      <c r="H4690" t="s">
        <v>1689</v>
      </c>
      <c r="I4690" t="s">
        <v>23</v>
      </c>
      <c r="J4690" t="s">
        <v>49</v>
      </c>
      <c r="K4690" s="2" t="s">
        <v>268</v>
      </c>
      <c r="L4690" t="s">
        <v>26</v>
      </c>
      <c r="M4690">
        <v>326560</v>
      </c>
      <c r="N4690">
        <v>1</v>
      </c>
      <c r="O4690" s="3">
        <v>84951</v>
      </c>
      <c r="P4690" s="3">
        <v>39837</v>
      </c>
      <c r="Q4690" s="5">
        <f t="shared" si="219"/>
        <v>71387.394957983197</v>
      </c>
      <c r="R4690" s="5">
        <f t="shared" si="220"/>
        <v>39837</v>
      </c>
      <c r="S4690" s="5">
        <f t="shared" si="221"/>
        <v>31550.394957983197</v>
      </c>
    </row>
    <row r="4691" spans="1:19" hidden="1" x14ac:dyDescent="0.3">
      <c r="A4691">
        <v>190</v>
      </c>
      <c r="B4691" t="s">
        <v>5801</v>
      </c>
      <c r="C4691" t="s">
        <v>3631</v>
      </c>
      <c r="D4691" s="2" t="s">
        <v>3632</v>
      </c>
      <c r="E4691" t="s">
        <v>3633</v>
      </c>
      <c r="F4691" t="s">
        <v>20</v>
      </c>
      <c r="G4691" t="s">
        <v>21</v>
      </c>
      <c r="H4691" t="s">
        <v>1689</v>
      </c>
      <c r="I4691" t="s">
        <v>23</v>
      </c>
      <c r="J4691" t="s">
        <v>49</v>
      </c>
      <c r="K4691" s="2" t="s">
        <v>268</v>
      </c>
      <c r="L4691" t="s">
        <v>26</v>
      </c>
      <c r="M4691">
        <v>326560</v>
      </c>
      <c r="N4691">
        <v>-1</v>
      </c>
      <c r="O4691" s="3">
        <v>-84950</v>
      </c>
      <c r="P4691" s="3">
        <v>39837</v>
      </c>
      <c r="Q4691" s="5">
        <f t="shared" si="219"/>
        <v>-71386.554621848743</v>
      </c>
      <c r="R4691" s="5">
        <f t="shared" si="220"/>
        <v>-39837</v>
      </c>
      <c r="S4691" s="5">
        <f t="shared" si="221"/>
        <v>-31549.554621848743</v>
      </c>
    </row>
    <row r="4692" spans="1:19" hidden="1" x14ac:dyDescent="0.3">
      <c r="A4692">
        <v>190</v>
      </c>
      <c r="B4692" t="s">
        <v>5801</v>
      </c>
      <c r="C4692" t="s">
        <v>615</v>
      </c>
      <c r="D4692" s="2" t="s">
        <v>616</v>
      </c>
      <c r="E4692" t="s">
        <v>617</v>
      </c>
      <c r="F4692" t="s">
        <v>20</v>
      </c>
      <c r="G4692" t="s">
        <v>21</v>
      </c>
      <c r="H4692" t="s">
        <v>618</v>
      </c>
      <c r="I4692" t="s">
        <v>23</v>
      </c>
      <c r="J4692" t="s">
        <v>40</v>
      </c>
      <c r="K4692" s="2" t="s">
        <v>268</v>
      </c>
      <c r="L4692" t="s">
        <v>26</v>
      </c>
      <c r="M4692">
        <v>326561</v>
      </c>
      <c r="N4692">
        <v>1</v>
      </c>
      <c r="O4692" s="3">
        <v>34990</v>
      </c>
      <c r="P4692" s="3">
        <v>16817</v>
      </c>
      <c r="Q4692" s="5">
        <f t="shared" si="219"/>
        <v>29403.361344537818</v>
      </c>
      <c r="R4692" s="5">
        <f t="shared" si="220"/>
        <v>16817</v>
      </c>
      <c r="S4692" s="5">
        <f t="shared" si="221"/>
        <v>12586.361344537818</v>
      </c>
    </row>
    <row r="4693" spans="1:19" hidden="1" x14ac:dyDescent="0.3">
      <c r="A4693">
        <v>190</v>
      </c>
      <c r="B4693" t="s">
        <v>5801</v>
      </c>
      <c r="C4693" t="s">
        <v>5830</v>
      </c>
      <c r="D4693" s="2" t="s">
        <v>5831</v>
      </c>
      <c r="E4693" t="s">
        <v>3271</v>
      </c>
      <c r="F4693" t="s">
        <v>20</v>
      </c>
      <c r="G4693" t="s">
        <v>21</v>
      </c>
      <c r="H4693" t="s">
        <v>3272</v>
      </c>
      <c r="I4693" t="s">
        <v>23</v>
      </c>
      <c r="J4693" t="s">
        <v>40</v>
      </c>
      <c r="K4693" s="2" t="s">
        <v>268</v>
      </c>
      <c r="L4693" t="s">
        <v>26</v>
      </c>
      <c r="M4693">
        <v>326562</v>
      </c>
      <c r="N4693">
        <v>1</v>
      </c>
      <c r="O4693" s="3">
        <v>59950</v>
      </c>
      <c r="P4693" s="3">
        <v>23104</v>
      </c>
      <c r="Q4693" s="5">
        <f t="shared" si="219"/>
        <v>50378.151260504201</v>
      </c>
      <c r="R4693" s="5">
        <f t="shared" si="220"/>
        <v>23104</v>
      </c>
      <c r="S4693" s="5">
        <f t="shared" si="221"/>
        <v>27274.151260504201</v>
      </c>
    </row>
    <row r="4694" spans="1:19" hidden="1" x14ac:dyDescent="0.3">
      <c r="A4694">
        <v>190</v>
      </c>
      <c r="B4694" t="s">
        <v>5801</v>
      </c>
      <c r="C4694" t="s">
        <v>5279</v>
      </c>
      <c r="D4694" s="2" t="s">
        <v>5280</v>
      </c>
      <c r="E4694" t="s">
        <v>2781</v>
      </c>
      <c r="F4694" t="s">
        <v>20</v>
      </c>
      <c r="G4694" t="s">
        <v>21</v>
      </c>
      <c r="H4694" t="s">
        <v>2782</v>
      </c>
      <c r="I4694" t="s">
        <v>23</v>
      </c>
      <c r="J4694" t="s">
        <v>35</v>
      </c>
      <c r="K4694" s="2" t="s">
        <v>268</v>
      </c>
      <c r="L4694" t="s">
        <v>26</v>
      </c>
      <c r="M4694">
        <v>326562</v>
      </c>
      <c r="N4694">
        <v>1</v>
      </c>
      <c r="O4694" s="3">
        <v>63700</v>
      </c>
      <c r="P4694" s="3">
        <v>24388</v>
      </c>
      <c r="Q4694" s="5">
        <f t="shared" si="219"/>
        <v>53529.411764705888</v>
      </c>
      <c r="R4694" s="5">
        <f t="shared" si="220"/>
        <v>24388</v>
      </c>
      <c r="S4694" s="5">
        <f t="shared" si="221"/>
        <v>29141.411764705888</v>
      </c>
    </row>
    <row r="4695" spans="1:19" hidden="1" x14ac:dyDescent="0.3">
      <c r="A4695">
        <v>190</v>
      </c>
      <c r="B4695" t="s">
        <v>5801</v>
      </c>
      <c r="C4695" t="s">
        <v>4239</v>
      </c>
      <c r="D4695" s="2" t="s">
        <v>4240</v>
      </c>
      <c r="E4695" t="s">
        <v>2539</v>
      </c>
      <c r="F4695" t="s">
        <v>20</v>
      </c>
      <c r="G4695" t="s">
        <v>21</v>
      </c>
      <c r="H4695" t="s">
        <v>966</v>
      </c>
      <c r="I4695" t="s">
        <v>23</v>
      </c>
      <c r="J4695" t="s">
        <v>35</v>
      </c>
      <c r="K4695" s="2" t="s">
        <v>268</v>
      </c>
      <c r="L4695" t="s">
        <v>26</v>
      </c>
      <c r="M4695">
        <v>326563</v>
      </c>
      <c r="N4695">
        <v>1</v>
      </c>
      <c r="O4695" s="3">
        <v>74950</v>
      </c>
      <c r="P4695" s="3">
        <v>26729</v>
      </c>
      <c r="Q4695" s="5">
        <f t="shared" si="219"/>
        <v>62983.193277310929</v>
      </c>
      <c r="R4695" s="5">
        <f t="shared" si="220"/>
        <v>26729</v>
      </c>
      <c r="S4695" s="5">
        <f t="shared" si="221"/>
        <v>36254.193277310929</v>
      </c>
    </row>
    <row r="4696" spans="1:19" hidden="1" x14ac:dyDescent="0.3">
      <c r="A4696">
        <v>190</v>
      </c>
      <c r="B4696" t="s">
        <v>5801</v>
      </c>
      <c r="C4696" t="s">
        <v>5832</v>
      </c>
      <c r="D4696" s="2" t="s">
        <v>5833</v>
      </c>
      <c r="E4696" t="s">
        <v>2042</v>
      </c>
      <c r="F4696" t="s">
        <v>20</v>
      </c>
      <c r="G4696" t="s">
        <v>21</v>
      </c>
      <c r="H4696" t="s">
        <v>565</v>
      </c>
      <c r="I4696" t="s">
        <v>23</v>
      </c>
      <c r="J4696" t="s">
        <v>49</v>
      </c>
      <c r="K4696" s="2" t="s">
        <v>268</v>
      </c>
      <c r="L4696" t="s">
        <v>26</v>
      </c>
      <c r="M4696">
        <v>326564</v>
      </c>
      <c r="N4696">
        <v>1</v>
      </c>
      <c r="O4696" s="3">
        <v>69950</v>
      </c>
      <c r="P4696" s="3">
        <v>24768</v>
      </c>
      <c r="Q4696" s="5">
        <f t="shared" si="219"/>
        <v>58781.512605042022</v>
      </c>
      <c r="R4696" s="5">
        <f t="shared" si="220"/>
        <v>24768</v>
      </c>
      <c r="S4696" s="5">
        <f t="shared" si="221"/>
        <v>34013.512605042022</v>
      </c>
    </row>
    <row r="4697" spans="1:19" hidden="1" x14ac:dyDescent="0.3">
      <c r="A4697">
        <v>190</v>
      </c>
      <c r="B4697" t="s">
        <v>5801</v>
      </c>
      <c r="C4697" t="s">
        <v>5489</v>
      </c>
      <c r="D4697" s="2" t="s">
        <v>5490</v>
      </c>
      <c r="E4697" t="s">
        <v>3764</v>
      </c>
      <c r="F4697" t="s">
        <v>20</v>
      </c>
      <c r="G4697" t="s">
        <v>21</v>
      </c>
      <c r="H4697" t="s">
        <v>1282</v>
      </c>
      <c r="I4697" t="s">
        <v>23</v>
      </c>
      <c r="J4697" t="s">
        <v>40</v>
      </c>
      <c r="K4697" s="2" t="s">
        <v>268</v>
      </c>
      <c r="L4697" t="s">
        <v>26</v>
      </c>
      <c r="M4697">
        <v>326565</v>
      </c>
      <c r="N4697">
        <v>1</v>
      </c>
      <c r="O4697" s="3">
        <v>49950</v>
      </c>
      <c r="P4697" s="3">
        <v>13922</v>
      </c>
      <c r="Q4697" s="5">
        <f t="shared" si="219"/>
        <v>41974.789915966387</v>
      </c>
      <c r="R4697" s="5">
        <f t="shared" si="220"/>
        <v>13922</v>
      </c>
      <c r="S4697" s="5">
        <f t="shared" si="221"/>
        <v>28052.789915966387</v>
      </c>
    </row>
    <row r="4698" spans="1:19" hidden="1" x14ac:dyDescent="0.3">
      <c r="A4698">
        <v>190</v>
      </c>
      <c r="B4698" t="s">
        <v>5801</v>
      </c>
      <c r="C4698" t="s">
        <v>5557</v>
      </c>
      <c r="D4698" s="2" t="s">
        <v>5558</v>
      </c>
      <c r="E4698" t="s">
        <v>2452</v>
      </c>
      <c r="F4698" t="s">
        <v>20</v>
      </c>
      <c r="G4698" t="s">
        <v>21</v>
      </c>
      <c r="H4698" t="s">
        <v>573</v>
      </c>
      <c r="I4698" t="s">
        <v>23</v>
      </c>
      <c r="J4698" t="s">
        <v>49</v>
      </c>
      <c r="K4698" s="2" t="s">
        <v>268</v>
      </c>
      <c r="L4698" t="s">
        <v>26</v>
      </c>
      <c r="M4698">
        <v>326565</v>
      </c>
      <c r="N4698">
        <v>-1</v>
      </c>
      <c r="O4698" s="3">
        <v>-44990</v>
      </c>
      <c r="P4698" s="3">
        <v>23211</v>
      </c>
      <c r="Q4698" s="5">
        <f t="shared" si="219"/>
        <v>-37806.722689075636</v>
      </c>
      <c r="R4698" s="5">
        <f t="shared" si="220"/>
        <v>-23211</v>
      </c>
      <c r="S4698" s="5">
        <f t="shared" si="221"/>
        <v>-14595.722689075636</v>
      </c>
    </row>
    <row r="4699" spans="1:19" hidden="1" x14ac:dyDescent="0.3">
      <c r="A4699">
        <v>190</v>
      </c>
      <c r="B4699" t="s">
        <v>5801</v>
      </c>
      <c r="C4699" t="s">
        <v>5834</v>
      </c>
      <c r="D4699" s="2" t="s">
        <v>5835</v>
      </c>
      <c r="E4699" t="s">
        <v>5836</v>
      </c>
      <c r="F4699" t="s">
        <v>20</v>
      </c>
      <c r="G4699" t="s">
        <v>21</v>
      </c>
      <c r="H4699" t="s">
        <v>610</v>
      </c>
      <c r="I4699" t="s">
        <v>23</v>
      </c>
      <c r="J4699" t="s">
        <v>40</v>
      </c>
      <c r="K4699" s="2" t="s">
        <v>268</v>
      </c>
      <c r="L4699" t="s">
        <v>26</v>
      </c>
      <c r="M4699">
        <v>326566</v>
      </c>
      <c r="N4699">
        <v>1</v>
      </c>
      <c r="O4699" s="3">
        <v>34990</v>
      </c>
      <c r="P4699" s="3">
        <v>14508</v>
      </c>
      <c r="Q4699" s="5">
        <f t="shared" si="219"/>
        <v>29403.361344537818</v>
      </c>
      <c r="R4699" s="5">
        <f t="shared" si="220"/>
        <v>14508</v>
      </c>
      <c r="S4699" s="5">
        <f t="shared" si="221"/>
        <v>14895.361344537818</v>
      </c>
    </row>
    <row r="4700" spans="1:19" hidden="1" x14ac:dyDescent="0.3">
      <c r="A4700">
        <v>190</v>
      </c>
      <c r="B4700" t="s">
        <v>5801</v>
      </c>
      <c r="C4700" t="s">
        <v>2793</v>
      </c>
      <c r="D4700" s="2" t="s">
        <v>2794</v>
      </c>
      <c r="E4700" t="s">
        <v>2795</v>
      </c>
      <c r="F4700" t="s">
        <v>20</v>
      </c>
      <c r="G4700" t="s">
        <v>21</v>
      </c>
      <c r="H4700" t="s">
        <v>57</v>
      </c>
      <c r="I4700" t="s">
        <v>23</v>
      </c>
      <c r="J4700" t="s">
        <v>35</v>
      </c>
      <c r="K4700" s="2" t="s">
        <v>268</v>
      </c>
      <c r="L4700" t="s">
        <v>26</v>
      </c>
      <c r="M4700">
        <v>326567</v>
      </c>
      <c r="N4700">
        <v>1</v>
      </c>
      <c r="O4700" s="3">
        <v>89951</v>
      </c>
      <c r="P4700" s="3">
        <v>31631</v>
      </c>
      <c r="Q4700" s="5">
        <f t="shared" si="219"/>
        <v>75589.075630252104</v>
      </c>
      <c r="R4700" s="5">
        <f t="shared" si="220"/>
        <v>31631</v>
      </c>
      <c r="S4700" s="5">
        <f t="shared" si="221"/>
        <v>43958.075630252104</v>
      </c>
    </row>
    <row r="4701" spans="1:19" hidden="1" x14ac:dyDescent="0.3">
      <c r="A4701">
        <v>190</v>
      </c>
      <c r="B4701" t="s">
        <v>5801</v>
      </c>
      <c r="C4701" t="s">
        <v>5837</v>
      </c>
      <c r="D4701" s="2" t="s">
        <v>5838</v>
      </c>
      <c r="E4701" t="s">
        <v>2795</v>
      </c>
      <c r="F4701" t="s">
        <v>20</v>
      </c>
      <c r="G4701" t="s">
        <v>21</v>
      </c>
      <c r="H4701" t="s">
        <v>57</v>
      </c>
      <c r="I4701" t="s">
        <v>23</v>
      </c>
      <c r="J4701" t="s">
        <v>35</v>
      </c>
      <c r="K4701" s="2" t="s">
        <v>268</v>
      </c>
      <c r="L4701" t="s">
        <v>26</v>
      </c>
      <c r="M4701">
        <v>326567</v>
      </c>
      <c r="N4701">
        <v>-1</v>
      </c>
      <c r="O4701" s="3">
        <v>-89950</v>
      </c>
      <c r="P4701" s="3">
        <v>31740</v>
      </c>
      <c r="Q4701" s="5">
        <f t="shared" si="219"/>
        <v>-75588.23529411765</v>
      </c>
      <c r="R4701" s="5">
        <f t="shared" si="220"/>
        <v>-31740</v>
      </c>
      <c r="S4701" s="5">
        <f t="shared" si="221"/>
        <v>-43848.23529411765</v>
      </c>
    </row>
    <row r="4702" spans="1:19" hidden="1" x14ac:dyDescent="0.3">
      <c r="A4702">
        <v>190</v>
      </c>
      <c r="B4702" t="s">
        <v>5801</v>
      </c>
      <c r="C4702" t="s">
        <v>3023</v>
      </c>
      <c r="D4702" s="2" t="s">
        <v>3024</v>
      </c>
      <c r="E4702" t="s">
        <v>938</v>
      </c>
      <c r="F4702" t="s">
        <v>20</v>
      </c>
      <c r="G4702" t="s">
        <v>21</v>
      </c>
      <c r="H4702" t="s">
        <v>317</v>
      </c>
      <c r="I4702" t="s">
        <v>23</v>
      </c>
      <c r="J4702" t="s">
        <v>35</v>
      </c>
      <c r="K4702" s="2" t="s">
        <v>268</v>
      </c>
      <c r="L4702" t="s">
        <v>26</v>
      </c>
      <c r="M4702">
        <v>326568</v>
      </c>
      <c r="N4702">
        <v>1</v>
      </c>
      <c r="O4702" s="3">
        <v>69950</v>
      </c>
      <c r="P4702" s="3">
        <v>26455</v>
      </c>
      <c r="Q4702" s="5">
        <f t="shared" si="219"/>
        <v>58781.512605042022</v>
      </c>
      <c r="R4702" s="5">
        <f t="shared" si="220"/>
        <v>26455</v>
      </c>
      <c r="S4702" s="5">
        <f t="shared" si="221"/>
        <v>32326.512605042022</v>
      </c>
    </row>
    <row r="4703" spans="1:19" hidden="1" x14ac:dyDescent="0.3">
      <c r="A4703">
        <v>190</v>
      </c>
      <c r="B4703" t="s">
        <v>5801</v>
      </c>
      <c r="C4703" t="s">
        <v>3176</v>
      </c>
      <c r="D4703" s="2" t="s">
        <v>3177</v>
      </c>
      <c r="E4703" t="s">
        <v>2539</v>
      </c>
      <c r="F4703" t="s">
        <v>20</v>
      </c>
      <c r="G4703" t="s">
        <v>21</v>
      </c>
      <c r="H4703" t="s">
        <v>966</v>
      </c>
      <c r="I4703" t="s">
        <v>23</v>
      </c>
      <c r="J4703" t="s">
        <v>35</v>
      </c>
      <c r="K4703" s="2" t="s">
        <v>268</v>
      </c>
      <c r="L4703" t="s">
        <v>26</v>
      </c>
      <c r="M4703">
        <v>326569</v>
      </c>
      <c r="N4703">
        <v>1</v>
      </c>
      <c r="O4703" s="3">
        <v>74950</v>
      </c>
      <c r="P4703" s="3">
        <v>27328</v>
      </c>
      <c r="Q4703" s="5">
        <f t="shared" si="219"/>
        <v>62983.193277310929</v>
      </c>
      <c r="R4703" s="5">
        <f t="shared" si="220"/>
        <v>27328</v>
      </c>
      <c r="S4703" s="5">
        <f t="shared" si="221"/>
        <v>35655.193277310929</v>
      </c>
    </row>
    <row r="4704" spans="1:19" hidden="1" x14ac:dyDescent="0.3">
      <c r="A4704">
        <v>190</v>
      </c>
      <c r="B4704" t="s">
        <v>5801</v>
      </c>
      <c r="C4704" t="s">
        <v>4437</v>
      </c>
      <c r="D4704" s="2" t="s">
        <v>4438</v>
      </c>
      <c r="E4704" t="s">
        <v>4411</v>
      </c>
      <c r="F4704" t="s">
        <v>20</v>
      </c>
      <c r="G4704" t="s">
        <v>21</v>
      </c>
      <c r="H4704" t="s">
        <v>614</v>
      </c>
      <c r="I4704" t="s">
        <v>23</v>
      </c>
      <c r="J4704" t="s">
        <v>40</v>
      </c>
      <c r="K4704" s="2" t="s">
        <v>268</v>
      </c>
      <c r="L4704" t="s">
        <v>26</v>
      </c>
      <c r="M4704">
        <v>326570</v>
      </c>
      <c r="N4704">
        <v>1</v>
      </c>
      <c r="O4704" s="3">
        <v>39990</v>
      </c>
      <c r="P4704" s="3">
        <v>14604</v>
      </c>
      <c r="Q4704" s="5">
        <f t="shared" si="219"/>
        <v>33605.042016806721</v>
      </c>
      <c r="R4704" s="5">
        <f t="shared" si="220"/>
        <v>14604</v>
      </c>
      <c r="S4704" s="5">
        <f t="shared" si="221"/>
        <v>19001.042016806721</v>
      </c>
    </row>
    <row r="4705" spans="1:19" hidden="1" x14ac:dyDescent="0.3">
      <c r="A4705">
        <v>190</v>
      </c>
      <c r="B4705" t="s">
        <v>5801</v>
      </c>
      <c r="C4705" t="s">
        <v>3852</v>
      </c>
      <c r="D4705" s="2" t="s">
        <v>3853</v>
      </c>
      <c r="E4705" t="s">
        <v>990</v>
      </c>
      <c r="F4705" t="s">
        <v>20</v>
      </c>
      <c r="G4705" t="s">
        <v>21</v>
      </c>
      <c r="H4705" t="s">
        <v>991</v>
      </c>
      <c r="I4705" t="s">
        <v>23</v>
      </c>
      <c r="J4705" t="s">
        <v>49</v>
      </c>
      <c r="K4705" s="2" t="s">
        <v>268</v>
      </c>
      <c r="L4705" t="s">
        <v>26</v>
      </c>
      <c r="M4705">
        <v>326570</v>
      </c>
      <c r="N4705">
        <v>1</v>
      </c>
      <c r="O4705" s="3">
        <v>59450</v>
      </c>
      <c r="P4705" s="3">
        <v>22162</v>
      </c>
      <c r="Q4705" s="5">
        <f t="shared" si="219"/>
        <v>49957.983193277316</v>
      </c>
      <c r="R4705" s="5">
        <f t="shared" si="220"/>
        <v>22162</v>
      </c>
      <c r="S4705" s="5">
        <f t="shared" si="221"/>
        <v>27795.983193277316</v>
      </c>
    </row>
    <row r="4706" spans="1:19" hidden="1" x14ac:dyDescent="0.3">
      <c r="A4706">
        <v>190</v>
      </c>
      <c r="B4706" t="s">
        <v>5801</v>
      </c>
      <c r="C4706" t="s">
        <v>5839</v>
      </c>
      <c r="D4706" s="2" t="s">
        <v>5840</v>
      </c>
      <c r="E4706" t="s">
        <v>3874</v>
      </c>
      <c r="F4706" t="s">
        <v>20</v>
      </c>
      <c r="G4706" t="s">
        <v>21</v>
      </c>
      <c r="H4706" t="s">
        <v>618</v>
      </c>
      <c r="I4706" t="s">
        <v>23</v>
      </c>
      <c r="J4706" t="s">
        <v>40</v>
      </c>
      <c r="K4706" s="2" t="s">
        <v>268</v>
      </c>
      <c r="L4706" t="s">
        <v>26</v>
      </c>
      <c r="M4706">
        <v>326571</v>
      </c>
      <c r="N4706">
        <v>1</v>
      </c>
      <c r="O4706" s="3">
        <v>34990</v>
      </c>
      <c r="P4706" s="3">
        <v>16817</v>
      </c>
      <c r="Q4706" s="5">
        <f t="shared" si="219"/>
        <v>29403.361344537818</v>
      </c>
      <c r="R4706" s="5">
        <f t="shared" si="220"/>
        <v>16817</v>
      </c>
      <c r="S4706" s="5">
        <f t="shared" si="221"/>
        <v>12586.361344537818</v>
      </c>
    </row>
    <row r="4707" spans="1:19" hidden="1" x14ac:dyDescent="0.3">
      <c r="A4707">
        <v>190</v>
      </c>
      <c r="B4707" t="s">
        <v>5801</v>
      </c>
      <c r="C4707" t="s">
        <v>4905</v>
      </c>
      <c r="D4707" s="2" t="s">
        <v>4906</v>
      </c>
      <c r="E4707" t="s">
        <v>3418</v>
      </c>
      <c r="F4707" t="s">
        <v>20</v>
      </c>
      <c r="G4707" t="s">
        <v>21</v>
      </c>
      <c r="H4707" t="s">
        <v>1418</v>
      </c>
      <c r="I4707" t="s">
        <v>23</v>
      </c>
      <c r="J4707" t="s">
        <v>35</v>
      </c>
      <c r="K4707" s="2" t="s">
        <v>422</v>
      </c>
      <c r="L4707" t="s">
        <v>26</v>
      </c>
      <c r="M4707">
        <v>326572</v>
      </c>
      <c r="N4707">
        <v>1</v>
      </c>
      <c r="O4707" s="3">
        <v>94950</v>
      </c>
      <c r="P4707" s="3">
        <v>30749</v>
      </c>
      <c r="Q4707" s="5">
        <f t="shared" si="219"/>
        <v>79789.915966386558</v>
      </c>
      <c r="R4707" s="5">
        <f t="shared" si="220"/>
        <v>30749</v>
      </c>
      <c r="S4707" s="5">
        <f t="shared" si="221"/>
        <v>49040.915966386558</v>
      </c>
    </row>
    <row r="4708" spans="1:19" hidden="1" x14ac:dyDescent="0.3">
      <c r="A4708">
        <v>190</v>
      </c>
      <c r="B4708" t="s">
        <v>5801</v>
      </c>
      <c r="C4708" t="s">
        <v>1761</v>
      </c>
      <c r="D4708" s="2" t="s">
        <v>1762</v>
      </c>
      <c r="E4708" t="s">
        <v>1763</v>
      </c>
      <c r="F4708" t="s">
        <v>377</v>
      </c>
      <c r="G4708" t="s">
        <v>21</v>
      </c>
      <c r="H4708" t="s">
        <v>378</v>
      </c>
      <c r="I4708" t="s">
        <v>23</v>
      </c>
      <c r="J4708" t="s">
        <v>379</v>
      </c>
      <c r="K4708" s="2" t="s">
        <v>422</v>
      </c>
      <c r="L4708" t="s">
        <v>26</v>
      </c>
      <c r="M4708">
        <v>326572</v>
      </c>
      <c r="N4708">
        <v>1</v>
      </c>
      <c r="O4708" s="3">
        <v>5950</v>
      </c>
      <c r="P4708" s="3">
        <v>3279</v>
      </c>
      <c r="Q4708" s="5">
        <f t="shared" si="219"/>
        <v>5000</v>
      </c>
      <c r="R4708" s="5">
        <f t="shared" si="220"/>
        <v>3279</v>
      </c>
      <c r="S4708" s="5">
        <f t="shared" si="221"/>
        <v>1721</v>
      </c>
    </row>
    <row r="4709" spans="1:19" hidden="1" x14ac:dyDescent="0.3">
      <c r="A4709">
        <v>190</v>
      </c>
      <c r="B4709" t="s">
        <v>5801</v>
      </c>
      <c r="C4709" t="s">
        <v>2376</v>
      </c>
      <c r="D4709" s="2" t="s">
        <v>2377</v>
      </c>
      <c r="E4709" t="s">
        <v>2378</v>
      </c>
      <c r="F4709" t="s">
        <v>20</v>
      </c>
      <c r="G4709" t="s">
        <v>21</v>
      </c>
      <c r="H4709" t="s">
        <v>2379</v>
      </c>
      <c r="I4709" t="s">
        <v>23</v>
      </c>
      <c r="J4709" t="s">
        <v>40</v>
      </c>
      <c r="K4709" s="2" t="s">
        <v>422</v>
      </c>
      <c r="L4709" t="s">
        <v>26</v>
      </c>
      <c r="M4709">
        <v>326573</v>
      </c>
      <c r="N4709">
        <v>1</v>
      </c>
      <c r="O4709" s="3">
        <v>49950</v>
      </c>
      <c r="P4709" s="3">
        <v>15583</v>
      </c>
      <c r="Q4709" s="5">
        <f t="shared" si="219"/>
        <v>41974.789915966387</v>
      </c>
      <c r="R4709" s="5">
        <f t="shared" si="220"/>
        <v>15583</v>
      </c>
      <c r="S4709" s="5">
        <f t="shared" si="221"/>
        <v>26391.789915966387</v>
      </c>
    </row>
    <row r="4710" spans="1:19" hidden="1" x14ac:dyDescent="0.3">
      <c r="A4710">
        <v>190</v>
      </c>
      <c r="B4710" t="s">
        <v>5801</v>
      </c>
      <c r="C4710" t="s">
        <v>5841</v>
      </c>
      <c r="D4710" s="2" t="s">
        <v>5842</v>
      </c>
      <c r="E4710" t="s">
        <v>1834</v>
      </c>
      <c r="F4710" t="s">
        <v>20</v>
      </c>
      <c r="G4710" t="s">
        <v>21</v>
      </c>
      <c r="H4710" t="s">
        <v>114</v>
      </c>
      <c r="I4710" t="s">
        <v>23</v>
      </c>
      <c r="J4710" t="s">
        <v>49</v>
      </c>
      <c r="K4710" s="2" t="s">
        <v>422</v>
      </c>
      <c r="L4710" t="s">
        <v>26</v>
      </c>
      <c r="M4710">
        <v>326574</v>
      </c>
      <c r="N4710">
        <v>-1</v>
      </c>
      <c r="O4710" s="3">
        <v>-49990</v>
      </c>
      <c r="P4710" s="3">
        <v>24999</v>
      </c>
      <c r="Q4710" s="5">
        <f t="shared" si="219"/>
        <v>-42008.403361344543</v>
      </c>
      <c r="R4710" s="5">
        <f t="shared" si="220"/>
        <v>-24999</v>
      </c>
      <c r="S4710" s="5">
        <f t="shared" si="221"/>
        <v>-17009.403361344543</v>
      </c>
    </row>
    <row r="4711" spans="1:19" hidden="1" x14ac:dyDescent="0.3">
      <c r="A4711">
        <v>190</v>
      </c>
      <c r="B4711" t="s">
        <v>5801</v>
      </c>
      <c r="C4711" t="s">
        <v>5843</v>
      </c>
      <c r="D4711" s="2" t="s">
        <v>5844</v>
      </c>
      <c r="E4711" t="s">
        <v>5845</v>
      </c>
      <c r="F4711" t="s">
        <v>20</v>
      </c>
      <c r="G4711" t="s">
        <v>21</v>
      </c>
      <c r="H4711" t="s">
        <v>573</v>
      </c>
      <c r="I4711" t="s">
        <v>23</v>
      </c>
      <c r="J4711" t="s">
        <v>49</v>
      </c>
      <c r="K4711" s="2" t="s">
        <v>422</v>
      </c>
      <c r="L4711" t="s">
        <v>26</v>
      </c>
      <c r="M4711">
        <v>326574</v>
      </c>
      <c r="N4711">
        <v>1</v>
      </c>
      <c r="O4711" s="3">
        <v>44990</v>
      </c>
      <c r="P4711" s="3">
        <v>26057</v>
      </c>
      <c r="Q4711" s="5">
        <f t="shared" si="219"/>
        <v>37806.722689075636</v>
      </c>
      <c r="R4711" s="5">
        <f t="shared" si="220"/>
        <v>26057</v>
      </c>
      <c r="S4711" s="5">
        <f t="shared" si="221"/>
        <v>11749.722689075636</v>
      </c>
    </row>
    <row r="4712" spans="1:19" hidden="1" x14ac:dyDescent="0.3">
      <c r="A4712">
        <v>190</v>
      </c>
      <c r="B4712" t="s">
        <v>5801</v>
      </c>
      <c r="C4712" t="s">
        <v>1761</v>
      </c>
      <c r="D4712" s="2" t="s">
        <v>1762</v>
      </c>
      <c r="E4712" t="s">
        <v>1763</v>
      </c>
      <c r="F4712" t="s">
        <v>377</v>
      </c>
      <c r="G4712" t="s">
        <v>21</v>
      </c>
      <c r="H4712" t="s">
        <v>378</v>
      </c>
      <c r="I4712" t="s">
        <v>23</v>
      </c>
      <c r="J4712" t="s">
        <v>379</v>
      </c>
      <c r="K4712" s="2" t="s">
        <v>422</v>
      </c>
      <c r="L4712" t="s">
        <v>26</v>
      </c>
      <c r="M4712">
        <v>326574</v>
      </c>
      <c r="N4712">
        <v>1</v>
      </c>
      <c r="O4712" s="3">
        <v>5950</v>
      </c>
      <c r="P4712" s="3">
        <v>3279</v>
      </c>
      <c r="Q4712" s="5">
        <f t="shared" si="219"/>
        <v>5000</v>
      </c>
      <c r="R4712" s="5">
        <f t="shared" si="220"/>
        <v>3279</v>
      </c>
      <c r="S4712" s="5">
        <f t="shared" si="221"/>
        <v>1721</v>
      </c>
    </row>
    <row r="4713" spans="1:19" hidden="1" x14ac:dyDescent="0.3">
      <c r="A4713">
        <v>190</v>
      </c>
      <c r="B4713" t="s">
        <v>5801</v>
      </c>
      <c r="C4713" t="s">
        <v>5846</v>
      </c>
      <c r="D4713" s="2" t="s">
        <v>5847</v>
      </c>
      <c r="E4713" t="s">
        <v>68</v>
      </c>
      <c r="F4713" t="s">
        <v>20</v>
      </c>
      <c r="G4713" t="s">
        <v>21</v>
      </c>
      <c r="H4713" t="s">
        <v>44</v>
      </c>
      <c r="I4713" t="s">
        <v>23</v>
      </c>
      <c r="J4713" t="s">
        <v>40</v>
      </c>
      <c r="K4713" s="2" t="s">
        <v>422</v>
      </c>
      <c r="L4713" t="s">
        <v>26</v>
      </c>
      <c r="M4713">
        <v>326575</v>
      </c>
      <c r="N4713">
        <v>1</v>
      </c>
      <c r="O4713" s="3">
        <v>50950</v>
      </c>
      <c r="P4713" s="3">
        <v>14287</v>
      </c>
      <c r="Q4713" s="5">
        <f t="shared" si="219"/>
        <v>42815.126050420171</v>
      </c>
      <c r="R4713" s="5">
        <f t="shared" si="220"/>
        <v>14287</v>
      </c>
      <c r="S4713" s="5">
        <f t="shared" si="221"/>
        <v>28528.126050420171</v>
      </c>
    </row>
    <row r="4714" spans="1:19" hidden="1" x14ac:dyDescent="0.3">
      <c r="A4714">
        <v>190</v>
      </c>
      <c r="B4714" t="s">
        <v>5801</v>
      </c>
      <c r="C4714" t="s">
        <v>5848</v>
      </c>
      <c r="D4714" s="2" t="s">
        <v>5849</v>
      </c>
      <c r="E4714" t="s">
        <v>5850</v>
      </c>
      <c r="F4714" t="s">
        <v>20</v>
      </c>
      <c r="G4714" t="s">
        <v>215</v>
      </c>
      <c r="H4714" t="s">
        <v>5851</v>
      </c>
      <c r="I4714" t="s">
        <v>23</v>
      </c>
      <c r="J4714" t="s">
        <v>49</v>
      </c>
      <c r="K4714" s="2" t="s">
        <v>422</v>
      </c>
      <c r="L4714" t="s">
        <v>26</v>
      </c>
      <c r="M4714">
        <v>326575</v>
      </c>
      <c r="N4714">
        <v>1</v>
      </c>
      <c r="O4714" s="3">
        <v>69990</v>
      </c>
      <c r="P4714" s="3">
        <v>40200</v>
      </c>
      <c r="Q4714" s="5">
        <f t="shared" si="219"/>
        <v>58815.126050420171</v>
      </c>
      <c r="R4714" s="5">
        <f t="shared" si="220"/>
        <v>40200</v>
      </c>
      <c r="S4714" s="5">
        <f t="shared" si="221"/>
        <v>18615.126050420171</v>
      </c>
    </row>
    <row r="4715" spans="1:19" hidden="1" x14ac:dyDescent="0.3">
      <c r="A4715">
        <v>190</v>
      </c>
      <c r="B4715" t="s">
        <v>5801</v>
      </c>
      <c r="C4715" t="s">
        <v>3887</v>
      </c>
      <c r="D4715" s="2" t="s">
        <v>3888</v>
      </c>
      <c r="E4715" t="s">
        <v>2436</v>
      </c>
      <c r="F4715" t="s">
        <v>20</v>
      </c>
      <c r="G4715" t="s">
        <v>338</v>
      </c>
      <c r="H4715">
        <v>22318</v>
      </c>
      <c r="I4715" t="s">
        <v>23</v>
      </c>
      <c r="J4715" t="s">
        <v>49</v>
      </c>
      <c r="K4715" s="2" t="s">
        <v>422</v>
      </c>
      <c r="L4715" t="s">
        <v>26</v>
      </c>
      <c r="M4715">
        <v>326576</v>
      </c>
      <c r="N4715">
        <v>1</v>
      </c>
      <c r="O4715" s="3">
        <v>63700</v>
      </c>
      <c r="P4715" s="3">
        <v>23473</v>
      </c>
      <c r="Q4715" s="5">
        <f t="shared" si="219"/>
        <v>53529.411764705888</v>
      </c>
      <c r="R4715" s="5">
        <f t="shared" si="220"/>
        <v>23473</v>
      </c>
      <c r="S4715" s="5">
        <f t="shared" si="221"/>
        <v>30056.411764705888</v>
      </c>
    </row>
    <row r="4716" spans="1:19" hidden="1" x14ac:dyDescent="0.3">
      <c r="A4716">
        <v>190</v>
      </c>
      <c r="B4716" t="s">
        <v>5801</v>
      </c>
      <c r="C4716" t="s">
        <v>2488</v>
      </c>
      <c r="D4716" s="2" t="s">
        <v>2489</v>
      </c>
      <c r="E4716" t="s">
        <v>2490</v>
      </c>
      <c r="F4716" t="s">
        <v>20</v>
      </c>
      <c r="G4716" t="s">
        <v>21</v>
      </c>
      <c r="H4716" t="s">
        <v>44</v>
      </c>
      <c r="I4716" t="s">
        <v>23</v>
      </c>
      <c r="J4716" t="s">
        <v>40</v>
      </c>
      <c r="K4716" s="2" t="s">
        <v>422</v>
      </c>
      <c r="L4716" t="s">
        <v>26</v>
      </c>
      <c r="M4716">
        <v>326576</v>
      </c>
      <c r="N4716">
        <v>1</v>
      </c>
      <c r="O4716" s="3">
        <v>39990</v>
      </c>
      <c r="P4716" s="3">
        <v>15254</v>
      </c>
      <c r="Q4716" s="5">
        <f t="shared" si="219"/>
        <v>33605.042016806721</v>
      </c>
      <c r="R4716" s="5">
        <f t="shared" si="220"/>
        <v>15254</v>
      </c>
      <c r="S4716" s="5">
        <f t="shared" si="221"/>
        <v>18351.042016806721</v>
      </c>
    </row>
    <row r="4717" spans="1:19" hidden="1" x14ac:dyDescent="0.3">
      <c r="A4717">
        <v>190</v>
      </c>
      <c r="B4717" t="s">
        <v>5801</v>
      </c>
      <c r="C4717" t="s">
        <v>1037</v>
      </c>
      <c r="D4717" s="2" t="s">
        <v>1038</v>
      </c>
      <c r="E4717" t="s">
        <v>1039</v>
      </c>
      <c r="F4717" t="s">
        <v>377</v>
      </c>
      <c r="G4717" t="s">
        <v>21</v>
      </c>
      <c r="H4717" t="s">
        <v>378</v>
      </c>
      <c r="I4717" t="s">
        <v>23</v>
      </c>
      <c r="J4717" t="s">
        <v>379</v>
      </c>
      <c r="K4717" s="2" t="s">
        <v>422</v>
      </c>
      <c r="L4717" t="s">
        <v>26</v>
      </c>
      <c r="M4717">
        <v>326577</v>
      </c>
      <c r="N4717">
        <v>1</v>
      </c>
      <c r="O4717" s="3">
        <v>5950</v>
      </c>
      <c r="P4717" s="3">
        <v>3257</v>
      </c>
      <c r="Q4717" s="5">
        <f t="shared" si="219"/>
        <v>5000</v>
      </c>
      <c r="R4717" s="5">
        <f t="shared" si="220"/>
        <v>3257</v>
      </c>
      <c r="S4717" s="5">
        <f t="shared" si="221"/>
        <v>1743</v>
      </c>
    </row>
    <row r="4718" spans="1:19" hidden="1" x14ac:dyDescent="0.3">
      <c r="A4718">
        <v>190</v>
      </c>
      <c r="B4718" t="s">
        <v>5801</v>
      </c>
      <c r="C4718" t="s">
        <v>4500</v>
      </c>
      <c r="D4718" s="2" t="s">
        <v>4501</v>
      </c>
      <c r="E4718" t="s">
        <v>467</v>
      </c>
      <c r="F4718" t="s">
        <v>20</v>
      </c>
      <c r="G4718" t="s">
        <v>21</v>
      </c>
      <c r="H4718" t="s">
        <v>171</v>
      </c>
      <c r="I4718" t="s">
        <v>23</v>
      </c>
      <c r="J4718" t="s">
        <v>40</v>
      </c>
      <c r="K4718" s="2" t="s">
        <v>422</v>
      </c>
      <c r="L4718" t="s">
        <v>26</v>
      </c>
      <c r="M4718">
        <v>326578</v>
      </c>
      <c r="N4718">
        <v>1</v>
      </c>
      <c r="O4718" s="3">
        <v>59990</v>
      </c>
      <c r="P4718" s="3">
        <v>29948</v>
      </c>
      <c r="Q4718" s="5">
        <f t="shared" si="219"/>
        <v>50411.764705882357</v>
      </c>
      <c r="R4718" s="5">
        <f t="shared" si="220"/>
        <v>29948</v>
      </c>
      <c r="S4718" s="5">
        <f t="shared" si="221"/>
        <v>20463.764705882357</v>
      </c>
    </row>
    <row r="4719" spans="1:19" hidden="1" x14ac:dyDescent="0.3">
      <c r="A4719">
        <v>190</v>
      </c>
      <c r="B4719" t="s">
        <v>5801</v>
      </c>
      <c r="C4719" t="s">
        <v>5852</v>
      </c>
      <c r="D4719" s="2" t="s">
        <v>5853</v>
      </c>
      <c r="E4719" t="s">
        <v>1794</v>
      </c>
      <c r="F4719" t="s">
        <v>20</v>
      </c>
      <c r="G4719" t="s">
        <v>21</v>
      </c>
      <c r="H4719" t="s">
        <v>966</v>
      </c>
      <c r="I4719" t="s">
        <v>23</v>
      </c>
      <c r="J4719" t="s">
        <v>40</v>
      </c>
      <c r="K4719" s="2" t="s">
        <v>422</v>
      </c>
      <c r="L4719" t="s">
        <v>26</v>
      </c>
      <c r="M4719">
        <v>326579</v>
      </c>
      <c r="N4719">
        <v>1</v>
      </c>
      <c r="O4719" s="3">
        <v>44990</v>
      </c>
      <c r="P4719" s="3">
        <v>27770</v>
      </c>
      <c r="Q4719" s="5">
        <f t="shared" si="219"/>
        <v>37806.722689075636</v>
      </c>
      <c r="R4719" s="5">
        <f t="shared" si="220"/>
        <v>27770</v>
      </c>
      <c r="S4719" s="5">
        <f t="shared" si="221"/>
        <v>10036.722689075636</v>
      </c>
    </row>
    <row r="4720" spans="1:19" hidden="1" x14ac:dyDescent="0.3">
      <c r="A4720">
        <v>190</v>
      </c>
      <c r="B4720" t="s">
        <v>5801</v>
      </c>
      <c r="C4720">
        <v>1687976791</v>
      </c>
      <c r="D4720" s="2" t="s">
        <v>200</v>
      </c>
      <c r="E4720" t="s">
        <v>201</v>
      </c>
      <c r="F4720" t="s">
        <v>201</v>
      </c>
      <c r="G4720" t="s">
        <v>202</v>
      </c>
      <c r="H4720" t="s">
        <v>202</v>
      </c>
      <c r="I4720" t="s">
        <v>23</v>
      </c>
      <c r="J4720" t="s">
        <v>202</v>
      </c>
      <c r="K4720" s="2" t="s">
        <v>422</v>
      </c>
      <c r="L4720" t="s">
        <v>26</v>
      </c>
      <c r="M4720">
        <v>326579</v>
      </c>
      <c r="N4720">
        <v>1</v>
      </c>
      <c r="O4720" s="3">
        <v>2000</v>
      </c>
      <c r="P4720">
        <v>1</v>
      </c>
      <c r="Q4720" s="5">
        <f t="shared" si="219"/>
        <v>1680.6722689075632</v>
      </c>
      <c r="R4720" s="5">
        <f t="shared" si="220"/>
        <v>1</v>
      </c>
      <c r="S4720" s="5">
        <f t="shared" si="221"/>
        <v>1679.6722689075632</v>
      </c>
    </row>
    <row r="4721" spans="1:19" hidden="1" x14ac:dyDescent="0.3">
      <c r="A4721">
        <v>190</v>
      </c>
      <c r="B4721" t="s">
        <v>5801</v>
      </c>
      <c r="C4721" t="s">
        <v>3634</v>
      </c>
      <c r="D4721" s="2" t="s">
        <v>3635</v>
      </c>
      <c r="E4721" t="s">
        <v>2661</v>
      </c>
      <c r="F4721" t="s">
        <v>20</v>
      </c>
      <c r="G4721" t="s">
        <v>21</v>
      </c>
      <c r="H4721" t="s">
        <v>317</v>
      </c>
      <c r="I4721" t="s">
        <v>23</v>
      </c>
      <c r="J4721" t="s">
        <v>35</v>
      </c>
      <c r="K4721" s="2" t="s">
        <v>422</v>
      </c>
      <c r="L4721" t="s">
        <v>26</v>
      </c>
      <c r="M4721">
        <v>326580</v>
      </c>
      <c r="N4721">
        <v>1</v>
      </c>
      <c r="O4721" s="3">
        <v>69950</v>
      </c>
      <c r="P4721" s="3">
        <v>25992</v>
      </c>
      <c r="Q4721" s="5">
        <f t="shared" si="219"/>
        <v>58781.512605042022</v>
      </c>
      <c r="R4721" s="5">
        <f t="shared" si="220"/>
        <v>25992</v>
      </c>
      <c r="S4721" s="5">
        <f t="shared" si="221"/>
        <v>32789.512605042022</v>
      </c>
    </row>
    <row r="4722" spans="1:19" hidden="1" x14ac:dyDescent="0.3">
      <c r="A4722">
        <v>190</v>
      </c>
      <c r="B4722" t="s">
        <v>5801</v>
      </c>
      <c r="C4722" t="s">
        <v>3883</v>
      </c>
      <c r="D4722" s="2" t="s">
        <v>3884</v>
      </c>
      <c r="E4722" t="s">
        <v>3277</v>
      </c>
      <c r="F4722" t="s">
        <v>20</v>
      </c>
      <c r="G4722" t="s">
        <v>21</v>
      </c>
      <c r="H4722" t="s">
        <v>57</v>
      </c>
      <c r="I4722" t="s">
        <v>23</v>
      </c>
      <c r="J4722" t="s">
        <v>35</v>
      </c>
      <c r="K4722" s="2" t="s">
        <v>422</v>
      </c>
      <c r="L4722" t="s">
        <v>26</v>
      </c>
      <c r="M4722">
        <v>326580</v>
      </c>
      <c r="N4722">
        <v>1</v>
      </c>
      <c r="O4722" s="3">
        <v>89950</v>
      </c>
      <c r="P4722" s="3">
        <v>30749</v>
      </c>
      <c r="Q4722" s="5">
        <f t="shared" si="219"/>
        <v>75588.23529411765</v>
      </c>
      <c r="R4722" s="5">
        <f t="shared" si="220"/>
        <v>30749</v>
      </c>
      <c r="S4722" s="5">
        <f t="shared" si="221"/>
        <v>44839.23529411765</v>
      </c>
    </row>
    <row r="4723" spans="1:19" hidden="1" x14ac:dyDescent="0.3">
      <c r="A4723">
        <v>190</v>
      </c>
      <c r="B4723" t="s">
        <v>5801</v>
      </c>
      <c r="C4723" t="s">
        <v>5828</v>
      </c>
      <c r="D4723" s="2" t="s">
        <v>5829</v>
      </c>
      <c r="E4723" t="s">
        <v>3633</v>
      </c>
      <c r="F4723" t="s">
        <v>20</v>
      </c>
      <c r="G4723" t="s">
        <v>21</v>
      </c>
      <c r="H4723" t="s">
        <v>1689</v>
      </c>
      <c r="I4723" t="s">
        <v>23</v>
      </c>
      <c r="J4723" t="s">
        <v>49</v>
      </c>
      <c r="K4723" s="2" t="s">
        <v>422</v>
      </c>
      <c r="L4723" t="s">
        <v>26</v>
      </c>
      <c r="M4723">
        <v>326581</v>
      </c>
      <c r="N4723">
        <v>-1</v>
      </c>
      <c r="O4723" s="3">
        <v>-84950</v>
      </c>
      <c r="P4723" s="3">
        <v>39837</v>
      </c>
      <c r="Q4723" s="5">
        <f t="shared" si="219"/>
        <v>-71386.554621848743</v>
      </c>
      <c r="R4723" s="5">
        <f t="shared" si="220"/>
        <v>-39837</v>
      </c>
      <c r="S4723" s="5">
        <f t="shared" si="221"/>
        <v>-31549.554621848743</v>
      </c>
    </row>
    <row r="4724" spans="1:19" hidden="1" x14ac:dyDescent="0.3">
      <c r="A4724">
        <v>190</v>
      </c>
      <c r="B4724" t="s">
        <v>5801</v>
      </c>
      <c r="C4724" t="s">
        <v>3631</v>
      </c>
      <c r="D4724" s="2" t="s">
        <v>3632</v>
      </c>
      <c r="E4724" t="s">
        <v>3633</v>
      </c>
      <c r="F4724" t="s">
        <v>20</v>
      </c>
      <c r="G4724" t="s">
        <v>21</v>
      </c>
      <c r="H4724" t="s">
        <v>1689</v>
      </c>
      <c r="I4724" t="s">
        <v>23</v>
      </c>
      <c r="J4724" t="s">
        <v>49</v>
      </c>
      <c r="K4724" s="2" t="s">
        <v>422</v>
      </c>
      <c r="L4724" t="s">
        <v>26</v>
      </c>
      <c r="M4724">
        <v>326581</v>
      </c>
      <c r="N4724">
        <v>1</v>
      </c>
      <c r="O4724" s="3">
        <v>84951</v>
      </c>
      <c r="P4724" s="3">
        <v>39837</v>
      </c>
      <c r="Q4724" s="5">
        <f t="shared" si="219"/>
        <v>71387.394957983197</v>
      </c>
      <c r="R4724" s="5">
        <f t="shared" si="220"/>
        <v>39837</v>
      </c>
      <c r="S4724" s="5">
        <f t="shared" si="221"/>
        <v>31550.394957983197</v>
      </c>
    </row>
    <row r="4725" spans="1:19" hidden="1" x14ac:dyDescent="0.3">
      <c r="A4725">
        <v>190</v>
      </c>
      <c r="B4725" t="s">
        <v>5801</v>
      </c>
      <c r="C4725" t="s">
        <v>3543</v>
      </c>
      <c r="D4725" s="2" t="s">
        <v>3544</v>
      </c>
      <c r="E4725" t="s">
        <v>3183</v>
      </c>
      <c r="F4725" t="s">
        <v>20</v>
      </c>
      <c r="G4725" t="s">
        <v>21</v>
      </c>
      <c r="H4725" t="s">
        <v>614</v>
      </c>
      <c r="I4725" t="s">
        <v>23</v>
      </c>
      <c r="J4725" t="s">
        <v>40</v>
      </c>
      <c r="K4725" s="2" t="s">
        <v>422</v>
      </c>
      <c r="L4725" t="s">
        <v>26</v>
      </c>
      <c r="M4725">
        <v>326582</v>
      </c>
      <c r="N4725">
        <v>1</v>
      </c>
      <c r="O4725" s="3">
        <v>39990</v>
      </c>
      <c r="P4725" s="3">
        <v>17378</v>
      </c>
      <c r="Q4725" s="5">
        <f t="shared" si="219"/>
        <v>33605.042016806721</v>
      </c>
      <c r="R4725" s="5">
        <f t="shared" si="220"/>
        <v>17378</v>
      </c>
      <c r="S4725" s="5">
        <f t="shared" si="221"/>
        <v>16227.042016806721</v>
      </c>
    </row>
    <row r="4726" spans="1:19" hidden="1" x14ac:dyDescent="0.3">
      <c r="A4726">
        <v>190</v>
      </c>
      <c r="B4726" t="s">
        <v>5801</v>
      </c>
      <c r="C4726" t="s">
        <v>5854</v>
      </c>
      <c r="D4726" s="2" t="s">
        <v>5855</v>
      </c>
      <c r="E4726" t="s">
        <v>1736</v>
      </c>
      <c r="F4726" t="s">
        <v>20</v>
      </c>
      <c r="G4726" t="s">
        <v>21</v>
      </c>
      <c r="H4726" t="s">
        <v>783</v>
      </c>
      <c r="I4726" t="s">
        <v>23</v>
      </c>
      <c r="J4726" t="s">
        <v>40</v>
      </c>
      <c r="K4726" s="2" t="s">
        <v>422</v>
      </c>
      <c r="L4726" t="s">
        <v>26</v>
      </c>
      <c r="M4726">
        <v>326583</v>
      </c>
      <c r="N4726">
        <v>1</v>
      </c>
      <c r="O4726" s="3">
        <v>34990</v>
      </c>
      <c r="P4726" s="3">
        <v>17194</v>
      </c>
      <c r="Q4726" s="5">
        <f t="shared" si="219"/>
        <v>29403.361344537818</v>
      </c>
      <c r="R4726" s="5">
        <f t="shared" si="220"/>
        <v>17194</v>
      </c>
      <c r="S4726" s="5">
        <f t="shared" si="221"/>
        <v>12209.361344537818</v>
      </c>
    </row>
    <row r="4727" spans="1:19" hidden="1" x14ac:dyDescent="0.3">
      <c r="A4727">
        <v>190</v>
      </c>
      <c r="B4727" t="s">
        <v>5801</v>
      </c>
      <c r="C4727" t="s">
        <v>891</v>
      </c>
      <c r="D4727" s="2" t="s">
        <v>892</v>
      </c>
      <c r="E4727" t="s">
        <v>893</v>
      </c>
      <c r="F4727" t="s">
        <v>20</v>
      </c>
      <c r="G4727" t="s">
        <v>21</v>
      </c>
      <c r="H4727" t="s">
        <v>454</v>
      </c>
      <c r="I4727" t="s">
        <v>23</v>
      </c>
      <c r="J4727" t="s">
        <v>407</v>
      </c>
      <c r="K4727" s="2" t="s">
        <v>422</v>
      </c>
      <c r="L4727" t="s">
        <v>26</v>
      </c>
      <c r="M4727">
        <v>326584</v>
      </c>
      <c r="N4727">
        <v>1</v>
      </c>
      <c r="O4727" s="3">
        <v>39990</v>
      </c>
      <c r="P4727" s="3">
        <v>19061</v>
      </c>
      <c r="Q4727" s="5">
        <f t="shared" si="219"/>
        <v>33605.042016806721</v>
      </c>
      <c r="R4727" s="5">
        <f t="shared" si="220"/>
        <v>19061</v>
      </c>
      <c r="S4727" s="5">
        <f t="shared" si="221"/>
        <v>14544.042016806721</v>
      </c>
    </row>
    <row r="4728" spans="1:19" hidden="1" x14ac:dyDescent="0.3">
      <c r="A4728">
        <v>190</v>
      </c>
      <c r="B4728" t="s">
        <v>5801</v>
      </c>
      <c r="C4728" t="s">
        <v>3230</v>
      </c>
      <c r="D4728" s="2" t="s">
        <v>3231</v>
      </c>
      <c r="E4728" t="s">
        <v>3183</v>
      </c>
      <c r="F4728" t="s">
        <v>20</v>
      </c>
      <c r="G4728" t="s">
        <v>21</v>
      </c>
      <c r="H4728" t="s">
        <v>614</v>
      </c>
      <c r="I4728" t="s">
        <v>23</v>
      </c>
      <c r="J4728" t="s">
        <v>40</v>
      </c>
      <c r="K4728" s="2" t="s">
        <v>422</v>
      </c>
      <c r="L4728" t="s">
        <v>26</v>
      </c>
      <c r="M4728">
        <v>326585</v>
      </c>
      <c r="N4728">
        <v>1</v>
      </c>
      <c r="O4728" s="3">
        <v>39990</v>
      </c>
      <c r="P4728" s="3">
        <v>17378</v>
      </c>
      <c r="Q4728" s="5">
        <f t="shared" si="219"/>
        <v>33605.042016806721</v>
      </c>
      <c r="R4728" s="5">
        <f t="shared" si="220"/>
        <v>17378</v>
      </c>
      <c r="S4728" s="5">
        <f t="shared" si="221"/>
        <v>16227.042016806721</v>
      </c>
    </row>
    <row r="4729" spans="1:19" hidden="1" x14ac:dyDescent="0.3">
      <c r="A4729">
        <v>190</v>
      </c>
      <c r="B4729" t="s">
        <v>5801</v>
      </c>
      <c r="C4729" t="s">
        <v>2900</v>
      </c>
      <c r="D4729" s="2" t="s">
        <v>2901</v>
      </c>
      <c r="E4729" t="s">
        <v>2902</v>
      </c>
      <c r="F4729" t="s">
        <v>20</v>
      </c>
      <c r="G4729" t="s">
        <v>21</v>
      </c>
      <c r="H4729" t="s">
        <v>267</v>
      </c>
      <c r="I4729" t="s">
        <v>23</v>
      </c>
      <c r="J4729" t="s">
        <v>49</v>
      </c>
      <c r="K4729" s="2" t="s">
        <v>422</v>
      </c>
      <c r="L4729" t="s">
        <v>26</v>
      </c>
      <c r="M4729">
        <v>326585</v>
      </c>
      <c r="N4729">
        <v>1</v>
      </c>
      <c r="O4729" s="3">
        <v>55200</v>
      </c>
      <c r="P4729" s="3">
        <v>24504</v>
      </c>
      <c r="Q4729" s="5">
        <f t="shared" si="219"/>
        <v>46386.554621848743</v>
      </c>
      <c r="R4729" s="5">
        <f t="shared" si="220"/>
        <v>24504</v>
      </c>
      <c r="S4729" s="5">
        <f t="shared" si="221"/>
        <v>21882.554621848743</v>
      </c>
    </row>
    <row r="4730" spans="1:19" hidden="1" x14ac:dyDescent="0.3">
      <c r="A4730">
        <v>190</v>
      </c>
      <c r="B4730" t="s">
        <v>5801</v>
      </c>
      <c r="C4730" t="s">
        <v>2525</v>
      </c>
      <c r="D4730" s="2" t="s">
        <v>2526</v>
      </c>
      <c r="E4730" t="s">
        <v>2527</v>
      </c>
      <c r="F4730" t="s">
        <v>377</v>
      </c>
      <c r="G4730" t="s">
        <v>21</v>
      </c>
      <c r="H4730" t="s">
        <v>378</v>
      </c>
      <c r="I4730" t="s">
        <v>23</v>
      </c>
      <c r="J4730" t="s">
        <v>2459</v>
      </c>
      <c r="K4730" s="2" t="s">
        <v>422</v>
      </c>
      <c r="L4730" t="s">
        <v>26</v>
      </c>
      <c r="M4730">
        <v>326585</v>
      </c>
      <c r="N4730">
        <v>1</v>
      </c>
      <c r="O4730" s="3">
        <v>6950</v>
      </c>
      <c r="P4730" s="3">
        <v>2964</v>
      </c>
      <c r="Q4730" s="5">
        <f t="shared" si="219"/>
        <v>5840.3361344537816</v>
      </c>
      <c r="R4730" s="5">
        <f t="shared" si="220"/>
        <v>2964</v>
      </c>
      <c r="S4730" s="5">
        <f t="shared" si="221"/>
        <v>2876.3361344537816</v>
      </c>
    </row>
    <row r="4731" spans="1:19" hidden="1" x14ac:dyDescent="0.3">
      <c r="A4731">
        <v>190</v>
      </c>
      <c r="B4731" t="s">
        <v>5801</v>
      </c>
      <c r="C4731" t="s">
        <v>4530</v>
      </c>
      <c r="D4731" s="2" t="s">
        <v>4531</v>
      </c>
      <c r="E4731" t="s">
        <v>467</v>
      </c>
      <c r="F4731" t="s">
        <v>20</v>
      </c>
      <c r="G4731" t="s">
        <v>21</v>
      </c>
      <c r="H4731" t="s">
        <v>171</v>
      </c>
      <c r="I4731" t="s">
        <v>23</v>
      </c>
      <c r="J4731" t="s">
        <v>40</v>
      </c>
      <c r="K4731" s="2" t="s">
        <v>814</v>
      </c>
      <c r="L4731" t="s">
        <v>26</v>
      </c>
      <c r="M4731">
        <v>326586</v>
      </c>
      <c r="N4731">
        <v>1</v>
      </c>
      <c r="O4731" s="3">
        <v>59990</v>
      </c>
      <c r="P4731" s="3">
        <v>29948</v>
      </c>
      <c r="Q4731" s="5">
        <f t="shared" si="219"/>
        <v>50411.764705882357</v>
      </c>
      <c r="R4731" s="5">
        <f t="shared" si="220"/>
        <v>29948</v>
      </c>
      <c r="S4731" s="5">
        <f t="shared" si="221"/>
        <v>20463.764705882357</v>
      </c>
    </row>
    <row r="4732" spans="1:19" hidden="1" x14ac:dyDescent="0.3">
      <c r="A4732">
        <v>190</v>
      </c>
      <c r="B4732" t="s">
        <v>5801</v>
      </c>
      <c r="C4732" t="s">
        <v>1363</v>
      </c>
      <c r="D4732" s="2" t="s">
        <v>1364</v>
      </c>
      <c r="E4732" t="s">
        <v>553</v>
      </c>
      <c r="F4732" t="s">
        <v>20</v>
      </c>
      <c r="G4732" t="s">
        <v>21</v>
      </c>
      <c r="H4732" t="s">
        <v>353</v>
      </c>
      <c r="I4732" t="s">
        <v>23</v>
      </c>
      <c r="J4732" t="s">
        <v>95</v>
      </c>
      <c r="K4732" s="2" t="s">
        <v>814</v>
      </c>
      <c r="L4732" t="s">
        <v>26</v>
      </c>
      <c r="M4732">
        <v>326587</v>
      </c>
      <c r="N4732">
        <v>1</v>
      </c>
      <c r="O4732" s="3">
        <v>44990</v>
      </c>
      <c r="P4732" s="3">
        <v>31000</v>
      </c>
      <c r="Q4732" s="5">
        <f t="shared" si="219"/>
        <v>37806.722689075636</v>
      </c>
      <c r="R4732" s="5">
        <f t="shared" si="220"/>
        <v>31000</v>
      </c>
      <c r="S4732" s="5">
        <f t="shared" si="221"/>
        <v>6806.7226890756356</v>
      </c>
    </row>
    <row r="4733" spans="1:19" hidden="1" x14ac:dyDescent="0.3">
      <c r="A4733">
        <v>190</v>
      </c>
      <c r="B4733" t="s">
        <v>5801</v>
      </c>
      <c r="C4733" t="s">
        <v>1432</v>
      </c>
      <c r="D4733" s="2" t="s">
        <v>1433</v>
      </c>
      <c r="E4733" t="s">
        <v>890</v>
      </c>
      <c r="F4733" t="s">
        <v>20</v>
      </c>
      <c r="G4733" t="s">
        <v>21</v>
      </c>
      <c r="H4733" t="s">
        <v>454</v>
      </c>
      <c r="I4733" t="s">
        <v>23</v>
      </c>
      <c r="J4733" t="s">
        <v>407</v>
      </c>
      <c r="K4733" s="2" t="s">
        <v>814</v>
      </c>
      <c r="L4733" t="s">
        <v>26</v>
      </c>
      <c r="M4733">
        <v>326587</v>
      </c>
      <c r="N4733">
        <v>1</v>
      </c>
      <c r="O4733" s="3">
        <v>39990</v>
      </c>
      <c r="P4733" s="3">
        <v>19030</v>
      </c>
      <c r="Q4733" s="5">
        <f t="shared" si="219"/>
        <v>33605.042016806721</v>
      </c>
      <c r="R4733" s="5">
        <f t="shared" si="220"/>
        <v>19030</v>
      </c>
      <c r="S4733" s="5">
        <f t="shared" si="221"/>
        <v>14575.042016806721</v>
      </c>
    </row>
    <row r="4734" spans="1:19" hidden="1" x14ac:dyDescent="0.3">
      <c r="A4734">
        <v>190</v>
      </c>
      <c r="B4734" t="s">
        <v>5801</v>
      </c>
      <c r="C4734" t="s">
        <v>2664</v>
      </c>
      <c r="D4734" s="2" t="s">
        <v>2665</v>
      </c>
      <c r="E4734" t="s">
        <v>2666</v>
      </c>
      <c r="F4734" t="s">
        <v>20</v>
      </c>
      <c r="G4734" t="s">
        <v>21</v>
      </c>
      <c r="H4734" t="s">
        <v>65</v>
      </c>
      <c r="I4734" t="s">
        <v>23</v>
      </c>
      <c r="J4734" t="s">
        <v>49</v>
      </c>
      <c r="K4734" s="2" t="s">
        <v>814</v>
      </c>
      <c r="L4734" t="s">
        <v>26</v>
      </c>
      <c r="M4734">
        <v>326588</v>
      </c>
      <c r="N4734">
        <v>1</v>
      </c>
      <c r="O4734" s="3">
        <v>55200</v>
      </c>
      <c r="P4734" s="3">
        <v>22802</v>
      </c>
      <c r="Q4734" s="5">
        <f t="shared" si="219"/>
        <v>46386.554621848743</v>
      </c>
      <c r="R4734" s="5">
        <f t="shared" si="220"/>
        <v>22802</v>
      </c>
      <c r="S4734" s="5">
        <f t="shared" si="221"/>
        <v>23584.554621848743</v>
      </c>
    </row>
    <row r="4735" spans="1:19" hidden="1" x14ac:dyDescent="0.3">
      <c r="A4735">
        <v>190</v>
      </c>
      <c r="B4735" t="s">
        <v>5801</v>
      </c>
      <c r="C4735" t="s">
        <v>4473</v>
      </c>
      <c r="D4735" s="2" t="s">
        <v>4474</v>
      </c>
      <c r="E4735" t="s">
        <v>4475</v>
      </c>
      <c r="F4735" t="s">
        <v>20</v>
      </c>
      <c r="G4735" t="s">
        <v>21</v>
      </c>
      <c r="H4735" t="s">
        <v>44</v>
      </c>
      <c r="I4735" t="s">
        <v>23</v>
      </c>
      <c r="J4735" t="s">
        <v>40</v>
      </c>
      <c r="K4735" s="2" t="s">
        <v>814</v>
      </c>
      <c r="L4735" t="s">
        <v>26</v>
      </c>
      <c r="M4735">
        <v>326588</v>
      </c>
      <c r="N4735">
        <v>1</v>
      </c>
      <c r="O4735" s="3">
        <v>39990</v>
      </c>
      <c r="P4735" s="3">
        <v>12172</v>
      </c>
      <c r="Q4735" s="5">
        <f t="shared" si="219"/>
        <v>33605.042016806721</v>
      </c>
      <c r="R4735" s="5">
        <f t="shared" si="220"/>
        <v>12172</v>
      </c>
      <c r="S4735" s="5">
        <f t="shared" si="221"/>
        <v>21433.042016806721</v>
      </c>
    </row>
    <row r="4736" spans="1:19" hidden="1" x14ac:dyDescent="0.3">
      <c r="A4736">
        <v>190</v>
      </c>
      <c r="B4736" t="s">
        <v>5801</v>
      </c>
      <c r="C4736" t="s">
        <v>4392</v>
      </c>
      <c r="D4736" s="2" t="s">
        <v>4393</v>
      </c>
      <c r="E4736" t="s">
        <v>1491</v>
      </c>
      <c r="F4736" t="s">
        <v>20</v>
      </c>
      <c r="G4736" t="s">
        <v>21</v>
      </c>
      <c r="H4736" t="s">
        <v>610</v>
      </c>
      <c r="I4736" t="s">
        <v>23</v>
      </c>
      <c r="J4736" t="s">
        <v>40</v>
      </c>
      <c r="K4736" s="2" t="s">
        <v>814</v>
      </c>
      <c r="L4736" t="s">
        <v>26</v>
      </c>
      <c r="M4736">
        <v>326589</v>
      </c>
      <c r="N4736">
        <v>1</v>
      </c>
      <c r="O4736" s="3">
        <v>34990</v>
      </c>
      <c r="P4736" s="3">
        <v>14680</v>
      </c>
      <c r="Q4736" s="5">
        <f t="shared" si="219"/>
        <v>29403.361344537818</v>
      </c>
      <c r="R4736" s="5">
        <f t="shared" si="220"/>
        <v>14680</v>
      </c>
      <c r="S4736" s="5">
        <f t="shared" si="221"/>
        <v>14723.361344537818</v>
      </c>
    </row>
    <row r="4737" spans="1:19" hidden="1" x14ac:dyDescent="0.3">
      <c r="A4737">
        <v>190</v>
      </c>
      <c r="B4737" t="s">
        <v>5801</v>
      </c>
      <c r="C4737" t="s">
        <v>4480</v>
      </c>
      <c r="D4737" s="2" t="s">
        <v>4481</v>
      </c>
      <c r="E4737" t="s">
        <v>617</v>
      </c>
      <c r="F4737" t="s">
        <v>20</v>
      </c>
      <c r="G4737" t="s">
        <v>21</v>
      </c>
      <c r="H4737" t="s">
        <v>618</v>
      </c>
      <c r="I4737" t="s">
        <v>23</v>
      </c>
      <c r="J4737" t="s">
        <v>40</v>
      </c>
      <c r="K4737" s="2" t="s">
        <v>814</v>
      </c>
      <c r="L4737" t="s">
        <v>26</v>
      </c>
      <c r="M4737">
        <v>326590</v>
      </c>
      <c r="N4737">
        <v>1</v>
      </c>
      <c r="O4737" s="3">
        <v>34991</v>
      </c>
      <c r="P4737" s="3">
        <v>16817</v>
      </c>
      <c r="Q4737" s="5">
        <f t="shared" si="219"/>
        <v>29404.201680672271</v>
      </c>
      <c r="R4737" s="5">
        <f t="shared" si="220"/>
        <v>16817</v>
      </c>
      <c r="S4737" s="5">
        <f t="shared" si="221"/>
        <v>12587.201680672271</v>
      </c>
    </row>
    <row r="4738" spans="1:19" hidden="1" x14ac:dyDescent="0.3">
      <c r="A4738">
        <v>190</v>
      </c>
      <c r="B4738" t="s">
        <v>5801</v>
      </c>
      <c r="C4738" t="s">
        <v>5573</v>
      </c>
      <c r="D4738" s="2" t="s">
        <v>5574</v>
      </c>
      <c r="E4738" t="s">
        <v>5575</v>
      </c>
      <c r="F4738" t="s">
        <v>20</v>
      </c>
      <c r="G4738" t="s">
        <v>21</v>
      </c>
      <c r="H4738" t="s">
        <v>618</v>
      </c>
      <c r="I4738" t="s">
        <v>23</v>
      </c>
      <c r="J4738" t="s">
        <v>40</v>
      </c>
      <c r="K4738" s="2" t="s">
        <v>814</v>
      </c>
      <c r="L4738" t="s">
        <v>26</v>
      </c>
      <c r="M4738">
        <v>326590</v>
      </c>
      <c r="N4738">
        <v>-1</v>
      </c>
      <c r="O4738" s="3">
        <v>-34990</v>
      </c>
      <c r="P4738" s="3">
        <v>16817</v>
      </c>
      <c r="Q4738" s="5">
        <f t="shared" si="219"/>
        <v>-29403.361344537818</v>
      </c>
      <c r="R4738" s="5">
        <f t="shared" si="220"/>
        <v>-16817</v>
      </c>
      <c r="S4738" s="5">
        <f t="shared" si="221"/>
        <v>-12586.361344537818</v>
      </c>
    </row>
    <row r="4739" spans="1:19" hidden="1" x14ac:dyDescent="0.3">
      <c r="A4739">
        <v>190</v>
      </c>
      <c r="B4739" t="s">
        <v>5801</v>
      </c>
      <c r="C4739" t="s">
        <v>2345</v>
      </c>
      <c r="D4739" s="2" t="s">
        <v>2346</v>
      </c>
      <c r="E4739" t="s">
        <v>2272</v>
      </c>
      <c r="F4739" t="s">
        <v>20</v>
      </c>
      <c r="G4739" t="s">
        <v>21</v>
      </c>
      <c r="H4739" t="s">
        <v>835</v>
      </c>
      <c r="I4739" t="s">
        <v>23</v>
      </c>
      <c r="J4739" t="s">
        <v>40</v>
      </c>
      <c r="K4739" s="2" t="s">
        <v>814</v>
      </c>
      <c r="L4739" t="s">
        <v>26</v>
      </c>
      <c r="M4739">
        <v>326591</v>
      </c>
      <c r="N4739">
        <v>-1</v>
      </c>
      <c r="O4739" s="3">
        <v>-39990</v>
      </c>
      <c r="P4739" s="3">
        <v>25686</v>
      </c>
      <c r="Q4739" s="5">
        <f t="shared" si="219"/>
        <v>-33605.042016806721</v>
      </c>
      <c r="R4739" s="5">
        <f t="shared" si="220"/>
        <v>-25686</v>
      </c>
      <c r="S4739" s="5">
        <f t="shared" si="221"/>
        <v>-7919.0420168067212</v>
      </c>
    </row>
    <row r="4740" spans="1:19" hidden="1" x14ac:dyDescent="0.3">
      <c r="A4740">
        <v>190</v>
      </c>
      <c r="B4740" t="s">
        <v>5801</v>
      </c>
      <c r="C4740" t="s">
        <v>5856</v>
      </c>
      <c r="D4740" s="2" t="s">
        <v>5857</v>
      </c>
      <c r="E4740" t="s">
        <v>4895</v>
      </c>
      <c r="F4740" t="s">
        <v>20</v>
      </c>
      <c r="G4740" t="s">
        <v>21</v>
      </c>
      <c r="H4740" t="s">
        <v>970</v>
      </c>
      <c r="I4740" t="s">
        <v>23</v>
      </c>
      <c r="J4740" t="s">
        <v>40</v>
      </c>
      <c r="K4740" s="2" t="s">
        <v>814</v>
      </c>
      <c r="L4740" t="s">
        <v>26</v>
      </c>
      <c r="M4740">
        <v>326591</v>
      </c>
      <c r="N4740">
        <v>1</v>
      </c>
      <c r="O4740" s="3">
        <v>34990</v>
      </c>
      <c r="P4740" s="3">
        <v>18897</v>
      </c>
      <c r="Q4740" s="5">
        <f t="shared" si="219"/>
        <v>29403.361344537818</v>
      </c>
      <c r="R4740" s="5">
        <f t="shared" si="220"/>
        <v>18897</v>
      </c>
      <c r="S4740" s="5">
        <f t="shared" si="221"/>
        <v>10506.361344537818</v>
      </c>
    </row>
    <row r="4741" spans="1:19" hidden="1" x14ac:dyDescent="0.3">
      <c r="A4741">
        <v>190</v>
      </c>
      <c r="B4741" t="s">
        <v>5801</v>
      </c>
      <c r="C4741" t="s">
        <v>5858</v>
      </c>
      <c r="D4741" s="2" t="s">
        <v>5859</v>
      </c>
      <c r="E4741" t="s">
        <v>5860</v>
      </c>
      <c r="F4741" t="s">
        <v>377</v>
      </c>
      <c r="G4741" t="s">
        <v>21</v>
      </c>
      <c r="H4741" t="s">
        <v>378</v>
      </c>
      <c r="I4741" t="s">
        <v>23</v>
      </c>
      <c r="J4741" t="s">
        <v>379</v>
      </c>
      <c r="K4741" s="2" t="s">
        <v>814</v>
      </c>
      <c r="L4741" t="s">
        <v>26</v>
      </c>
      <c r="M4741">
        <v>326591</v>
      </c>
      <c r="N4741">
        <v>1</v>
      </c>
      <c r="O4741" s="3">
        <v>5950</v>
      </c>
      <c r="P4741" s="3">
        <v>2846</v>
      </c>
      <c r="Q4741" s="5">
        <f t="shared" si="219"/>
        <v>5000</v>
      </c>
      <c r="R4741" s="5">
        <f t="shared" si="220"/>
        <v>2846</v>
      </c>
      <c r="S4741" s="5">
        <f t="shared" si="221"/>
        <v>2154</v>
      </c>
    </row>
    <row r="4742" spans="1:19" hidden="1" x14ac:dyDescent="0.3">
      <c r="A4742">
        <v>190</v>
      </c>
      <c r="B4742" t="s">
        <v>5801</v>
      </c>
      <c r="C4742" t="s">
        <v>988</v>
      </c>
      <c r="D4742" s="2" t="s">
        <v>989</v>
      </c>
      <c r="E4742" t="s">
        <v>990</v>
      </c>
      <c r="F4742" t="s">
        <v>20</v>
      </c>
      <c r="G4742" t="s">
        <v>21</v>
      </c>
      <c r="H4742" t="s">
        <v>991</v>
      </c>
      <c r="I4742" t="s">
        <v>23</v>
      </c>
      <c r="J4742" t="s">
        <v>49</v>
      </c>
      <c r="K4742" s="2" t="s">
        <v>814</v>
      </c>
      <c r="L4742" t="s">
        <v>26</v>
      </c>
      <c r="M4742">
        <v>326592</v>
      </c>
      <c r="N4742">
        <v>1</v>
      </c>
      <c r="O4742" s="3">
        <v>59450</v>
      </c>
      <c r="P4742" s="3">
        <v>22162</v>
      </c>
      <c r="Q4742" s="5">
        <f t="shared" ref="Q4742:Q4805" si="222">O4742/1.19</f>
        <v>49957.983193277316</v>
      </c>
      <c r="R4742" s="5">
        <f t="shared" ref="R4742:R4805" si="223">N4742*P4742</f>
        <v>22162</v>
      </c>
      <c r="S4742" s="5">
        <f t="shared" ref="S4742:S4805" si="224">Q4742-R4742</f>
        <v>27795.983193277316</v>
      </c>
    </row>
    <row r="4743" spans="1:19" hidden="1" x14ac:dyDescent="0.3">
      <c r="A4743">
        <v>190</v>
      </c>
      <c r="B4743" t="s">
        <v>5801</v>
      </c>
      <c r="C4743" t="s">
        <v>5861</v>
      </c>
      <c r="D4743" s="2" t="s">
        <v>5862</v>
      </c>
      <c r="E4743" t="s">
        <v>4830</v>
      </c>
      <c r="F4743" t="s">
        <v>20</v>
      </c>
      <c r="G4743" t="s">
        <v>338</v>
      </c>
      <c r="H4743">
        <v>24239</v>
      </c>
      <c r="I4743" t="s">
        <v>23</v>
      </c>
      <c r="J4743" t="s">
        <v>95</v>
      </c>
      <c r="K4743" s="2" t="s">
        <v>814</v>
      </c>
      <c r="L4743" t="s">
        <v>26</v>
      </c>
      <c r="M4743">
        <v>326592</v>
      </c>
      <c r="N4743">
        <v>1</v>
      </c>
      <c r="O4743" s="3">
        <v>59950</v>
      </c>
      <c r="P4743" s="3">
        <v>18677</v>
      </c>
      <c r="Q4743" s="5">
        <f t="shared" si="222"/>
        <v>50378.151260504201</v>
      </c>
      <c r="R4743" s="5">
        <f t="shared" si="223"/>
        <v>18677</v>
      </c>
      <c r="S4743" s="5">
        <f t="shared" si="224"/>
        <v>31701.151260504201</v>
      </c>
    </row>
    <row r="4744" spans="1:19" hidden="1" x14ac:dyDescent="0.3">
      <c r="A4744">
        <v>190</v>
      </c>
      <c r="B4744" t="s">
        <v>5801</v>
      </c>
      <c r="C4744" t="s">
        <v>3434</v>
      </c>
      <c r="D4744" s="2" t="s">
        <v>3435</v>
      </c>
      <c r="E4744" t="s">
        <v>2370</v>
      </c>
      <c r="F4744" t="s">
        <v>20</v>
      </c>
      <c r="G4744" t="s">
        <v>338</v>
      </c>
      <c r="H4744">
        <v>24200</v>
      </c>
      <c r="I4744" t="s">
        <v>23</v>
      </c>
      <c r="J4744" t="s">
        <v>95</v>
      </c>
      <c r="K4744" s="2" t="s">
        <v>814</v>
      </c>
      <c r="L4744" t="s">
        <v>26</v>
      </c>
      <c r="M4744">
        <v>326593</v>
      </c>
      <c r="N4744">
        <v>1</v>
      </c>
      <c r="O4744" s="3">
        <v>84950</v>
      </c>
      <c r="P4744" s="3">
        <v>28401</v>
      </c>
      <c r="Q4744" s="5">
        <f t="shared" si="222"/>
        <v>71386.554621848743</v>
      </c>
      <c r="R4744" s="5">
        <f t="shared" si="223"/>
        <v>28401</v>
      </c>
      <c r="S4744" s="5">
        <f t="shared" si="224"/>
        <v>42985.554621848743</v>
      </c>
    </row>
    <row r="4745" spans="1:19" hidden="1" x14ac:dyDescent="0.3">
      <c r="A4745">
        <v>190</v>
      </c>
      <c r="B4745" t="s">
        <v>5801</v>
      </c>
      <c r="C4745" t="s">
        <v>5439</v>
      </c>
      <c r="D4745" s="2" t="s">
        <v>5440</v>
      </c>
      <c r="E4745" t="s">
        <v>3086</v>
      </c>
      <c r="F4745" t="s">
        <v>20</v>
      </c>
      <c r="G4745" t="s">
        <v>21</v>
      </c>
      <c r="H4745" t="s">
        <v>1418</v>
      </c>
      <c r="I4745" t="s">
        <v>23</v>
      </c>
      <c r="J4745" t="s">
        <v>35</v>
      </c>
      <c r="K4745" s="2" t="s">
        <v>814</v>
      </c>
      <c r="L4745" t="s">
        <v>26</v>
      </c>
      <c r="M4745">
        <v>326594</v>
      </c>
      <c r="N4745">
        <v>1</v>
      </c>
      <c r="O4745" s="3">
        <v>89950</v>
      </c>
      <c r="P4745" s="3">
        <v>29189</v>
      </c>
      <c r="Q4745" s="5">
        <f t="shared" si="222"/>
        <v>75588.23529411765</v>
      </c>
      <c r="R4745" s="5">
        <f t="shared" si="223"/>
        <v>29189</v>
      </c>
      <c r="S4745" s="5">
        <f t="shared" si="224"/>
        <v>46399.23529411765</v>
      </c>
    </row>
    <row r="4746" spans="1:19" hidden="1" x14ac:dyDescent="0.3">
      <c r="A4746">
        <v>190</v>
      </c>
      <c r="B4746" t="s">
        <v>5801</v>
      </c>
      <c r="C4746" t="s">
        <v>5863</v>
      </c>
      <c r="D4746" s="2" t="s">
        <v>5864</v>
      </c>
      <c r="E4746" t="s">
        <v>3380</v>
      </c>
      <c r="F4746" t="s">
        <v>20</v>
      </c>
      <c r="G4746" t="s">
        <v>21</v>
      </c>
      <c r="H4746" t="s">
        <v>1703</v>
      </c>
      <c r="I4746" t="s">
        <v>23</v>
      </c>
      <c r="J4746" t="s">
        <v>49</v>
      </c>
      <c r="K4746" s="2" t="s">
        <v>814</v>
      </c>
      <c r="L4746" t="s">
        <v>26</v>
      </c>
      <c r="M4746">
        <v>326595</v>
      </c>
      <c r="N4746">
        <v>1</v>
      </c>
      <c r="O4746" s="3">
        <v>69950</v>
      </c>
      <c r="P4746" s="3">
        <v>22287</v>
      </c>
      <c r="Q4746" s="5">
        <f t="shared" si="222"/>
        <v>58781.512605042022</v>
      </c>
      <c r="R4746" s="5">
        <f t="shared" si="223"/>
        <v>22287</v>
      </c>
      <c r="S4746" s="5">
        <f t="shared" si="224"/>
        <v>36494.512605042022</v>
      </c>
    </row>
    <row r="4747" spans="1:19" hidden="1" x14ac:dyDescent="0.3">
      <c r="A4747">
        <v>190</v>
      </c>
      <c r="B4747" t="s">
        <v>5801</v>
      </c>
      <c r="C4747" t="s">
        <v>4312</v>
      </c>
      <c r="D4747" s="2" t="s">
        <v>4313</v>
      </c>
      <c r="E4747" t="s">
        <v>2373</v>
      </c>
      <c r="F4747" t="s">
        <v>20</v>
      </c>
      <c r="G4747" t="s">
        <v>338</v>
      </c>
      <c r="H4747">
        <v>24239</v>
      </c>
      <c r="I4747" t="s">
        <v>23</v>
      </c>
      <c r="J4747" t="s">
        <v>95</v>
      </c>
      <c r="K4747" s="2" t="s">
        <v>814</v>
      </c>
      <c r="L4747" t="s">
        <v>26</v>
      </c>
      <c r="M4747">
        <v>326595</v>
      </c>
      <c r="N4747">
        <v>1</v>
      </c>
      <c r="O4747" s="3">
        <v>50950</v>
      </c>
      <c r="P4747" s="3">
        <v>18677</v>
      </c>
      <c r="Q4747" s="5">
        <f t="shared" si="222"/>
        <v>42815.126050420171</v>
      </c>
      <c r="R4747" s="5">
        <f t="shared" si="223"/>
        <v>18677</v>
      </c>
      <c r="S4747" s="5">
        <f t="shared" si="224"/>
        <v>24138.126050420171</v>
      </c>
    </row>
    <row r="4748" spans="1:19" hidden="1" x14ac:dyDescent="0.3">
      <c r="A4748">
        <v>190</v>
      </c>
      <c r="B4748" t="s">
        <v>5801</v>
      </c>
      <c r="C4748" t="s">
        <v>3937</v>
      </c>
      <c r="D4748" s="2" t="s">
        <v>3938</v>
      </c>
      <c r="E4748" t="s">
        <v>3619</v>
      </c>
      <c r="F4748" t="s">
        <v>20</v>
      </c>
      <c r="G4748" t="s">
        <v>21</v>
      </c>
      <c r="H4748" t="s">
        <v>874</v>
      </c>
      <c r="I4748" t="s">
        <v>23</v>
      </c>
      <c r="J4748" t="s">
        <v>95</v>
      </c>
      <c r="K4748" s="2" t="s">
        <v>814</v>
      </c>
      <c r="L4748" t="s">
        <v>26</v>
      </c>
      <c r="M4748">
        <v>326596</v>
      </c>
      <c r="N4748">
        <v>1</v>
      </c>
      <c r="O4748" s="3">
        <v>39990</v>
      </c>
      <c r="P4748" s="3">
        <v>21627</v>
      </c>
      <c r="Q4748" s="5">
        <f t="shared" si="222"/>
        <v>33605.042016806721</v>
      </c>
      <c r="R4748" s="5">
        <f t="shared" si="223"/>
        <v>21627</v>
      </c>
      <c r="S4748" s="5">
        <f t="shared" si="224"/>
        <v>11978.042016806721</v>
      </c>
    </row>
    <row r="4749" spans="1:19" hidden="1" x14ac:dyDescent="0.3">
      <c r="A4749">
        <v>190</v>
      </c>
      <c r="B4749" t="s">
        <v>5801</v>
      </c>
      <c r="C4749" t="s">
        <v>2525</v>
      </c>
      <c r="D4749" s="2" t="s">
        <v>2526</v>
      </c>
      <c r="E4749" t="s">
        <v>2527</v>
      </c>
      <c r="F4749" t="s">
        <v>377</v>
      </c>
      <c r="G4749" t="s">
        <v>21</v>
      </c>
      <c r="H4749" t="s">
        <v>378</v>
      </c>
      <c r="I4749" t="s">
        <v>23</v>
      </c>
      <c r="J4749" t="s">
        <v>2459</v>
      </c>
      <c r="K4749" s="2" t="s">
        <v>814</v>
      </c>
      <c r="L4749" t="s">
        <v>26</v>
      </c>
      <c r="M4749">
        <v>326597</v>
      </c>
      <c r="N4749">
        <v>1</v>
      </c>
      <c r="O4749" s="3">
        <v>6950</v>
      </c>
      <c r="P4749" s="3">
        <v>2964</v>
      </c>
      <c r="Q4749" s="5">
        <f t="shared" si="222"/>
        <v>5840.3361344537816</v>
      </c>
      <c r="R4749" s="5">
        <f t="shared" si="223"/>
        <v>2964</v>
      </c>
      <c r="S4749" s="5">
        <f t="shared" si="224"/>
        <v>2876.3361344537816</v>
      </c>
    </row>
    <row r="4750" spans="1:19" hidden="1" x14ac:dyDescent="0.3">
      <c r="A4750">
        <v>190</v>
      </c>
      <c r="B4750" t="s">
        <v>5801</v>
      </c>
      <c r="C4750" t="s">
        <v>2739</v>
      </c>
      <c r="D4750" s="2" t="s">
        <v>2740</v>
      </c>
      <c r="E4750" t="s">
        <v>2741</v>
      </c>
      <c r="F4750" t="s">
        <v>20</v>
      </c>
      <c r="G4750" t="s">
        <v>21</v>
      </c>
      <c r="H4750" t="s">
        <v>2494</v>
      </c>
      <c r="I4750" t="s">
        <v>23</v>
      </c>
      <c r="J4750" t="s">
        <v>40</v>
      </c>
      <c r="K4750" s="2" t="s">
        <v>814</v>
      </c>
      <c r="L4750" t="s">
        <v>26</v>
      </c>
      <c r="M4750">
        <v>326598</v>
      </c>
      <c r="N4750">
        <v>1</v>
      </c>
      <c r="O4750" s="3">
        <v>69950</v>
      </c>
      <c r="P4750" s="3">
        <v>23470</v>
      </c>
      <c r="Q4750" s="5">
        <f t="shared" si="222"/>
        <v>58781.512605042022</v>
      </c>
      <c r="R4750" s="5">
        <f t="shared" si="223"/>
        <v>23470</v>
      </c>
      <c r="S4750" s="5">
        <f t="shared" si="224"/>
        <v>35311.512605042022</v>
      </c>
    </row>
    <row r="4751" spans="1:19" hidden="1" x14ac:dyDescent="0.3">
      <c r="A4751">
        <v>190</v>
      </c>
      <c r="B4751" t="s">
        <v>5801</v>
      </c>
      <c r="C4751" t="s">
        <v>2525</v>
      </c>
      <c r="D4751" s="2" t="s">
        <v>2526</v>
      </c>
      <c r="E4751" t="s">
        <v>2527</v>
      </c>
      <c r="F4751" t="s">
        <v>377</v>
      </c>
      <c r="G4751" t="s">
        <v>21</v>
      </c>
      <c r="H4751" t="s">
        <v>378</v>
      </c>
      <c r="I4751" t="s">
        <v>23</v>
      </c>
      <c r="J4751" t="s">
        <v>2459</v>
      </c>
      <c r="K4751" s="2" t="s">
        <v>814</v>
      </c>
      <c r="L4751" t="s">
        <v>26</v>
      </c>
      <c r="M4751">
        <v>326599</v>
      </c>
      <c r="N4751">
        <v>1</v>
      </c>
      <c r="O4751" s="3">
        <v>6950</v>
      </c>
      <c r="P4751" s="3">
        <v>2964</v>
      </c>
      <c r="Q4751" s="5">
        <f t="shared" si="222"/>
        <v>5840.3361344537816</v>
      </c>
      <c r="R4751" s="5">
        <f t="shared" si="223"/>
        <v>2964</v>
      </c>
      <c r="S4751" s="5">
        <f t="shared" si="224"/>
        <v>2876.3361344537816</v>
      </c>
    </row>
    <row r="4752" spans="1:19" hidden="1" x14ac:dyDescent="0.3">
      <c r="A4752">
        <v>190</v>
      </c>
      <c r="B4752" t="s">
        <v>5801</v>
      </c>
      <c r="C4752" t="s">
        <v>3099</v>
      </c>
      <c r="D4752" s="2" t="s">
        <v>3100</v>
      </c>
      <c r="E4752" t="s">
        <v>2718</v>
      </c>
      <c r="F4752" t="s">
        <v>20</v>
      </c>
      <c r="G4752" t="s">
        <v>21</v>
      </c>
      <c r="H4752" t="s">
        <v>1887</v>
      </c>
      <c r="I4752" t="s">
        <v>23</v>
      </c>
      <c r="J4752" t="s">
        <v>40</v>
      </c>
      <c r="K4752" s="2" t="s">
        <v>814</v>
      </c>
      <c r="L4752" t="s">
        <v>26</v>
      </c>
      <c r="M4752">
        <v>326600</v>
      </c>
      <c r="N4752">
        <v>1</v>
      </c>
      <c r="O4752" s="3">
        <v>69950</v>
      </c>
      <c r="P4752" s="3">
        <v>22018</v>
      </c>
      <c r="Q4752" s="5">
        <f t="shared" si="222"/>
        <v>58781.512605042022</v>
      </c>
      <c r="R4752" s="5">
        <f t="shared" si="223"/>
        <v>22018</v>
      </c>
      <c r="S4752" s="5">
        <f t="shared" si="224"/>
        <v>36763.512605042022</v>
      </c>
    </row>
    <row r="4753" spans="1:19" hidden="1" x14ac:dyDescent="0.3">
      <c r="A4753">
        <v>190</v>
      </c>
      <c r="B4753" t="s">
        <v>5801</v>
      </c>
      <c r="C4753" t="s">
        <v>5839</v>
      </c>
      <c r="D4753" s="2" t="s">
        <v>5840</v>
      </c>
      <c r="E4753" t="s">
        <v>3874</v>
      </c>
      <c r="F4753" t="s">
        <v>20</v>
      </c>
      <c r="G4753" t="s">
        <v>21</v>
      </c>
      <c r="H4753" t="s">
        <v>618</v>
      </c>
      <c r="I4753" t="s">
        <v>23</v>
      </c>
      <c r="J4753" t="s">
        <v>40</v>
      </c>
      <c r="K4753" s="2" t="s">
        <v>814</v>
      </c>
      <c r="L4753" t="s">
        <v>26</v>
      </c>
      <c r="M4753">
        <v>326601</v>
      </c>
      <c r="N4753">
        <v>1</v>
      </c>
      <c r="O4753" s="3">
        <v>34990</v>
      </c>
      <c r="P4753" s="3">
        <v>16817</v>
      </c>
      <c r="Q4753" s="5">
        <f t="shared" si="222"/>
        <v>29403.361344537818</v>
      </c>
      <c r="R4753" s="5">
        <f t="shared" si="223"/>
        <v>16817</v>
      </c>
      <c r="S4753" s="5">
        <f t="shared" si="224"/>
        <v>12586.361344537818</v>
      </c>
    </row>
    <row r="4754" spans="1:19" hidden="1" x14ac:dyDescent="0.3">
      <c r="A4754">
        <v>190</v>
      </c>
      <c r="B4754" t="s">
        <v>5801</v>
      </c>
      <c r="C4754" t="s">
        <v>1135</v>
      </c>
      <c r="D4754" s="2" t="s">
        <v>1136</v>
      </c>
      <c r="E4754" t="s">
        <v>1137</v>
      </c>
      <c r="F4754" t="s">
        <v>20</v>
      </c>
      <c r="G4754" t="s">
        <v>21</v>
      </c>
      <c r="H4754" t="s">
        <v>224</v>
      </c>
      <c r="I4754" t="s">
        <v>23</v>
      </c>
      <c r="J4754" t="s">
        <v>49</v>
      </c>
      <c r="K4754" s="2" t="s">
        <v>814</v>
      </c>
      <c r="L4754" t="s">
        <v>26</v>
      </c>
      <c r="M4754">
        <v>326602</v>
      </c>
      <c r="N4754">
        <v>1</v>
      </c>
      <c r="O4754" s="3">
        <v>44990</v>
      </c>
      <c r="P4754" s="3">
        <v>31921</v>
      </c>
      <c r="Q4754" s="5">
        <f t="shared" si="222"/>
        <v>37806.722689075636</v>
      </c>
      <c r="R4754" s="5">
        <f t="shared" si="223"/>
        <v>31921</v>
      </c>
      <c r="S4754" s="5">
        <f t="shared" si="224"/>
        <v>5885.7226890756356</v>
      </c>
    </row>
    <row r="4755" spans="1:19" hidden="1" x14ac:dyDescent="0.3">
      <c r="A4755">
        <v>190</v>
      </c>
      <c r="B4755" t="s">
        <v>5801</v>
      </c>
      <c r="C4755" t="s">
        <v>5865</v>
      </c>
      <c r="D4755" s="2" t="s">
        <v>5866</v>
      </c>
      <c r="E4755" t="s">
        <v>933</v>
      </c>
      <c r="F4755" t="s">
        <v>20</v>
      </c>
      <c r="G4755" t="s">
        <v>21</v>
      </c>
      <c r="H4755" t="s">
        <v>718</v>
      </c>
      <c r="I4755" t="s">
        <v>23</v>
      </c>
      <c r="J4755" t="s">
        <v>35</v>
      </c>
      <c r="K4755" s="2" t="s">
        <v>814</v>
      </c>
      <c r="L4755" t="s">
        <v>26</v>
      </c>
      <c r="M4755">
        <v>326603</v>
      </c>
      <c r="N4755">
        <v>1</v>
      </c>
      <c r="O4755" s="3">
        <v>59990</v>
      </c>
      <c r="P4755" s="3">
        <v>32108</v>
      </c>
      <c r="Q4755" s="5">
        <f t="shared" si="222"/>
        <v>50411.764705882357</v>
      </c>
      <c r="R4755" s="5">
        <f t="shared" si="223"/>
        <v>32108</v>
      </c>
      <c r="S4755" s="5">
        <f t="shared" si="224"/>
        <v>18303.764705882357</v>
      </c>
    </row>
    <row r="4756" spans="1:19" hidden="1" x14ac:dyDescent="0.3">
      <c r="A4756">
        <v>190</v>
      </c>
      <c r="B4756" t="s">
        <v>5801</v>
      </c>
      <c r="C4756">
        <v>1687976791</v>
      </c>
      <c r="D4756" s="2" t="s">
        <v>200</v>
      </c>
      <c r="E4756" t="s">
        <v>201</v>
      </c>
      <c r="F4756" t="s">
        <v>201</v>
      </c>
      <c r="G4756" t="s">
        <v>202</v>
      </c>
      <c r="H4756" t="s">
        <v>202</v>
      </c>
      <c r="I4756" t="s">
        <v>23</v>
      </c>
      <c r="J4756" t="s">
        <v>202</v>
      </c>
      <c r="K4756" s="2" t="s">
        <v>814</v>
      </c>
      <c r="L4756" t="s">
        <v>26</v>
      </c>
      <c r="M4756">
        <v>326603</v>
      </c>
      <c r="N4756">
        <v>1</v>
      </c>
      <c r="O4756" s="3">
        <v>2000</v>
      </c>
      <c r="P4756">
        <v>1</v>
      </c>
      <c r="Q4756" s="5">
        <f t="shared" si="222"/>
        <v>1680.6722689075632</v>
      </c>
      <c r="R4756" s="5">
        <f t="shared" si="223"/>
        <v>1</v>
      </c>
      <c r="S4756" s="5">
        <f t="shared" si="224"/>
        <v>1679.6722689075632</v>
      </c>
    </row>
    <row r="4757" spans="1:19" hidden="1" x14ac:dyDescent="0.3">
      <c r="A4757">
        <v>190</v>
      </c>
      <c r="B4757" t="s">
        <v>5801</v>
      </c>
      <c r="C4757" t="s">
        <v>4065</v>
      </c>
      <c r="D4757" s="2" t="s">
        <v>4066</v>
      </c>
      <c r="E4757" t="s">
        <v>2787</v>
      </c>
      <c r="F4757" t="s">
        <v>20</v>
      </c>
      <c r="G4757" t="s">
        <v>21</v>
      </c>
      <c r="H4757" t="s">
        <v>1286</v>
      </c>
      <c r="I4757" t="s">
        <v>23</v>
      </c>
      <c r="J4757" t="s">
        <v>40</v>
      </c>
      <c r="K4757" s="2" t="s">
        <v>814</v>
      </c>
      <c r="L4757" t="s">
        <v>26</v>
      </c>
      <c r="M4757">
        <v>326604</v>
      </c>
      <c r="N4757">
        <v>1</v>
      </c>
      <c r="O4757" s="3">
        <v>49990</v>
      </c>
      <c r="P4757" s="3">
        <v>24783</v>
      </c>
      <c r="Q4757" s="5">
        <f t="shared" si="222"/>
        <v>42008.403361344543</v>
      </c>
      <c r="R4757" s="5">
        <f t="shared" si="223"/>
        <v>24783</v>
      </c>
      <c r="S4757" s="5">
        <f t="shared" si="224"/>
        <v>17225.403361344543</v>
      </c>
    </row>
    <row r="4758" spans="1:19" hidden="1" x14ac:dyDescent="0.3">
      <c r="A4758">
        <v>190</v>
      </c>
      <c r="B4758" t="s">
        <v>5801</v>
      </c>
      <c r="C4758" t="s">
        <v>5867</v>
      </c>
      <c r="D4758" s="2" t="s">
        <v>5868</v>
      </c>
      <c r="E4758" t="s">
        <v>2252</v>
      </c>
      <c r="F4758" t="s">
        <v>20</v>
      </c>
      <c r="G4758" t="s">
        <v>21</v>
      </c>
      <c r="H4758" t="s">
        <v>970</v>
      </c>
      <c r="I4758" t="s">
        <v>23</v>
      </c>
      <c r="J4758" t="s">
        <v>40</v>
      </c>
      <c r="K4758" s="2" t="s">
        <v>814</v>
      </c>
      <c r="L4758" t="s">
        <v>26</v>
      </c>
      <c r="M4758">
        <v>326605</v>
      </c>
      <c r="N4758">
        <v>1</v>
      </c>
      <c r="O4758" s="3">
        <v>59950</v>
      </c>
      <c r="P4758" s="3">
        <v>15928</v>
      </c>
      <c r="Q4758" s="5">
        <f t="shared" si="222"/>
        <v>50378.151260504201</v>
      </c>
      <c r="R4758" s="5">
        <f t="shared" si="223"/>
        <v>15928</v>
      </c>
      <c r="S4758" s="5">
        <f t="shared" si="224"/>
        <v>34450.151260504201</v>
      </c>
    </row>
    <row r="4759" spans="1:19" hidden="1" x14ac:dyDescent="0.3">
      <c r="A4759">
        <v>190</v>
      </c>
      <c r="B4759" t="s">
        <v>5801</v>
      </c>
      <c r="C4759" t="s">
        <v>5869</v>
      </c>
      <c r="D4759" s="2" t="s">
        <v>5870</v>
      </c>
      <c r="E4759" t="s">
        <v>834</v>
      </c>
      <c r="F4759" t="s">
        <v>20</v>
      </c>
      <c r="G4759" t="s">
        <v>21</v>
      </c>
      <c r="H4759" t="s">
        <v>835</v>
      </c>
      <c r="I4759" t="s">
        <v>23</v>
      </c>
      <c r="J4759" t="s">
        <v>40</v>
      </c>
      <c r="K4759" s="2" t="s">
        <v>902</v>
      </c>
      <c r="L4759" t="s">
        <v>26</v>
      </c>
      <c r="M4759">
        <v>326606</v>
      </c>
      <c r="N4759">
        <v>1</v>
      </c>
      <c r="O4759" s="3">
        <v>39990</v>
      </c>
      <c r="P4759" s="3">
        <v>25844</v>
      </c>
      <c r="Q4759" s="5">
        <f t="shared" si="222"/>
        <v>33605.042016806721</v>
      </c>
      <c r="R4759" s="5">
        <f t="shared" si="223"/>
        <v>25844</v>
      </c>
      <c r="S4759" s="5">
        <f t="shared" si="224"/>
        <v>7761.0420168067212</v>
      </c>
    </row>
    <row r="4760" spans="1:19" hidden="1" x14ac:dyDescent="0.3">
      <c r="A4760">
        <v>190</v>
      </c>
      <c r="B4760" t="s">
        <v>5801</v>
      </c>
      <c r="C4760" t="s">
        <v>2948</v>
      </c>
      <c r="D4760" s="2" t="s">
        <v>2949</v>
      </c>
      <c r="E4760" t="s">
        <v>2226</v>
      </c>
      <c r="F4760" t="s">
        <v>20</v>
      </c>
      <c r="G4760" t="s">
        <v>21</v>
      </c>
      <c r="H4760" t="s">
        <v>53</v>
      </c>
      <c r="I4760" t="s">
        <v>23</v>
      </c>
      <c r="J4760" t="s">
        <v>49</v>
      </c>
      <c r="K4760" s="2" t="s">
        <v>902</v>
      </c>
      <c r="L4760" t="s">
        <v>26</v>
      </c>
      <c r="M4760">
        <v>326607</v>
      </c>
      <c r="N4760">
        <v>1</v>
      </c>
      <c r="O4760" s="3">
        <v>69950</v>
      </c>
      <c r="P4760" s="3">
        <v>21044</v>
      </c>
      <c r="Q4760" s="5">
        <f t="shared" si="222"/>
        <v>58781.512605042022</v>
      </c>
      <c r="R4760" s="5">
        <f t="shared" si="223"/>
        <v>21044</v>
      </c>
      <c r="S4760" s="5">
        <f t="shared" si="224"/>
        <v>37737.512605042022</v>
      </c>
    </row>
    <row r="4761" spans="1:19" hidden="1" x14ac:dyDescent="0.3">
      <c r="A4761">
        <v>190</v>
      </c>
      <c r="B4761" t="s">
        <v>5801</v>
      </c>
      <c r="C4761" t="s">
        <v>5871</v>
      </c>
      <c r="D4761" s="2" t="s">
        <v>5872</v>
      </c>
      <c r="E4761" t="s">
        <v>3283</v>
      </c>
      <c r="F4761" t="s">
        <v>20</v>
      </c>
      <c r="G4761" t="s">
        <v>21</v>
      </c>
      <c r="H4761" t="s">
        <v>2494</v>
      </c>
      <c r="I4761" t="s">
        <v>23</v>
      </c>
      <c r="J4761" t="s">
        <v>40</v>
      </c>
      <c r="K4761" s="2" t="s">
        <v>902</v>
      </c>
      <c r="L4761" t="s">
        <v>26</v>
      </c>
      <c r="M4761">
        <v>326608</v>
      </c>
      <c r="N4761">
        <v>1</v>
      </c>
      <c r="O4761" s="3">
        <v>69950</v>
      </c>
      <c r="P4761" s="3">
        <v>23470</v>
      </c>
      <c r="Q4761" s="5">
        <f t="shared" si="222"/>
        <v>58781.512605042022</v>
      </c>
      <c r="R4761" s="5">
        <f t="shared" si="223"/>
        <v>23470</v>
      </c>
      <c r="S4761" s="5">
        <f t="shared" si="224"/>
        <v>35311.512605042022</v>
      </c>
    </row>
    <row r="4762" spans="1:19" hidden="1" x14ac:dyDescent="0.3">
      <c r="A4762">
        <v>190</v>
      </c>
      <c r="B4762" t="s">
        <v>5801</v>
      </c>
      <c r="C4762" t="s">
        <v>3607</v>
      </c>
      <c r="D4762" s="2" t="s">
        <v>3608</v>
      </c>
      <c r="E4762" t="s">
        <v>3180</v>
      </c>
      <c r="F4762" t="s">
        <v>20</v>
      </c>
      <c r="G4762" t="s">
        <v>338</v>
      </c>
      <c r="H4762">
        <v>23313</v>
      </c>
      <c r="I4762" t="s">
        <v>23</v>
      </c>
      <c r="J4762" t="s">
        <v>40</v>
      </c>
      <c r="K4762" s="2" t="s">
        <v>902</v>
      </c>
      <c r="L4762" t="s">
        <v>26</v>
      </c>
      <c r="M4762">
        <v>326609</v>
      </c>
      <c r="N4762">
        <v>1</v>
      </c>
      <c r="O4762" s="3">
        <v>69950</v>
      </c>
      <c r="P4762" s="3">
        <v>23536</v>
      </c>
      <c r="Q4762" s="5">
        <f t="shared" si="222"/>
        <v>58781.512605042022</v>
      </c>
      <c r="R4762" s="5">
        <f t="shared" si="223"/>
        <v>23536</v>
      </c>
      <c r="S4762" s="5">
        <f t="shared" si="224"/>
        <v>35245.512605042022</v>
      </c>
    </row>
    <row r="4763" spans="1:19" hidden="1" x14ac:dyDescent="0.3">
      <c r="A4763">
        <v>190</v>
      </c>
      <c r="B4763" t="s">
        <v>5801</v>
      </c>
      <c r="C4763" t="s">
        <v>1105</v>
      </c>
      <c r="D4763" s="2" t="s">
        <v>1106</v>
      </c>
      <c r="E4763" t="s">
        <v>316</v>
      </c>
      <c r="F4763" t="s">
        <v>20</v>
      </c>
      <c r="G4763" t="s">
        <v>21</v>
      </c>
      <c r="H4763" t="s">
        <v>317</v>
      </c>
      <c r="I4763" t="s">
        <v>23</v>
      </c>
      <c r="J4763" t="s">
        <v>35</v>
      </c>
      <c r="K4763" s="2" t="s">
        <v>902</v>
      </c>
      <c r="L4763" t="s">
        <v>26</v>
      </c>
      <c r="M4763">
        <v>326610</v>
      </c>
      <c r="N4763">
        <v>1</v>
      </c>
      <c r="O4763" s="3">
        <v>69950</v>
      </c>
      <c r="P4763" s="3">
        <v>24908</v>
      </c>
      <c r="Q4763" s="5">
        <f t="shared" si="222"/>
        <v>58781.512605042022</v>
      </c>
      <c r="R4763" s="5">
        <f t="shared" si="223"/>
        <v>24908</v>
      </c>
      <c r="S4763" s="5">
        <f t="shared" si="224"/>
        <v>33873.512605042022</v>
      </c>
    </row>
    <row r="4764" spans="1:19" hidden="1" x14ac:dyDescent="0.3">
      <c r="A4764">
        <v>190</v>
      </c>
      <c r="B4764" t="s">
        <v>5801</v>
      </c>
      <c r="C4764" t="s">
        <v>5873</v>
      </c>
      <c r="D4764" s="2" t="s">
        <v>5874</v>
      </c>
      <c r="E4764" t="s">
        <v>453</v>
      </c>
      <c r="F4764" t="s">
        <v>20</v>
      </c>
      <c r="G4764" t="s">
        <v>21</v>
      </c>
      <c r="H4764" t="s">
        <v>454</v>
      </c>
      <c r="I4764" t="s">
        <v>23</v>
      </c>
      <c r="J4764" t="s">
        <v>407</v>
      </c>
      <c r="K4764" s="2" t="s">
        <v>902</v>
      </c>
      <c r="L4764" t="s">
        <v>26</v>
      </c>
      <c r="M4764">
        <v>326611</v>
      </c>
      <c r="N4764">
        <v>1</v>
      </c>
      <c r="O4764" s="3">
        <v>39990</v>
      </c>
      <c r="P4764" s="3">
        <v>21038</v>
      </c>
      <c r="Q4764" s="5">
        <f t="shared" si="222"/>
        <v>33605.042016806721</v>
      </c>
      <c r="R4764" s="5">
        <f t="shared" si="223"/>
        <v>21038</v>
      </c>
      <c r="S4764" s="5">
        <f t="shared" si="224"/>
        <v>12567.042016806721</v>
      </c>
    </row>
    <row r="4765" spans="1:19" hidden="1" x14ac:dyDescent="0.3">
      <c r="A4765">
        <v>190</v>
      </c>
      <c r="B4765" t="s">
        <v>5801</v>
      </c>
      <c r="C4765" t="s">
        <v>2534</v>
      </c>
      <c r="D4765" s="2" t="s">
        <v>2535</v>
      </c>
      <c r="E4765" t="s">
        <v>2536</v>
      </c>
      <c r="F4765" t="s">
        <v>20</v>
      </c>
      <c r="G4765" t="s">
        <v>21</v>
      </c>
      <c r="H4765" t="s">
        <v>454</v>
      </c>
      <c r="I4765" t="s">
        <v>23</v>
      </c>
      <c r="J4765" t="s">
        <v>407</v>
      </c>
      <c r="K4765" s="2" t="s">
        <v>902</v>
      </c>
      <c r="L4765" t="s">
        <v>26</v>
      </c>
      <c r="M4765">
        <v>326611</v>
      </c>
      <c r="N4765">
        <v>-1</v>
      </c>
      <c r="O4765" s="3">
        <v>-39990</v>
      </c>
      <c r="P4765" s="3">
        <v>21038</v>
      </c>
      <c r="Q4765" s="5">
        <f t="shared" si="222"/>
        <v>-33605.042016806721</v>
      </c>
      <c r="R4765" s="5">
        <f t="shared" si="223"/>
        <v>-21038</v>
      </c>
      <c r="S4765" s="5">
        <f t="shared" si="224"/>
        <v>-12567.042016806721</v>
      </c>
    </row>
    <row r="4766" spans="1:19" hidden="1" x14ac:dyDescent="0.3">
      <c r="A4766">
        <v>190</v>
      </c>
      <c r="B4766" t="s">
        <v>5801</v>
      </c>
      <c r="C4766" t="s">
        <v>5875</v>
      </c>
      <c r="D4766" s="2" t="s">
        <v>5876</v>
      </c>
      <c r="E4766" t="s">
        <v>2536</v>
      </c>
      <c r="F4766" t="s">
        <v>20</v>
      </c>
      <c r="G4766" t="s">
        <v>21</v>
      </c>
      <c r="H4766" t="s">
        <v>454</v>
      </c>
      <c r="I4766" t="s">
        <v>23</v>
      </c>
      <c r="J4766" t="s">
        <v>407</v>
      </c>
      <c r="K4766" s="2" t="s">
        <v>902</v>
      </c>
      <c r="L4766" t="s">
        <v>26</v>
      </c>
      <c r="M4766">
        <v>326611</v>
      </c>
      <c r="N4766">
        <v>1</v>
      </c>
      <c r="O4766" s="3">
        <v>39990</v>
      </c>
      <c r="P4766" s="3">
        <v>21038</v>
      </c>
      <c r="Q4766" s="5">
        <f t="shared" si="222"/>
        <v>33605.042016806721</v>
      </c>
      <c r="R4766" s="5">
        <f t="shared" si="223"/>
        <v>21038</v>
      </c>
      <c r="S4766" s="5">
        <f t="shared" si="224"/>
        <v>12567.042016806721</v>
      </c>
    </row>
    <row r="4767" spans="1:19" hidden="1" x14ac:dyDescent="0.3">
      <c r="A4767">
        <v>190</v>
      </c>
      <c r="B4767" t="s">
        <v>5801</v>
      </c>
      <c r="C4767" t="s">
        <v>1135</v>
      </c>
      <c r="D4767" s="2" t="s">
        <v>1136</v>
      </c>
      <c r="E4767" t="s">
        <v>1137</v>
      </c>
      <c r="F4767" t="s">
        <v>20</v>
      </c>
      <c r="G4767" t="s">
        <v>21</v>
      </c>
      <c r="H4767" t="s">
        <v>224</v>
      </c>
      <c r="I4767" t="s">
        <v>23</v>
      </c>
      <c r="J4767" t="s">
        <v>49</v>
      </c>
      <c r="K4767" s="2" t="s">
        <v>902</v>
      </c>
      <c r="L4767" t="s">
        <v>26</v>
      </c>
      <c r="M4767">
        <v>326612</v>
      </c>
      <c r="N4767">
        <v>1</v>
      </c>
      <c r="O4767" s="3">
        <v>44990</v>
      </c>
      <c r="P4767" s="3">
        <v>31921</v>
      </c>
      <c r="Q4767" s="5">
        <f t="shared" si="222"/>
        <v>37806.722689075636</v>
      </c>
      <c r="R4767" s="5">
        <f t="shared" si="223"/>
        <v>31921</v>
      </c>
      <c r="S4767" s="5">
        <f t="shared" si="224"/>
        <v>5885.7226890756356</v>
      </c>
    </row>
    <row r="4768" spans="1:19" hidden="1" x14ac:dyDescent="0.3">
      <c r="A4768">
        <v>190</v>
      </c>
      <c r="B4768" t="s">
        <v>5801</v>
      </c>
      <c r="C4768" t="s">
        <v>715</v>
      </c>
      <c r="D4768" s="2" t="s">
        <v>716</v>
      </c>
      <c r="E4768" t="s">
        <v>717</v>
      </c>
      <c r="F4768" t="s">
        <v>20</v>
      </c>
      <c r="G4768" t="s">
        <v>21</v>
      </c>
      <c r="H4768" t="s">
        <v>718</v>
      </c>
      <c r="I4768" t="s">
        <v>23</v>
      </c>
      <c r="J4768" t="s">
        <v>49</v>
      </c>
      <c r="K4768" s="2" t="s">
        <v>902</v>
      </c>
      <c r="L4768" t="s">
        <v>26</v>
      </c>
      <c r="M4768">
        <v>326612</v>
      </c>
      <c r="N4768">
        <v>-1</v>
      </c>
      <c r="O4768" s="3">
        <v>-39990</v>
      </c>
      <c r="P4768" s="3">
        <v>26649</v>
      </c>
      <c r="Q4768" s="5">
        <f t="shared" si="222"/>
        <v>-33605.042016806721</v>
      </c>
      <c r="R4768" s="5">
        <f t="shared" si="223"/>
        <v>-26649</v>
      </c>
      <c r="S4768" s="5">
        <f t="shared" si="224"/>
        <v>-6956.0420168067212</v>
      </c>
    </row>
    <row r="4769" spans="1:19" hidden="1" x14ac:dyDescent="0.3">
      <c r="A4769">
        <v>190</v>
      </c>
      <c r="B4769" t="s">
        <v>5801</v>
      </c>
      <c r="C4769" t="s">
        <v>3951</v>
      </c>
      <c r="D4769" s="2" t="s">
        <v>3952</v>
      </c>
      <c r="E4769" t="s">
        <v>2741</v>
      </c>
      <c r="F4769" t="s">
        <v>20</v>
      </c>
      <c r="G4769" t="s">
        <v>21</v>
      </c>
      <c r="H4769" t="s">
        <v>2494</v>
      </c>
      <c r="I4769" t="s">
        <v>23</v>
      </c>
      <c r="J4769" t="s">
        <v>40</v>
      </c>
      <c r="K4769" s="2" t="s">
        <v>902</v>
      </c>
      <c r="L4769" t="s">
        <v>26</v>
      </c>
      <c r="M4769">
        <v>326612</v>
      </c>
      <c r="N4769">
        <v>1</v>
      </c>
      <c r="O4769" s="3">
        <v>69950</v>
      </c>
      <c r="P4769" s="3">
        <v>23470</v>
      </c>
      <c r="Q4769" s="5">
        <f t="shared" si="222"/>
        <v>58781.512605042022</v>
      </c>
      <c r="R4769" s="5">
        <f t="shared" si="223"/>
        <v>23470</v>
      </c>
      <c r="S4769" s="5">
        <f t="shared" si="224"/>
        <v>35311.512605042022</v>
      </c>
    </row>
    <row r="4770" spans="1:19" hidden="1" x14ac:dyDescent="0.3">
      <c r="A4770">
        <v>190</v>
      </c>
      <c r="B4770" t="s">
        <v>5801</v>
      </c>
      <c r="C4770" t="s">
        <v>3641</v>
      </c>
      <c r="D4770" s="2" t="s">
        <v>3642</v>
      </c>
      <c r="E4770" t="s">
        <v>2905</v>
      </c>
      <c r="F4770" t="s">
        <v>20</v>
      </c>
      <c r="G4770" t="s">
        <v>21</v>
      </c>
      <c r="H4770" t="s">
        <v>272</v>
      </c>
      <c r="I4770" t="s">
        <v>23</v>
      </c>
      <c r="J4770" t="s">
        <v>35</v>
      </c>
      <c r="K4770" s="2" t="s">
        <v>902</v>
      </c>
      <c r="L4770" t="s">
        <v>26</v>
      </c>
      <c r="M4770">
        <v>326613</v>
      </c>
      <c r="N4770">
        <v>1</v>
      </c>
      <c r="O4770" s="3">
        <v>79950</v>
      </c>
      <c r="P4770" s="3">
        <v>27834</v>
      </c>
      <c r="Q4770" s="5">
        <f t="shared" si="222"/>
        <v>67184.873949579836</v>
      </c>
      <c r="R4770" s="5">
        <f t="shared" si="223"/>
        <v>27834</v>
      </c>
      <c r="S4770" s="5">
        <f t="shared" si="224"/>
        <v>39350.873949579836</v>
      </c>
    </row>
    <row r="4771" spans="1:19" hidden="1" x14ac:dyDescent="0.3">
      <c r="A4771">
        <v>190</v>
      </c>
      <c r="B4771" t="s">
        <v>5801</v>
      </c>
      <c r="C4771" t="s">
        <v>2306</v>
      </c>
      <c r="D4771" s="2" t="s">
        <v>2307</v>
      </c>
      <c r="E4771" t="s">
        <v>2308</v>
      </c>
      <c r="F4771" t="s">
        <v>20</v>
      </c>
      <c r="G4771" t="s">
        <v>21</v>
      </c>
      <c r="H4771" t="s">
        <v>1337</v>
      </c>
      <c r="I4771" t="s">
        <v>23</v>
      </c>
      <c r="J4771" t="s">
        <v>49</v>
      </c>
      <c r="K4771" s="2" t="s">
        <v>902</v>
      </c>
      <c r="L4771" t="s">
        <v>26</v>
      </c>
      <c r="M4771">
        <v>326613</v>
      </c>
      <c r="N4771">
        <v>-1</v>
      </c>
      <c r="O4771" s="3">
        <v>-50950</v>
      </c>
      <c r="P4771" s="3">
        <v>22221</v>
      </c>
      <c r="Q4771" s="5">
        <f t="shared" si="222"/>
        <v>-42815.126050420171</v>
      </c>
      <c r="R4771" s="5">
        <f t="shared" si="223"/>
        <v>-22221</v>
      </c>
      <c r="S4771" s="5">
        <f t="shared" si="224"/>
        <v>-20594.126050420171</v>
      </c>
    </row>
    <row r="4772" spans="1:19" hidden="1" x14ac:dyDescent="0.3">
      <c r="A4772">
        <v>190</v>
      </c>
      <c r="B4772" t="s">
        <v>5801</v>
      </c>
      <c r="C4772" t="s">
        <v>4443</v>
      </c>
      <c r="D4772" s="2" t="s">
        <v>4444</v>
      </c>
      <c r="E4772" t="s">
        <v>1137</v>
      </c>
      <c r="F4772" t="s">
        <v>20</v>
      </c>
      <c r="G4772" t="s">
        <v>21</v>
      </c>
      <c r="H4772" t="s">
        <v>224</v>
      </c>
      <c r="I4772" t="s">
        <v>23</v>
      </c>
      <c r="J4772" t="s">
        <v>49</v>
      </c>
      <c r="K4772" s="2" t="s">
        <v>902</v>
      </c>
      <c r="L4772" t="s">
        <v>26</v>
      </c>
      <c r="M4772">
        <v>326614</v>
      </c>
      <c r="N4772">
        <v>-1</v>
      </c>
      <c r="O4772" s="3">
        <v>-44990</v>
      </c>
      <c r="P4772" s="3">
        <v>31785</v>
      </c>
      <c r="Q4772" s="5">
        <f t="shared" si="222"/>
        <v>-37806.722689075636</v>
      </c>
      <c r="R4772" s="5">
        <f t="shared" si="223"/>
        <v>-31785</v>
      </c>
      <c r="S4772" s="5">
        <f t="shared" si="224"/>
        <v>-6021.7226890756356</v>
      </c>
    </row>
    <row r="4773" spans="1:19" hidden="1" x14ac:dyDescent="0.3">
      <c r="A4773">
        <v>190</v>
      </c>
      <c r="B4773" t="s">
        <v>5801</v>
      </c>
      <c r="C4773" t="s">
        <v>4231</v>
      </c>
      <c r="D4773" s="2" t="s">
        <v>4232</v>
      </c>
      <c r="E4773" t="s">
        <v>2844</v>
      </c>
      <c r="F4773" t="s">
        <v>20</v>
      </c>
      <c r="G4773" t="s">
        <v>338</v>
      </c>
      <c r="H4773">
        <v>24722</v>
      </c>
      <c r="I4773" t="s">
        <v>23</v>
      </c>
      <c r="J4773" t="s">
        <v>95</v>
      </c>
      <c r="K4773" s="2" t="s">
        <v>902</v>
      </c>
      <c r="L4773" t="s">
        <v>26</v>
      </c>
      <c r="M4773">
        <v>326614</v>
      </c>
      <c r="N4773">
        <v>1</v>
      </c>
      <c r="O4773" s="3">
        <v>80950</v>
      </c>
      <c r="P4773" s="3">
        <v>30987</v>
      </c>
      <c r="Q4773" s="5">
        <f t="shared" si="222"/>
        <v>68025.210084033621</v>
      </c>
      <c r="R4773" s="5">
        <f t="shared" si="223"/>
        <v>30987</v>
      </c>
      <c r="S4773" s="5">
        <f t="shared" si="224"/>
        <v>37038.210084033621</v>
      </c>
    </row>
    <row r="4774" spans="1:19" hidden="1" x14ac:dyDescent="0.3">
      <c r="A4774">
        <v>190</v>
      </c>
      <c r="B4774" t="s">
        <v>5801</v>
      </c>
      <c r="C4774" t="s">
        <v>5877</v>
      </c>
      <c r="D4774" s="2" t="s">
        <v>5878</v>
      </c>
      <c r="E4774" t="s">
        <v>219</v>
      </c>
      <c r="F4774" t="s">
        <v>20</v>
      </c>
      <c r="G4774" t="s">
        <v>215</v>
      </c>
      <c r="H4774" t="s">
        <v>216</v>
      </c>
      <c r="I4774" t="s">
        <v>23</v>
      </c>
      <c r="J4774" t="s">
        <v>220</v>
      </c>
      <c r="K4774" s="2" t="s">
        <v>902</v>
      </c>
      <c r="L4774" t="s">
        <v>26</v>
      </c>
      <c r="M4774">
        <v>326615</v>
      </c>
      <c r="N4774">
        <v>1</v>
      </c>
      <c r="O4774" s="3">
        <v>69990</v>
      </c>
      <c r="P4774" s="3">
        <v>40434</v>
      </c>
      <c r="Q4774" s="5">
        <f t="shared" si="222"/>
        <v>58815.126050420171</v>
      </c>
      <c r="R4774" s="5">
        <f t="shared" si="223"/>
        <v>40434</v>
      </c>
      <c r="S4774" s="5">
        <f t="shared" si="224"/>
        <v>18381.126050420171</v>
      </c>
    </row>
    <row r="4775" spans="1:19" hidden="1" x14ac:dyDescent="0.3">
      <c r="A4775">
        <v>190</v>
      </c>
      <c r="B4775" t="s">
        <v>5801</v>
      </c>
      <c r="C4775" t="s">
        <v>5535</v>
      </c>
      <c r="D4775" s="2" t="s">
        <v>5536</v>
      </c>
      <c r="E4775" t="s">
        <v>4226</v>
      </c>
      <c r="F4775" t="s">
        <v>20</v>
      </c>
      <c r="G4775" t="s">
        <v>21</v>
      </c>
      <c r="H4775" t="s">
        <v>2189</v>
      </c>
      <c r="I4775" t="s">
        <v>23</v>
      </c>
      <c r="J4775" t="s">
        <v>40</v>
      </c>
      <c r="K4775" s="2" t="s">
        <v>902</v>
      </c>
      <c r="L4775" t="s">
        <v>26</v>
      </c>
      <c r="M4775">
        <v>326616</v>
      </c>
      <c r="N4775">
        <v>1</v>
      </c>
      <c r="O4775" s="3">
        <v>63700</v>
      </c>
      <c r="P4775" s="3">
        <v>27730</v>
      </c>
      <c r="Q4775" s="5">
        <f t="shared" si="222"/>
        <v>53529.411764705888</v>
      </c>
      <c r="R4775" s="5">
        <f t="shared" si="223"/>
        <v>27730</v>
      </c>
      <c r="S4775" s="5">
        <f t="shared" si="224"/>
        <v>25799.411764705888</v>
      </c>
    </row>
    <row r="4776" spans="1:19" hidden="1" x14ac:dyDescent="0.3">
      <c r="A4776">
        <v>190</v>
      </c>
      <c r="B4776" t="s">
        <v>5801</v>
      </c>
      <c r="C4776" t="s">
        <v>3284</v>
      </c>
      <c r="D4776" s="2" t="s">
        <v>3285</v>
      </c>
      <c r="E4776" t="s">
        <v>2323</v>
      </c>
      <c r="F4776" t="s">
        <v>20</v>
      </c>
      <c r="G4776" t="s">
        <v>21</v>
      </c>
      <c r="H4776" t="s">
        <v>1887</v>
      </c>
      <c r="I4776" t="s">
        <v>23</v>
      </c>
      <c r="J4776" t="s">
        <v>40</v>
      </c>
      <c r="K4776" s="2" t="s">
        <v>902</v>
      </c>
      <c r="L4776" t="s">
        <v>26</v>
      </c>
      <c r="M4776">
        <v>326616</v>
      </c>
      <c r="N4776">
        <v>1</v>
      </c>
      <c r="O4776" s="3">
        <v>69950</v>
      </c>
      <c r="P4776" s="3">
        <v>21623</v>
      </c>
      <c r="Q4776" s="5">
        <f t="shared" si="222"/>
        <v>58781.512605042022</v>
      </c>
      <c r="R4776" s="5">
        <f t="shared" si="223"/>
        <v>21623</v>
      </c>
      <c r="S4776" s="5">
        <f t="shared" si="224"/>
        <v>37158.512605042022</v>
      </c>
    </row>
    <row r="4777" spans="1:19" hidden="1" x14ac:dyDescent="0.3">
      <c r="A4777">
        <v>190</v>
      </c>
      <c r="B4777" t="s">
        <v>5801</v>
      </c>
      <c r="C4777" t="s">
        <v>3151</v>
      </c>
      <c r="D4777" s="2" t="s">
        <v>3152</v>
      </c>
      <c r="E4777" t="s">
        <v>2666</v>
      </c>
      <c r="F4777" t="s">
        <v>20</v>
      </c>
      <c r="G4777" t="s">
        <v>21</v>
      </c>
      <c r="H4777" t="s">
        <v>65</v>
      </c>
      <c r="I4777" t="s">
        <v>23</v>
      </c>
      <c r="J4777" t="s">
        <v>49</v>
      </c>
      <c r="K4777" s="2" t="s">
        <v>902</v>
      </c>
      <c r="L4777" t="s">
        <v>26</v>
      </c>
      <c r="M4777">
        <v>326617</v>
      </c>
      <c r="N4777">
        <v>1</v>
      </c>
      <c r="O4777" s="3">
        <v>64950</v>
      </c>
      <c r="P4777" s="3">
        <v>22816</v>
      </c>
      <c r="Q4777" s="5">
        <f t="shared" si="222"/>
        <v>54579.831932773115</v>
      </c>
      <c r="R4777" s="5">
        <f t="shared" si="223"/>
        <v>22816</v>
      </c>
      <c r="S4777" s="5">
        <f t="shared" si="224"/>
        <v>31763.831932773115</v>
      </c>
    </row>
    <row r="4778" spans="1:19" hidden="1" x14ac:dyDescent="0.3">
      <c r="A4778">
        <v>190</v>
      </c>
      <c r="B4778" t="s">
        <v>5801</v>
      </c>
      <c r="C4778" t="s">
        <v>3931</v>
      </c>
      <c r="D4778" s="2" t="s">
        <v>3932</v>
      </c>
      <c r="E4778" t="s">
        <v>2877</v>
      </c>
      <c r="F4778" t="s">
        <v>20</v>
      </c>
      <c r="G4778" t="s">
        <v>21</v>
      </c>
      <c r="H4778" t="s">
        <v>30</v>
      </c>
      <c r="I4778" t="s">
        <v>23</v>
      </c>
      <c r="J4778" t="s">
        <v>49</v>
      </c>
      <c r="K4778" s="2" t="s">
        <v>902</v>
      </c>
      <c r="L4778" t="s">
        <v>26</v>
      </c>
      <c r="M4778">
        <v>326617</v>
      </c>
      <c r="N4778">
        <v>1</v>
      </c>
      <c r="O4778" s="3">
        <v>59450</v>
      </c>
      <c r="P4778" s="3">
        <v>26131</v>
      </c>
      <c r="Q4778" s="5">
        <f t="shared" si="222"/>
        <v>49957.983193277316</v>
      </c>
      <c r="R4778" s="5">
        <f t="shared" si="223"/>
        <v>26131</v>
      </c>
      <c r="S4778" s="5">
        <f t="shared" si="224"/>
        <v>23826.983193277316</v>
      </c>
    </row>
    <row r="4779" spans="1:19" hidden="1" x14ac:dyDescent="0.3">
      <c r="A4779">
        <v>190</v>
      </c>
      <c r="B4779" t="s">
        <v>5801</v>
      </c>
      <c r="C4779" t="s">
        <v>3401</v>
      </c>
      <c r="D4779" s="2" t="s">
        <v>3402</v>
      </c>
      <c r="E4779" t="s">
        <v>3403</v>
      </c>
      <c r="F4779" t="s">
        <v>377</v>
      </c>
      <c r="G4779" t="s">
        <v>21</v>
      </c>
      <c r="H4779" t="s">
        <v>378</v>
      </c>
      <c r="I4779" t="s">
        <v>23</v>
      </c>
      <c r="J4779" t="s">
        <v>3297</v>
      </c>
      <c r="K4779" s="2" t="s">
        <v>902</v>
      </c>
      <c r="L4779" t="s">
        <v>26</v>
      </c>
      <c r="M4779">
        <v>326617</v>
      </c>
      <c r="N4779">
        <v>1</v>
      </c>
      <c r="O4779">
        <v>500</v>
      </c>
      <c r="P4779">
        <v>418</v>
      </c>
      <c r="Q4779" s="5">
        <f t="shared" si="222"/>
        <v>420.1680672268908</v>
      </c>
      <c r="R4779" s="5">
        <f t="shared" si="223"/>
        <v>418</v>
      </c>
      <c r="S4779" s="5">
        <f t="shared" si="224"/>
        <v>2.1680672268907983</v>
      </c>
    </row>
    <row r="4780" spans="1:19" hidden="1" x14ac:dyDescent="0.3">
      <c r="A4780">
        <v>190</v>
      </c>
      <c r="B4780" t="s">
        <v>5801</v>
      </c>
      <c r="C4780" t="s">
        <v>4447</v>
      </c>
      <c r="D4780" s="2" t="s">
        <v>4448</v>
      </c>
      <c r="E4780" t="s">
        <v>2373</v>
      </c>
      <c r="F4780" t="s">
        <v>20</v>
      </c>
      <c r="G4780" t="s">
        <v>338</v>
      </c>
      <c r="H4780">
        <v>24239</v>
      </c>
      <c r="I4780" t="s">
        <v>23</v>
      </c>
      <c r="J4780" t="s">
        <v>95</v>
      </c>
      <c r="K4780" s="2" t="s">
        <v>902</v>
      </c>
      <c r="L4780" t="s">
        <v>26</v>
      </c>
      <c r="M4780">
        <v>326618</v>
      </c>
      <c r="N4780">
        <v>1</v>
      </c>
      <c r="O4780" s="3">
        <v>59950</v>
      </c>
      <c r="P4780" s="3">
        <v>18677</v>
      </c>
      <c r="Q4780" s="5">
        <f t="shared" si="222"/>
        <v>50378.151260504201</v>
      </c>
      <c r="R4780" s="5">
        <f t="shared" si="223"/>
        <v>18677</v>
      </c>
      <c r="S4780" s="5">
        <f t="shared" si="224"/>
        <v>31701.151260504201</v>
      </c>
    </row>
    <row r="4781" spans="1:19" hidden="1" x14ac:dyDescent="0.3">
      <c r="A4781">
        <v>190</v>
      </c>
      <c r="B4781" t="s">
        <v>5801</v>
      </c>
      <c r="C4781" t="s">
        <v>5879</v>
      </c>
      <c r="D4781" s="2" t="s">
        <v>5880</v>
      </c>
      <c r="E4781" t="s">
        <v>3283</v>
      </c>
      <c r="F4781" t="s">
        <v>20</v>
      </c>
      <c r="G4781" t="s">
        <v>21</v>
      </c>
      <c r="H4781" t="s">
        <v>2494</v>
      </c>
      <c r="I4781" t="s">
        <v>23</v>
      </c>
      <c r="J4781" t="s">
        <v>40</v>
      </c>
      <c r="K4781" s="2" t="s">
        <v>902</v>
      </c>
      <c r="L4781" t="s">
        <v>26</v>
      </c>
      <c r="M4781">
        <v>326619</v>
      </c>
      <c r="N4781">
        <v>1</v>
      </c>
      <c r="O4781" s="3">
        <v>69950</v>
      </c>
      <c r="P4781" s="3">
        <v>23470</v>
      </c>
      <c r="Q4781" s="5">
        <f t="shared" si="222"/>
        <v>58781.512605042022</v>
      </c>
      <c r="R4781" s="5">
        <f t="shared" si="223"/>
        <v>23470</v>
      </c>
      <c r="S4781" s="5">
        <f t="shared" si="224"/>
        <v>35311.512605042022</v>
      </c>
    </row>
    <row r="4782" spans="1:19" hidden="1" x14ac:dyDescent="0.3">
      <c r="A4782">
        <v>190</v>
      </c>
      <c r="B4782" t="s">
        <v>5801</v>
      </c>
      <c r="C4782" t="s">
        <v>3677</v>
      </c>
      <c r="D4782" s="2" t="s">
        <v>3678</v>
      </c>
      <c r="E4782" t="s">
        <v>3679</v>
      </c>
      <c r="F4782" t="s">
        <v>20</v>
      </c>
      <c r="G4782" t="s">
        <v>338</v>
      </c>
      <c r="H4782">
        <v>24200</v>
      </c>
      <c r="I4782" t="s">
        <v>23</v>
      </c>
      <c r="J4782" t="s">
        <v>95</v>
      </c>
      <c r="K4782" s="2" t="s">
        <v>902</v>
      </c>
      <c r="L4782" t="s">
        <v>26</v>
      </c>
      <c r="M4782">
        <v>326620</v>
      </c>
      <c r="N4782">
        <v>1</v>
      </c>
      <c r="O4782" s="3">
        <v>84950</v>
      </c>
      <c r="P4782" s="3">
        <v>27361</v>
      </c>
      <c r="Q4782" s="5">
        <f t="shared" si="222"/>
        <v>71386.554621848743</v>
      </c>
      <c r="R4782" s="5">
        <f t="shared" si="223"/>
        <v>27361</v>
      </c>
      <c r="S4782" s="5">
        <f t="shared" si="224"/>
        <v>44025.554621848743</v>
      </c>
    </row>
    <row r="4783" spans="1:19" hidden="1" x14ac:dyDescent="0.3">
      <c r="A4783">
        <v>190</v>
      </c>
      <c r="B4783" t="s">
        <v>5801</v>
      </c>
      <c r="C4783" t="s">
        <v>3532</v>
      </c>
      <c r="D4783" s="2" t="s">
        <v>3533</v>
      </c>
      <c r="E4783" t="s">
        <v>2844</v>
      </c>
      <c r="F4783" t="s">
        <v>20</v>
      </c>
      <c r="G4783" t="s">
        <v>338</v>
      </c>
      <c r="H4783">
        <v>24722</v>
      </c>
      <c r="I4783" t="s">
        <v>23</v>
      </c>
      <c r="J4783" t="s">
        <v>95</v>
      </c>
      <c r="K4783" s="2" t="s">
        <v>902</v>
      </c>
      <c r="L4783" t="s">
        <v>26</v>
      </c>
      <c r="M4783">
        <v>326621</v>
      </c>
      <c r="N4783">
        <v>1</v>
      </c>
      <c r="O4783" s="3">
        <v>89950</v>
      </c>
      <c r="P4783" s="3">
        <v>30987</v>
      </c>
      <c r="Q4783" s="5">
        <f t="shared" si="222"/>
        <v>75588.23529411765</v>
      </c>
      <c r="R4783" s="5">
        <f t="shared" si="223"/>
        <v>30987</v>
      </c>
      <c r="S4783" s="5">
        <f t="shared" si="224"/>
        <v>44601.23529411765</v>
      </c>
    </row>
    <row r="4784" spans="1:19" hidden="1" x14ac:dyDescent="0.3">
      <c r="A4784">
        <v>190</v>
      </c>
      <c r="B4784" t="s">
        <v>5801</v>
      </c>
      <c r="C4784" t="s">
        <v>3458</v>
      </c>
      <c r="D4784" s="2" t="s">
        <v>3459</v>
      </c>
      <c r="E4784" t="s">
        <v>2844</v>
      </c>
      <c r="F4784" t="s">
        <v>20</v>
      </c>
      <c r="G4784" t="s">
        <v>338</v>
      </c>
      <c r="H4784">
        <v>24722</v>
      </c>
      <c r="I4784" t="s">
        <v>23</v>
      </c>
      <c r="J4784" t="s">
        <v>95</v>
      </c>
      <c r="K4784" s="2" t="s">
        <v>902</v>
      </c>
      <c r="L4784" t="s">
        <v>26</v>
      </c>
      <c r="M4784">
        <v>326621</v>
      </c>
      <c r="N4784">
        <v>1</v>
      </c>
      <c r="O4784" s="3">
        <v>89950</v>
      </c>
      <c r="P4784" s="3">
        <v>30987</v>
      </c>
      <c r="Q4784" s="5">
        <f t="shared" si="222"/>
        <v>75588.23529411765</v>
      </c>
      <c r="R4784" s="5">
        <f t="shared" si="223"/>
        <v>30987</v>
      </c>
      <c r="S4784" s="5">
        <f t="shared" si="224"/>
        <v>44601.23529411765</v>
      </c>
    </row>
    <row r="4785" spans="1:19" hidden="1" x14ac:dyDescent="0.3">
      <c r="A4785">
        <v>190</v>
      </c>
      <c r="B4785" t="s">
        <v>5801</v>
      </c>
      <c r="C4785" t="s">
        <v>5839</v>
      </c>
      <c r="D4785" s="2" t="s">
        <v>5840</v>
      </c>
      <c r="E4785" t="s">
        <v>3874</v>
      </c>
      <c r="F4785" t="s">
        <v>20</v>
      </c>
      <c r="G4785" t="s">
        <v>21</v>
      </c>
      <c r="H4785" t="s">
        <v>618</v>
      </c>
      <c r="I4785" t="s">
        <v>23</v>
      </c>
      <c r="J4785" t="s">
        <v>40</v>
      </c>
      <c r="K4785" s="2" t="s">
        <v>902</v>
      </c>
      <c r="L4785" t="s">
        <v>26</v>
      </c>
      <c r="M4785">
        <v>326622</v>
      </c>
      <c r="N4785">
        <v>-1</v>
      </c>
      <c r="O4785" s="3">
        <v>-34990</v>
      </c>
      <c r="P4785" s="3">
        <v>16817</v>
      </c>
      <c r="Q4785" s="5">
        <f t="shared" si="222"/>
        <v>-29403.361344537818</v>
      </c>
      <c r="R4785" s="5">
        <f t="shared" si="223"/>
        <v>-16817</v>
      </c>
      <c r="S4785" s="5">
        <f t="shared" si="224"/>
        <v>-12586.361344537818</v>
      </c>
    </row>
    <row r="4786" spans="1:19" hidden="1" x14ac:dyDescent="0.3">
      <c r="A4786">
        <v>190</v>
      </c>
      <c r="B4786" t="s">
        <v>5801</v>
      </c>
      <c r="C4786" t="s">
        <v>3872</v>
      </c>
      <c r="D4786" s="2" t="s">
        <v>3873</v>
      </c>
      <c r="E4786" t="s">
        <v>3874</v>
      </c>
      <c r="F4786" t="s">
        <v>20</v>
      </c>
      <c r="G4786" t="s">
        <v>21</v>
      </c>
      <c r="H4786" t="s">
        <v>618</v>
      </c>
      <c r="I4786" t="s">
        <v>23</v>
      </c>
      <c r="J4786" t="s">
        <v>40</v>
      </c>
      <c r="K4786" s="2" t="s">
        <v>902</v>
      </c>
      <c r="L4786" t="s">
        <v>26</v>
      </c>
      <c r="M4786">
        <v>326622</v>
      </c>
      <c r="N4786">
        <v>1</v>
      </c>
      <c r="O4786" s="3">
        <v>34991</v>
      </c>
      <c r="P4786" s="3">
        <v>16817</v>
      </c>
      <c r="Q4786" s="5">
        <f t="shared" si="222"/>
        <v>29404.201680672271</v>
      </c>
      <c r="R4786" s="5">
        <f t="shared" si="223"/>
        <v>16817</v>
      </c>
      <c r="S4786" s="5">
        <f t="shared" si="224"/>
        <v>12587.201680672271</v>
      </c>
    </row>
    <row r="4787" spans="1:19" hidden="1" x14ac:dyDescent="0.3">
      <c r="A4787">
        <v>190</v>
      </c>
      <c r="B4787" t="s">
        <v>5801</v>
      </c>
      <c r="C4787" t="s">
        <v>5804</v>
      </c>
      <c r="D4787" s="2" t="s">
        <v>5805</v>
      </c>
      <c r="E4787" t="s">
        <v>4702</v>
      </c>
      <c r="F4787" t="s">
        <v>20</v>
      </c>
      <c r="G4787" t="s">
        <v>21</v>
      </c>
      <c r="H4787" t="s">
        <v>295</v>
      </c>
      <c r="I4787" t="s">
        <v>23</v>
      </c>
      <c r="J4787" t="s">
        <v>40</v>
      </c>
      <c r="K4787" s="2" t="s">
        <v>902</v>
      </c>
      <c r="L4787" t="s">
        <v>26</v>
      </c>
      <c r="M4787">
        <v>326623</v>
      </c>
      <c r="N4787">
        <v>1</v>
      </c>
      <c r="O4787" s="3">
        <v>79950</v>
      </c>
      <c r="P4787" s="3">
        <v>26951</v>
      </c>
      <c r="Q4787" s="5">
        <f t="shared" si="222"/>
        <v>67184.873949579836</v>
      </c>
      <c r="R4787" s="5">
        <f t="shared" si="223"/>
        <v>26951</v>
      </c>
      <c r="S4787" s="5">
        <f t="shared" si="224"/>
        <v>40233.873949579836</v>
      </c>
    </row>
    <row r="4788" spans="1:19" hidden="1" x14ac:dyDescent="0.3">
      <c r="A4788">
        <v>190</v>
      </c>
      <c r="B4788" t="s">
        <v>5801</v>
      </c>
      <c r="C4788" t="s">
        <v>2525</v>
      </c>
      <c r="D4788" s="2" t="s">
        <v>2526</v>
      </c>
      <c r="E4788" t="s">
        <v>2527</v>
      </c>
      <c r="F4788" t="s">
        <v>377</v>
      </c>
      <c r="G4788" t="s">
        <v>21</v>
      </c>
      <c r="H4788" t="s">
        <v>378</v>
      </c>
      <c r="I4788" t="s">
        <v>23</v>
      </c>
      <c r="J4788" t="s">
        <v>2459</v>
      </c>
      <c r="K4788" s="2" t="s">
        <v>902</v>
      </c>
      <c r="L4788" t="s">
        <v>26</v>
      </c>
      <c r="M4788">
        <v>326624</v>
      </c>
      <c r="N4788">
        <v>1</v>
      </c>
      <c r="O4788" s="3">
        <v>6950</v>
      </c>
      <c r="P4788" s="3">
        <v>2964</v>
      </c>
      <c r="Q4788" s="5">
        <f t="shared" si="222"/>
        <v>5840.3361344537816</v>
      </c>
      <c r="R4788" s="5">
        <f t="shared" si="223"/>
        <v>2964</v>
      </c>
      <c r="S4788" s="5">
        <f t="shared" si="224"/>
        <v>2876.3361344537816</v>
      </c>
    </row>
    <row r="4789" spans="1:19" hidden="1" x14ac:dyDescent="0.3">
      <c r="A4789">
        <v>190</v>
      </c>
      <c r="B4789" t="s">
        <v>5801</v>
      </c>
      <c r="C4789" t="s">
        <v>4901</v>
      </c>
      <c r="D4789" s="2" t="s">
        <v>4902</v>
      </c>
      <c r="E4789" t="s">
        <v>2629</v>
      </c>
      <c r="F4789" t="s">
        <v>20</v>
      </c>
      <c r="G4789" t="s">
        <v>21</v>
      </c>
      <c r="H4789" t="s">
        <v>1987</v>
      </c>
      <c r="I4789" t="s">
        <v>23</v>
      </c>
      <c r="J4789" t="s">
        <v>49</v>
      </c>
      <c r="K4789" s="2" t="s">
        <v>902</v>
      </c>
      <c r="L4789" t="s">
        <v>26</v>
      </c>
      <c r="M4789">
        <v>326625</v>
      </c>
      <c r="N4789">
        <v>1</v>
      </c>
      <c r="O4789" s="3">
        <v>74950</v>
      </c>
      <c r="P4789" s="3">
        <v>23391</v>
      </c>
      <c r="Q4789" s="5">
        <f t="shared" si="222"/>
        <v>62983.193277310929</v>
      </c>
      <c r="R4789" s="5">
        <f t="shared" si="223"/>
        <v>23391</v>
      </c>
      <c r="S4789" s="5">
        <f t="shared" si="224"/>
        <v>39592.193277310929</v>
      </c>
    </row>
    <row r="4790" spans="1:19" hidden="1" x14ac:dyDescent="0.3">
      <c r="A4790">
        <v>190</v>
      </c>
      <c r="B4790" t="s">
        <v>5801</v>
      </c>
      <c r="C4790" t="s">
        <v>3396</v>
      </c>
      <c r="D4790" s="2" t="s">
        <v>3397</v>
      </c>
      <c r="E4790" t="s">
        <v>494</v>
      </c>
      <c r="F4790" t="s">
        <v>20</v>
      </c>
      <c r="G4790" t="s">
        <v>21</v>
      </c>
      <c r="H4790" t="s">
        <v>317</v>
      </c>
      <c r="I4790" t="s">
        <v>23</v>
      </c>
      <c r="J4790" t="s">
        <v>35</v>
      </c>
      <c r="K4790" s="2" t="s">
        <v>902</v>
      </c>
      <c r="L4790" t="s">
        <v>26</v>
      </c>
      <c r="M4790">
        <v>326626</v>
      </c>
      <c r="N4790">
        <v>1</v>
      </c>
      <c r="O4790" s="3">
        <v>69950</v>
      </c>
      <c r="P4790" s="3">
        <v>23619</v>
      </c>
      <c r="Q4790" s="5">
        <f t="shared" si="222"/>
        <v>58781.512605042022</v>
      </c>
      <c r="R4790" s="5">
        <f t="shared" si="223"/>
        <v>23619</v>
      </c>
      <c r="S4790" s="5">
        <f t="shared" si="224"/>
        <v>35162.512605042022</v>
      </c>
    </row>
    <row r="4791" spans="1:19" hidden="1" x14ac:dyDescent="0.3">
      <c r="A4791">
        <v>190</v>
      </c>
      <c r="B4791" t="s">
        <v>5801</v>
      </c>
      <c r="C4791" t="s">
        <v>4828</v>
      </c>
      <c r="D4791" s="2" t="s">
        <v>4829</v>
      </c>
      <c r="E4791" t="s">
        <v>4830</v>
      </c>
      <c r="F4791" t="s">
        <v>20</v>
      </c>
      <c r="G4791" t="s">
        <v>338</v>
      </c>
      <c r="H4791">
        <v>24239</v>
      </c>
      <c r="I4791" t="s">
        <v>23</v>
      </c>
      <c r="J4791" t="s">
        <v>95</v>
      </c>
      <c r="K4791" s="2" t="s">
        <v>902</v>
      </c>
      <c r="L4791" t="s">
        <v>26</v>
      </c>
      <c r="M4791">
        <v>326627</v>
      </c>
      <c r="N4791">
        <v>1</v>
      </c>
      <c r="O4791" s="3">
        <v>59950</v>
      </c>
      <c r="P4791" s="3">
        <v>18677</v>
      </c>
      <c r="Q4791" s="5">
        <f t="shared" si="222"/>
        <v>50378.151260504201</v>
      </c>
      <c r="R4791" s="5">
        <f t="shared" si="223"/>
        <v>18677</v>
      </c>
      <c r="S4791" s="5">
        <f t="shared" si="224"/>
        <v>31701.151260504201</v>
      </c>
    </row>
    <row r="4792" spans="1:19" hidden="1" x14ac:dyDescent="0.3">
      <c r="A4792">
        <v>190</v>
      </c>
      <c r="B4792" t="s">
        <v>5801</v>
      </c>
      <c r="C4792" t="s">
        <v>3951</v>
      </c>
      <c r="D4792" s="2" t="s">
        <v>3952</v>
      </c>
      <c r="E4792" t="s">
        <v>2741</v>
      </c>
      <c r="F4792" t="s">
        <v>20</v>
      </c>
      <c r="G4792" t="s">
        <v>21</v>
      </c>
      <c r="H4792" t="s">
        <v>2494</v>
      </c>
      <c r="I4792" t="s">
        <v>23</v>
      </c>
      <c r="J4792" t="s">
        <v>40</v>
      </c>
      <c r="K4792" s="2" t="s">
        <v>902</v>
      </c>
      <c r="L4792" t="s">
        <v>26</v>
      </c>
      <c r="M4792">
        <v>326628</v>
      </c>
      <c r="N4792">
        <v>1</v>
      </c>
      <c r="O4792" s="3">
        <v>69950</v>
      </c>
      <c r="P4792" s="3">
        <v>23470</v>
      </c>
      <c r="Q4792" s="5">
        <f t="shared" si="222"/>
        <v>58781.512605042022</v>
      </c>
      <c r="R4792" s="5">
        <f t="shared" si="223"/>
        <v>23470</v>
      </c>
      <c r="S4792" s="5">
        <f t="shared" si="224"/>
        <v>35311.512605042022</v>
      </c>
    </row>
    <row r="4793" spans="1:19" hidden="1" x14ac:dyDescent="0.3">
      <c r="A4793">
        <v>190</v>
      </c>
      <c r="B4793" t="s">
        <v>5801</v>
      </c>
      <c r="C4793" t="s">
        <v>4669</v>
      </c>
      <c r="D4793" s="2" t="s">
        <v>4670</v>
      </c>
      <c r="E4793" t="s">
        <v>2449</v>
      </c>
      <c r="F4793" t="s">
        <v>20</v>
      </c>
      <c r="G4793" t="s">
        <v>21</v>
      </c>
      <c r="H4793" t="s">
        <v>1703</v>
      </c>
      <c r="I4793" t="s">
        <v>23</v>
      </c>
      <c r="J4793" t="s">
        <v>49</v>
      </c>
      <c r="K4793" s="2" t="s">
        <v>902</v>
      </c>
      <c r="L4793" t="s">
        <v>26</v>
      </c>
      <c r="M4793">
        <v>326629</v>
      </c>
      <c r="N4793">
        <v>1</v>
      </c>
      <c r="O4793" s="3">
        <v>74950</v>
      </c>
      <c r="P4793" s="3">
        <v>26457</v>
      </c>
      <c r="Q4793" s="5">
        <f t="shared" si="222"/>
        <v>62983.193277310929</v>
      </c>
      <c r="R4793" s="5">
        <f t="shared" si="223"/>
        <v>26457</v>
      </c>
      <c r="S4793" s="5">
        <f t="shared" si="224"/>
        <v>36526.193277310929</v>
      </c>
    </row>
    <row r="4794" spans="1:19" hidden="1" x14ac:dyDescent="0.3">
      <c r="A4794">
        <v>190</v>
      </c>
      <c r="B4794" t="s">
        <v>5801</v>
      </c>
      <c r="C4794" t="s">
        <v>5881</v>
      </c>
      <c r="D4794" s="2" t="s">
        <v>5882</v>
      </c>
      <c r="E4794" t="s">
        <v>985</v>
      </c>
      <c r="F4794" t="s">
        <v>20</v>
      </c>
      <c r="G4794" t="s">
        <v>21</v>
      </c>
      <c r="H4794" t="s">
        <v>565</v>
      </c>
      <c r="I4794" t="s">
        <v>23</v>
      </c>
      <c r="J4794" t="s">
        <v>49</v>
      </c>
      <c r="K4794" s="2" t="s">
        <v>902</v>
      </c>
      <c r="L4794" t="s">
        <v>26</v>
      </c>
      <c r="M4794">
        <v>326630</v>
      </c>
      <c r="N4794">
        <v>1</v>
      </c>
      <c r="O4794" s="3">
        <v>69950</v>
      </c>
      <c r="P4794" s="3">
        <v>27927</v>
      </c>
      <c r="Q4794" s="5">
        <f t="shared" si="222"/>
        <v>58781.512605042022</v>
      </c>
      <c r="R4794" s="5">
        <f t="shared" si="223"/>
        <v>27927</v>
      </c>
      <c r="S4794" s="5">
        <f t="shared" si="224"/>
        <v>30854.512605042022</v>
      </c>
    </row>
    <row r="4795" spans="1:19" hidden="1" x14ac:dyDescent="0.3">
      <c r="A4795">
        <v>190</v>
      </c>
      <c r="B4795" t="s">
        <v>5801</v>
      </c>
      <c r="C4795" t="s">
        <v>3689</v>
      </c>
      <c r="D4795" s="2" t="s">
        <v>3690</v>
      </c>
      <c r="E4795" t="s">
        <v>3691</v>
      </c>
      <c r="F4795" t="s">
        <v>20</v>
      </c>
      <c r="G4795" t="s">
        <v>338</v>
      </c>
      <c r="H4795">
        <v>23727</v>
      </c>
      <c r="I4795" t="s">
        <v>23</v>
      </c>
      <c r="J4795" t="s">
        <v>40</v>
      </c>
      <c r="K4795" s="2" t="s">
        <v>902</v>
      </c>
      <c r="L4795" t="s">
        <v>26</v>
      </c>
      <c r="M4795">
        <v>326631</v>
      </c>
      <c r="N4795">
        <v>1</v>
      </c>
      <c r="O4795" s="3">
        <v>49990</v>
      </c>
      <c r="P4795" s="3">
        <v>26539</v>
      </c>
      <c r="Q4795" s="5">
        <f t="shared" si="222"/>
        <v>42008.403361344543</v>
      </c>
      <c r="R4795" s="5">
        <f t="shared" si="223"/>
        <v>26539</v>
      </c>
      <c r="S4795" s="5">
        <f t="shared" si="224"/>
        <v>15469.403361344543</v>
      </c>
    </row>
    <row r="4796" spans="1:19" hidden="1" x14ac:dyDescent="0.3">
      <c r="A4796">
        <v>190</v>
      </c>
      <c r="B4796" t="s">
        <v>5801</v>
      </c>
      <c r="C4796" t="s">
        <v>1419</v>
      </c>
      <c r="D4796" s="2" t="s">
        <v>1420</v>
      </c>
      <c r="E4796" t="s">
        <v>1421</v>
      </c>
      <c r="F4796" t="s">
        <v>20</v>
      </c>
      <c r="G4796" t="s">
        <v>21</v>
      </c>
      <c r="H4796" t="s">
        <v>1422</v>
      </c>
      <c r="I4796" t="s">
        <v>23</v>
      </c>
      <c r="J4796" t="s">
        <v>49</v>
      </c>
      <c r="K4796" s="2" t="s">
        <v>902</v>
      </c>
      <c r="L4796" t="s">
        <v>26</v>
      </c>
      <c r="M4796">
        <v>326632</v>
      </c>
      <c r="N4796">
        <v>1</v>
      </c>
      <c r="O4796" s="3">
        <v>74950</v>
      </c>
      <c r="P4796" s="3">
        <v>25183</v>
      </c>
      <c r="Q4796" s="5">
        <f t="shared" si="222"/>
        <v>62983.193277310929</v>
      </c>
      <c r="R4796" s="5">
        <f t="shared" si="223"/>
        <v>25183</v>
      </c>
      <c r="S4796" s="5">
        <f t="shared" si="224"/>
        <v>37800.193277310929</v>
      </c>
    </row>
    <row r="4797" spans="1:19" hidden="1" x14ac:dyDescent="0.3">
      <c r="A4797">
        <v>190</v>
      </c>
      <c r="B4797" t="s">
        <v>5801</v>
      </c>
      <c r="C4797" t="s">
        <v>5883</v>
      </c>
      <c r="D4797" s="2" t="s">
        <v>5884</v>
      </c>
      <c r="E4797" t="s">
        <v>4301</v>
      </c>
      <c r="F4797" t="s">
        <v>20</v>
      </c>
      <c r="G4797" t="s">
        <v>21</v>
      </c>
      <c r="H4797" t="s">
        <v>3309</v>
      </c>
      <c r="I4797" t="s">
        <v>23</v>
      </c>
      <c r="J4797" t="s">
        <v>40</v>
      </c>
      <c r="K4797" s="2" t="s">
        <v>999</v>
      </c>
      <c r="L4797" t="s">
        <v>26</v>
      </c>
      <c r="M4797">
        <v>326633</v>
      </c>
      <c r="N4797">
        <v>1</v>
      </c>
      <c r="O4797" s="3">
        <v>55200</v>
      </c>
      <c r="P4797" s="3">
        <v>21130</v>
      </c>
      <c r="Q4797" s="5">
        <f t="shared" si="222"/>
        <v>46386.554621848743</v>
      </c>
      <c r="R4797" s="5">
        <f t="shared" si="223"/>
        <v>21130</v>
      </c>
      <c r="S4797" s="5">
        <f t="shared" si="224"/>
        <v>25256.554621848743</v>
      </c>
    </row>
    <row r="4798" spans="1:19" hidden="1" x14ac:dyDescent="0.3">
      <c r="A4798">
        <v>190</v>
      </c>
      <c r="B4798" t="s">
        <v>5801</v>
      </c>
      <c r="C4798" t="s">
        <v>5885</v>
      </c>
      <c r="D4798" s="2" t="s">
        <v>5886</v>
      </c>
      <c r="E4798" t="s">
        <v>599</v>
      </c>
      <c r="F4798" t="s">
        <v>20</v>
      </c>
      <c r="G4798" t="s">
        <v>21</v>
      </c>
      <c r="H4798" t="s">
        <v>600</v>
      </c>
      <c r="I4798" t="s">
        <v>23</v>
      </c>
      <c r="J4798" t="s">
        <v>40</v>
      </c>
      <c r="K4798" s="2" t="s">
        <v>999</v>
      </c>
      <c r="L4798" t="s">
        <v>26</v>
      </c>
      <c r="M4798">
        <v>326633</v>
      </c>
      <c r="N4798">
        <v>1</v>
      </c>
      <c r="O4798" s="3">
        <v>49990</v>
      </c>
      <c r="P4798" s="3">
        <v>21327</v>
      </c>
      <c r="Q4798" s="5">
        <f t="shared" si="222"/>
        <v>42008.403361344543</v>
      </c>
      <c r="R4798" s="5">
        <f t="shared" si="223"/>
        <v>21327</v>
      </c>
      <c r="S4798" s="5">
        <f t="shared" si="224"/>
        <v>20681.403361344543</v>
      </c>
    </row>
    <row r="4799" spans="1:19" hidden="1" x14ac:dyDescent="0.3">
      <c r="A4799">
        <v>190</v>
      </c>
      <c r="B4799" t="s">
        <v>5801</v>
      </c>
      <c r="C4799" t="s">
        <v>712</v>
      </c>
      <c r="D4799" s="2" t="s">
        <v>713</v>
      </c>
      <c r="E4799" t="s">
        <v>714</v>
      </c>
      <c r="F4799" t="s">
        <v>20</v>
      </c>
      <c r="G4799" t="s">
        <v>21</v>
      </c>
      <c r="H4799" t="s">
        <v>30</v>
      </c>
      <c r="I4799" t="s">
        <v>23</v>
      </c>
      <c r="J4799" t="s">
        <v>49</v>
      </c>
      <c r="K4799" s="2" t="s">
        <v>999</v>
      </c>
      <c r="L4799" t="s">
        <v>26</v>
      </c>
      <c r="M4799">
        <v>326634</v>
      </c>
      <c r="N4799">
        <v>1</v>
      </c>
      <c r="O4799" s="3">
        <v>69950</v>
      </c>
      <c r="P4799" s="3">
        <v>24583</v>
      </c>
      <c r="Q4799" s="5">
        <f t="shared" si="222"/>
        <v>58781.512605042022</v>
      </c>
      <c r="R4799" s="5">
        <f t="shared" si="223"/>
        <v>24583</v>
      </c>
      <c r="S4799" s="5">
        <f t="shared" si="224"/>
        <v>34198.512605042022</v>
      </c>
    </row>
    <row r="4800" spans="1:19" hidden="1" x14ac:dyDescent="0.3">
      <c r="A4800">
        <v>190</v>
      </c>
      <c r="B4800" t="s">
        <v>5801</v>
      </c>
      <c r="C4800" t="s">
        <v>5887</v>
      </c>
      <c r="D4800" s="2" t="s">
        <v>5888</v>
      </c>
      <c r="E4800" t="s">
        <v>2298</v>
      </c>
      <c r="F4800" t="s">
        <v>20</v>
      </c>
      <c r="G4800" t="s">
        <v>21</v>
      </c>
      <c r="H4800" t="s">
        <v>2189</v>
      </c>
      <c r="I4800" t="s">
        <v>23</v>
      </c>
      <c r="J4800" t="s">
        <v>40</v>
      </c>
      <c r="K4800" s="2" t="s">
        <v>999</v>
      </c>
      <c r="L4800" t="s">
        <v>26</v>
      </c>
      <c r="M4800">
        <v>326635</v>
      </c>
      <c r="N4800">
        <v>1</v>
      </c>
      <c r="O4800" s="3">
        <v>64950</v>
      </c>
      <c r="P4800" s="3">
        <v>20786</v>
      </c>
      <c r="Q4800" s="5">
        <f t="shared" si="222"/>
        <v>54579.831932773115</v>
      </c>
      <c r="R4800" s="5">
        <f t="shared" si="223"/>
        <v>20786</v>
      </c>
      <c r="S4800" s="5">
        <f t="shared" si="224"/>
        <v>33793.831932773115</v>
      </c>
    </row>
    <row r="4801" spans="1:19" hidden="1" x14ac:dyDescent="0.3">
      <c r="A4801">
        <v>190</v>
      </c>
      <c r="B4801" t="s">
        <v>5801</v>
      </c>
      <c r="C4801" t="s">
        <v>4202</v>
      </c>
      <c r="D4801" s="2" t="s">
        <v>4203</v>
      </c>
      <c r="E4801" t="s">
        <v>485</v>
      </c>
      <c r="F4801" t="s">
        <v>20</v>
      </c>
      <c r="G4801" t="s">
        <v>21</v>
      </c>
      <c r="H4801" t="s">
        <v>247</v>
      </c>
      <c r="I4801" t="s">
        <v>23</v>
      </c>
      <c r="J4801" t="s">
        <v>40</v>
      </c>
      <c r="K4801" s="2" t="s">
        <v>999</v>
      </c>
      <c r="L4801" t="s">
        <v>26</v>
      </c>
      <c r="M4801">
        <v>326636</v>
      </c>
      <c r="N4801">
        <v>1</v>
      </c>
      <c r="O4801" s="3">
        <v>34990</v>
      </c>
      <c r="P4801" s="3">
        <v>17194</v>
      </c>
      <c r="Q4801" s="5">
        <f t="shared" si="222"/>
        <v>29403.361344537818</v>
      </c>
      <c r="R4801" s="5">
        <f t="shared" si="223"/>
        <v>17194</v>
      </c>
      <c r="S4801" s="5">
        <f t="shared" si="224"/>
        <v>12209.361344537818</v>
      </c>
    </row>
    <row r="4802" spans="1:19" hidden="1" x14ac:dyDescent="0.3">
      <c r="A4802">
        <v>190</v>
      </c>
      <c r="B4802" t="s">
        <v>5801</v>
      </c>
      <c r="C4802" t="s">
        <v>3743</v>
      </c>
      <c r="D4802" s="2" t="s">
        <v>3744</v>
      </c>
      <c r="E4802" t="s">
        <v>1709</v>
      </c>
      <c r="F4802" t="s">
        <v>20</v>
      </c>
      <c r="G4802" t="s">
        <v>21</v>
      </c>
      <c r="H4802" t="s">
        <v>970</v>
      </c>
      <c r="I4802" t="s">
        <v>23</v>
      </c>
      <c r="J4802" t="s">
        <v>40</v>
      </c>
      <c r="K4802" s="2" t="s">
        <v>999</v>
      </c>
      <c r="L4802" t="s">
        <v>26</v>
      </c>
      <c r="M4802">
        <v>326637</v>
      </c>
      <c r="N4802">
        <v>1</v>
      </c>
      <c r="O4802" s="3">
        <v>49990</v>
      </c>
      <c r="P4802" s="3">
        <v>18897</v>
      </c>
      <c r="Q4802" s="5">
        <f t="shared" si="222"/>
        <v>42008.403361344543</v>
      </c>
      <c r="R4802" s="5">
        <f t="shared" si="223"/>
        <v>18897</v>
      </c>
      <c r="S4802" s="5">
        <f t="shared" si="224"/>
        <v>23111.403361344543</v>
      </c>
    </row>
    <row r="4803" spans="1:19" hidden="1" x14ac:dyDescent="0.3">
      <c r="A4803">
        <v>190</v>
      </c>
      <c r="B4803" t="s">
        <v>5801</v>
      </c>
      <c r="C4803" t="s">
        <v>5889</v>
      </c>
      <c r="D4803" s="2" t="s">
        <v>5890</v>
      </c>
      <c r="E4803" t="s">
        <v>3780</v>
      </c>
      <c r="F4803" t="s">
        <v>20</v>
      </c>
      <c r="G4803" t="s">
        <v>21</v>
      </c>
      <c r="H4803" t="s">
        <v>970</v>
      </c>
      <c r="I4803" t="s">
        <v>23</v>
      </c>
      <c r="J4803" t="s">
        <v>40</v>
      </c>
      <c r="K4803" s="2" t="s">
        <v>999</v>
      </c>
      <c r="L4803" t="s">
        <v>26</v>
      </c>
      <c r="M4803">
        <v>326637</v>
      </c>
      <c r="N4803">
        <v>1</v>
      </c>
      <c r="O4803" s="3">
        <v>50950</v>
      </c>
      <c r="P4803" s="3">
        <v>15928</v>
      </c>
      <c r="Q4803" s="5">
        <f t="shared" si="222"/>
        <v>42815.126050420171</v>
      </c>
      <c r="R4803" s="5">
        <f t="shared" si="223"/>
        <v>15928</v>
      </c>
      <c r="S4803" s="5">
        <f t="shared" si="224"/>
        <v>26887.126050420171</v>
      </c>
    </row>
    <row r="4804" spans="1:19" hidden="1" x14ac:dyDescent="0.3">
      <c r="A4804">
        <v>190</v>
      </c>
      <c r="B4804" t="s">
        <v>5801</v>
      </c>
      <c r="C4804" t="s">
        <v>5891</v>
      </c>
      <c r="D4804" s="2" t="s">
        <v>5892</v>
      </c>
      <c r="E4804" t="s">
        <v>2598</v>
      </c>
      <c r="F4804" t="s">
        <v>20</v>
      </c>
      <c r="G4804" t="s">
        <v>21</v>
      </c>
      <c r="H4804" t="s">
        <v>247</v>
      </c>
      <c r="I4804" t="s">
        <v>23</v>
      </c>
      <c r="J4804" t="s">
        <v>40</v>
      </c>
      <c r="K4804" s="2" t="s">
        <v>999</v>
      </c>
      <c r="L4804" t="s">
        <v>26</v>
      </c>
      <c r="M4804">
        <v>326638</v>
      </c>
      <c r="N4804">
        <v>1</v>
      </c>
      <c r="O4804" s="3">
        <v>34990</v>
      </c>
      <c r="P4804" s="3">
        <v>18016</v>
      </c>
      <c r="Q4804" s="5">
        <f t="shared" si="222"/>
        <v>29403.361344537818</v>
      </c>
      <c r="R4804" s="5">
        <f t="shared" si="223"/>
        <v>18016</v>
      </c>
      <c r="S4804" s="5">
        <f t="shared" si="224"/>
        <v>11387.361344537818</v>
      </c>
    </row>
    <row r="4805" spans="1:19" hidden="1" x14ac:dyDescent="0.3">
      <c r="A4805">
        <v>190</v>
      </c>
      <c r="B4805" t="s">
        <v>5801</v>
      </c>
      <c r="C4805" t="s">
        <v>4181</v>
      </c>
      <c r="D4805" s="2" t="s">
        <v>4182</v>
      </c>
      <c r="E4805" t="s">
        <v>631</v>
      </c>
      <c r="F4805" t="s">
        <v>20</v>
      </c>
      <c r="G4805" t="s">
        <v>21</v>
      </c>
      <c r="H4805" t="s">
        <v>632</v>
      </c>
      <c r="I4805" t="s">
        <v>23</v>
      </c>
      <c r="J4805" t="s">
        <v>40</v>
      </c>
      <c r="K4805" s="2" t="s">
        <v>999</v>
      </c>
      <c r="L4805" t="s">
        <v>26</v>
      </c>
      <c r="M4805">
        <v>326639</v>
      </c>
      <c r="N4805">
        <v>1</v>
      </c>
      <c r="O4805" s="3">
        <v>49950</v>
      </c>
      <c r="P4805" s="3">
        <v>19155</v>
      </c>
      <c r="Q4805" s="5">
        <f t="shared" si="222"/>
        <v>41974.789915966387</v>
      </c>
      <c r="R4805" s="5">
        <f t="shared" si="223"/>
        <v>19155</v>
      </c>
      <c r="S4805" s="5">
        <f t="shared" si="224"/>
        <v>22819.789915966387</v>
      </c>
    </row>
    <row r="4806" spans="1:19" hidden="1" x14ac:dyDescent="0.3">
      <c r="A4806">
        <v>190</v>
      </c>
      <c r="B4806" t="s">
        <v>5801</v>
      </c>
      <c r="C4806" t="s">
        <v>264</v>
      </c>
      <c r="D4806" s="2" t="s">
        <v>265</v>
      </c>
      <c r="E4806" t="s">
        <v>266</v>
      </c>
      <c r="F4806" t="s">
        <v>20</v>
      </c>
      <c r="G4806" t="s">
        <v>21</v>
      </c>
      <c r="H4806" t="s">
        <v>267</v>
      </c>
      <c r="I4806" t="s">
        <v>23</v>
      </c>
      <c r="J4806" t="s">
        <v>49</v>
      </c>
      <c r="K4806" s="2" t="s">
        <v>999</v>
      </c>
      <c r="L4806" t="s">
        <v>26</v>
      </c>
      <c r="M4806">
        <v>326640</v>
      </c>
      <c r="N4806">
        <v>1</v>
      </c>
      <c r="O4806" s="3">
        <v>64950</v>
      </c>
      <c r="P4806" s="3">
        <v>24504</v>
      </c>
      <c r="Q4806" s="5">
        <f t="shared" ref="Q4806:Q4869" si="225">O4806/1.19</f>
        <v>54579.831932773115</v>
      </c>
      <c r="R4806" s="5">
        <f t="shared" ref="R4806:R4869" si="226">N4806*P4806</f>
        <v>24504</v>
      </c>
      <c r="S4806" s="5">
        <f t="shared" ref="S4806:S4869" si="227">Q4806-R4806</f>
        <v>30075.831932773115</v>
      </c>
    </row>
    <row r="4807" spans="1:19" hidden="1" x14ac:dyDescent="0.3">
      <c r="A4807">
        <v>190</v>
      </c>
      <c r="B4807" t="s">
        <v>5801</v>
      </c>
      <c r="C4807" t="s">
        <v>3885</v>
      </c>
      <c r="D4807" s="2" t="s">
        <v>3886</v>
      </c>
      <c r="E4807" t="s">
        <v>2986</v>
      </c>
      <c r="F4807" t="s">
        <v>20</v>
      </c>
      <c r="G4807" t="s">
        <v>21</v>
      </c>
      <c r="H4807" t="s">
        <v>267</v>
      </c>
      <c r="I4807" t="s">
        <v>23</v>
      </c>
      <c r="J4807" t="s">
        <v>35</v>
      </c>
      <c r="K4807" s="2" t="s">
        <v>999</v>
      </c>
      <c r="L4807" t="s">
        <v>26</v>
      </c>
      <c r="M4807">
        <v>326641</v>
      </c>
      <c r="N4807">
        <v>1</v>
      </c>
      <c r="O4807" s="3">
        <v>74950</v>
      </c>
      <c r="P4807" s="3">
        <v>24733</v>
      </c>
      <c r="Q4807" s="5">
        <f t="shared" si="225"/>
        <v>62983.193277310929</v>
      </c>
      <c r="R4807" s="5">
        <f t="shared" si="226"/>
        <v>24733</v>
      </c>
      <c r="S4807" s="5">
        <f t="shared" si="227"/>
        <v>38250.193277310929</v>
      </c>
    </row>
    <row r="4808" spans="1:19" hidden="1" x14ac:dyDescent="0.3">
      <c r="A4808">
        <v>190</v>
      </c>
      <c r="B4808" t="s">
        <v>5801</v>
      </c>
      <c r="C4808" t="s">
        <v>3220</v>
      </c>
      <c r="D4808" s="2" t="s">
        <v>3221</v>
      </c>
      <c r="E4808" t="s">
        <v>2661</v>
      </c>
      <c r="F4808" t="s">
        <v>20</v>
      </c>
      <c r="G4808" t="s">
        <v>21</v>
      </c>
      <c r="H4808" t="s">
        <v>317</v>
      </c>
      <c r="I4808" t="s">
        <v>23</v>
      </c>
      <c r="J4808" t="s">
        <v>35</v>
      </c>
      <c r="K4808" s="2" t="s">
        <v>999</v>
      </c>
      <c r="L4808" t="s">
        <v>26</v>
      </c>
      <c r="M4808">
        <v>326641</v>
      </c>
      <c r="N4808">
        <v>1</v>
      </c>
      <c r="O4808" s="3">
        <v>59450</v>
      </c>
      <c r="P4808" s="3">
        <v>26119</v>
      </c>
      <c r="Q4808" s="5">
        <f t="shared" si="225"/>
        <v>49957.983193277316</v>
      </c>
      <c r="R4808" s="5">
        <f t="shared" si="226"/>
        <v>26119</v>
      </c>
      <c r="S4808" s="5">
        <f t="shared" si="227"/>
        <v>23838.983193277316</v>
      </c>
    </row>
    <row r="4809" spans="1:19" hidden="1" x14ac:dyDescent="0.3">
      <c r="A4809">
        <v>190</v>
      </c>
      <c r="B4809" t="s">
        <v>5801</v>
      </c>
      <c r="C4809" t="s">
        <v>3565</v>
      </c>
      <c r="D4809" s="2" t="s">
        <v>3566</v>
      </c>
      <c r="E4809" t="s">
        <v>3022</v>
      </c>
      <c r="F4809" t="s">
        <v>20</v>
      </c>
      <c r="G4809" t="s">
        <v>21</v>
      </c>
      <c r="H4809" t="s">
        <v>614</v>
      </c>
      <c r="I4809" t="s">
        <v>23</v>
      </c>
      <c r="J4809" t="s">
        <v>35</v>
      </c>
      <c r="K4809" s="2" t="s">
        <v>999</v>
      </c>
      <c r="L4809" t="s">
        <v>26</v>
      </c>
      <c r="M4809">
        <v>326642</v>
      </c>
      <c r="N4809">
        <v>1</v>
      </c>
      <c r="O4809" s="3">
        <v>64950</v>
      </c>
      <c r="P4809" s="3">
        <v>18266</v>
      </c>
      <c r="Q4809" s="5">
        <f t="shared" si="225"/>
        <v>54579.831932773115</v>
      </c>
      <c r="R4809" s="5">
        <f t="shared" si="226"/>
        <v>18266</v>
      </c>
      <c r="S4809" s="5">
        <f t="shared" si="227"/>
        <v>36313.831932773115</v>
      </c>
    </row>
    <row r="4810" spans="1:19" hidden="1" x14ac:dyDescent="0.3">
      <c r="A4810">
        <v>190</v>
      </c>
      <c r="B4810" t="s">
        <v>5801</v>
      </c>
      <c r="C4810" t="s">
        <v>2434</v>
      </c>
      <c r="D4810" s="2" t="s">
        <v>2435</v>
      </c>
      <c r="E4810" t="s">
        <v>2436</v>
      </c>
      <c r="F4810" t="s">
        <v>20</v>
      </c>
      <c r="G4810" t="s">
        <v>338</v>
      </c>
      <c r="H4810">
        <v>22318</v>
      </c>
      <c r="I4810" t="s">
        <v>23</v>
      </c>
      <c r="J4810" t="s">
        <v>49</v>
      </c>
      <c r="K4810" s="2" t="s">
        <v>999</v>
      </c>
      <c r="L4810" t="s">
        <v>26</v>
      </c>
      <c r="M4810">
        <v>326643</v>
      </c>
      <c r="N4810">
        <v>1</v>
      </c>
      <c r="O4810" s="3">
        <v>74950</v>
      </c>
      <c r="P4810" s="3">
        <v>23473</v>
      </c>
      <c r="Q4810" s="5">
        <f t="shared" si="225"/>
        <v>62983.193277310929</v>
      </c>
      <c r="R4810" s="5">
        <f t="shared" si="226"/>
        <v>23473</v>
      </c>
      <c r="S4810" s="5">
        <f t="shared" si="227"/>
        <v>39510.193277310929</v>
      </c>
    </row>
    <row r="4811" spans="1:19" hidden="1" x14ac:dyDescent="0.3">
      <c r="A4811">
        <v>190</v>
      </c>
      <c r="B4811" t="s">
        <v>5801</v>
      </c>
      <c r="C4811" t="s">
        <v>3802</v>
      </c>
      <c r="D4811" s="2" t="s">
        <v>3803</v>
      </c>
      <c r="E4811" t="s">
        <v>3804</v>
      </c>
      <c r="F4811" t="s">
        <v>20</v>
      </c>
      <c r="G4811" t="s">
        <v>338</v>
      </c>
      <c r="H4811">
        <v>24200</v>
      </c>
      <c r="I4811" t="s">
        <v>23</v>
      </c>
      <c r="J4811" t="s">
        <v>95</v>
      </c>
      <c r="K4811" s="2" t="s">
        <v>999</v>
      </c>
      <c r="L4811" t="s">
        <v>26</v>
      </c>
      <c r="M4811">
        <v>326643</v>
      </c>
      <c r="N4811">
        <v>1</v>
      </c>
      <c r="O4811" s="3">
        <v>72200</v>
      </c>
      <c r="P4811" s="3">
        <v>26145</v>
      </c>
      <c r="Q4811" s="5">
        <f t="shared" si="225"/>
        <v>60672.268907563026</v>
      </c>
      <c r="R4811" s="5">
        <f t="shared" si="226"/>
        <v>26145</v>
      </c>
      <c r="S4811" s="5">
        <f t="shared" si="227"/>
        <v>34527.268907563026</v>
      </c>
    </row>
    <row r="4812" spans="1:19" hidden="1" x14ac:dyDescent="0.3">
      <c r="A4812">
        <v>190</v>
      </c>
      <c r="B4812" t="s">
        <v>5801</v>
      </c>
      <c r="C4812" t="s">
        <v>2306</v>
      </c>
      <c r="D4812" s="2" t="s">
        <v>2307</v>
      </c>
      <c r="E4812" t="s">
        <v>2308</v>
      </c>
      <c r="F4812" t="s">
        <v>20</v>
      </c>
      <c r="G4812" t="s">
        <v>21</v>
      </c>
      <c r="H4812" t="s">
        <v>1337</v>
      </c>
      <c r="I4812" t="s">
        <v>23</v>
      </c>
      <c r="J4812" t="s">
        <v>49</v>
      </c>
      <c r="K4812" s="2" t="s">
        <v>999</v>
      </c>
      <c r="L4812" t="s">
        <v>26</v>
      </c>
      <c r="M4812">
        <v>326644</v>
      </c>
      <c r="N4812">
        <v>1</v>
      </c>
      <c r="O4812" s="3">
        <v>59950</v>
      </c>
      <c r="P4812" s="3">
        <v>22221</v>
      </c>
      <c r="Q4812" s="5">
        <f t="shared" si="225"/>
        <v>50378.151260504201</v>
      </c>
      <c r="R4812" s="5">
        <f t="shared" si="226"/>
        <v>22221</v>
      </c>
      <c r="S4812" s="5">
        <f t="shared" si="227"/>
        <v>28157.151260504201</v>
      </c>
    </row>
    <row r="4813" spans="1:19" hidden="1" x14ac:dyDescent="0.3">
      <c r="A4813">
        <v>190</v>
      </c>
      <c r="B4813" t="s">
        <v>5801</v>
      </c>
      <c r="C4813" t="s">
        <v>4278</v>
      </c>
      <c r="D4813" s="2" t="s">
        <v>4279</v>
      </c>
      <c r="E4813" t="s">
        <v>4280</v>
      </c>
      <c r="F4813" t="s">
        <v>20</v>
      </c>
      <c r="G4813" t="s">
        <v>21</v>
      </c>
      <c r="H4813" t="s">
        <v>3128</v>
      </c>
      <c r="I4813" t="s">
        <v>23</v>
      </c>
      <c r="J4813" t="s">
        <v>35</v>
      </c>
      <c r="K4813" s="2" t="s">
        <v>999</v>
      </c>
      <c r="L4813" t="s">
        <v>26</v>
      </c>
      <c r="M4813">
        <v>326645</v>
      </c>
      <c r="N4813">
        <v>1</v>
      </c>
      <c r="O4813" s="3">
        <v>84950</v>
      </c>
      <c r="P4813" s="3">
        <v>29189</v>
      </c>
      <c r="Q4813" s="5">
        <f t="shared" si="225"/>
        <v>71386.554621848743</v>
      </c>
      <c r="R4813" s="5">
        <f t="shared" si="226"/>
        <v>29189</v>
      </c>
      <c r="S4813" s="5">
        <f t="shared" si="227"/>
        <v>42197.554621848743</v>
      </c>
    </row>
    <row r="4814" spans="1:19" hidden="1" x14ac:dyDescent="0.3">
      <c r="A4814">
        <v>190</v>
      </c>
      <c r="B4814" t="s">
        <v>5801</v>
      </c>
      <c r="C4814" t="s">
        <v>2575</v>
      </c>
      <c r="D4814" s="2" t="s">
        <v>2576</v>
      </c>
      <c r="E4814" t="s">
        <v>2577</v>
      </c>
      <c r="F4814" t="s">
        <v>377</v>
      </c>
      <c r="G4814" t="s">
        <v>21</v>
      </c>
      <c r="H4814" t="s">
        <v>378</v>
      </c>
      <c r="I4814" t="s">
        <v>23</v>
      </c>
      <c r="J4814" t="s">
        <v>379</v>
      </c>
      <c r="K4814" s="2" t="s">
        <v>999</v>
      </c>
      <c r="L4814" t="s">
        <v>26</v>
      </c>
      <c r="M4814">
        <v>326646</v>
      </c>
      <c r="N4814">
        <v>1</v>
      </c>
      <c r="O4814" s="3">
        <v>5950</v>
      </c>
      <c r="P4814" s="3">
        <v>3307</v>
      </c>
      <c r="Q4814" s="5">
        <f t="shared" si="225"/>
        <v>5000</v>
      </c>
      <c r="R4814" s="5">
        <f t="shared" si="226"/>
        <v>3307</v>
      </c>
      <c r="S4814" s="5">
        <f t="shared" si="227"/>
        <v>1693</v>
      </c>
    </row>
    <row r="4815" spans="1:19" hidden="1" x14ac:dyDescent="0.3">
      <c r="A4815">
        <v>190</v>
      </c>
      <c r="B4815" t="s">
        <v>5801</v>
      </c>
      <c r="C4815" t="s">
        <v>5893</v>
      </c>
      <c r="D4815" s="2" t="s">
        <v>5894</v>
      </c>
      <c r="E4815" t="s">
        <v>2462</v>
      </c>
      <c r="F4815" t="s">
        <v>20</v>
      </c>
      <c r="G4815" t="s">
        <v>21</v>
      </c>
      <c r="H4815" t="s">
        <v>65</v>
      </c>
      <c r="I4815" t="s">
        <v>23</v>
      </c>
      <c r="J4815" t="s">
        <v>49</v>
      </c>
      <c r="K4815" s="2" t="s">
        <v>999</v>
      </c>
      <c r="L4815" t="s">
        <v>26</v>
      </c>
      <c r="M4815">
        <v>326647</v>
      </c>
      <c r="N4815">
        <v>1</v>
      </c>
      <c r="O4815" s="3">
        <v>64950</v>
      </c>
      <c r="P4815" s="3">
        <v>21301</v>
      </c>
      <c r="Q4815" s="5">
        <f t="shared" si="225"/>
        <v>54579.831932773115</v>
      </c>
      <c r="R4815" s="5">
        <f t="shared" si="226"/>
        <v>21301</v>
      </c>
      <c r="S4815" s="5">
        <f t="shared" si="227"/>
        <v>33278.831932773115</v>
      </c>
    </row>
    <row r="4816" spans="1:19" hidden="1" x14ac:dyDescent="0.3">
      <c r="A4816">
        <v>190</v>
      </c>
      <c r="B4816" t="s">
        <v>5801</v>
      </c>
      <c r="C4816" t="s">
        <v>5895</v>
      </c>
      <c r="D4816" s="2" t="s">
        <v>5896</v>
      </c>
      <c r="E4816" t="s">
        <v>2284</v>
      </c>
      <c r="F4816" t="s">
        <v>20</v>
      </c>
      <c r="G4816" t="s">
        <v>21</v>
      </c>
      <c r="H4816" t="s">
        <v>247</v>
      </c>
      <c r="I4816" t="s">
        <v>23</v>
      </c>
      <c r="J4816" t="s">
        <v>40</v>
      </c>
      <c r="K4816" s="2" t="s">
        <v>999</v>
      </c>
      <c r="L4816" t="s">
        <v>26</v>
      </c>
      <c r="M4816">
        <v>326648</v>
      </c>
      <c r="N4816">
        <v>1</v>
      </c>
      <c r="O4816" s="3">
        <v>50950</v>
      </c>
      <c r="P4816" s="3">
        <v>16541</v>
      </c>
      <c r="Q4816" s="5">
        <f t="shared" si="225"/>
        <v>42815.126050420171</v>
      </c>
      <c r="R4816" s="5">
        <f t="shared" si="226"/>
        <v>16541</v>
      </c>
      <c r="S4816" s="5">
        <f t="shared" si="227"/>
        <v>26274.126050420171</v>
      </c>
    </row>
    <row r="4817" spans="1:19" hidden="1" x14ac:dyDescent="0.3">
      <c r="A4817">
        <v>190</v>
      </c>
      <c r="B4817" t="s">
        <v>5801</v>
      </c>
      <c r="C4817" t="s">
        <v>2962</v>
      </c>
      <c r="D4817" s="2" t="s">
        <v>2963</v>
      </c>
      <c r="E4817" t="s">
        <v>2536</v>
      </c>
      <c r="F4817" t="s">
        <v>20</v>
      </c>
      <c r="G4817" t="s">
        <v>21</v>
      </c>
      <c r="H4817" t="s">
        <v>454</v>
      </c>
      <c r="I4817" t="s">
        <v>23</v>
      </c>
      <c r="J4817" t="s">
        <v>407</v>
      </c>
      <c r="K4817" s="2" t="s">
        <v>999</v>
      </c>
      <c r="L4817" t="s">
        <v>26</v>
      </c>
      <c r="M4817">
        <v>326648</v>
      </c>
      <c r="N4817">
        <v>1</v>
      </c>
      <c r="O4817" s="3">
        <v>39990</v>
      </c>
      <c r="P4817" s="3">
        <v>21038</v>
      </c>
      <c r="Q4817" s="5">
        <f t="shared" si="225"/>
        <v>33605.042016806721</v>
      </c>
      <c r="R4817" s="5">
        <f t="shared" si="226"/>
        <v>21038</v>
      </c>
      <c r="S4817" s="5">
        <f t="shared" si="227"/>
        <v>12567.042016806721</v>
      </c>
    </row>
    <row r="4818" spans="1:19" hidden="1" x14ac:dyDescent="0.3">
      <c r="A4818">
        <v>190</v>
      </c>
      <c r="B4818" t="s">
        <v>5801</v>
      </c>
      <c r="C4818" t="s">
        <v>3659</v>
      </c>
      <c r="D4818" s="2" t="s">
        <v>3660</v>
      </c>
      <c r="E4818" t="s">
        <v>1466</v>
      </c>
      <c r="F4818" t="s">
        <v>20</v>
      </c>
      <c r="G4818" t="s">
        <v>21</v>
      </c>
      <c r="H4818" t="s">
        <v>65</v>
      </c>
      <c r="I4818" t="s">
        <v>23</v>
      </c>
      <c r="J4818" t="s">
        <v>49</v>
      </c>
      <c r="K4818" s="2" t="s">
        <v>999</v>
      </c>
      <c r="L4818" t="s">
        <v>26</v>
      </c>
      <c r="M4818">
        <v>326649</v>
      </c>
      <c r="N4818">
        <v>1</v>
      </c>
      <c r="O4818" s="3">
        <v>64950</v>
      </c>
      <c r="P4818" s="3">
        <v>18660</v>
      </c>
      <c r="Q4818" s="5">
        <f t="shared" si="225"/>
        <v>54579.831932773115</v>
      </c>
      <c r="R4818" s="5">
        <f t="shared" si="226"/>
        <v>18660</v>
      </c>
      <c r="S4818" s="5">
        <f t="shared" si="227"/>
        <v>35919.831932773115</v>
      </c>
    </row>
    <row r="4819" spans="1:19" hidden="1" x14ac:dyDescent="0.3">
      <c r="A4819">
        <v>190</v>
      </c>
      <c r="B4819" t="s">
        <v>5801</v>
      </c>
      <c r="C4819" t="s">
        <v>3281</v>
      </c>
      <c r="D4819" s="2" t="s">
        <v>3282</v>
      </c>
      <c r="E4819" t="s">
        <v>3283</v>
      </c>
      <c r="F4819" t="s">
        <v>20</v>
      </c>
      <c r="G4819" t="s">
        <v>21</v>
      </c>
      <c r="H4819" t="s">
        <v>2494</v>
      </c>
      <c r="I4819" t="s">
        <v>23</v>
      </c>
      <c r="J4819" t="s">
        <v>40</v>
      </c>
      <c r="K4819" s="2" t="s">
        <v>999</v>
      </c>
      <c r="L4819" t="s">
        <v>26</v>
      </c>
      <c r="M4819">
        <v>326650</v>
      </c>
      <c r="N4819">
        <v>1</v>
      </c>
      <c r="O4819" s="3">
        <v>69950</v>
      </c>
      <c r="P4819" s="3">
        <v>23470</v>
      </c>
      <c r="Q4819" s="5">
        <f t="shared" si="225"/>
        <v>58781.512605042022</v>
      </c>
      <c r="R4819" s="5">
        <f t="shared" si="226"/>
        <v>23470</v>
      </c>
      <c r="S4819" s="5">
        <f t="shared" si="227"/>
        <v>35311.512605042022</v>
      </c>
    </row>
    <row r="4820" spans="1:19" hidden="1" x14ac:dyDescent="0.3">
      <c r="A4820">
        <v>190</v>
      </c>
      <c r="B4820" t="s">
        <v>5801</v>
      </c>
      <c r="C4820" t="s">
        <v>891</v>
      </c>
      <c r="D4820" s="2" t="s">
        <v>892</v>
      </c>
      <c r="E4820" t="s">
        <v>893</v>
      </c>
      <c r="F4820" t="s">
        <v>20</v>
      </c>
      <c r="G4820" t="s">
        <v>21</v>
      </c>
      <c r="H4820" t="s">
        <v>454</v>
      </c>
      <c r="I4820" t="s">
        <v>23</v>
      </c>
      <c r="J4820" t="s">
        <v>407</v>
      </c>
      <c r="K4820" s="2" t="s">
        <v>999</v>
      </c>
      <c r="L4820" t="s">
        <v>26</v>
      </c>
      <c r="M4820">
        <v>326651</v>
      </c>
      <c r="N4820">
        <v>1</v>
      </c>
      <c r="O4820" s="3">
        <v>39990</v>
      </c>
      <c r="P4820" s="3">
        <v>19061</v>
      </c>
      <c r="Q4820" s="5">
        <f t="shared" si="225"/>
        <v>33605.042016806721</v>
      </c>
      <c r="R4820" s="5">
        <f t="shared" si="226"/>
        <v>19061</v>
      </c>
      <c r="S4820" s="5">
        <f t="shared" si="227"/>
        <v>14544.042016806721</v>
      </c>
    </row>
    <row r="4821" spans="1:19" hidden="1" x14ac:dyDescent="0.3">
      <c r="A4821">
        <v>190</v>
      </c>
      <c r="B4821" t="s">
        <v>5801</v>
      </c>
      <c r="C4821" t="s">
        <v>2447</v>
      </c>
      <c r="D4821" s="2" t="s">
        <v>2448</v>
      </c>
      <c r="E4821" t="s">
        <v>2449</v>
      </c>
      <c r="F4821" t="s">
        <v>20</v>
      </c>
      <c r="G4821" t="s">
        <v>21</v>
      </c>
      <c r="H4821" t="s">
        <v>1703</v>
      </c>
      <c r="I4821" t="s">
        <v>23</v>
      </c>
      <c r="J4821" t="s">
        <v>49</v>
      </c>
      <c r="K4821" s="2" t="s">
        <v>999</v>
      </c>
      <c r="L4821" t="s">
        <v>26</v>
      </c>
      <c r="M4821">
        <v>326651</v>
      </c>
      <c r="N4821">
        <v>1</v>
      </c>
      <c r="O4821" s="3">
        <v>63700</v>
      </c>
      <c r="P4821" s="3">
        <v>26457</v>
      </c>
      <c r="Q4821" s="5">
        <f t="shared" si="225"/>
        <v>53529.411764705888</v>
      </c>
      <c r="R4821" s="5">
        <f t="shared" si="226"/>
        <v>26457</v>
      </c>
      <c r="S4821" s="5">
        <f t="shared" si="227"/>
        <v>27072.411764705888</v>
      </c>
    </row>
    <row r="4822" spans="1:19" hidden="1" x14ac:dyDescent="0.3">
      <c r="A4822">
        <v>190</v>
      </c>
      <c r="B4822" t="s">
        <v>5801</v>
      </c>
      <c r="C4822" t="s">
        <v>5897</v>
      </c>
      <c r="D4822" s="2" t="s">
        <v>5898</v>
      </c>
      <c r="E4822" t="s">
        <v>1546</v>
      </c>
      <c r="F4822" t="s">
        <v>20</v>
      </c>
      <c r="G4822" t="s">
        <v>21</v>
      </c>
      <c r="H4822" t="s">
        <v>818</v>
      </c>
      <c r="I4822" t="s">
        <v>23</v>
      </c>
      <c r="J4822" t="s">
        <v>35</v>
      </c>
      <c r="K4822" s="2" t="s">
        <v>999</v>
      </c>
      <c r="L4822" t="s">
        <v>26</v>
      </c>
      <c r="M4822">
        <v>326652</v>
      </c>
      <c r="N4822">
        <v>1</v>
      </c>
      <c r="O4822" s="3">
        <v>69990</v>
      </c>
      <c r="P4822" s="3">
        <v>34587</v>
      </c>
      <c r="Q4822" s="5">
        <f t="shared" si="225"/>
        <v>58815.126050420171</v>
      </c>
      <c r="R4822" s="5">
        <f t="shared" si="226"/>
        <v>34587</v>
      </c>
      <c r="S4822" s="5">
        <f t="shared" si="227"/>
        <v>24228.126050420171</v>
      </c>
    </row>
    <row r="4823" spans="1:19" hidden="1" x14ac:dyDescent="0.3">
      <c r="A4823">
        <v>190</v>
      </c>
      <c r="B4823" t="s">
        <v>5801</v>
      </c>
      <c r="C4823" t="s">
        <v>3281</v>
      </c>
      <c r="D4823" s="2" t="s">
        <v>3282</v>
      </c>
      <c r="E4823" t="s">
        <v>3283</v>
      </c>
      <c r="F4823" t="s">
        <v>20</v>
      </c>
      <c r="G4823" t="s">
        <v>21</v>
      </c>
      <c r="H4823" t="s">
        <v>2494</v>
      </c>
      <c r="I4823" t="s">
        <v>23</v>
      </c>
      <c r="J4823" t="s">
        <v>40</v>
      </c>
      <c r="K4823" s="2" t="s">
        <v>999</v>
      </c>
      <c r="L4823" t="s">
        <v>26</v>
      </c>
      <c r="M4823">
        <v>326653</v>
      </c>
      <c r="N4823">
        <v>1</v>
      </c>
      <c r="O4823" s="3">
        <v>69950</v>
      </c>
      <c r="P4823" s="3">
        <v>23470</v>
      </c>
      <c r="Q4823" s="5">
        <f t="shared" si="225"/>
        <v>58781.512605042022</v>
      </c>
      <c r="R4823" s="5">
        <f t="shared" si="226"/>
        <v>23470</v>
      </c>
      <c r="S4823" s="5">
        <f t="shared" si="227"/>
        <v>35311.512605042022</v>
      </c>
    </row>
    <row r="4824" spans="1:19" hidden="1" x14ac:dyDescent="0.3">
      <c r="A4824">
        <v>190</v>
      </c>
      <c r="B4824" t="s">
        <v>5801</v>
      </c>
      <c r="C4824" t="s">
        <v>4970</v>
      </c>
      <c r="D4824" s="2" t="s">
        <v>4971</v>
      </c>
      <c r="E4824" t="s">
        <v>2741</v>
      </c>
      <c r="F4824" t="s">
        <v>20</v>
      </c>
      <c r="G4824" t="s">
        <v>21</v>
      </c>
      <c r="H4824" t="s">
        <v>2494</v>
      </c>
      <c r="I4824" t="s">
        <v>23</v>
      </c>
      <c r="J4824" t="s">
        <v>40</v>
      </c>
      <c r="K4824" s="2" t="s">
        <v>999</v>
      </c>
      <c r="L4824" t="s">
        <v>26</v>
      </c>
      <c r="M4824">
        <v>326653</v>
      </c>
      <c r="N4824">
        <v>1</v>
      </c>
      <c r="O4824" s="3">
        <v>59450</v>
      </c>
      <c r="P4824" s="3">
        <v>23470</v>
      </c>
      <c r="Q4824" s="5">
        <f t="shared" si="225"/>
        <v>49957.983193277316</v>
      </c>
      <c r="R4824" s="5">
        <f t="shared" si="226"/>
        <v>23470</v>
      </c>
      <c r="S4824" s="5">
        <f t="shared" si="227"/>
        <v>26487.983193277316</v>
      </c>
    </row>
    <row r="4825" spans="1:19" hidden="1" x14ac:dyDescent="0.3">
      <c r="A4825">
        <v>190</v>
      </c>
      <c r="B4825" t="s">
        <v>5801</v>
      </c>
      <c r="C4825" t="s">
        <v>4918</v>
      </c>
      <c r="D4825" s="2" t="s">
        <v>4919</v>
      </c>
      <c r="E4825" t="s">
        <v>2255</v>
      </c>
      <c r="F4825" t="s">
        <v>20</v>
      </c>
      <c r="G4825" t="s">
        <v>338</v>
      </c>
      <c r="H4825">
        <v>22318</v>
      </c>
      <c r="I4825" t="s">
        <v>23</v>
      </c>
      <c r="J4825" t="s">
        <v>49</v>
      </c>
      <c r="K4825" s="2" t="s">
        <v>999</v>
      </c>
      <c r="L4825" t="s">
        <v>26</v>
      </c>
      <c r="M4825">
        <v>326654</v>
      </c>
      <c r="N4825">
        <v>1</v>
      </c>
      <c r="O4825" s="3">
        <v>74950</v>
      </c>
      <c r="P4825" s="3">
        <v>23473</v>
      </c>
      <c r="Q4825" s="5">
        <f t="shared" si="225"/>
        <v>62983.193277310929</v>
      </c>
      <c r="R4825" s="5">
        <f t="shared" si="226"/>
        <v>23473</v>
      </c>
      <c r="S4825" s="5">
        <f t="shared" si="227"/>
        <v>39510.193277310929</v>
      </c>
    </row>
    <row r="4826" spans="1:19" hidden="1" x14ac:dyDescent="0.3">
      <c r="A4826">
        <v>190</v>
      </c>
      <c r="B4826" t="s">
        <v>5801</v>
      </c>
      <c r="C4826" t="s">
        <v>1040</v>
      </c>
      <c r="D4826" s="2" t="s">
        <v>1041</v>
      </c>
      <c r="E4826" t="s">
        <v>1042</v>
      </c>
      <c r="F4826" t="s">
        <v>20</v>
      </c>
      <c r="G4826" t="s">
        <v>21</v>
      </c>
      <c r="H4826" t="s">
        <v>317</v>
      </c>
      <c r="I4826" t="s">
        <v>23</v>
      </c>
      <c r="J4826" t="s">
        <v>35</v>
      </c>
      <c r="K4826" s="2" t="s">
        <v>1072</v>
      </c>
      <c r="L4826" t="s">
        <v>2249</v>
      </c>
      <c r="M4826">
        <v>25324</v>
      </c>
      <c r="N4826">
        <v>-1</v>
      </c>
      <c r="O4826" s="3">
        <v>-49990</v>
      </c>
      <c r="P4826" s="3">
        <v>23072</v>
      </c>
      <c r="Q4826" s="5">
        <f t="shared" si="225"/>
        <v>-42008.403361344543</v>
      </c>
      <c r="R4826" s="5">
        <f t="shared" si="226"/>
        <v>-23072</v>
      </c>
      <c r="S4826" s="5">
        <f t="shared" si="227"/>
        <v>-18936.403361344543</v>
      </c>
    </row>
    <row r="4827" spans="1:19" hidden="1" x14ac:dyDescent="0.3">
      <c r="A4827">
        <v>190</v>
      </c>
      <c r="B4827" t="s">
        <v>5801</v>
      </c>
      <c r="C4827" t="s">
        <v>4803</v>
      </c>
      <c r="D4827" s="2" t="s">
        <v>4804</v>
      </c>
      <c r="E4827" t="s">
        <v>3486</v>
      </c>
      <c r="F4827" t="s">
        <v>20</v>
      </c>
      <c r="G4827" t="s">
        <v>21</v>
      </c>
      <c r="H4827" t="s">
        <v>247</v>
      </c>
      <c r="I4827" t="s">
        <v>23</v>
      </c>
      <c r="J4827" t="s">
        <v>40</v>
      </c>
      <c r="K4827" s="2" t="s">
        <v>1072</v>
      </c>
      <c r="L4827" t="s">
        <v>26</v>
      </c>
      <c r="M4827">
        <v>326655</v>
      </c>
      <c r="N4827">
        <v>1</v>
      </c>
      <c r="O4827" s="3">
        <v>59950</v>
      </c>
      <c r="P4827" s="3">
        <v>16103</v>
      </c>
      <c r="Q4827" s="5">
        <f t="shared" si="225"/>
        <v>50378.151260504201</v>
      </c>
      <c r="R4827" s="5">
        <f t="shared" si="226"/>
        <v>16103</v>
      </c>
      <c r="S4827" s="5">
        <f t="shared" si="227"/>
        <v>34275.151260504201</v>
      </c>
    </row>
    <row r="4828" spans="1:19" hidden="1" x14ac:dyDescent="0.3">
      <c r="A4828">
        <v>190</v>
      </c>
      <c r="B4828" t="s">
        <v>5801</v>
      </c>
      <c r="C4828" t="s">
        <v>5899</v>
      </c>
      <c r="D4828" s="2" t="s">
        <v>5900</v>
      </c>
      <c r="E4828" t="s">
        <v>873</v>
      </c>
      <c r="F4828" t="s">
        <v>20</v>
      </c>
      <c r="G4828" t="s">
        <v>21</v>
      </c>
      <c r="H4828" t="s">
        <v>874</v>
      </c>
      <c r="I4828" t="s">
        <v>23</v>
      </c>
      <c r="J4828" t="s">
        <v>95</v>
      </c>
      <c r="K4828" s="2" t="s">
        <v>1072</v>
      </c>
      <c r="L4828" t="s">
        <v>26</v>
      </c>
      <c r="M4828">
        <v>326656</v>
      </c>
      <c r="N4828">
        <v>1</v>
      </c>
      <c r="O4828" s="3">
        <v>39990</v>
      </c>
      <c r="P4828" s="3">
        <v>20699</v>
      </c>
      <c r="Q4828" s="5">
        <f t="shared" si="225"/>
        <v>33605.042016806721</v>
      </c>
      <c r="R4828" s="5">
        <f t="shared" si="226"/>
        <v>20699</v>
      </c>
      <c r="S4828" s="5">
        <f t="shared" si="227"/>
        <v>12906.042016806721</v>
      </c>
    </row>
    <row r="4829" spans="1:19" hidden="1" x14ac:dyDescent="0.3">
      <c r="A4829">
        <v>190</v>
      </c>
      <c r="B4829" t="s">
        <v>5801</v>
      </c>
      <c r="C4829" t="s">
        <v>2863</v>
      </c>
      <c r="D4829" s="2" t="s">
        <v>2864</v>
      </c>
      <c r="E4829" t="s">
        <v>2865</v>
      </c>
      <c r="F4829" t="s">
        <v>20</v>
      </c>
      <c r="G4829" t="s">
        <v>21</v>
      </c>
      <c r="H4829" t="s">
        <v>57</v>
      </c>
      <c r="I4829" t="s">
        <v>23</v>
      </c>
      <c r="J4829" t="s">
        <v>35</v>
      </c>
      <c r="K4829" s="2" t="s">
        <v>1072</v>
      </c>
      <c r="L4829" t="s">
        <v>26</v>
      </c>
      <c r="M4829">
        <v>326657</v>
      </c>
      <c r="N4829">
        <v>1</v>
      </c>
      <c r="O4829" s="3">
        <v>69950</v>
      </c>
      <c r="P4829" s="3">
        <v>29189</v>
      </c>
      <c r="Q4829" s="5">
        <f t="shared" si="225"/>
        <v>58781.512605042022</v>
      </c>
      <c r="R4829" s="5">
        <f t="shared" si="226"/>
        <v>29189</v>
      </c>
      <c r="S4829" s="5">
        <f t="shared" si="227"/>
        <v>29592.512605042022</v>
      </c>
    </row>
    <row r="4830" spans="1:19" hidden="1" x14ac:dyDescent="0.3">
      <c r="A4830">
        <v>190</v>
      </c>
      <c r="B4830" t="s">
        <v>5801</v>
      </c>
      <c r="C4830" t="s">
        <v>5901</v>
      </c>
      <c r="D4830" s="2" t="s">
        <v>5902</v>
      </c>
      <c r="E4830" t="s">
        <v>1886</v>
      </c>
      <c r="F4830" t="s">
        <v>20</v>
      </c>
      <c r="G4830" t="s">
        <v>21</v>
      </c>
      <c r="H4830" t="s">
        <v>1887</v>
      </c>
      <c r="I4830" t="s">
        <v>23</v>
      </c>
      <c r="J4830" t="s">
        <v>40</v>
      </c>
      <c r="K4830" s="2" t="s">
        <v>1072</v>
      </c>
      <c r="L4830" t="s">
        <v>26</v>
      </c>
      <c r="M4830">
        <v>326658</v>
      </c>
      <c r="N4830">
        <v>1</v>
      </c>
      <c r="O4830" s="3">
        <v>69950</v>
      </c>
      <c r="P4830" s="3">
        <v>21623</v>
      </c>
      <c r="Q4830" s="5">
        <f t="shared" si="225"/>
        <v>58781.512605042022</v>
      </c>
      <c r="R4830" s="5">
        <f t="shared" si="226"/>
        <v>21623</v>
      </c>
      <c r="S4830" s="5">
        <f t="shared" si="227"/>
        <v>37158.512605042022</v>
      </c>
    </row>
    <row r="4831" spans="1:19" hidden="1" x14ac:dyDescent="0.3">
      <c r="A4831">
        <v>190</v>
      </c>
      <c r="B4831" t="s">
        <v>5801</v>
      </c>
      <c r="C4831" t="s">
        <v>3615</v>
      </c>
      <c r="D4831" s="2" t="s">
        <v>3616</v>
      </c>
      <c r="E4831" t="s">
        <v>938</v>
      </c>
      <c r="F4831" t="s">
        <v>20</v>
      </c>
      <c r="G4831" t="s">
        <v>21</v>
      </c>
      <c r="H4831" t="s">
        <v>317</v>
      </c>
      <c r="I4831" t="s">
        <v>23</v>
      </c>
      <c r="J4831" t="s">
        <v>35</v>
      </c>
      <c r="K4831" s="2" t="s">
        <v>1072</v>
      </c>
      <c r="L4831" t="s">
        <v>26</v>
      </c>
      <c r="M4831">
        <v>326659</v>
      </c>
      <c r="N4831">
        <v>1</v>
      </c>
      <c r="O4831" s="3">
        <v>69950</v>
      </c>
      <c r="P4831" s="3">
        <v>27213</v>
      </c>
      <c r="Q4831" s="5">
        <f t="shared" si="225"/>
        <v>58781.512605042022</v>
      </c>
      <c r="R4831" s="5">
        <f t="shared" si="226"/>
        <v>27213</v>
      </c>
      <c r="S4831" s="5">
        <f t="shared" si="227"/>
        <v>31568.512605042022</v>
      </c>
    </row>
    <row r="4832" spans="1:19" hidden="1" x14ac:dyDescent="0.3">
      <c r="A4832">
        <v>190</v>
      </c>
      <c r="B4832" t="s">
        <v>5801</v>
      </c>
      <c r="C4832" t="s">
        <v>5903</v>
      </c>
      <c r="D4832" s="2" t="s">
        <v>5904</v>
      </c>
      <c r="E4832" t="s">
        <v>4380</v>
      </c>
      <c r="F4832" t="s">
        <v>20</v>
      </c>
      <c r="G4832" t="s">
        <v>21</v>
      </c>
      <c r="H4832" t="s">
        <v>1286</v>
      </c>
      <c r="I4832" t="s">
        <v>23</v>
      </c>
      <c r="J4832" t="s">
        <v>40</v>
      </c>
      <c r="K4832" s="2" t="s">
        <v>1072</v>
      </c>
      <c r="L4832" t="s">
        <v>26</v>
      </c>
      <c r="M4832">
        <v>326660</v>
      </c>
      <c r="N4832">
        <v>1</v>
      </c>
      <c r="O4832" s="3">
        <v>49990</v>
      </c>
      <c r="P4832" s="3">
        <v>24783</v>
      </c>
      <c r="Q4832" s="5">
        <f t="shared" si="225"/>
        <v>42008.403361344543</v>
      </c>
      <c r="R4832" s="5">
        <f t="shared" si="226"/>
        <v>24783</v>
      </c>
      <c r="S4832" s="5">
        <f t="shared" si="227"/>
        <v>17225.403361344543</v>
      </c>
    </row>
    <row r="4833" spans="1:19" hidden="1" x14ac:dyDescent="0.3">
      <c r="A4833">
        <v>190</v>
      </c>
      <c r="B4833" t="s">
        <v>5801</v>
      </c>
      <c r="C4833" t="s">
        <v>5905</v>
      </c>
      <c r="D4833" s="2" t="s">
        <v>5906</v>
      </c>
      <c r="E4833" t="s">
        <v>5907</v>
      </c>
      <c r="F4833" t="s">
        <v>20</v>
      </c>
      <c r="G4833" t="s">
        <v>21</v>
      </c>
      <c r="H4833" t="s">
        <v>2821</v>
      </c>
      <c r="I4833" t="s">
        <v>23</v>
      </c>
      <c r="J4833" t="s">
        <v>40</v>
      </c>
      <c r="K4833" s="2" t="s">
        <v>1072</v>
      </c>
      <c r="L4833" t="s">
        <v>26</v>
      </c>
      <c r="M4833">
        <v>326661</v>
      </c>
      <c r="N4833">
        <v>1</v>
      </c>
      <c r="O4833" s="3">
        <v>79950</v>
      </c>
      <c r="P4833" s="3">
        <v>32843</v>
      </c>
      <c r="Q4833" s="5">
        <f t="shared" si="225"/>
        <v>67184.873949579836</v>
      </c>
      <c r="R4833" s="5">
        <f t="shared" si="226"/>
        <v>32843</v>
      </c>
      <c r="S4833" s="5">
        <f t="shared" si="227"/>
        <v>34341.873949579836</v>
      </c>
    </row>
    <row r="4834" spans="1:19" hidden="1" x14ac:dyDescent="0.3">
      <c r="A4834">
        <v>190</v>
      </c>
      <c r="B4834" t="s">
        <v>5801</v>
      </c>
      <c r="C4834" t="s">
        <v>551</v>
      </c>
      <c r="D4834" s="2" t="s">
        <v>552</v>
      </c>
      <c r="E4834" t="s">
        <v>553</v>
      </c>
      <c r="F4834" t="s">
        <v>20</v>
      </c>
      <c r="G4834" t="s">
        <v>21</v>
      </c>
      <c r="H4834" t="s">
        <v>353</v>
      </c>
      <c r="I4834" t="s">
        <v>23</v>
      </c>
      <c r="J4834" t="s">
        <v>95</v>
      </c>
      <c r="K4834" s="2" t="s">
        <v>1072</v>
      </c>
      <c r="L4834" t="s">
        <v>26</v>
      </c>
      <c r="M4834">
        <v>326662</v>
      </c>
      <c r="N4834">
        <v>1</v>
      </c>
      <c r="O4834" s="3">
        <v>44990</v>
      </c>
      <c r="P4834" s="3">
        <v>31000</v>
      </c>
      <c r="Q4834" s="5">
        <f t="shared" si="225"/>
        <v>37806.722689075636</v>
      </c>
      <c r="R4834" s="5">
        <f t="shared" si="226"/>
        <v>31000</v>
      </c>
      <c r="S4834" s="5">
        <f t="shared" si="227"/>
        <v>6806.7226890756356</v>
      </c>
    </row>
    <row r="4835" spans="1:19" hidden="1" x14ac:dyDescent="0.3">
      <c r="A4835">
        <v>190</v>
      </c>
      <c r="B4835" t="s">
        <v>5801</v>
      </c>
      <c r="C4835" t="s">
        <v>5791</v>
      </c>
      <c r="D4835" s="2" t="s">
        <v>5792</v>
      </c>
      <c r="E4835" t="s">
        <v>2993</v>
      </c>
      <c r="F4835" t="s">
        <v>20</v>
      </c>
      <c r="G4835" t="s">
        <v>21</v>
      </c>
      <c r="H4835" t="s">
        <v>1887</v>
      </c>
      <c r="I4835" t="s">
        <v>23</v>
      </c>
      <c r="J4835" t="s">
        <v>40</v>
      </c>
      <c r="K4835" s="2" t="s">
        <v>1072</v>
      </c>
      <c r="L4835" t="s">
        <v>26</v>
      </c>
      <c r="M4835">
        <v>326663</v>
      </c>
      <c r="N4835">
        <v>1</v>
      </c>
      <c r="O4835" s="3">
        <v>69950</v>
      </c>
      <c r="P4835" s="3">
        <v>22018</v>
      </c>
      <c r="Q4835" s="5">
        <f t="shared" si="225"/>
        <v>58781.512605042022</v>
      </c>
      <c r="R4835" s="5">
        <f t="shared" si="226"/>
        <v>22018</v>
      </c>
      <c r="S4835" s="5">
        <f t="shared" si="227"/>
        <v>36763.512605042022</v>
      </c>
    </row>
    <row r="4836" spans="1:19" hidden="1" x14ac:dyDescent="0.3">
      <c r="A4836">
        <v>190</v>
      </c>
      <c r="B4836" t="s">
        <v>5801</v>
      </c>
      <c r="C4836" t="s">
        <v>3159</v>
      </c>
      <c r="D4836" s="2" t="s">
        <v>3160</v>
      </c>
      <c r="E4836" t="s">
        <v>1886</v>
      </c>
      <c r="F4836" t="s">
        <v>20</v>
      </c>
      <c r="G4836" t="s">
        <v>21</v>
      </c>
      <c r="H4836" t="s">
        <v>1887</v>
      </c>
      <c r="I4836" t="s">
        <v>23</v>
      </c>
      <c r="J4836" t="s">
        <v>40</v>
      </c>
      <c r="K4836" s="2" t="s">
        <v>1072</v>
      </c>
      <c r="L4836" t="s">
        <v>26</v>
      </c>
      <c r="M4836">
        <v>326664</v>
      </c>
      <c r="N4836">
        <v>1</v>
      </c>
      <c r="O4836" s="3">
        <v>69950</v>
      </c>
      <c r="P4836" s="3">
        <v>21623</v>
      </c>
      <c r="Q4836" s="5">
        <f t="shared" si="225"/>
        <v>58781.512605042022</v>
      </c>
      <c r="R4836" s="5">
        <f t="shared" si="226"/>
        <v>21623</v>
      </c>
      <c r="S4836" s="5">
        <f t="shared" si="227"/>
        <v>37158.512605042022</v>
      </c>
    </row>
    <row r="4837" spans="1:19" hidden="1" x14ac:dyDescent="0.3">
      <c r="A4837">
        <v>190</v>
      </c>
      <c r="B4837" t="s">
        <v>5801</v>
      </c>
      <c r="C4837" t="s">
        <v>5908</v>
      </c>
      <c r="D4837" s="2" t="s">
        <v>5909</v>
      </c>
      <c r="E4837" t="s">
        <v>2611</v>
      </c>
      <c r="F4837" t="s">
        <v>20</v>
      </c>
      <c r="G4837" t="s">
        <v>338</v>
      </c>
      <c r="H4837">
        <v>25312</v>
      </c>
      <c r="I4837" t="s">
        <v>23</v>
      </c>
      <c r="J4837" t="s">
        <v>35</v>
      </c>
      <c r="K4837" s="2" t="s">
        <v>1072</v>
      </c>
      <c r="L4837" t="s">
        <v>26</v>
      </c>
      <c r="M4837">
        <v>326665</v>
      </c>
      <c r="N4837">
        <v>1</v>
      </c>
      <c r="O4837" s="3">
        <v>69950</v>
      </c>
      <c r="P4837" s="3">
        <v>21167</v>
      </c>
      <c r="Q4837" s="5">
        <f t="shared" si="225"/>
        <v>58781.512605042022</v>
      </c>
      <c r="R4837" s="5">
        <f t="shared" si="226"/>
        <v>21167</v>
      </c>
      <c r="S4837" s="5">
        <f t="shared" si="227"/>
        <v>37614.512605042022</v>
      </c>
    </row>
    <row r="4838" spans="1:19" hidden="1" x14ac:dyDescent="0.3">
      <c r="A4838">
        <v>190</v>
      </c>
      <c r="B4838" t="s">
        <v>5801</v>
      </c>
      <c r="C4838" t="s">
        <v>483</v>
      </c>
      <c r="D4838" s="2" t="s">
        <v>484</v>
      </c>
      <c r="E4838" t="s">
        <v>485</v>
      </c>
      <c r="F4838" t="s">
        <v>20</v>
      </c>
      <c r="G4838" t="s">
        <v>21</v>
      </c>
      <c r="H4838" t="s">
        <v>247</v>
      </c>
      <c r="I4838" t="s">
        <v>23</v>
      </c>
      <c r="J4838" t="s">
        <v>40</v>
      </c>
      <c r="K4838" s="2" t="s">
        <v>1072</v>
      </c>
      <c r="L4838" t="s">
        <v>26</v>
      </c>
      <c r="M4838">
        <v>326666</v>
      </c>
      <c r="N4838">
        <v>1</v>
      </c>
      <c r="O4838" s="3">
        <v>34990</v>
      </c>
      <c r="P4838" s="3">
        <v>17221</v>
      </c>
      <c r="Q4838" s="5">
        <f t="shared" si="225"/>
        <v>29403.361344537818</v>
      </c>
      <c r="R4838" s="5">
        <f t="shared" si="226"/>
        <v>17221</v>
      </c>
      <c r="S4838" s="5">
        <f t="shared" si="227"/>
        <v>12182.361344537818</v>
      </c>
    </row>
    <row r="4839" spans="1:19" hidden="1" x14ac:dyDescent="0.3">
      <c r="A4839">
        <v>190</v>
      </c>
      <c r="B4839" t="s">
        <v>5801</v>
      </c>
      <c r="C4839" t="s">
        <v>3484</v>
      </c>
      <c r="D4839" s="2" t="s">
        <v>3485</v>
      </c>
      <c r="E4839" t="s">
        <v>3486</v>
      </c>
      <c r="F4839" t="s">
        <v>20</v>
      </c>
      <c r="G4839" t="s">
        <v>21</v>
      </c>
      <c r="H4839" t="s">
        <v>247</v>
      </c>
      <c r="I4839" t="s">
        <v>23</v>
      </c>
      <c r="J4839" t="s">
        <v>40</v>
      </c>
      <c r="K4839" s="2" t="s">
        <v>1072</v>
      </c>
      <c r="L4839" t="s">
        <v>26</v>
      </c>
      <c r="M4839">
        <v>326666</v>
      </c>
      <c r="N4839">
        <v>1</v>
      </c>
      <c r="O4839" s="3">
        <v>50950</v>
      </c>
      <c r="P4839" s="3">
        <v>16103</v>
      </c>
      <c r="Q4839" s="5">
        <f t="shared" si="225"/>
        <v>42815.126050420171</v>
      </c>
      <c r="R4839" s="5">
        <f t="shared" si="226"/>
        <v>16103</v>
      </c>
      <c r="S4839" s="5">
        <f t="shared" si="227"/>
        <v>26712.126050420171</v>
      </c>
    </row>
    <row r="4840" spans="1:19" hidden="1" x14ac:dyDescent="0.3">
      <c r="A4840">
        <v>190</v>
      </c>
      <c r="B4840" t="s">
        <v>5801</v>
      </c>
      <c r="C4840" t="s">
        <v>3360</v>
      </c>
      <c r="D4840" s="2" t="s">
        <v>3361</v>
      </c>
      <c r="E4840" t="s">
        <v>3003</v>
      </c>
      <c r="F4840" t="s">
        <v>20</v>
      </c>
      <c r="G4840" t="s">
        <v>338</v>
      </c>
      <c r="H4840">
        <v>25312</v>
      </c>
      <c r="I4840" t="s">
        <v>23</v>
      </c>
      <c r="J4840" t="s">
        <v>35</v>
      </c>
      <c r="K4840" s="2" t="s">
        <v>1072</v>
      </c>
      <c r="L4840" t="s">
        <v>26</v>
      </c>
      <c r="M4840">
        <v>326667</v>
      </c>
      <c r="N4840">
        <v>1</v>
      </c>
      <c r="O4840" s="3">
        <v>69950</v>
      </c>
      <c r="P4840" s="3">
        <v>21167</v>
      </c>
      <c r="Q4840" s="5">
        <f t="shared" si="225"/>
        <v>58781.512605042022</v>
      </c>
      <c r="R4840" s="5">
        <f t="shared" si="226"/>
        <v>21167</v>
      </c>
      <c r="S4840" s="5">
        <f t="shared" si="227"/>
        <v>37614.512605042022</v>
      </c>
    </row>
    <row r="4841" spans="1:19" hidden="1" x14ac:dyDescent="0.3">
      <c r="A4841">
        <v>190</v>
      </c>
      <c r="B4841" t="s">
        <v>5801</v>
      </c>
      <c r="C4841" t="s">
        <v>3647</v>
      </c>
      <c r="D4841" s="2" t="s">
        <v>3648</v>
      </c>
      <c r="E4841" t="s">
        <v>316</v>
      </c>
      <c r="F4841" t="s">
        <v>20</v>
      </c>
      <c r="G4841" t="s">
        <v>21</v>
      </c>
      <c r="H4841" t="s">
        <v>317</v>
      </c>
      <c r="I4841" t="s">
        <v>23</v>
      </c>
      <c r="J4841" t="s">
        <v>35</v>
      </c>
      <c r="K4841" s="2" t="s">
        <v>1072</v>
      </c>
      <c r="L4841" t="s">
        <v>26</v>
      </c>
      <c r="M4841">
        <v>326668</v>
      </c>
      <c r="N4841">
        <v>1</v>
      </c>
      <c r="O4841" s="3">
        <v>69950</v>
      </c>
      <c r="P4841" s="3">
        <v>24893</v>
      </c>
      <c r="Q4841" s="5">
        <f t="shared" si="225"/>
        <v>58781.512605042022</v>
      </c>
      <c r="R4841" s="5">
        <f t="shared" si="226"/>
        <v>24893</v>
      </c>
      <c r="S4841" s="5">
        <f t="shared" si="227"/>
        <v>33888.512605042022</v>
      </c>
    </row>
    <row r="4842" spans="1:19" hidden="1" x14ac:dyDescent="0.3">
      <c r="A4842">
        <v>190</v>
      </c>
      <c r="B4842" t="s">
        <v>5801</v>
      </c>
      <c r="C4842" t="s">
        <v>2625</v>
      </c>
      <c r="D4842" s="2" t="s">
        <v>2626</v>
      </c>
      <c r="E4842" t="s">
        <v>2539</v>
      </c>
      <c r="F4842" t="s">
        <v>20</v>
      </c>
      <c r="G4842" t="s">
        <v>21</v>
      </c>
      <c r="H4842" t="s">
        <v>966</v>
      </c>
      <c r="I4842" t="s">
        <v>23</v>
      </c>
      <c r="J4842" t="s">
        <v>35</v>
      </c>
      <c r="K4842" s="2" t="s">
        <v>1072</v>
      </c>
      <c r="L4842" t="s">
        <v>26</v>
      </c>
      <c r="M4842">
        <v>326669</v>
      </c>
      <c r="N4842">
        <v>1</v>
      </c>
      <c r="O4842" s="3">
        <v>74950</v>
      </c>
      <c r="P4842" s="3">
        <v>27026</v>
      </c>
      <c r="Q4842" s="5">
        <f t="shared" si="225"/>
        <v>62983.193277310929</v>
      </c>
      <c r="R4842" s="5">
        <f t="shared" si="226"/>
        <v>27026</v>
      </c>
      <c r="S4842" s="5">
        <f t="shared" si="227"/>
        <v>35957.193277310929</v>
      </c>
    </row>
    <row r="4843" spans="1:19" hidden="1" x14ac:dyDescent="0.3">
      <c r="A4843">
        <v>190</v>
      </c>
      <c r="B4843" t="s">
        <v>5801</v>
      </c>
      <c r="C4843" t="s">
        <v>2968</v>
      </c>
      <c r="D4843" s="2" t="s">
        <v>2969</v>
      </c>
      <c r="E4843" t="s">
        <v>2970</v>
      </c>
      <c r="F4843" t="s">
        <v>20</v>
      </c>
      <c r="G4843" t="s">
        <v>21</v>
      </c>
      <c r="H4843" t="s">
        <v>171</v>
      </c>
      <c r="I4843" t="s">
        <v>23</v>
      </c>
      <c r="J4843" t="s">
        <v>40</v>
      </c>
      <c r="K4843" s="2" t="s">
        <v>1072</v>
      </c>
      <c r="L4843" t="s">
        <v>26</v>
      </c>
      <c r="M4843">
        <v>326670</v>
      </c>
      <c r="N4843">
        <v>1</v>
      </c>
      <c r="O4843" s="3">
        <v>59990</v>
      </c>
      <c r="P4843" s="3">
        <v>29949</v>
      </c>
      <c r="Q4843" s="5">
        <f t="shared" si="225"/>
        <v>50411.764705882357</v>
      </c>
      <c r="R4843" s="5">
        <f t="shared" si="226"/>
        <v>29949</v>
      </c>
      <c r="S4843" s="5">
        <f t="shared" si="227"/>
        <v>20462.764705882357</v>
      </c>
    </row>
    <row r="4844" spans="1:19" hidden="1" x14ac:dyDescent="0.3">
      <c r="A4844">
        <v>190</v>
      </c>
      <c r="B4844" t="s">
        <v>5801</v>
      </c>
      <c r="C4844" t="s">
        <v>2365</v>
      </c>
      <c r="D4844" s="2" t="s">
        <v>2366</v>
      </c>
      <c r="E4844" t="s">
        <v>2367</v>
      </c>
      <c r="F4844" t="s">
        <v>377</v>
      </c>
      <c r="G4844" t="s">
        <v>21</v>
      </c>
      <c r="H4844" t="s">
        <v>378</v>
      </c>
      <c r="I4844" t="s">
        <v>23</v>
      </c>
      <c r="J4844" t="s">
        <v>379</v>
      </c>
      <c r="K4844" s="2" t="s">
        <v>1072</v>
      </c>
      <c r="L4844" t="s">
        <v>26</v>
      </c>
      <c r="M4844">
        <v>326671</v>
      </c>
      <c r="N4844">
        <v>1</v>
      </c>
      <c r="O4844" s="3">
        <v>6950</v>
      </c>
      <c r="P4844" s="3">
        <v>3759</v>
      </c>
      <c r="Q4844" s="5">
        <f t="shared" si="225"/>
        <v>5840.3361344537816</v>
      </c>
      <c r="R4844" s="5">
        <f t="shared" si="226"/>
        <v>3759</v>
      </c>
      <c r="S4844" s="5">
        <f t="shared" si="227"/>
        <v>2081.3361344537816</v>
      </c>
    </row>
    <row r="4845" spans="1:19" hidden="1" x14ac:dyDescent="0.3">
      <c r="A4845">
        <v>190</v>
      </c>
      <c r="B4845" t="s">
        <v>5801</v>
      </c>
      <c r="C4845" t="s">
        <v>2296</v>
      </c>
      <c r="D4845" s="2" t="s">
        <v>2297</v>
      </c>
      <c r="E4845" t="s">
        <v>2298</v>
      </c>
      <c r="F4845" t="s">
        <v>20</v>
      </c>
      <c r="G4845" t="s">
        <v>21</v>
      </c>
      <c r="H4845" t="s">
        <v>2189</v>
      </c>
      <c r="I4845" t="s">
        <v>23</v>
      </c>
      <c r="J4845" t="s">
        <v>40</v>
      </c>
      <c r="K4845" s="2" t="s">
        <v>1072</v>
      </c>
      <c r="L4845" t="s">
        <v>26</v>
      </c>
      <c r="M4845">
        <v>326672</v>
      </c>
      <c r="N4845">
        <v>1</v>
      </c>
      <c r="O4845" s="3">
        <v>64950</v>
      </c>
      <c r="P4845" s="3">
        <v>20781</v>
      </c>
      <c r="Q4845" s="5">
        <f t="shared" si="225"/>
        <v>54579.831932773115</v>
      </c>
      <c r="R4845" s="5">
        <f t="shared" si="226"/>
        <v>20781</v>
      </c>
      <c r="S4845" s="5">
        <f t="shared" si="227"/>
        <v>33798.831932773115</v>
      </c>
    </row>
    <row r="4846" spans="1:19" hidden="1" x14ac:dyDescent="0.3">
      <c r="A4846">
        <v>190</v>
      </c>
      <c r="B4846" t="s">
        <v>5801</v>
      </c>
      <c r="C4846" t="s">
        <v>2604</v>
      </c>
      <c r="D4846" s="2" t="s">
        <v>2605</v>
      </c>
      <c r="E4846" t="s">
        <v>2606</v>
      </c>
      <c r="F4846" t="s">
        <v>20</v>
      </c>
      <c r="G4846" t="s">
        <v>21</v>
      </c>
      <c r="H4846" t="s">
        <v>970</v>
      </c>
      <c r="I4846" t="s">
        <v>23</v>
      </c>
      <c r="J4846" t="s">
        <v>40</v>
      </c>
      <c r="K4846" s="2" t="s">
        <v>1072</v>
      </c>
      <c r="L4846" t="s">
        <v>26</v>
      </c>
      <c r="M4846">
        <v>326673</v>
      </c>
      <c r="N4846">
        <v>1</v>
      </c>
      <c r="O4846" s="3">
        <v>49990</v>
      </c>
      <c r="P4846" s="3">
        <v>18897</v>
      </c>
      <c r="Q4846" s="5">
        <f t="shared" si="225"/>
        <v>42008.403361344543</v>
      </c>
      <c r="R4846" s="5">
        <f t="shared" si="226"/>
        <v>18897</v>
      </c>
      <c r="S4846" s="5">
        <f t="shared" si="227"/>
        <v>23111.403361344543</v>
      </c>
    </row>
    <row r="4847" spans="1:19" hidden="1" x14ac:dyDescent="0.3">
      <c r="A4847">
        <v>190</v>
      </c>
      <c r="B4847" t="s">
        <v>5801</v>
      </c>
      <c r="C4847" t="s">
        <v>2584</v>
      </c>
      <c r="D4847" s="2" t="s">
        <v>2585</v>
      </c>
      <c r="E4847" t="s">
        <v>2586</v>
      </c>
      <c r="F4847" t="s">
        <v>20</v>
      </c>
      <c r="G4847" t="s">
        <v>21</v>
      </c>
      <c r="H4847" t="s">
        <v>600</v>
      </c>
      <c r="I4847" t="s">
        <v>23</v>
      </c>
      <c r="J4847" t="s">
        <v>40</v>
      </c>
      <c r="K4847" s="2" t="s">
        <v>1072</v>
      </c>
      <c r="L4847" t="s">
        <v>26</v>
      </c>
      <c r="M4847">
        <v>326674</v>
      </c>
      <c r="N4847">
        <v>1</v>
      </c>
      <c r="O4847" s="3">
        <v>49990</v>
      </c>
      <c r="P4847" s="3">
        <v>21327</v>
      </c>
      <c r="Q4847" s="5">
        <f t="shared" si="225"/>
        <v>42008.403361344543</v>
      </c>
      <c r="R4847" s="5">
        <f t="shared" si="226"/>
        <v>21327</v>
      </c>
      <c r="S4847" s="5">
        <f t="shared" si="227"/>
        <v>20681.403361344543</v>
      </c>
    </row>
    <row r="4848" spans="1:19" hidden="1" x14ac:dyDescent="0.3">
      <c r="A4848">
        <v>190</v>
      </c>
      <c r="B4848" t="s">
        <v>5801</v>
      </c>
      <c r="C4848" t="s">
        <v>5071</v>
      </c>
      <c r="D4848" s="2" t="s">
        <v>5072</v>
      </c>
      <c r="E4848" t="s">
        <v>2226</v>
      </c>
      <c r="F4848" t="s">
        <v>20</v>
      </c>
      <c r="G4848" t="s">
        <v>21</v>
      </c>
      <c r="H4848" t="s">
        <v>53</v>
      </c>
      <c r="I4848" t="s">
        <v>23</v>
      </c>
      <c r="J4848" t="s">
        <v>49</v>
      </c>
      <c r="K4848" s="2" t="s">
        <v>1072</v>
      </c>
      <c r="L4848" t="s">
        <v>26</v>
      </c>
      <c r="M4848">
        <v>326675</v>
      </c>
      <c r="N4848">
        <v>1</v>
      </c>
      <c r="O4848" s="3">
        <v>69950</v>
      </c>
      <c r="P4848" s="3">
        <v>20915</v>
      </c>
      <c r="Q4848" s="5">
        <f t="shared" si="225"/>
        <v>58781.512605042022</v>
      </c>
      <c r="R4848" s="5">
        <f t="shared" si="226"/>
        <v>20915</v>
      </c>
      <c r="S4848" s="5">
        <f t="shared" si="227"/>
        <v>37866.512605042022</v>
      </c>
    </row>
    <row r="4849" spans="1:19" hidden="1" x14ac:dyDescent="0.3">
      <c r="A4849">
        <v>190</v>
      </c>
      <c r="B4849" t="s">
        <v>5801</v>
      </c>
      <c r="C4849" t="s">
        <v>5910</v>
      </c>
      <c r="D4849" s="2" t="s">
        <v>5911</v>
      </c>
      <c r="E4849" t="s">
        <v>5912</v>
      </c>
      <c r="F4849" t="s">
        <v>20</v>
      </c>
      <c r="G4849" t="s">
        <v>21</v>
      </c>
      <c r="H4849" t="s">
        <v>632</v>
      </c>
      <c r="I4849" t="s">
        <v>23</v>
      </c>
      <c r="J4849" t="s">
        <v>40</v>
      </c>
      <c r="K4849" s="2" t="s">
        <v>1072</v>
      </c>
      <c r="L4849" t="s">
        <v>26</v>
      </c>
      <c r="M4849">
        <v>326676</v>
      </c>
      <c r="N4849">
        <v>1</v>
      </c>
      <c r="O4849" s="3">
        <v>49950</v>
      </c>
      <c r="P4849" s="3">
        <v>19155</v>
      </c>
      <c r="Q4849" s="5">
        <f t="shared" si="225"/>
        <v>41974.789915966387</v>
      </c>
      <c r="R4849" s="5">
        <f t="shared" si="226"/>
        <v>19155</v>
      </c>
      <c r="S4849" s="5">
        <f t="shared" si="227"/>
        <v>22819.789915966387</v>
      </c>
    </row>
    <row r="4850" spans="1:19" hidden="1" x14ac:dyDescent="0.3">
      <c r="A4850">
        <v>190</v>
      </c>
      <c r="B4850" t="s">
        <v>5801</v>
      </c>
      <c r="C4850" t="s">
        <v>5913</v>
      </c>
      <c r="D4850" s="2" t="s">
        <v>5914</v>
      </c>
      <c r="E4850" t="s">
        <v>4540</v>
      </c>
      <c r="F4850" t="s">
        <v>20</v>
      </c>
      <c r="G4850" t="s">
        <v>338</v>
      </c>
      <c r="H4850">
        <v>25623</v>
      </c>
      <c r="I4850" t="s">
        <v>23</v>
      </c>
      <c r="J4850" t="s">
        <v>31</v>
      </c>
      <c r="K4850" s="2" t="s">
        <v>1072</v>
      </c>
      <c r="L4850" t="s">
        <v>26</v>
      </c>
      <c r="M4850">
        <v>326677</v>
      </c>
      <c r="N4850">
        <v>1</v>
      </c>
      <c r="O4850" s="3">
        <v>99950</v>
      </c>
      <c r="P4850" s="3">
        <v>33748</v>
      </c>
      <c r="Q4850" s="5">
        <f t="shared" si="225"/>
        <v>83991.596638655465</v>
      </c>
      <c r="R4850" s="5">
        <f t="shared" si="226"/>
        <v>33748</v>
      </c>
      <c r="S4850" s="5">
        <f t="shared" si="227"/>
        <v>50243.596638655465</v>
      </c>
    </row>
    <row r="4851" spans="1:19" hidden="1" x14ac:dyDescent="0.3">
      <c r="A4851">
        <v>190</v>
      </c>
      <c r="B4851" t="s">
        <v>5801</v>
      </c>
      <c r="C4851" t="s">
        <v>4383</v>
      </c>
      <c r="D4851" s="2" t="s">
        <v>4384</v>
      </c>
      <c r="E4851" t="s">
        <v>2795</v>
      </c>
      <c r="F4851" t="s">
        <v>20</v>
      </c>
      <c r="G4851" t="s">
        <v>21</v>
      </c>
      <c r="H4851" t="s">
        <v>57</v>
      </c>
      <c r="I4851" t="s">
        <v>23</v>
      </c>
      <c r="J4851" t="s">
        <v>35</v>
      </c>
      <c r="K4851" s="2" t="s">
        <v>1072</v>
      </c>
      <c r="L4851" t="s">
        <v>26</v>
      </c>
      <c r="M4851">
        <v>326678</v>
      </c>
      <c r="N4851">
        <v>1</v>
      </c>
      <c r="O4851" s="3">
        <v>89950</v>
      </c>
      <c r="P4851" s="3">
        <v>31663</v>
      </c>
      <c r="Q4851" s="5">
        <f t="shared" si="225"/>
        <v>75588.23529411765</v>
      </c>
      <c r="R4851" s="5">
        <f t="shared" si="226"/>
        <v>31663</v>
      </c>
      <c r="S4851" s="5">
        <f t="shared" si="227"/>
        <v>43925.23529411765</v>
      </c>
    </row>
    <row r="4852" spans="1:19" hidden="1" x14ac:dyDescent="0.3">
      <c r="A4852">
        <v>190</v>
      </c>
      <c r="B4852" t="s">
        <v>5801</v>
      </c>
      <c r="C4852" t="s">
        <v>4754</v>
      </c>
      <c r="D4852" s="2" t="s">
        <v>4755</v>
      </c>
      <c r="E4852" t="s">
        <v>631</v>
      </c>
      <c r="F4852" t="s">
        <v>20</v>
      </c>
      <c r="G4852" t="s">
        <v>21</v>
      </c>
      <c r="H4852" t="s">
        <v>632</v>
      </c>
      <c r="I4852" t="s">
        <v>23</v>
      </c>
      <c r="J4852" t="s">
        <v>40</v>
      </c>
      <c r="K4852" s="2" t="s">
        <v>1072</v>
      </c>
      <c r="L4852" t="s">
        <v>26</v>
      </c>
      <c r="M4852">
        <v>326679</v>
      </c>
      <c r="N4852">
        <v>1</v>
      </c>
      <c r="O4852" s="3">
        <v>49950</v>
      </c>
      <c r="P4852" s="3">
        <v>19155</v>
      </c>
      <c r="Q4852" s="5">
        <f t="shared" si="225"/>
        <v>41974.789915966387</v>
      </c>
      <c r="R4852" s="5">
        <f t="shared" si="226"/>
        <v>19155</v>
      </c>
      <c r="S4852" s="5">
        <f t="shared" si="227"/>
        <v>22819.789915966387</v>
      </c>
    </row>
    <row r="4853" spans="1:19" hidden="1" x14ac:dyDescent="0.3">
      <c r="A4853">
        <v>190</v>
      </c>
      <c r="B4853" t="s">
        <v>5801</v>
      </c>
      <c r="C4853" t="s">
        <v>5915</v>
      </c>
      <c r="D4853" s="2" t="s">
        <v>5916</v>
      </c>
      <c r="E4853" t="s">
        <v>3633</v>
      </c>
      <c r="F4853" t="s">
        <v>20</v>
      </c>
      <c r="G4853" t="s">
        <v>21</v>
      </c>
      <c r="H4853" t="s">
        <v>1689</v>
      </c>
      <c r="I4853" t="s">
        <v>23</v>
      </c>
      <c r="J4853" t="s">
        <v>49</v>
      </c>
      <c r="K4853" s="2" t="s">
        <v>1072</v>
      </c>
      <c r="L4853" t="s">
        <v>26</v>
      </c>
      <c r="M4853">
        <v>326680</v>
      </c>
      <c r="N4853">
        <v>1</v>
      </c>
      <c r="O4853" s="3">
        <v>76450</v>
      </c>
      <c r="P4853" s="3">
        <v>39837</v>
      </c>
      <c r="Q4853" s="5">
        <f t="shared" si="225"/>
        <v>64243.697478991598</v>
      </c>
      <c r="R4853" s="5">
        <f t="shared" si="226"/>
        <v>39837</v>
      </c>
      <c r="S4853" s="5">
        <f t="shared" si="227"/>
        <v>24406.697478991598</v>
      </c>
    </row>
    <row r="4854" spans="1:19" hidden="1" x14ac:dyDescent="0.3">
      <c r="A4854">
        <v>190</v>
      </c>
      <c r="B4854" t="s">
        <v>5801</v>
      </c>
      <c r="C4854" t="s">
        <v>4766</v>
      </c>
      <c r="D4854" s="2" t="s">
        <v>4767</v>
      </c>
      <c r="E4854" t="s">
        <v>4768</v>
      </c>
      <c r="F4854" t="s">
        <v>20</v>
      </c>
      <c r="G4854" t="s">
        <v>21</v>
      </c>
      <c r="H4854" t="s">
        <v>2782</v>
      </c>
      <c r="I4854" t="s">
        <v>23</v>
      </c>
      <c r="J4854" t="s">
        <v>40</v>
      </c>
      <c r="K4854" s="2" t="s">
        <v>1072</v>
      </c>
      <c r="L4854" t="s">
        <v>26</v>
      </c>
      <c r="M4854">
        <v>326680</v>
      </c>
      <c r="N4854">
        <v>1</v>
      </c>
      <c r="O4854" s="3">
        <v>69950</v>
      </c>
      <c r="P4854" s="3">
        <v>23697</v>
      </c>
      <c r="Q4854" s="5">
        <f t="shared" si="225"/>
        <v>58781.512605042022</v>
      </c>
      <c r="R4854" s="5">
        <f t="shared" si="226"/>
        <v>23697</v>
      </c>
      <c r="S4854" s="5">
        <f t="shared" si="227"/>
        <v>35084.512605042022</v>
      </c>
    </row>
    <row r="4855" spans="1:19" hidden="1" x14ac:dyDescent="0.3">
      <c r="A4855">
        <v>190</v>
      </c>
      <c r="B4855" t="s">
        <v>5801</v>
      </c>
      <c r="C4855" t="s">
        <v>4392</v>
      </c>
      <c r="D4855" s="2" t="s">
        <v>4393</v>
      </c>
      <c r="E4855" t="s">
        <v>1491</v>
      </c>
      <c r="F4855" t="s">
        <v>20</v>
      </c>
      <c r="G4855" t="s">
        <v>21</v>
      </c>
      <c r="H4855" t="s">
        <v>610</v>
      </c>
      <c r="I4855" t="s">
        <v>23</v>
      </c>
      <c r="J4855" t="s">
        <v>40</v>
      </c>
      <c r="K4855" s="2" t="s">
        <v>1072</v>
      </c>
      <c r="L4855" t="s">
        <v>26</v>
      </c>
      <c r="M4855">
        <v>326681</v>
      </c>
      <c r="N4855">
        <v>1</v>
      </c>
      <c r="O4855" s="3">
        <v>34990</v>
      </c>
      <c r="P4855" s="3">
        <v>14680</v>
      </c>
      <c r="Q4855" s="5">
        <f t="shared" si="225"/>
        <v>29403.361344537818</v>
      </c>
      <c r="R4855" s="5">
        <f t="shared" si="226"/>
        <v>14680</v>
      </c>
      <c r="S4855" s="5">
        <f t="shared" si="227"/>
        <v>14723.361344537818</v>
      </c>
    </row>
    <row r="4856" spans="1:19" hidden="1" x14ac:dyDescent="0.3">
      <c r="A4856">
        <v>190</v>
      </c>
      <c r="B4856" t="s">
        <v>5801</v>
      </c>
      <c r="C4856" t="s">
        <v>5128</v>
      </c>
      <c r="D4856" s="2" t="s">
        <v>5129</v>
      </c>
      <c r="E4856" t="s">
        <v>1436</v>
      </c>
      <c r="F4856" t="s">
        <v>20</v>
      </c>
      <c r="G4856" t="s">
        <v>21</v>
      </c>
      <c r="H4856" t="s">
        <v>500</v>
      </c>
      <c r="I4856" t="s">
        <v>23</v>
      </c>
      <c r="J4856" t="s">
        <v>40</v>
      </c>
      <c r="K4856" s="2" t="s">
        <v>1072</v>
      </c>
      <c r="L4856" t="s">
        <v>26</v>
      </c>
      <c r="M4856">
        <v>326682</v>
      </c>
      <c r="N4856">
        <v>1</v>
      </c>
      <c r="O4856" s="3">
        <v>59950</v>
      </c>
      <c r="P4856" s="3">
        <v>17591</v>
      </c>
      <c r="Q4856" s="5">
        <f t="shared" si="225"/>
        <v>50378.151260504201</v>
      </c>
      <c r="R4856" s="5">
        <f t="shared" si="226"/>
        <v>17591</v>
      </c>
      <c r="S4856" s="5">
        <f t="shared" si="227"/>
        <v>32787.151260504201</v>
      </c>
    </row>
    <row r="4857" spans="1:19" hidden="1" x14ac:dyDescent="0.3">
      <c r="A4857">
        <v>190</v>
      </c>
      <c r="B4857" t="s">
        <v>5801</v>
      </c>
      <c r="C4857" t="s">
        <v>5917</v>
      </c>
      <c r="D4857" s="2" t="s">
        <v>5918</v>
      </c>
      <c r="E4857" t="s">
        <v>523</v>
      </c>
      <c r="F4857" t="s">
        <v>20</v>
      </c>
      <c r="G4857" t="s">
        <v>338</v>
      </c>
      <c r="H4857">
        <v>23603</v>
      </c>
      <c r="I4857" t="s">
        <v>23</v>
      </c>
      <c r="J4857" t="s">
        <v>40</v>
      </c>
      <c r="K4857" s="2" t="s">
        <v>1072</v>
      </c>
      <c r="L4857" t="s">
        <v>26</v>
      </c>
      <c r="M4857">
        <v>326683</v>
      </c>
      <c r="N4857">
        <v>1</v>
      </c>
      <c r="O4857" s="3">
        <v>69950</v>
      </c>
      <c r="P4857" s="3">
        <v>22607</v>
      </c>
      <c r="Q4857" s="5">
        <f t="shared" si="225"/>
        <v>58781.512605042022</v>
      </c>
      <c r="R4857" s="5">
        <f t="shared" si="226"/>
        <v>22607</v>
      </c>
      <c r="S4857" s="5">
        <f t="shared" si="227"/>
        <v>36174.512605042022</v>
      </c>
    </row>
    <row r="4858" spans="1:19" hidden="1" x14ac:dyDescent="0.3">
      <c r="A4858">
        <v>190</v>
      </c>
      <c r="B4858" t="s">
        <v>5801</v>
      </c>
      <c r="C4858">
        <v>1687976791</v>
      </c>
      <c r="D4858" s="2" t="s">
        <v>200</v>
      </c>
      <c r="E4858" t="s">
        <v>201</v>
      </c>
      <c r="F4858" t="s">
        <v>201</v>
      </c>
      <c r="G4858" t="s">
        <v>202</v>
      </c>
      <c r="H4858" t="s">
        <v>202</v>
      </c>
      <c r="I4858" t="s">
        <v>23</v>
      </c>
      <c r="J4858" t="s">
        <v>202</v>
      </c>
      <c r="K4858" s="2" t="s">
        <v>1072</v>
      </c>
      <c r="L4858" t="s">
        <v>26</v>
      </c>
      <c r="M4858">
        <v>326684</v>
      </c>
      <c r="N4858">
        <v>1</v>
      </c>
      <c r="O4858" s="3">
        <v>3200</v>
      </c>
      <c r="P4858">
        <v>1</v>
      </c>
      <c r="Q4858" s="5">
        <f t="shared" si="225"/>
        <v>2689.0756302521008</v>
      </c>
      <c r="R4858" s="5">
        <f t="shared" si="226"/>
        <v>1</v>
      </c>
      <c r="S4858" s="5">
        <f t="shared" si="227"/>
        <v>2688.0756302521008</v>
      </c>
    </row>
    <row r="4859" spans="1:19" hidden="1" x14ac:dyDescent="0.3">
      <c r="A4859">
        <v>190</v>
      </c>
      <c r="B4859" t="s">
        <v>5801</v>
      </c>
      <c r="C4859" t="s">
        <v>1926</v>
      </c>
      <c r="D4859" s="2" t="s">
        <v>1927</v>
      </c>
      <c r="E4859" t="s">
        <v>1042</v>
      </c>
      <c r="F4859" t="s">
        <v>20</v>
      </c>
      <c r="G4859" t="s">
        <v>21</v>
      </c>
      <c r="H4859" t="s">
        <v>317</v>
      </c>
      <c r="I4859" t="s">
        <v>23</v>
      </c>
      <c r="J4859" t="s">
        <v>35</v>
      </c>
      <c r="K4859" s="2" t="s">
        <v>1072</v>
      </c>
      <c r="L4859" t="s">
        <v>26</v>
      </c>
      <c r="M4859">
        <v>326684</v>
      </c>
      <c r="N4859">
        <v>1</v>
      </c>
      <c r="O4859" s="3">
        <v>49990</v>
      </c>
      <c r="P4859" s="3">
        <v>23402</v>
      </c>
      <c r="Q4859" s="5">
        <f t="shared" si="225"/>
        <v>42008.403361344543</v>
      </c>
      <c r="R4859" s="5">
        <f t="shared" si="226"/>
        <v>23402</v>
      </c>
      <c r="S4859" s="5">
        <f t="shared" si="227"/>
        <v>18606.403361344543</v>
      </c>
    </row>
    <row r="4860" spans="1:19" hidden="1" x14ac:dyDescent="0.3">
      <c r="A4860">
        <v>190</v>
      </c>
      <c r="B4860" t="s">
        <v>5801</v>
      </c>
      <c r="C4860" t="s">
        <v>4561</v>
      </c>
      <c r="D4860" s="2" t="s">
        <v>4562</v>
      </c>
      <c r="E4860" t="s">
        <v>3345</v>
      </c>
      <c r="F4860" t="s">
        <v>20</v>
      </c>
      <c r="G4860" t="s">
        <v>338</v>
      </c>
      <c r="H4860">
        <v>25354</v>
      </c>
      <c r="I4860" t="s">
        <v>23</v>
      </c>
      <c r="J4860" t="s">
        <v>35</v>
      </c>
      <c r="K4860" s="2" t="s">
        <v>1072</v>
      </c>
      <c r="L4860" t="s">
        <v>26</v>
      </c>
      <c r="M4860">
        <v>326685</v>
      </c>
      <c r="N4860">
        <v>1</v>
      </c>
      <c r="O4860" s="3">
        <v>69950</v>
      </c>
      <c r="P4860" s="3">
        <v>21167</v>
      </c>
      <c r="Q4860" s="5">
        <f t="shared" si="225"/>
        <v>58781.512605042022</v>
      </c>
      <c r="R4860" s="5">
        <f t="shared" si="226"/>
        <v>21167</v>
      </c>
      <c r="S4860" s="5">
        <f t="shared" si="227"/>
        <v>37614.512605042022</v>
      </c>
    </row>
    <row r="4861" spans="1:19" hidden="1" x14ac:dyDescent="0.3">
      <c r="A4861">
        <v>190</v>
      </c>
      <c r="B4861" t="s">
        <v>5801</v>
      </c>
      <c r="C4861" t="s">
        <v>3286</v>
      </c>
      <c r="D4861" s="2" t="s">
        <v>3287</v>
      </c>
      <c r="E4861" t="s">
        <v>2226</v>
      </c>
      <c r="F4861" t="s">
        <v>20</v>
      </c>
      <c r="G4861" t="s">
        <v>21</v>
      </c>
      <c r="H4861" t="s">
        <v>53</v>
      </c>
      <c r="I4861" t="s">
        <v>23</v>
      </c>
      <c r="J4861" t="s">
        <v>49</v>
      </c>
      <c r="K4861" s="2" t="s">
        <v>1072</v>
      </c>
      <c r="L4861" t="s">
        <v>26</v>
      </c>
      <c r="M4861">
        <v>326686</v>
      </c>
      <c r="N4861">
        <v>1</v>
      </c>
      <c r="O4861" s="3">
        <v>69950</v>
      </c>
      <c r="P4861" s="3">
        <v>20849</v>
      </c>
      <c r="Q4861" s="5">
        <f t="shared" si="225"/>
        <v>58781.512605042022</v>
      </c>
      <c r="R4861" s="5">
        <f t="shared" si="226"/>
        <v>20849</v>
      </c>
      <c r="S4861" s="5">
        <f t="shared" si="227"/>
        <v>37932.512605042022</v>
      </c>
    </row>
    <row r="4862" spans="1:19" hidden="1" x14ac:dyDescent="0.3">
      <c r="A4862">
        <v>190</v>
      </c>
      <c r="B4862" t="s">
        <v>5801</v>
      </c>
      <c r="C4862" t="s">
        <v>264</v>
      </c>
      <c r="D4862" s="2" t="s">
        <v>265</v>
      </c>
      <c r="E4862" t="s">
        <v>266</v>
      </c>
      <c r="F4862" t="s">
        <v>20</v>
      </c>
      <c r="G4862" t="s">
        <v>21</v>
      </c>
      <c r="H4862" t="s">
        <v>267</v>
      </c>
      <c r="I4862" t="s">
        <v>23</v>
      </c>
      <c r="J4862" t="s">
        <v>49</v>
      </c>
      <c r="K4862" s="2" t="s">
        <v>1072</v>
      </c>
      <c r="L4862" t="s">
        <v>26</v>
      </c>
      <c r="M4862">
        <v>326687</v>
      </c>
      <c r="N4862">
        <v>1</v>
      </c>
      <c r="O4862" s="3">
        <v>64950</v>
      </c>
      <c r="P4862" s="3">
        <v>24504</v>
      </c>
      <c r="Q4862" s="5">
        <f t="shared" si="225"/>
        <v>54579.831932773115</v>
      </c>
      <c r="R4862" s="5">
        <f t="shared" si="226"/>
        <v>24504</v>
      </c>
      <c r="S4862" s="5">
        <f t="shared" si="227"/>
        <v>30075.831932773115</v>
      </c>
    </row>
    <row r="4863" spans="1:19" hidden="1" x14ac:dyDescent="0.3">
      <c r="A4863">
        <v>190</v>
      </c>
      <c r="B4863" t="s">
        <v>5801</v>
      </c>
      <c r="C4863" t="s">
        <v>5660</v>
      </c>
      <c r="D4863" s="2" t="s">
        <v>5661</v>
      </c>
      <c r="E4863" t="s">
        <v>2810</v>
      </c>
      <c r="F4863" t="s">
        <v>20</v>
      </c>
      <c r="G4863" t="s">
        <v>21</v>
      </c>
      <c r="H4863" t="s">
        <v>1987</v>
      </c>
      <c r="I4863" t="s">
        <v>23</v>
      </c>
      <c r="J4863" t="s">
        <v>35</v>
      </c>
      <c r="K4863" s="2" t="s">
        <v>1072</v>
      </c>
      <c r="L4863" t="s">
        <v>26</v>
      </c>
      <c r="M4863">
        <v>326688</v>
      </c>
      <c r="N4863">
        <v>1</v>
      </c>
      <c r="O4863" s="3">
        <v>89950</v>
      </c>
      <c r="P4863" s="3">
        <v>29858</v>
      </c>
      <c r="Q4863" s="5">
        <f t="shared" si="225"/>
        <v>75588.23529411765</v>
      </c>
      <c r="R4863" s="5">
        <f t="shared" si="226"/>
        <v>29858</v>
      </c>
      <c r="S4863" s="5">
        <f t="shared" si="227"/>
        <v>45730.23529411765</v>
      </c>
    </row>
    <row r="4864" spans="1:19" hidden="1" x14ac:dyDescent="0.3">
      <c r="A4864">
        <v>190</v>
      </c>
      <c r="B4864" t="s">
        <v>5801</v>
      </c>
      <c r="C4864" t="s">
        <v>3281</v>
      </c>
      <c r="D4864" s="2" t="s">
        <v>3282</v>
      </c>
      <c r="E4864" t="s">
        <v>3283</v>
      </c>
      <c r="F4864" t="s">
        <v>20</v>
      </c>
      <c r="G4864" t="s">
        <v>21</v>
      </c>
      <c r="H4864" t="s">
        <v>2494</v>
      </c>
      <c r="I4864" t="s">
        <v>23</v>
      </c>
      <c r="J4864" t="s">
        <v>40</v>
      </c>
      <c r="K4864" s="2" t="s">
        <v>2693</v>
      </c>
      <c r="L4864" t="s">
        <v>26</v>
      </c>
      <c r="M4864">
        <v>326689</v>
      </c>
      <c r="N4864">
        <v>-1</v>
      </c>
      <c r="O4864" s="3">
        <v>-69950</v>
      </c>
      <c r="P4864" s="3">
        <v>23470</v>
      </c>
      <c r="Q4864" s="5">
        <f t="shared" si="225"/>
        <v>-58781.512605042022</v>
      </c>
      <c r="R4864" s="5">
        <f t="shared" si="226"/>
        <v>-23470</v>
      </c>
      <c r="S4864" s="5">
        <f t="shared" si="227"/>
        <v>-35311.512605042022</v>
      </c>
    </row>
    <row r="4865" spans="1:19" hidden="1" x14ac:dyDescent="0.3">
      <c r="A4865">
        <v>190</v>
      </c>
      <c r="B4865" t="s">
        <v>5801</v>
      </c>
      <c r="C4865" t="s">
        <v>5919</v>
      </c>
      <c r="D4865" s="2" t="s">
        <v>5920</v>
      </c>
      <c r="E4865" t="s">
        <v>3335</v>
      </c>
      <c r="F4865" t="s">
        <v>20</v>
      </c>
      <c r="G4865" t="s">
        <v>338</v>
      </c>
      <c r="H4865">
        <v>25273</v>
      </c>
      <c r="I4865" t="s">
        <v>23</v>
      </c>
      <c r="J4865" t="s">
        <v>35</v>
      </c>
      <c r="K4865" s="2" t="s">
        <v>2693</v>
      </c>
      <c r="L4865" t="s">
        <v>26</v>
      </c>
      <c r="M4865">
        <v>326689</v>
      </c>
      <c r="N4865">
        <v>1</v>
      </c>
      <c r="O4865" s="3">
        <v>99950</v>
      </c>
      <c r="P4865" s="3">
        <v>32658</v>
      </c>
      <c r="Q4865" s="5">
        <f t="shared" si="225"/>
        <v>83991.596638655465</v>
      </c>
      <c r="R4865" s="5">
        <f t="shared" si="226"/>
        <v>32658</v>
      </c>
      <c r="S4865" s="5">
        <f t="shared" si="227"/>
        <v>51333.596638655465</v>
      </c>
    </row>
    <row r="4866" spans="1:19" hidden="1" x14ac:dyDescent="0.3">
      <c r="A4866">
        <v>190</v>
      </c>
      <c r="B4866" t="s">
        <v>5801</v>
      </c>
      <c r="C4866" t="s">
        <v>2900</v>
      </c>
      <c r="D4866" s="2" t="s">
        <v>2901</v>
      </c>
      <c r="E4866" t="s">
        <v>2902</v>
      </c>
      <c r="F4866" t="s">
        <v>20</v>
      </c>
      <c r="G4866" t="s">
        <v>21</v>
      </c>
      <c r="H4866" t="s">
        <v>267</v>
      </c>
      <c r="I4866" t="s">
        <v>23</v>
      </c>
      <c r="J4866" t="s">
        <v>49</v>
      </c>
      <c r="K4866" s="2" t="s">
        <v>2693</v>
      </c>
      <c r="L4866" t="s">
        <v>26</v>
      </c>
      <c r="M4866">
        <v>326690</v>
      </c>
      <c r="N4866">
        <v>1</v>
      </c>
      <c r="O4866" s="3">
        <v>64950</v>
      </c>
      <c r="P4866" s="3">
        <v>24504</v>
      </c>
      <c r="Q4866" s="5">
        <f t="shared" si="225"/>
        <v>54579.831932773115</v>
      </c>
      <c r="R4866" s="5">
        <f t="shared" si="226"/>
        <v>24504</v>
      </c>
      <c r="S4866" s="5">
        <f t="shared" si="227"/>
        <v>30075.831932773115</v>
      </c>
    </row>
    <row r="4867" spans="1:19" hidden="1" x14ac:dyDescent="0.3">
      <c r="A4867">
        <v>190</v>
      </c>
      <c r="B4867" t="s">
        <v>5801</v>
      </c>
      <c r="C4867" t="s">
        <v>4243</v>
      </c>
      <c r="D4867" s="2" t="s">
        <v>4244</v>
      </c>
      <c r="E4867" t="s">
        <v>1758</v>
      </c>
      <c r="F4867" t="s">
        <v>20</v>
      </c>
      <c r="G4867" t="s">
        <v>338</v>
      </c>
      <c r="H4867">
        <v>25133</v>
      </c>
      <c r="I4867" t="s">
        <v>23</v>
      </c>
      <c r="J4867" t="s">
        <v>35</v>
      </c>
      <c r="K4867" s="2" t="s">
        <v>2693</v>
      </c>
      <c r="L4867" t="s">
        <v>26</v>
      </c>
      <c r="M4867">
        <v>326691</v>
      </c>
      <c r="N4867">
        <v>1</v>
      </c>
      <c r="O4867" s="3">
        <v>74950</v>
      </c>
      <c r="P4867" s="3">
        <v>21167</v>
      </c>
      <c r="Q4867" s="5">
        <f t="shared" si="225"/>
        <v>62983.193277310929</v>
      </c>
      <c r="R4867" s="5">
        <f t="shared" si="226"/>
        <v>21167</v>
      </c>
      <c r="S4867" s="5">
        <f t="shared" si="227"/>
        <v>41816.193277310929</v>
      </c>
    </row>
    <row r="4868" spans="1:19" hidden="1" x14ac:dyDescent="0.3">
      <c r="A4868">
        <v>190</v>
      </c>
      <c r="B4868" t="s">
        <v>5801</v>
      </c>
      <c r="C4868" t="s">
        <v>4043</v>
      </c>
      <c r="D4868" s="2" t="s">
        <v>4044</v>
      </c>
      <c r="E4868" t="s">
        <v>3277</v>
      </c>
      <c r="F4868" t="s">
        <v>20</v>
      </c>
      <c r="G4868" t="s">
        <v>21</v>
      </c>
      <c r="H4868" t="s">
        <v>57</v>
      </c>
      <c r="I4868" t="s">
        <v>23</v>
      </c>
      <c r="J4868" t="s">
        <v>35</v>
      </c>
      <c r="K4868" s="2" t="s">
        <v>2693</v>
      </c>
      <c r="L4868" t="s">
        <v>26</v>
      </c>
      <c r="M4868">
        <v>326691</v>
      </c>
      <c r="N4868">
        <v>1</v>
      </c>
      <c r="O4868" s="3">
        <v>76450</v>
      </c>
      <c r="P4868" s="3">
        <v>30749</v>
      </c>
      <c r="Q4868" s="5">
        <f t="shared" si="225"/>
        <v>64243.697478991598</v>
      </c>
      <c r="R4868" s="5">
        <f t="shared" si="226"/>
        <v>30749</v>
      </c>
      <c r="S4868" s="5">
        <f t="shared" si="227"/>
        <v>33494.697478991598</v>
      </c>
    </row>
    <row r="4869" spans="1:19" hidden="1" x14ac:dyDescent="0.3">
      <c r="A4869">
        <v>190</v>
      </c>
      <c r="B4869" t="s">
        <v>5801</v>
      </c>
      <c r="C4869" t="s">
        <v>2625</v>
      </c>
      <c r="D4869" s="2" t="s">
        <v>2626</v>
      </c>
      <c r="E4869" t="s">
        <v>2539</v>
      </c>
      <c r="F4869" t="s">
        <v>20</v>
      </c>
      <c r="G4869" t="s">
        <v>21</v>
      </c>
      <c r="H4869" t="s">
        <v>966</v>
      </c>
      <c r="I4869" t="s">
        <v>23</v>
      </c>
      <c r="J4869" t="s">
        <v>35</v>
      </c>
      <c r="K4869" s="2" t="s">
        <v>2693</v>
      </c>
      <c r="L4869" t="s">
        <v>26</v>
      </c>
      <c r="M4869">
        <v>326692</v>
      </c>
      <c r="N4869">
        <v>1</v>
      </c>
      <c r="O4869" s="3">
        <v>63700</v>
      </c>
      <c r="P4869" s="3">
        <v>27026</v>
      </c>
      <c r="Q4869" s="5">
        <f t="shared" si="225"/>
        <v>53529.411764705888</v>
      </c>
      <c r="R4869" s="5">
        <f t="shared" si="226"/>
        <v>27026</v>
      </c>
      <c r="S4869" s="5">
        <f t="shared" si="227"/>
        <v>26503.411764705888</v>
      </c>
    </row>
    <row r="4870" spans="1:19" hidden="1" x14ac:dyDescent="0.3">
      <c r="A4870">
        <v>190</v>
      </c>
      <c r="B4870" t="s">
        <v>5801</v>
      </c>
      <c r="C4870" t="s">
        <v>3487</v>
      </c>
      <c r="D4870" s="2" t="s">
        <v>3488</v>
      </c>
      <c r="E4870" t="s">
        <v>2795</v>
      </c>
      <c r="F4870" t="s">
        <v>20</v>
      </c>
      <c r="G4870" t="s">
        <v>21</v>
      </c>
      <c r="H4870" t="s">
        <v>57</v>
      </c>
      <c r="I4870" t="s">
        <v>23</v>
      </c>
      <c r="J4870" t="s">
        <v>35</v>
      </c>
      <c r="K4870" s="2" t="s">
        <v>2693</v>
      </c>
      <c r="L4870" t="s">
        <v>26</v>
      </c>
      <c r="M4870">
        <v>326692</v>
      </c>
      <c r="N4870">
        <v>1</v>
      </c>
      <c r="O4870" s="3">
        <v>89950</v>
      </c>
      <c r="P4870" s="3">
        <v>31783</v>
      </c>
      <c r="Q4870" s="5">
        <f t="shared" ref="Q4870:Q4933" si="228">O4870/1.19</f>
        <v>75588.23529411765</v>
      </c>
      <c r="R4870" s="5">
        <f t="shared" ref="R4870:R4933" si="229">N4870*P4870</f>
        <v>31783</v>
      </c>
      <c r="S4870" s="5">
        <f t="shared" ref="S4870:S4933" si="230">Q4870-R4870</f>
        <v>43805.23529411765</v>
      </c>
    </row>
    <row r="4871" spans="1:19" hidden="1" x14ac:dyDescent="0.3">
      <c r="A4871">
        <v>190</v>
      </c>
      <c r="B4871" t="s">
        <v>5801</v>
      </c>
      <c r="C4871" t="s">
        <v>1037</v>
      </c>
      <c r="D4871" s="2" t="s">
        <v>1038</v>
      </c>
      <c r="E4871" t="s">
        <v>1039</v>
      </c>
      <c r="F4871" t="s">
        <v>377</v>
      </c>
      <c r="G4871" t="s">
        <v>21</v>
      </c>
      <c r="H4871" t="s">
        <v>378</v>
      </c>
      <c r="I4871" t="s">
        <v>23</v>
      </c>
      <c r="J4871" t="s">
        <v>379</v>
      </c>
      <c r="K4871" s="2" t="s">
        <v>2693</v>
      </c>
      <c r="L4871" t="s">
        <v>26</v>
      </c>
      <c r="M4871">
        <v>326692</v>
      </c>
      <c r="N4871">
        <v>1</v>
      </c>
      <c r="O4871" s="3">
        <v>5950</v>
      </c>
      <c r="P4871" s="3">
        <v>3257</v>
      </c>
      <c r="Q4871" s="5">
        <f t="shared" si="228"/>
        <v>5000</v>
      </c>
      <c r="R4871" s="5">
        <f t="shared" si="229"/>
        <v>3257</v>
      </c>
      <c r="S4871" s="5">
        <f t="shared" si="230"/>
        <v>1743</v>
      </c>
    </row>
    <row r="4872" spans="1:19" hidden="1" x14ac:dyDescent="0.3">
      <c r="A4872">
        <v>190</v>
      </c>
      <c r="B4872" t="s">
        <v>5801</v>
      </c>
      <c r="C4872" t="s">
        <v>5921</v>
      </c>
      <c r="D4872" s="2" t="s">
        <v>5922</v>
      </c>
      <c r="E4872" t="s">
        <v>2069</v>
      </c>
      <c r="F4872" t="s">
        <v>20</v>
      </c>
      <c r="G4872" t="s">
        <v>21</v>
      </c>
      <c r="H4872" t="s">
        <v>2070</v>
      </c>
      <c r="I4872" t="s">
        <v>23</v>
      </c>
      <c r="J4872" t="s">
        <v>35</v>
      </c>
      <c r="K4872" s="2" t="s">
        <v>2693</v>
      </c>
      <c r="L4872" t="s">
        <v>26</v>
      </c>
      <c r="M4872">
        <v>326693</v>
      </c>
      <c r="N4872">
        <v>1</v>
      </c>
      <c r="O4872" s="3">
        <v>76450</v>
      </c>
      <c r="P4872" s="3">
        <v>29635</v>
      </c>
      <c r="Q4872" s="5">
        <f t="shared" si="228"/>
        <v>64243.697478991598</v>
      </c>
      <c r="R4872" s="5">
        <f t="shared" si="229"/>
        <v>29635</v>
      </c>
      <c r="S4872" s="5">
        <f t="shared" si="230"/>
        <v>34608.697478991598</v>
      </c>
    </row>
    <row r="4873" spans="1:19" hidden="1" x14ac:dyDescent="0.3">
      <c r="A4873">
        <v>190</v>
      </c>
      <c r="B4873" t="s">
        <v>5801</v>
      </c>
      <c r="C4873" t="s">
        <v>3898</v>
      </c>
      <c r="D4873" s="2" t="s">
        <v>3899</v>
      </c>
      <c r="E4873" t="s">
        <v>2741</v>
      </c>
      <c r="F4873" t="s">
        <v>20</v>
      </c>
      <c r="G4873" t="s">
        <v>21</v>
      </c>
      <c r="H4873" t="s">
        <v>2494</v>
      </c>
      <c r="I4873" t="s">
        <v>23</v>
      </c>
      <c r="J4873" t="s">
        <v>40</v>
      </c>
      <c r="K4873" s="2" t="s">
        <v>2693</v>
      </c>
      <c r="L4873" t="s">
        <v>26</v>
      </c>
      <c r="M4873">
        <v>326693</v>
      </c>
      <c r="N4873">
        <v>1</v>
      </c>
      <c r="O4873" s="3">
        <v>69950</v>
      </c>
      <c r="P4873" s="3">
        <v>23470</v>
      </c>
      <c r="Q4873" s="5">
        <f t="shared" si="228"/>
        <v>58781.512605042022</v>
      </c>
      <c r="R4873" s="5">
        <f t="shared" si="229"/>
        <v>23470</v>
      </c>
      <c r="S4873" s="5">
        <f t="shared" si="230"/>
        <v>35311.512605042022</v>
      </c>
    </row>
    <row r="4874" spans="1:19" hidden="1" x14ac:dyDescent="0.3">
      <c r="A4874">
        <v>190</v>
      </c>
      <c r="B4874" t="s">
        <v>5801</v>
      </c>
      <c r="C4874" t="s">
        <v>5653</v>
      </c>
      <c r="D4874" s="2" t="s">
        <v>5654</v>
      </c>
      <c r="E4874" t="s">
        <v>4702</v>
      </c>
      <c r="F4874" t="s">
        <v>20</v>
      </c>
      <c r="G4874" t="s">
        <v>21</v>
      </c>
      <c r="H4874" t="s">
        <v>295</v>
      </c>
      <c r="I4874" t="s">
        <v>23</v>
      </c>
      <c r="J4874" t="s">
        <v>40</v>
      </c>
      <c r="K4874" s="2" t="s">
        <v>2693</v>
      </c>
      <c r="L4874" t="s">
        <v>26</v>
      </c>
      <c r="M4874">
        <v>326694</v>
      </c>
      <c r="N4874">
        <v>1</v>
      </c>
      <c r="O4874" s="3">
        <v>79950</v>
      </c>
      <c r="P4874" s="3">
        <v>26951</v>
      </c>
      <c r="Q4874" s="5">
        <f t="shared" si="228"/>
        <v>67184.873949579836</v>
      </c>
      <c r="R4874" s="5">
        <f t="shared" si="229"/>
        <v>26951</v>
      </c>
      <c r="S4874" s="5">
        <f t="shared" si="230"/>
        <v>40233.873949579836</v>
      </c>
    </row>
    <row r="4875" spans="1:19" hidden="1" x14ac:dyDescent="0.3">
      <c r="A4875">
        <v>190</v>
      </c>
      <c r="B4875" t="s">
        <v>5801</v>
      </c>
      <c r="C4875" t="s">
        <v>3525</v>
      </c>
      <c r="D4875" s="2" t="s">
        <v>3526</v>
      </c>
      <c r="E4875" t="s">
        <v>2606</v>
      </c>
      <c r="F4875" t="s">
        <v>20</v>
      </c>
      <c r="G4875" t="s">
        <v>21</v>
      </c>
      <c r="H4875" t="s">
        <v>970</v>
      </c>
      <c r="I4875" t="s">
        <v>23</v>
      </c>
      <c r="J4875" t="s">
        <v>40</v>
      </c>
      <c r="K4875" s="2" t="s">
        <v>2693</v>
      </c>
      <c r="L4875" t="s">
        <v>26</v>
      </c>
      <c r="M4875">
        <v>326695</v>
      </c>
      <c r="N4875">
        <v>1</v>
      </c>
      <c r="O4875" s="3">
        <v>49990</v>
      </c>
      <c r="P4875" s="3">
        <v>18897</v>
      </c>
      <c r="Q4875" s="5">
        <f t="shared" si="228"/>
        <v>42008.403361344543</v>
      </c>
      <c r="R4875" s="5">
        <f t="shared" si="229"/>
        <v>18897</v>
      </c>
      <c r="S4875" s="5">
        <f t="shared" si="230"/>
        <v>23111.403361344543</v>
      </c>
    </row>
    <row r="4876" spans="1:19" hidden="1" x14ac:dyDescent="0.3">
      <c r="A4876">
        <v>190</v>
      </c>
      <c r="B4876" t="s">
        <v>5801</v>
      </c>
      <c r="C4876" t="s">
        <v>700</v>
      </c>
      <c r="D4876" s="2" t="s">
        <v>701</v>
      </c>
      <c r="E4876" t="s">
        <v>702</v>
      </c>
      <c r="F4876" t="s">
        <v>377</v>
      </c>
      <c r="G4876" t="s">
        <v>21</v>
      </c>
      <c r="H4876" t="s">
        <v>378</v>
      </c>
      <c r="I4876" t="s">
        <v>23</v>
      </c>
      <c r="J4876" t="s">
        <v>379</v>
      </c>
      <c r="K4876" s="2" t="s">
        <v>2693</v>
      </c>
      <c r="L4876" t="s">
        <v>26</v>
      </c>
      <c r="M4876">
        <v>326696</v>
      </c>
      <c r="N4876">
        <v>1</v>
      </c>
      <c r="O4876" s="3">
        <v>4950</v>
      </c>
      <c r="P4876" s="3">
        <v>2529</v>
      </c>
      <c r="Q4876" s="5">
        <f t="shared" si="228"/>
        <v>4159.6638655462184</v>
      </c>
      <c r="R4876" s="5">
        <f t="shared" si="229"/>
        <v>2529</v>
      </c>
      <c r="S4876" s="5">
        <f t="shared" si="230"/>
        <v>1630.6638655462184</v>
      </c>
    </row>
    <row r="4877" spans="1:19" hidden="1" x14ac:dyDescent="0.3">
      <c r="A4877">
        <v>190</v>
      </c>
      <c r="B4877" t="s">
        <v>5801</v>
      </c>
      <c r="C4877" t="s">
        <v>2960</v>
      </c>
      <c r="D4877" s="2" t="s">
        <v>2961</v>
      </c>
      <c r="E4877" t="s">
        <v>2539</v>
      </c>
      <c r="F4877" t="s">
        <v>20</v>
      </c>
      <c r="G4877" t="s">
        <v>21</v>
      </c>
      <c r="H4877" t="s">
        <v>966</v>
      </c>
      <c r="I4877" t="s">
        <v>23</v>
      </c>
      <c r="J4877" t="s">
        <v>35</v>
      </c>
      <c r="K4877" s="2" t="s">
        <v>2693</v>
      </c>
      <c r="L4877" t="s">
        <v>26</v>
      </c>
      <c r="M4877">
        <v>326697</v>
      </c>
      <c r="N4877">
        <v>1</v>
      </c>
      <c r="O4877" s="3">
        <v>74950</v>
      </c>
      <c r="P4877" s="3">
        <v>27380</v>
      </c>
      <c r="Q4877" s="5">
        <f t="shared" si="228"/>
        <v>62983.193277310929</v>
      </c>
      <c r="R4877" s="5">
        <f t="shared" si="229"/>
        <v>27380</v>
      </c>
      <c r="S4877" s="5">
        <f t="shared" si="230"/>
        <v>35603.193277310929</v>
      </c>
    </row>
    <row r="4878" spans="1:19" hidden="1" x14ac:dyDescent="0.3">
      <c r="A4878">
        <v>190</v>
      </c>
      <c r="B4878" t="s">
        <v>5801</v>
      </c>
      <c r="C4878" t="s">
        <v>4103</v>
      </c>
      <c r="D4878" s="2" t="s">
        <v>4104</v>
      </c>
      <c r="E4878" t="s">
        <v>3335</v>
      </c>
      <c r="F4878" t="s">
        <v>20</v>
      </c>
      <c r="G4878" t="s">
        <v>338</v>
      </c>
      <c r="H4878">
        <v>25273</v>
      </c>
      <c r="I4878" t="s">
        <v>23</v>
      </c>
      <c r="J4878" t="s">
        <v>35</v>
      </c>
      <c r="K4878" s="2" t="s">
        <v>2693</v>
      </c>
      <c r="L4878" t="s">
        <v>26</v>
      </c>
      <c r="M4878">
        <v>326697</v>
      </c>
      <c r="N4878">
        <v>1</v>
      </c>
      <c r="O4878" s="3">
        <v>84950</v>
      </c>
      <c r="P4878" s="3">
        <v>32658</v>
      </c>
      <c r="Q4878" s="5">
        <f t="shared" si="228"/>
        <v>71386.554621848743</v>
      </c>
      <c r="R4878" s="5">
        <f t="shared" si="229"/>
        <v>32658</v>
      </c>
      <c r="S4878" s="5">
        <f t="shared" si="230"/>
        <v>38728.554621848743</v>
      </c>
    </row>
    <row r="4879" spans="1:19" hidden="1" x14ac:dyDescent="0.3">
      <c r="A4879">
        <v>190</v>
      </c>
      <c r="B4879" t="s">
        <v>5801</v>
      </c>
      <c r="C4879" t="s">
        <v>2987</v>
      </c>
      <c r="D4879" s="2" t="s">
        <v>2988</v>
      </c>
      <c r="E4879" t="s">
        <v>2870</v>
      </c>
      <c r="F4879" t="s">
        <v>20</v>
      </c>
      <c r="G4879" t="s">
        <v>21</v>
      </c>
      <c r="H4879" t="s">
        <v>30</v>
      </c>
      <c r="I4879" t="s">
        <v>23</v>
      </c>
      <c r="J4879" t="s">
        <v>35</v>
      </c>
      <c r="K4879" s="2" t="s">
        <v>2693</v>
      </c>
      <c r="L4879" t="s">
        <v>26</v>
      </c>
      <c r="M4879">
        <v>326698</v>
      </c>
      <c r="N4879">
        <v>1</v>
      </c>
      <c r="O4879" s="3">
        <v>79950</v>
      </c>
      <c r="P4879" s="3">
        <v>30749</v>
      </c>
      <c r="Q4879" s="5">
        <f t="shared" si="228"/>
        <v>67184.873949579836</v>
      </c>
      <c r="R4879" s="5">
        <f t="shared" si="229"/>
        <v>30749</v>
      </c>
      <c r="S4879" s="5">
        <f t="shared" si="230"/>
        <v>36435.873949579836</v>
      </c>
    </row>
    <row r="4880" spans="1:19" hidden="1" x14ac:dyDescent="0.3">
      <c r="A4880">
        <v>190</v>
      </c>
      <c r="B4880" t="s">
        <v>5801</v>
      </c>
      <c r="C4880" t="s">
        <v>5413</v>
      </c>
      <c r="D4880" s="2" t="s">
        <v>5414</v>
      </c>
      <c r="E4880" t="s">
        <v>3328</v>
      </c>
      <c r="F4880" t="s">
        <v>20</v>
      </c>
      <c r="G4880" t="s">
        <v>338</v>
      </c>
      <c r="H4880">
        <v>23720</v>
      </c>
      <c r="I4880" t="s">
        <v>23</v>
      </c>
      <c r="J4880" t="s">
        <v>40</v>
      </c>
      <c r="K4880" s="2" t="s">
        <v>2693</v>
      </c>
      <c r="L4880" t="s">
        <v>26</v>
      </c>
      <c r="M4880">
        <v>326699</v>
      </c>
      <c r="N4880">
        <v>1</v>
      </c>
      <c r="O4880" s="3">
        <v>59950</v>
      </c>
      <c r="P4880" s="3">
        <v>19650</v>
      </c>
      <c r="Q4880" s="5">
        <f t="shared" si="228"/>
        <v>50378.151260504201</v>
      </c>
      <c r="R4880" s="5">
        <f t="shared" si="229"/>
        <v>19650</v>
      </c>
      <c r="S4880" s="5">
        <f t="shared" si="230"/>
        <v>30728.151260504201</v>
      </c>
    </row>
    <row r="4881" spans="1:19" hidden="1" x14ac:dyDescent="0.3">
      <c r="A4881">
        <v>190</v>
      </c>
      <c r="B4881" t="s">
        <v>5801</v>
      </c>
      <c r="C4881" t="s">
        <v>2485</v>
      </c>
      <c r="D4881" s="2" t="s">
        <v>2486</v>
      </c>
      <c r="E4881" t="s">
        <v>2487</v>
      </c>
      <c r="F4881" t="s">
        <v>377</v>
      </c>
      <c r="G4881" t="s">
        <v>21</v>
      </c>
      <c r="H4881" t="s">
        <v>378</v>
      </c>
      <c r="I4881" t="s">
        <v>23</v>
      </c>
      <c r="J4881" t="s">
        <v>379</v>
      </c>
      <c r="K4881" s="2" t="s">
        <v>2693</v>
      </c>
      <c r="L4881" t="s">
        <v>26</v>
      </c>
      <c r="M4881">
        <v>326699</v>
      </c>
      <c r="N4881">
        <v>1</v>
      </c>
      <c r="O4881" s="3">
        <v>5950</v>
      </c>
      <c r="P4881" s="3">
        <v>2243</v>
      </c>
      <c r="Q4881" s="5">
        <f t="shared" si="228"/>
        <v>5000</v>
      </c>
      <c r="R4881" s="5">
        <f t="shared" si="229"/>
        <v>2243</v>
      </c>
      <c r="S4881" s="5">
        <f t="shared" si="230"/>
        <v>2757</v>
      </c>
    </row>
    <row r="4882" spans="1:19" hidden="1" x14ac:dyDescent="0.3">
      <c r="A4882">
        <v>190</v>
      </c>
      <c r="B4882" t="s">
        <v>5801</v>
      </c>
      <c r="C4882" t="s">
        <v>1279</v>
      </c>
      <c r="D4882" s="2" t="s">
        <v>1280</v>
      </c>
      <c r="E4882" t="s">
        <v>1281</v>
      </c>
      <c r="F4882" t="s">
        <v>20</v>
      </c>
      <c r="G4882" t="s">
        <v>21</v>
      </c>
      <c r="H4882" t="s">
        <v>1282</v>
      </c>
      <c r="I4882" t="s">
        <v>23</v>
      </c>
      <c r="J4882" t="s">
        <v>40</v>
      </c>
      <c r="K4882" s="2" t="s">
        <v>2693</v>
      </c>
      <c r="L4882" t="s">
        <v>26</v>
      </c>
      <c r="M4882">
        <v>326700</v>
      </c>
      <c r="N4882">
        <v>1</v>
      </c>
      <c r="O4882" s="3">
        <v>42451</v>
      </c>
      <c r="P4882" s="3">
        <v>13922</v>
      </c>
      <c r="Q4882" s="5">
        <f t="shared" si="228"/>
        <v>35673.10924369748</v>
      </c>
      <c r="R4882" s="5">
        <f t="shared" si="229"/>
        <v>13922</v>
      </c>
      <c r="S4882" s="5">
        <f t="shared" si="230"/>
        <v>21751.10924369748</v>
      </c>
    </row>
    <row r="4883" spans="1:19" hidden="1" x14ac:dyDescent="0.3">
      <c r="A4883">
        <v>190</v>
      </c>
      <c r="B4883" t="s">
        <v>5801</v>
      </c>
      <c r="C4883" t="s">
        <v>4862</v>
      </c>
      <c r="D4883" s="2" t="s">
        <v>4863</v>
      </c>
      <c r="E4883" t="s">
        <v>1281</v>
      </c>
      <c r="F4883" t="s">
        <v>20</v>
      </c>
      <c r="G4883" t="s">
        <v>21</v>
      </c>
      <c r="H4883" t="s">
        <v>1282</v>
      </c>
      <c r="I4883" t="s">
        <v>23</v>
      </c>
      <c r="J4883" t="s">
        <v>40</v>
      </c>
      <c r="K4883" s="2" t="s">
        <v>2693</v>
      </c>
      <c r="L4883" t="s">
        <v>26</v>
      </c>
      <c r="M4883">
        <v>326700</v>
      </c>
      <c r="N4883">
        <v>-1</v>
      </c>
      <c r="O4883" s="3">
        <v>-42450</v>
      </c>
      <c r="P4883" s="3">
        <v>13922</v>
      </c>
      <c r="Q4883" s="5">
        <f t="shared" si="228"/>
        <v>-35672.268907563026</v>
      </c>
      <c r="R4883" s="5">
        <f t="shared" si="229"/>
        <v>-13922</v>
      </c>
      <c r="S4883" s="5">
        <f t="shared" si="230"/>
        <v>-21750.268907563026</v>
      </c>
    </row>
    <row r="4884" spans="1:19" hidden="1" x14ac:dyDescent="0.3">
      <c r="A4884">
        <v>190</v>
      </c>
      <c r="B4884" t="s">
        <v>5801</v>
      </c>
      <c r="C4884" t="s">
        <v>3762</v>
      </c>
      <c r="D4884" s="2" t="s">
        <v>3763</v>
      </c>
      <c r="E4884" t="s">
        <v>3764</v>
      </c>
      <c r="F4884" t="s">
        <v>20</v>
      </c>
      <c r="G4884" t="s">
        <v>21</v>
      </c>
      <c r="H4884" t="s">
        <v>1282</v>
      </c>
      <c r="I4884" t="s">
        <v>23</v>
      </c>
      <c r="J4884" t="s">
        <v>40</v>
      </c>
      <c r="K4884" s="2" t="s">
        <v>2693</v>
      </c>
      <c r="L4884" t="s">
        <v>26</v>
      </c>
      <c r="M4884">
        <v>326701</v>
      </c>
      <c r="N4884">
        <v>1</v>
      </c>
      <c r="O4884" s="3">
        <v>49951</v>
      </c>
      <c r="P4884" s="3">
        <v>13922</v>
      </c>
      <c r="Q4884" s="5">
        <f t="shared" si="228"/>
        <v>41975.63025210084</v>
      </c>
      <c r="R4884" s="5">
        <f t="shared" si="229"/>
        <v>13922</v>
      </c>
      <c r="S4884" s="5">
        <f t="shared" si="230"/>
        <v>28053.63025210084</v>
      </c>
    </row>
    <row r="4885" spans="1:19" hidden="1" x14ac:dyDescent="0.3">
      <c r="A4885">
        <v>190</v>
      </c>
      <c r="B4885" t="s">
        <v>5801</v>
      </c>
      <c r="C4885" t="s">
        <v>5489</v>
      </c>
      <c r="D4885" s="2" t="s">
        <v>5490</v>
      </c>
      <c r="E4885" t="s">
        <v>3764</v>
      </c>
      <c r="F4885" t="s">
        <v>20</v>
      </c>
      <c r="G4885" t="s">
        <v>21</v>
      </c>
      <c r="H4885" t="s">
        <v>1282</v>
      </c>
      <c r="I4885" t="s">
        <v>23</v>
      </c>
      <c r="J4885" t="s">
        <v>40</v>
      </c>
      <c r="K4885" s="2" t="s">
        <v>2693</v>
      </c>
      <c r="L4885" t="s">
        <v>26</v>
      </c>
      <c r="M4885">
        <v>326701</v>
      </c>
      <c r="N4885">
        <v>-1</v>
      </c>
      <c r="O4885" s="3">
        <v>-49950</v>
      </c>
      <c r="P4885" s="3">
        <v>13922</v>
      </c>
      <c r="Q4885" s="5">
        <f t="shared" si="228"/>
        <v>-41974.789915966387</v>
      </c>
      <c r="R4885" s="5">
        <f t="shared" si="229"/>
        <v>-13922</v>
      </c>
      <c r="S4885" s="5">
        <f t="shared" si="230"/>
        <v>-28052.789915966387</v>
      </c>
    </row>
    <row r="4886" spans="1:19" hidden="1" x14ac:dyDescent="0.3">
      <c r="A4886">
        <v>190</v>
      </c>
      <c r="B4886" t="s">
        <v>5801</v>
      </c>
      <c r="C4886" t="s">
        <v>4502</v>
      </c>
      <c r="D4886" s="2" t="s">
        <v>4503</v>
      </c>
      <c r="E4886" t="s">
        <v>3914</v>
      </c>
      <c r="F4886" t="s">
        <v>20</v>
      </c>
      <c r="G4886" t="s">
        <v>338</v>
      </c>
      <c r="H4886">
        <v>24316</v>
      </c>
      <c r="I4886" t="s">
        <v>23</v>
      </c>
      <c r="J4886" t="s">
        <v>49</v>
      </c>
      <c r="K4886" s="2" t="s">
        <v>2693</v>
      </c>
      <c r="L4886" t="s">
        <v>26</v>
      </c>
      <c r="M4886">
        <v>326702</v>
      </c>
      <c r="N4886">
        <v>1</v>
      </c>
      <c r="O4886" s="3">
        <v>74950</v>
      </c>
      <c r="P4886" s="3">
        <v>23473</v>
      </c>
      <c r="Q4886" s="5">
        <f t="shared" si="228"/>
        <v>62983.193277310929</v>
      </c>
      <c r="R4886" s="5">
        <f t="shared" si="229"/>
        <v>23473</v>
      </c>
      <c r="S4886" s="5">
        <f t="shared" si="230"/>
        <v>39510.193277310929</v>
      </c>
    </row>
    <row r="4887" spans="1:19" hidden="1" x14ac:dyDescent="0.3">
      <c r="A4887">
        <v>190</v>
      </c>
      <c r="B4887" t="s">
        <v>5801</v>
      </c>
      <c r="C4887" t="s">
        <v>5923</v>
      </c>
      <c r="D4887" s="2" t="s">
        <v>5924</v>
      </c>
      <c r="E4887" t="s">
        <v>3345</v>
      </c>
      <c r="F4887" t="s">
        <v>20</v>
      </c>
      <c r="G4887" t="s">
        <v>338</v>
      </c>
      <c r="H4887">
        <v>25354</v>
      </c>
      <c r="I4887" t="s">
        <v>23</v>
      </c>
      <c r="J4887" t="s">
        <v>35</v>
      </c>
      <c r="K4887" s="2" t="s">
        <v>2693</v>
      </c>
      <c r="L4887" t="s">
        <v>26</v>
      </c>
      <c r="M4887">
        <v>326702</v>
      </c>
      <c r="N4887">
        <v>1</v>
      </c>
      <c r="O4887" s="3">
        <v>59450</v>
      </c>
      <c r="P4887" s="3">
        <v>21167</v>
      </c>
      <c r="Q4887" s="5">
        <f t="shared" si="228"/>
        <v>49957.983193277316</v>
      </c>
      <c r="R4887" s="5">
        <f t="shared" si="229"/>
        <v>21167</v>
      </c>
      <c r="S4887" s="5">
        <f t="shared" si="230"/>
        <v>28790.983193277316</v>
      </c>
    </row>
    <row r="4888" spans="1:19" hidden="1" x14ac:dyDescent="0.3">
      <c r="A4888">
        <v>190</v>
      </c>
      <c r="B4888" t="s">
        <v>5801</v>
      </c>
      <c r="C4888" t="s">
        <v>4212</v>
      </c>
      <c r="D4888" s="2" t="s">
        <v>4213</v>
      </c>
      <c r="E4888" t="s">
        <v>1443</v>
      </c>
      <c r="F4888" t="s">
        <v>20</v>
      </c>
      <c r="G4888" t="s">
        <v>338</v>
      </c>
      <c r="H4888">
        <v>25301</v>
      </c>
      <c r="I4888" t="s">
        <v>23</v>
      </c>
      <c r="J4888" t="s">
        <v>35</v>
      </c>
      <c r="K4888" s="2" t="s">
        <v>2693</v>
      </c>
      <c r="L4888" t="s">
        <v>26</v>
      </c>
      <c r="M4888">
        <v>326703</v>
      </c>
      <c r="N4888">
        <v>1</v>
      </c>
      <c r="O4888" s="3">
        <v>84950</v>
      </c>
      <c r="P4888" s="3">
        <v>34157</v>
      </c>
      <c r="Q4888" s="5">
        <f t="shared" si="228"/>
        <v>71386.554621848743</v>
      </c>
      <c r="R4888" s="5">
        <f t="shared" si="229"/>
        <v>34157</v>
      </c>
      <c r="S4888" s="5">
        <f t="shared" si="230"/>
        <v>37229.554621848743</v>
      </c>
    </row>
    <row r="4889" spans="1:19" hidden="1" x14ac:dyDescent="0.3">
      <c r="A4889">
        <v>190</v>
      </c>
      <c r="B4889" t="s">
        <v>5801</v>
      </c>
      <c r="C4889" t="s">
        <v>5925</v>
      </c>
      <c r="D4889" s="2" t="s">
        <v>5926</v>
      </c>
      <c r="E4889" t="s">
        <v>4739</v>
      </c>
      <c r="F4889" t="s">
        <v>20</v>
      </c>
      <c r="G4889" t="s">
        <v>338</v>
      </c>
      <c r="H4889">
        <v>83716</v>
      </c>
      <c r="I4889" t="s">
        <v>23</v>
      </c>
      <c r="J4889" t="s">
        <v>40</v>
      </c>
      <c r="K4889" s="2" t="s">
        <v>2693</v>
      </c>
      <c r="L4889" t="s">
        <v>26</v>
      </c>
      <c r="M4889">
        <v>326703</v>
      </c>
      <c r="N4889">
        <v>1</v>
      </c>
      <c r="O4889" s="3">
        <v>89950</v>
      </c>
      <c r="P4889" s="3">
        <v>30263</v>
      </c>
      <c r="Q4889" s="5">
        <f t="shared" si="228"/>
        <v>75588.23529411765</v>
      </c>
      <c r="R4889" s="5">
        <f t="shared" si="229"/>
        <v>30263</v>
      </c>
      <c r="S4889" s="5">
        <f t="shared" si="230"/>
        <v>45325.23529411765</v>
      </c>
    </row>
    <row r="4890" spans="1:19" hidden="1" x14ac:dyDescent="0.3">
      <c r="A4890">
        <v>190</v>
      </c>
      <c r="B4890" t="s">
        <v>5801</v>
      </c>
      <c r="C4890" t="s">
        <v>5499</v>
      </c>
      <c r="D4890" s="2" t="s">
        <v>5500</v>
      </c>
      <c r="E4890" t="s">
        <v>3175</v>
      </c>
      <c r="F4890" t="s">
        <v>20</v>
      </c>
      <c r="G4890" t="s">
        <v>21</v>
      </c>
      <c r="H4890" t="s">
        <v>625</v>
      </c>
      <c r="I4890" t="s">
        <v>23</v>
      </c>
      <c r="J4890" t="s">
        <v>35</v>
      </c>
      <c r="K4890" s="2" t="s">
        <v>1152</v>
      </c>
      <c r="L4890" t="s">
        <v>26</v>
      </c>
      <c r="M4890">
        <v>326704</v>
      </c>
      <c r="N4890">
        <v>1</v>
      </c>
      <c r="O4890" s="3">
        <v>69950</v>
      </c>
      <c r="P4890" s="3">
        <v>24956</v>
      </c>
      <c r="Q4890" s="5">
        <f t="shared" si="228"/>
        <v>58781.512605042022</v>
      </c>
      <c r="R4890" s="5">
        <f t="shared" si="229"/>
        <v>24956</v>
      </c>
      <c r="S4890" s="5">
        <f t="shared" si="230"/>
        <v>33825.512605042022</v>
      </c>
    </row>
    <row r="4891" spans="1:19" hidden="1" x14ac:dyDescent="0.3">
      <c r="A4891">
        <v>190</v>
      </c>
      <c r="B4891" t="s">
        <v>5801</v>
      </c>
      <c r="C4891" t="s">
        <v>3495</v>
      </c>
      <c r="D4891" s="2" t="s">
        <v>3496</v>
      </c>
      <c r="E4891" t="s">
        <v>1336</v>
      </c>
      <c r="F4891" t="s">
        <v>20</v>
      </c>
      <c r="G4891" t="s">
        <v>21</v>
      </c>
      <c r="H4891" t="s">
        <v>1337</v>
      </c>
      <c r="I4891" t="s">
        <v>23</v>
      </c>
      <c r="J4891" t="s">
        <v>49</v>
      </c>
      <c r="K4891" s="2" t="s">
        <v>1152</v>
      </c>
      <c r="L4891" t="s">
        <v>26</v>
      </c>
      <c r="M4891">
        <v>326705</v>
      </c>
      <c r="N4891">
        <v>1</v>
      </c>
      <c r="O4891" s="3">
        <v>59950</v>
      </c>
      <c r="P4891" s="3">
        <v>19169</v>
      </c>
      <c r="Q4891" s="5">
        <f t="shared" si="228"/>
        <v>50378.151260504201</v>
      </c>
      <c r="R4891" s="5">
        <f t="shared" si="229"/>
        <v>19169</v>
      </c>
      <c r="S4891" s="5">
        <f t="shared" si="230"/>
        <v>31209.151260504201</v>
      </c>
    </row>
    <row r="4892" spans="1:19" hidden="1" x14ac:dyDescent="0.3">
      <c r="A4892">
        <v>190</v>
      </c>
      <c r="B4892" t="s">
        <v>5801</v>
      </c>
      <c r="C4892" t="s">
        <v>2664</v>
      </c>
      <c r="D4892" s="2" t="s">
        <v>2665</v>
      </c>
      <c r="E4892" t="s">
        <v>2666</v>
      </c>
      <c r="F4892" t="s">
        <v>20</v>
      </c>
      <c r="G4892" t="s">
        <v>21</v>
      </c>
      <c r="H4892" t="s">
        <v>65</v>
      </c>
      <c r="I4892" t="s">
        <v>23</v>
      </c>
      <c r="J4892" t="s">
        <v>49</v>
      </c>
      <c r="K4892" s="2" t="s">
        <v>1152</v>
      </c>
      <c r="L4892" t="s">
        <v>26</v>
      </c>
      <c r="M4892">
        <v>326706</v>
      </c>
      <c r="N4892">
        <v>1</v>
      </c>
      <c r="O4892" s="3">
        <v>64950</v>
      </c>
      <c r="P4892" s="3">
        <v>22802</v>
      </c>
      <c r="Q4892" s="5">
        <f t="shared" si="228"/>
        <v>54579.831932773115</v>
      </c>
      <c r="R4892" s="5">
        <f t="shared" si="229"/>
        <v>22802</v>
      </c>
      <c r="S4892" s="5">
        <f t="shared" si="230"/>
        <v>31777.831932773115</v>
      </c>
    </row>
    <row r="4893" spans="1:19" hidden="1" x14ac:dyDescent="0.3">
      <c r="A4893">
        <v>190</v>
      </c>
      <c r="B4893" t="s">
        <v>5801</v>
      </c>
      <c r="C4893" t="s">
        <v>5583</v>
      </c>
      <c r="D4893" s="2" t="s">
        <v>5584</v>
      </c>
      <c r="E4893" t="s">
        <v>2483</v>
      </c>
      <c r="F4893" t="s">
        <v>20</v>
      </c>
      <c r="G4893" t="s">
        <v>21</v>
      </c>
      <c r="H4893" t="s">
        <v>2484</v>
      </c>
      <c r="I4893" t="s">
        <v>23</v>
      </c>
      <c r="J4893" t="s">
        <v>40</v>
      </c>
      <c r="K4893" s="2" t="s">
        <v>1152</v>
      </c>
      <c r="L4893" t="s">
        <v>26</v>
      </c>
      <c r="M4893">
        <v>326707</v>
      </c>
      <c r="N4893">
        <v>1</v>
      </c>
      <c r="O4893" s="3">
        <v>59950</v>
      </c>
      <c r="P4893" s="3">
        <v>17503</v>
      </c>
      <c r="Q4893" s="5">
        <f t="shared" si="228"/>
        <v>50378.151260504201</v>
      </c>
      <c r="R4893" s="5">
        <f t="shared" si="229"/>
        <v>17503</v>
      </c>
      <c r="S4893" s="5">
        <f t="shared" si="230"/>
        <v>32875.151260504201</v>
      </c>
    </row>
    <row r="4894" spans="1:19" hidden="1" x14ac:dyDescent="0.3">
      <c r="A4894">
        <v>190</v>
      </c>
      <c r="B4894" t="s">
        <v>5801</v>
      </c>
      <c r="C4894" t="s">
        <v>2395</v>
      </c>
      <c r="D4894" s="2" t="s">
        <v>2396</v>
      </c>
      <c r="E4894" t="s">
        <v>425</v>
      </c>
      <c r="F4894" t="s">
        <v>20</v>
      </c>
      <c r="G4894" t="s">
        <v>21</v>
      </c>
      <c r="H4894" t="s">
        <v>22</v>
      </c>
      <c r="I4894" t="s">
        <v>23</v>
      </c>
      <c r="J4894" t="s">
        <v>24</v>
      </c>
      <c r="K4894" s="2" t="s">
        <v>1152</v>
      </c>
      <c r="L4894" t="s">
        <v>26</v>
      </c>
      <c r="M4894">
        <v>326708</v>
      </c>
      <c r="N4894">
        <v>1</v>
      </c>
      <c r="O4894" s="3">
        <v>79950</v>
      </c>
      <c r="P4894" s="3">
        <v>27848</v>
      </c>
      <c r="Q4894" s="5">
        <f t="shared" si="228"/>
        <v>67184.873949579836</v>
      </c>
      <c r="R4894" s="5">
        <f t="shared" si="229"/>
        <v>27848</v>
      </c>
      <c r="S4894" s="5">
        <f t="shared" si="230"/>
        <v>39336.873949579836</v>
      </c>
    </row>
    <row r="4895" spans="1:19" hidden="1" x14ac:dyDescent="0.3">
      <c r="A4895">
        <v>190</v>
      </c>
      <c r="B4895" t="s">
        <v>5801</v>
      </c>
      <c r="C4895" t="s">
        <v>5927</v>
      </c>
      <c r="D4895" s="2" t="s">
        <v>5928</v>
      </c>
      <c r="E4895" t="s">
        <v>3810</v>
      </c>
      <c r="F4895" t="s">
        <v>20</v>
      </c>
      <c r="G4895" t="s">
        <v>21</v>
      </c>
      <c r="H4895" t="s">
        <v>3811</v>
      </c>
      <c r="I4895" t="s">
        <v>23</v>
      </c>
      <c r="J4895" t="s">
        <v>40</v>
      </c>
      <c r="K4895" s="2" t="s">
        <v>1152</v>
      </c>
      <c r="L4895" t="s">
        <v>26</v>
      </c>
      <c r="M4895">
        <v>326709</v>
      </c>
      <c r="N4895">
        <v>1</v>
      </c>
      <c r="O4895" s="3">
        <v>49990</v>
      </c>
      <c r="P4895" s="3">
        <v>21722</v>
      </c>
      <c r="Q4895" s="5">
        <f t="shared" si="228"/>
        <v>42008.403361344543</v>
      </c>
      <c r="R4895" s="5">
        <f t="shared" si="229"/>
        <v>21722</v>
      </c>
      <c r="S4895" s="5">
        <f t="shared" si="230"/>
        <v>20286.403361344543</v>
      </c>
    </row>
    <row r="4896" spans="1:19" hidden="1" x14ac:dyDescent="0.3">
      <c r="A4896">
        <v>190</v>
      </c>
      <c r="B4896" t="s">
        <v>5801</v>
      </c>
      <c r="C4896" t="s">
        <v>3482</v>
      </c>
      <c r="D4896" s="2" t="s">
        <v>3483</v>
      </c>
      <c r="E4896" t="s">
        <v>2265</v>
      </c>
      <c r="F4896" t="s">
        <v>20</v>
      </c>
      <c r="G4896" t="s">
        <v>21</v>
      </c>
      <c r="H4896" t="s">
        <v>2070</v>
      </c>
      <c r="I4896" t="s">
        <v>23</v>
      </c>
      <c r="J4896" t="s">
        <v>35</v>
      </c>
      <c r="K4896" s="2" t="s">
        <v>1152</v>
      </c>
      <c r="L4896" t="s">
        <v>26</v>
      </c>
      <c r="M4896">
        <v>326710</v>
      </c>
      <c r="N4896">
        <v>1</v>
      </c>
      <c r="O4896" s="3">
        <v>89950</v>
      </c>
      <c r="P4896" s="3">
        <v>29635</v>
      </c>
      <c r="Q4896" s="5">
        <f t="shared" si="228"/>
        <v>75588.23529411765</v>
      </c>
      <c r="R4896" s="5">
        <f t="shared" si="229"/>
        <v>29635</v>
      </c>
      <c r="S4896" s="5">
        <f t="shared" si="230"/>
        <v>45953.23529411765</v>
      </c>
    </row>
    <row r="4897" spans="1:19" hidden="1" x14ac:dyDescent="0.3">
      <c r="A4897">
        <v>190</v>
      </c>
      <c r="B4897" t="s">
        <v>5801</v>
      </c>
      <c r="C4897" t="s">
        <v>3852</v>
      </c>
      <c r="D4897" s="2" t="s">
        <v>3853</v>
      </c>
      <c r="E4897" t="s">
        <v>990</v>
      </c>
      <c r="F4897" t="s">
        <v>20</v>
      </c>
      <c r="G4897" t="s">
        <v>21</v>
      </c>
      <c r="H4897" t="s">
        <v>991</v>
      </c>
      <c r="I4897" t="s">
        <v>23</v>
      </c>
      <c r="J4897" t="s">
        <v>49</v>
      </c>
      <c r="K4897" s="2" t="s">
        <v>1152</v>
      </c>
      <c r="L4897" t="s">
        <v>26</v>
      </c>
      <c r="M4897">
        <v>326711</v>
      </c>
      <c r="N4897">
        <v>1</v>
      </c>
      <c r="O4897" s="3">
        <v>59450</v>
      </c>
      <c r="P4897" s="3">
        <v>22162</v>
      </c>
      <c r="Q4897" s="5">
        <f t="shared" si="228"/>
        <v>49957.983193277316</v>
      </c>
      <c r="R4897" s="5">
        <f t="shared" si="229"/>
        <v>22162</v>
      </c>
      <c r="S4897" s="5">
        <f t="shared" si="230"/>
        <v>27795.983193277316</v>
      </c>
    </row>
    <row r="4898" spans="1:19" hidden="1" x14ac:dyDescent="0.3">
      <c r="A4898">
        <v>190</v>
      </c>
      <c r="B4898" t="s">
        <v>5801</v>
      </c>
      <c r="C4898" t="s">
        <v>2338</v>
      </c>
      <c r="D4898" s="2" t="s">
        <v>2339</v>
      </c>
      <c r="E4898" t="s">
        <v>2340</v>
      </c>
      <c r="F4898" t="s">
        <v>20</v>
      </c>
      <c r="G4898" t="s">
        <v>21</v>
      </c>
      <c r="H4898" t="s">
        <v>1914</v>
      </c>
      <c r="I4898" t="s">
        <v>23</v>
      </c>
      <c r="J4898" t="s">
        <v>35</v>
      </c>
      <c r="K4898" s="2" t="s">
        <v>1152</v>
      </c>
      <c r="L4898" t="s">
        <v>26</v>
      </c>
      <c r="M4898">
        <v>326711</v>
      </c>
      <c r="N4898">
        <v>1</v>
      </c>
      <c r="O4898" s="3">
        <v>89950</v>
      </c>
      <c r="P4898" s="3">
        <v>27630</v>
      </c>
      <c r="Q4898" s="5">
        <f t="shared" si="228"/>
        <v>75588.23529411765</v>
      </c>
      <c r="R4898" s="5">
        <f t="shared" si="229"/>
        <v>27630</v>
      </c>
      <c r="S4898" s="5">
        <f t="shared" si="230"/>
        <v>47958.23529411765</v>
      </c>
    </row>
    <row r="4899" spans="1:19" hidden="1" x14ac:dyDescent="0.3">
      <c r="A4899">
        <v>190</v>
      </c>
      <c r="B4899" t="s">
        <v>5801</v>
      </c>
      <c r="C4899" t="s">
        <v>4566</v>
      </c>
      <c r="D4899" s="2" t="s">
        <v>4567</v>
      </c>
      <c r="E4899" t="s">
        <v>2661</v>
      </c>
      <c r="F4899" t="s">
        <v>20</v>
      </c>
      <c r="G4899" t="s">
        <v>21</v>
      </c>
      <c r="H4899" t="s">
        <v>317</v>
      </c>
      <c r="I4899" t="s">
        <v>23</v>
      </c>
      <c r="J4899" t="s">
        <v>35</v>
      </c>
      <c r="K4899" s="2" t="s">
        <v>1152</v>
      </c>
      <c r="L4899" t="s">
        <v>26</v>
      </c>
      <c r="M4899">
        <v>326712</v>
      </c>
      <c r="N4899">
        <v>1</v>
      </c>
      <c r="O4899" s="3">
        <v>69950</v>
      </c>
      <c r="P4899" s="3">
        <v>24086</v>
      </c>
      <c r="Q4899" s="5">
        <f t="shared" si="228"/>
        <v>58781.512605042022</v>
      </c>
      <c r="R4899" s="5">
        <f t="shared" si="229"/>
        <v>24086</v>
      </c>
      <c r="S4899" s="5">
        <f t="shared" si="230"/>
        <v>34695.512605042022</v>
      </c>
    </row>
    <row r="4900" spans="1:19" hidden="1" x14ac:dyDescent="0.3">
      <c r="A4900">
        <v>190</v>
      </c>
      <c r="B4900" t="s">
        <v>5801</v>
      </c>
      <c r="C4900" t="s">
        <v>5917</v>
      </c>
      <c r="D4900" s="2" t="s">
        <v>5918</v>
      </c>
      <c r="E4900" t="s">
        <v>523</v>
      </c>
      <c r="F4900" t="s">
        <v>20</v>
      </c>
      <c r="G4900" t="s">
        <v>338</v>
      </c>
      <c r="H4900">
        <v>23603</v>
      </c>
      <c r="I4900" t="s">
        <v>23</v>
      </c>
      <c r="J4900" t="s">
        <v>40</v>
      </c>
      <c r="K4900" s="2" t="s">
        <v>1152</v>
      </c>
      <c r="L4900" t="s">
        <v>26</v>
      </c>
      <c r="M4900">
        <v>326713</v>
      </c>
      <c r="N4900">
        <v>1</v>
      </c>
      <c r="O4900" s="3">
        <v>59450</v>
      </c>
      <c r="P4900" s="3">
        <v>22607</v>
      </c>
      <c r="Q4900" s="5">
        <f t="shared" si="228"/>
        <v>49957.983193277316</v>
      </c>
      <c r="R4900" s="5">
        <f t="shared" si="229"/>
        <v>22607</v>
      </c>
      <c r="S4900" s="5">
        <f t="shared" si="230"/>
        <v>27350.983193277316</v>
      </c>
    </row>
    <row r="4901" spans="1:19" hidden="1" x14ac:dyDescent="0.3">
      <c r="A4901">
        <v>190</v>
      </c>
      <c r="B4901" t="s">
        <v>5801</v>
      </c>
      <c r="C4901" t="s">
        <v>1410</v>
      </c>
      <c r="D4901" s="2" t="s">
        <v>1411</v>
      </c>
      <c r="E4901" t="s">
        <v>1412</v>
      </c>
      <c r="F4901" t="s">
        <v>20</v>
      </c>
      <c r="G4901" t="s">
        <v>338</v>
      </c>
      <c r="H4901">
        <v>23603</v>
      </c>
      <c r="I4901" t="s">
        <v>23</v>
      </c>
      <c r="J4901" t="s">
        <v>40</v>
      </c>
      <c r="K4901" s="2" t="s">
        <v>1152</v>
      </c>
      <c r="L4901" t="s">
        <v>26</v>
      </c>
      <c r="M4901">
        <v>326713</v>
      </c>
      <c r="N4901">
        <v>1</v>
      </c>
      <c r="O4901" s="3">
        <v>49990</v>
      </c>
      <c r="P4901" s="3">
        <v>22607</v>
      </c>
      <c r="Q4901" s="5">
        <f t="shared" si="228"/>
        <v>42008.403361344543</v>
      </c>
      <c r="R4901" s="5">
        <f t="shared" si="229"/>
        <v>22607</v>
      </c>
      <c r="S4901" s="5">
        <f t="shared" si="230"/>
        <v>19401.403361344543</v>
      </c>
    </row>
    <row r="4902" spans="1:19" hidden="1" x14ac:dyDescent="0.3">
      <c r="A4902">
        <v>190</v>
      </c>
      <c r="B4902" t="s">
        <v>5801</v>
      </c>
      <c r="C4902" t="s">
        <v>2903</v>
      </c>
      <c r="D4902" s="2" t="s">
        <v>2904</v>
      </c>
      <c r="E4902" t="s">
        <v>2905</v>
      </c>
      <c r="F4902" t="s">
        <v>20</v>
      </c>
      <c r="G4902" t="s">
        <v>21</v>
      </c>
      <c r="H4902" t="s">
        <v>272</v>
      </c>
      <c r="I4902" t="s">
        <v>23</v>
      </c>
      <c r="J4902" t="s">
        <v>35</v>
      </c>
      <c r="K4902" s="2" t="s">
        <v>1152</v>
      </c>
      <c r="L4902" t="s">
        <v>26</v>
      </c>
      <c r="M4902">
        <v>326714</v>
      </c>
      <c r="N4902">
        <v>2</v>
      </c>
      <c r="O4902" s="3">
        <v>147900</v>
      </c>
      <c r="P4902" s="3">
        <v>27771</v>
      </c>
      <c r="Q4902" s="5">
        <f t="shared" si="228"/>
        <v>124285.71428571429</v>
      </c>
      <c r="R4902" s="5">
        <f t="shared" si="229"/>
        <v>55542</v>
      </c>
      <c r="S4902" s="5">
        <f t="shared" si="230"/>
        <v>68743.71428571429</v>
      </c>
    </row>
    <row r="4903" spans="1:19" hidden="1" x14ac:dyDescent="0.3">
      <c r="A4903">
        <v>190</v>
      </c>
      <c r="B4903" t="s">
        <v>5801</v>
      </c>
      <c r="C4903" t="s">
        <v>5279</v>
      </c>
      <c r="D4903" s="2" t="s">
        <v>5280</v>
      </c>
      <c r="E4903" t="s">
        <v>2781</v>
      </c>
      <c r="F4903" t="s">
        <v>20</v>
      </c>
      <c r="G4903" t="s">
        <v>21</v>
      </c>
      <c r="H4903" t="s">
        <v>2782</v>
      </c>
      <c r="I4903" t="s">
        <v>23</v>
      </c>
      <c r="J4903" t="s">
        <v>35</v>
      </c>
      <c r="K4903" s="2" t="s">
        <v>1152</v>
      </c>
      <c r="L4903" t="s">
        <v>26</v>
      </c>
      <c r="M4903">
        <v>326715</v>
      </c>
      <c r="N4903">
        <v>1</v>
      </c>
      <c r="O4903" s="3">
        <v>74950</v>
      </c>
      <c r="P4903" s="3">
        <v>24388</v>
      </c>
      <c r="Q4903" s="5">
        <f t="shared" si="228"/>
        <v>62983.193277310929</v>
      </c>
      <c r="R4903" s="5">
        <f t="shared" si="229"/>
        <v>24388</v>
      </c>
      <c r="S4903" s="5">
        <f t="shared" si="230"/>
        <v>38595.193277310929</v>
      </c>
    </row>
    <row r="4904" spans="1:19" hidden="1" x14ac:dyDescent="0.3">
      <c r="A4904">
        <v>190</v>
      </c>
      <c r="B4904" t="s">
        <v>5801</v>
      </c>
      <c r="C4904" t="s">
        <v>4554</v>
      </c>
      <c r="D4904" s="2" t="s">
        <v>4555</v>
      </c>
      <c r="E4904" t="s">
        <v>4556</v>
      </c>
      <c r="F4904" t="s">
        <v>20</v>
      </c>
      <c r="G4904" t="s">
        <v>21</v>
      </c>
      <c r="H4904" t="s">
        <v>1987</v>
      </c>
      <c r="I4904" t="s">
        <v>23</v>
      </c>
      <c r="J4904" t="s">
        <v>35</v>
      </c>
      <c r="K4904" s="2" t="s">
        <v>1152</v>
      </c>
      <c r="L4904" t="s">
        <v>26</v>
      </c>
      <c r="M4904">
        <v>326716</v>
      </c>
      <c r="N4904">
        <v>1</v>
      </c>
      <c r="O4904" s="3">
        <v>89950</v>
      </c>
      <c r="P4904" s="3">
        <v>29858</v>
      </c>
      <c r="Q4904" s="5">
        <f t="shared" si="228"/>
        <v>75588.23529411765</v>
      </c>
      <c r="R4904" s="5">
        <f t="shared" si="229"/>
        <v>29858</v>
      </c>
      <c r="S4904" s="5">
        <f t="shared" si="230"/>
        <v>45730.23529411765</v>
      </c>
    </row>
    <row r="4905" spans="1:19" hidden="1" x14ac:dyDescent="0.3">
      <c r="A4905">
        <v>190</v>
      </c>
      <c r="B4905" t="s">
        <v>5801</v>
      </c>
      <c r="C4905" t="s">
        <v>2575</v>
      </c>
      <c r="D4905" s="2" t="s">
        <v>2576</v>
      </c>
      <c r="E4905" t="s">
        <v>2577</v>
      </c>
      <c r="F4905" t="s">
        <v>377</v>
      </c>
      <c r="G4905" t="s">
        <v>21</v>
      </c>
      <c r="H4905" t="s">
        <v>378</v>
      </c>
      <c r="I4905" t="s">
        <v>23</v>
      </c>
      <c r="J4905" t="s">
        <v>379</v>
      </c>
      <c r="K4905" s="2" t="s">
        <v>1152</v>
      </c>
      <c r="L4905" t="s">
        <v>26</v>
      </c>
      <c r="M4905">
        <v>326716</v>
      </c>
      <c r="N4905">
        <v>1</v>
      </c>
      <c r="O4905" s="3">
        <v>5950</v>
      </c>
      <c r="P4905" s="3">
        <v>3307</v>
      </c>
      <c r="Q4905" s="5">
        <f t="shared" si="228"/>
        <v>5000</v>
      </c>
      <c r="R4905" s="5">
        <f t="shared" si="229"/>
        <v>3307</v>
      </c>
      <c r="S4905" s="5">
        <f t="shared" si="230"/>
        <v>1693</v>
      </c>
    </row>
    <row r="4906" spans="1:19" hidden="1" x14ac:dyDescent="0.3">
      <c r="A4906">
        <v>190</v>
      </c>
      <c r="B4906" t="s">
        <v>5801</v>
      </c>
      <c r="C4906" t="s">
        <v>5929</v>
      </c>
      <c r="D4906" s="2" t="s">
        <v>5930</v>
      </c>
      <c r="E4906" t="s">
        <v>2476</v>
      </c>
      <c r="F4906" t="s">
        <v>20</v>
      </c>
      <c r="G4906" t="s">
        <v>21</v>
      </c>
      <c r="H4906" t="s">
        <v>114</v>
      </c>
      <c r="I4906" t="s">
        <v>23</v>
      </c>
      <c r="J4906" t="s">
        <v>49</v>
      </c>
      <c r="K4906" s="2" t="s">
        <v>1152</v>
      </c>
      <c r="L4906" t="s">
        <v>26</v>
      </c>
      <c r="M4906">
        <v>326717</v>
      </c>
      <c r="N4906">
        <v>1</v>
      </c>
      <c r="O4906" s="3">
        <v>69950</v>
      </c>
      <c r="P4906" s="3">
        <v>22186</v>
      </c>
      <c r="Q4906" s="5">
        <f t="shared" si="228"/>
        <v>58781.512605042022</v>
      </c>
      <c r="R4906" s="5">
        <f t="shared" si="229"/>
        <v>22186</v>
      </c>
      <c r="S4906" s="5">
        <f t="shared" si="230"/>
        <v>36595.512605042022</v>
      </c>
    </row>
    <row r="4907" spans="1:19" hidden="1" x14ac:dyDescent="0.3">
      <c r="A4907">
        <v>190</v>
      </c>
      <c r="B4907" t="s">
        <v>5801</v>
      </c>
      <c r="C4907" t="s">
        <v>4504</v>
      </c>
      <c r="D4907" s="2" t="s">
        <v>4505</v>
      </c>
      <c r="E4907" t="s">
        <v>3651</v>
      </c>
      <c r="F4907" t="s">
        <v>20</v>
      </c>
      <c r="G4907" t="s">
        <v>21</v>
      </c>
      <c r="H4907" t="s">
        <v>970</v>
      </c>
      <c r="I4907" t="s">
        <v>23</v>
      </c>
      <c r="J4907" t="s">
        <v>40</v>
      </c>
      <c r="K4907" s="2" t="s">
        <v>1152</v>
      </c>
      <c r="L4907" t="s">
        <v>26</v>
      </c>
      <c r="M4907">
        <v>326718</v>
      </c>
      <c r="N4907">
        <v>1</v>
      </c>
      <c r="O4907" s="3">
        <v>59950</v>
      </c>
      <c r="P4907" s="3">
        <v>18805</v>
      </c>
      <c r="Q4907" s="5">
        <f t="shared" si="228"/>
        <v>50378.151260504201</v>
      </c>
      <c r="R4907" s="5">
        <f t="shared" si="229"/>
        <v>18805</v>
      </c>
      <c r="S4907" s="5">
        <f t="shared" si="230"/>
        <v>31573.151260504201</v>
      </c>
    </row>
    <row r="4908" spans="1:19" hidden="1" x14ac:dyDescent="0.3">
      <c r="A4908">
        <v>190</v>
      </c>
      <c r="B4908" t="s">
        <v>5801</v>
      </c>
      <c r="C4908" t="s">
        <v>4745</v>
      </c>
      <c r="D4908" s="2" t="s">
        <v>4746</v>
      </c>
      <c r="E4908" t="s">
        <v>3091</v>
      </c>
      <c r="F4908" t="s">
        <v>20</v>
      </c>
      <c r="G4908" t="s">
        <v>338</v>
      </c>
      <c r="H4908">
        <v>26266</v>
      </c>
      <c r="I4908" t="s">
        <v>23</v>
      </c>
      <c r="J4908" t="s">
        <v>35</v>
      </c>
      <c r="K4908" s="2" t="s">
        <v>1152</v>
      </c>
      <c r="L4908" t="s">
        <v>26</v>
      </c>
      <c r="M4908">
        <v>326719</v>
      </c>
      <c r="N4908">
        <v>1</v>
      </c>
      <c r="O4908" s="3">
        <v>79950</v>
      </c>
      <c r="P4908" s="3">
        <v>25300</v>
      </c>
      <c r="Q4908" s="5">
        <f t="shared" si="228"/>
        <v>67184.873949579836</v>
      </c>
      <c r="R4908" s="5">
        <f t="shared" si="229"/>
        <v>25300</v>
      </c>
      <c r="S4908" s="5">
        <f t="shared" si="230"/>
        <v>41884.873949579836</v>
      </c>
    </row>
    <row r="4909" spans="1:19" hidden="1" x14ac:dyDescent="0.3">
      <c r="A4909">
        <v>190</v>
      </c>
      <c r="B4909" t="s">
        <v>5801</v>
      </c>
      <c r="C4909" t="s">
        <v>5931</v>
      </c>
      <c r="D4909" s="2" t="s">
        <v>5932</v>
      </c>
      <c r="E4909" t="s">
        <v>2837</v>
      </c>
      <c r="F4909" t="s">
        <v>20</v>
      </c>
      <c r="G4909" t="s">
        <v>21</v>
      </c>
      <c r="H4909" t="s">
        <v>272</v>
      </c>
      <c r="I4909" t="s">
        <v>23</v>
      </c>
      <c r="J4909" t="s">
        <v>40</v>
      </c>
      <c r="K4909" s="2" t="s">
        <v>1152</v>
      </c>
      <c r="L4909" t="s">
        <v>26</v>
      </c>
      <c r="M4909">
        <v>326720</v>
      </c>
      <c r="N4909">
        <v>1</v>
      </c>
      <c r="O4909" s="3">
        <v>63700</v>
      </c>
      <c r="P4909" s="3">
        <v>26158</v>
      </c>
      <c r="Q4909" s="5">
        <f t="shared" si="228"/>
        <v>53529.411764705888</v>
      </c>
      <c r="R4909" s="5">
        <f t="shared" si="229"/>
        <v>26158</v>
      </c>
      <c r="S4909" s="5">
        <f t="shared" si="230"/>
        <v>27371.411764705888</v>
      </c>
    </row>
    <row r="4910" spans="1:19" hidden="1" x14ac:dyDescent="0.3">
      <c r="A4910">
        <v>190</v>
      </c>
      <c r="B4910" t="s">
        <v>5801</v>
      </c>
      <c r="C4910" t="s">
        <v>5933</v>
      </c>
      <c r="D4910" s="2" t="s">
        <v>5934</v>
      </c>
      <c r="E4910" t="s">
        <v>1174</v>
      </c>
      <c r="F4910" t="s">
        <v>20</v>
      </c>
      <c r="G4910" t="s">
        <v>21</v>
      </c>
      <c r="H4910" t="s">
        <v>272</v>
      </c>
      <c r="I4910" t="s">
        <v>23</v>
      </c>
      <c r="J4910" t="s">
        <v>40</v>
      </c>
      <c r="K4910" s="2" t="s">
        <v>1152</v>
      </c>
      <c r="L4910" t="s">
        <v>26</v>
      </c>
      <c r="M4910">
        <v>326720</v>
      </c>
      <c r="N4910">
        <v>1</v>
      </c>
      <c r="O4910" s="3">
        <v>74950</v>
      </c>
      <c r="P4910" s="3">
        <v>25232</v>
      </c>
      <c r="Q4910" s="5">
        <f t="shared" si="228"/>
        <v>62983.193277310929</v>
      </c>
      <c r="R4910" s="5">
        <f t="shared" si="229"/>
        <v>25232</v>
      </c>
      <c r="S4910" s="5">
        <f t="shared" si="230"/>
        <v>37751.193277310929</v>
      </c>
    </row>
    <row r="4911" spans="1:19" hidden="1" x14ac:dyDescent="0.3">
      <c r="A4911">
        <v>190</v>
      </c>
      <c r="B4911" t="s">
        <v>5801</v>
      </c>
      <c r="C4911" t="s">
        <v>5935</v>
      </c>
      <c r="D4911" s="2" t="s">
        <v>5936</v>
      </c>
      <c r="E4911" t="s">
        <v>1327</v>
      </c>
      <c r="F4911" t="s">
        <v>20</v>
      </c>
      <c r="G4911" t="s">
        <v>21</v>
      </c>
      <c r="H4911" t="s">
        <v>247</v>
      </c>
      <c r="I4911" t="s">
        <v>23</v>
      </c>
      <c r="J4911" t="s">
        <v>40</v>
      </c>
      <c r="K4911" s="2" t="s">
        <v>1152</v>
      </c>
      <c r="L4911" t="s">
        <v>26</v>
      </c>
      <c r="M4911">
        <v>326721</v>
      </c>
      <c r="N4911">
        <v>1</v>
      </c>
      <c r="O4911" s="3">
        <v>59950</v>
      </c>
      <c r="P4911" s="3">
        <v>16541</v>
      </c>
      <c r="Q4911" s="5">
        <f t="shared" si="228"/>
        <v>50378.151260504201</v>
      </c>
      <c r="R4911" s="5">
        <f t="shared" si="229"/>
        <v>16541</v>
      </c>
      <c r="S4911" s="5">
        <f t="shared" si="230"/>
        <v>33837.151260504201</v>
      </c>
    </row>
    <row r="4912" spans="1:19" hidden="1" x14ac:dyDescent="0.3">
      <c r="A4912">
        <v>190</v>
      </c>
      <c r="B4912" t="s">
        <v>5801</v>
      </c>
      <c r="C4912" t="s">
        <v>5441</v>
      </c>
      <c r="D4912" s="2" t="s">
        <v>5442</v>
      </c>
      <c r="E4912" t="s">
        <v>3486</v>
      </c>
      <c r="F4912" t="s">
        <v>20</v>
      </c>
      <c r="G4912" t="s">
        <v>21</v>
      </c>
      <c r="H4912" t="s">
        <v>247</v>
      </c>
      <c r="I4912" t="s">
        <v>23</v>
      </c>
      <c r="J4912" t="s">
        <v>40</v>
      </c>
      <c r="K4912" s="2" t="s">
        <v>1152</v>
      </c>
      <c r="L4912" t="s">
        <v>26</v>
      </c>
      <c r="M4912">
        <v>326721</v>
      </c>
      <c r="N4912">
        <v>1</v>
      </c>
      <c r="O4912" s="3">
        <v>50950</v>
      </c>
      <c r="P4912" s="3">
        <v>16103</v>
      </c>
      <c r="Q4912" s="5">
        <f t="shared" si="228"/>
        <v>42815.126050420171</v>
      </c>
      <c r="R4912" s="5">
        <f t="shared" si="229"/>
        <v>16103</v>
      </c>
      <c r="S4912" s="5">
        <f t="shared" si="230"/>
        <v>26712.126050420171</v>
      </c>
    </row>
    <row r="4913" spans="1:19" hidden="1" x14ac:dyDescent="0.3">
      <c r="A4913">
        <v>190</v>
      </c>
      <c r="B4913" t="s">
        <v>5801</v>
      </c>
      <c r="C4913" t="s">
        <v>2537</v>
      </c>
      <c r="D4913" s="2" t="s">
        <v>2538</v>
      </c>
      <c r="E4913" t="s">
        <v>2539</v>
      </c>
      <c r="F4913" t="s">
        <v>20</v>
      </c>
      <c r="G4913" t="s">
        <v>21</v>
      </c>
      <c r="H4913" t="s">
        <v>966</v>
      </c>
      <c r="I4913" t="s">
        <v>23</v>
      </c>
      <c r="J4913" t="s">
        <v>35</v>
      </c>
      <c r="K4913" s="2" t="s">
        <v>1152</v>
      </c>
      <c r="L4913" t="s">
        <v>26</v>
      </c>
      <c r="M4913">
        <v>326722</v>
      </c>
      <c r="N4913">
        <v>1</v>
      </c>
      <c r="O4913" s="3">
        <v>74950</v>
      </c>
      <c r="P4913" s="3">
        <v>27299</v>
      </c>
      <c r="Q4913" s="5">
        <f t="shared" si="228"/>
        <v>62983.193277310929</v>
      </c>
      <c r="R4913" s="5">
        <f t="shared" si="229"/>
        <v>27299</v>
      </c>
      <c r="S4913" s="5">
        <f t="shared" si="230"/>
        <v>35684.193277310929</v>
      </c>
    </row>
    <row r="4914" spans="1:19" hidden="1" x14ac:dyDescent="0.3">
      <c r="A4914">
        <v>190</v>
      </c>
      <c r="B4914" t="s">
        <v>5801</v>
      </c>
      <c r="C4914" t="s">
        <v>5567</v>
      </c>
      <c r="D4914" s="2" t="s">
        <v>5568</v>
      </c>
      <c r="E4914" t="s">
        <v>990</v>
      </c>
      <c r="F4914" t="s">
        <v>20</v>
      </c>
      <c r="G4914" t="s">
        <v>21</v>
      </c>
      <c r="H4914" t="s">
        <v>991</v>
      </c>
      <c r="I4914" t="s">
        <v>23</v>
      </c>
      <c r="J4914" t="s">
        <v>49</v>
      </c>
      <c r="K4914" s="2" t="s">
        <v>1152</v>
      </c>
      <c r="L4914" t="s">
        <v>26</v>
      </c>
      <c r="M4914">
        <v>326723</v>
      </c>
      <c r="N4914">
        <v>1</v>
      </c>
      <c r="O4914" s="3">
        <v>69950</v>
      </c>
      <c r="P4914" s="3">
        <v>22189</v>
      </c>
      <c r="Q4914" s="5">
        <f t="shared" si="228"/>
        <v>58781.512605042022</v>
      </c>
      <c r="R4914" s="5">
        <f t="shared" si="229"/>
        <v>22189</v>
      </c>
      <c r="S4914" s="5">
        <f t="shared" si="230"/>
        <v>36592.512605042022</v>
      </c>
    </row>
    <row r="4915" spans="1:19" hidden="1" x14ac:dyDescent="0.3">
      <c r="A4915">
        <v>190</v>
      </c>
      <c r="B4915" t="s">
        <v>5801</v>
      </c>
      <c r="C4915" t="s">
        <v>5120</v>
      </c>
      <c r="D4915" s="2" t="s">
        <v>5121</v>
      </c>
      <c r="E4915" t="s">
        <v>453</v>
      </c>
      <c r="F4915" t="s">
        <v>20</v>
      </c>
      <c r="G4915" t="s">
        <v>21</v>
      </c>
      <c r="H4915" t="s">
        <v>454</v>
      </c>
      <c r="I4915" t="s">
        <v>23</v>
      </c>
      <c r="J4915" t="s">
        <v>407</v>
      </c>
      <c r="K4915" s="2" t="s">
        <v>1152</v>
      </c>
      <c r="L4915" t="s">
        <v>26</v>
      </c>
      <c r="M4915">
        <v>326724</v>
      </c>
      <c r="N4915">
        <v>1</v>
      </c>
      <c r="O4915" s="3">
        <v>39990</v>
      </c>
      <c r="P4915" s="3">
        <v>21038</v>
      </c>
      <c r="Q4915" s="5">
        <f t="shared" si="228"/>
        <v>33605.042016806721</v>
      </c>
      <c r="R4915" s="5">
        <f t="shared" si="229"/>
        <v>21038</v>
      </c>
      <c r="S4915" s="5">
        <f t="shared" si="230"/>
        <v>12567.042016806721</v>
      </c>
    </row>
    <row r="4916" spans="1:19" hidden="1" x14ac:dyDescent="0.3">
      <c r="A4916">
        <v>190</v>
      </c>
      <c r="B4916" t="s">
        <v>5801</v>
      </c>
      <c r="C4916" t="s">
        <v>3441</v>
      </c>
      <c r="D4916" s="2" t="s">
        <v>3442</v>
      </c>
      <c r="E4916" t="s">
        <v>3283</v>
      </c>
      <c r="F4916" t="s">
        <v>20</v>
      </c>
      <c r="G4916" t="s">
        <v>21</v>
      </c>
      <c r="H4916" t="s">
        <v>2494</v>
      </c>
      <c r="I4916" t="s">
        <v>23</v>
      </c>
      <c r="J4916" t="s">
        <v>40</v>
      </c>
      <c r="K4916" s="2" t="s">
        <v>1152</v>
      </c>
      <c r="L4916" t="s">
        <v>26</v>
      </c>
      <c r="M4916">
        <v>326724</v>
      </c>
      <c r="N4916">
        <v>1</v>
      </c>
      <c r="O4916" s="3">
        <v>59450</v>
      </c>
      <c r="P4916" s="3">
        <v>23470</v>
      </c>
      <c r="Q4916" s="5">
        <f t="shared" si="228"/>
        <v>49957.983193277316</v>
      </c>
      <c r="R4916" s="5">
        <f t="shared" si="229"/>
        <v>23470</v>
      </c>
      <c r="S4916" s="5">
        <f t="shared" si="230"/>
        <v>26487.983193277316</v>
      </c>
    </row>
    <row r="4917" spans="1:19" hidden="1" x14ac:dyDescent="0.3">
      <c r="A4917">
        <v>190</v>
      </c>
      <c r="B4917" t="s">
        <v>5801</v>
      </c>
      <c r="C4917" t="s">
        <v>2739</v>
      </c>
      <c r="D4917" s="2" t="s">
        <v>2740</v>
      </c>
      <c r="E4917" t="s">
        <v>2741</v>
      </c>
      <c r="F4917" t="s">
        <v>20</v>
      </c>
      <c r="G4917" t="s">
        <v>21</v>
      </c>
      <c r="H4917" t="s">
        <v>2494</v>
      </c>
      <c r="I4917" t="s">
        <v>23</v>
      </c>
      <c r="J4917" t="s">
        <v>40</v>
      </c>
      <c r="K4917" s="2" t="s">
        <v>1152</v>
      </c>
      <c r="L4917" t="s">
        <v>26</v>
      </c>
      <c r="M4917">
        <v>326724</v>
      </c>
      <c r="N4917">
        <v>1</v>
      </c>
      <c r="O4917" s="3">
        <v>69950</v>
      </c>
      <c r="P4917" s="3">
        <v>23470</v>
      </c>
      <c r="Q4917" s="5">
        <f t="shared" si="228"/>
        <v>58781.512605042022</v>
      </c>
      <c r="R4917" s="5">
        <f t="shared" si="229"/>
        <v>23470</v>
      </c>
      <c r="S4917" s="5">
        <f t="shared" si="230"/>
        <v>35311.512605042022</v>
      </c>
    </row>
    <row r="4918" spans="1:19" hidden="1" x14ac:dyDescent="0.3">
      <c r="A4918">
        <v>190</v>
      </c>
      <c r="B4918" t="s">
        <v>5801</v>
      </c>
      <c r="C4918" t="s">
        <v>551</v>
      </c>
      <c r="D4918" s="2" t="s">
        <v>552</v>
      </c>
      <c r="E4918" t="s">
        <v>553</v>
      </c>
      <c r="F4918" t="s">
        <v>20</v>
      </c>
      <c r="G4918" t="s">
        <v>21</v>
      </c>
      <c r="H4918" t="s">
        <v>353</v>
      </c>
      <c r="I4918" t="s">
        <v>23</v>
      </c>
      <c r="J4918" t="s">
        <v>95</v>
      </c>
      <c r="K4918" s="2" t="s">
        <v>1152</v>
      </c>
      <c r="L4918" t="s">
        <v>26</v>
      </c>
      <c r="M4918">
        <v>326725</v>
      </c>
      <c r="N4918">
        <v>0</v>
      </c>
      <c r="O4918">
        <v>1</v>
      </c>
      <c r="P4918" s="3">
        <v>31000</v>
      </c>
      <c r="Q4918" s="5">
        <f t="shared" si="228"/>
        <v>0.84033613445378152</v>
      </c>
      <c r="R4918" s="5">
        <f t="shared" si="229"/>
        <v>0</v>
      </c>
      <c r="S4918" s="5">
        <f t="shared" si="230"/>
        <v>0.84033613445378152</v>
      </c>
    </row>
    <row r="4919" spans="1:19" hidden="1" x14ac:dyDescent="0.3">
      <c r="A4919">
        <v>190</v>
      </c>
      <c r="B4919" t="s">
        <v>5801</v>
      </c>
      <c r="C4919" t="s">
        <v>5937</v>
      </c>
      <c r="D4919" s="2" t="s">
        <v>5938</v>
      </c>
      <c r="E4919" t="s">
        <v>4954</v>
      </c>
      <c r="F4919" t="s">
        <v>20</v>
      </c>
      <c r="G4919" t="s">
        <v>338</v>
      </c>
      <c r="H4919">
        <v>23624</v>
      </c>
      <c r="I4919" t="s">
        <v>23</v>
      </c>
      <c r="J4919" t="s">
        <v>40</v>
      </c>
      <c r="K4919" s="2" t="s">
        <v>1152</v>
      </c>
      <c r="L4919" t="s">
        <v>26</v>
      </c>
      <c r="M4919">
        <v>326726</v>
      </c>
      <c r="N4919">
        <v>1</v>
      </c>
      <c r="O4919" s="3">
        <v>79950</v>
      </c>
      <c r="P4919" s="3">
        <v>24718</v>
      </c>
      <c r="Q4919" s="5">
        <f t="shared" si="228"/>
        <v>67184.873949579836</v>
      </c>
      <c r="R4919" s="5">
        <f t="shared" si="229"/>
        <v>24718</v>
      </c>
      <c r="S4919" s="5">
        <f t="shared" si="230"/>
        <v>42466.873949579836</v>
      </c>
    </row>
    <row r="4920" spans="1:19" hidden="1" x14ac:dyDescent="0.3">
      <c r="A4920">
        <v>190</v>
      </c>
      <c r="B4920" t="s">
        <v>5801</v>
      </c>
      <c r="C4920" t="s">
        <v>5795</v>
      </c>
      <c r="D4920" s="2" t="s">
        <v>5796</v>
      </c>
      <c r="E4920" t="s">
        <v>3795</v>
      </c>
      <c r="F4920" t="s">
        <v>20</v>
      </c>
      <c r="G4920" t="s">
        <v>338</v>
      </c>
      <c r="H4920">
        <v>25529</v>
      </c>
      <c r="I4920" t="s">
        <v>23</v>
      </c>
      <c r="J4920" t="s">
        <v>31</v>
      </c>
      <c r="K4920" s="2" t="s">
        <v>1152</v>
      </c>
      <c r="L4920" t="s">
        <v>26</v>
      </c>
      <c r="M4920">
        <v>326727</v>
      </c>
      <c r="N4920">
        <v>1</v>
      </c>
      <c r="O4920" s="3">
        <v>127450</v>
      </c>
      <c r="P4920" s="3">
        <v>50690</v>
      </c>
      <c r="Q4920" s="5">
        <f t="shared" si="228"/>
        <v>107100.84033613445</v>
      </c>
      <c r="R4920" s="5">
        <f t="shared" si="229"/>
        <v>50690</v>
      </c>
      <c r="S4920" s="5">
        <f t="shared" si="230"/>
        <v>56410.840336134454</v>
      </c>
    </row>
    <row r="4921" spans="1:19" hidden="1" x14ac:dyDescent="0.3">
      <c r="A4921">
        <v>190</v>
      </c>
      <c r="B4921" t="s">
        <v>5801</v>
      </c>
      <c r="C4921" t="s">
        <v>5512</v>
      </c>
      <c r="D4921" s="2" t="s">
        <v>5513</v>
      </c>
      <c r="E4921" t="s">
        <v>2933</v>
      </c>
      <c r="F4921" t="s">
        <v>20</v>
      </c>
      <c r="G4921" t="s">
        <v>338</v>
      </c>
      <c r="H4921">
        <v>25539</v>
      </c>
      <c r="I4921" t="s">
        <v>23</v>
      </c>
      <c r="J4921" t="s">
        <v>31</v>
      </c>
      <c r="K4921" s="2" t="s">
        <v>1152</v>
      </c>
      <c r="L4921" t="s">
        <v>26</v>
      </c>
      <c r="M4921">
        <v>326727</v>
      </c>
      <c r="N4921">
        <v>1</v>
      </c>
      <c r="O4921" s="3">
        <v>139950</v>
      </c>
      <c r="P4921" s="3">
        <v>46011</v>
      </c>
      <c r="Q4921" s="5">
        <f t="shared" si="228"/>
        <v>117605.04201680672</v>
      </c>
      <c r="R4921" s="5">
        <f t="shared" si="229"/>
        <v>46011</v>
      </c>
      <c r="S4921" s="5">
        <f t="shared" si="230"/>
        <v>71594.042016806721</v>
      </c>
    </row>
    <row r="4922" spans="1:19" hidden="1" x14ac:dyDescent="0.3">
      <c r="A4922">
        <v>190</v>
      </c>
      <c r="B4922" t="s">
        <v>5801</v>
      </c>
      <c r="C4922" t="s">
        <v>4399</v>
      </c>
      <c r="D4922" s="2" t="s">
        <v>4400</v>
      </c>
      <c r="E4922" t="s">
        <v>3268</v>
      </c>
      <c r="F4922" t="s">
        <v>20</v>
      </c>
      <c r="G4922" t="s">
        <v>21</v>
      </c>
      <c r="H4922" t="s">
        <v>2189</v>
      </c>
      <c r="I4922" t="s">
        <v>23</v>
      </c>
      <c r="J4922" t="s">
        <v>40</v>
      </c>
      <c r="K4922" s="2" t="s">
        <v>1152</v>
      </c>
      <c r="L4922" t="s">
        <v>26</v>
      </c>
      <c r="M4922">
        <v>326728</v>
      </c>
      <c r="N4922">
        <v>1</v>
      </c>
      <c r="O4922" s="3">
        <v>74950</v>
      </c>
      <c r="P4922" s="3">
        <v>27727</v>
      </c>
      <c r="Q4922" s="5">
        <f t="shared" si="228"/>
        <v>62983.193277310929</v>
      </c>
      <c r="R4922" s="5">
        <f t="shared" si="229"/>
        <v>27727</v>
      </c>
      <c r="S4922" s="5">
        <f t="shared" si="230"/>
        <v>35256.193277310929</v>
      </c>
    </row>
    <row r="4923" spans="1:19" hidden="1" x14ac:dyDescent="0.3">
      <c r="A4923">
        <v>190</v>
      </c>
      <c r="B4923" t="s">
        <v>5801</v>
      </c>
      <c r="C4923" t="s">
        <v>4010</v>
      </c>
      <c r="D4923" s="2" t="s">
        <v>4011</v>
      </c>
      <c r="E4923" t="s">
        <v>1428</v>
      </c>
      <c r="F4923" t="s">
        <v>20</v>
      </c>
      <c r="G4923" t="s">
        <v>21</v>
      </c>
      <c r="H4923" t="s">
        <v>57</v>
      </c>
      <c r="I4923" t="s">
        <v>23</v>
      </c>
      <c r="J4923" t="s">
        <v>35</v>
      </c>
      <c r="K4923" s="2" t="s">
        <v>1152</v>
      </c>
      <c r="L4923" t="s">
        <v>26</v>
      </c>
      <c r="M4923">
        <v>326728</v>
      </c>
      <c r="N4923">
        <v>1</v>
      </c>
      <c r="O4923" s="3">
        <v>76450</v>
      </c>
      <c r="P4923" s="3">
        <v>31700</v>
      </c>
      <c r="Q4923" s="5">
        <f t="shared" si="228"/>
        <v>64243.697478991598</v>
      </c>
      <c r="R4923" s="5">
        <f t="shared" si="229"/>
        <v>31700</v>
      </c>
      <c r="S4923" s="5">
        <f t="shared" si="230"/>
        <v>32543.697478991598</v>
      </c>
    </row>
    <row r="4924" spans="1:19" hidden="1" x14ac:dyDescent="0.3">
      <c r="A4924">
        <v>190</v>
      </c>
      <c r="B4924" t="s">
        <v>5801</v>
      </c>
      <c r="C4924" t="s">
        <v>4671</v>
      </c>
      <c r="D4924" s="2" t="s">
        <v>4672</v>
      </c>
      <c r="E4924" t="s">
        <v>4673</v>
      </c>
      <c r="F4924" t="s">
        <v>377</v>
      </c>
      <c r="G4924" t="s">
        <v>21</v>
      </c>
      <c r="H4924" t="s">
        <v>378</v>
      </c>
      <c r="I4924" t="s">
        <v>23</v>
      </c>
      <c r="J4924" t="s">
        <v>379</v>
      </c>
      <c r="K4924" s="2" t="s">
        <v>1152</v>
      </c>
      <c r="L4924" t="s">
        <v>26</v>
      </c>
      <c r="M4924">
        <v>326728</v>
      </c>
      <c r="N4924">
        <v>1</v>
      </c>
      <c r="O4924" s="3">
        <v>6950</v>
      </c>
      <c r="P4924" s="3">
        <v>3551</v>
      </c>
      <c r="Q4924" s="5">
        <f t="shared" si="228"/>
        <v>5840.3361344537816</v>
      </c>
      <c r="R4924" s="5">
        <f t="shared" si="229"/>
        <v>3551</v>
      </c>
      <c r="S4924" s="5">
        <f t="shared" si="230"/>
        <v>2289.3361344537816</v>
      </c>
    </row>
    <row r="4925" spans="1:19" hidden="1" x14ac:dyDescent="0.3">
      <c r="A4925">
        <v>190</v>
      </c>
      <c r="B4925" t="s">
        <v>5801</v>
      </c>
      <c r="C4925" t="s">
        <v>2365</v>
      </c>
      <c r="D4925" s="2" t="s">
        <v>2366</v>
      </c>
      <c r="E4925" t="s">
        <v>2367</v>
      </c>
      <c r="F4925" t="s">
        <v>377</v>
      </c>
      <c r="G4925" t="s">
        <v>21</v>
      </c>
      <c r="H4925" t="s">
        <v>378</v>
      </c>
      <c r="I4925" t="s">
        <v>23</v>
      </c>
      <c r="J4925" t="s">
        <v>379</v>
      </c>
      <c r="K4925" s="2" t="s">
        <v>1152</v>
      </c>
      <c r="L4925" t="s">
        <v>26</v>
      </c>
      <c r="M4925">
        <v>326728</v>
      </c>
      <c r="N4925">
        <v>1</v>
      </c>
      <c r="O4925" s="3">
        <v>6950</v>
      </c>
      <c r="P4925" s="3">
        <v>3759</v>
      </c>
      <c r="Q4925" s="5">
        <f t="shared" si="228"/>
        <v>5840.3361344537816</v>
      </c>
      <c r="R4925" s="5">
        <f t="shared" si="229"/>
        <v>3759</v>
      </c>
      <c r="S4925" s="5">
        <f t="shared" si="230"/>
        <v>2081.3361344537816</v>
      </c>
    </row>
    <row r="4926" spans="1:19" hidden="1" x14ac:dyDescent="0.3">
      <c r="A4926">
        <v>190</v>
      </c>
      <c r="B4926" t="s">
        <v>5801</v>
      </c>
      <c r="C4926" t="s">
        <v>1789</v>
      </c>
      <c r="D4926" s="2" t="s">
        <v>1790</v>
      </c>
      <c r="E4926" t="s">
        <v>1791</v>
      </c>
      <c r="F4926" t="s">
        <v>20</v>
      </c>
      <c r="G4926" t="s">
        <v>21</v>
      </c>
      <c r="H4926" t="s">
        <v>742</v>
      </c>
      <c r="I4926" t="s">
        <v>23</v>
      </c>
      <c r="J4926" t="s">
        <v>40</v>
      </c>
      <c r="K4926" s="2" t="s">
        <v>1152</v>
      </c>
      <c r="L4926" t="s">
        <v>26</v>
      </c>
      <c r="M4926">
        <v>326729</v>
      </c>
      <c r="N4926">
        <v>1</v>
      </c>
      <c r="O4926" s="3">
        <v>67950</v>
      </c>
      <c r="P4926" s="3">
        <v>26517</v>
      </c>
      <c r="Q4926" s="5">
        <f t="shared" si="228"/>
        <v>57100.840336134454</v>
      </c>
      <c r="R4926" s="5">
        <f t="shared" si="229"/>
        <v>26517</v>
      </c>
      <c r="S4926" s="5">
        <f t="shared" si="230"/>
        <v>30583.840336134454</v>
      </c>
    </row>
    <row r="4927" spans="1:19" hidden="1" x14ac:dyDescent="0.3">
      <c r="A4927">
        <v>190</v>
      </c>
      <c r="B4927" t="s">
        <v>5801</v>
      </c>
      <c r="C4927" t="s">
        <v>292</v>
      </c>
      <c r="D4927" s="2" t="s">
        <v>293</v>
      </c>
      <c r="E4927" t="s">
        <v>294</v>
      </c>
      <c r="F4927" t="s">
        <v>20</v>
      </c>
      <c r="G4927" t="s">
        <v>21</v>
      </c>
      <c r="H4927" t="s">
        <v>295</v>
      </c>
      <c r="I4927" t="s">
        <v>23</v>
      </c>
      <c r="J4927" t="s">
        <v>40</v>
      </c>
      <c r="K4927" s="2" t="s">
        <v>1152</v>
      </c>
      <c r="L4927" t="s">
        <v>26</v>
      </c>
      <c r="M4927">
        <v>326729</v>
      </c>
      <c r="N4927">
        <v>1</v>
      </c>
      <c r="O4927" s="3">
        <v>79950</v>
      </c>
      <c r="P4927" s="3">
        <v>26951</v>
      </c>
      <c r="Q4927" s="5">
        <f t="shared" si="228"/>
        <v>67184.873949579836</v>
      </c>
      <c r="R4927" s="5">
        <f t="shared" si="229"/>
        <v>26951</v>
      </c>
      <c r="S4927" s="5">
        <f t="shared" si="230"/>
        <v>40233.873949579836</v>
      </c>
    </row>
    <row r="4928" spans="1:19" hidden="1" x14ac:dyDescent="0.3">
      <c r="A4928">
        <v>190</v>
      </c>
      <c r="B4928" t="s">
        <v>5801</v>
      </c>
      <c r="C4928" t="s">
        <v>1037</v>
      </c>
      <c r="D4928" s="2" t="s">
        <v>1038</v>
      </c>
      <c r="E4928" t="s">
        <v>1039</v>
      </c>
      <c r="F4928" t="s">
        <v>377</v>
      </c>
      <c r="G4928" t="s">
        <v>21</v>
      </c>
      <c r="H4928" t="s">
        <v>378</v>
      </c>
      <c r="I4928" t="s">
        <v>23</v>
      </c>
      <c r="J4928" t="s">
        <v>379</v>
      </c>
      <c r="K4928" s="2" t="s">
        <v>1152</v>
      </c>
      <c r="L4928" t="s">
        <v>26</v>
      </c>
      <c r="M4928">
        <v>326729</v>
      </c>
      <c r="N4928">
        <v>1</v>
      </c>
      <c r="O4928" s="3">
        <v>5950</v>
      </c>
      <c r="P4928" s="3">
        <v>3257</v>
      </c>
      <c r="Q4928" s="5">
        <f t="shared" si="228"/>
        <v>5000</v>
      </c>
      <c r="R4928" s="5">
        <f t="shared" si="229"/>
        <v>3257</v>
      </c>
      <c r="S4928" s="5">
        <f t="shared" si="230"/>
        <v>1743</v>
      </c>
    </row>
    <row r="4929" spans="1:19" hidden="1" x14ac:dyDescent="0.3">
      <c r="A4929">
        <v>190</v>
      </c>
      <c r="B4929" t="s">
        <v>5801</v>
      </c>
      <c r="C4929" t="s">
        <v>2871</v>
      </c>
      <c r="D4929" s="2" t="s">
        <v>2872</v>
      </c>
      <c r="E4929" t="s">
        <v>1446</v>
      </c>
      <c r="F4929" t="s">
        <v>20</v>
      </c>
      <c r="G4929" t="s">
        <v>338</v>
      </c>
      <c r="H4929">
        <v>25321</v>
      </c>
      <c r="I4929" t="s">
        <v>23</v>
      </c>
      <c r="J4929" t="s">
        <v>35</v>
      </c>
      <c r="K4929" s="2" t="s">
        <v>1152</v>
      </c>
      <c r="L4929" t="s">
        <v>26</v>
      </c>
      <c r="M4929">
        <v>326730</v>
      </c>
      <c r="N4929">
        <v>1</v>
      </c>
      <c r="O4929" s="3">
        <v>93450</v>
      </c>
      <c r="P4929" s="3">
        <v>33748</v>
      </c>
      <c r="Q4929" s="5">
        <f t="shared" si="228"/>
        <v>78529.411764705888</v>
      </c>
      <c r="R4929" s="5">
        <f t="shared" si="229"/>
        <v>33748</v>
      </c>
      <c r="S4929" s="5">
        <f t="shared" si="230"/>
        <v>44781.411764705888</v>
      </c>
    </row>
    <row r="4930" spans="1:19" hidden="1" x14ac:dyDescent="0.3">
      <c r="A4930">
        <v>190</v>
      </c>
      <c r="B4930" t="s">
        <v>5801</v>
      </c>
      <c r="C4930" t="s">
        <v>2937</v>
      </c>
      <c r="D4930" s="2" t="s">
        <v>2938</v>
      </c>
      <c r="E4930" t="s">
        <v>2939</v>
      </c>
      <c r="F4930" t="s">
        <v>20</v>
      </c>
      <c r="G4930" t="s">
        <v>338</v>
      </c>
      <c r="H4930">
        <v>25321</v>
      </c>
      <c r="I4930" t="s">
        <v>23</v>
      </c>
      <c r="J4930" t="s">
        <v>35</v>
      </c>
      <c r="K4930" s="2" t="s">
        <v>1152</v>
      </c>
      <c r="L4930" t="s">
        <v>26</v>
      </c>
      <c r="M4930">
        <v>326730</v>
      </c>
      <c r="N4930">
        <v>1</v>
      </c>
      <c r="O4930" s="3">
        <v>109950</v>
      </c>
      <c r="P4930" s="3">
        <v>33748</v>
      </c>
      <c r="Q4930" s="5">
        <f t="shared" si="228"/>
        <v>92394.957983193279</v>
      </c>
      <c r="R4930" s="5">
        <f t="shared" si="229"/>
        <v>33748</v>
      </c>
      <c r="S4930" s="5">
        <f t="shared" si="230"/>
        <v>58646.957983193279</v>
      </c>
    </row>
    <row r="4931" spans="1:19" hidden="1" x14ac:dyDescent="0.3">
      <c r="A4931">
        <v>190</v>
      </c>
      <c r="B4931" t="s">
        <v>5801</v>
      </c>
      <c r="C4931" t="s">
        <v>1761</v>
      </c>
      <c r="D4931" s="2" t="s">
        <v>1762</v>
      </c>
      <c r="E4931" t="s">
        <v>1763</v>
      </c>
      <c r="F4931" t="s">
        <v>377</v>
      </c>
      <c r="G4931" t="s">
        <v>21</v>
      </c>
      <c r="H4931" t="s">
        <v>378</v>
      </c>
      <c r="I4931" t="s">
        <v>23</v>
      </c>
      <c r="J4931" t="s">
        <v>379</v>
      </c>
      <c r="K4931" s="2" t="s">
        <v>1152</v>
      </c>
      <c r="L4931" t="s">
        <v>26</v>
      </c>
      <c r="M4931">
        <v>326731</v>
      </c>
      <c r="N4931">
        <v>1</v>
      </c>
      <c r="O4931" s="3">
        <v>5950</v>
      </c>
      <c r="P4931" s="3">
        <v>3279</v>
      </c>
      <c r="Q4931" s="5">
        <f t="shared" si="228"/>
        <v>5000</v>
      </c>
      <c r="R4931" s="5">
        <f t="shared" si="229"/>
        <v>3279</v>
      </c>
      <c r="S4931" s="5">
        <f t="shared" si="230"/>
        <v>1721</v>
      </c>
    </row>
    <row r="4932" spans="1:19" hidden="1" x14ac:dyDescent="0.3">
      <c r="A4932">
        <v>190</v>
      </c>
      <c r="B4932" t="s">
        <v>5801</v>
      </c>
      <c r="C4932" t="s">
        <v>2646</v>
      </c>
      <c r="D4932" s="2" t="s">
        <v>2647</v>
      </c>
      <c r="E4932" t="s">
        <v>2648</v>
      </c>
      <c r="F4932" t="s">
        <v>20</v>
      </c>
      <c r="G4932" t="s">
        <v>21</v>
      </c>
      <c r="H4932" t="s">
        <v>970</v>
      </c>
      <c r="I4932" t="s">
        <v>23</v>
      </c>
      <c r="J4932" t="s">
        <v>40</v>
      </c>
      <c r="K4932" s="2" t="s">
        <v>1152</v>
      </c>
      <c r="L4932" t="s">
        <v>26</v>
      </c>
      <c r="M4932">
        <v>326732</v>
      </c>
      <c r="N4932">
        <v>1</v>
      </c>
      <c r="O4932" s="3">
        <v>59950</v>
      </c>
      <c r="P4932" s="3">
        <v>18610</v>
      </c>
      <c r="Q4932" s="5">
        <f t="shared" si="228"/>
        <v>50378.151260504201</v>
      </c>
      <c r="R4932" s="5">
        <f t="shared" si="229"/>
        <v>18610</v>
      </c>
      <c r="S4932" s="5">
        <f t="shared" si="230"/>
        <v>31768.151260504201</v>
      </c>
    </row>
    <row r="4933" spans="1:19" hidden="1" x14ac:dyDescent="0.3">
      <c r="A4933">
        <v>190</v>
      </c>
      <c r="B4933" t="s">
        <v>5801</v>
      </c>
      <c r="C4933" t="s">
        <v>2067</v>
      </c>
      <c r="D4933" s="2" t="s">
        <v>2068</v>
      </c>
      <c r="E4933" t="s">
        <v>2069</v>
      </c>
      <c r="F4933" t="s">
        <v>20</v>
      </c>
      <c r="G4933" t="s">
        <v>21</v>
      </c>
      <c r="H4933" t="s">
        <v>2070</v>
      </c>
      <c r="I4933" t="s">
        <v>23</v>
      </c>
      <c r="J4933" t="s">
        <v>35</v>
      </c>
      <c r="K4933" s="2" t="s">
        <v>1152</v>
      </c>
      <c r="L4933" t="s">
        <v>26</v>
      </c>
      <c r="M4933">
        <v>326732</v>
      </c>
      <c r="N4933">
        <v>1</v>
      </c>
      <c r="O4933" s="3">
        <v>76450</v>
      </c>
      <c r="P4933" s="3">
        <v>29635</v>
      </c>
      <c r="Q4933" s="5">
        <f t="shared" si="228"/>
        <v>64243.697478991598</v>
      </c>
      <c r="R4933" s="5">
        <f t="shared" si="229"/>
        <v>29635</v>
      </c>
      <c r="S4933" s="5">
        <f t="shared" si="230"/>
        <v>34608.697478991598</v>
      </c>
    </row>
    <row r="4934" spans="1:19" hidden="1" x14ac:dyDescent="0.3">
      <c r="A4934">
        <v>190</v>
      </c>
      <c r="B4934" t="s">
        <v>5801</v>
      </c>
      <c r="C4934" t="s">
        <v>41</v>
      </c>
      <c r="D4934" s="2" t="s">
        <v>42</v>
      </c>
      <c r="E4934" t="s">
        <v>43</v>
      </c>
      <c r="F4934" t="s">
        <v>20</v>
      </c>
      <c r="G4934" t="s">
        <v>21</v>
      </c>
      <c r="H4934" t="s">
        <v>44</v>
      </c>
      <c r="I4934" t="s">
        <v>23</v>
      </c>
      <c r="J4934" t="s">
        <v>40</v>
      </c>
      <c r="K4934" s="2" t="s">
        <v>1309</v>
      </c>
      <c r="L4934" t="s">
        <v>2249</v>
      </c>
      <c r="M4934">
        <v>25325</v>
      </c>
      <c r="N4934">
        <v>-1</v>
      </c>
      <c r="O4934" s="3">
        <v>-39990</v>
      </c>
      <c r="P4934" s="3">
        <v>15368</v>
      </c>
      <c r="Q4934" s="5">
        <f t="shared" ref="Q4934:Q4997" si="231">O4934/1.19</f>
        <v>-33605.042016806721</v>
      </c>
      <c r="R4934" s="5">
        <f t="shared" ref="R4934:R4997" si="232">N4934*P4934</f>
        <v>-15368</v>
      </c>
      <c r="S4934" s="5">
        <f t="shared" ref="S4934:S4997" si="233">Q4934-R4934</f>
        <v>-18237.042016806721</v>
      </c>
    </row>
    <row r="4935" spans="1:19" hidden="1" x14ac:dyDescent="0.3">
      <c r="A4935">
        <v>190</v>
      </c>
      <c r="B4935" t="s">
        <v>5801</v>
      </c>
      <c r="C4935" t="s">
        <v>3852</v>
      </c>
      <c r="D4935" s="2" t="s">
        <v>3853</v>
      </c>
      <c r="E4935" t="s">
        <v>990</v>
      </c>
      <c r="F4935" t="s">
        <v>20</v>
      </c>
      <c r="G4935" t="s">
        <v>21</v>
      </c>
      <c r="H4935" t="s">
        <v>991</v>
      </c>
      <c r="I4935" t="s">
        <v>23</v>
      </c>
      <c r="J4935" t="s">
        <v>49</v>
      </c>
      <c r="K4935" s="2" t="s">
        <v>1309</v>
      </c>
      <c r="L4935" t="s">
        <v>26</v>
      </c>
      <c r="M4935">
        <v>326733</v>
      </c>
      <c r="N4935">
        <v>1</v>
      </c>
      <c r="O4935" s="3">
        <v>69950</v>
      </c>
      <c r="P4935" s="3">
        <v>22162</v>
      </c>
      <c r="Q4935" s="5">
        <f t="shared" si="231"/>
        <v>58781.512605042022</v>
      </c>
      <c r="R4935" s="5">
        <f t="shared" si="232"/>
        <v>22162</v>
      </c>
      <c r="S4935" s="5">
        <f t="shared" si="233"/>
        <v>36619.512605042022</v>
      </c>
    </row>
    <row r="4936" spans="1:19" hidden="1" x14ac:dyDescent="0.3">
      <c r="A4936">
        <v>190</v>
      </c>
      <c r="B4936" t="s">
        <v>5801</v>
      </c>
      <c r="C4936" t="s">
        <v>4071</v>
      </c>
      <c r="D4936" s="2" t="s">
        <v>4072</v>
      </c>
      <c r="E4936" t="s">
        <v>3395</v>
      </c>
      <c r="F4936" t="s">
        <v>20</v>
      </c>
      <c r="G4936" t="s">
        <v>338</v>
      </c>
      <c r="H4936">
        <v>25459</v>
      </c>
      <c r="I4936" t="s">
        <v>23</v>
      </c>
      <c r="J4936" t="s">
        <v>35</v>
      </c>
      <c r="K4936" s="2" t="s">
        <v>1309</v>
      </c>
      <c r="L4936" t="s">
        <v>26</v>
      </c>
      <c r="M4936">
        <v>326734</v>
      </c>
      <c r="N4936">
        <v>1</v>
      </c>
      <c r="O4936" s="3">
        <v>99950</v>
      </c>
      <c r="P4936" s="3">
        <v>32113</v>
      </c>
      <c r="Q4936" s="5">
        <f t="shared" si="231"/>
        <v>83991.596638655465</v>
      </c>
      <c r="R4936" s="5">
        <f t="shared" si="232"/>
        <v>32113</v>
      </c>
      <c r="S4936" s="5">
        <f t="shared" si="233"/>
        <v>51878.596638655465</v>
      </c>
    </row>
    <row r="4937" spans="1:19" hidden="1" x14ac:dyDescent="0.3">
      <c r="A4937">
        <v>190</v>
      </c>
      <c r="B4937" t="s">
        <v>5801</v>
      </c>
      <c r="C4937" t="s">
        <v>5939</v>
      </c>
      <c r="D4937" s="2" t="s">
        <v>5940</v>
      </c>
      <c r="E4937" t="s">
        <v>2301</v>
      </c>
      <c r="F4937" t="s">
        <v>20</v>
      </c>
      <c r="G4937" t="s">
        <v>21</v>
      </c>
      <c r="H4937" t="s">
        <v>1124</v>
      </c>
      <c r="I4937" t="s">
        <v>23</v>
      </c>
      <c r="J4937" t="s">
        <v>24</v>
      </c>
      <c r="K4937" s="2" t="s">
        <v>1309</v>
      </c>
      <c r="L4937" t="s">
        <v>26</v>
      </c>
      <c r="M4937">
        <v>326735</v>
      </c>
      <c r="N4937">
        <v>1</v>
      </c>
      <c r="O4937" s="3">
        <v>63700</v>
      </c>
      <c r="P4937" s="3">
        <v>25857</v>
      </c>
      <c r="Q4937" s="5">
        <f t="shared" si="231"/>
        <v>53529.411764705888</v>
      </c>
      <c r="R4937" s="5">
        <f t="shared" si="232"/>
        <v>25857</v>
      </c>
      <c r="S4937" s="5">
        <f t="shared" si="233"/>
        <v>27672.411764705888</v>
      </c>
    </row>
    <row r="4938" spans="1:19" hidden="1" x14ac:dyDescent="0.3">
      <c r="A4938">
        <v>190</v>
      </c>
      <c r="B4938" t="s">
        <v>5801</v>
      </c>
      <c r="C4938" t="s">
        <v>5917</v>
      </c>
      <c r="D4938" s="2" t="s">
        <v>5918</v>
      </c>
      <c r="E4938" t="s">
        <v>523</v>
      </c>
      <c r="F4938" t="s">
        <v>20</v>
      </c>
      <c r="G4938" t="s">
        <v>338</v>
      </c>
      <c r="H4938">
        <v>23603</v>
      </c>
      <c r="I4938" t="s">
        <v>23</v>
      </c>
      <c r="J4938" t="s">
        <v>40</v>
      </c>
      <c r="K4938" s="2" t="s">
        <v>1309</v>
      </c>
      <c r="L4938" t="s">
        <v>26</v>
      </c>
      <c r="M4938">
        <v>326735</v>
      </c>
      <c r="N4938">
        <v>1</v>
      </c>
      <c r="O4938" s="3">
        <v>69950</v>
      </c>
      <c r="P4938" s="3">
        <v>22607</v>
      </c>
      <c r="Q4938" s="5">
        <f t="shared" si="231"/>
        <v>58781.512605042022</v>
      </c>
      <c r="R4938" s="5">
        <f t="shared" si="232"/>
        <v>22607</v>
      </c>
      <c r="S4938" s="5">
        <f t="shared" si="233"/>
        <v>36174.512605042022</v>
      </c>
    </row>
    <row r="4939" spans="1:19" hidden="1" x14ac:dyDescent="0.3">
      <c r="A4939">
        <v>190</v>
      </c>
      <c r="B4939" t="s">
        <v>5801</v>
      </c>
      <c r="C4939" t="s">
        <v>3898</v>
      </c>
      <c r="D4939" s="2" t="s">
        <v>3899</v>
      </c>
      <c r="E4939" t="s">
        <v>2741</v>
      </c>
      <c r="F4939" t="s">
        <v>20</v>
      </c>
      <c r="G4939" t="s">
        <v>21</v>
      </c>
      <c r="H4939" t="s">
        <v>2494</v>
      </c>
      <c r="I4939" t="s">
        <v>23</v>
      </c>
      <c r="J4939" t="s">
        <v>40</v>
      </c>
      <c r="K4939" s="2" t="s">
        <v>1309</v>
      </c>
      <c r="L4939" t="s">
        <v>26</v>
      </c>
      <c r="M4939">
        <v>326736</v>
      </c>
      <c r="N4939">
        <v>1</v>
      </c>
      <c r="O4939" s="3">
        <v>69950</v>
      </c>
      <c r="P4939" s="3">
        <v>23470</v>
      </c>
      <c r="Q4939" s="5">
        <f t="shared" si="231"/>
        <v>58781.512605042022</v>
      </c>
      <c r="R4939" s="5">
        <f t="shared" si="232"/>
        <v>23470</v>
      </c>
      <c r="S4939" s="5">
        <f t="shared" si="233"/>
        <v>35311.512605042022</v>
      </c>
    </row>
    <row r="4940" spans="1:19" hidden="1" x14ac:dyDescent="0.3">
      <c r="A4940">
        <v>190</v>
      </c>
      <c r="B4940" t="s">
        <v>5801</v>
      </c>
      <c r="C4940" t="s">
        <v>5941</v>
      </c>
      <c r="D4940" s="2" t="s">
        <v>5942</v>
      </c>
      <c r="E4940" t="s">
        <v>3165</v>
      </c>
      <c r="F4940" t="s">
        <v>20</v>
      </c>
      <c r="G4940" t="s">
        <v>338</v>
      </c>
      <c r="H4940">
        <v>83707</v>
      </c>
      <c r="I4940" t="s">
        <v>23</v>
      </c>
      <c r="J4940" t="s">
        <v>40</v>
      </c>
      <c r="K4940" s="2" t="s">
        <v>1309</v>
      </c>
      <c r="L4940" t="s">
        <v>26</v>
      </c>
      <c r="M4940">
        <v>326736</v>
      </c>
      <c r="N4940">
        <v>1</v>
      </c>
      <c r="O4940" s="3">
        <v>76450</v>
      </c>
      <c r="P4940" s="3">
        <v>30263</v>
      </c>
      <c r="Q4940" s="5">
        <f t="shared" si="231"/>
        <v>64243.697478991598</v>
      </c>
      <c r="R4940" s="5">
        <f t="shared" si="232"/>
        <v>30263</v>
      </c>
      <c r="S4940" s="5">
        <f t="shared" si="233"/>
        <v>33980.697478991598</v>
      </c>
    </row>
    <row r="4941" spans="1:19" hidden="1" x14ac:dyDescent="0.3">
      <c r="A4941">
        <v>190</v>
      </c>
      <c r="B4941" t="s">
        <v>5801</v>
      </c>
      <c r="C4941" t="s">
        <v>2955</v>
      </c>
      <c r="D4941" s="2" t="s">
        <v>2956</v>
      </c>
      <c r="E4941" t="s">
        <v>1758</v>
      </c>
      <c r="F4941" t="s">
        <v>20</v>
      </c>
      <c r="G4941" t="s">
        <v>338</v>
      </c>
      <c r="H4941">
        <v>25133</v>
      </c>
      <c r="I4941" t="s">
        <v>23</v>
      </c>
      <c r="J4941" t="s">
        <v>35</v>
      </c>
      <c r="K4941" s="2" t="s">
        <v>1309</v>
      </c>
      <c r="L4941" t="s">
        <v>26</v>
      </c>
      <c r="M4941">
        <v>326737</v>
      </c>
      <c r="N4941">
        <v>1</v>
      </c>
      <c r="O4941" s="3">
        <v>74950</v>
      </c>
      <c r="P4941" s="3">
        <v>21167</v>
      </c>
      <c r="Q4941" s="5">
        <f t="shared" si="231"/>
        <v>62983.193277310929</v>
      </c>
      <c r="R4941" s="5">
        <f t="shared" si="232"/>
        <v>21167</v>
      </c>
      <c r="S4941" s="5">
        <f t="shared" si="233"/>
        <v>41816.193277310929</v>
      </c>
    </row>
    <row r="4942" spans="1:19" hidden="1" x14ac:dyDescent="0.3">
      <c r="A4942">
        <v>190</v>
      </c>
      <c r="B4942" t="s">
        <v>5801</v>
      </c>
      <c r="C4942" t="s">
        <v>139</v>
      </c>
      <c r="D4942" s="2" t="s">
        <v>140</v>
      </c>
      <c r="E4942" t="s">
        <v>141</v>
      </c>
      <c r="F4942" t="s">
        <v>20</v>
      </c>
      <c r="G4942" t="s">
        <v>21</v>
      </c>
      <c r="H4942" t="s">
        <v>142</v>
      </c>
      <c r="I4942" t="s">
        <v>23</v>
      </c>
      <c r="J4942" t="s">
        <v>35</v>
      </c>
      <c r="K4942" s="2" t="s">
        <v>1309</v>
      </c>
      <c r="L4942" t="s">
        <v>26</v>
      </c>
      <c r="M4942">
        <v>326738</v>
      </c>
      <c r="N4942">
        <v>-1</v>
      </c>
      <c r="O4942" s="3">
        <v>-49990</v>
      </c>
      <c r="P4942" s="3">
        <v>32381</v>
      </c>
      <c r="Q4942" s="5">
        <f t="shared" si="231"/>
        <v>-42008.403361344543</v>
      </c>
      <c r="R4942" s="5">
        <f t="shared" si="232"/>
        <v>-32381</v>
      </c>
      <c r="S4942" s="5">
        <f t="shared" si="233"/>
        <v>-9627.4033613445426</v>
      </c>
    </row>
    <row r="4943" spans="1:19" hidden="1" x14ac:dyDescent="0.3">
      <c r="A4943">
        <v>190</v>
      </c>
      <c r="B4943" t="s">
        <v>5801</v>
      </c>
      <c r="C4943" t="s">
        <v>1307</v>
      </c>
      <c r="D4943" s="2" t="s">
        <v>1308</v>
      </c>
      <c r="E4943" t="s">
        <v>869</v>
      </c>
      <c r="F4943" t="s">
        <v>20</v>
      </c>
      <c r="G4943" t="s">
        <v>21</v>
      </c>
      <c r="H4943" t="s">
        <v>870</v>
      </c>
      <c r="I4943" t="s">
        <v>23</v>
      </c>
      <c r="J4943" t="s">
        <v>35</v>
      </c>
      <c r="K4943" s="2" t="s">
        <v>1309</v>
      </c>
      <c r="L4943" t="s">
        <v>26</v>
      </c>
      <c r="M4943">
        <v>326738</v>
      </c>
      <c r="N4943">
        <v>1</v>
      </c>
      <c r="O4943" s="3">
        <v>69950</v>
      </c>
      <c r="P4943" s="3">
        <v>25434</v>
      </c>
      <c r="Q4943" s="5">
        <f t="shared" si="231"/>
        <v>58781.512605042022</v>
      </c>
      <c r="R4943" s="5">
        <f t="shared" si="232"/>
        <v>25434</v>
      </c>
      <c r="S4943" s="5">
        <f t="shared" si="233"/>
        <v>33347.512605042022</v>
      </c>
    </row>
    <row r="4944" spans="1:19" hidden="1" x14ac:dyDescent="0.3">
      <c r="A4944">
        <v>190</v>
      </c>
      <c r="B4944" t="s">
        <v>5801</v>
      </c>
      <c r="C4944" t="s">
        <v>3298</v>
      </c>
      <c r="D4944" s="2" t="s">
        <v>3299</v>
      </c>
      <c r="E4944" t="s">
        <v>2185</v>
      </c>
      <c r="F4944" t="s">
        <v>20</v>
      </c>
      <c r="G4944" t="s">
        <v>21</v>
      </c>
      <c r="H4944" t="s">
        <v>614</v>
      </c>
      <c r="I4944" t="s">
        <v>23</v>
      </c>
      <c r="J4944" t="s">
        <v>40</v>
      </c>
      <c r="K4944" s="2" t="s">
        <v>1309</v>
      </c>
      <c r="L4944" t="s">
        <v>26</v>
      </c>
      <c r="M4944">
        <v>326739</v>
      </c>
      <c r="N4944">
        <v>1</v>
      </c>
      <c r="O4944" s="3">
        <v>54950</v>
      </c>
      <c r="P4944" s="3">
        <v>17386</v>
      </c>
      <c r="Q4944" s="5">
        <f t="shared" si="231"/>
        <v>46176.470588235294</v>
      </c>
      <c r="R4944" s="5">
        <f t="shared" si="232"/>
        <v>17386</v>
      </c>
      <c r="S4944" s="5">
        <f t="shared" si="233"/>
        <v>28790.470588235294</v>
      </c>
    </row>
    <row r="4945" spans="1:19" hidden="1" x14ac:dyDescent="0.3">
      <c r="A4945">
        <v>190</v>
      </c>
      <c r="B4945" t="s">
        <v>5801</v>
      </c>
      <c r="C4945">
        <v>1687976791</v>
      </c>
      <c r="D4945" s="2" t="s">
        <v>200</v>
      </c>
      <c r="E4945" t="s">
        <v>201</v>
      </c>
      <c r="F4945" t="s">
        <v>201</v>
      </c>
      <c r="G4945" t="s">
        <v>202</v>
      </c>
      <c r="H4945" t="s">
        <v>202</v>
      </c>
      <c r="I4945" t="s">
        <v>23</v>
      </c>
      <c r="J4945" t="s">
        <v>202</v>
      </c>
      <c r="K4945" s="2" t="s">
        <v>1309</v>
      </c>
      <c r="L4945" t="s">
        <v>26</v>
      </c>
      <c r="M4945">
        <v>326739</v>
      </c>
      <c r="N4945">
        <v>1</v>
      </c>
      <c r="O4945">
        <v>1</v>
      </c>
      <c r="P4945">
        <v>1</v>
      </c>
      <c r="Q4945" s="5">
        <f t="shared" si="231"/>
        <v>0.84033613445378152</v>
      </c>
      <c r="R4945" s="5">
        <f t="shared" si="232"/>
        <v>1</v>
      </c>
      <c r="S4945" s="5">
        <f t="shared" si="233"/>
        <v>-0.15966386554621848</v>
      </c>
    </row>
    <row r="4946" spans="1:19" hidden="1" x14ac:dyDescent="0.3">
      <c r="A4946">
        <v>190</v>
      </c>
      <c r="B4946" t="s">
        <v>5801</v>
      </c>
      <c r="C4946" t="s">
        <v>3641</v>
      </c>
      <c r="D4946" s="2" t="s">
        <v>3642</v>
      </c>
      <c r="E4946" t="s">
        <v>2905</v>
      </c>
      <c r="F4946" t="s">
        <v>20</v>
      </c>
      <c r="G4946" t="s">
        <v>21</v>
      </c>
      <c r="H4946" t="s">
        <v>272</v>
      </c>
      <c r="I4946" t="s">
        <v>23</v>
      </c>
      <c r="J4946" t="s">
        <v>35</v>
      </c>
      <c r="K4946" s="2" t="s">
        <v>1309</v>
      </c>
      <c r="L4946" t="s">
        <v>26</v>
      </c>
      <c r="M4946">
        <v>326740</v>
      </c>
      <c r="N4946">
        <v>1</v>
      </c>
      <c r="O4946" s="3">
        <v>79950</v>
      </c>
      <c r="P4946" s="3">
        <v>27834</v>
      </c>
      <c r="Q4946" s="5">
        <f t="shared" si="231"/>
        <v>67184.873949579836</v>
      </c>
      <c r="R4946" s="5">
        <f t="shared" si="232"/>
        <v>27834</v>
      </c>
      <c r="S4946" s="5">
        <f t="shared" si="233"/>
        <v>39350.873949579836</v>
      </c>
    </row>
    <row r="4947" spans="1:19" hidden="1" x14ac:dyDescent="0.3">
      <c r="A4947">
        <v>190</v>
      </c>
      <c r="B4947" t="s">
        <v>5801</v>
      </c>
      <c r="C4947" t="s">
        <v>5689</v>
      </c>
      <c r="D4947" s="2" t="s">
        <v>5690</v>
      </c>
      <c r="E4947" t="s">
        <v>4049</v>
      </c>
      <c r="F4947" t="s">
        <v>20</v>
      </c>
      <c r="G4947" t="s">
        <v>21</v>
      </c>
      <c r="H4947" t="s">
        <v>3351</v>
      </c>
      <c r="I4947" t="s">
        <v>23</v>
      </c>
      <c r="J4947" t="s">
        <v>40</v>
      </c>
      <c r="K4947" s="2" t="s">
        <v>1309</v>
      </c>
      <c r="L4947" t="s">
        <v>26</v>
      </c>
      <c r="M4947">
        <v>326741</v>
      </c>
      <c r="N4947">
        <v>1</v>
      </c>
      <c r="O4947" s="3">
        <v>79950</v>
      </c>
      <c r="P4947" s="3">
        <v>30166</v>
      </c>
      <c r="Q4947" s="5">
        <f t="shared" si="231"/>
        <v>67184.873949579836</v>
      </c>
      <c r="R4947" s="5">
        <f t="shared" si="232"/>
        <v>30166</v>
      </c>
      <c r="S4947" s="5">
        <f t="shared" si="233"/>
        <v>37018.873949579836</v>
      </c>
    </row>
    <row r="4948" spans="1:19" hidden="1" x14ac:dyDescent="0.3">
      <c r="A4948">
        <v>190</v>
      </c>
      <c r="B4948" t="s">
        <v>5801</v>
      </c>
      <c r="C4948" t="s">
        <v>5943</v>
      </c>
      <c r="D4948" s="2" t="s">
        <v>5944</v>
      </c>
      <c r="E4948" t="s">
        <v>990</v>
      </c>
      <c r="F4948" t="s">
        <v>20</v>
      </c>
      <c r="G4948" t="s">
        <v>21</v>
      </c>
      <c r="H4948" t="s">
        <v>991</v>
      </c>
      <c r="I4948" t="s">
        <v>23</v>
      </c>
      <c r="J4948" t="s">
        <v>49</v>
      </c>
      <c r="K4948" s="2" t="s">
        <v>1309</v>
      </c>
      <c r="L4948" t="s">
        <v>26</v>
      </c>
      <c r="M4948">
        <v>326742</v>
      </c>
      <c r="N4948">
        <v>1</v>
      </c>
      <c r="O4948" s="3">
        <v>69950</v>
      </c>
      <c r="P4948" s="3">
        <v>22180</v>
      </c>
      <c r="Q4948" s="5">
        <f t="shared" si="231"/>
        <v>58781.512605042022</v>
      </c>
      <c r="R4948" s="5">
        <f t="shared" si="232"/>
        <v>22180</v>
      </c>
      <c r="S4948" s="5">
        <f t="shared" si="233"/>
        <v>36601.512605042022</v>
      </c>
    </row>
    <row r="4949" spans="1:19" hidden="1" x14ac:dyDescent="0.3">
      <c r="A4949">
        <v>190</v>
      </c>
      <c r="B4949" t="s">
        <v>5801</v>
      </c>
      <c r="C4949" t="s">
        <v>3552</v>
      </c>
      <c r="D4949" s="2" t="s">
        <v>3553</v>
      </c>
      <c r="E4949" t="s">
        <v>523</v>
      </c>
      <c r="F4949" t="s">
        <v>20</v>
      </c>
      <c r="G4949" t="s">
        <v>338</v>
      </c>
      <c r="H4949">
        <v>23603</v>
      </c>
      <c r="I4949" t="s">
        <v>23</v>
      </c>
      <c r="J4949" t="s">
        <v>40</v>
      </c>
      <c r="K4949" s="2" t="s">
        <v>1309</v>
      </c>
      <c r="L4949" t="s">
        <v>26</v>
      </c>
      <c r="M4949">
        <v>326743</v>
      </c>
      <c r="N4949">
        <v>1</v>
      </c>
      <c r="O4949" s="3">
        <v>69950</v>
      </c>
      <c r="P4949" s="3">
        <v>22607</v>
      </c>
      <c r="Q4949" s="5">
        <f t="shared" si="231"/>
        <v>58781.512605042022</v>
      </c>
      <c r="R4949" s="5">
        <f t="shared" si="232"/>
        <v>22607</v>
      </c>
      <c r="S4949" s="5">
        <f t="shared" si="233"/>
        <v>36174.512605042022</v>
      </c>
    </row>
    <row r="4950" spans="1:19" hidden="1" x14ac:dyDescent="0.3">
      <c r="A4950">
        <v>190</v>
      </c>
      <c r="B4950" t="s">
        <v>5801</v>
      </c>
      <c r="C4950" t="s">
        <v>2183</v>
      </c>
      <c r="D4950" s="2" t="s">
        <v>2184</v>
      </c>
      <c r="E4950" t="s">
        <v>2185</v>
      </c>
      <c r="F4950" t="s">
        <v>20</v>
      </c>
      <c r="G4950" t="s">
        <v>21</v>
      </c>
      <c r="H4950" t="s">
        <v>614</v>
      </c>
      <c r="I4950" t="s">
        <v>23</v>
      </c>
      <c r="J4950" t="s">
        <v>40</v>
      </c>
      <c r="K4950" s="2" t="s">
        <v>1309</v>
      </c>
      <c r="L4950" t="s">
        <v>26</v>
      </c>
      <c r="M4950">
        <v>326744</v>
      </c>
      <c r="N4950">
        <v>1</v>
      </c>
      <c r="O4950" s="3">
        <v>54950</v>
      </c>
      <c r="P4950" s="3">
        <v>17455</v>
      </c>
      <c r="Q4950" s="5">
        <f t="shared" si="231"/>
        <v>46176.470588235294</v>
      </c>
      <c r="R4950" s="5">
        <f t="shared" si="232"/>
        <v>17455</v>
      </c>
      <c r="S4950" s="5">
        <f t="shared" si="233"/>
        <v>28721.470588235294</v>
      </c>
    </row>
    <row r="4951" spans="1:19" hidden="1" x14ac:dyDescent="0.3">
      <c r="A4951">
        <v>190</v>
      </c>
      <c r="B4951" t="s">
        <v>5801</v>
      </c>
      <c r="C4951" t="s">
        <v>4970</v>
      </c>
      <c r="D4951" s="2" t="s">
        <v>4971</v>
      </c>
      <c r="E4951" t="s">
        <v>2741</v>
      </c>
      <c r="F4951" t="s">
        <v>20</v>
      </c>
      <c r="G4951" t="s">
        <v>21</v>
      </c>
      <c r="H4951" t="s">
        <v>2494</v>
      </c>
      <c r="I4951" t="s">
        <v>23</v>
      </c>
      <c r="J4951" t="s">
        <v>40</v>
      </c>
      <c r="K4951" s="2" t="s">
        <v>1309</v>
      </c>
      <c r="L4951" t="s">
        <v>26</v>
      </c>
      <c r="M4951">
        <v>326744</v>
      </c>
      <c r="N4951">
        <v>-1</v>
      </c>
      <c r="O4951" s="3">
        <v>-59450</v>
      </c>
      <c r="P4951" s="3">
        <v>23470</v>
      </c>
      <c r="Q4951" s="5">
        <f t="shared" si="231"/>
        <v>-49957.983193277316</v>
      </c>
      <c r="R4951" s="5">
        <f t="shared" si="232"/>
        <v>-23470</v>
      </c>
      <c r="S4951" s="5">
        <f t="shared" si="233"/>
        <v>-26487.983193277316</v>
      </c>
    </row>
    <row r="4952" spans="1:19" hidden="1" x14ac:dyDescent="0.3">
      <c r="A4952">
        <v>190</v>
      </c>
      <c r="B4952" t="s">
        <v>5801</v>
      </c>
      <c r="C4952" t="s">
        <v>1761</v>
      </c>
      <c r="D4952" s="2" t="s">
        <v>1762</v>
      </c>
      <c r="E4952" t="s">
        <v>1763</v>
      </c>
      <c r="F4952" t="s">
        <v>377</v>
      </c>
      <c r="G4952" t="s">
        <v>21</v>
      </c>
      <c r="H4952" t="s">
        <v>378</v>
      </c>
      <c r="I4952" t="s">
        <v>23</v>
      </c>
      <c r="J4952" t="s">
        <v>379</v>
      </c>
      <c r="K4952" s="2" t="s">
        <v>1309</v>
      </c>
      <c r="L4952" t="s">
        <v>26</v>
      </c>
      <c r="M4952">
        <v>326744</v>
      </c>
      <c r="N4952">
        <v>1</v>
      </c>
      <c r="O4952" s="3">
        <v>5950</v>
      </c>
      <c r="P4952" s="3">
        <v>3279</v>
      </c>
      <c r="Q4952" s="5">
        <f t="shared" si="231"/>
        <v>5000</v>
      </c>
      <c r="R4952" s="5">
        <f t="shared" si="232"/>
        <v>3279</v>
      </c>
      <c r="S4952" s="5">
        <f t="shared" si="233"/>
        <v>1721</v>
      </c>
    </row>
    <row r="4953" spans="1:19" hidden="1" x14ac:dyDescent="0.3">
      <c r="A4953">
        <v>190</v>
      </c>
      <c r="B4953" t="s">
        <v>5801</v>
      </c>
      <c r="C4953" t="s">
        <v>5945</v>
      </c>
      <c r="D4953" s="2" t="s">
        <v>5946</v>
      </c>
      <c r="E4953" t="s">
        <v>453</v>
      </c>
      <c r="F4953" t="s">
        <v>20</v>
      </c>
      <c r="G4953" t="s">
        <v>21</v>
      </c>
      <c r="H4953" t="s">
        <v>454</v>
      </c>
      <c r="I4953" t="s">
        <v>23</v>
      </c>
      <c r="J4953" t="s">
        <v>407</v>
      </c>
      <c r="K4953" s="2" t="s">
        <v>1309</v>
      </c>
      <c r="L4953" t="s">
        <v>26</v>
      </c>
      <c r="M4953">
        <v>326745</v>
      </c>
      <c r="N4953">
        <v>1</v>
      </c>
      <c r="O4953" s="3">
        <v>39990</v>
      </c>
      <c r="P4953" s="3">
        <v>21038</v>
      </c>
      <c r="Q4953" s="5">
        <f t="shared" si="231"/>
        <v>33605.042016806721</v>
      </c>
      <c r="R4953" s="5">
        <f t="shared" si="232"/>
        <v>21038</v>
      </c>
      <c r="S4953" s="5">
        <f t="shared" si="233"/>
        <v>12567.042016806721</v>
      </c>
    </row>
    <row r="4954" spans="1:19" hidden="1" x14ac:dyDescent="0.3">
      <c r="A4954">
        <v>190</v>
      </c>
      <c r="B4954" t="s">
        <v>5801</v>
      </c>
      <c r="C4954" t="s">
        <v>4189</v>
      </c>
      <c r="D4954" s="2" t="s">
        <v>4190</v>
      </c>
      <c r="E4954" t="s">
        <v>3472</v>
      </c>
      <c r="F4954" t="s">
        <v>20</v>
      </c>
      <c r="G4954" t="s">
        <v>338</v>
      </c>
      <c r="H4954">
        <v>25336</v>
      </c>
      <c r="I4954" t="s">
        <v>23</v>
      </c>
      <c r="J4954" t="s">
        <v>35</v>
      </c>
      <c r="K4954" s="2" t="s">
        <v>1309</v>
      </c>
      <c r="L4954" t="s">
        <v>26</v>
      </c>
      <c r="M4954">
        <v>326745</v>
      </c>
      <c r="N4954">
        <v>1</v>
      </c>
      <c r="O4954" s="3">
        <v>99950</v>
      </c>
      <c r="P4954" s="3">
        <v>31886</v>
      </c>
      <c r="Q4954" s="5">
        <f t="shared" si="231"/>
        <v>83991.596638655465</v>
      </c>
      <c r="R4954" s="5">
        <f t="shared" si="232"/>
        <v>31886</v>
      </c>
      <c r="S4954" s="5">
        <f t="shared" si="233"/>
        <v>52105.596638655465</v>
      </c>
    </row>
    <row r="4955" spans="1:19" hidden="1" x14ac:dyDescent="0.3">
      <c r="A4955">
        <v>190</v>
      </c>
      <c r="B4955" t="s">
        <v>5801</v>
      </c>
      <c r="C4955" t="s">
        <v>4749</v>
      </c>
      <c r="D4955" s="2" t="s">
        <v>4750</v>
      </c>
      <c r="E4955" t="s">
        <v>2888</v>
      </c>
      <c r="F4955" t="s">
        <v>20</v>
      </c>
      <c r="G4955" t="s">
        <v>21</v>
      </c>
      <c r="H4955" t="s">
        <v>2593</v>
      </c>
      <c r="I4955" t="s">
        <v>23</v>
      </c>
      <c r="J4955" t="s">
        <v>35</v>
      </c>
      <c r="K4955" s="2" t="s">
        <v>1309</v>
      </c>
      <c r="L4955" t="s">
        <v>26</v>
      </c>
      <c r="M4955">
        <v>326746</v>
      </c>
      <c r="N4955">
        <v>1</v>
      </c>
      <c r="O4955" s="3">
        <v>99950</v>
      </c>
      <c r="P4955" s="3">
        <v>38102</v>
      </c>
      <c r="Q4955" s="5">
        <f t="shared" si="231"/>
        <v>83991.596638655465</v>
      </c>
      <c r="R4955" s="5">
        <f t="shared" si="232"/>
        <v>38102</v>
      </c>
      <c r="S4955" s="5">
        <f t="shared" si="233"/>
        <v>45889.596638655465</v>
      </c>
    </row>
    <row r="4956" spans="1:19" hidden="1" x14ac:dyDescent="0.3">
      <c r="A4956">
        <v>190</v>
      </c>
      <c r="B4956" t="s">
        <v>5801</v>
      </c>
      <c r="C4956" t="s">
        <v>1761</v>
      </c>
      <c r="D4956" s="2" t="s">
        <v>1762</v>
      </c>
      <c r="E4956" t="s">
        <v>1763</v>
      </c>
      <c r="F4956" t="s">
        <v>377</v>
      </c>
      <c r="G4956" t="s">
        <v>21</v>
      </c>
      <c r="H4956" t="s">
        <v>378</v>
      </c>
      <c r="I4956" t="s">
        <v>23</v>
      </c>
      <c r="J4956" t="s">
        <v>379</v>
      </c>
      <c r="K4956" s="2" t="s">
        <v>1309</v>
      </c>
      <c r="L4956" t="s">
        <v>26</v>
      </c>
      <c r="M4956">
        <v>326747</v>
      </c>
      <c r="N4956">
        <v>1</v>
      </c>
      <c r="O4956" s="3">
        <v>5950</v>
      </c>
      <c r="P4956" s="3">
        <v>3279</v>
      </c>
      <c r="Q4956" s="5">
        <f t="shared" si="231"/>
        <v>5000</v>
      </c>
      <c r="R4956" s="5">
        <f t="shared" si="232"/>
        <v>3279</v>
      </c>
      <c r="S4956" s="5">
        <f t="shared" si="233"/>
        <v>1721</v>
      </c>
    </row>
    <row r="4957" spans="1:19" hidden="1" x14ac:dyDescent="0.3">
      <c r="A4957">
        <v>190</v>
      </c>
      <c r="B4957" t="s">
        <v>5801</v>
      </c>
      <c r="C4957" t="s">
        <v>5947</v>
      </c>
      <c r="D4957" s="2" t="s">
        <v>5948</v>
      </c>
      <c r="E4957" t="s">
        <v>5949</v>
      </c>
      <c r="F4957" t="s">
        <v>377</v>
      </c>
      <c r="G4957" t="s">
        <v>21</v>
      </c>
      <c r="H4957" t="s">
        <v>378</v>
      </c>
      <c r="I4957" t="s">
        <v>23</v>
      </c>
      <c r="J4957" t="s">
        <v>3262</v>
      </c>
      <c r="K4957" s="2" t="s">
        <v>1309</v>
      </c>
      <c r="L4957" t="s">
        <v>26</v>
      </c>
      <c r="M4957">
        <v>326748</v>
      </c>
      <c r="N4957">
        <v>1</v>
      </c>
      <c r="O4957" s="3">
        <v>22950</v>
      </c>
      <c r="P4957" s="3">
        <v>12246</v>
      </c>
      <c r="Q4957" s="5">
        <f t="shared" si="231"/>
        <v>19285.714285714286</v>
      </c>
      <c r="R4957" s="5">
        <f t="shared" si="232"/>
        <v>12246</v>
      </c>
      <c r="S4957" s="5">
        <f t="shared" si="233"/>
        <v>7039.7142857142862</v>
      </c>
    </row>
    <row r="4958" spans="1:19" hidden="1" x14ac:dyDescent="0.3">
      <c r="A4958">
        <v>190</v>
      </c>
      <c r="B4958" t="s">
        <v>5801</v>
      </c>
      <c r="C4958" t="s">
        <v>3341</v>
      </c>
      <c r="D4958" s="2" t="s">
        <v>3342</v>
      </c>
      <c r="E4958" t="s">
        <v>2661</v>
      </c>
      <c r="F4958" t="s">
        <v>20</v>
      </c>
      <c r="G4958" t="s">
        <v>21</v>
      </c>
      <c r="H4958" t="s">
        <v>317</v>
      </c>
      <c r="I4958" t="s">
        <v>23</v>
      </c>
      <c r="J4958" t="s">
        <v>35</v>
      </c>
      <c r="K4958" s="2" t="s">
        <v>1309</v>
      </c>
      <c r="L4958" t="s">
        <v>26</v>
      </c>
      <c r="M4958">
        <v>326749</v>
      </c>
      <c r="N4958">
        <v>1</v>
      </c>
      <c r="O4958" s="3">
        <v>69950</v>
      </c>
      <c r="P4958" s="3">
        <v>25924</v>
      </c>
      <c r="Q4958" s="5">
        <f t="shared" si="231"/>
        <v>58781.512605042022</v>
      </c>
      <c r="R4958" s="5">
        <f t="shared" si="232"/>
        <v>25924</v>
      </c>
      <c r="S4958" s="5">
        <f t="shared" si="233"/>
        <v>32857.512605042022</v>
      </c>
    </row>
    <row r="4959" spans="1:19" hidden="1" x14ac:dyDescent="0.3">
      <c r="A4959">
        <v>190</v>
      </c>
      <c r="B4959" t="s">
        <v>5801</v>
      </c>
      <c r="C4959" t="s">
        <v>1761</v>
      </c>
      <c r="D4959" s="2" t="s">
        <v>1762</v>
      </c>
      <c r="E4959" t="s">
        <v>1763</v>
      </c>
      <c r="F4959" t="s">
        <v>377</v>
      </c>
      <c r="G4959" t="s">
        <v>21</v>
      </c>
      <c r="H4959" t="s">
        <v>378</v>
      </c>
      <c r="I4959" t="s">
        <v>23</v>
      </c>
      <c r="J4959" t="s">
        <v>379</v>
      </c>
      <c r="K4959" s="2" t="s">
        <v>1309</v>
      </c>
      <c r="L4959" t="s">
        <v>26</v>
      </c>
      <c r="M4959">
        <v>326749</v>
      </c>
      <c r="N4959">
        <v>1</v>
      </c>
      <c r="O4959" s="3">
        <v>5950</v>
      </c>
      <c r="P4959" s="3">
        <v>3279</v>
      </c>
      <c r="Q4959" s="5">
        <f t="shared" si="231"/>
        <v>5000</v>
      </c>
      <c r="R4959" s="5">
        <f t="shared" si="232"/>
        <v>3279</v>
      </c>
      <c r="S4959" s="5">
        <f t="shared" si="233"/>
        <v>1721</v>
      </c>
    </row>
    <row r="4960" spans="1:19" hidden="1" x14ac:dyDescent="0.3">
      <c r="A4960">
        <v>190</v>
      </c>
      <c r="B4960" t="s">
        <v>5801</v>
      </c>
      <c r="C4960" t="s">
        <v>5146</v>
      </c>
      <c r="D4960" s="2" t="s">
        <v>5147</v>
      </c>
      <c r="E4960" t="s">
        <v>4830</v>
      </c>
      <c r="F4960" t="s">
        <v>20</v>
      </c>
      <c r="G4960" t="s">
        <v>338</v>
      </c>
      <c r="H4960">
        <v>24239</v>
      </c>
      <c r="I4960" t="s">
        <v>23</v>
      </c>
      <c r="J4960" t="s">
        <v>95</v>
      </c>
      <c r="K4960" s="2" t="s">
        <v>1309</v>
      </c>
      <c r="L4960" t="s">
        <v>26</v>
      </c>
      <c r="M4960">
        <v>326750</v>
      </c>
      <c r="N4960">
        <v>1</v>
      </c>
      <c r="O4960" s="3">
        <v>59950</v>
      </c>
      <c r="P4960" s="3">
        <v>18677</v>
      </c>
      <c r="Q4960" s="5">
        <f t="shared" si="231"/>
        <v>50378.151260504201</v>
      </c>
      <c r="R4960" s="5">
        <f t="shared" si="232"/>
        <v>18677</v>
      </c>
      <c r="S4960" s="5">
        <f t="shared" si="233"/>
        <v>31701.151260504201</v>
      </c>
    </row>
    <row r="4961" spans="1:19" hidden="1" x14ac:dyDescent="0.3">
      <c r="A4961">
        <v>190</v>
      </c>
      <c r="B4961" t="s">
        <v>5801</v>
      </c>
      <c r="C4961" t="s">
        <v>3025</v>
      </c>
      <c r="D4961" s="2" t="s">
        <v>3026</v>
      </c>
      <c r="E4961" t="s">
        <v>3027</v>
      </c>
      <c r="F4961" t="s">
        <v>20</v>
      </c>
      <c r="G4961" t="s">
        <v>21</v>
      </c>
      <c r="H4961" t="s">
        <v>3028</v>
      </c>
      <c r="I4961" t="s">
        <v>23</v>
      </c>
      <c r="J4961" t="s">
        <v>35</v>
      </c>
      <c r="K4961" s="2" t="s">
        <v>1309</v>
      </c>
      <c r="L4961" t="s">
        <v>26</v>
      </c>
      <c r="M4961">
        <v>326751</v>
      </c>
      <c r="N4961">
        <v>1</v>
      </c>
      <c r="O4961" s="3">
        <v>99950</v>
      </c>
      <c r="P4961" s="3">
        <v>53748</v>
      </c>
      <c r="Q4961" s="5">
        <f t="shared" si="231"/>
        <v>83991.596638655465</v>
      </c>
      <c r="R4961" s="5">
        <f t="shared" si="232"/>
        <v>53748</v>
      </c>
      <c r="S4961" s="5">
        <f t="shared" si="233"/>
        <v>30243.596638655465</v>
      </c>
    </row>
    <row r="4962" spans="1:19" hidden="1" x14ac:dyDescent="0.3">
      <c r="A4962">
        <v>190</v>
      </c>
      <c r="B4962" t="s">
        <v>5801</v>
      </c>
      <c r="C4962" t="s">
        <v>5950</v>
      </c>
      <c r="D4962" s="2" t="s">
        <v>5951</v>
      </c>
      <c r="E4962" t="s">
        <v>4915</v>
      </c>
      <c r="F4962" t="s">
        <v>20</v>
      </c>
      <c r="G4962" t="s">
        <v>338</v>
      </c>
      <c r="H4962">
        <v>83716</v>
      </c>
      <c r="I4962" t="s">
        <v>23</v>
      </c>
      <c r="J4962" t="s">
        <v>40</v>
      </c>
      <c r="K4962" s="2" t="s">
        <v>1309</v>
      </c>
      <c r="L4962" t="s">
        <v>26</v>
      </c>
      <c r="M4962">
        <v>326752</v>
      </c>
      <c r="N4962">
        <v>1</v>
      </c>
      <c r="O4962" s="3">
        <v>76450</v>
      </c>
      <c r="P4962" s="3">
        <v>30263</v>
      </c>
      <c r="Q4962" s="5">
        <f t="shared" si="231"/>
        <v>64243.697478991598</v>
      </c>
      <c r="R4962" s="5">
        <f t="shared" si="232"/>
        <v>30263</v>
      </c>
      <c r="S4962" s="5">
        <f t="shared" si="233"/>
        <v>33980.697478991598</v>
      </c>
    </row>
    <row r="4963" spans="1:19" hidden="1" x14ac:dyDescent="0.3">
      <c r="A4963">
        <v>190</v>
      </c>
      <c r="B4963" t="s">
        <v>5801</v>
      </c>
      <c r="C4963" t="s">
        <v>5952</v>
      </c>
      <c r="D4963" s="2" t="s">
        <v>5953</v>
      </c>
      <c r="E4963" t="s">
        <v>4739</v>
      </c>
      <c r="F4963" t="s">
        <v>20</v>
      </c>
      <c r="G4963" t="s">
        <v>338</v>
      </c>
      <c r="H4963">
        <v>83716</v>
      </c>
      <c r="I4963" t="s">
        <v>23</v>
      </c>
      <c r="J4963" t="s">
        <v>40</v>
      </c>
      <c r="K4963" s="2" t="s">
        <v>1309</v>
      </c>
      <c r="L4963" t="s">
        <v>26</v>
      </c>
      <c r="M4963">
        <v>326752</v>
      </c>
      <c r="N4963">
        <v>1</v>
      </c>
      <c r="O4963" s="3">
        <v>89950</v>
      </c>
      <c r="P4963" s="3">
        <v>30263</v>
      </c>
      <c r="Q4963" s="5">
        <f t="shared" si="231"/>
        <v>75588.23529411765</v>
      </c>
      <c r="R4963" s="5">
        <f t="shared" si="232"/>
        <v>30263</v>
      </c>
      <c r="S4963" s="5">
        <f t="shared" si="233"/>
        <v>45325.23529411765</v>
      </c>
    </row>
    <row r="4964" spans="1:19" hidden="1" x14ac:dyDescent="0.3">
      <c r="A4964">
        <v>190</v>
      </c>
      <c r="B4964" t="s">
        <v>5801</v>
      </c>
      <c r="C4964" t="s">
        <v>551</v>
      </c>
      <c r="D4964" s="2" t="s">
        <v>552</v>
      </c>
      <c r="E4964" t="s">
        <v>553</v>
      </c>
      <c r="F4964" t="s">
        <v>20</v>
      </c>
      <c r="G4964" t="s">
        <v>21</v>
      </c>
      <c r="H4964" t="s">
        <v>353</v>
      </c>
      <c r="I4964" t="s">
        <v>23</v>
      </c>
      <c r="J4964" t="s">
        <v>95</v>
      </c>
      <c r="K4964" s="2" t="s">
        <v>1309</v>
      </c>
      <c r="L4964" t="s">
        <v>26</v>
      </c>
      <c r="M4964">
        <v>326753</v>
      </c>
      <c r="N4964">
        <v>1</v>
      </c>
      <c r="O4964" s="3">
        <v>44990</v>
      </c>
      <c r="P4964" s="3">
        <v>31000</v>
      </c>
      <c r="Q4964" s="5">
        <f t="shared" si="231"/>
        <v>37806.722689075636</v>
      </c>
      <c r="R4964" s="5">
        <f t="shared" si="232"/>
        <v>31000</v>
      </c>
      <c r="S4964" s="5">
        <f t="shared" si="233"/>
        <v>6806.7226890756356</v>
      </c>
    </row>
    <row r="4965" spans="1:19" hidden="1" x14ac:dyDescent="0.3">
      <c r="A4965">
        <v>190</v>
      </c>
      <c r="B4965" t="s">
        <v>5801</v>
      </c>
      <c r="C4965" t="s">
        <v>3069</v>
      </c>
      <c r="D4965" s="2" t="s">
        <v>3070</v>
      </c>
      <c r="E4965" t="s">
        <v>3027</v>
      </c>
      <c r="F4965" t="s">
        <v>20</v>
      </c>
      <c r="G4965" t="s">
        <v>21</v>
      </c>
      <c r="H4965" t="s">
        <v>3028</v>
      </c>
      <c r="I4965" t="s">
        <v>23</v>
      </c>
      <c r="J4965" t="s">
        <v>35</v>
      </c>
      <c r="K4965" s="2" t="s">
        <v>1365</v>
      </c>
      <c r="L4965" t="s">
        <v>26</v>
      </c>
      <c r="M4965">
        <v>326754</v>
      </c>
      <c r="N4965">
        <v>1</v>
      </c>
      <c r="O4965" s="3">
        <v>99950</v>
      </c>
      <c r="P4965" s="3">
        <v>53748</v>
      </c>
      <c r="Q4965" s="5">
        <f t="shared" si="231"/>
        <v>83991.596638655465</v>
      </c>
      <c r="R4965" s="5">
        <f t="shared" si="232"/>
        <v>53748</v>
      </c>
      <c r="S4965" s="5">
        <f t="shared" si="233"/>
        <v>30243.596638655465</v>
      </c>
    </row>
    <row r="4966" spans="1:19" hidden="1" x14ac:dyDescent="0.3">
      <c r="A4966">
        <v>190</v>
      </c>
      <c r="B4966" t="s">
        <v>5801</v>
      </c>
      <c r="C4966" t="s">
        <v>3935</v>
      </c>
      <c r="D4966" s="2" t="s">
        <v>3936</v>
      </c>
      <c r="E4966" t="s">
        <v>1330</v>
      </c>
      <c r="F4966" t="s">
        <v>20</v>
      </c>
      <c r="G4966" t="s">
        <v>338</v>
      </c>
      <c r="H4966">
        <v>25133</v>
      </c>
      <c r="I4966" t="s">
        <v>23</v>
      </c>
      <c r="J4966" t="s">
        <v>35</v>
      </c>
      <c r="K4966" s="2" t="s">
        <v>1365</v>
      </c>
      <c r="L4966" t="s">
        <v>26</v>
      </c>
      <c r="M4966">
        <v>326755</v>
      </c>
      <c r="N4966">
        <v>1</v>
      </c>
      <c r="O4966" s="3">
        <v>74950</v>
      </c>
      <c r="P4966" s="3">
        <v>21167</v>
      </c>
      <c r="Q4966" s="5">
        <f t="shared" si="231"/>
        <v>62983.193277310929</v>
      </c>
      <c r="R4966" s="5">
        <f t="shared" si="232"/>
        <v>21167</v>
      </c>
      <c r="S4966" s="5">
        <f t="shared" si="233"/>
        <v>41816.193277310929</v>
      </c>
    </row>
    <row r="4967" spans="1:19" hidden="1" x14ac:dyDescent="0.3">
      <c r="A4967">
        <v>190</v>
      </c>
      <c r="B4967" t="s">
        <v>5801</v>
      </c>
      <c r="C4967" t="s">
        <v>3634</v>
      </c>
      <c r="D4967" s="2" t="s">
        <v>3635</v>
      </c>
      <c r="E4967" t="s">
        <v>2661</v>
      </c>
      <c r="F4967" t="s">
        <v>20</v>
      </c>
      <c r="G4967" t="s">
        <v>21</v>
      </c>
      <c r="H4967" t="s">
        <v>317</v>
      </c>
      <c r="I4967" t="s">
        <v>23</v>
      </c>
      <c r="J4967" t="s">
        <v>35</v>
      </c>
      <c r="K4967" s="2" t="s">
        <v>1365</v>
      </c>
      <c r="L4967" t="s">
        <v>26</v>
      </c>
      <c r="M4967">
        <v>326756</v>
      </c>
      <c r="N4967">
        <v>1</v>
      </c>
      <c r="O4967" s="3">
        <v>69950</v>
      </c>
      <c r="P4967" s="3">
        <v>25992</v>
      </c>
      <c r="Q4967" s="5">
        <f t="shared" si="231"/>
        <v>58781.512605042022</v>
      </c>
      <c r="R4967" s="5">
        <f t="shared" si="232"/>
        <v>25992</v>
      </c>
      <c r="S4967" s="5">
        <f t="shared" si="233"/>
        <v>32789.512605042022</v>
      </c>
    </row>
    <row r="4968" spans="1:19" hidden="1" x14ac:dyDescent="0.3">
      <c r="A4968">
        <v>190</v>
      </c>
      <c r="B4968" t="s">
        <v>5801</v>
      </c>
      <c r="C4968" t="s">
        <v>3842</v>
      </c>
      <c r="D4968" s="2" t="s">
        <v>3843</v>
      </c>
      <c r="E4968" t="s">
        <v>2606</v>
      </c>
      <c r="F4968" t="s">
        <v>20</v>
      </c>
      <c r="G4968" t="s">
        <v>21</v>
      </c>
      <c r="H4968" t="s">
        <v>970</v>
      </c>
      <c r="I4968" t="s">
        <v>23</v>
      </c>
      <c r="J4968" t="s">
        <v>40</v>
      </c>
      <c r="K4968" s="2" t="s">
        <v>1365</v>
      </c>
      <c r="L4968" t="s">
        <v>26</v>
      </c>
      <c r="M4968">
        <v>326757</v>
      </c>
      <c r="N4968">
        <v>1</v>
      </c>
      <c r="O4968" s="3">
        <v>49990</v>
      </c>
      <c r="P4968" s="3">
        <v>18897</v>
      </c>
      <c r="Q4968" s="5">
        <f t="shared" si="231"/>
        <v>42008.403361344543</v>
      </c>
      <c r="R4968" s="5">
        <f t="shared" si="232"/>
        <v>18897</v>
      </c>
      <c r="S4968" s="5">
        <f t="shared" si="233"/>
        <v>23111.403361344543</v>
      </c>
    </row>
    <row r="4969" spans="1:19" hidden="1" x14ac:dyDescent="0.3">
      <c r="A4969">
        <v>190</v>
      </c>
      <c r="B4969" t="s">
        <v>5801</v>
      </c>
      <c r="C4969" t="s">
        <v>3001</v>
      </c>
      <c r="D4969" s="2" t="s">
        <v>3002</v>
      </c>
      <c r="E4969" t="s">
        <v>3003</v>
      </c>
      <c r="F4969" t="s">
        <v>20</v>
      </c>
      <c r="G4969" t="s">
        <v>338</v>
      </c>
      <c r="H4969">
        <v>25312</v>
      </c>
      <c r="I4969" t="s">
        <v>23</v>
      </c>
      <c r="J4969" t="s">
        <v>35</v>
      </c>
      <c r="K4969" s="2" t="s">
        <v>1365</v>
      </c>
      <c r="L4969" t="s">
        <v>26</v>
      </c>
      <c r="M4969">
        <v>326758</v>
      </c>
      <c r="N4969">
        <v>1</v>
      </c>
      <c r="O4969" s="3">
        <v>69950</v>
      </c>
      <c r="P4969" s="3">
        <v>21167</v>
      </c>
      <c r="Q4969" s="5">
        <f t="shared" si="231"/>
        <v>58781.512605042022</v>
      </c>
      <c r="R4969" s="5">
        <f t="shared" si="232"/>
        <v>21167</v>
      </c>
      <c r="S4969" s="5">
        <f t="shared" si="233"/>
        <v>37614.512605042022</v>
      </c>
    </row>
    <row r="4970" spans="1:19" hidden="1" x14ac:dyDescent="0.3">
      <c r="A4970">
        <v>190</v>
      </c>
      <c r="B4970" t="s">
        <v>5801</v>
      </c>
      <c r="C4970" t="s">
        <v>988</v>
      </c>
      <c r="D4970" s="2" t="s">
        <v>989</v>
      </c>
      <c r="E4970" t="s">
        <v>990</v>
      </c>
      <c r="F4970" t="s">
        <v>20</v>
      </c>
      <c r="G4970" t="s">
        <v>21</v>
      </c>
      <c r="H4970" t="s">
        <v>991</v>
      </c>
      <c r="I4970" t="s">
        <v>23</v>
      </c>
      <c r="J4970" t="s">
        <v>49</v>
      </c>
      <c r="K4970" s="2" t="s">
        <v>1365</v>
      </c>
      <c r="L4970" t="s">
        <v>26</v>
      </c>
      <c r="M4970">
        <v>326759</v>
      </c>
      <c r="N4970">
        <v>1</v>
      </c>
      <c r="O4970" s="3">
        <v>69950</v>
      </c>
      <c r="P4970" s="3">
        <v>22162</v>
      </c>
      <c r="Q4970" s="5">
        <f t="shared" si="231"/>
        <v>58781.512605042022</v>
      </c>
      <c r="R4970" s="5">
        <f t="shared" si="232"/>
        <v>22162</v>
      </c>
      <c r="S4970" s="5">
        <f t="shared" si="233"/>
        <v>36619.512605042022</v>
      </c>
    </row>
    <row r="4971" spans="1:19" hidden="1" x14ac:dyDescent="0.3">
      <c r="A4971">
        <v>190</v>
      </c>
      <c r="B4971" t="s">
        <v>5801</v>
      </c>
      <c r="C4971" t="s">
        <v>3495</v>
      </c>
      <c r="D4971" s="2" t="s">
        <v>3496</v>
      </c>
      <c r="E4971" t="s">
        <v>1336</v>
      </c>
      <c r="F4971" t="s">
        <v>20</v>
      </c>
      <c r="G4971" t="s">
        <v>21</v>
      </c>
      <c r="H4971" t="s">
        <v>1337</v>
      </c>
      <c r="I4971" t="s">
        <v>23</v>
      </c>
      <c r="J4971" t="s">
        <v>49</v>
      </c>
      <c r="K4971" s="2" t="s">
        <v>1365</v>
      </c>
      <c r="L4971" t="s">
        <v>26</v>
      </c>
      <c r="M4971">
        <v>326760</v>
      </c>
      <c r="N4971">
        <v>1</v>
      </c>
      <c r="O4971" s="3">
        <v>59950</v>
      </c>
      <c r="P4971" s="3">
        <v>19169</v>
      </c>
      <c r="Q4971" s="5">
        <f t="shared" si="231"/>
        <v>50378.151260504201</v>
      </c>
      <c r="R4971" s="5">
        <f t="shared" si="232"/>
        <v>19169</v>
      </c>
      <c r="S4971" s="5">
        <f t="shared" si="233"/>
        <v>31209.151260504201</v>
      </c>
    </row>
    <row r="4972" spans="1:19" hidden="1" x14ac:dyDescent="0.3">
      <c r="A4972">
        <v>190</v>
      </c>
      <c r="B4972" t="s">
        <v>5801</v>
      </c>
      <c r="C4972" t="s">
        <v>2942</v>
      </c>
      <c r="D4972" s="2" t="s">
        <v>2943</v>
      </c>
      <c r="E4972" t="s">
        <v>2870</v>
      </c>
      <c r="F4972" t="s">
        <v>20</v>
      </c>
      <c r="G4972" t="s">
        <v>21</v>
      </c>
      <c r="H4972" t="s">
        <v>30</v>
      </c>
      <c r="I4972" t="s">
        <v>23</v>
      </c>
      <c r="J4972" t="s">
        <v>35</v>
      </c>
      <c r="K4972" s="2" t="s">
        <v>1365</v>
      </c>
      <c r="L4972" t="s">
        <v>26</v>
      </c>
      <c r="M4972">
        <v>326761</v>
      </c>
      <c r="N4972">
        <v>1</v>
      </c>
      <c r="O4972" s="3">
        <v>79950</v>
      </c>
      <c r="P4972" s="3">
        <v>30749</v>
      </c>
      <c r="Q4972" s="5">
        <f t="shared" si="231"/>
        <v>67184.873949579836</v>
      </c>
      <c r="R4972" s="5">
        <f t="shared" si="232"/>
        <v>30749</v>
      </c>
      <c r="S4972" s="5">
        <f t="shared" si="233"/>
        <v>36435.873949579836</v>
      </c>
    </row>
    <row r="4973" spans="1:19" hidden="1" x14ac:dyDescent="0.3">
      <c r="A4973">
        <v>190</v>
      </c>
      <c r="B4973" t="s">
        <v>5801</v>
      </c>
      <c r="C4973" t="s">
        <v>5954</v>
      </c>
      <c r="D4973" s="2" t="s">
        <v>5955</v>
      </c>
      <c r="E4973" t="s">
        <v>4739</v>
      </c>
      <c r="F4973" t="s">
        <v>20</v>
      </c>
      <c r="G4973" t="s">
        <v>338</v>
      </c>
      <c r="H4973">
        <v>83716</v>
      </c>
      <c r="I4973" t="s">
        <v>23</v>
      </c>
      <c r="J4973" t="s">
        <v>40</v>
      </c>
      <c r="K4973" s="2" t="s">
        <v>1365</v>
      </c>
      <c r="L4973" t="s">
        <v>26</v>
      </c>
      <c r="M4973">
        <v>326762</v>
      </c>
      <c r="N4973">
        <v>1</v>
      </c>
      <c r="O4973" s="3">
        <v>89950</v>
      </c>
      <c r="P4973" s="3">
        <v>30263</v>
      </c>
      <c r="Q4973" s="5">
        <f t="shared" si="231"/>
        <v>75588.23529411765</v>
      </c>
      <c r="R4973" s="5">
        <f t="shared" si="232"/>
        <v>30263</v>
      </c>
      <c r="S4973" s="5">
        <f t="shared" si="233"/>
        <v>45325.23529411765</v>
      </c>
    </row>
    <row r="4974" spans="1:19" hidden="1" x14ac:dyDescent="0.3">
      <c r="A4974">
        <v>190</v>
      </c>
      <c r="B4974" t="s">
        <v>5801</v>
      </c>
      <c r="C4974" t="s">
        <v>5956</v>
      </c>
      <c r="D4974" s="2" t="s">
        <v>5957</v>
      </c>
      <c r="E4974" t="s">
        <v>4475</v>
      </c>
      <c r="F4974" t="s">
        <v>20</v>
      </c>
      <c r="G4974" t="s">
        <v>21</v>
      </c>
      <c r="H4974" t="s">
        <v>44</v>
      </c>
      <c r="I4974" t="s">
        <v>23</v>
      </c>
      <c r="J4974" t="s">
        <v>40</v>
      </c>
      <c r="K4974" s="2" t="s">
        <v>1365</v>
      </c>
      <c r="L4974" t="s">
        <v>26</v>
      </c>
      <c r="M4974">
        <v>326763</v>
      </c>
      <c r="N4974">
        <v>1</v>
      </c>
      <c r="O4974" s="3">
        <v>39990</v>
      </c>
      <c r="P4974" s="3">
        <v>12172</v>
      </c>
      <c r="Q4974" s="5">
        <f t="shared" si="231"/>
        <v>33605.042016806721</v>
      </c>
      <c r="R4974" s="5">
        <f t="shared" si="232"/>
        <v>12172</v>
      </c>
      <c r="S4974" s="5">
        <f t="shared" si="233"/>
        <v>21433.042016806721</v>
      </c>
    </row>
    <row r="4975" spans="1:19" hidden="1" x14ac:dyDescent="0.3">
      <c r="A4975">
        <v>190</v>
      </c>
      <c r="B4975" t="s">
        <v>5801</v>
      </c>
      <c r="C4975" t="s">
        <v>607</v>
      </c>
      <c r="D4975" s="2" t="s">
        <v>608</v>
      </c>
      <c r="E4975" t="s">
        <v>609</v>
      </c>
      <c r="F4975" t="s">
        <v>20</v>
      </c>
      <c r="G4975" t="s">
        <v>21</v>
      </c>
      <c r="H4975" t="s">
        <v>610</v>
      </c>
      <c r="I4975" t="s">
        <v>23</v>
      </c>
      <c r="J4975" t="s">
        <v>40</v>
      </c>
      <c r="K4975" s="2" t="s">
        <v>1365</v>
      </c>
      <c r="L4975" t="s">
        <v>26</v>
      </c>
      <c r="M4975">
        <v>326764</v>
      </c>
      <c r="N4975">
        <v>1</v>
      </c>
      <c r="O4975" s="3">
        <v>34990</v>
      </c>
      <c r="P4975" s="3">
        <v>14680</v>
      </c>
      <c r="Q4975" s="5">
        <f t="shared" si="231"/>
        <v>29403.361344537818</v>
      </c>
      <c r="R4975" s="5">
        <f t="shared" si="232"/>
        <v>14680</v>
      </c>
      <c r="S4975" s="5">
        <f t="shared" si="233"/>
        <v>14723.361344537818</v>
      </c>
    </row>
    <row r="4976" spans="1:19" hidden="1" x14ac:dyDescent="0.3">
      <c r="A4976">
        <v>190</v>
      </c>
      <c r="B4976" t="s">
        <v>5801</v>
      </c>
      <c r="C4976">
        <v>1687976791</v>
      </c>
      <c r="D4976" s="2" t="s">
        <v>200</v>
      </c>
      <c r="E4976" t="s">
        <v>201</v>
      </c>
      <c r="F4976" t="s">
        <v>201</v>
      </c>
      <c r="G4976" t="s">
        <v>202</v>
      </c>
      <c r="H4976" t="s">
        <v>202</v>
      </c>
      <c r="I4976" t="s">
        <v>23</v>
      </c>
      <c r="J4976" t="s">
        <v>202</v>
      </c>
      <c r="K4976" s="2" t="s">
        <v>1365</v>
      </c>
      <c r="L4976" t="s">
        <v>26</v>
      </c>
      <c r="M4976">
        <v>326764</v>
      </c>
      <c r="N4976">
        <v>1</v>
      </c>
      <c r="O4976" s="3">
        <v>2000</v>
      </c>
      <c r="P4976">
        <v>1</v>
      </c>
      <c r="Q4976" s="5">
        <f t="shared" si="231"/>
        <v>1680.6722689075632</v>
      </c>
      <c r="R4976" s="5">
        <f t="shared" si="232"/>
        <v>1</v>
      </c>
      <c r="S4976" s="5">
        <f t="shared" si="233"/>
        <v>1679.6722689075632</v>
      </c>
    </row>
    <row r="4977" spans="1:19" hidden="1" x14ac:dyDescent="0.3">
      <c r="A4977">
        <v>190</v>
      </c>
      <c r="B4977" t="s">
        <v>5801</v>
      </c>
      <c r="C4977" t="s">
        <v>2525</v>
      </c>
      <c r="D4977" s="2" t="s">
        <v>2526</v>
      </c>
      <c r="E4977" t="s">
        <v>2527</v>
      </c>
      <c r="F4977" t="s">
        <v>377</v>
      </c>
      <c r="G4977" t="s">
        <v>21</v>
      </c>
      <c r="H4977" t="s">
        <v>378</v>
      </c>
      <c r="I4977" t="s">
        <v>23</v>
      </c>
      <c r="J4977" t="s">
        <v>2459</v>
      </c>
      <c r="K4977" s="2" t="s">
        <v>1365</v>
      </c>
      <c r="L4977" t="s">
        <v>26</v>
      </c>
      <c r="M4977">
        <v>326765</v>
      </c>
      <c r="N4977">
        <v>1</v>
      </c>
      <c r="O4977" s="3">
        <v>6950</v>
      </c>
      <c r="P4977" s="3">
        <v>2964</v>
      </c>
      <c r="Q4977" s="5">
        <f t="shared" si="231"/>
        <v>5840.3361344537816</v>
      </c>
      <c r="R4977" s="5">
        <f t="shared" si="232"/>
        <v>2964</v>
      </c>
      <c r="S4977" s="5">
        <f t="shared" si="233"/>
        <v>2876.3361344537816</v>
      </c>
    </row>
    <row r="4978" spans="1:19" hidden="1" x14ac:dyDescent="0.3">
      <c r="A4978">
        <v>190</v>
      </c>
      <c r="B4978" t="s">
        <v>5801</v>
      </c>
      <c r="C4978" t="s">
        <v>3281</v>
      </c>
      <c r="D4978" s="2" t="s">
        <v>3282</v>
      </c>
      <c r="E4978" t="s">
        <v>3283</v>
      </c>
      <c r="F4978" t="s">
        <v>20</v>
      </c>
      <c r="G4978" t="s">
        <v>21</v>
      </c>
      <c r="H4978" t="s">
        <v>2494</v>
      </c>
      <c r="I4978" t="s">
        <v>23</v>
      </c>
      <c r="J4978" t="s">
        <v>40</v>
      </c>
      <c r="K4978" s="2" t="s">
        <v>1365</v>
      </c>
      <c r="L4978" t="s">
        <v>26</v>
      </c>
      <c r="M4978">
        <v>326766</v>
      </c>
      <c r="N4978">
        <v>1</v>
      </c>
      <c r="O4978" s="3">
        <v>69950</v>
      </c>
      <c r="P4978" s="3">
        <v>23470</v>
      </c>
      <c r="Q4978" s="5">
        <f t="shared" si="231"/>
        <v>58781.512605042022</v>
      </c>
      <c r="R4978" s="5">
        <f t="shared" si="232"/>
        <v>23470</v>
      </c>
      <c r="S4978" s="5">
        <f t="shared" si="233"/>
        <v>35311.512605042022</v>
      </c>
    </row>
    <row r="4979" spans="1:19" hidden="1" x14ac:dyDescent="0.3">
      <c r="A4979">
        <v>190</v>
      </c>
      <c r="B4979" t="s">
        <v>5801</v>
      </c>
      <c r="C4979" t="s">
        <v>4918</v>
      </c>
      <c r="D4979" s="2" t="s">
        <v>4919</v>
      </c>
      <c r="E4979" t="s">
        <v>2255</v>
      </c>
      <c r="F4979" t="s">
        <v>20</v>
      </c>
      <c r="G4979" t="s">
        <v>338</v>
      </c>
      <c r="H4979">
        <v>22318</v>
      </c>
      <c r="I4979" t="s">
        <v>23</v>
      </c>
      <c r="J4979" t="s">
        <v>49</v>
      </c>
      <c r="K4979" s="2" t="s">
        <v>1365</v>
      </c>
      <c r="L4979" t="s">
        <v>26</v>
      </c>
      <c r="M4979">
        <v>326767</v>
      </c>
      <c r="N4979">
        <v>1</v>
      </c>
      <c r="O4979" s="3">
        <v>74950</v>
      </c>
      <c r="P4979" s="3">
        <v>23473</v>
      </c>
      <c r="Q4979" s="5">
        <f t="shared" si="231"/>
        <v>62983.193277310929</v>
      </c>
      <c r="R4979" s="5">
        <f t="shared" si="232"/>
        <v>23473</v>
      </c>
      <c r="S4979" s="5">
        <f t="shared" si="233"/>
        <v>39510.193277310929</v>
      </c>
    </row>
    <row r="4980" spans="1:19" hidden="1" x14ac:dyDescent="0.3">
      <c r="A4980">
        <v>190</v>
      </c>
      <c r="B4980" t="s">
        <v>5801</v>
      </c>
      <c r="C4980" t="s">
        <v>5311</v>
      </c>
      <c r="D4980" s="2" t="s">
        <v>5312</v>
      </c>
      <c r="E4980" t="s">
        <v>2986</v>
      </c>
      <c r="F4980" t="s">
        <v>20</v>
      </c>
      <c r="G4980" t="s">
        <v>21</v>
      </c>
      <c r="H4980" t="s">
        <v>267</v>
      </c>
      <c r="I4980" t="s">
        <v>23</v>
      </c>
      <c r="J4980" t="s">
        <v>35</v>
      </c>
      <c r="K4980" s="2" t="s">
        <v>1365</v>
      </c>
      <c r="L4980" t="s">
        <v>26</v>
      </c>
      <c r="M4980">
        <v>326768</v>
      </c>
      <c r="N4980">
        <v>1</v>
      </c>
      <c r="O4980" s="3">
        <v>74950</v>
      </c>
      <c r="P4980" s="3">
        <v>24733</v>
      </c>
      <c r="Q4980" s="5">
        <f t="shared" si="231"/>
        <v>62983.193277310929</v>
      </c>
      <c r="R4980" s="5">
        <f t="shared" si="232"/>
        <v>24733</v>
      </c>
      <c r="S4980" s="5">
        <f t="shared" si="233"/>
        <v>38250.193277310929</v>
      </c>
    </row>
    <row r="4981" spans="1:19" hidden="1" x14ac:dyDescent="0.3">
      <c r="A4981">
        <v>190</v>
      </c>
      <c r="B4981" t="s">
        <v>5801</v>
      </c>
      <c r="C4981" t="s">
        <v>5958</v>
      </c>
      <c r="D4981" s="2" t="s">
        <v>5959</v>
      </c>
      <c r="E4981" t="s">
        <v>2340</v>
      </c>
      <c r="F4981" t="s">
        <v>20</v>
      </c>
      <c r="G4981" t="s">
        <v>21</v>
      </c>
      <c r="H4981" t="s">
        <v>1914</v>
      </c>
      <c r="I4981" t="s">
        <v>23</v>
      </c>
      <c r="J4981" t="s">
        <v>35</v>
      </c>
      <c r="K4981" s="2" t="s">
        <v>1365</v>
      </c>
      <c r="L4981" t="s">
        <v>26</v>
      </c>
      <c r="M4981">
        <v>326769</v>
      </c>
      <c r="N4981">
        <v>1</v>
      </c>
      <c r="O4981" s="3">
        <v>89950</v>
      </c>
      <c r="P4981" s="3">
        <v>27630</v>
      </c>
      <c r="Q4981" s="5">
        <f t="shared" si="231"/>
        <v>75588.23529411765</v>
      </c>
      <c r="R4981" s="5">
        <f t="shared" si="232"/>
        <v>27630</v>
      </c>
      <c r="S4981" s="5">
        <f t="shared" si="233"/>
        <v>47958.23529411765</v>
      </c>
    </row>
    <row r="4982" spans="1:19" hidden="1" x14ac:dyDescent="0.3">
      <c r="A4982">
        <v>190</v>
      </c>
      <c r="B4982" t="s">
        <v>5801</v>
      </c>
      <c r="C4982" t="s">
        <v>4220</v>
      </c>
      <c r="D4982" s="2" t="s">
        <v>4221</v>
      </c>
      <c r="E4982" t="s">
        <v>2933</v>
      </c>
      <c r="F4982" t="s">
        <v>20</v>
      </c>
      <c r="G4982" t="s">
        <v>338</v>
      </c>
      <c r="H4982">
        <v>25539</v>
      </c>
      <c r="I4982" t="s">
        <v>23</v>
      </c>
      <c r="J4982" t="s">
        <v>31</v>
      </c>
      <c r="K4982" s="2" t="s">
        <v>1365</v>
      </c>
      <c r="L4982" t="s">
        <v>26</v>
      </c>
      <c r="M4982">
        <v>326770</v>
      </c>
      <c r="N4982">
        <v>1</v>
      </c>
      <c r="O4982" s="3">
        <v>139950</v>
      </c>
      <c r="P4982" s="3">
        <v>46011</v>
      </c>
      <c r="Q4982" s="5">
        <f t="shared" si="231"/>
        <v>117605.04201680672</v>
      </c>
      <c r="R4982" s="5">
        <f t="shared" si="232"/>
        <v>46011</v>
      </c>
      <c r="S4982" s="5">
        <f t="shared" si="233"/>
        <v>71594.042016806721</v>
      </c>
    </row>
    <row r="4983" spans="1:19" hidden="1" x14ac:dyDescent="0.3">
      <c r="A4983">
        <v>190</v>
      </c>
      <c r="B4983" t="s">
        <v>5801</v>
      </c>
      <c r="C4983" t="s">
        <v>3953</v>
      </c>
      <c r="D4983" s="2" t="s">
        <v>3954</v>
      </c>
      <c r="E4983" t="s">
        <v>2455</v>
      </c>
      <c r="F4983" t="s">
        <v>20</v>
      </c>
      <c r="G4983" t="s">
        <v>21</v>
      </c>
      <c r="H4983" t="s">
        <v>742</v>
      </c>
      <c r="I4983" t="s">
        <v>23</v>
      </c>
      <c r="J4983" t="s">
        <v>40</v>
      </c>
      <c r="K4983" s="2" t="s">
        <v>1365</v>
      </c>
      <c r="L4983" t="s">
        <v>26</v>
      </c>
      <c r="M4983">
        <v>326771</v>
      </c>
      <c r="N4983">
        <v>1</v>
      </c>
      <c r="O4983" s="3">
        <v>79950</v>
      </c>
      <c r="P4983" s="3">
        <v>28572</v>
      </c>
      <c r="Q4983" s="5">
        <f t="shared" si="231"/>
        <v>67184.873949579836</v>
      </c>
      <c r="R4983" s="5">
        <f t="shared" si="232"/>
        <v>28572</v>
      </c>
      <c r="S4983" s="5">
        <f t="shared" si="233"/>
        <v>38612.873949579836</v>
      </c>
    </row>
    <row r="4984" spans="1:19" hidden="1" x14ac:dyDescent="0.3">
      <c r="A4984">
        <v>190</v>
      </c>
      <c r="B4984" t="s">
        <v>5801</v>
      </c>
      <c r="C4984" t="s">
        <v>3868</v>
      </c>
      <c r="D4984" s="2" t="s">
        <v>3869</v>
      </c>
      <c r="E4984" t="s">
        <v>2062</v>
      </c>
      <c r="F4984" t="s">
        <v>20</v>
      </c>
      <c r="G4984" t="s">
        <v>21</v>
      </c>
      <c r="H4984" t="s">
        <v>2063</v>
      </c>
      <c r="I4984" t="s">
        <v>23</v>
      </c>
      <c r="J4984" t="s">
        <v>40</v>
      </c>
      <c r="K4984" s="2" t="s">
        <v>1365</v>
      </c>
      <c r="L4984" t="s">
        <v>26</v>
      </c>
      <c r="M4984">
        <v>326771</v>
      </c>
      <c r="N4984">
        <v>-1</v>
      </c>
      <c r="O4984" s="3">
        <v>-49990</v>
      </c>
      <c r="P4984" s="3">
        <v>23130</v>
      </c>
      <c r="Q4984" s="5">
        <f t="shared" si="231"/>
        <v>-42008.403361344543</v>
      </c>
      <c r="R4984" s="5">
        <f t="shared" si="232"/>
        <v>-23130</v>
      </c>
      <c r="S4984" s="5">
        <f t="shared" si="233"/>
        <v>-18878.403361344543</v>
      </c>
    </row>
    <row r="4985" spans="1:19" hidden="1" x14ac:dyDescent="0.3">
      <c r="A4985">
        <v>190</v>
      </c>
      <c r="B4985" t="s">
        <v>5801</v>
      </c>
      <c r="C4985" t="s">
        <v>3246</v>
      </c>
      <c r="D4985" s="2" t="s">
        <v>3247</v>
      </c>
      <c r="E4985" t="s">
        <v>3248</v>
      </c>
      <c r="F4985" t="s">
        <v>20</v>
      </c>
      <c r="G4985" t="s">
        <v>338</v>
      </c>
      <c r="H4985">
        <v>23201</v>
      </c>
      <c r="I4985" t="s">
        <v>23</v>
      </c>
      <c r="J4985" t="s">
        <v>49</v>
      </c>
      <c r="K4985" s="2" t="s">
        <v>1365</v>
      </c>
      <c r="L4985" t="s">
        <v>26</v>
      </c>
      <c r="M4985">
        <v>326772</v>
      </c>
      <c r="N4985">
        <v>1</v>
      </c>
      <c r="O4985" s="3">
        <v>72200</v>
      </c>
      <c r="P4985" s="3">
        <v>26390</v>
      </c>
      <c r="Q4985" s="5">
        <f t="shared" si="231"/>
        <v>60672.268907563026</v>
      </c>
      <c r="R4985" s="5">
        <f t="shared" si="232"/>
        <v>26390</v>
      </c>
      <c r="S4985" s="5">
        <f t="shared" si="233"/>
        <v>34282.268907563026</v>
      </c>
    </row>
    <row r="4986" spans="1:19" hidden="1" x14ac:dyDescent="0.3">
      <c r="A4986">
        <v>190</v>
      </c>
      <c r="B4986" t="s">
        <v>5801</v>
      </c>
      <c r="C4986" t="s">
        <v>3023</v>
      </c>
      <c r="D4986" s="2" t="s">
        <v>3024</v>
      </c>
      <c r="E4986" t="s">
        <v>938</v>
      </c>
      <c r="F4986" t="s">
        <v>20</v>
      </c>
      <c r="G4986" t="s">
        <v>21</v>
      </c>
      <c r="H4986" t="s">
        <v>317</v>
      </c>
      <c r="I4986" t="s">
        <v>23</v>
      </c>
      <c r="J4986" t="s">
        <v>35</v>
      </c>
      <c r="K4986" s="2" t="s">
        <v>1365</v>
      </c>
      <c r="L4986" t="s">
        <v>26</v>
      </c>
      <c r="M4986">
        <v>326772</v>
      </c>
      <c r="N4986">
        <v>1</v>
      </c>
      <c r="O4986" s="3">
        <v>69950</v>
      </c>
      <c r="P4986" s="3">
        <v>26455</v>
      </c>
      <c r="Q4986" s="5">
        <f t="shared" si="231"/>
        <v>58781.512605042022</v>
      </c>
      <c r="R4986" s="5">
        <f t="shared" si="232"/>
        <v>26455</v>
      </c>
      <c r="S4986" s="5">
        <f t="shared" si="233"/>
        <v>32326.512605042022</v>
      </c>
    </row>
    <row r="4987" spans="1:19" hidden="1" x14ac:dyDescent="0.3">
      <c r="A4987">
        <v>190</v>
      </c>
      <c r="B4987" t="s">
        <v>5801</v>
      </c>
      <c r="C4987" t="s">
        <v>3647</v>
      </c>
      <c r="D4987" s="2" t="s">
        <v>3648</v>
      </c>
      <c r="E4987" t="s">
        <v>316</v>
      </c>
      <c r="F4987" t="s">
        <v>20</v>
      </c>
      <c r="G4987" t="s">
        <v>21</v>
      </c>
      <c r="H4987" t="s">
        <v>317</v>
      </c>
      <c r="I4987" t="s">
        <v>23</v>
      </c>
      <c r="J4987" t="s">
        <v>35</v>
      </c>
      <c r="K4987" s="2" t="s">
        <v>1365</v>
      </c>
      <c r="L4987" t="s">
        <v>26</v>
      </c>
      <c r="M4987">
        <v>326772</v>
      </c>
      <c r="N4987">
        <v>1</v>
      </c>
      <c r="O4987" s="3">
        <v>69950</v>
      </c>
      <c r="P4987" s="3">
        <v>24893</v>
      </c>
      <c r="Q4987" s="5">
        <f t="shared" si="231"/>
        <v>58781.512605042022</v>
      </c>
      <c r="R4987" s="5">
        <f t="shared" si="232"/>
        <v>24893</v>
      </c>
      <c r="S4987" s="5">
        <f t="shared" si="233"/>
        <v>33888.512605042022</v>
      </c>
    </row>
    <row r="4988" spans="1:19" hidden="1" x14ac:dyDescent="0.3">
      <c r="A4988">
        <v>190</v>
      </c>
      <c r="B4988" t="s">
        <v>5801</v>
      </c>
      <c r="C4988" t="s">
        <v>4621</v>
      </c>
      <c r="D4988" s="2" t="s">
        <v>4622</v>
      </c>
      <c r="E4988" t="s">
        <v>4358</v>
      </c>
      <c r="F4988" t="s">
        <v>20</v>
      </c>
      <c r="G4988" t="s">
        <v>21</v>
      </c>
      <c r="H4988" t="s">
        <v>346</v>
      </c>
      <c r="I4988" t="s">
        <v>23</v>
      </c>
      <c r="J4988" t="s">
        <v>49</v>
      </c>
      <c r="K4988" s="2" t="s">
        <v>1450</v>
      </c>
      <c r="L4988" t="s">
        <v>2249</v>
      </c>
      <c r="M4988">
        <v>25395</v>
      </c>
      <c r="N4988">
        <v>-1</v>
      </c>
      <c r="O4988" s="3">
        <v>-49990</v>
      </c>
      <c r="P4988" s="3">
        <v>23229</v>
      </c>
      <c r="Q4988" s="5">
        <f t="shared" si="231"/>
        <v>-42008.403361344543</v>
      </c>
      <c r="R4988" s="5">
        <f t="shared" si="232"/>
        <v>-23229</v>
      </c>
      <c r="S4988" s="5">
        <f t="shared" si="233"/>
        <v>-18779.403361344543</v>
      </c>
    </row>
    <row r="4989" spans="1:19" hidden="1" x14ac:dyDescent="0.3">
      <c r="A4989">
        <v>190</v>
      </c>
      <c r="B4989" t="s">
        <v>5801</v>
      </c>
      <c r="C4989" t="s">
        <v>5960</v>
      </c>
      <c r="D4989" s="2" t="s">
        <v>5961</v>
      </c>
      <c r="E4989" t="s">
        <v>2686</v>
      </c>
      <c r="F4989" t="s">
        <v>20</v>
      </c>
      <c r="G4989" t="s">
        <v>21</v>
      </c>
      <c r="H4989" t="s">
        <v>48</v>
      </c>
      <c r="I4989" t="s">
        <v>23</v>
      </c>
      <c r="J4989" t="s">
        <v>49</v>
      </c>
      <c r="K4989" s="2" t="s">
        <v>1450</v>
      </c>
      <c r="L4989" t="s">
        <v>26</v>
      </c>
      <c r="M4989">
        <v>326773</v>
      </c>
      <c r="N4989">
        <v>1</v>
      </c>
      <c r="O4989" s="3">
        <v>39990</v>
      </c>
      <c r="P4989" s="3">
        <v>26781</v>
      </c>
      <c r="Q4989" s="5">
        <f t="shared" si="231"/>
        <v>33605.042016806721</v>
      </c>
      <c r="R4989" s="5">
        <f t="shared" si="232"/>
        <v>26781</v>
      </c>
      <c r="S4989" s="5">
        <f t="shared" si="233"/>
        <v>6824.0420168067212</v>
      </c>
    </row>
    <row r="4990" spans="1:19" hidden="1" x14ac:dyDescent="0.3">
      <c r="A4990">
        <v>190</v>
      </c>
      <c r="B4990" t="s">
        <v>5801</v>
      </c>
      <c r="C4990" t="s">
        <v>5869</v>
      </c>
      <c r="D4990" s="2" t="s">
        <v>5870</v>
      </c>
      <c r="E4990" t="s">
        <v>834</v>
      </c>
      <c r="F4990" t="s">
        <v>20</v>
      </c>
      <c r="G4990" t="s">
        <v>21</v>
      </c>
      <c r="H4990" t="s">
        <v>835</v>
      </c>
      <c r="I4990" t="s">
        <v>23</v>
      </c>
      <c r="J4990" t="s">
        <v>40</v>
      </c>
      <c r="K4990" s="2" t="s">
        <v>1450</v>
      </c>
      <c r="L4990" t="s">
        <v>26</v>
      </c>
      <c r="M4990">
        <v>326773</v>
      </c>
      <c r="N4990">
        <v>1</v>
      </c>
      <c r="O4990" s="3">
        <v>39990</v>
      </c>
      <c r="P4990" s="3">
        <v>25844</v>
      </c>
      <c r="Q4990" s="5">
        <f t="shared" si="231"/>
        <v>33605.042016806721</v>
      </c>
      <c r="R4990" s="5">
        <f t="shared" si="232"/>
        <v>25844</v>
      </c>
      <c r="S4990" s="5">
        <f t="shared" si="233"/>
        <v>7761.0420168067212</v>
      </c>
    </row>
    <row r="4991" spans="1:19" hidden="1" x14ac:dyDescent="0.3">
      <c r="A4991">
        <v>190</v>
      </c>
      <c r="B4991" t="s">
        <v>5801</v>
      </c>
      <c r="C4991" t="s">
        <v>5962</v>
      </c>
      <c r="D4991" s="2" t="s">
        <v>5963</v>
      </c>
      <c r="E4991" t="s">
        <v>2092</v>
      </c>
      <c r="F4991" t="s">
        <v>20</v>
      </c>
      <c r="G4991" t="s">
        <v>21</v>
      </c>
      <c r="H4991" t="s">
        <v>1755</v>
      </c>
      <c r="I4991" t="s">
        <v>23</v>
      </c>
      <c r="J4991" t="s">
        <v>40</v>
      </c>
      <c r="K4991" s="2" t="s">
        <v>1450</v>
      </c>
      <c r="L4991" t="s">
        <v>26</v>
      </c>
      <c r="M4991">
        <v>326773</v>
      </c>
      <c r="N4991">
        <v>1</v>
      </c>
      <c r="O4991" s="3">
        <v>59990</v>
      </c>
      <c r="P4991" s="3">
        <v>32843</v>
      </c>
      <c r="Q4991" s="5">
        <f t="shared" si="231"/>
        <v>50411.764705882357</v>
      </c>
      <c r="R4991" s="5">
        <f t="shared" si="232"/>
        <v>32843</v>
      </c>
      <c r="S4991" s="5">
        <f t="shared" si="233"/>
        <v>17568.764705882357</v>
      </c>
    </row>
    <row r="4992" spans="1:19" hidden="1" x14ac:dyDescent="0.3">
      <c r="A4992">
        <v>190</v>
      </c>
      <c r="B4992" t="s">
        <v>5801</v>
      </c>
      <c r="C4992" t="s">
        <v>5964</v>
      </c>
      <c r="D4992" s="2" t="s">
        <v>5965</v>
      </c>
      <c r="E4992" t="s">
        <v>5642</v>
      </c>
      <c r="F4992" t="s">
        <v>20</v>
      </c>
      <c r="G4992" t="s">
        <v>21</v>
      </c>
      <c r="H4992" t="s">
        <v>2189</v>
      </c>
      <c r="I4992" t="s">
        <v>23</v>
      </c>
      <c r="J4992" t="s">
        <v>40</v>
      </c>
      <c r="K4992" s="2" t="s">
        <v>1450</v>
      </c>
      <c r="L4992" t="s">
        <v>26</v>
      </c>
      <c r="M4992">
        <v>326774</v>
      </c>
      <c r="N4992">
        <v>-1</v>
      </c>
      <c r="O4992" s="3">
        <v>-64950</v>
      </c>
      <c r="P4992" s="3">
        <v>20795</v>
      </c>
      <c r="Q4992" s="5">
        <f t="shared" si="231"/>
        <v>-54579.831932773115</v>
      </c>
      <c r="R4992" s="5">
        <f t="shared" si="232"/>
        <v>-20795</v>
      </c>
      <c r="S4992" s="5">
        <f t="shared" si="233"/>
        <v>-33784.831932773115</v>
      </c>
    </row>
    <row r="4993" spans="1:19" hidden="1" x14ac:dyDescent="0.3">
      <c r="A4993">
        <v>190</v>
      </c>
      <c r="B4993" t="s">
        <v>5801</v>
      </c>
      <c r="C4993" t="s">
        <v>2997</v>
      </c>
      <c r="D4993" s="2" t="s">
        <v>2998</v>
      </c>
      <c r="E4993" t="s">
        <v>2483</v>
      </c>
      <c r="F4993" t="s">
        <v>20</v>
      </c>
      <c r="G4993" t="s">
        <v>21</v>
      </c>
      <c r="H4993" t="s">
        <v>2484</v>
      </c>
      <c r="I4993" t="s">
        <v>23</v>
      </c>
      <c r="J4993" t="s">
        <v>40</v>
      </c>
      <c r="K4993" s="2" t="s">
        <v>1450</v>
      </c>
      <c r="L4993" t="s">
        <v>26</v>
      </c>
      <c r="M4993">
        <v>326774</v>
      </c>
      <c r="N4993">
        <v>1</v>
      </c>
      <c r="O4993" s="3">
        <v>59950</v>
      </c>
      <c r="P4993" s="3">
        <v>17503</v>
      </c>
      <c r="Q4993" s="5">
        <f t="shared" si="231"/>
        <v>50378.151260504201</v>
      </c>
      <c r="R4993" s="5">
        <f t="shared" si="232"/>
        <v>17503</v>
      </c>
      <c r="S4993" s="5">
        <f t="shared" si="233"/>
        <v>32875.151260504201</v>
      </c>
    </row>
    <row r="4994" spans="1:19" hidden="1" x14ac:dyDescent="0.3">
      <c r="A4994">
        <v>190</v>
      </c>
      <c r="B4994" t="s">
        <v>5801</v>
      </c>
      <c r="C4994" t="s">
        <v>1761</v>
      </c>
      <c r="D4994" s="2" t="s">
        <v>1762</v>
      </c>
      <c r="E4994" t="s">
        <v>1763</v>
      </c>
      <c r="F4994" t="s">
        <v>377</v>
      </c>
      <c r="G4994" t="s">
        <v>21</v>
      </c>
      <c r="H4994" t="s">
        <v>378</v>
      </c>
      <c r="I4994" t="s">
        <v>23</v>
      </c>
      <c r="J4994" t="s">
        <v>379</v>
      </c>
      <c r="K4994" s="2" t="s">
        <v>1450</v>
      </c>
      <c r="L4994" t="s">
        <v>26</v>
      </c>
      <c r="M4994">
        <v>326774</v>
      </c>
      <c r="N4994">
        <v>1</v>
      </c>
      <c r="O4994" s="3">
        <v>5950</v>
      </c>
      <c r="P4994" s="3">
        <v>3279</v>
      </c>
      <c r="Q4994" s="5">
        <f t="shared" si="231"/>
        <v>5000</v>
      </c>
      <c r="R4994" s="5">
        <f t="shared" si="232"/>
        <v>3279</v>
      </c>
      <c r="S4994" s="5">
        <f t="shared" si="233"/>
        <v>1721</v>
      </c>
    </row>
    <row r="4995" spans="1:19" hidden="1" x14ac:dyDescent="0.3">
      <c r="A4995">
        <v>190</v>
      </c>
      <c r="B4995" t="s">
        <v>5801</v>
      </c>
      <c r="C4995" t="s">
        <v>5966</v>
      </c>
      <c r="D4995" s="2" t="s">
        <v>5967</v>
      </c>
      <c r="E4995" t="s">
        <v>3248</v>
      </c>
      <c r="F4995" t="s">
        <v>20</v>
      </c>
      <c r="G4995" t="s">
        <v>338</v>
      </c>
      <c r="H4995">
        <v>23201</v>
      </c>
      <c r="I4995" t="s">
        <v>23</v>
      </c>
      <c r="J4995" t="s">
        <v>49</v>
      </c>
      <c r="K4995" s="2" t="s">
        <v>1450</v>
      </c>
      <c r="L4995" t="s">
        <v>26</v>
      </c>
      <c r="M4995">
        <v>326775</v>
      </c>
      <c r="N4995">
        <v>1</v>
      </c>
      <c r="O4995" s="3">
        <v>84950</v>
      </c>
      <c r="P4995" s="3">
        <v>26390</v>
      </c>
      <c r="Q4995" s="5">
        <f t="shared" si="231"/>
        <v>71386.554621848743</v>
      </c>
      <c r="R4995" s="5">
        <f t="shared" si="232"/>
        <v>26390</v>
      </c>
      <c r="S4995" s="5">
        <f t="shared" si="233"/>
        <v>44996.554621848743</v>
      </c>
    </row>
    <row r="4996" spans="1:19" hidden="1" x14ac:dyDescent="0.3">
      <c r="A4996">
        <v>190</v>
      </c>
      <c r="B4996" t="s">
        <v>5801</v>
      </c>
      <c r="C4996" t="s">
        <v>3156</v>
      </c>
      <c r="D4996" s="2" t="s">
        <v>3157</v>
      </c>
      <c r="E4996" t="s">
        <v>3158</v>
      </c>
      <c r="F4996" t="s">
        <v>20</v>
      </c>
      <c r="G4996" t="s">
        <v>21</v>
      </c>
      <c r="H4996" t="s">
        <v>406</v>
      </c>
      <c r="I4996" t="s">
        <v>23</v>
      </c>
      <c r="J4996" t="s">
        <v>407</v>
      </c>
      <c r="K4996" s="2" t="s">
        <v>1450</v>
      </c>
      <c r="L4996" t="s">
        <v>26</v>
      </c>
      <c r="M4996">
        <v>326776</v>
      </c>
      <c r="N4996">
        <v>1</v>
      </c>
      <c r="O4996" s="3">
        <v>64950</v>
      </c>
      <c r="P4996" s="3">
        <v>21598</v>
      </c>
      <c r="Q4996" s="5">
        <f t="shared" si="231"/>
        <v>54579.831932773115</v>
      </c>
      <c r="R4996" s="5">
        <f t="shared" si="232"/>
        <v>21598</v>
      </c>
      <c r="S4996" s="5">
        <f t="shared" si="233"/>
        <v>32981.831932773115</v>
      </c>
    </row>
    <row r="4997" spans="1:19" hidden="1" x14ac:dyDescent="0.3">
      <c r="A4997">
        <v>190</v>
      </c>
      <c r="B4997" t="s">
        <v>5801</v>
      </c>
      <c r="C4997" t="s">
        <v>2575</v>
      </c>
      <c r="D4997" s="2" t="s">
        <v>2576</v>
      </c>
      <c r="E4997" t="s">
        <v>2577</v>
      </c>
      <c r="F4997" t="s">
        <v>377</v>
      </c>
      <c r="G4997" t="s">
        <v>21</v>
      </c>
      <c r="H4997" t="s">
        <v>378</v>
      </c>
      <c r="I4997" t="s">
        <v>23</v>
      </c>
      <c r="J4997" t="s">
        <v>379</v>
      </c>
      <c r="K4997" s="2" t="s">
        <v>1450</v>
      </c>
      <c r="L4997" t="s">
        <v>26</v>
      </c>
      <c r="M4997">
        <v>326777</v>
      </c>
      <c r="N4997">
        <v>1</v>
      </c>
      <c r="O4997" s="3">
        <v>5950</v>
      </c>
      <c r="P4997" s="3">
        <v>3307</v>
      </c>
      <c r="Q4997" s="5">
        <f t="shared" si="231"/>
        <v>5000</v>
      </c>
      <c r="R4997" s="5">
        <f t="shared" si="232"/>
        <v>3307</v>
      </c>
      <c r="S4997" s="5">
        <f t="shared" si="233"/>
        <v>1693</v>
      </c>
    </row>
    <row r="4998" spans="1:19" hidden="1" x14ac:dyDescent="0.3">
      <c r="A4998">
        <v>190</v>
      </c>
      <c r="B4998" t="s">
        <v>5801</v>
      </c>
      <c r="C4998" t="s">
        <v>5437</v>
      </c>
      <c r="D4998" s="2" t="s">
        <v>5438</v>
      </c>
      <c r="E4998" t="s">
        <v>3666</v>
      </c>
      <c r="F4998" t="s">
        <v>20</v>
      </c>
      <c r="G4998" t="s">
        <v>338</v>
      </c>
      <c r="H4998">
        <v>24316</v>
      </c>
      <c r="I4998" t="s">
        <v>23</v>
      </c>
      <c r="J4998" t="s">
        <v>49</v>
      </c>
      <c r="K4998" s="2" t="s">
        <v>1450</v>
      </c>
      <c r="L4998" t="s">
        <v>26</v>
      </c>
      <c r="M4998">
        <v>326778</v>
      </c>
      <c r="N4998">
        <v>1</v>
      </c>
      <c r="O4998" s="3">
        <v>74950</v>
      </c>
      <c r="P4998" s="3">
        <v>23473</v>
      </c>
      <c r="Q4998" s="5">
        <f t="shared" ref="Q4998:Q5061" si="234">O4998/1.19</f>
        <v>62983.193277310929</v>
      </c>
      <c r="R4998" s="5">
        <f t="shared" ref="R4998:R5061" si="235">N4998*P4998</f>
        <v>23473</v>
      </c>
      <c r="S4998" s="5">
        <f t="shared" ref="S4998:S5061" si="236">Q4998-R4998</f>
        <v>39510.193277310929</v>
      </c>
    </row>
    <row r="4999" spans="1:19" hidden="1" x14ac:dyDescent="0.3">
      <c r="A4999">
        <v>190</v>
      </c>
      <c r="B4999" t="s">
        <v>5801</v>
      </c>
      <c r="C4999" t="s">
        <v>3484</v>
      </c>
      <c r="D4999" s="2" t="s">
        <v>3485</v>
      </c>
      <c r="E4999" t="s">
        <v>3486</v>
      </c>
      <c r="F4999" t="s">
        <v>20</v>
      </c>
      <c r="G4999" t="s">
        <v>21</v>
      </c>
      <c r="H4999" t="s">
        <v>247</v>
      </c>
      <c r="I4999" t="s">
        <v>23</v>
      </c>
      <c r="J4999" t="s">
        <v>40</v>
      </c>
      <c r="K4999" s="2" t="s">
        <v>1450</v>
      </c>
      <c r="L4999" t="s">
        <v>26</v>
      </c>
      <c r="M4999">
        <v>326779</v>
      </c>
      <c r="N4999">
        <v>1</v>
      </c>
      <c r="O4999" s="3">
        <v>59950</v>
      </c>
      <c r="P4999" s="3">
        <v>16103</v>
      </c>
      <c r="Q4999" s="5">
        <f t="shared" si="234"/>
        <v>50378.151260504201</v>
      </c>
      <c r="R4999" s="5">
        <f t="shared" si="235"/>
        <v>16103</v>
      </c>
      <c r="S4999" s="5">
        <f t="shared" si="236"/>
        <v>34275.151260504201</v>
      </c>
    </row>
    <row r="5000" spans="1:19" hidden="1" x14ac:dyDescent="0.3">
      <c r="A5000">
        <v>190</v>
      </c>
      <c r="B5000" t="s">
        <v>5801</v>
      </c>
      <c r="C5000" t="s">
        <v>5968</v>
      </c>
      <c r="D5000" s="2" t="s">
        <v>5969</v>
      </c>
      <c r="E5000" t="s">
        <v>3415</v>
      </c>
      <c r="F5000" t="s">
        <v>20</v>
      </c>
      <c r="G5000" t="s">
        <v>21</v>
      </c>
      <c r="H5000" t="s">
        <v>2745</v>
      </c>
      <c r="I5000" t="s">
        <v>23</v>
      </c>
      <c r="J5000" t="s">
        <v>35</v>
      </c>
      <c r="K5000" s="2" t="s">
        <v>1450</v>
      </c>
      <c r="L5000" t="s">
        <v>26</v>
      </c>
      <c r="M5000">
        <v>326780</v>
      </c>
      <c r="N5000">
        <v>1</v>
      </c>
      <c r="O5000" s="3">
        <v>84950</v>
      </c>
      <c r="P5000" s="3">
        <v>33200</v>
      </c>
      <c r="Q5000" s="5">
        <f t="shared" si="234"/>
        <v>71386.554621848743</v>
      </c>
      <c r="R5000" s="5">
        <f t="shared" si="235"/>
        <v>33200</v>
      </c>
      <c r="S5000" s="5">
        <f t="shared" si="236"/>
        <v>38186.554621848743</v>
      </c>
    </row>
    <row r="5001" spans="1:19" hidden="1" x14ac:dyDescent="0.3">
      <c r="A5001">
        <v>190</v>
      </c>
      <c r="B5001" t="s">
        <v>5801</v>
      </c>
      <c r="C5001" t="s">
        <v>4570</v>
      </c>
      <c r="D5001" s="2" t="s">
        <v>4571</v>
      </c>
      <c r="E5001" t="s">
        <v>4296</v>
      </c>
      <c r="F5001" t="s">
        <v>20</v>
      </c>
      <c r="G5001" t="s">
        <v>338</v>
      </c>
      <c r="H5001">
        <v>25321</v>
      </c>
      <c r="I5001" t="s">
        <v>23</v>
      </c>
      <c r="J5001" t="s">
        <v>35</v>
      </c>
      <c r="K5001" s="2" t="s">
        <v>1450</v>
      </c>
      <c r="L5001" t="s">
        <v>26</v>
      </c>
      <c r="M5001">
        <v>326780</v>
      </c>
      <c r="N5001">
        <v>1</v>
      </c>
      <c r="O5001" s="3">
        <v>93450</v>
      </c>
      <c r="P5001" s="3">
        <v>33748</v>
      </c>
      <c r="Q5001" s="5">
        <f t="shared" si="234"/>
        <v>78529.411764705888</v>
      </c>
      <c r="R5001" s="5">
        <f t="shared" si="235"/>
        <v>33748</v>
      </c>
      <c r="S5001" s="5">
        <f t="shared" si="236"/>
        <v>44781.411764705888</v>
      </c>
    </row>
    <row r="5002" spans="1:19" hidden="1" x14ac:dyDescent="0.3">
      <c r="A5002">
        <v>190</v>
      </c>
      <c r="B5002" t="s">
        <v>5801</v>
      </c>
      <c r="C5002" t="s">
        <v>2989</v>
      </c>
      <c r="D5002" s="2" t="s">
        <v>2990</v>
      </c>
      <c r="E5002" t="s">
        <v>2208</v>
      </c>
      <c r="F5002" t="s">
        <v>20</v>
      </c>
      <c r="G5002" t="s">
        <v>338</v>
      </c>
      <c r="H5002">
        <v>25823</v>
      </c>
      <c r="I5002" t="s">
        <v>23</v>
      </c>
      <c r="J5002" t="s">
        <v>35</v>
      </c>
      <c r="K5002" s="2" t="s">
        <v>1450</v>
      </c>
      <c r="L5002" t="s">
        <v>26</v>
      </c>
      <c r="M5002">
        <v>326780</v>
      </c>
      <c r="N5002">
        <v>1</v>
      </c>
      <c r="O5002" s="3">
        <v>99950</v>
      </c>
      <c r="P5002" s="3">
        <v>33748</v>
      </c>
      <c r="Q5002" s="5">
        <f t="shared" si="234"/>
        <v>83991.596638655465</v>
      </c>
      <c r="R5002" s="5">
        <f t="shared" si="235"/>
        <v>33748</v>
      </c>
      <c r="S5002" s="5">
        <f t="shared" si="236"/>
        <v>50243.596638655465</v>
      </c>
    </row>
    <row r="5003" spans="1:19" hidden="1" x14ac:dyDescent="0.3">
      <c r="A5003">
        <v>190</v>
      </c>
      <c r="B5003" t="s">
        <v>5801</v>
      </c>
      <c r="C5003" t="s">
        <v>5970</v>
      </c>
      <c r="D5003" s="2" t="s">
        <v>5971</v>
      </c>
      <c r="E5003" t="s">
        <v>2996</v>
      </c>
      <c r="F5003" t="s">
        <v>20</v>
      </c>
      <c r="G5003" t="s">
        <v>338</v>
      </c>
      <c r="H5003">
        <v>25823</v>
      </c>
      <c r="I5003" t="s">
        <v>23</v>
      </c>
      <c r="J5003" t="s">
        <v>35</v>
      </c>
      <c r="K5003" s="2" t="s">
        <v>1450</v>
      </c>
      <c r="L5003" t="s">
        <v>26</v>
      </c>
      <c r="M5003">
        <v>326780</v>
      </c>
      <c r="N5003">
        <v>1</v>
      </c>
      <c r="O5003" s="3">
        <v>99950</v>
      </c>
      <c r="P5003" s="3">
        <v>33748</v>
      </c>
      <c r="Q5003" s="5">
        <f t="shared" si="234"/>
        <v>83991.596638655465</v>
      </c>
      <c r="R5003" s="5">
        <f t="shared" si="235"/>
        <v>33748</v>
      </c>
      <c r="S5003" s="5">
        <f t="shared" si="236"/>
        <v>50243.596638655465</v>
      </c>
    </row>
    <row r="5004" spans="1:19" hidden="1" x14ac:dyDescent="0.3">
      <c r="A5004">
        <v>190</v>
      </c>
      <c r="B5004" t="s">
        <v>5801</v>
      </c>
      <c r="C5004" t="s">
        <v>4427</v>
      </c>
      <c r="D5004" s="2" t="s">
        <v>4428</v>
      </c>
      <c r="E5004" t="s">
        <v>1986</v>
      </c>
      <c r="F5004" t="s">
        <v>20</v>
      </c>
      <c r="G5004" t="s">
        <v>21</v>
      </c>
      <c r="H5004" t="s">
        <v>1987</v>
      </c>
      <c r="I5004" t="s">
        <v>23</v>
      </c>
      <c r="J5004" t="s">
        <v>49</v>
      </c>
      <c r="K5004" s="2" t="s">
        <v>1450</v>
      </c>
      <c r="L5004" t="s">
        <v>26</v>
      </c>
      <c r="M5004">
        <v>326781</v>
      </c>
      <c r="N5004">
        <v>1</v>
      </c>
      <c r="O5004" s="3">
        <v>74950</v>
      </c>
      <c r="P5004" s="3">
        <v>25014</v>
      </c>
      <c r="Q5004" s="5">
        <f t="shared" si="234"/>
        <v>62983.193277310929</v>
      </c>
      <c r="R5004" s="5">
        <f t="shared" si="235"/>
        <v>25014</v>
      </c>
      <c r="S5004" s="5">
        <f t="shared" si="236"/>
        <v>37969.193277310929</v>
      </c>
    </row>
    <row r="5005" spans="1:19" hidden="1" x14ac:dyDescent="0.3">
      <c r="A5005">
        <v>190</v>
      </c>
      <c r="B5005" t="s">
        <v>5801</v>
      </c>
      <c r="C5005" t="s">
        <v>5972</v>
      </c>
      <c r="D5005" s="2" t="s">
        <v>5973</v>
      </c>
      <c r="E5005" t="s">
        <v>5575</v>
      </c>
      <c r="F5005" t="s">
        <v>20</v>
      </c>
      <c r="G5005" t="s">
        <v>21</v>
      </c>
      <c r="H5005" t="s">
        <v>618</v>
      </c>
      <c r="I5005" t="s">
        <v>23</v>
      </c>
      <c r="J5005" t="s">
        <v>40</v>
      </c>
      <c r="K5005" s="2" t="s">
        <v>1450</v>
      </c>
      <c r="L5005" t="s">
        <v>26</v>
      </c>
      <c r="M5005">
        <v>326782</v>
      </c>
      <c r="N5005">
        <v>1</v>
      </c>
      <c r="O5005" s="3">
        <v>34990</v>
      </c>
      <c r="P5005" s="3">
        <v>16817</v>
      </c>
      <c r="Q5005" s="5">
        <f t="shared" si="234"/>
        <v>29403.361344537818</v>
      </c>
      <c r="R5005" s="5">
        <f t="shared" si="235"/>
        <v>16817</v>
      </c>
      <c r="S5005" s="5">
        <f t="shared" si="236"/>
        <v>12586.361344537818</v>
      </c>
    </row>
    <row r="5006" spans="1:19" hidden="1" x14ac:dyDescent="0.3">
      <c r="A5006">
        <v>190</v>
      </c>
      <c r="B5006" t="s">
        <v>5801</v>
      </c>
      <c r="C5006">
        <v>1687976791</v>
      </c>
      <c r="D5006" s="2" t="s">
        <v>200</v>
      </c>
      <c r="E5006" t="s">
        <v>201</v>
      </c>
      <c r="F5006" t="s">
        <v>201</v>
      </c>
      <c r="G5006" t="s">
        <v>202</v>
      </c>
      <c r="H5006" t="s">
        <v>202</v>
      </c>
      <c r="I5006" t="s">
        <v>23</v>
      </c>
      <c r="J5006" t="s">
        <v>202</v>
      </c>
      <c r="K5006" s="2" t="s">
        <v>1450</v>
      </c>
      <c r="L5006" t="s">
        <v>26</v>
      </c>
      <c r="M5006">
        <v>326782</v>
      </c>
      <c r="N5006">
        <v>1</v>
      </c>
      <c r="O5006" s="3">
        <v>3200</v>
      </c>
      <c r="P5006">
        <v>1</v>
      </c>
      <c r="Q5006" s="5">
        <f t="shared" si="234"/>
        <v>2689.0756302521008</v>
      </c>
      <c r="R5006" s="5">
        <f t="shared" si="235"/>
        <v>1</v>
      </c>
      <c r="S5006" s="5">
        <f t="shared" si="236"/>
        <v>2688.0756302521008</v>
      </c>
    </row>
    <row r="5007" spans="1:19" hidden="1" x14ac:dyDescent="0.3">
      <c r="A5007">
        <v>190</v>
      </c>
      <c r="B5007" t="s">
        <v>5801</v>
      </c>
      <c r="C5007" t="s">
        <v>5974</v>
      </c>
      <c r="D5007" s="2" t="s">
        <v>5975</v>
      </c>
      <c r="E5007" t="s">
        <v>1651</v>
      </c>
      <c r="F5007" t="s">
        <v>20</v>
      </c>
      <c r="G5007" t="s">
        <v>21</v>
      </c>
      <c r="H5007" t="s">
        <v>1143</v>
      </c>
      <c r="I5007" t="s">
        <v>23</v>
      </c>
      <c r="J5007" t="s">
        <v>40</v>
      </c>
      <c r="K5007" s="2" t="s">
        <v>1450</v>
      </c>
      <c r="L5007" t="s">
        <v>26</v>
      </c>
      <c r="M5007">
        <v>326783</v>
      </c>
      <c r="N5007">
        <v>1</v>
      </c>
      <c r="O5007" s="3">
        <v>34990</v>
      </c>
      <c r="P5007" s="3">
        <v>27195</v>
      </c>
      <c r="Q5007" s="5">
        <f t="shared" si="234"/>
        <v>29403.361344537818</v>
      </c>
      <c r="R5007" s="5">
        <f t="shared" si="235"/>
        <v>27195</v>
      </c>
      <c r="S5007" s="5">
        <f t="shared" si="236"/>
        <v>2208.3613445378178</v>
      </c>
    </row>
    <row r="5008" spans="1:19" hidden="1" x14ac:dyDescent="0.3">
      <c r="A5008">
        <v>190</v>
      </c>
      <c r="B5008" t="s">
        <v>5801</v>
      </c>
      <c r="C5008">
        <v>1687976791</v>
      </c>
      <c r="D5008" s="2" t="s">
        <v>200</v>
      </c>
      <c r="E5008" t="s">
        <v>201</v>
      </c>
      <c r="F5008" t="s">
        <v>201</v>
      </c>
      <c r="G5008" t="s">
        <v>202</v>
      </c>
      <c r="H5008" t="s">
        <v>202</v>
      </c>
      <c r="I5008" t="s">
        <v>23</v>
      </c>
      <c r="J5008" t="s">
        <v>202</v>
      </c>
      <c r="K5008" s="2" t="s">
        <v>1450</v>
      </c>
      <c r="L5008" t="s">
        <v>26</v>
      </c>
      <c r="M5008">
        <v>326783</v>
      </c>
      <c r="N5008">
        <v>1</v>
      </c>
      <c r="O5008" s="3">
        <v>2000</v>
      </c>
      <c r="P5008">
        <v>1</v>
      </c>
      <c r="Q5008" s="5">
        <f t="shared" si="234"/>
        <v>1680.6722689075632</v>
      </c>
      <c r="R5008" s="5">
        <f t="shared" si="235"/>
        <v>1</v>
      </c>
      <c r="S5008" s="5">
        <f t="shared" si="236"/>
        <v>1679.6722689075632</v>
      </c>
    </row>
    <row r="5009" spans="1:19" hidden="1" x14ac:dyDescent="0.3">
      <c r="A5009">
        <v>190</v>
      </c>
      <c r="B5009" t="s">
        <v>5801</v>
      </c>
      <c r="C5009" t="s">
        <v>5921</v>
      </c>
      <c r="D5009" s="2" t="s">
        <v>5922</v>
      </c>
      <c r="E5009" t="s">
        <v>2069</v>
      </c>
      <c r="F5009" t="s">
        <v>20</v>
      </c>
      <c r="G5009" t="s">
        <v>21</v>
      </c>
      <c r="H5009" t="s">
        <v>2070</v>
      </c>
      <c r="I5009" t="s">
        <v>23</v>
      </c>
      <c r="J5009" t="s">
        <v>35</v>
      </c>
      <c r="K5009" s="2" t="s">
        <v>1450</v>
      </c>
      <c r="L5009" t="s">
        <v>26</v>
      </c>
      <c r="M5009">
        <v>326784</v>
      </c>
      <c r="N5009">
        <v>1</v>
      </c>
      <c r="O5009" s="3">
        <v>89950</v>
      </c>
      <c r="P5009" s="3">
        <v>29635</v>
      </c>
      <c r="Q5009" s="5">
        <f t="shared" si="234"/>
        <v>75588.23529411765</v>
      </c>
      <c r="R5009" s="5">
        <f t="shared" si="235"/>
        <v>29635</v>
      </c>
      <c r="S5009" s="5">
        <f t="shared" si="236"/>
        <v>45953.23529411765</v>
      </c>
    </row>
    <row r="5010" spans="1:19" hidden="1" x14ac:dyDescent="0.3">
      <c r="A5010">
        <v>190</v>
      </c>
      <c r="B5010" t="s">
        <v>5801</v>
      </c>
      <c r="C5010" t="s">
        <v>1426</v>
      </c>
      <c r="D5010" s="2" t="s">
        <v>1427</v>
      </c>
      <c r="E5010" t="s">
        <v>1428</v>
      </c>
      <c r="F5010" t="s">
        <v>20</v>
      </c>
      <c r="G5010" t="s">
        <v>21</v>
      </c>
      <c r="H5010" t="s">
        <v>57</v>
      </c>
      <c r="I5010" t="s">
        <v>23</v>
      </c>
      <c r="J5010" t="s">
        <v>35</v>
      </c>
      <c r="K5010" s="2" t="s">
        <v>1450</v>
      </c>
      <c r="L5010" t="s">
        <v>26</v>
      </c>
      <c r="M5010">
        <v>326785</v>
      </c>
      <c r="N5010">
        <v>1</v>
      </c>
      <c r="O5010" s="3">
        <v>80950</v>
      </c>
      <c r="P5010" s="3">
        <v>31397</v>
      </c>
      <c r="Q5010" s="5">
        <f t="shared" si="234"/>
        <v>68025.210084033621</v>
      </c>
      <c r="R5010" s="5">
        <f t="shared" si="235"/>
        <v>31397</v>
      </c>
      <c r="S5010" s="5">
        <f t="shared" si="236"/>
        <v>36628.210084033621</v>
      </c>
    </row>
    <row r="5011" spans="1:19" hidden="1" x14ac:dyDescent="0.3">
      <c r="A5011">
        <v>190</v>
      </c>
      <c r="B5011" t="s">
        <v>5801</v>
      </c>
      <c r="C5011" t="s">
        <v>4239</v>
      </c>
      <c r="D5011" s="2" t="s">
        <v>4240</v>
      </c>
      <c r="E5011" t="s">
        <v>2539</v>
      </c>
      <c r="F5011" t="s">
        <v>20</v>
      </c>
      <c r="G5011" t="s">
        <v>21</v>
      </c>
      <c r="H5011" t="s">
        <v>966</v>
      </c>
      <c r="I5011" t="s">
        <v>23</v>
      </c>
      <c r="J5011" t="s">
        <v>35</v>
      </c>
      <c r="K5011" s="2" t="s">
        <v>1450</v>
      </c>
      <c r="L5011" t="s">
        <v>26</v>
      </c>
      <c r="M5011">
        <v>326786</v>
      </c>
      <c r="N5011">
        <v>1</v>
      </c>
      <c r="O5011" s="3">
        <v>74950</v>
      </c>
      <c r="P5011" s="3">
        <v>26729</v>
      </c>
      <c r="Q5011" s="5">
        <f t="shared" si="234"/>
        <v>62983.193277310929</v>
      </c>
      <c r="R5011" s="5">
        <f t="shared" si="235"/>
        <v>26729</v>
      </c>
      <c r="S5011" s="5">
        <f t="shared" si="236"/>
        <v>36254.193277310929</v>
      </c>
    </row>
    <row r="5012" spans="1:19" hidden="1" x14ac:dyDescent="0.3">
      <c r="A5012">
        <v>190</v>
      </c>
      <c r="B5012" t="s">
        <v>5801</v>
      </c>
      <c r="C5012" t="s">
        <v>1761</v>
      </c>
      <c r="D5012" s="2" t="s">
        <v>1762</v>
      </c>
      <c r="E5012" t="s">
        <v>1763</v>
      </c>
      <c r="F5012" t="s">
        <v>377</v>
      </c>
      <c r="G5012" t="s">
        <v>21</v>
      </c>
      <c r="H5012" t="s">
        <v>378</v>
      </c>
      <c r="I5012" t="s">
        <v>23</v>
      </c>
      <c r="J5012" t="s">
        <v>379</v>
      </c>
      <c r="K5012" s="2" t="s">
        <v>1450</v>
      </c>
      <c r="L5012" t="s">
        <v>26</v>
      </c>
      <c r="M5012">
        <v>326787</v>
      </c>
      <c r="N5012">
        <v>1</v>
      </c>
      <c r="O5012" s="3">
        <v>5950</v>
      </c>
      <c r="P5012" s="3">
        <v>3279</v>
      </c>
      <c r="Q5012" s="5">
        <f t="shared" si="234"/>
        <v>5000</v>
      </c>
      <c r="R5012" s="5">
        <f t="shared" si="235"/>
        <v>3279</v>
      </c>
      <c r="S5012" s="5">
        <f t="shared" si="236"/>
        <v>1721</v>
      </c>
    </row>
    <row r="5013" spans="1:19" hidden="1" x14ac:dyDescent="0.3">
      <c r="A5013">
        <v>190</v>
      </c>
      <c r="B5013" t="s">
        <v>5801</v>
      </c>
      <c r="C5013" t="s">
        <v>2957</v>
      </c>
      <c r="D5013" s="2" t="s">
        <v>2958</v>
      </c>
      <c r="E5013" t="s">
        <v>2959</v>
      </c>
      <c r="F5013" t="s">
        <v>20</v>
      </c>
      <c r="G5013" t="s">
        <v>338</v>
      </c>
      <c r="H5013">
        <v>25529</v>
      </c>
      <c r="I5013" t="s">
        <v>23</v>
      </c>
      <c r="J5013" t="s">
        <v>31</v>
      </c>
      <c r="K5013" s="2" t="s">
        <v>1450</v>
      </c>
      <c r="L5013" t="s">
        <v>26</v>
      </c>
      <c r="M5013">
        <v>326788</v>
      </c>
      <c r="N5013">
        <v>1</v>
      </c>
      <c r="O5013" s="3">
        <v>149950</v>
      </c>
      <c r="P5013" s="3">
        <v>50690</v>
      </c>
      <c r="Q5013" s="5">
        <f t="shared" si="234"/>
        <v>126008.40336134455</v>
      </c>
      <c r="R5013" s="5">
        <f t="shared" si="235"/>
        <v>50690</v>
      </c>
      <c r="S5013" s="5">
        <f t="shared" si="236"/>
        <v>75318.40336134455</v>
      </c>
    </row>
    <row r="5014" spans="1:19" hidden="1" x14ac:dyDescent="0.3">
      <c r="A5014">
        <v>190</v>
      </c>
      <c r="B5014" t="s">
        <v>5801</v>
      </c>
      <c r="C5014" t="s">
        <v>3341</v>
      </c>
      <c r="D5014" s="2" t="s">
        <v>3342</v>
      </c>
      <c r="E5014" t="s">
        <v>2661</v>
      </c>
      <c r="F5014" t="s">
        <v>20</v>
      </c>
      <c r="G5014" t="s">
        <v>21</v>
      </c>
      <c r="H5014" t="s">
        <v>317</v>
      </c>
      <c r="I5014" t="s">
        <v>23</v>
      </c>
      <c r="J5014" t="s">
        <v>35</v>
      </c>
      <c r="K5014" s="2" t="s">
        <v>1450</v>
      </c>
      <c r="L5014" t="s">
        <v>26</v>
      </c>
      <c r="M5014">
        <v>326789</v>
      </c>
      <c r="N5014">
        <v>-1</v>
      </c>
      <c r="O5014" s="3">
        <v>-69950</v>
      </c>
      <c r="P5014" s="3">
        <v>25924</v>
      </c>
      <c r="Q5014" s="5">
        <f t="shared" si="234"/>
        <v>-58781.512605042022</v>
      </c>
      <c r="R5014" s="5">
        <f t="shared" si="235"/>
        <v>-25924</v>
      </c>
      <c r="S5014" s="5">
        <f t="shared" si="236"/>
        <v>-32857.512605042022</v>
      </c>
    </row>
    <row r="5015" spans="1:19" hidden="1" x14ac:dyDescent="0.3">
      <c r="A5015">
        <v>190</v>
      </c>
      <c r="B5015" t="s">
        <v>5801</v>
      </c>
      <c r="C5015" t="s">
        <v>3220</v>
      </c>
      <c r="D5015" s="2" t="s">
        <v>3221</v>
      </c>
      <c r="E5015" t="s">
        <v>2661</v>
      </c>
      <c r="F5015" t="s">
        <v>20</v>
      </c>
      <c r="G5015" t="s">
        <v>21</v>
      </c>
      <c r="H5015" t="s">
        <v>317</v>
      </c>
      <c r="I5015" t="s">
        <v>23</v>
      </c>
      <c r="J5015" t="s">
        <v>35</v>
      </c>
      <c r="K5015" s="2" t="s">
        <v>1450</v>
      </c>
      <c r="L5015" t="s">
        <v>26</v>
      </c>
      <c r="M5015">
        <v>326789</v>
      </c>
      <c r="N5015">
        <v>1</v>
      </c>
      <c r="O5015" s="3">
        <v>69951</v>
      </c>
      <c r="P5015" s="3">
        <v>26119</v>
      </c>
      <c r="Q5015" s="5">
        <f t="shared" si="234"/>
        <v>58782.352941176476</v>
      </c>
      <c r="R5015" s="5">
        <f t="shared" si="235"/>
        <v>26119</v>
      </c>
      <c r="S5015" s="5">
        <f t="shared" si="236"/>
        <v>32663.352941176476</v>
      </c>
    </row>
    <row r="5016" spans="1:19" hidden="1" x14ac:dyDescent="0.3">
      <c r="A5016">
        <v>190</v>
      </c>
      <c r="B5016" t="s">
        <v>5801</v>
      </c>
      <c r="C5016" t="s">
        <v>314</v>
      </c>
      <c r="D5016" s="2" t="s">
        <v>315</v>
      </c>
      <c r="E5016" t="s">
        <v>316</v>
      </c>
      <c r="F5016" t="s">
        <v>20</v>
      </c>
      <c r="G5016" t="s">
        <v>21</v>
      </c>
      <c r="H5016" t="s">
        <v>317</v>
      </c>
      <c r="I5016" t="s">
        <v>23</v>
      </c>
      <c r="J5016" t="s">
        <v>35</v>
      </c>
      <c r="K5016" s="2" t="s">
        <v>1450</v>
      </c>
      <c r="L5016" t="s">
        <v>26</v>
      </c>
      <c r="M5016">
        <v>326790</v>
      </c>
      <c r="N5016">
        <v>1</v>
      </c>
      <c r="O5016" s="3">
        <v>69950</v>
      </c>
      <c r="P5016" s="3">
        <v>24517</v>
      </c>
      <c r="Q5016" s="5">
        <f t="shared" si="234"/>
        <v>58781.512605042022</v>
      </c>
      <c r="R5016" s="5">
        <f t="shared" si="235"/>
        <v>24517</v>
      </c>
      <c r="S5016" s="5">
        <f t="shared" si="236"/>
        <v>34264.512605042022</v>
      </c>
    </row>
    <row r="5017" spans="1:19" hidden="1" x14ac:dyDescent="0.3">
      <c r="A5017">
        <v>190</v>
      </c>
      <c r="B5017" t="s">
        <v>5801</v>
      </c>
      <c r="C5017" t="s">
        <v>1328</v>
      </c>
      <c r="D5017" s="2" t="s">
        <v>1329</v>
      </c>
      <c r="E5017" t="s">
        <v>1330</v>
      </c>
      <c r="F5017" t="s">
        <v>20</v>
      </c>
      <c r="G5017" t="s">
        <v>338</v>
      </c>
      <c r="H5017">
        <v>25133</v>
      </c>
      <c r="I5017" t="s">
        <v>23</v>
      </c>
      <c r="J5017" t="s">
        <v>35</v>
      </c>
      <c r="K5017" s="2" t="s">
        <v>1450</v>
      </c>
      <c r="L5017" t="s">
        <v>26</v>
      </c>
      <c r="M5017">
        <v>326791</v>
      </c>
      <c r="N5017">
        <v>1</v>
      </c>
      <c r="O5017" s="3">
        <v>74950</v>
      </c>
      <c r="P5017" s="3">
        <v>21167</v>
      </c>
      <c r="Q5017" s="5">
        <f t="shared" si="234"/>
        <v>62983.193277310929</v>
      </c>
      <c r="R5017" s="5">
        <f t="shared" si="235"/>
        <v>21167</v>
      </c>
      <c r="S5017" s="5">
        <f t="shared" si="236"/>
        <v>41816.193277310929</v>
      </c>
    </row>
    <row r="5018" spans="1:19" hidden="1" x14ac:dyDescent="0.3">
      <c r="A5018">
        <v>190</v>
      </c>
      <c r="B5018" t="s">
        <v>5801</v>
      </c>
      <c r="C5018" t="s">
        <v>1063</v>
      </c>
      <c r="D5018" s="2" t="s">
        <v>1064</v>
      </c>
      <c r="E5018" t="s">
        <v>1065</v>
      </c>
      <c r="F5018" t="s">
        <v>20</v>
      </c>
      <c r="G5018" t="s">
        <v>21</v>
      </c>
      <c r="H5018" t="s">
        <v>1066</v>
      </c>
      <c r="I5018" t="s">
        <v>23</v>
      </c>
      <c r="J5018" t="s">
        <v>49</v>
      </c>
      <c r="K5018" s="2" t="s">
        <v>1525</v>
      </c>
      <c r="L5018" t="s">
        <v>2249</v>
      </c>
      <c r="M5018">
        <v>25396</v>
      </c>
      <c r="N5018">
        <v>-1</v>
      </c>
      <c r="O5018" s="3">
        <v>-39990</v>
      </c>
      <c r="P5018" s="3">
        <v>25989</v>
      </c>
      <c r="Q5018" s="5">
        <f t="shared" si="234"/>
        <v>-33605.042016806721</v>
      </c>
      <c r="R5018" s="5">
        <f t="shared" si="235"/>
        <v>-25989</v>
      </c>
      <c r="S5018" s="5">
        <f t="shared" si="236"/>
        <v>-7616.0420168067212</v>
      </c>
    </row>
    <row r="5019" spans="1:19" hidden="1" x14ac:dyDescent="0.3">
      <c r="A5019">
        <v>190</v>
      </c>
      <c r="B5019" t="s">
        <v>5801</v>
      </c>
      <c r="C5019" t="s">
        <v>1169</v>
      </c>
      <c r="D5019" s="2" t="s">
        <v>1170</v>
      </c>
      <c r="E5019" t="s">
        <v>1171</v>
      </c>
      <c r="F5019" t="s">
        <v>20</v>
      </c>
      <c r="G5019" t="s">
        <v>21</v>
      </c>
      <c r="H5019" t="s">
        <v>500</v>
      </c>
      <c r="I5019" t="s">
        <v>23</v>
      </c>
      <c r="J5019" t="s">
        <v>40</v>
      </c>
      <c r="K5019" s="2" t="s">
        <v>1525</v>
      </c>
      <c r="L5019" t="s">
        <v>26</v>
      </c>
      <c r="M5019">
        <v>326792</v>
      </c>
      <c r="N5019">
        <v>1</v>
      </c>
      <c r="O5019" s="3">
        <v>59950</v>
      </c>
      <c r="P5019" s="3">
        <v>17416</v>
      </c>
      <c r="Q5019" s="5">
        <f t="shared" si="234"/>
        <v>50378.151260504201</v>
      </c>
      <c r="R5019" s="5">
        <f t="shared" si="235"/>
        <v>17416</v>
      </c>
      <c r="S5019" s="5">
        <f t="shared" si="236"/>
        <v>32962.151260504201</v>
      </c>
    </row>
    <row r="5020" spans="1:19" hidden="1" x14ac:dyDescent="0.3">
      <c r="A5020">
        <v>190</v>
      </c>
      <c r="B5020" t="s">
        <v>5801</v>
      </c>
      <c r="C5020" t="s">
        <v>5960</v>
      </c>
      <c r="D5020" s="2" t="s">
        <v>5961</v>
      </c>
      <c r="E5020" t="s">
        <v>2686</v>
      </c>
      <c r="F5020" t="s">
        <v>20</v>
      </c>
      <c r="G5020" t="s">
        <v>21</v>
      </c>
      <c r="H5020" t="s">
        <v>48</v>
      </c>
      <c r="I5020" t="s">
        <v>23</v>
      </c>
      <c r="J5020" t="s">
        <v>49</v>
      </c>
      <c r="K5020" s="2" t="s">
        <v>1525</v>
      </c>
      <c r="L5020" t="s">
        <v>26</v>
      </c>
      <c r="M5020">
        <v>326793</v>
      </c>
      <c r="N5020">
        <v>-1</v>
      </c>
      <c r="O5020" s="3">
        <v>-39990</v>
      </c>
      <c r="P5020" s="3">
        <v>26781</v>
      </c>
      <c r="Q5020" s="5">
        <f t="shared" si="234"/>
        <v>-33605.042016806721</v>
      </c>
      <c r="R5020" s="5">
        <f t="shared" si="235"/>
        <v>-26781</v>
      </c>
      <c r="S5020" s="5">
        <f t="shared" si="236"/>
        <v>-6824.0420168067212</v>
      </c>
    </row>
    <row r="5021" spans="1:19" hidden="1" x14ac:dyDescent="0.3">
      <c r="A5021">
        <v>190</v>
      </c>
      <c r="B5021" t="s">
        <v>5801</v>
      </c>
      <c r="C5021" t="s">
        <v>3059</v>
      </c>
      <c r="D5021" s="2" t="s">
        <v>3060</v>
      </c>
      <c r="E5021" t="s">
        <v>3061</v>
      </c>
      <c r="F5021" t="s">
        <v>20</v>
      </c>
      <c r="G5021" t="s">
        <v>21</v>
      </c>
      <c r="H5021" t="s">
        <v>2315</v>
      </c>
      <c r="I5021" t="s">
        <v>23</v>
      </c>
      <c r="J5021" t="s">
        <v>49</v>
      </c>
      <c r="K5021" s="2" t="s">
        <v>1525</v>
      </c>
      <c r="L5021" t="s">
        <v>26</v>
      </c>
      <c r="M5021">
        <v>326793</v>
      </c>
      <c r="N5021">
        <v>1</v>
      </c>
      <c r="O5021" s="3">
        <v>74950</v>
      </c>
      <c r="P5021" s="3">
        <v>29090</v>
      </c>
      <c r="Q5021" s="5">
        <f t="shared" si="234"/>
        <v>62983.193277310929</v>
      </c>
      <c r="R5021" s="5">
        <f t="shared" si="235"/>
        <v>29090</v>
      </c>
      <c r="S5021" s="5">
        <f t="shared" si="236"/>
        <v>33893.193277310929</v>
      </c>
    </row>
    <row r="5022" spans="1:19" hidden="1" x14ac:dyDescent="0.3">
      <c r="A5022">
        <v>190</v>
      </c>
      <c r="B5022" t="s">
        <v>5801</v>
      </c>
      <c r="C5022" t="s">
        <v>5976</v>
      </c>
      <c r="D5022" s="2" t="s">
        <v>5977</v>
      </c>
      <c r="E5022" t="s">
        <v>526</v>
      </c>
      <c r="F5022" t="s">
        <v>20</v>
      </c>
      <c r="G5022" t="s">
        <v>21</v>
      </c>
      <c r="H5022" t="s">
        <v>527</v>
      </c>
      <c r="I5022" t="s">
        <v>23</v>
      </c>
      <c r="J5022" t="s">
        <v>35</v>
      </c>
      <c r="K5022" s="2" t="s">
        <v>1525</v>
      </c>
      <c r="L5022" t="s">
        <v>26</v>
      </c>
      <c r="M5022">
        <v>326794</v>
      </c>
      <c r="N5022">
        <v>1</v>
      </c>
      <c r="O5022" s="3">
        <v>84950</v>
      </c>
      <c r="P5022" s="3">
        <v>34618</v>
      </c>
      <c r="Q5022" s="5">
        <f t="shared" si="234"/>
        <v>71386.554621848743</v>
      </c>
      <c r="R5022" s="5">
        <f t="shared" si="235"/>
        <v>34618</v>
      </c>
      <c r="S5022" s="5">
        <f t="shared" si="236"/>
        <v>36768.554621848743</v>
      </c>
    </row>
    <row r="5023" spans="1:19" hidden="1" x14ac:dyDescent="0.3">
      <c r="A5023">
        <v>190</v>
      </c>
      <c r="B5023" t="s">
        <v>5801</v>
      </c>
      <c r="C5023" t="s">
        <v>4239</v>
      </c>
      <c r="D5023" s="2" t="s">
        <v>4240</v>
      </c>
      <c r="E5023" t="s">
        <v>2539</v>
      </c>
      <c r="F5023" t="s">
        <v>20</v>
      </c>
      <c r="G5023" t="s">
        <v>21</v>
      </c>
      <c r="H5023" t="s">
        <v>966</v>
      </c>
      <c r="I5023" t="s">
        <v>23</v>
      </c>
      <c r="J5023" t="s">
        <v>35</v>
      </c>
      <c r="K5023" s="2" t="s">
        <v>1525</v>
      </c>
      <c r="L5023" t="s">
        <v>26</v>
      </c>
      <c r="M5023">
        <v>326795</v>
      </c>
      <c r="N5023">
        <v>1</v>
      </c>
      <c r="O5023" s="3">
        <v>63700</v>
      </c>
      <c r="P5023" s="3">
        <v>26729</v>
      </c>
      <c r="Q5023" s="5">
        <f t="shared" si="234"/>
        <v>53529.411764705888</v>
      </c>
      <c r="R5023" s="5">
        <f t="shared" si="235"/>
        <v>26729</v>
      </c>
      <c r="S5023" s="5">
        <f t="shared" si="236"/>
        <v>26800.411764705888</v>
      </c>
    </row>
    <row r="5024" spans="1:19" hidden="1" x14ac:dyDescent="0.3">
      <c r="A5024">
        <v>190</v>
      </c>
      <c r="B5024" t="s">
        <v>5801</v>
      </c>
      <c r="C5024" t="s">
        <v>3396</v>
      </c>
      <c r="D5024" s="2" t="s">
        <v>3397</v>
      </c>
      <c r="E5024" t="s">
        <v>494</v>
      </c>
      <c r="F5024" t="s">
        <v>20</v>
      </c>
      <c r="G5024" t="s">
        <v>21</v>
      </c>
      <c r="H5024" t="s">
        <v>317</v>
      </c>
      <c r="I5024" t="s">
        <v>23</v>
      </c>
      <c r="J5024" t="s">
        <v>35</v>
      </c>
      <c r="K5024" s="2" t="s">
        <v>1525</v>
      </c>
      <c r="L5024" t="s">
        <v>26</v>
      </c>
      <c r="M5024">
        <v>326795</v>
      </c>
      <c r="N5024">
        <v>1</v>
      </c>
      <c r="O5024" s="3">
        <v>69950</v>
      </c>
      <c r="P5024" s="3">
        <v>23619</v>
      </c>
      <c r="Q5024" s="5">
        <f t="shared" si="234"/>
        <v>58781.512605042022</v>
      </c>
      <c r="R5024" s="5">
        <f t="shared" si="235"/>
        <v>23619</v>
      </c>
      <c r="S5024" s="5">
        <f t="shared" si="236"/>
        <v>35162.512605042022</v>
      </c>
    </row>
    <row r="5025" spans="1:19" hidden="1" x14ac:dyDescent="0.3">
      <c r="A5025">
        <v>190</v>
      </c>
      <c r="B5025" t="s">
        <v>5801</v>
      </c>
      <c r="C5025" t="s">
        <v>5978</v>
      </c>
      <c r="D5025" s="2" t="s">
        <v>5979</v>
      </c>
      <c r="E5025" t="s">
        <v>485</v>
      </c>
      <c r="F5025" t="s">
        <v>20</v>
      </c>
      <c r="G5025" t="s">
        <v>21</v>
      </c>
      <c r="H5025" t="s">
        <v>247</v>
      </c>
      <c r="I5025" t="s">
        <v>23</v>
      </c>
      <c r="J5025" t="s">
        <v>40</v>
      </c>
      <c r="K5025" s="2" t="s">
        <v>1525</v>
      </c>
      <c r="L5025" t="s">
        <v>26</v>
      </c>
      <c r="M5025">
        <v>326796</v>
      </c>
      <c r="N5025">
        <v>1</v>
      </c>
      <c r="O5025" s="3">
        <v>34990</v>
      </c>
      <c r="P5025" s="3">
        <v>16727</v>
      </c>
      <c r="Q5025" s="5">
        <f t="shared" si="234"/>
        <v>29403.361344537818</v>
      </c>
      <c r="R5025" s="5">
        <f t="shared" si="235"/>
        <v>16727</v>
      </c>
      <c r="S5025" s="5">
        <f t="shared" si="236"/>
        <v>12676.361344537818</v>
      </c>
    </row>
    <row r="5026" spans="1:19" hidden="1" x14ac:dyDescent="0.3">
      <c r="A5026">
        <v>190</v>
      </c>
      <c r="B5026" t="s">
        <v>5801</v>
      </c>
      <c r="C5026" t="s">
        <v>5980</v>
      </c>
      <c r="D5026" s="2" t="s">
        <v>5981</v>
      </c>
      <c r="E5026" t="s">
        <v>5323</v>
      </c>
      <c r="F5026" t="s">
        <v>20</v>
      </c>
      <c r="G5026" t="s">
        <v>338</v>
      </c>
      <c r="H5026">
        <v>25908</v>
      </c>
      <c r="I5026" t="s">
        <v>23</v>
      </c>
      <c r="J5026" t="s">
        <v>35</v>
      </c>
      <c r="K5026" s="2" t="s">
        <v>1525</v>
      </c>
      <c r="L5026" t="s">
        <v>26</v>
      </c>
      <c r="M5026">
        <v>326797</v>
      </c>
      <c r="N5026">
        <v>1</v>
      </c>
      <c r="O5026" s="3">
        <v>89950</v>
      </c>
      <c r="P5026" s="3">
        <v>27207</v>
      </c>
      <c r="Q5026" s="5">
        <f t="shared" si="234"/>
        <v>75588.23529411765</v>
      </c>
      <c r="R5026" s="5">
        <f t="shared" si="235"/>
        <v>27207</v>
      </c>
      <c r="S5026" s="5">
        <f t="shared" si="236"/>
        <v>48381.23529411765</v>
      </c>
    </row>
    <row r="5027" spans="1:19" hidden="1" x14ac:dyDescent="0.3">
      <c r="A5027">
        <v>190</v>
      </c>
      <c r="B5027" t="s">
        <v>5801</v>
      </c>
      <c r="C5027" t="s">
        <v>5499</v>
      </c>
      <c r="D5027" s="2" t="s">
        <v>5500</v>
      </c>
      <c r="E5027" t="s">
        <v>3175</v>
      </c>
      <c r="F5027" t="s">
        <v>20</v>
      </c>
      <c r="G5027" t="s">
        <v>21</v>
      </c>
      <c r="H5027" t="s">
        <v>625</v>
      </c>
      <c r="I5027" t="s">
        <v>23</v>
      </c>
      <c r="J5027" t="s">
        <v>35</v>
      </c>
      <c r="K5027" s="2" t="s">
        <v>1525</v>
      </c>
      <c r="L5027" t="s">
        <v>26</v>
      </c>
      <c r="M5027">
        <v>326798</v>
      </c>
      <c r="N5027">
        <v>1</v>
      </c>
      <c r="O5027" s="3">
        <v>69950</v>
      </c>
      <c r="P5027" s="3">
        <v>24956</v>
      </c>
      <c r="Q5027" s="5">
        <f t="shared" si="234"/>
        <v>58781.512605042022</v>
      </c>
      <c r="R5027" s="5">
        <f t="shared" si="235"/>
        <v>24956</v>
      </c>
      <c r="S5027" s="5">
        <f t="shared" si="236"/>
        <v>33825.512605042022</v>
      </c>
    </row>
    <row r="5028" spans="1:19" hidden="1" x14ac:dyDescent="0.3">
      <c r="A5028">
        <v>190</v>
      </c>
      <c r="B5028" t="s">
        <v>5801</v>
      </c>
      <c r="C5028" t="s">
        <v>4224</v>
      </c>
      <c r="D5028" s="2" t="s">
        <v>4225</v>
      </c>
      <c r="E5028" t="s">
        <v>4226</v>
      </c>
      <c r="F5028" t="s">
        <v>20</v>
      </c>
      <c r="G5028" t="s">
        <v>21</v>
      </c>
      <c r="H5028" t="s">
        <v>2189</v>
      </c>
      <c r="I5028" t="s">
        <v>23</v>
      </c>
      <c r="J5028" t="s">
        <v>40</v>
      </c>
      <c r="K5028" s="2" t="s">
        <v>1525</v>
      </c>
      <c r="L5028" t="s">
        <v>26</v>
      </c>
      <c r="M5028">
        <v>326799</v>
      </c>
      <c r="N5028">
        <v>1</v>
      </c>
      <c r="O5028" s="3">
        <v>74950</v>
      </c>
      <c r="P5028" s="3">
        <v>27728</v>
      </c>
      <c r="Q5028" s="5">
        <f t="shared" si="234"/>
        <v>62983.193277310929</v>
      </c>
      <c r="R5028" s="5">
        <f t="shared" si="235"/>
        <v>27728</v>
      </c>
      <c r="S5028" s="5">
        <f t="shared" si="236"/>
        <v>35255.193277310929</v>
      </c>
    </row>
    <row r="5029" spans="1:19" hidden="1" x14ac:dyDescent="0.3">
      <c r="A5029">
        <v>190</v>
      </c>
      <c r="B5029" t="s">
        <v>5801</v>
      </c>
      <c r="C5029" t="s">
        <v>5960</v>
      </c>
      <c r="D5029" s="2" t="s">
        <v>5961</v>
      </c>
      <c r="E5029" t="s">
        <v>2686</v>
      </c>
      <c r="F5029" t="s">
        <v>20</v>
      </c>
      <c r="G5029" t="s">
        <v>21</v>
      </c>
      <c r="H5029" t="s">
        <v>48</v>
      </c>
      <c r="I5029" t="s">
        <v>23</v>
      </c>
      <c r="J5029" t="s">
        <v>49</v>
      </c>
      <c r="K5029" s="2" t="s">
        <v>1525</v>
      </c>
      <c r="L5029" t="s">
        <v>26</v>
      </c>
      <c r="M5029">
        <v>326800</v>
      </c>
      <c r="N5029">
        <v>1</v>
      </c>
      <c r="O5029" s="3">
        <v>39990</v>
      </c>
      <c r="P5029" s="3">
        <v>26781</v>
      </c>
      <c r="Q5029" s="5">
        <f t="shared" si="234"/>
        <v>33605.042016806721</v>
      </c>
      <c r="R5029" s="5">
        <f t="shared" si="235"/>
        <v>26781</v>
      </c>
      <c r="S5029" s="5">
        <f t="shared" si="236"/>
        <v>6824.0420168067212</v>
      </c>
    </row>
    <row r="5030" spans="1:19" hidden="1" x14ac:dyDescent="0.3">
      <c r="A5030">
        <v>190</v>
      </c>
      <c r="B5030" t="s">
        <v>5801</v>
      </c>
      <c r="C5030" t="s">
        <v>5982</v>
      </c>
      <c r="D5030" s="2" t="s">
        <v>5983</v>
      </c>
      <c r="E5030" t="s">
        <v>5984</v>
      </c>
      <c r="F5030" t="s">
        <v>20</v>
      </c>
      <c r="G5030" t="s">
        <v>21</v>
      </c>
      <c r="H5030" t="s">
        <v>30</v>
      </c>
      <c r="I5030" t="s">
        <v>23</v>
      </c>
      <c r="J5030" t="s">
        <v>49</v>
      </c>
      <c r="K5030" s="2" t="s">
        <v>1525</v>
      </c>
      <c r="L5030" t="s">
        <v>26</v>
      </c>
      <c r="M5030">
        <v>326801</v>
      </c>
      <c r="N5030">
        <v>1</v>
      </c>
      <c r="O5030" s="3">
        <v>59450</v>
      </c>
      <c r="P5030" s="3">
        <v>24364</v>
      </c>
      <c r="Q5030" s="5">
        <f t="shared" si="234"/>
        <v>49957.983193277316</v>
      </c>
      <c r="R5030" s="5">
        <f t="shared" si="235"/>
        <v>24364</v>
      </c>
      <c r="S5030" s="5">
        <f t="shared" si="236"/>
        <v>25593.983193277316</v>
      </c>
    </row>
    <row r="5031" spans="1:19" hidden="1" x14ac:dyDescent="0.3">
      <c r="A5031">
        <v>190</v>
      </c>
      <c r="B5031" t="s">
        <v>5801</v>
      </c>
      <c r="C5031" t="s">
        <v>4089</v>
      </c>
      <c r="D5031" s="2" t="s">
        <v>4090</v>
      </c>
      <c r="E5031" t="s">
        <v>2741</v>
      </c>
      <c r="F5031" t="s">
        <v>20</v>
      </c>
      <c r="G5031" t="s">
        <v>21</v>
      </c>
      <c r="H5031" t="s">
        <v>2494</v>
      </c>
      <c r="I5031" t="s">
        <v>23</v>
      </c>
      <c r="J5031" t="s">
        <v>40</v>
      </c>
      <c r="K5031" s="2" t="s">
        <v>1525</v>
      </c>
      <c r="L5031" t="s">
        <v>26</v>
      </c>
      <c r="M5031">
        <v>326801</v>
      </c>
      <c r="N5031">
        <v>1</v>
      </c>
      <c r="O5031" s="3">
        <v>69950</v>
      </c>
      <c r="P5031" s="3">
        <v>23470</v>
      </c>
      <c r="Q5031" s="5">
        <f t="shared" si="234"/>
        <v>58781.512605042022</v>
      </c>
      <c r="R5031" s="5">
        <f t="shared" si="235"/>
        <v>23470</v>
      </c>
      <c r="S5031" s="5">
        <f t="shared" si="236"/>
        <v>35311.512605042022</v>
      </c>
    </row>
    <row r="5032" spans="1:19" hidden="1" x14ac:dyDescent="0.3">
      <c r="A5032">
        <v>190</v>
      </c>
      <c r="B5032" t="s">
        <v>5801</v>
      </c>
      <c r="C5032" t="s">
        <v>5985</v>
      </c>
      <c r="D5032" s="2" t="s">
        <v>5986</v>
      </c>
      <c r="E5032" t="s">
        <v>1491</v>
      </c>
      <c r="F5032" t="s">
        <v>20</v>
      </c>
      <c r="G5032" t="s">
        <v>21</v>
      </c>
      <c r="H5032" t="s">
        <v>610</v>
      </c>
      <c r="I5032" t="s">
        <v>23</v>
      </c>
      <c r="J5032" t="s">
        <v>40</v>
      </c>
      <c r="K5032" s="2" t="s">
        <v>1525</v>
      </c>
      <c r="L5032" t="s">
        <v>26</v>
      </c>
      <c r="M5032">
        <v>326802</v>
      </c>
      <c r="N5032">
        <v>1</v>
      </c>
      <c r="O5032" s="3">
        <v>34990</v>
      </c>
      <c r="P5032" s="3">
        <v>14680</v>
      </c>
      <c r="Q5032" s="5">
        <f t="shared" si="234"/>
        <v>29403.361344537818</v>
      </c>
      <c r="R5032" s="5">
        <f t="shared" si="235"/>
        <v>14680</v>
      </c>
      <c r="S5032" s="5">
        <f t="shared" si="236"/>
        <v>14723.361344537818</v>
      </c>
    </row>
    <row r="5033" spans="1:19" hidden="1" x14ac:dyDescent="0.3">
      <c r="A5033">
        <v>190</v>
      </c>
      <c r="B5033" t="s">
        <v>5801</v>
      </c>
      <c r="C5033" t="s">
        <v>3023</v>
      </c>
      <c r="D5033" s="2" t="s">
        <v>3024</v>
      </c>
      <c r="E5033" t="s">
        <v>938</v>
      </c>
      <c r="F5033" t="s">
        <v>20</v>
      </c>
      <c r="G5033" t="s">
        <v>21</v>
      </c>
      <c r="H5033" t="s">
        <v>317</v>
      </c>
      <c r="I5033" t="s">
        <v>23</v>
      </c>
      <c r="J5033" t="s">
        <v>35</v>
      </c>
      <c r="K5033" s="2" t="s">
        <v>1525</v>
      </c>
      <c r="L5033" t="s">
        <v>26</v>
      </c>
      <c r="M5033">
        <v>326803</v>
      </c>
      <c r="N5033">
        <v>1</v>
      </c>
      <c r="O5033" s="3">
        <v>69950</v>
      </c>
      <c r="P5033" s="3">
        <v>26455</v>
      </c>
      <c r="Q5033" s="5">
        <f t="shared" si="234"/>
        <v>58781.512605042022</v>
      </c>
      <c r="R5033" s="5">
        <f t="shared" si="235"/>
        <v>26455</v>
      </c>
      <c r="S5033" s="5">
        <f t="shared" si="236"/>
        <v>32326.512605042022</v>
      </c>
    </row>
    <row r="5034" spans="1:19" hidden="1" x14ac:dyDescent="0.3">
      <c r="A5034">
        <v>190</v>
      </c>
      <c r="B5034" t="s">
        <v>5801</v>
      </c>
      <c r="C5034" t="s">
        <v>5987</v>
      </c>
      <c r="D5034" s="2" t="s">
        <v>5988</v>
      </c>
      <c r="E5034" t="s">
        <v>3893</v>
      </c>
      <c r="F5034" t="s">
        <v>20</v>
      </c>
      <c r="G5034" t="s">
        <v>21</v>
      </c>
      <c r="H5034" t="s">
        <v>2364</v>
      </c>
      <c r="I5034" t="s">
        <v>23</v>
      </c>
      <c r="J5034" t="s">
        <v>40</v>
      </c>
      <c r="K5034" s="2" t="s">
        <v>1525</v>
      </c>
      <c r="L5034" t="s">
        <v>26</v>
      </c>
      <c r="M5034">
        <v>326804</v>
      </c>
      <c r="N5034">
        <v>1</v>
      </c>
      <c r="O5034" s="3">
        <v>39990</v>
      </c>
      <c r="P5034" s="3">
        <v>30471</v>
      </c>
      <c r="Q5034" s="5">
        <f t="shared" si="234"/>
        <v>33605.042016806721</v>
      </c>
      <c r="R5034" s="5">
        <f t="shared" si="235"/>
        <v>30471</v>
      </c>
      <c r="S5034" s="5">
        <f t="shared" si="236"/>
        <v>3134.0420168067212</v>
      </c>
    </row>
    <row r="5035" spans="1:19" hidden="1" x14ac:dyDescent="0.3">
      <c r="A5035">
        <v>190</v>
      </c>
      <c r="B5035" t="s">
        <v>5801</v>
      </c>
      <c r="C5035" t="s">
        <v>1037</v>
      </c>
      <c r="D5035" s="2" t="s">
        <v>1038</v>
      </c>
      <c r="E5035" t="s">
        <v>1039</v>
      </c>
      <c r="F5035" t="s">
        <v>377</v>
      </c>
      <c r="G5035" t="s">
        <v>21</v>
      </c>
      <c r="H5035" t="s">
        <v>378</v>
      </c>
      <c r="I5035" t="s">
        <v>23</v>
      </c>
      <c r="J5035" t="s">
        <v>379</v>
      </c>
      <c r="K5035" s="2" t="s">
        <v>1525</v>
      </c>
      <c r="L5035" t="s">
        <v>26</v>
      </c>
      <c r="M5035">
        <v>326805</v>
      </c>
      <c r="N5035">
        <v>1</v>
      </c>
      <c r="O5035" s="3">
        <v>5950</v>
      </c>
      <c r="P5035" s="3">
        <v>3257</v>
      </c>
      <c r="Q5035" s="5">
        <f t="shared" si="234"/>
        <v>5000</v>
      </c>
      <c r="R5035" s="5">
        <f t="shared" si="235"/>
        <v>3257</v>
      </c>
      <c r="S5035" s="5">
        <f t="shared" si="236"/>
        <v>1743</v>
      </c>
    </row>
    <row r="5036" spans="1:19" hidden="1" x14ac:dyDescent="0.3">
      <c r="A5036">
        <v>190</v>
      </c>
      <c r="B5036" t="s">
        <v>5801</v>
      </c>
      <c r="C5036" t="s">
        <v>5229</v>
      </c>
      <c r="D5036" s="2" t="s">
        <v>5230</v>
      </c>
      <c r="E5036" t="s">
        <v>3016</v>
      </c>
      <c r="F5036" t="s">
        <v>20</v>
      </c>
      <c r="G5036" t="s">
        <v>338</v>
      </c>
      <c r="H5036">
        <v>25301</v>
      </c>
      <c r="I5036" t="s">
        <v>23</v>
      </c>
      <c r="J5036" t="s">
        <v>35</v>
      </c>
      <c r="K5036" s="2" t="s">
        <v>1525</v>
      </c>
      <c r="L5036" t="s">
        <v>26</v>
      </c>
      <c r="M5036">
        <v>326806</v>
      </c>
      <c r="N5036">
        <v>1</v>
      </c>
      <c r="O5036" s="3">
        <v>99950</v>
      </c>
      <c r="P5036" s="3">
        <v>34679</v>
      </c>
      <c r="Q5036" s="5">
        <f t="shared" si="234"/>
        <v>83991.596638655465</v>
      </c>
      <c r="R5036" s="5">
        <f t="shared" si="235"/>
        <v>34679</v>
      </c>
      <c r="S5036" s="5">
        <f t="shared" si="236"/>
        <v>49312.596638655465</v>
      </c>
    </row>
    <row r="5037" spans="1:19" hidden="1" x14ac:dyDescent="0.3">
      <c r="A5037">
        <v>190</v>
      </c>
      <c r="B5037" t="s">
        <v>5801</v>
      </c>
      <c r="C5037" t="s">
        <v>2700</v>
      </c>
      <c r="D5037" s="2" t="s">
        <v>2701</v>
      </c>
      <c r="E5037" t="s">
        <v>2702</v>
      </c>
      <c r="F5037" t="s">
        <v>20</v>
      </c>
      <c r="G5037" t="s">
        <v>21</v>
      </c>
      <c r="H5037" t="s">
        <v>90</v>
      </c>
      <c r="I5037" t="s">
        <v>23</v>
      </c>
      <c r="J5037" t="s">
        <v>35</v>
      </c>
      <c r="K5037" s="2" t="s">
        <v>1525</v>
      </c>
      <c r="L5037" t="s">
        <v>26</v>
      </c>
      <c r="M5037">
        <v>326807</v>
      </c>
      <c r="N5037">
        <v>1</v>
      </c>
      <c r="O5037" s="3">
        <v>84950</v>
      </c>
      <c r="P5037" s="3">
        <v>35265</v>
      </c>
      <c r="Q5037" s="5">
        <f t="shared" si="234"/>
        <v>71386.554621848743</v>
      </c>
      <c r="R5037" s="5">
        <f t="shared" si="235"/>
        <v>35265</v>
      </c>
      <c r="S5037" s="5">
        <f t="shared" si="236"/>
        <v>36121.554621848743</v>
      </c>
    </row>
    <row r="5038" spans="1:19" hidden="1" x14ac:dyDescent="0.3">
      <c r="A5038">
        <v>190</v>
      </c>
      <c r="B5038" t="s">
        <v>5801</v>
      </c>
      <c r="C5038" t="s">
        <v>4278</v>
      </c>
      <c r="D5038" s="2" t="s">
        <v>4279</v>
      </c>
      <c r="E5038" t="s">
        <v>4280</v>
      </c>
      <c r="F5038" t="s">
        <v>20</v>
      </c>
      <c r="G5038" t="s">
        <v>21</v>
      </c>
      <c r="H5038" t="s">
        <v>3128</v>
      </c>
      <c r="I5038" t="s">
        <v>23</v>
      </c>
      <c r="J5038" t="s">
        <v>35</v>
      </c>
      <c r="K5038" s="2" t="s">
        <v>1525</v>
      </c>
      <c r="L5038" t="s">
        <v>26</v>
      </c>
      <c r="M5038">
        <v>326807</v>
      </c>
      <c r="N5038">
        <v>1</v>
      </c>
      <c r="O5038" s="3">
        <v>72200</v>
      </c>
      <c r="P5038" s="3">
        <v>29189</v>
      </c>
      <c r="Q5038" s="5">
        <f t="shared" si="234"/>
        <v>60672.268907563026</v>
      </c>
      <c r="R5038" s="5">
        <f t="shared" si="235"/>
        <v>29189</v>
      </c>
      <c r="S5038" s="5">
        <f t="shared" si="236"/>
        <v>31483.268907563026</v>
      </c>
    </row>
    <row r="5039" spans="1:19" hidden="1" x14ac:dyDescent="0.3">
      <c r="A5039">
        <v>190</v>
      </c>
      <c r="B5039" t="s">
        <v>5801</v>
      </c>
      <c r="C5039" t="s">
        <v>5989</v>
      </c>
      <c r="D5039" s="2" t="s">
        <v>5990</v>
      </c>
      <c r="E5039" t="s">
        <v>5991</v>
      </c>
      <c r="F5039" t="s">
        <v>377</v>
      </c>
      <c r="G5039" t="s">
        <v>21</v>
      </c>
      <c r="H5039" t="s">
        <v>378</v>
      </c>
      <c r="I5039" t="s">
        <v>23</v>
      </c>
      <c r="J5039" t="s">
        <v>5019</v>
      </c>
      <c r="K5039" s="2" t="s">
        <v>1525</v>
      </c>
      <c r="L5039" t="s">
        <v>26</v>
      </c>
      <c r="M5039">
        <v>326808</v>
      </c>
      <c r="N5039">
        <v>1</v>
      </c>
      <c r="O5039" s="3">
        <v>32950</v>
      </c>
      <c r="P5039" s="3">
        <v>15781</v>
      </c>
      <c r="Q5039" s="5">
        <f t="shared" si="234"/>
        <v>27689.0756302521</v>
      </c>
      <c r="R5039" s="5">
        <f t="shared" si="235"/>
        <v>15781</v>
      </c>
      <c r="S5039" s="5">
        <f t="shared" si="236"/>
        <v>11908.0756302521</v>
      </c>
    </row>
    <row r="5040" spans="1:19" hidden="1" x14ac:dyDescent="0.3">
      <c r="A5040">
        <v>190</v>
      </c>
      <c r="B5040" t="s">
        <v>5801</v>
      </c>
      <c r="C5040" t="s">
        <v>5992</v>
      </c>
      <c r="D5040" s="2" t="s">
        <v>5993</v>
      </c>
      <c r="E5040" t="s">
        <v>3168</v>
      </c>
      <c r="F5040" t="s">
        <v>20</v>
      </c>
      <c r="G5040" t="s">
        <v>338</v>
      </c>
      <c r="H5040">
        <v>23731</v>
      </c>
      <c r="I5040" t="s">
        <v>23</v>
      </c>
      <c r="J5040" t="s">
        <v>40</v>
      </c>
      <c r="K5040" s="2" t="s">
        <v>1525</v>
      </c>
      <c r="L5040" t="s">
        <v>26</v>
      </c>
      <c r="M5040">
        <v>326809</v>
      </c>
      <c r="N5040">
        <v>1</v>
      </c>
      <c r="O5040" s="3">
        <v>69950</v>
      </c>
      <c r="P5040" s="3">
        <v>23119</v>
      </c>
      <c r="Q5040" s="5">
        <f t="shared" si="234"/>
        <v>58781.512605042022</v>
      </c>
      <c r="R5040" s="5">
        <f t="shared" si="235"/>
        <v>23119</v>
      </c>
      <c r="S5040" s="5">
        <f t="shared" si="236"/>
        <v>35662.512605042022</v>
      </c>
    </row>
    <row r="5041" spans="1:19" hidden="1" x14ac:dyDescent="0.3">
      <c r="A5041">
        <v>190</v>
      </c>
      <c r="B5041" t="s">
        <v>5801</v>
      </c>
      <c r="C5041" t="s">
        <v>4797</v>
      </c>
      <c r="D5041" s="2" t="s">
        <v>4798</v>
      </c>
      <c r="E5041" t="s">
        <v>3168</v>
      </c>
      <c r="F5041" t="s">
        <v>20</v>
      </c>
      <c r="G5041" t="s">
        <v>338</v>
      </c>
      <c r="H5041">
        <v>23731</v>
      </c>
      <c r="I5041" t="s">
        <v>23</v>
      </c>
      <c r="J5041" t="s">
        <v>40</v>
      </c>
      <c r="K5041" s="2" t="s">
        <v>1525</v>
      </c>
      <c r="L5041" t="s">
        <v>26</v>
      </c>
      <c r="M5041">
        <v>326809</v>
      </c>
      <c r="N5041">
        <v>1</v>
      </c>
      <c r="O5041" s="3">
        <v>59450</v>
      </c>
      <c r="P5041" s="3">
        <v>23119</v>
      </c>
      <c r="Q5041" s="5">
        <f t="shared" si="234"/>
        <v>49957.983193277316</v>
      </c>
      <c r="R5041" s="5">
        <f t="shared" si="235"/>
        <v>23119</v>
      </c>
      <c r="S5041" s="5">
        <f t="shared" si="236"/>
        <v>26838.983193277316</v>
      </c>
    </row>
    <row r="5042" spans="1:19" hidden="1" x14ac:dyDescent="0.3">
      <c r="A5042">
        <v>190</v>
      </c>
      <c r="B5042" t="s">
        <v>5801</v>
      </c>
      <c r="C5042" t="s">
        <v>4247</v>
      </c>
      <c r="D5042" s="2" t="s">
        <v>4248</v>
      </c>
      <c r="E5042" t="s">
        <v>4109</v>
      </c>
      <c r="F5042" t="s">
        <v>20</v>
      </c>
      <c r="G5042" t="s">
        <v>21</v>
      </c>
      <c r="H5042" t="s">
        <v>818</v>
      </c>
      <c r="I5042" t="s">
        <v>23</v>
      </c>
      <c r="J5042" t="s">
        <v>35</v>
      </c>
      <c r="K5042" s="2" t="s">
        <v>1525</v>
      </c>
      <c r="L5042" t="s">
        <v>26</v>
      </c>
      <c r="M5042">
        <v>326810</v>
      </c>
      <c r="N5042">
        <v>1</v>
      </c>
      <c r="O5042" s="3">
        <v>89950</v>
      </c>
      <c r="P5042" s="3">
        <v>33052</v>
      </c>
      <c r="Q5042" s="5">
        <f t="shared" si="234"/>
        <v>75588.23529411765</v>
      </c>
      <c r="R5042" s="5">
        <f t="shared" si="235"/>
        <v>33052</v>
      </c>
      <c r="S5042" s="5">
        <f t="shared" si="236"/>
        <v>42536.23529411765</v>
      </c>
    </row>
    <row r="5043" spans="1:19" hidden="1" x14ac:dyDescent="0.3">
      <c r="A5043">
        <v>190</v>
      </c>
      <c r="B5043" t="s">
        <v>5801</v>
      </c>
      <c r="C5043" t="s">
        <v>2525</v>
      </c>
      <c r="D5043" s="2" t="s">
        <v>2526</v>
      </c>
      <c r="E5043" t="s">
        <v>2527</v>
      </c>
      <c r="F5043" t="s">
        <v>377</v>
      </c>
      <c r="G5043" t="s">
        <v>21</v>
      </c>
      <c r="H5043" t="s">
        <v>378</v>
      </c>
      <c r="I5043" t="s">
        <v>23</v>
      </c>
      <c r="J5043" t="s">
        <v>2459</v>
      </c>
      <c r="K5043" s="2" t="s">
        <v>1525</v>
      </c>
      <c r="L5043" t="s">
        <v>26</v>
      </c>
      <c r="M5043">
        <v>326811</v>
      </c>
      <c r="N5043">
        <v>1</v>
      </c>
      <c r="O5043" s="3">
        <v>6950</v>
      </c>
      <c r="P5043" s="3">
        <v>2964</v>
      </c>
      <c r="Q5043" s="5">
        <f t="shared" si="234"/>
        <v>5840.3361344537816</v>
      </c>
      <c r="R5043" s="5">
        <f t="shared" si="235"/>
        <v>2964</v>
      </c>
      <c r="S5043" s="5">
        <f t="shared" si="236"/>
        <v>2876.3361344537816</v>
      </c>
    </row>
    <row r="5044" spans="1:19" hidden="1" x14ac:dyDescent="0.3">
      <c r="A5044">
        <v>190</v>
      </c>
      <c r="B5044" t="s">
        <v>5801</v>
      </c>
      <c r="C5044" t="s">
        <v>1968</v>
      </c>
      <c r="D5044" s="2" t="s">
        <v>1969</v>
      </c>
      <c r="E5044" t="s">
        <v>631</v>
      </c>
      <c r="F5044" t="s">
        <v>20</v>
      </c>
      <c r="G5044" t="s">
        <v>21</v>
      </c>
      <c r="H5044" t="s">
        <v>632</v>
      </c>
      <c r="I5044" t="s">
        <v>23</v>
      </c>
      <c r="J5044" t="s">
        <v>40</v>
      </c>
      <c r="K5044" s="2" t="s">
        <v>1525</v>
      </c>
      <c r="L5044" t="s">
        <v>26</v>
      </c>
      <c r="M5044">
        <v>326812</v>
      </c>
      <c r="N5044">
        <v>1</v>
      </c>
      <c r="O5044" s="3">
        <v>49950</v>
      </c>
      <c r="P5044" s="3">
        <v>19155</v>
      </c>
      <c r="Q5044" s="5">
        <f t="shared" si="234"/>
        <v>41974.789915966387</v>
      </c>
      <c r="R5044" s="5">
        <f t="shared" si="235"/>
        <v>19155</v>
      </c>
      <c r="S5044" s="5">
        <f t="shared" si="236"/>
        <v>22819.789915966387</v>
      </c>
    </row>
    <row r="5045" spans="1:19" hidden="1" x14ac:dyDescent="0.3">
      <c r="A5045">
        <v>190</v>
      </c>
      <c r="B5045" t="s">
        <v>5801</v>
      </c>
      <c r="C5045" t="s">
        <v>2774</v>
      </c>
      <c r="D5045" s="2" t="s">
        <v>2775</v>
      </c>
      <c r="E5045" t="s">
        <v>266</v>
      </c>
      <c r="F5045" t="s">
        <v>20</v>
      </c>
      <c r="G5045" t="s">
        <v>21</v>
      </c>
      <c r="H5045" t="s">
        <v>267</v>
      </c>
      <c r="I5045" t="s">
        <v>23</v>
      </c>
      <c r="J5045" t="s">
        <v>49</v>
      </c>
      <c r="K5045" s="2" t="s">
        <v>1525</v>
      </c>
      <c r="L5045" t="s">
        <v>26</v>
      </c>
      <c r="M5045">
        <v>326813</v>
      </c>
      <c r="N5045">
        <v>1</v>
      </c>
      <c r="O5045" s="3">
        <v>64950</v>
      </c>
      <c r="P5045" s="3">
        <v>24504</v>
      </c>
      <c r="Q5045" s="5">
        <f t="shared" si="234"/>
        <v>54579.831932773115</v>
      </c>
      <c r="R5045" s="5">
        <f t="shared" si="235"/>
        <v>24504</v>
      </c>
      <c r="S5045" s="5">
        <f t="shared" si="236"/>
        <v>30075.831932773115</v>
      </c>
    </row>
    <row r="5046" spans="1:19" hidden="1" x14ac:dyDescent="0.3">
      <c r="A5046">
        <v>190</v>
      </c>
      <c r="B5046" t="s">
        <v>5801</v>
      </c>
      <c r="C5046" t="s">
        <v>3171</v>
      </c>
      <c r="D5046" s="2" t="s">
        <v>3172</v>
      </c>
      <c r="E5046" t="s">
        <v>2589</v>
      </c>
      <c r="F5046" t="s">
        <v>20</v>
      </c>
      <c r="G5046" t="s">
        <v>21</v>
      </c>
      <c r="H5046" t="s">
        <v>53</v>
      </c>
      <c r="I5046" t="s">
        <v>23</v>
      </c>
      <c r="J5046" t="s">
        <v>49</v>
      </c>
      <c r="K5046" s="2" t="s">
        <v>1525</v>
      </c>
      <c r="L5046" t="s">
        <v>26</v>
      </c>
      <c r="M5046">
        <v>326813</v>
      </c>
      <c r="N5046">
        <v>-1</v>
      </c>
      <c r="O5046" s="3">
        <v>-49990</v>
      </c>
      <c r="P5046" s="3">
        <v>22719</v>
      </c>
      <c r="Q5046" s="5">
        <f t="shared" si="234"/>
        <v>-42008.403361344543</v>
      </c>
      <c r="R5046" s="5">
        <f t="shared" si="235"/>
        <v>-22719</v>
      </c>
      <c r="S5046" s="5">
        <f t="shared" si="236"/>
        <v>-19289.403361344543</v>
      </c>
    </row>
    <row r="5047" spans="1:19" hidden="1" x14ac:dyDescent="0.3">
      <c r="A5047">
        <v>190</v>
      </c>
      <c r="B5047" t="s">
        <v>5801</v>
      </c>
      <c r="C5047" t="s">
        <v>3049</v>
      </c>
      <c r="D5047" s="2" t="s">
        <v>3050</v>
      </c>
      <c r="E5047" t="s">
        <v>3051</v>
      </c>
      <c r="F5047" t="s">
        <v>20</v>
      </c>
      <c r="G5047" t="s">
        <v>21</v>
      </c>
      <c r="H5047" t="s">
        <v>1440</v>
      </c>
      <c r="I5047" t="s">
        <v>23</v>
      </c>
      <c r="J5047" t="s">
        <v>40</v>
      </c>
      <c r="K5047" s="2" t="s">
        <v>1525</v>
      </c>
      <c r="L5047" t="s">
        <v>26</v>
      </c>
      <c r="M5047">
        <v>326814</v>
      </c>
      <c r="N5047">
        <v>1</v>
      </c>
      <c r="O5047" s="3">
        <v>64950</v>
      </c>
      <c r="P5047" s="3">
        <v>17328</v>
      </c>
      <c r="Q5047" s="5">
        <f t="shared" si="234"/>
        <v>54579.831932773115</v>
      </c>
      <c r="R5047" s="5">
        <f t="shared" si="235"/>
        <v>17328</v>
      </c>
      <c r="S5047" s="5">
        <f t="shared" si="236"/>
        <v>37251.831932773115</v>
      </c>
    </row>
    <row r="5048" spans="1:19" hidden="1" x14ac:dyDescent="0.3">
      <c r="A5048">
        <v>190</v>
      </c>
      <c r="B5048" t="s">
        <v>5801</v>
      </c>
      <c r="C5048" t="s">
        <v>5499</v>
      </c>
      <c r="D5048" s="2" t="s">
        <v>5500</v>
      </c>
      <c r="E5048" t="s">
        <v>3175</v>
      </c>
      <c r="F5048" t="s">
        <v>20</v>
      </c>
      <c r="G5048" t="s">
        <v>21</v>
      </c>
      <c r="H5048" t="s">
        <v>625</v>
      </c>
      <c r="I5048" t="s">
        <v>23</v>
      </c>
      <c r="J5048" t="s">
        <v>35</v>
      </c>
      <c r="K5048" s="2" t="s">
        <v>1525</v>
      </c>
      <c r="L5048" t="s">
        <v>26</v>
      </c>
      <c r="M5048">
        <v>326814</v>
      </c>
      <c r="N5048">
        <v>1</v>
      </c>
      <c r="O5048" s="3">
        <v>59450</v>
      </c>
      <c r="P5048" s="3">
        <v>24956</v>
      </c>
      <c r="Q5048" s="5">
        <f t="shared" si="234"/>
        <v>49957.983193277316</v>
      </c>
      <c r="R5048" s="5">
        <f t="shared" si="235"/>
        <v>24956</v>
      </c>
      <c r="S5048" s="5">
        <f t="shared" si="236"/>
        <v>25001.983193277316</v>
      </c>
    </row>
    <row r="5049" spans="1:19" hidden="1" x14ac:dyDescent="0.3">
      <c r="A5049">
        <v>190</v>
      </c>
      <c r="B5049" t="s">
        <v>5801</v>
      </c>
      <c r="C5049" t="s">
        <v>2871</v>
      </c>
      <c r="D5049" s="2" t="s">
        <v>2872</v>
      </c>
      <c r="E5049" t="s">
        <v>1446</v>
      </c>
      <c r="F5049" t="s">
        <v>20</v>
      </c>
      <c r="G5049" t="s">
        <v>338</v>
      </c>
      <c r="H5049">
        <v>25321</v>
      </c>
      <c r="I5049" t="s">
        <v>23</v>
      </c>
      <c r="J5049" t="s">
        <v>35</v>
      </c>
      <c r="K5049" s="2" t="s">
        <v>1525</v>
      </c>
      <c r="L5049" t="s">
        <v>26</v>
      </c>
      <c r="M5049">
        <v>326815</v>
      </c>
      <c r="N5049">
        <v>1</v>
      </c>
      <c r="O5049" s="3">
        <v>109950</v>
      </c>
      <c r="P5049" s="3">
        <v>33748</v>
      </c>
      <c r="Q5049" s="5">
        <f t="shared" si="234"/>
        <v>92394.957983193279</v>
      </c>
      <c r="R5049" s="5">
        <f t="shared" si="235"/>
        <v>33748</v>
      </c>
      <c r="S5049" s="5">
        <f t="shared" si="236"/>
        <v>58646.957983193279</v>
      </c>
    </row>
    <row r="5050" spans="1:19" hidden="1" x14ac:dyDescent="0.3">
      <c r="A5050">
        <v>190</v>
      </c>
      <c r="B5050" t="s">
        <v>5801</v>
      </c>
      <c r="C5050" t="s">
        <v>1761</v>
      </c>
      <c r="D5050" s="2" t="s">
        <v>1762</v>
      </c>
      <c r="E5050" t="s">
        <v>1763</v>
      </c>
      <c r="F5050" t="s">
        <v>377</v>
      </c>
      <c r="G5050" t="s">
        <v>21</v>
      </c>
      <c r="H5050" t="s">
        <v>378</v>
      </c>
      <c r="I5050" t="s">
        <v>23</v>
      </c>
      <c r="J5050" t="s">
        <v>379</v>
      </c>
      <c r="K5050" s="2" t="s">
        <v>1525</v>
      </c>
      <c r="L5050" t="s">
        <v>26</v>
      </c>
      <c r="M5050">
        <v>326816</v>
      </c>
      <c r="N5050">
        <v>1</v>
      </c>
      <c r="O5050" s="3">
        <v>5950</v>
      </c>
      <c r="P5050" s="3">
        <v>3279</v>
      </c>
      <c r="Q5050" s="5">
        <f t="shared" si="234"/>
        <v>5000</v>
      </c>
      <c r="R5050" s="5">
        <f t="shared" si="235"/>
        <v>3279</v>
      </c>
      <c r="S5050" s="5">
        <f t="shared" si="236"/>
        <v>1721</v>
      </c>
    </row>
    <row r="5051" spans="1:19" hidden="1" x14ac:dyDescent="0.3">
      <c r="A5051">
        <v>190</v>
      </c>
      <c r="B5051" t="s">
        <v>5801</v>
      </c>
      <c r="C5051" t="s">
        <v>3477</v>
      </c>
      <c r="D5051" s="2" t="s">
        <v>3478</v>
      </c>
      <c r="E5051" t="s">
        <v>3479</v>
      </c>
      <c r="F5051" t="s">
        <v>377</v>
      </c>
      <c r="G5051" t="s">
        <v>21</v>
      </c>
      <c r="H5051" t="s">
        <v>378</v>
      </c>
      <c r="I5051" t="s">
        <v>23</v>
      </c>
      <c r="J5051" t="s">
        <v>379</v>
      </c>
      <c r="K5051" s="2" t="s">
        <v>1525</v>
      </c>
      <c r="L5051" t="s">
        <v>26</v>
      </c>
      <c r="M5051">
        <v>326816</v>
      </c>
      <c r="N5051">
        <v>1</v>
      </c>
      <c r="O5051" s="3">
        <v>5950</v>
      </c>
      <c r="P5051" s="3">
        <v>3311</v>
      </c>
      <c r="Q5051" s="5">
        <f t="shared" si="234"/>
        <v>5000</v>
      </c>
      <c r="R5051" s="5">
        <f t="shared" si="235"/>
        <v>3311</v>
      </c>
      <c r="S5051" s="5">
        <f t="shared" si="236"/>
        <v>1689</v>
      </c>
    </row>
    <row r="5052" spans="1:19" hidden="1" x14ac:dyDescent="0.3">
      <c r="A5052">
        <v>190</v>
      </c>
      <c r="B5052" t="s">
        <v>5801</v>
      </c>
      <c r="C5052" t="s">
        <v>2365</v>
      </c>
      <c r="D5052" s="2" t="s">
        <v>2366</v>
      </c>
      <c r="E5052" t="s">
        <v>2367</v>
      </c>
      <c r="F5052" t="s">
        <v>377</v>
      </c>
      <c r="G5052" t="s">
        <v>21</v>
      </c>
      <c r="H5052" t="s">
        <v>378</v>
      </c>
      <c r="I5052" t="s">
        <v>23</v>
      </c>
      <c r="J5052" t="s">
        <v>379</v>
      </c>
      <c r="K5052" s="2" t="s">
        <v>1525</v>
      </c>
      <c r="L5052" t="s">
        <v>26</v>
      </c>
      <c r="M5052">
        <v>326816</v>
      </c>
      <c r="N5052">
        <v>1</v>
      </c>
      <c r="O5052" s="3">
        <v>6950</v>
      </c>
      <c r="P5052" s="3">
        <v>3759</v>
      </c>
      <c r="Q5052" s="5">
        <f t="shared" si="234"/>
        <v>5840.3361344537816</v>
      </c>
      <c r="R5052" s="5">
        <f t="shared" si="235"/>
        <v>3759</v>
      </c>
      <c r="S5052" s="5">
        <f t="shared" si="236"/>
        <v>2081.3361344537816</v>
      </c>
    </row>
    <row r="5053" spans="1:19" hidden="1" x14ac:dyDescent="0.3">
      <c r="A5053">
        <v>190</v>
      </c>
      <c r="B5053" t="s">
        <v>5801</v>
      </c>
      <c r="C5053" t="s">
        <v>3545</v>
      </c>
      <c r="D5053" s="2" t="s">
        <v>3546</v>
      </c>
      <c r="E5053" t="s">
        <v>938</v>
      </c>
      <c r="F5053" t="s">
        <v>20</v>
      </c>
      <c r="G5053" t="s">
        <v>21</v>
      </c>
      <c r="H5053" t="s">
        <v>317</v>
      </c>
      <c r="I5053" t="s">
        <v>23</v>
      </c>
      <c r="J5053" t="s">
        <v>35</v>
      </c>
      <c r="K5053" s="2" t="s">
        <v>1525</v>
      </c>
      <c r="L5053" t="s">
        <v>26</v>
      </c>
      <c r="M5053">
        <v>326817</v>
      </c>
      <c r="N5053">
        <v>1</v>
      </c>
      <c r="O5053" s="3">
        <v>69950</v>
      </c>
      <c r="P5053" s="3">
        <v>26745</v>
      </c>
      <c r="Q5053" s="5">
        <f t="shared" si="234"/>
        <v>58781.512605042022</v>
      </c>
      <c r="R5053" s="5">
        <f t="shared" si="235"/>
        <v>26745</v>
      </c>
      <c r="S5053" s="5">
        <f t="shared" si="236"/>
        <v>32036.512605042022</v>
      </c>
    </row>
    <row r="5054" spans="1:19" hidden="1" x14ac:dyDescent="0.3">
      <c r="A5054">
        <v>190</v>
      </c>
      <c r="B5054" t="s">
        <v>5801</v>
      </c>
      <c r="C5054" t="s">
        <v>2575</v>
      </c>
      <c r="D5054" s="2" t="s">
        <v>2576</v>
      </c>
      <c r="E5054" t="s">
        <v>2577</v>
      </c>
      <c r="F5054" t="s">
        <v>377</v>
      </c>
      <c r="G5054" t="s">
        <v>21</v>
      </c>
      <c r="H5054" t="s">
        <v>378</v>
      </c>
      <c r="I5054" t="s">
        <v>23</v>
      </c>
      <c r="J5054" t="s">
        <v>379</v>
      </c>
      <c r="K5054" s="2" t="s">
        <v>1525</v>
      </c>
      <c r="L5054" t="s">
        <v>26</v>
      </c>
      <c r="M5054">
        <v>326818</v>
      </c>
      <c r="N5054">
        <v>1</v>
      </c>
      <c r="O5054" s="3">
        <v>5950</v>
      </c>
      <c r="P5054" s="3">
        <v>3307</v>
      </c>
      <c r="Q5054" s="5">
        <f t="shared" si="234"/>
        <v>5000</v>
      </c>
      <c r="R5054" s="5">
        <f t="shared" si="235"/>
        <v>3307</v>
      </c>
      <c r="S5054" s="5">
        <f t="shared" si="236"/>
        <v>1693</v>
      </c>
    </row>
    <row r="5055" spans="1:19" hidden="1" x14ac:dyDescent="0.3">
      <c r="A5055">
        <v>190</v>
      </c>
      <c r="B5055" t="s">
        <v>5801</v>
      </c>
      <c r="C5055" t="s">
        <v>2395</v>
      </c>
      <c r="D5055" s="2" t="s">
        <v>2396</v>
      </c>
      <c r="E5055" t="s">
        <v>425</v>
      </c>
      <c r="F5055" t="s">
        <v>20</v>
      </c>
      <c r="G5055" t="s">
        <v>21</v>
      </c>
      <c r="H5055" t="s">
        <v>22</v>
      </c>
      <c r="I5055" t="s">
        <v>23</v>
      </c>
      <c r="J5055" t="s">
        <v>24</v>
      </c>
      <c r="K5055" s="2" t="s">
        <v>1525</v>
      </c>
      <c r="L5055" t="s">
        <v>26</v>
      </c>
      <c r="M5055">
        <v>326819</v>
      </c>
      <c r="N5055">
        <v>1</v>
      </c>
      <c r="O5055" s="3">
        <v>79950</v>
      </c>
      <c r="P5055" s="3">
        <v>27848</v>
      </c>
      <c r="Q5055" s="5">
        <f t="shared" si="234"/>
        <v>67184.873949579836</v>
      </c>
      <c r="R5055" s="5">
        <f t="shared" si="235"/>
        <v>27848</v>
      </c>
      <c r="S5055" s="5">
        <f t="shared" si="236"/>
        <v>39336.873949579836</v>
      </c>
    </row>
    <row r="5056" spans="1:19" hidden="1" x14ac:dyDescent="0.3">
      <c r="A5056">
        <v>190</v>
      </c>
      <c r="B5056" t="s">
        <v>5801</v>
      </c>
      <c r="C5056" t="s">
        <v>4107</v>
      </c>
      <c r="D5056" s="2" t="s">
        <v>4108</v>
      </c>
      <c r="E5056" t="s">
        <v>4109</v>
      </c>
      <c r="F5056" t="s">
        <v>20</v>
      </c>
      <c r="G5056" t="s">
        <v>21</v>
      </c>
      <c r="H5056" t="s">
        <v>818</v>
      </c>
      <c r="I5056" t="s">
        <v>23</v>
      </c>
      <c r="J5056" t="s">
        <v>35</v>
      </c>
      <c r="K5056" s="2" t="s">
        <v>1525</v>
      </c>
      <c r="L5056" t="s">
        <v>26</v>
      </c>
      <c r="M5056">
        <v>326820</v>
      </c>
      <c r="N5056">
        <v>1</v>
      </c>
      <c r="O5056" s="3">
        <v>76450</v>
      </c>
      <c r="P5056" s="3">
        <v>32839</v>
      </c>
      <c r="Q5056" s="5">
        <f t="shared" si="234"/>
        <v>64243.697478991598</v>
      </c>
      <c r="R5056" s="5">
        <f t="shared" si="235"/>
        <v>32839</v>
      </c>
      <c r="S5056" s="5">
        <f t="shared" si="236"/>
        <v>31404.697478991598</v>
      </c>
    </row>
    <row r="5057" spans="1:19" hidden="1" x14ac:dyDescent="0.3">
      <c r="A5057">
        <v>190</v>
      </c>
      <c r="B5057" t="s">
        <v>5801</v>
      </c>
      <c r="C5057" t="s">
        <v>3989</v>
      </c>
      <c r="D5057" s="2" t="s">
        <v>3990</v>
      </c>
      <c r="E5057" t="s">
        <v>2298</v>
      </c>
      <c r="F5057" t="s">
        <v>20</v>
      </c>
      <c r="G5057" t="s">
        <v>21</v>
      </c>
      <c r="H5057" t="s">
        <v>2189</v>
      </c>
      <c r="I5057" t="s">
        <v>23</v>
      </c>
      <c r="J5057" t="s">
        <v>40</v>
      </c>
      <c r="K5057" s="2" t="s">
        <v>1525</v>
      </c>
      <c r="L5057" t="s">
        <v>26</v>
      </c>
      <c r="M5057">
        <v>326820</v>
      </c>
      <c r="N5057">
        <v>1</v>
      </c>
      <c r="O5057" s="3">
        <v>64950</v>
      </c>
      <c r="P5057" s="3">
        <v>20787</v>
      </c>
      <c r="Q5057" s="5">
        <f t="shared" si="234"/>
        <v>54579.831932773115</v>
      </c>
      <c r="R5057" s="5">
        <f t="shared" si="235"/>
        <v>20787</v>
      </c>
      <c r="S5057" s="5">
        <f t="shared" si="236"/>
        <v>33792.831932773115</v>
      </c>
    </row>
    <row r="5058" spans="1:19" hidden="1" x14ac:dyDescent="0.3">
      <c r="A5058">
        <v>190</v>
      </c>
      <c r="B5058" t="s">
        <v>5801</v>
      </c>
      <c r="C5058" t="s">
        <v>4425</v>
      </c>
      <c r="D5058" s="2" t="s">
        <v>4426</v>
      </c>
      <c r="E5058" t="s">
        <v>2262</v>
      </c>
      <c r="F5058" t="s">
        <v>20</v>
      </c>
      <c r="G5058" t="s">
        <v>21</v>
      </c>
      <c r="H5058" t="s">
        <v>565</v>
      </c>
      <c r="I5058" t="s">
        <v>23</v>
      </c>
      <c r="J5058" t="s">
        <v>49</v>
      </c>
      <c r="K5058" s="2" t="s">
        <v>1525</v>
      </c>
      <c r="L5058" t="s">
        <v>26</v>
      </c>
      <c r="M5058">
        <v>326821</v>
      </c>
      <c r="N5058">
        <v>1</v>
      </c>
      <c r="O5058" s="3">
        <v>69950</v>
      </c>
      <c r="P5058" s="3">
        <v>24012</v>
      </c>
      <c r="Q5058" s="5">
        <f t="shared" si="234"/>
        <v>58781.512605042022</v>
      </c>
      <c r="R5058" s="5">
        <f t="shared" si="235"/>
        <v>24012</v>
      </c>
      <c r="S5058" s="5">
        <f t="shared" si="236"/>
        <v>34769.512605042022</v>
      </c>
    </row>
    <row r="5059" spans="1:19" hidden="1" x14ac:dyDescent="0.3">
      <c r="A5059">
        <v>190</v>
      </c>
      <c r="B5059" t="s">
        <v>5801</v>
      </c>
      <c r="C5059" t="s">
        <v>1761</v>
      </c>
      <c r="D5059" s="2" t="s">
        <v>1762</v>
      </c>
      <c r="E5059" t="s">
        <v>1763</v>
      </c>
      <c r="F5059" t="s">
        <v>377</v>
      </c>
      <c r="G5059" t="s">
        <v>21</v>
      </c>
      <c r="H5059" t="s">
        <v>378</v>
      </c>
      <c r="I5059" t="s">
        <v>23</v>
      </c>
      <c r="J5059" t="s">
        <v>379</v>
      </c>
      <c r="K5059" s="2" t="s">
        <v>1525</v>
      </c>
      <c r="L5059" t="s">
        <v>26</v>
      </c>
      <c r="M5059">
        <v>326821</v>
      </c>
      <c r="N5059">
        <v>1</v>
      </c>
      <c r="O5059" s="3">
        <v>5950</v>
      </c>
      <c r="P5059" s="3">
        <v>3279</v>
      </c>
      <c r="Q5059" s="5">
        <f t="shared" si="234"/>
        <v>5000</v>
      </c>
      <c r="R5059" s="5">
        <f t="shared" si="235"/>
        <v>3279</v>
      </c>
      <c r="S5059" s="5">
        <f t="shared" si="236"/>
        <v>1721</v>
      </c>
    </row>
    <row r="5060" spans="1:19" hidden="1" x14ac:dyDescent="0.3">
      <c r="A5060">
        <v>190</v>
      </c>
      <c r="B5060" t="s">
        <v>5801</v>
      </c>
      <c r="C5060" t="s">
        <v>2250</v>
      </c>
      <c r="D5060" s="2" t="s">
        <v>2251</v>
      </c>
      <c r="E5060" t="s">
        <v>2252</v>
      </c>
      <c r="F5060" t="s">
        <v>20</v>
      </c>
      <c r="G5060" t="s">
        <v>21</v>
      </c>
      <c r="H5060" t="s">
        <v>970</v>
      </c>
      <c r="I5060" t="s">
        <v>23</v>
      </c>
      <c r="J5060" t="s">
        <v>40</v>
      </c>
      <c r="K5060" s="2" t="s">
        <v>1525</v>
      </c>
      <c r="L5060" t="s">
        <v>26</v>
      </c>
      <c r="M5060">
        <v>326822</v>
      </c>
      <c r="N5060">
        <v>1</v>
      </c>
      <c r="O5060" s="3">
        <v>59950</v>
      </c>
      <c r="P5060" s="3">
        <v>15928</v>
      </c>
      <c r="Q5060" s="5">
        <f t="shared" si="234"/>
        <v>50378.151260504201</v>
      </c>
      <c r="R5060" s="5">
        <f t="shared" si="235"/>
        <v>15928</v>
      </c>
      <c r="S5060" s="5">
        <f t="shared" si="236"/>
        <v>34450.151260504201</v>
      </c>
    </row>
    <row r="5061" spans="1:19" hidden="1" x14ac:dyDescent="0.3">
      <c r="A5061">
        <v>190</v>
      </c>
      <c r="B5061" t="s">
        <v>5801</v>
      </c>
      <c r="C5061" t="s">
        <v>2609</v>
      </c>
      <c r="D5061" s="2" t="s">
        <v>2610</v>
      </c>
      <c r="E5061" t="s">
        <v>2611</v>
      </c>
      <c r="F5061" t="s">
        <v>20</v>
      </c>
      <c r="G5061" t="s">
        <v>338</v>
      </c>
      <c r="H5061">
        <v>25312</v>
      </c>
      <c r="I5061" t="s">
        <v>23</v>
      </c>
      <c r="J5061" t="s">
        <v>35</v>
      </c>
      <c r="K5061" s="2" t="s">
        <v>1525</v>
      </c>
      <c r="L5061" t="s">
        <v>26</v>
      </c>
      <c r="M5061">
        <v>326823</v>
      </c>
      <c r="N5061">
        <v>1</v>
      </c>
      <c r="O5061" s="3">
        <v>69950</v>
      </c>
      <c r="P5061" s="3">
        <v>21167</v>
      </c>
      <c r="Q5061" s="5">
        <f t="shared" si="234"/>
        <v>58781.512605042022</v>
      </c>
      <c r="R5061" s="5">
        <f t="shared" si="235"/>
        <v>21167</v>
      </c>
      <c r="S5061" s="5">
        <f t="shared" si="236"/>
        <v>37614.512605042022</v>
      </c>
    </row>
    <row r="5062" spans="1:19" hidden="1" x14ac:dyDescent="0.3">
      <c r="A5062">
        <v>190</v>
      </c>
      <c r="B5062" t="s">
        <v>5801</v>
      </c>
      <c r="C5062" t="s">
        <v>3336</v>
      </c>
      <c r="D5062" s="2" t="s">
        <v>3337</v>
      </c>
      <c r="E5062" t="s">
        <v>3335</v>
      </c>
      <c r="F5062" t="s">
        <v>20</v>
      </c>
      <c r="G5062" t="s">
        <v>338</v>
      </c>
      <c r="H5062">
        <v>25273</v>
      </c>
      <c r="I5062" t="s">
        <v>23</v>
      </c>
      <c r="J5062" t="s">
        <v>35</v>
      </c>
      <c r="K5062" s="2" t="s">
        <v>1525</v>
      </c>
      <c r="L5062" t="s">
        <v>26</v>
      </c>
      <c r="M5062">
        <v>326824</v>
      </c>
      <c r="N5062">
        <v>1</v>
      </c>
      <c r="O5062" s="3">
        <v>99950</v>
      </c>
      <c r="P5062" s="3">
        <v>32658</v>
      </c>
      <c r="Q5062" s="5">
        <f t="shared" ref="Q5062:Q5125" si="237">O5062/1.19</f>
        <v>83991.596638655465</v>
      </c>
      <c r="R5062" s="5">
        <f t="shared" ref="R5062:R5125" si="238">N5062*P5062</f>
        <v>32658</v>
      </c>
      <c r="S5062" s="5">
        <f t="shared" ref="S5062:S5125" si="239">Q5062-R5062</f>
        <v>51333.596638655465</v>
      </c>
    </row>
    <row r="5063" spans="1:19" hidden="1" x14ac:dyDescent="0.3">
      <c r="A5063">
        <v>190</v>
      </c>
      <c r="B5063" t="s">
        <v>5801</v>
      </c>
      <c r="C5063" t="s">
        <v>700</v>
      </c>
      <c r="D5063" s="2" t="s">
        <v>701</v>
      </c>
      <c r="E5063" t="s">
        <v>702</v>
      </c>
      <c r="F5063" t="s">
        <v>377</v>
      </c>
      <c r="G5063" t="s">
        <v>21</v>
      </c>
      <c r="H5063" t="s">
        <v>378</v>
      </c>
      <c r="I5063" t="s">
        <v>23</v>
      </c>
      <c r="J5063" t="s">
        <v>379</v>
      </c>
      <c r="K5063" s="2" t="s">
        <v>2983</v>
      </c>
      <c r="L5063" t="s">
        <v>26</v>
      </c>
      <c r="M5063">
        <v>326825</v>
      </c>
      <c r="N5063">
        <v>1</v>
      </c>
      <c r="O5063" s="3">
        <v>4950</v>
      </c>
      <c r="P5063" s="3">
        <v>2529</v>
      </c>
      <c r="Q5063" s="5">
        <f t="shared" si="237"/>
        <v>4159.6638655462184</v>
      </c>
      <c r="R5063" s="5">
        <f t="shared" si="238"/>
        <v>2529</v>
      </c>
      <c r="S5063" s="5">
        <f t="shared" si="239"/>
        <v>1630.6638655462184</v>
      </c>
    </row>
    <row r="5064" spans="1:19" hidden="1" x14ac:dyDescent="0.3">
      <c r="A5064">
        <v>190</v>
      </c>
      <c r="B5064" t="s">
        <v>5801</v>
      </c>
      <c r="C5064" t="s">
        <v>4810</v>
      </c>
      <c r="D5064" s="2" t="s">
        <v>4811</v>
      </c>
      <c r="E5064" t="s">
        <v>4077</v>
      </c>
      <c r="F5064" t="s">
        <v>20</v>
      </c>
      <c r="G5064" t="s">
        <v>338</v>
      </c>
      <c r="H5064">
        <v>84316</v>
      </c>
      <c r="I5064" t="s">
        <v>23</v>
      </c>
      <c r="J5064" t="s">
        <v>49</v>
      </c>
      <c r="K5064" s="2" t="s">
        <v>2983</v>
      </c>
      <c r="L5064" t="s">
        <v>26</v>
      </c>
      <c r="M5064">
        <v>326826</v>
      </c>
      <c r="N5064">
        <v>1</v>
      </c>
      <c r="O5064" s="3">
        <v>89950</v>
      </c>
      <c r="P5064" s="3">
        <v>31128</v>
      </c>
      <c r="Q5064" s="5">
        <f t="shared" si="237"/>
        <v>75588.23529411765</v>
      </c>
      <c r="R5064" s="5">
        <f t="shared" si="238"/>
        <v>31128</v>
      </c>
      <c r="S5064" s="5">
        <f t="shared" si="239"/>
        <v>44460.23529411765</v>
      </c>
    </row>
    <row r="5065" spans="1:19" hidden="1" x14ac:dyDescent="0.3">
      <c r="A5065">
        <v>190</v>
      </c>
      <c r="B5065" t="s">
        <v>5801</v>
      </c>
      <c r="C5065" t="s">
        <v>1756</v>
      </c>
      <c r="D5065" s="2" t="s">
        <v>1757</v>
      </c>
      <c r="E5065" t="s">
        <v>1758</v>
      </c>
      <c r="F5065" t="s">
        <v>20</v>
      </c>
      <c r="G5065" t="s">
        <v>338</v>
      </c>
      <c r="H5065">
        <v>25133</v>
      </c>
      <c r="I5065" t="s">
        <v>23</v>
      </c>
      <c r="J5065" t="s">
        <v>35</v>
      </c>
      <c r="K5065" s="2" t="s">
        <v>2983</v>
      </c>
      <c r="L5065" t="s">
        <v>26</v>
      </c>
      <c r="M5065">
        <v>326827</v>
      </c>
      <c r="N5065">
        <v>1</v>
      </c>
      <c r="O5065" s="3">
        <v>74950</v>
      </c>
      <c r="P5065" s="3">
        <v>21167</v>
      </c>
      <c r="Q5065" s="5">
        <f t="shared" si="237"/>
        <v>62983.193277310929</v>
      </c>
      <c r="R5065" s="5">
        <f t="shared" si="238"/>
        <v>21167</v>
      </c>
      <c r="S5065" s="5">
        <f t="shared" si="239"/>
        <v>41816.193277310929</v>
      </c>
    </row>
    <row r="5066" spans="1:19" hidden="1" x14ac:dyDescent="0.3">
      <c r="A5066">
        <v>190</v>
      </c>
      <c r="B5066" t="s">
        <v>5801</v>
      </c>
      <c r="C5066" t="s">
        <v>2946</v>
      </c>
      <c r="D5066" s="2" t="s">
        <v>2947</v>
      </c>
      <c r="E5066" t="s">
        <v>1123</v>
      </c>
      <c r="F5066" t="s">
        <v>20</v>
      </c>
      <c r="G5066" t="s">
        <v>21</v>
      </c>
      <c r="H5066" t="s">
        <v>1124</v>
      </c>
      <c r="I5066" t="s">
        <v>23</v>
      </c>
      <c r="J5066" t="s">
        <v>24</v>
      </c>
      <c r="K5066" s="2" t="s">
        <v>2983</v>
      </c>
      <c r="L5066" t="s">
        <v>26</v>
      </c>
      <c r="M5066">
        <v>326828</v>
      </c>
      <c r="N5066">
        <v>1</v>
      </c>
      <c r="O5066" s="3">
        <v>74950</v>
      </c>
      <c r="P5066" s="3">
        <v>25857</v>
      </c>
      <c r="Q5066" s="5">
        <f t="shared" si="237"/>
        <v>62983.193277310929</v>
      </c>
      <c r="R5066" s="5">
        <f t="shared" si="238"/>
        <v>25857</v>
      </c>
      <c r="S5066" s="5">
        <f t="shared" si="239"/>
        <v>37126.193277310929</v>
      </c>
    </row>
    <row r="5067" spans="1:19" hidden="1" x14ac:dyDescent="0.3">
      <c r="A5067">
        <v>190</v>
      </c>
      <c r="B5067" t="s">
        <v>5801</v>
      </c>
      <c r="C5067" t="s">
        <v>2871</v>
      </c>
      <c r="D5067" s="2" t="s">
        <v>2872</v>
      </c>
      <c r="E5067" t="s">
        <v>1446</v>
      </c>
      <c r="F5067" t="s">
        <v>20</v>
      </c>
      <c r="G5067" t="s">
        <v>338</v>
      </c>
      <c r="H5067">
        <v>25321</v>
      </c>
      <c r="I5067" t="s">
        <v>23</v>
      </c>
      <c r="J5067" t="s">
        <v>35</v>
      </c>
      <c r="K5067" s="2" t="s">
        <v>2983</v>
      </c>
      <c r="L5067" t="s">
        <v>26</v>
      </c>
      <c r="M5067">
        <v>326829</v>
      </c>
      <c r="N5067">
        <v>1</v>
      </c>
      <c r="O5067" s="3">
        <v>109950</v>
      </c>
      <c r="P5067" s="3">
        <v>33748</v>
      </c>
      <c r="Q5067" s="5">
        <f t="shared" si="237"/>
        <v>92394.957983193279</v>
      </c>
      <c r="R5067" s="5">
        <f t="shared" si="238"/>
        <v>33748</v>
      </c>
      <c r="S5067" s="5">
        <f t="shared" si="239"/>
        <v>58646.957983193279</v>
      </c>
    </row>
    <row r="5068" spans="1:19" hidden="1" x14ac:dyDescent="0.3">
      <c r="A5068">
        <v>190</v>
      </c>
      <c r="B5068" t="s">
        <v>5801</v>
      </c>
      <c r="C5068" t="s">
        <v>1037</v>
      </c>
      <c r="D5068" s="2" t="s">
        <v>1038</v>
      </c>
      <c r="E5068" t="s">
        <v>1039</v>
      </c>
      <c r="F5068" t="s">
        <v>377</v>
      </c>
      <c r="G5068" t="s">
        <v>21</v>
      </c>
      <c r="H5068" t="s">
        <v>378</v>
      </c>
      <c r="I5068" t="s">
        <v>23</v>
      </c>
      <c r="J5068" t="s">
        <v>379</v>
      </c>
      <c r="K5068" s="2" t="s">
        <v>2983</v>
      </c>
      <c r="L5068" t="s">
        <v>26</v>
      </c>
      <c r="M5068">
        <v>326829</v>
      </c>
      <c r="N5068">
        <v>1</v>
      </c>
      <c r="O5068" s="3">
        <v>5950</v>
      </c>
      <c r="P5068" s="3">
        <v>3257</v>
      </c>
      <c r="Q5068" s="5">
        <f t="shared" si="237"/>
        <v>5000</v>
      </c>
      <c r="R5068" s="5">
        <f t="shared" si="238"/>
        <v>3257</v>
      </c>
      <c r="S5068" s="5">
        <f t="shared" si="239"/>
        <v>1743</v>
      </c>
    </row>
    <row r="5069" spans="1:19" hidden="1" x14ac:dyDescent="0.3">
      <c r="A5069">
        <v>190</v>
      </c>
      <c r="B5069" t="s">
        <v>5801</v>
      </c>
      <c r="C5069" t="s">
        <v>3259</v>
      </c>
      <c r="D5069" s="2" t="s">
        <v>3260</v>
      </c>
      <c r="E5069" t="s">
        <v>3261</v>
      </c>
      <c r="F5069" t="s">
        <v>377</v>
      </c>
      <c r="G5069" t="s">
        <v>21</v>
      </c>
      <c r="H5069" t="s">
        <v>378</v>
      </c>
      <c r="I5069" t="s">
        <v>23</v>
      </c>
      <c r="J5069" t="s">
        <v>3262</v>
      </c>
      <c r="K5069" s="2" t="s">
        <v>2983</v>
      </c>
      <c r="L5069" t="s">
        <v>26</v>
      </c>
      <c r="M5069">
        <v>326830</v>
      </c>
      <c r="N5069">
        <v>1</v>
      </c>
      <c r="O5069" s="3">
        <v>24950</v>
      </c>
      <c r="P5069" s="3">
        <v>10900</v>
      </c>
      <c r="Q5069" s="5">
        <f t="shared" si="237"/>
        <v>20966.386554621851</v>
      </c>
      <c r="R5069" s="5">
        <f t="shared" si="238"/>
        <v>10900</v>
      </c>
      <c r="S5069" s="5">
        <f t="shared" si="239"/>
        <v>10066.386554621851</v>
      </c>
    </row>
    <row r="5070" spans="1:19" hidden="1" x14ac:dyDescent="0.3">
      <c r="A5070">
        <v>190</v>
      </c>
      <c r="B5070" t="s">
        <v>5801</v>
      </c>
      <c r="C5070" t="s">
        <v>3582</v>
      </c>
      <c r="D5070" s="2" t="s">
        <v>3583</v>
      </c>
      <c r="E5070" t="s">
        <v>3531</v>
      </c>
      <c r="F5070" t="s">
        <v>20</v>
      </c>
      <c r="G5070" t="s">
        <v>338</v>
      </c>
      <c r="H5070">
        <v>84316</v>
      </c>
      <c r="I5070" t="s">
        <v>23</v>
      </c>
      <c r="J5070" t="s">
        <v>49</v>
      </c>
      <c r="K5070" s="2" t="s">
        <v>2983</v>
      </c>
      <c r="L5070" t="s">
        <v>26</v>
      </c>
      <c r="M5070">
        <v>326831</v>
      </c>
      <c r="N5070">
        <v>1</v>
      </c>
      <c r="O5070" s="3">
        <v>89950</v>
      </c>
      <c r="P5070" s="3">
        <v>31128</v>
      </c>
      <c r="Q5070" s="5">
        <f t="shared" si="237"/>
        <v>75588.23529411765</v>
      </c>
      <c r="R5070" s="5">
        <f t="shared" si="238"/>
        <v>31128</v>
      </c>
      <c r="S5070" s="5">
        <f t="shared" si="239"/>
        <v>44460.23529411765</v>
      </c>
    </row>
    <row r="5071" spans="1:19" hidden="1" x14ac:dyDescent="0.3">
      <c r="A5071">
        <v>190</v>
      </c>
      <c r="B5071" t="s">
        <v>5801</v>
      </c>
      <c r="C5071" t="s">
        <v>5994</v>
      </c>
      <c r="D5071" s="2" t="s">
        <v>5995</v>
      </c>
      <c r="E5071" t="s">
        <v>5996</v>
      </c>
      <c r="F5071" t="s">
        <v>20</v>
      </c>
      <c r="G5071" t="s">
        <v>21</v>
      </c>
      <c r="H5071" t="s">
        <v>4468</v>
      </c>
      <c r="I5071" t="s">
        <v>23</v>
      </c>
      <c r="J5071" t="s">
        <v>207</v>
      </c>
      <c r="K5071" s="2" t="s">
        <v>2983</v>
      </c>
      <c r="L5071" t="s">
        <v>26</v>
      </c>
      <c r="M5071">
        <v>326832</v>
      </c>
      <c r="N5071">
        <v>1</v>
      </c>
      <c r="O5071" s="3">
        <v>49990</v>
      </c>
      <c r="P5071" s="3">
        <v>26892</v>
      </c>
      <c r="Q5071" s="5">
        <f t="shared" si="237"/>
        <v>42008.403361344543</v>
      </c>
      <c r="R5071" s="5">
        <f t="shared" si="238"/>
        <v>26892</v>
      </c>
      <c r="S5071" s="5">
        <f t="shared" si="239"/>
        <v>15116.403361344543</v>
      </c>
    </row>
    <row r="5072" spans="1:19" hidden="1" x14ac:dyDescent="0.3">
      <c r="A5072">
        <v>190</v>
      </c>
      <c r="B5072" t="s">
        <v>5801</v>
      </c>
      <c r="C5072" t="s">
        <v>5997</v>
      </c>
      <c r="D5072" s="2" t="s">
        <v>5998</v>
      </c>
      <c r="E5072" t="s">
        <v>5493</v>
      </c>
      <c r="F5072" t="s">
        <v>20</v>
      </c>
      <c r="G5072" t="s">
        <v>21</v>
      </c>
      <c r="H5072" t="s">
        <v>569</v>
      </c>
      <c r="I5072" t="s">
        <v>23</v>
      </c>
      <c r="J5072" t="s">
        <v>207</v>
      </c>
      <c r="K5072" s="2" t="s">
        <v>2983</v>
      </c>
      <c r="L5072" t="s">
        <v>26</v>
      </c>
      <c r="M5072">
        <v>326832</v>
      </c>
      <c r="N5072">
        <v>-1</v>
      </c>
      <c r="O5072" s="3">
        <v>-39990</v>
      </c>
      <c r="P5072" s="3">
        <v>25706</v>
      </c>
      <c r="Q5072" s="5">
        <f t="shared" si="237"/>
        <v>-33605.042016806721</v>
      </c>
      <c r="R5072" s="5">
        <f t="shared" si="238"/>
        <v>-25706</v>
      </c>
      <c r="S5072" s="5">
        <f t="shared" si="239"/>
        <v>-7899.0420168067212</v>
      </c>
    </row>
    <row r="5073" spans="1:19" hidden="1" x14ac:dyDescent="0.3">
      <c r="A5073">
        <v>190</v>
      </c>
      <c r="B5073" t="s">
        <v>5801</v>
      </c>
      <c r="C5073" t="s">
        <v>551</v>
      </c>
      <c r="D5073" s="2" t="s">
        <v>552</v>
      </c>
      <c r="E5073" t="s">
        <v>553</v>
      </c>
      <c r="F5073" t="s">
        <v>20</v>
      </c>
      <c r="G5073" t="s">
        <v>21</v>
      </c>
      <c r="H5073" t="s">
        <v>353</v>
      </c>
      <c r="I5073" t="s">
        <v>23</v>
      </c>
      <c r="J5073" t="s">
        <v>95</v>
      </c>
      <c r="K5073" s="2" t="s">
        <v>2983</v>
      </c>
      <c r="L5073" t="s">
        <v>26</v>
      </c>
      <c r="M5073">
        <v>326833</v>
      </c>
      <c r="N5073">
        <v>1</v>
      </c>
      <c r="O5073" s="3">
        <v>44990</v>
      </c>
      <c r="P5073" s="3">
        <v>31000</v>
      </c>
      <c r="Q5073" s="5">
        <f t="shared" si="237"/>
        <v>37806.722689075636</v>
      </c>
      <c r="R5073" s="5">
        <f t="shared" si="238"/>
        <v>31000</v>
      </c>
      <c r="S5073" s="5">
        <f t="shared" si="239"/>
        <v>6806.7226890756356</v>
      </c>
    </row>
    <row r="5074" spans="1:19" hidden="1" x14ac:dyDescent="0.3">
      <c r="A5074">
        <v>190</v>
      </c>
      <c r="B5074" t="s">
        <v>5801</v>
      </c>
      <c r="C5074" t="s">
        <v>2830</v>
      </c>
      <c r="D5074" s="2" t="s">
        <v>2831</v>
      </c>
      <c r="E5074" t="s">
        <v>1330</v>
      </c>
      <c r="F5074" t="s">
        <v>20</v>
      </c>
      <c r="G5074" t="s">
        <v>338</v>
      </c>
      <c r="H5074">
        <v>25133</v>
      </c>
      <c r="I5074" t="s">
        <v>23</v>
      </c>
      <c r="J5074" t="s">
        <v>35</v>
      </c>
      <c r="K5074" s="2" t="s">
        <v>2983</v>
      </c>
      <c r="L5074" t="s">
        <v>26</v>
      </c>
      <c r="M5074">
        <v>326834</v>
      </c>
      <c r="N5074">
        <v>1</v>
      </c>
      <c r="O5074" s="3">
        <v>74950</v>
      </c>
      <c r="P5074" s="3">
        <v>21167</v>
      </c>
      <c r="Q5074" s="5">
        <f t="shared" si="237"/>
        <v>62983.193277310929</v>
      </c>
      <c r="R5074" s="5">
        <f t="shared" si="238"/>
        <v>21167</v>
      </c>
      <c r="S5074" s="5">
        <f t="shared" si="239"/>
        <v>41816.193277310929</v>
      </c>
    </row>
    <row r="5075" spans="1:19" hidden="1" x14ac:dyDescent="0.3">
      <c r="A5075">
        <v>190</v>
      </c>
      <c r="B5075" t="s">
        <v>5801</v>
      </c>
      <c r="C5075" t="s">
        <v>3723</v>
      </c>
      <c r="D5075" s="2" t="s">
        <v>3724</v>
      </c>
      <c r="E5075" t="s">
        <v>3573</v>
      </c>
      <c r="F5075" t="s">
        <v>20</v>
      </c>
      <c r="G5075" t="s">
        <v>21</v>
      </c>
      <c r="H5075" t="s">
        <v>247</v>
      </c>
      <c r="I5075" t="s">
        <v>23</v>
      </c>
      <c r="J5075" t="s">
        <v>40</v>
      </c>
      <c r="K5075" s="2" t="s">
        <v>2983</v>
      </c>
      <c r="L5075" t="s">
        <v>26</v>
      </c>
      <c r="M5075">
        <v>326835</v>
      </c>
      <c r="N5075">
        <v>1</v>
      </c>
      <c r="O5075" s="3">
        <v>34990</v>
      </c>
      <c r="P5075" s="3">
        <v>16981</v>
      </c>
      <c r="Q5075" s="5">
        <f t="shared" si="237"/>
        <v>29403.361344537818</v>
      </c>
      <c r="R5075" s="5">
        <f t="shared" si="238"/>
        <v>16981</v>
      </c>
      <c r="S5075" s="5">
        <f t="shared" si="239"/>
        <v>12422.361344537818</v>
      </c>
    </row>
    <row r="5076" spans="1:19" hidden="1" x14ac:dyDescent="0.3">
      <c r="A5076">
        <v>190</v>
      </c>
      <c r="B5076" t="s">
        <v>5801</v>
      </c>
      <c r="C5076" t="s">
        <v>2749</v>
      </c>
      <c r="D5076" s="2" t="s">
        <v>2750</v>
      </c>
      <c r="E5076" t="s">
        <v>2629</v>
      </c>
      <c r="F5076" t="s">
        <v>20</v>
      </c>
      <c r="G5076" t="s">
        <v>21</v>
      </c>
      <c r="H5076" t="s">
        <v>1987</v>
      </c>
      <c r="I5076" t="s">
        <v>23</v>
      </c>
      <c r="J5076" t="s">
        <v>49</v>
      </c>
      <c r="K5076" s="2" t="s">
        <v>2983</v>
      </c>
      <c r="L5076" t="s">
        <v>26</v>
      </c>
      <c r="M5076">
        <v>326836</v>
      </c>
      <c r="N5076">
        <v>2</v>
      </c>
      <c r="O5076" s="3">
        <v>138650</v>
      </c>
      <c r="P5076" s="3">
        <v>23391</v>
      </c>
      <c r="Q5076" s="5">
        <f t="shared" si="237"/>
        <v>116512.60504201682</v>
      </c>
      <c r="R5076" s="5">
        <f t="shared" si="238"/>
        <v>46782</v>
      </c>
      <c r="S5076" s="5">
        <f t="shared" si="239"/>
        <v>69730.605042016818</v>
      </c>
    </row>
    <row r="5077" spans="1:19" hidden="1" x14ac:dyDescent="0.3">
      <c r="A5077">
        <v>190</v>
      </c>
      <c r="B5077" t="s">
        <v>5801</v>
      </c>
      <c r="C5077" t="s">
        <v>3298</v>
      </c>
      <c r="D5077" s="2" t="s">
        <v>3299</v>
      </c>
      <c r="E5077" t="s">
        <v>2185</v>
      </c>
      <c r="F5077" t="s">
        <v>20</v>
      </c>
      <c r="G5077" t="s">
        <v>21</v>
      </c>
      <c r="H5077" t="s">
        <v>614</v>
      </c>
      <c r="I5077" t="s">
        <v>23</v>
      </c>
      <c r="J5077" t="s">
        <v>40</v>
      </c>
      <c r="K5077" s="2" t="s">
        <v>2983</v>
      </c>
      <c r="L5077" t="s">
        <v>26</v>
      </c>
      <c r="M5077">
        <v>326837</v>
      </c>
      <c r="N5077">
        <v>1</v>
      </c>
      <c r="O5077" s="3">
        <v>44990</v>
      </c>
      <c r="P5077" s="3">
        <v>17386</v>
      </c>
      <c r="Q5077" s="5">
        <f t="shared" si="237"/>
        <v>37806.722689075636</v>
      </c>
      <c r="R5077" s="5">
        <f t="shared" si="238"/>
        <v>17386</v>
      </c>
      <c r="S5077" s="5">
        <f t="shared" si="239"/>
        <v>20420.722689075636</v>
      </c>
    </row>
    <row r="5078" spans="1:19" hidden="1" x14ac:dyDescent="0.3">
      <c r="A5078">
        <v>190</v>
      </c>
      <c r="B5078" t="s">
        <v>5801</v>
      </c>
      <c r="C5078" t="s">
        <v>5647</v>
      </c>
      <c r="D5078" s="2" t="s">
        <v>5648</v>
      </c>
      <c r="E5078" t="s">
        <v>3013</v>
      </c>
      <c r="F5078" t="s">
        <v>20</v>
      </c>
      <c r="G5078" t="s">
        <v>21</v>
      </c>
      <c r="H5078" t="s">
        <v>2070</v>
      </c>
      <c r="I5078" t="s">
        <v>23</v>
      </c>
      <c r="J5078" t="s">
        <v>24</v>
      </c>
      <c r="K5078" s="2" t="s">
        <v>2983</v>
      </c>
      <c r="L5078" t="s">
        <v>26</v>
      </c>
      <c r="M5078">
        <v>326838</v>
      </c>
      <c r="N5078">
        <v>1</v>
      </c>
      <c r="O5078" s="3">
        <v>84950</v>
      </c>
      <c r="P5078" s="3">
        <v>27716</v>
      </c>
      <c r="Q5078" s="5">
        <f t="shared" si="237"/>
        <v>71386.554621848743</v>
      </c>
      <c r="R5078" s="5">
        <f t="shared" si="238"/>
        <v>27716</v>
      </c>
      <c r="S5078" s="5">
        <f t="shared" si="239"/>
        <v>43670.554621848743</v>
      </c>
    </row>
    <row r="5079" spans="1:19" hidden="1" x14ac:dyDescent="0.3">
      <c r="A5079">
        <v>190</v>
      </c>
      <c r="B5079" t="s">
        <v>5801</v>
      </c>
      <c r="C5079" t="s">
        <v>5921</v>
      </c>
      <c r="D5079" s="2" t="s">
        <v>5922</v>
      </c>
      <c r="E5079" t="s">
        <v>2069</v>
      </c>
      <c r="F5079" t="s">
        <v>20</v>
      </c>
      <c r="G5079" t="s">
        <v>21</v>
      </c>
      <c r="H5079" t="s">
        <v>2070</v>
      </c>
      <c r="I5079" t="s">
        <v>23</v>
      </c>
      <c r="J5079" t="s">
        <v>35</v>
      </c>
      <c r="K5079" s="2" t="s">
        <v>2983</v>
      </c>
      <c r="L5079" t="s">
        <v>26</v>
      </c>
      <c r="M5079">
        <v>326838</v>
      </c>
      <c r="N5079">
        <v>1</v>
      </c>
      <c r="O5079" s="3">
        <v>76450</v>
      </c>
      <c r="P5079" s="3">
        <v>29635</v>
      </c>
      <c r="Q5079" s="5">
        <f t="shared" si="237"/>
        <v>64243.697478991598</v>
      </c>
      <c r="R5079" s="5">
        <f t="shared" si="238"/>
        <v>29635</v>
      </c>
      <c r="S5079" s="5">
        <f t="shared" si="239"/>
        <v>34608.697478991598</v>
      </c>
    </row>
    <row r="5080" spans="1:19" hidden="1" x14ac:dyDescent="0.3">
      <c r="A5080">
        <v>190</v>
      </c>
      <c r="B5080" t="s">
        <v>5801</v>
      </c>
      <c r="C5080" t="s">
        <v>5529</v>
      </c>
      <c r="D5080" s="2" t="s">
        <v>5530</v>
      </c>
      <c r="E5080" t="s">
        <v>3175</v>
      </c>
      <c r="F5080" t="s">
        <v>20</v>
      </c>
      <c r="G5080" t="s">
        <v>21</v>
      </c>
      <c r="H5080" t="s">
        <v>625</v>
      </c>
      <c r="I5080" t="s">
        <v>23</v>
      </c>
      <c r="J5080" t="s">
        <v>35</v>
      </c>
      <c r="K5080" s="2" t="s">
        <v>2983</v>
      </c>
      <c r="L5080" t="s">
        <v>26</v>
      </c>
      <c r="M5080">
        <v>326839</v>
      </c>
      <c r="N5080">
        <v>1</v>
      </c>
      <c r="O5080" s="3">
        <v>49990</v>
      </c>
      <c r="P5080" s="3">
        <v>24956</v>
      </c>
      <c r="Q5080" s="5">
        <f t="shared" si="237"/>
        <v>42008.403361344543</v>
      </c>
      <c r="R5080" s="5">
        <f t="shared" si="238"/>
        <v>24956</v>
      </c>
      <c r="S5080" s="5">
        <f t="shared" si="239"/>
        <v>17052.403361344543</v>
      </c>
    </row>
    <row r="5081" spans="1:19" hidden="1" x14ac:dyDescent="0.3">
      <c r="A5081">
        <v>190</v>
      </c>
      <c r="B5081" t="s">
        <v>5801</v>
      </c>
      <c r="C5081" t="s">
        <v>5999</v>
      </c>
      <c r="D5081" s="2" t="s">
        <v>6000</v>
      </c>
      <c r="E5081" t="s">
        <v>3155</v>
      </c>
      <c r="F5081" t="s">
        <v>20</v>
      </c>
      <c r="G5081" t="s">
        <v>21</v>
      </c>
      <c r="H5081" t="s">
        <v>970</v>
      </c>
      <c r="I5081" t="s">
        <v>23</v>
      </c>
      <c r="J5081" t="s">
        <v>40</v>
      </c>
      <c r="K5081" s="2" t="s">
        <v>2983</v>
      </c>
      <c r="L5081" t="s">
        <v>26</v>
      </c>
      <c r="M5081">
        <v>326840</v>
      </c>
      <c r="N5081">
        <v>1</v>
      </c>
      <c r="O5081" s="3">
        <v>59950</v>
      </c>
      <c r="P5081" s="3">
        <v>19352</v>
      </c>
      <c r="Q5081" s="5">
        <f t="shared" si="237"/>
        <v>50378.151260504201</v>
      </c>
      <c r="R5081" s="5">
        <f t="shared" si="238"/>
        <v>19352</v>
      </c>
      <c r="S5081" s="5">
        <f t="shared" si="239"/>
        <v>31026.151260504201</v>
      </c>
    </row>
    <row r="5082" spans="1:19" hidden="1" x14ac:dyDescent="0.3">
      <c r="A5082">
        <v>190</v>
      </c>
      <c r="B5082" t="s">
        <v>5801</v>
      </c>
      <c r="C5082" t="s">
        <v>5394</v>
      </c>
      <c r="D5082" s="2" t="s">
        <v>5395</v>
      </c>
      <c r="E5082" t="s">
        <v>3248</v>
      </c>
      <c r="F5082" t="s">
        <v>20</v>
      </c>
      <c r="G5082" t="s">
        <v>338</v>
      </c>
      <c r="H5082">
        <v>23201</v>
      </c>
      <c r="I5082" t="s">
        <v>23</v>
      </c>
      <c r="J5082" t="s">
        <v>49</v>
      </c>
      <c r="K5082" s="2" t="s">
        <v>2983</v>
      </c>
      <c r="L5082" t="s">
        <v>26</v>
      </c>
      <c r="M5082">
        <v>326841</v>
      </c>
      <c r="N5082">
        <v>1</v>
      </c>
      <c r="O5082" s="3">
        <v>72200</v>
      </c>
      <c r="P5082" s="3">
        <v>26390</v>
      </c>
      <c r="Q5082" s="5">
        <f t="shared" si="237"/>
        <v>60672.268907563026</v>
      </c>
      <c r="R5082" s="5">
        <f t="shared" si="238"/>
        <v>26390</v>
      </c>
      <c r="S5082" s="5">
        <f t="shared" si="239"/>
        <v>34282.268907563026</v>
      </c>
    </row>
    <row r="5083" spans="1:19" hidden="1" x14ac:dyDescent="0.3">
      <c r="A5083">
        <v>190</v>
      </c>
      <c r="B5083" t="s">
        <v>5801</v>
      </c>
      <c r="C5083" t="s">
        <v>4833</v>
      </c>
      <c r="D5083" s="2" t="s">
        <v>4834</v>
      </c>
      <c r="E5083" t="s">
        <v>3003</v>
      </c>
      <c r="F5083" t="s">
        <v>20</v>
      </c>
      <c r="G5083" t="s">
        <v>338</v>
      </c>
      <c r="H5083">
        <v>25312</v>
      </c>
      <c r="I5083" t="s">
        <v>23</v>
      </c>
      <c r="J5083" t="s">
        <v>35</v>
      </c>
      <c r="K5083" s="2" t="s">
        <v>2983</v>
      </c>
      <c r="L5083" t="s">
        <v>26</v>
      </c>
      <c r="M5083">
        <v>326841</v>
      </c>
      <c r="N5083">
        <v>1</v>
      </c>
      <c r="O5083" s="3">
        <v>69950</v>
      </c>
      <c r="P5083" s="3">
        <v>21167</v>
      </c>
      <c r="Q5083" s="5">
        <f t="shared" si="237"/>
        <v>58781.512605042022</v>
      </c>
      <c r="R5083" s="5">
        <f t="shared" si="238"/>
        <v>21167</v>
      </c>
      <c r="S5083" s="5">
        <f t="shared" si="239"/>
        <v>37614.512605042022</v>
      </c>
    </row>
    <row r="5084" spans="1:19" hidden="1" x14ac:dyDescent="0.3">
      <c r="A5084">
        <v>190</v>
      </c>
      <c r="B5084" t="s">
        <v>5801</v>
      </c>
      <c r="C5084" t="s">
        <v>4751</v>
      </c>
      <c r="D5084" s="2" t="s">
        <v>4752</v>
      </c>
      <c r="E5084" t="s">
        <v>4753</v>
      </c>
      <c r="F5084" t="s">
        <v>20</v>
      </c>
      <c r="G5084" t="s">
        <v>338</v>
      </c>
      <c r="H5084">
        <v>23313</v>
      </c>
      <c r="I5084" t="s">
        <v>23</v>
      </c>
      <c r="J5084" t="s">
        <v>40</v>
      </c>
      <c r="K5084" s="2" t="s">
        <v>2983</v>
      </c>
      <c r="L5084" t="s">
        <v>26</v>
      </c>
      <c r="M5084">
        <v>326842</v>
      </c>
      <c r="N5084">
        <v>1</v>
      </c>
      <c r="O5084" s="3">
        <v>69950</v>
      </c>
      <c r="P5084" s="3">
        <v>22704</v>
      </c>
      <c r="Q5084" s="5">
        <f t="shared" si="237"/>
        <v>58781.512605042022</v>
      </c>
      <c r="R5084" s="5">
        <f t="shared" si="238"/>
        <v>22704</v>
      </c>
      <c r="S5084" s="5">
        <f t="shared" si="239"/>
        <v>36077.512605042022</v>
      </c>
    </row>
    <row r="5085" spans="1:19" hidden="1" x14ac:dyDescent="0.3">
      <c r="A5085">
        <v>190</v>
      </c>
      <c r="B5085" t="s">
        <v>5801</v>
      </c>
      <c r="C5085" t="s">
        <v>4762</v>
      </c>
      <c r="D5085" s="2" t="s">
        <v>4763</v>
      </c>
      <c r="E5085" t="s">
        <v>1330</v>
      </c>
      <c r="F5085" t="s">
        <v>20</v>
      </c>
      <c r="G5085" t="s">
        <v>338</v>
      </c>
      <c r="H5085">
        <v>25133</v>
      </c>
      <c r="I5085" t="s">
        <v>23</v>
      </c>
      <c r="J5085" t="s">
        <v>35</v>
      </c>
      <c r="K5085" s="2" t="s">
        <v>2983</v>
      </c>
      <c r="L5085" t="s">
        <v>26</v>
      </c>
      <c r="M5085">
        <v>326842</v>
      </c>
      <c r="N5085">
        <v>1</v>
      </c>
      <c r="O5085" s="3">
        <v>63700</v>
      </c>
      <c r="P5085" s="3">
        <v>21167</v>
      </c>
      <c r="Q5085" s="5">
        <f t="shared" si="237"/>
        <v>53529.411764705888</v>
      </c>
      <c r="R5085" s="5">
        <f t="shared" si="238"/>
        <v>21167</v>
      </c>
      <c r="S5085" s="5">
        <f t="shared" si="239"/>
        <v>32362.411764705888</v>
      </c>
    </row>
    <row r="5086" spans="1:19" hidden="1" x14ac:dyDescent="0.3">
      <c r="A5086">
        <v>190</v>
      </c>
      <c r="B5086" t="s">
        <v>5801</v>
      </c>
      <c r="C5086" t="s">
        <v>3358</v>
      </c>
      <c r="D5086" s="2" t="s">
        <v>3359</v>
      </c>
      <c r="E5086" t="s">
        <v>2069</v>
      </c>
      <c r="F5086" t="s">
        <v>20</v>
      </c>
      <c r="G5086" t="s">
        <v>21</v>
      </c>
      <c r="H5086" t="s">
        <v>2070</v>
      </c>
      <c r="I5086" t="s">
        <v>23</v>
      </c>
      <c r="J5086" t="s">
        <v>35</v>
      </c>
      <c r="K5086" s="2" t="s">
        <v>2983</v>
      </c>
      <c r="L5086" t="s">
        <v>26</v>
      </c>
      <c r="M5086">
        <v>326843</v>
      </c>
      <c r="N5086">
        <v>1</v>
      </c>
      <c r="O5086" s="3">
        <v>89950</v>
      </c>
      <c r="P5086" s="3">
        <v>29635</v>
      </c>
      <c r="Q5086" s="5">
        <f t="shared" si="237"/>
        <v>75588.23529411765</v>
      </c>
      <c r="R5086" s="5">
        <f t="shared" si="238"/>
        <v>29635</v>
      </c>
      <c r="S5086" s="5">
        <f t="shared" si="239"/>
        <v>45953.23529411765</v>
      </c>
    </row>
    <row r="5087" spans="1:19" hidden="1" x14ac:dyDescent="0.3">
      <c r="A5087">
        <v>190</v>
      </c>
      <c r="B5087" t="s">
        <v>5801</v>
      </c>
      <c r="C5087" t="s">
        <v>4061</v>
      </c>
      <c r="D5087" s="2" t="s">
        <v>4062</v>
      </c>
      <c r="E5087" t="s">
        <v>2208</v>
      </c>
      <c r="F5087" t="s">
        <v>20</v>
      </c>
      <c r="G5087" t="s">
        <v>338</v>
      </c>
      <c r="H5087">
        <v>25823</v>
      </c>
      <c r="I5087" t="s">
        <v>23</v>
      </c>
      <c r="J5087" t="s">
        <v>35</v>
      </c>
      <c r="K5087" s="2" t="s">
        <v>2983</v>
      </c>
      <c r="L5087" t="s">
        <v>26</v>
      </c>
      <c r="M5087">
        <v>326844</v>
      </c>
      <c r="N5087">
        <v>1</v>
      </c>
      <c r="O5087" s="3">
        <v>99950</v>
      </c>
      <c r="P5087" s="3">
        <v>33748</v>
      </c>
      <c r="Q5087" s="5">
        <f t="shared" si="237"/>
        <v>83991.596638655465</v>
      </c>
      <c r="R5087" s="5">
        <f t="shared" si="238"/>
        <v>33748</v>
      </c>
      <c r="S5087" s="5">
        <f t="shared" si="239"/>
        <v>50243.596638655465</v>
      </c>
    </row>
    <row r="5088" spans="1:19" hidden="1" x14ac:dyDescent="0.3">
      <c r="A5088">
        <v>190</v>
      </c>
      <c r="B5088" t="s">
        <v>5801</v>
      </c>
      <c r="C5088" t="s">
        <v>4905</v>
      </c>
      <c r="D5088" s="2" t="s">
        <v>4906</v>
      </c>
      <c r="E5088" t="s">
        <v>3418</v>
      </c>
      <c r="F5088" t="s">
        <v>20</v>
      </c>
      <c r="G5088" t="s">
        <v>21</v>
      </c>
      <c r="H5088" t="s">
        <v>1418</v>
      </c>
      <c r="I5088" t="s">
        <v>23</v>
      </c>
      <c r="J5088" t="s">
        <v>35</v>
      </c>
      <c r="K5088" s="2" t="s">
        <v>2983</v>
      </c>
      <c r="L5088" t="s">
        <v>26</v>
      </c>
      <c r="M5088">
        <v>326845</v>
      </c>
      <c r="N5088">
        <v>1</v>
      </c>
      <c r="O5088" s="3">
        <v>94950</v>
      </c>
      <c r="P5088" s="3">
        <v>30749</v>
      </c>
      <c r="Q5088" s="5">
        <f t="shared" si="237"/>
        <v>79789.915966386558</v>
      </c>
      <c r="R5088" s="5">
        <f t="shared" si="238"/>
        <v>30749</v>
      </c>
      <c r="S5088" s="5">
        <f t="shared" si="239"/>
        <v>49040.915966386558</v>
      </c>
    </row>
    <row r="5089" spans="1:19" hidden="1" x14ac:dyDescent="0.3">
      <c r="A5089">
        <v>190</v>
      </c>
      <c r="B5089" t="s">
        <v>5801</v>
      </c>
      <c r="C5089" t="s">
        <v>6001</v>
      </c>
      <c r="D5089" s="2" t="s">
        <v>6002</v>
      </c>
      <c r="E5089" t="s">
        <v>2352</v>
      </c>
      <c r="F5089" t="s">
        <v>20</v>
      </c>
      <c r="G5089" t="s">
        <v>21</v>
      </c>
      <c r="H5089" t="s">
        <v>2353</v>
      </c>
      <c r="I5089" t="s">
        <v>23</v>
      </c>
      <c r="J5089" t="s">
        <v>40</v>
      </c>
      <c r="K5089" s="2" t="s">
        <v>2983</v>
      </c>
      <c r="L5089" t="s">
        <v>26</v>
      </c>
      <c r="M5089">
        <v>326846</v>
      </c>
      <c r="N5089">
        <v>1</v>
      </c>
      <c r="O5089" s="3">
        <v>69990</v>
      </c>
      <c r="P5089" s="3">
        <v>31405</v>
      </c>
      <c r="Q5089" s="5">
        <f t="shared" si="237"/>
        <v>58815.126050420171</v>
      </c>
      <c r="R5089" s="5">
        <f t="shared" si="238"/>
        <v>31405</v>
      </c>
      <c r="S5089" s="5">
        <f t="shared" si="239"/>
        <v>27410.126050420171</v>
      </c>
    </row>
    <row r="5090" spans="1:19" hidden="1" x14ac:dyDescent="0.3">
      <c r="A5090">
        <v>190</v>
      </c>
      <c r="B5090" t="s">
        <v>5801</v>
      </c>
      <c r="C5090" t="s">
        <v>4387</v>
      </c>
      <c r="D5090" s="2" t="s">
        <v>4388</v>
      </c>
      <c r="E5090" t="s">
        <v>3068</v>
      </c>
      <c r="F5090" t="s">
        <v>20</v>
      </c>
      <c r="G5090" t="s">
        <v>21</v>
      </c>
      <c r="H5090" t="s">
        <v>1286</v>
      </c>
      <c r="I5090" t="s">
        <v>23</v>
      </c>
      <c r="J5090" t="s">
        <v>40</v>
      </c>
      <c r="K5090" s="2" t="s">
        <v>2983</v>
      </c>
      <c r="L5090" t="s">
        <v>26</v>
      </c>
      <c r="M5090">
        <v>326847</v>
      </c>
      <c r="N5090">
        <v>1</v>
      </c>
      <c r="O5090" s="3">
        <v>69950</v>
      </c>
      <c r="P5090" s="3">
        <v>19604</v>
      </c>
      <c r="Q5090" s="5">
        <f t="shared" si="237"/>
        <v>58781.512605042022</v>
      </c>
      <c r="R5090" s="5">
        <f t="shared" si="238"/>
        <v>19604</v>
      </c>
      <c r="S5090" s="5">
        <f t="shared" si="239"/>
        <v>39177.512605042022</v>
      </c>
    </row>
    <row r="5091" spans="1:19" hidden="1" x14ac:dyDescent="0.3">
      <c r="A5091">
        <v>190</v>
      </c>
      <c r="B5091" t="s">
        <v>5801</v>
      </c>
      <c r="C5091" t="s">
        <v>2097</v>
      </c>
      <c r="D5091" s="2" t="s">
        <v>2098</v>
      </c>
      <c r="E5091" t="s">
        <v>494</v>
      </c>
      <c r="F5091" t="s">
        <v>20</v>
      </c>
      <c r="G5091" t="s">
        <v>21</v>
      </c>
      <c r="H5091" t="s">
        <v>317</v>
      </c>
      <c r="I5091" t="s">
        <v>23</v>
      </c>
      <c r="J5091" t="s">
        <v>35</v>
      </c>
      <c r="K5091" s="2" t="s">
        <v>1569</v>
      </c>
      <c r="L5091" t="s">
        <v>26</v>
      </c>
      <c r="M5091">
        <v>326848</v>
      </c>
      <c r="N5091">
        <v>1</v>
      </c>
      <c r="O5091" s="3">
        <v>69950</v>
      </c>
      <c r="P5091" s="3">
        <v>23619</v>
      </c>
      <c r="Q5091" s="5">
        <f t="shared" si="237"/>
        <v>58781.512605042022</v>
      </c>
      <c r="R5091" s="5">
        <f t="shared" si="238"/>
        <v>23619</v>
      </c>
      <c r="S5091" s="5">
        <f t="shared" si="239"/>
        <v>35162.512605042022</v>
      </c>
    </row>
    <row r="5092" spans="1:19" hidden="1" x14ac:dyDescent="0.3">
      <c r="A5092">
        <v>190</v>
      </c>
      <c r="B5092" t="s">
        <v>5801</v>
      </c>
      <c r="C5092" t="s">
        <v>3825</v>
      </c>
      <c r="D5092" s="2" t="s">
        <v>3826</v>
      </c>
      <c r="E5092" t="s">
        <v>3418</v>
      </c>
      <c r="F5092" t="s">
        <v>20</v>
      </c>
      <c r="G5092" t="s">
        <v>21</v>
      </c>
      <c r="H5092" t="s">
        <v>1418</v>
      </c>
      <c r="I5092" t="s">
        <v>23</v>
      </c>
      <c r="J5092" t="s">
        <v>35</v>
      </c>
      <c r="K5092" s="2" t="s">
        <v>1569</v>
      </c>
      <c r="L5092" t="s">
        <v>26</v>
      </c>
      <c r="M5092">
        <v>326849</v>
      </c>
      <c r="N5092">
        <v>1</v>
      </c>
      <c r="O5092" s="3">
        <v>94950</v>
      </c>
      <c r="P5092" s="3">
        <v>30749</v>
      </c>
      <c r="Q5092" s="5">
        <f t="shared" si="237"/>
        <v>79789.915966386558</v>
      </c>
      <c r="R5092" s="5">
        <f t="shared" si="238"/>
        <v>30749</v>
      </c>
      <c r="S5092" s="5">
        <f t="shared" si="239"/>
        <v>49040.915966386558</v>
      </c>
    </row>
    <row r="5093" spans="1:19" hidden="1" x14ac:dyDescent="0.3">
      <c r="A5093">
        <v>190</v>
      </c>
      <c r="B5093" t="s">
        <v>5801</v>
      </c>
      <c r="C5093" t="s">
        <v>5303</v>
      </c>
      <c r="D5093" s="2" t="s">
        <v>5304</v>
      </c>
      <c r="E5093" t="s">
        <v>4846</v>
      </c>
      <c r="F5093" t="s">
        <v>20</v>
      </c>
      <c r="G5093" t="s">
        <v>21</v>
      </c>
      <c r="H5093" t="s">
        <v>3128</v>
      </c>
      <c r="I5093" t="s">
        <v>23</v>
      </c>
      <c r="J5093" t="s">
        <v>49</v>
      </c>
      <c r="K5093" s="2" t="s">
        <v>1569</v>
      </c>
      <c r="L5093" t="s">
        <v>26</v>
      </c>
      <c r="M5093">
        <v>326850</v>
      </c>
      <c r="N5093">
        <v>1</v>
      </c>
      <c r="O5093" s="3">
        <v>79950</v>
      </c>
      <c r="P5093" s="3">
        <v>29986</v>
      </c>
      <c r="Q5093" s="5">
        <f t="shared" si="237"/>
        <v>67184.873949579836</v>
      </c>
      <c r="R5093" s="5">
        <f t="shared" si="238"/>
        <v>29986</v>
      </c>
      <c r="S5093" s="5">
        <f t="shared" si="239"/>
        <v>37198.873949579836</v>
      </c>
    </row>
    <row r="5094" spans="1:19" hidden="1" x14ac:dyDescent="0.3">
      <c r="A5094">
        <v>190</v>
      </c>
      <c r="B5094" t="s">
        <v>5801</v>
      </c>
      <c r="C5094" t="s">
        <v>4623</v>
      </c>
      <c r="D5094" s="2" t="s">
        <v>4624</v>
      </c>
      <c r="E5094" t="s">
        <v>3810</v>
      </c>
      <c r="F5094" t="s">
        <v>20</v>
      </c>
      <c r="G5094" t="s">
        <v>21</v>
      </c>
      <c r="H5094" t="s">
        <v>3811</v>
      </c>
      <c r="I5094" t="s">
        <v>23</v>
      </c>
      <c r="J5094" t="s">
        <v>40</v>
      </c>
      <c r="K5094" s="2" t="s">
        <v>1569</v>
      </c>
      <c r="L5094" t="s">
        <v>26</v>
      </c>
      <c r="M5094">
        <v>326851</v>
      </c>
      <c r="N5094">
        <v>1</v>
      </c>
      <c r="O5094" s="3">
        <v>49990</v>
      </c>
      <c r="P5094" s="3">
        <v>21722</v>
      </c>
      <c r="Q5094" s="5">
        <f t="shared" si="237"/>
        <v>42008.403361344543</v>
      </c>
      <c r="R5094" s="5">
        <f t="shared" si="238"/>
        <v>21722</v>
      </c>
      <c r="S5094" s="5">
        <f t="shared" si="239"/>
        <v>20286.403361344543</v>
      </c>
    </row>
    <row r="5095" spans="1:19" hidden="1" x14ac:dyDescent="0.3">
      <c r="A5095">
        <v>190</v>
      </c>
      <c r="B5095" t="s">
        <v>5801</v>
      </c>
      <c r="C5095" t="s">
        <v>6003</v>
      </c>
      <c r="D5095" s="2" t="s">
        <v>6004</v>
      </c>
      <c r="E5095" t="s">
        <v>4038</v>
      </c>
      <c r="F5095" t="s">
        <v>20</v>
      </c>
      <c r="G5095" t="s">
        <v>21</v>
      </c>
      <c r="H5095" t="s">
        <v>2469</v>
      </c>
      <c r="I5095" t="s">
        <v>23</v>
      </c>
      <c r="J5095" t="s">
        <v>35</v>
      </c>
      <c r="K5095" s="2" t="s">
        <v>1569</v>
      </c>
      <c r="L5095" t="s">
        <v>26</v>
      </c>
      <c r="M5095">
        <v>326852</v>
      </c>
      <c r="N5095">
        <v>1</v>
      </c>
      <c r="O5095" s="3">
        <v>69990</v>
      </c>
      <c r="P5095" s="3">
        <v>29635</v>
      </c>
      <c r="Q5095" s="5">
        <f t="shared" si="237"/>
        <v>58815.126050420171</v>
      </c>
      <c r="R5095" s="5">
        <f t="shared" si="238"/>
        <v>29635</v>
      </c>
      <c r="S5095" s="5">
        <f t="shared" si="239"/>
        <v>29180.126050420171</v>
      </c>
    </row>
    <row r="5096" spans="1:19" hidden="1" x14ac:dyDescent="0.3">
      <c r="A5096">
        <v>190</v>
      </c>
      <c r="B5096" t="s">
        <v>5801</v>
      </c>
      <c r="C5096" t="s">
        <v>3858</v>
      </c>
      <c r="D5096" s="2" t="s">
        <v>3859</v>
      </c>
      <c r="E5096" t="s">
        <v>3523</v>
      </c>
      <c r="F5096" t="s">
        <v>20</v>
      </c>
      <c r="G5096" t="s">
        <v>21</v>
      </c>
      <c r="H5096" t="s">
        <v>2070</v>
      </c>
      <c r="I5096" t="s">
        <v>23</v>
      </c>
      <c r="J5096" t="s">
        <v>24</v>
      </c>
      <c r="K5096" s="2" t="s">
        <v>1569</v>
      </c>
      <c r="L5096" t="s">
        <v>26</v>
      </c>
      <c r="M5096">
        <v>326852</v>
      </c>
      <c r="N5096">
        <v>1</v>
      </c>
      <c r="O5096" s="3">
        <v>84950</v>
      </c>
      <c r="P5096" s="3">
        <v>27535</v>
      </c>
      <c r="Q5096" s="5">
        <f t="shared" si="237"/>
        <v>71386.554621848743</v>
      </c>
      <c r="R5096" s="5">
        <f t="shared" si="238"/>
        <v>27535</v>
      </c>
      <c r="S5096" s="5">
        <f t="shared" si="239"/>
        <v>43851.554621848743</v>
      </c>
    </row>
    <row r="5097" spans="1:19" hidden="1" x14ac:dyDescent="0.3">
      <c r="A5097">
        <v>190</v>
      </c>
      <c r="B5097" t="s">
        <v>5801</v>
      </c>
      <c r="C5097" t="s">
        <v>3647</v>
      </c>
      <c r="D5097" s="2" t="s">
        <v>3648</v>
      </c>
      <c r="E5097" t="s">
        <v>316</v>
      </c>
      <c r="F5097" t="s">
        <v>20</v>
      </c>
      <c r="G5097" t="s">
        <v>21</v>
      </c>
      <c r="H5097" t="s">
        <v>317</v>
      </c>
      <c r="I5097" t="s">
        <v>23</v>
      </c>
      <c r="J5097" t="s">
        <v>35</v>
      </c>
      <c r="K5097" s="2" t="s">
        <v>1569</v>
      </c>
      <c r="L5097" t="s">
        <v>26</v>
      </c>
      <c r="M5097">
        <v>326853</v>
      </c>
      <c r="N5097">
        <v>1</v>
      </c>
      <c r="O5097" s="3">
        <v>69950</v>
      </c>
      <c r="P5097" s="3">
        <v>24893</v>
      </c>
      <c r="Q5097" s="5">
        <f t="shared" si="237"/>
        <v>58781.512605042022</v>
      </c>
      <c r="R5097" s="5">
        <f t="shared" si="238"/>
        <v>24893</v>
      </c>
      <c r="S5097" s="5">
        <f t="shared" si="239"/>
        <v>33888.512605042022</v>
      </c>
    </row>
    <row r="5098" spans="1:19" hidden="1" x14ac:dyDescent="0.3">
      <c r="A5098">
        <v>190</v>
      </c>
      <c r="B5098" t="s">
        <v>5801</v>
      </c>
      <c r="C5098" t="s">
        <v>5919</v>
      </c>
      <c r="D5098" s="2" t="s">
        <v>5920</v>
      </c>
      <c r="E5098" t="s">
        <v>3335</v>
      </c>
      <c r="F5098" t="s">
        <v>20</v>
      </c>
      <c r="G5098" t="s">
        <v>338</v>
      </c>
      <c r="H5098">
        <v>25273</v>
      </c>
      <c r="I5098" t="s">
        <v>23</v>
      </c>
      <c r="J5098" t="s">
        <v>35</v>
      </c>
      <c r="K5098" s="2" t="s">
        <v>1569</v>
      </c>
      <c r="L5098" t="s">
        <v>26</v>
      </c>
      <c r="M5098">
        <v>326854</v>
      </c>
      <c r="N5098">
        <v>1</v>
      </c>
      <c r="O5098" s="3">
        <v>99950</v>
      </c>
      <c r="P5098" s="3">
        <v>32658</v>
      </c>
      <c r="Q5098" s="5">
        <f t="shared" si="237"/>
        <v>83991.596638655465</v>
      </c>
      <c r="R5098" s="5">
        <f t="shared" si="238"/>
        <v>32658</v>
      </c>
      <c r="S5098" s="5">
        <f t="shared" si="239"/>
        <v>51333.596638655465</v>
      </c>
    </row>
    <row r="5099" spans="1:19" hidden="1" x14ac:dyDescent="0.3">
      <c r="A5099">
        <v>190</v>
      </c>
      <c r="B5099" t="s">
        <v>5801</v>
      </c>
      <c r="C5099" t="s">
        <v>6005</v>
      </c>
      <c r="D5099" s="2" t="s">
        <v>6006</v>
      </c>
      <c r="E5099" t="s">
        <v>834</v>
      </c>
      <c r="F5099" t="s">
        <v>20</v>
      </c>
      <c r="G5099" t="s">
        <v>21</v>
      </c>
      <c r="H5099" t="s">
        <v>835</v>
      </c>
      <c r="I5099" t="s">
        <v>23</v>
      </c>
      <c r="J5099" t="s">
        <v>40</v>
      </c>
      <c r="K5099" s="2" t="s">
        <v>1569</v>
      </c>
      <c r="L5099" t="s">
        <v>26</v>
      </c>
      <c r="M5099">
        <v>326855</v>
      </c>
      <c r="N5099">
        <v>1</v>
      </c>
      <c r="O5099" s="3">
        <v>39990</v>
      </c>
      <c r="P5099" s="3">
        <v>25771</v>
      </c>
      <c r="Q5099" s="5">
        <f t="shared" si="237"/>
        <v>33605.042016806721</v>
      </c>
      <c r="R5099" s="5">
        <f t="shared" si="238"/>
        <v>25771</v>
      </c>
      <c r="S5099" s="5">
        <f t="shared" si="239"/>
        <v>7834.0420168067212</v>
      </c>
    </row>
    <row r="5100" spans="1:19" hidden="1" x14ac:dyDescent="0.3">
      <c r="A5100">
        <v>190</v>
      </c>
      <c r="B5100" t="s">
        <v>5801</v>
      </c>
      <c r="C5100">
        <v>1687976791</v>
      </c>
      <c r="D5100" s="2" t="s">
        <v>200</v>
      </c>
      <c r="E5100" t="s">
        <v>201</v>
      </c>
      <c r="F5100" t="s">
        <v>201</v>
      </c>
      <c r="G5100" t="s">
        <v>202</v>
      </c>
      <c r="H5100" t="s">
        <v>202</v>
      </c>
      <c r="I5100" t="s">
        <v>23</v>
      </c>
      <c r="J5100" t="s">
        <v>202</v>
      </c>
      <c r="K5100" s="2" t="s">
        <v>1569</v>
      </c>
      <c r="L5100" t="s">
        <v>26</v>
      </c>
      <c r="M5100">
        <v>326855</v>
      </c>
      <c r="N5100">
        <v>1</v>
      </c>
      <c r="O5100" s="3">
        <v>3400</v>
      </c>
      <c r="P5100">
        <v>1</v>
      </c>
      <c r="Q5100" s="5">
        <f t="shared" si="237"/>
        <v>2857.1428571428573</v>
      </c>
      <c r="R5100" s="5">
        <f t="shared" si="238"/>
        <v>1</v>
      </c>
      <c r="S5100" s="5">
        <f t="shared" si="239"/>
        <v>2856.1428571428573</v>
      </c>
    </row>
    <row r="5101" spans="1:19" hidden="1" x14ac:dyDescent="0.3">
      <c r="A5101">
        <v>190</v>
      </c>
      <c r="B5101" t="s">
        <v>5801</v>
      </c>
      <c r="C5101" t="s">
        <v>3023</v>
      </c>
      <c r="D5101" s="2" t="s">
        <v>3024</v>
      </c>
      <c r="E5101" t="s">
        <v>938</v>
      </c>
      <c r="F5101" t="s">
        <v>20</v>
      </c>
      <c r="G5101" t="s">
        <v>21</v>
      </c>
      <c r="H5101" t="s">
        <v>317</v>
      </c>
      <c r="I5101" t="s">
        <v>23</v>
      </c>
      <c r="J5101" t="s">
        <v>35</v>
      </c>
      <c r="K5101" s="2" t="s">
        <v>1569</v>
      </c>
      <c r="L5101" t="s">
        <v>26</v>
      </c>
      <c r="M5101">
        <v>326856</v>
      </c>
      <c r="N5101">
        <v>1</v>
      </c>
      <c r="O5101" s="3">
        <v>69950</v>
      </c>
      <c r="P5101" s="3">
        <v>26455</v>
      </c>
      <c r="Q5101" s="5">
        <f t="shared" si="237"/>
        <v>58781.512605042022</v>
      </c>
      <c r="R5101" s="5">
        <f t="shared" si="238"/>
        <v>26455</v>
      </c>
      <c r="S5101" s="5">
        <f t="shared" si="239"/>
        <v>32326.512605042022</v>
      </c>
    </row>
    <row r="5102" spans="1:19" hidden="1" x14ac:dyDescent="0.3">
      <c r="A5102">
        <v>190</v>
      </c>
      <c r="B5102" t="s">
        <v>5801</v>
      </c>
      <c r="C5102" t="s">
        <v>4944</v>
      </c>
      <c r="D5102" s="2" t="s">
        <v>4945</v>
      </c>
      <c r="E5102" t="s">
        <v>2744</v>
      </c>
      <c r="F5102" t="s">
        <v>20</v>
      </c>
      <c r="G5102" t="s">
        <v>21</v>
      </c>
      <c r="H5102" t="s">
        <v>2745</v>
      </c>
      <c r="I5102" t="s">
        <v>23</v>
      </c>
      <c r="J5102" t="s">
        <v>35</v>
      </c>
      <c r="K5102" s="2" t="s">
        <v>1569</v>
      </c>
      <c r="L5102" t="s">
        <v>26</v>
      </c>
      <c r="M5102">
        <v>326857</v>
      </c>
      <c r="N5102">
        <v>-1</v>
      </c>
      <c r="O5102" s="3">
        <v>-84950</v>
      </c>
      <c r="P5102" s="3">
        <v>33200</v>
      </c>
      <c r="Q5102" s="5">
        <f t="shared" si="237"/>
        <v>-71386.554621848743</v>
      </c>
      <c r="R5102" s="5">
        <f t="shared" si="238"/>
        <v>-33200</v>
      </c>
      <c r="S5102" s="5">
        <f t="shared" si="239"/>
        <v>-38186.554621848743</v>
      </c>
    </row>
    <row r="5103" spans="1:19" hidden="1" x14ac:dyDescent="0.3">
      <c r="A5103">
        <v>190</v>
      </c>
      <c r="B5103" t="s">
        <v>5801</v>
      </c>
      <c r="C5103" t="s">
        <v>6007</v>
      </c>
      <c r="D5103" s="2" t="s">
        <v>6008</v>
      </c>
      <c r="E5103" t="s">
        <v>3202</v>
      </c>
      <c r="F5103" t="s">
        <v>20</v>
      </c>
      <c r="G5103" t="s">
        <v>338</v>
      </c>
      <c r="H5103">
        <v>25702</v>
      </c>
      <c r="I5103" t="s">
        <v>23</v>
      </c>
      <c r="J5103" t="s">
        <v>35</v>
      </c>
      <c r="K5103" s="2" t="s">
        <v>1569</v>
      </c>
      <c r="L5103" t="s">
        <v>26</v>
      </c>
      <c r="M5103">
        <v>326857</v>
      </c>
      <c r="N5103">
        <v>1</v>
      </c>
      <c r="O5103" s="3">
        <v>109950</v>
      </c>
      <c r="P5103" s="3">
        <v>34974</v>
      </c>
      <c r="Q5103" s="5">
        <f t="shared" si="237"/>
        <v>92394.957983193279</v>
      </c>
      <c r="R5103" s="5">
        <f t="shared" si="238"/>
        <v>34974</v>
      </c>
      <c r="S5103" s="5">
        <f t="shared" si="239"/>
        <v>57420.957983193279</v>
      </c>
    </row>
    <row r="5104" spans="1:19" hidden="1" x14ac:dyDescent="0.3">
      <c r="A5104">
        <v>190</v>
      </c>
      <c r="B5104" t="s">
        <v>5801</v>
      </c>
      <c r="C5104" t="s">
        <v>1307</v>
      </c>
      <c r="D5104" s="2" t="s">
        <v>1308</v>
      </c>
      <c r="E5104" t="s">
        <v>869</v>
      </c>
      <c r="F5104" t="s">
        <v>20</v>
      </c>
      <c r="G5104" t="s">
        <v>21</v>
      </c>
      <c r="H5104" t="s">
        <v>870</v>
      </c>
      <c r="I5104" t="s">
        <v>23</v>
      </c>
      <c r="J5104" t="s">
        <v>35</v>
      </c>
      <c r="K5104" s="2" t="s">
        <v>1569</v>
      </c>
      <c r="L5104" t="s">
        <v>26</v>
      </c>
      <c r="M5104">
        <v>326858</v>
      </c>
      <c r="N5104">
        <v>1</v>
      </c>
      <c r="O5104" s="3">
        <v>69950</v>
      </c>
      <c r="P5104" s="3">
        <v>25434</v>
      </c>
      <c r="Q5104" s="5">
        <f t="shared" si="237"/>
        <v>58781.512605042022</v>
      </c>
      <c r="R5104" s="5">
        <f t="shared" si="238"/>
        <v>25434</v>
      </c>
      <c r="S5104" s="5">
        <f t="shared" si="239"/>
        <v>33347.512605042022</v>
      </c>
    </row>
    <row r="5105" spans="1:19" hidden="1" x14ac:dyDescent="0.3">
      <c r="A5105">
        <v>190</v>
      </c>
      <c r="B5105" t="s">
        <v>5801</v>
      </c>
      <c r="C5105" t="s">
        <v>6009</v>
      </c>
      <c r="D5105" s="2" t="s">
        <v>6010</v>
      </c>
      <c r="E5105" t="s">
        <v>5158</v>
      </c>
      <c r="F5105" t="s">
        <v>20</v>
      </c>
      <c r="G5105" t="s">
        <v>21</v>
      </c>
      <c r="H5105" t="s">
        <v>2353</v>
      </c>
      <c r="I5105" t="s">
        <v>23</v>
      </c>
      <c r="J5105" t="s">
        <v>40</v>
      </c>
      <c r="K5105" s="2" t="s">
        <v>1569</v>
      </c>
      <c r="L5105" t="s">
        <v>26</v>
      </c>
      <c r="M5105">
        <v>326858</v>
      </c>
      <c r="N5105">
        <v>1</v>
      </c>
      <c r="O5105" s="3">
        <v>69990</v>
      </c>
      <c r="P5105" s="3">
        <v>31432</v>
      </c>
      <c r="Q5105" s="5">
        <f t="shared" si="237"/>
        <v>58815.126050420171</v>
      </c>
      <c r="R5105" s="5">
        <f t="shared" si="238"/>
        <v>31432</v>
      </c>
      <c r="S5105" s="5">
        <f t="shared" si="239"/>
        <v>27383.126050420171</v>
      </c>
    </row>
    <row r="5106" spans="1:19" hidden="1" x14ac:dyDescent="0.3">
      <c r="A5106">
        <v>190</v>
      </c>
      <c r="B5106" t="s">
        <v>5801</v>
      </c>
      <c r="C5106" t="s">
        <v>2830</v>
      </c>
      <c r="D5106" s="2" t="s">
        <v>2831</v>
      </c>
      <c r="E5106" t="s">
        <v>1330</v>
      </c>
      <c r="F5106" t="s">
        <v>20</v>
      </c>
      <c r="G5106" t="s">
        <v>338</v>
      </c>
      <c r="H5106">
        <v>25133</v>
      </c>
      <c r="I5106" t="s">
        <v>23</v>
      </c>
      <c r="J5106" t="s">
        <v>35</v>
      </c>
      <c r="K5106" s="2" t="s">
        <v>1569</v>
      </c>
      <c r="L5106" t="s">
        <v>26</v>
      </c>
      <c r="M5106">
        <v>326859</v>
      </c>
      <c r="N5106">
        <v>1</v>
      </c>
      <c r="O5106" s="3">
        <v>74950</v>
      </c>
      <c r="P5106" s="3">
        <v>21167</v>
      </c>
      <c r="Q5106" s="5">
        <f t="shared" si="237"/>
        <v>62983.193277310929</v>
      </c>
      <c r="R5106" s="5">
        <f t="shared" si="238"/>
        <v>21167</v>
      </c>
      <c r="S5106" s="5">
        <f t="shared" si="239"/>
        <v>41816.193277310929</v>
      </c>
    </row>
    <row r="5107" spans="1:19" hidden="1" x14ac:dyDescent="0.3">
      <c r="A5107">
        <v>190</v>
      </c>
      <c r="B5107" t="s">
        <v>5801</v>
      </c>
      <c r="C5107" t="s">
        <v>4264</v>
      </c>
      <c r="D5107" s="2" t="s">
        <v>4265</v>
      </c>
      <c r="E5107" t="s">
        <v>3698</v>
      </c>
      <c r="F5107" t="s">
        <v>20</v>
      </c>
      <c r="G5107" t="s">
        <v>21</v>
      </c>
      <c r="H5107" t="s">
        <v>966</v>
      </c>
      <c r="I5107" t="s">
        <v>23</v>
      </c>
      <c r="J5107" t="s">
        <v>40</v>
      </c>
      <c r="K5107" s="2" t="s">
        <v>1569</v>
      </c>
      <c r="L5107" t="s">
        <v>26</v>
      </c>
      <c r="M5107">
        <v>326860</v>
      </c>
      <c r="N5107">
        <v>1</v>
      </c>
      <c r="O5107" s="3">
        <v>74950</v>
      </c>
      <c r="P5107" s="3">
        <v>27649</v>
      </c>
      <c r="Q5107" s="5">
        <f t="shared" si="237"/>
        <v>62983.193277310929</v>
      </c>
      <c r="R5107" s="5">
        <f t="shared" si="238"/>
        <v>27649</v>
      </c>
      <c r="S5107" s="5">
        <f t="shared" si="239"/>
        <v>35334.193277310929</v>
      </c>
    </row>
    <row r="5108" spans="1:19" hidden="1" x14ac:dyDescent="0.3">
      <c r="A5108">
        <v>190</v>
      </c>
      <c r="B5108" t="s">
        <v>5801</v>
      </c>
      <c r="C5108" t="s">
        <v>6011</v>
      </c>
      <c r="D5108" s="2" t="s">
        <v>6012</v>
      </c>
      <c r="E5108" t="s">
        <v>52</v>
      </c>
      <c r="F5108" t="s">
        <v>20</v>
      </c>
      <c r="G5108" t="s">
        <v>21</v>
      </c>
      <c r="H5108" t="s">
        <v>53</v>
      </c>
      <c r="I5108" t="s">
        <v>23</v>
      </c>
      <c r="J5108" t="s">
        <v>49</v>
      </c>
      <c r="K5108" s="2" t="s">
        <v>1569</v>
      </c>
      <c r="L5108" t="s">
        <v>26</v>
      </c>
      <c r="M5108">
        <v>326860</v>
      </c>
      <c r="N5108">
        <v>-1</v>
      </c>
      <c r="O5108" s="3">
        <v>-49990</v>
      </c>
      <c r="P5108" s="3">
        <v>21427</v>
      </c>
      <c r="Q5108" s="5">
        <f t="shared" si="237"/>
        <v>-42008.403361344543</v>
      </c>
      <c r="R5108" s="5">
        <f t="shared" si="238"/>
        <v>-21427</v>
      </c>
      <c r="S5108" s="5">
        <f t="shared" si="239"/>
        <v>-20581.403361344543</v>
      </c>
    </row>
    <row r="5109" spans="1:19" hidden="1" x14ac:dyDescent="0.3">
      <c r="A5109">
        <v>190</v>
      </c>
      <c r="B5109" t="s">
        <v>5801</v>
      </c>
      <c r="C5109" t="s">
        <v>3692</v>
      </c>
      <c r="D5109" s="2" t="s">
        <v>3693</v>
      </c>
      <c r="E5109" t="s">
        <v>1758</v>
      </c>
      <c r="F5109" t="s">
        <v>20</v>
      </c>
      <c r="G5109" t="s">
        <v>338</v>
      </c>
      <c r="H5109">
        <v>25133</v>
      </c>
      <c r="I5109" t="s">
        <v>23</v>
      </c>
      <c r="J5109" t="s">
        <v>35</v>
      </c>
      <c r="K5109" s="2" t="s">
        <v>1569</v>
      </c>
      <c r="L5109" t="s">
        <v>26</v>
      </c>
      <c r="M5109">
        <v>326861</v>
      </c>
      <c r="N5109">
        <v>1</v>
      </c>
      <c r="O5109" s="3">
        <v>74950</v>
      </c>
      <c r="P5109" s="3">
        <v>21167</v>
      </c>
      <c r="Q5109" s="5">
        <f t="shared" si="237"/>
        <v>62983.193277310929</v>
      </c>
      <c r="R5109" s="5">
        <f t="shared" si="238"/>
        <v>21167</v>
      </c>
      <c r="S5109" s="5">
        <f t="shared" si="239"/>
        <v>41816.193277310929</v>
      </c>
    </row>
    <row r="5110" spans="1:19" hidden="1" x14ac:dyDescent="0.3">
      <c r="A5110">
        <v>190</v>
      </c>
      <c r="B5110" t="s">
        <v>5801</v>
      </c>
      <c r="C5110" t="s">
        <v>3692</v>
      </c>
      <c r="D5110" s="2" t="s">
        <v>3693</v>
      </c>
      <c r="E5110" t="s">
        <v>1758</v>
      </c>
      <c r="F5110" t="s">
        <v>20</v>
      </c>
      <c r="G5110" t="s">
        <v>338</v>
      </c>
      <c r="H5110">
        <v>25133</v>
      </c>
      <c r="I5110" t="s">
        <v>23</v>
      </c>
      <c r="J5110" t="s">
        <v>35</v>
      </c>
      <c r="K5110" s="2" t="s">
        <v>1569</v>
      </c>
      <c r="L5110" t="s">
        <v>26</v>
      </c>
      <c r="M5110">
        <v>326862</v>
      </c>
      <c r="N5110">
        <v>1</v>
      </c>
      <c r="O5110" s="3">
        <v>74950</v>
      </c>
      <c r="P5110" s="3">
        <v>21167</v>
      </c>
      <c r="Q5110" s="5">
        <f t="shared" si="237"/>
        <v>62983.193277310929</v>
      </c>
      <c r="R5110" s="5">
        <f t="shared" si="238"/>
        <v>21167</v>
      </c>
      <c r="S5110" s="5">
        <f t="shared" si="239"/>
        <v>41816.193277310929</v>
      </c>
    </row>
    <row r="5111" spans="1:19" hidden="1" x14ac:dyDescent="0.3">
      <c r="A5111">
        <v>190</v>
      </c>
      <c r="B5111" t="s">
        <v>5801</v>
      </c>
      <c r="C5111" t="s">
        <v>264</v>
      </c>
      <c r="D5111" s="2" t="s">
        <v>265</v>
      </c>
      <c r="E5111" t="s">
        <v>266</v>
      </c>
      <c r="F5111" t="s">
        <v>20</v>
      </c>
      <c r="G5111" t="s">
        <v>21</v>
      </c>
      <c r="H5111" t="s">
        <v>267</v>
      </c>
      <c r="I5111" t="s">
        <v>23</v>
      </c>
      <c r="J5111" t="s">
        <v>49</v>
      </c>
      <c r="K5111" s="2" t="s">
        <v>1569</v>
      </c>
      <c r="L5111" t="s">
        <v>26</v>
      </c>
      <c r="M5111">
        <v>326863</v>
      </c>
      <c r="N5111">
        <v>1</v>
      </c>
      <c r="O5111" s="3">
        <v>64950</v>
      </c>
      <c r="P5111" s="3">
        <v>24504</v>
      </c>
      <c r="Q5111" s="5">
        <f t="shared" si="237"/>
        <v>54579.831932773115</v>
      </c>
      <c r="R5111" s="5">
        <f t="shared" si="238"/>
        <v>24504</v>
      </c>
      <c r="S5111" s="5">
        <f t="shared" si="239"/>
        <v>30075.831932773115</v>
      </c>
    </row>
    <row r="5112" spans="1:19" hidden="1" x14ac:dyDescent="0.3">
      <c r="A5112">
        <v>190</v>
      </c>
      <c r="B5112" t="s">
        <v>5801</v>
      </c>
      <c r="C5112" t="s">
        <v>6013</v>
      </c>
      <c r="D5112" s="2" t="s">
        <v>6014</v>
      </c>
      <c r="E5112" t="s">
        <v>4084</v>
      </c>
      <c r="F5112" t="s">
        <v>20</v>
      </c>
      <c r="G5112" t="s">
        <v>21</v>
      </c>
      <c r="H5112" t="s">
        <v>3272</v>
      </c>
      <c r="I5112" t="s">
        <v>23</v>
      </c>
      <c r="J5112" t="s">
        <v>40</v>
      </c>
      <c r="K5112" s="2" t="s">
        <v>1569</v>
      </c>
      <c r="L5112" t="s">
        <v>26</v>
      </c>
      <c r="M5112">
        <v>326864</v>
      </c>
      <c r="N5112">
        <v>1</v>
      </c>
      <c r="O5112" s="3">
        <v>59950</v>
      </c>
      <c r="P5112" s="3">
        <v>23104</v>
      </c>
      <c r="Q5112" s="5">
        <f t="shared" si="237"/>
        <v>50378.151260504201</v>
      </c>
      <c r="R5112" s="5">
        <f t="shared" si="238"/>
        <v>23104</v>
      </c>
      <c r="S5112" s="5">
        <f t="shared" si="239"/>
        <v>27274.151260504201</v>
      </c>
    </row>
    <row r="5113" spans="1:19" hidden="1" x14ac:dyDescent="0.3">
      <c r="A5113">
        <v>190</v>
      </c>
      <c r="B5113" t="s">
        <v>5801</v>
      </c>
      <c r="C5113" t="s">
        <v>4938</v>
      </c>
      <c r="D5113" s="2" t="s">
        <v>4939</v>
      </c>
      <c r="E5113" t="s">
        <v>2188</v>
      </c>
      <c r="F5113" t="s">
        <v>20</v>
      </c>
      <c r="G5113" t="s">
        <v>21</v>
      </c>
      <c r="H5113" t="s">
        <v>2189</v>
      </c>
      <c r="I5113" t="s">
        <v>23</v>
      </c>
      <c r="J5113" t="s">
        <v>40</v>
      </c>
      <c r="K5113" s="2" t="s">
        <v>1569</v>
      </c>
      <c r="L5113" t="s">
        <v>26</v>
      </c>
      <c r="M5113">
        <v>326865</v>
      </c>
      <c r="N5113">
        <v>1</v>
      </c>
      <c r="O5113" s="3">
        <v>74950</v>
      </c>
      <c r="P5113" s="3">
        <v>27725</v>
      </c>
      <c r="Q5113" s="5">
        <f t="shared" si="237"/>
        <v>62983.193277310929</v>
      </c>
      <c r="R5113" s="5">
        <f t="shared" si="238"/>
        <v>27725</v>
      </c>
      <c r="S5113" s="5">
        <f t="shared" si="239"/>
        <v>35258.193277310929</v>
      </c>
    </row>
    <row r="5114" spans="1:19" hidden="1" x14ac:dyDescent="0.3">
      <c r="A5114">
        <v>190</v>
      </c>
      <c r="B5114" t="s">
        <v>5801</v>
      </c>
      <c r="C5114" t="s">
        <v>1704</v>
      </c>
      <c r="D5114" s="2" t="s">
        <v>1705</v>
      </c>
      <c r="E5114" t="s">
        <v>1706</v>
      </c>
      <c r="F5114" t="s">
        <v>20</v>
      </c>
      <c r="G5114" t="s">
        <v>338</v>
      </c>
      <c r="H5114">
        <v>23201</v>
      </c>
      <c r="I5114" t="s">
        <v>23</v>
      </c>
      <c r="J5114" t="s">
        <v>49</v>
      </c>
      <c r="K5114" s="2" t="s">
        <v>1569</v>
      </c>
      <c r="L5114" t="s">
        <v>26</v>
      </c>
      <c r="M5114">
        <v>326865</v>
      </c>
      <c r="N5114">
        <v>1</v>
      </c>
      <c r="O5114" s="3">
        <v>72200</v>
      </c>
      <c r="P5114" s="3">
        <v>26390</v>
      </c>
      <c r="Q5114" s="5">
        <f t="shared" si="237"/>
        <v>60672.268907563026</v>
      </c>
      <c r="R5114" s="5">
        <f t="shared" si="238"/>
        <v>26390</v>
      </c>
      <c r="S5114" s="5">
        <f t="shared" si="239"/>
        <v>34282.268907563026</v>
      </c>
    </row>
    <row r="5115" spans="1:19" hidden="1" x14ac:dyDescent="0.3">
      <c r="A5115">
        <v>190</v>
      </c>
      <c r="B5115" t="s">
        <v>5801</v>
      </c>
      <c r="C5115" t="s">
        <v>3007</v>
      </c>
      <c r="D5115" s="2" t="s">
        <v>3008</v>
      </c>
      <c r="E5115" t="s">
        <v>2986</v>
      </c>
      <c r="F5115" t="s">
        <v>20</v>
      </c>
      <c r="G5115" t="s">
        <v>21</v>
      </c>
      <c r="H5115" t="s">
        <v>267</v>
      </c>
      <c r="I5115" t="s">
        <v>23</v>
      </c>
      <c r="J5115" t="s">
        <v>35</v>
      </c>
      <c r="K5115" s="2" t="s">
        <v>1569</v>
      </c>
      <c r="L5115" t="s">
        <v>26</v>
      </c>
      <c r="M5115">
        <v>326866</v>
      </c>
      <c r="N5115">
        <v>1</v>
      </c>
      <c r="O5115" s="3">
        <v>59990</v>
      </c>
      <c r="P5115" s="3">
        <v>24733</v>
      </c>
      <c r="Q5115" s="5">
        <f t="shared" si="237"/>
        <v>50411.764705882357</v>
      </c>
      <c r="R5115" s="5">
        <f t="shared" si="238"/>
        <v>24733</v>
      </c>
      <c r="S5115" s="5">
        <f t="shared" si="239"/>
        <v>25678.764705882357</v>
      </c>
    </row>
    <row r="5116" spans="1:19" hidden="1" x14ac:dyDescent="0.3">
      <c r="A5116">
        <v>190</v>
      </c>
      <c r="B5116" t="s">
        <v>5801</v>
      </c>
      <c r="C5116" t="s">
        <v>6015</v>
      </c>
      <c r="D5116" s="2" t="s">
        <v>6016</v>
      </c>
      <c r="E5116" t="s">
        <v>4127</v>
      </c>
      <c r="F5116" t="s">
        <v>20</v>
      </c>
      <c r="G5116" t="s">
        <v>338</v>
      </c>
      <c r="H5116">
        <v>25483</v>
      </c>
      <c r="I5116" t="s">
        <v>23</v>
      </c>
      <c r="J5116" t="s">
        <v>35</v>
      </c>
      <c r="K5116" s="2" t="s">
        <v>1569</v>
      </c>
      <c r="L5116" t="s">
        <v>26</v>
      </c>
      <c r="M5116">
        <v>326867</v>
      </c>
      <c r="N5116">
        <v>1</v>
      </c>
      <c r="O5116" s="3">
        <v>74950</v>
      </c>
      <c r="P5116" s="3">
        <v>23119</v>
      </c>
      <c r="Q5116" s="5">
        <f t="shared" si="237"/>
        <v>62983.193277310929</v>
      </c>
      <c r="R5116" s="5">
        <f t="shared" si="238"/>
        <v>23119</v>
      </c>
      <c r="S5116" s="5">
        <f t="shared" si="239"/>
        <v>39864.193277310929</v>
      </c>
    </row>
    <row r="5117" spans="1:19" hidden="1" x14ac:dyDescent="0.3">
      <c r="A5117">
        <v>190</v>
      </c>
      <c r="B5117" t="s">
        <v>5801</v>
      </c>
      <c r="C5117" t="s">
        <v>3854</v>
      </c>
      <c r="D5117" s="2" t="s">
        <v>3855</v>
      </c>
      <c r="E5117" t="s">
        <v>3091</v>
      </c>
      <c r="F5117" t="s">
        <v>20</v>
      </c>
      <c r="G5117" t="s">
        <v>338</v>
      </c>
      <c r="H5117">
        <v>26266</v>
      </c>
      <c r="I5117" t="s">
        <v>23</v>
      </c>
      <c r="J5117" t="s">
        <v>35</v>
      </c>
      <c r="K5117" s="2" t="s">
        <v>1569</v>
      </c>
      <c r="L5117" t="s">
        <v>26</v>
      </c>
      <c r="M5117">
        <v>326867</v>
      </c>
      <c r="N5117">
        <v>1</v>
      </c>
      <c r="O5117" s="3">
        <v>67950</v>
      </c>
      <c r="P5117" s="3">
        <v>25300</v>
      </c>
      <c r="Q5117" s="5">
        <f t="shared" si="237"/>
        <v>57100.840336134454</v>
      </c>
      <c r="R5117" s="5">
        <f t="shared" si="238"/>
        <v>25300</v>
      </c>
      <c r="S5117" s="5">
        <f t="shared" si="239"/>
        <v>31800.840336134454</v>
      </c>
    </row>
    <row r="5118" spans="1:19" hidden="1" x14ac:dyDescent="0.3">
      <c r="A5118">
        <v>190</v>
      </c>
      <c r="B5118" t="s">
        <v>5801</v>
      </c>
      <c r="C5118" t="s">
        <v>6017</v>
      </c>
      <c r="D5118" s="2" t="s">
        <v>6018</v>
      </c>
      <c r="E5118" t="s">
        <v>4274</v>
      </c>
      <c r="F5118" t="s">
        <v>20</v>
      </c>
      <c r="G5118" t="s">
        <v>338</v>
      </c>
      <c r="H5118">
        <v>22410</v>
      </c>
      <c r="I5118" t="s">
        <v>23</v>
      </c>
      <c r="J5118" t="s">
        <v>49</v>
      </c>
      <c r="K5118" s="2" t="s">
        <v>1569</v>
      </c>
      <c r="L5118" t="s">
        <v>26</v>
      </c>
      <c r="M5118">
        <v>326868</v>
      </c>
      <c r="N5118">
        <v>1</v>
      </c>
      <c r="O5118" s="3">
        <v>69950</v>
      </c>
      <c r="P5118" s="3">
        <v>20848</v>
      </c>
      <c r="Q5118" s="5">
        <f t="shared" si="237"/>
        <v>58781.512605042022</v>
      </c>
      <c r="R5118" s="5">
        <f t="shared" si="238"/>
        <v>20848</v>
      </c>
      <c r="S5118" s="5">
        <f t="shared" si="239"/>
        <v>37933.512605042022</v>
      </c>
    </row>
    <row r="5119" spans="1:19" hidden="1" x14ac:dyDescent="0.3">
      <c r="A5119">
        <v>190</v>
      </c>
      <c r="B5119" t="s">
        <v>5801</v>
      </c>
      <c r="C5119" t="s">
        <v>4224</v>
      </c>
      <c r="D5119" s="2" t="s">
        <v>4225</v>
      </c>
      <c r="E5119" t="s">
        <v>4226</v>
      </c>
      <c r="F5119" t="s">
        <v>20</v>
      </c>
      <c r="G5119" t="s">
        <v>21</v>
      </c>
      <c r="H5119" t="s">
        <v>2189</v>
      </c>
      <c r="I5119" t="s">
        <v>23</v>
      </c>
      <c r="J5119" t="s">
        <v>40</v>
      </c>
      <c r="K5119" s="2" t="s">
        <v>1744</v>
      </c>
      <c r="L5119" t="s">
        <v>2249</v>
      </c>
      <c r="M5119">
        <v>25397</v>
      </c>
      <c r="N5119">
        <v>-1</v>
      </c>
      <c r="O5119" s="3">
        <v>-74950</v>
      </c>
      <c r="P5119" s="3">
        <v>27728</v>
      </c>
      <c r="Q5119" s="5">
        <f t="shared" si="237"/>
        <v>-62983.193277310929</v>
      </c>
      <c r="R5119" s="5">
        <f t="shared" si="238"/>
        <v>-27728</v>
      </c>
      <c r="S5119" s="5">
        <f t="shared" si="239"/>
        <v>-35255.193277310929</v>
      </c>
    </row>
    <row r="5120" spans="1:19" hidden="1" x14ac:dyDescent="0.3">
      <c r="A5120">
        <v>190</v>
      </c>
      <c r="B5120" t="s">
        <v>5801</v>
      </c>
      <c r="C5120" t="s">
        <v>5517</v>
      </c>
      <c r="D5120" s="2" t="s">
        <v>5518</v>
      </c>
      <c r="E5120" t="s">
        <v>2996</v>
      </c>
      <c r="F5120" t="s">
        <v>20</v>
      </c>
      <c r="G5120" t="s">
        <v>338</v>
      </c>
      <c r="H5120">
        <v>25823</v>
      </c>
      <c r="I5120" t="s">
        <v>23</v>
      </c>
      <c r="J5120" t="s">
        <v>35</v>
      </c>
      <c r="K5120" s="2" t="s">
        <v>1744</v>
      </c>
      <c r="L5120" t="s">
        <v>26</v>
      </c>
      <c r="M5120">
        <v>326869</v>
      </c>
      <c r="N5120">
        <v>1</v>
      </c>
      <c r="O5120" s="3">
        <v>99950</v>
      </c>
      <c r="P5120" s="3">
        <v>33748</v>
      </c>
      <c r="Q5120" s="5">
        <f t="shared" si="237"/>
        <v>83991.596638655465</v>
      </c>
      <c r="R5120" s="5">
        <f t="shared" si="238"/>
        <v>33748</v>
      </c>
      <c r="S5120" s="5">
        <f t="shared" si="239"/>
        <v>50243.596638655465</v>
      </c>
    </row>
    <row r="5121" spans="1:19" hidden="1" x14ac:dyDescent="0.3">
      <c r="A5121">
        <v>190</v>
      </c>
      <c r="B5121" t="s">
        <v>5801</v>
      </c>
      <c r="C5121" t="s">
        <v>6019</v>
      </c>
      <c r="D5121" s="2" t="s">
        <v>6020</v>
      </c>
      <c r="E5121" t="s">
        <v>3175</v>
      </c>
      <c r="F5121" t="s">
        <v>20</v>
      </c>
      <c r="G5121" t="s">
        <v>21</v>
      </c>
      <c r="H5121" t="s">
        <v>625</v>
      </c>
      <c r="I5121" t="s">
        <v>23</v>
      </c>
      <c r="J5121" t="s">
        <v>35</v>
      </c>
      <c r="K5121" s="2" t="s">
        <v>1744</v>
      </c>
      <c r="L5121" t="s">
        <v>26</v>
      </c>
      <c r="M5121">
        <v>326870</v>
      </c>
      <c r="N5121">
        <v>1</v>
      </c>
      <c r="O5121" s="3">
        <v>49990</v>
      </c>
      <c r="P5121" s="3">
        <v>24956</v>
      </c>
      <c r="Q5121" s="5">
        <f t="shared" si="237"/>
        <v>42008.403361344543</v>
      </c>
      <c r="R5121" s="5">
        <f t="shared" si="238"/>
        <v>24956</v>
      </c>
      <c r="S5121" s="5">
        <f t="shared" si="239"/>
        <v>17052.403361344543</v>
      </c>
    </row>
    <row r="5122" spans="1:19" hidden="1" x14ac:dyDescent="0.3">
      <c r="A5122">
        <v>190</v>
      </c>
      <c r="B5122" t="s">
        <v>5801</v>
      </c>
      <c r="C5122" t="s">
        <v>5779</v>
      </c>
      <c r="D5122" s="2" t="s">
        <v>5780</v>
      </c>
      <c r="E5122" t="s">
        <v>3323</v>
      </c>
      <c r="F5122" t="s">
        <v>20</v>
      </c>
      <c r="G5122" t="s">
        <v>21</v>
      </c>
      <c r="H5122" t="s">
        <v>625</v>
      </c>
      <c r="I5122" t="s">
        <v>23</v>
      </c>
      <c r="J5122" t="s">
        <v>35</v>
      </c>
      <c r="K5122" s="2" t="s">
        <v>1744</v>
      </c>
      <c r="L5122" t="s">
        <v>26</v>
      </c>
      <c r="M5122">
        <v>326870</v>
      </c>
      <c r="N5122">
        <v>1</v>
      </c>
      <c r="O5122" s="3">
        <v>49990</v>
      </c>
      <c r="P5122" s="3">
        <v>24956</v>
      </c>
      <c r="Q5122" s="5">
        <f t="shared" si="237"/>
        <v>42008.403361344543</v>
      </c>
      <c r="R5122" s="5">
        <f t="shared" si="238"/>
        <v>24956</v>
      </c>
      <c r="S5122" s="5">
        <f t="shared" si="239"/>
        <v>17052.403361344543</v>
      </c>
    </row>
    <row r="5123" spans="1:19" hidden="1" x14ac:dyDescent="0.3">
      <c r="A5123">
        <v>190</v>
      </c>
      <c r="B5123" t="s">
        <v>5801</v>
      </c>
      <c r="C5123" t="s">
        <v>3007</v>
      </c>
      <c r="D5123" s="2" t="s">
        <v>3008</v>
      </c>
      <c r="E5123" t="s">
        <v>2986</v>
      </c>
      <c r="F5123" t="s">
        <v>20</v>
      </c>
      <c r="G5123" t="s">
        <v>21</v>
      </c>
      <c r="H5123" t="s">
        <v>267</v>
      </c>
      <c r="I5123" t="s">
        <v>23</v>
      </c>
      <c r="J5123" t="s">
        <v>35</v>
      </c>
      <c r="K5123" s="2" t="s">
        <v>1744</v>
      </c>
      <c r="L5123" t="s">
        <v>26</v>
      </c>
      <c r="M5123">
        <v>326871</v>
      </c>
      <c r="N5123">
        <v>1</v>
      </c>
      <c r="O5123" s="3">
        <v>59990</v>
      </c>
      <c r="P5123" s="3">
        <v>24733</v>
      </c>
      <c r="Q5123" s="5">
        <f t="shared" si="237"/>
        <v>50411.764705882357</v>
      </c>
      <c r="R5123" s="5">
        <f t="shared" si="238"/>
        <v>24733</v>
      </c>
      <c r="S5123" s="5">
        <f t="shared" si="239"/>
        <v>25678.764705882357</v>
      </c>
    </row>
    <row r="5124" spans="1:19" hidden="1" x14ac:dyDescent="0.3">
      <c r="A5124">
        <v>190</v>
      </c>
      <c r="B5124" t="s">
        <v>5801</v>
      </c>
      <c r="C5124" t="s">
        <v>3762</v>
      </c>
      <c r="D5124" s="2" t="s">
        <v>3763</v>
      </c>
      <c r="E5124" t="s">
        <v>3764</v>
      </c>
      <c r="F5124" t="s">
        <v>20</v>
      </c>
      <c r="G5124" t="s">
        <v>21</v>
      </c>
      <c r="H5124" t="s">
        <v>1282</v>
      </c>
      <c r="I5124" t="s">
        <v>23</v>
      </c>
      <c r="J5124" t="s">
        <v>40</v>
      </c>
      <c r="K5124" s="2" t="s">
        <v>1744</v>
      </c>
      <c r="L5124" t="s">
        <v>26</v>
      </c>
      <c r="M5124">
        <v>326872</v>
      </c>
      <c r="N5124">
        <v>1</v>
      </c>
      <c r="O5124" s="3">
        <v>49950</v>
      </c>
      <c r="P5124" s="3">
        <v>13922</v>
      </c>
      <c r="Q5124" s="5">
        <f t="shared" si="237"/>
        <v>41974.789915966387</v>
      </c>
      <c r="R5124" s="5">
        <f t="shared" si="238"/>
        <v>13922</v>
      </c>
      <c r="S5124" s="5">
        <f t="shared" si="239"/>
        <v>28052.789915966387</v>
      </c>
    </row>
    <row r="5125" spans="1:19" hidden="1" x14ac:dyDescent="0.3">
      <c r="A5125">
        <v>190</v>
      </c>
      <c r="B5125" t="s">
        <v>5801</v>
      </c>
      <c r="C5125" t="s">
        <v>2871</v>
      </c>
      <c r="D5125" s="2" t="s">
        <v>2872</v>
      </c>
      <c r="E5125" t="s">
        <v>1446</v>
      </c>
      <c r="F5125" t="s">
        <v>20</v>
      </c>
      <c r="G5125" t="s">
        <v>338</v>
      </c>
      <c r="H5125">
        <v>25321</v>
      </c>
      <c r="I5125" t="s">
        <v>23</v>
      </c>
      <c r="J5125" t="s">
        <v>35</v>
      </c>
      <c r="K5125" s="2" t="s">
        <v>1744</v>
      </c>
      <c r="L5125" t="s">
        <v>26</v>
      </c>
      <c r="M5125">
        <v>326873</v>
      </c>
      <c r="N5125">
        <v>1</v>
      </c>
      <c r="O5125" s="3">
        <v>93450</v>
      </c>
      <c r="P5125" s="3">
        <v>33748</v>
      </c>
      <c r="Q5125" s="5">
        <f t="shared" si="237"/>
        <v>78529.411764705888</v>
      </c>
      <c r="R5125" s="5">
        <f t="shared" si="238"/>
        <v>33748</v>
      </c>
      <c r="S5125" s="5">
        <f t="shared" si="239"/>
        <v>44781.411764705888</v>
      </c>
    </row>
    <row r="5126" spans="1:19" hidden="1" x14ac:dyDescent="0.3">
      <c r="A5126">
        <v>190</v>
      </c>
      <c r="B5126" t="s">
        <v>5801</v>
      </c>
      <c r="C5126" t="s">
        <v>5335</v>
      </c>
      <c r="D5126" s="2" t="s">
        <v>5336</v>
      </c>
      <c r="E5126" t="s">
        <v>3669</v>
      </c>
      <c r="F5126" t="s">
        <v>20</v>
      </c>
      <c r="G5126" t="s">
        <v>21</v>
      </c>
      <c r="H5126" t="s">
        <v>2593</v>
      </c>
      <c r="I5126" t="s">
        <v>23</v>
      </c>
      <c r="J5126" t="s">
        <v>35</v>
      </c>
      <c r="K5126" s="2" t="s">
        <v>1744</v>
      </c>
      <c r="L5126" t="s">
        <v>26</v>
      </c>
      <c r="M5126">
        <v>326873</v>
      </c>
      <c r="N5126">
        <v>1</v>
      </c>
      <c r="O5126" s="3">
        <v>94950</v>
      </c>
      <c r="P5126" s="3">
        <v>34760</v>
      </c>
      <c r="Q5126" s="5">
        <f t="shared" ref="Q5126:Q5189" si="240">O5126/1.19</f>
        <v>79789.915966386558</v>
      </c>
      <c r="R5126" s="5">
        <f t="shared" ref="R5126:R5189" si="241">N5126*P5126</f>
        <v>34760</v>
      </c>
      <c r="S5126" s="5">
        <f t="shared" ref="S5126:S5189" si="242">Q5126-R5126</f>
        <v>45029.915966386558</v>
      </c>
    </row>
    <row r="5127" spans="1:19" hidden="1" x14ac:dyDescent="0.3">
      <c r="A5127">
        <v>190</v>
      </c>
      <c r="B5127" t="s">
        <v>5801</v>
      </c>
      <c r="C5127" t="s">
        <v>1037</v>
      </c>
      <c r="D5127" s="2" t="s">
        <v>1038</v>
      </c>
      <c r="E5127" t="s">
        <v>1039</v>
      </c>
      <c r="F5127" t="s">
        <v>377</v>
      </c>
      <c r="G5127" t="s">
        <v>21</v>
      </c>
      <c r="H5127" t="s">
        <v>378</v>
      </c>
      <c r="I5127" t="s">
        <v>23</v>
      </c>
      <c r="J5127" t="s">
        <v>379</v>
      </c>
      <c r="K5127" s="2" t="s">
        <v>1744</v>
      </c>
      <c r="L5127" t="s">
        <v>26</v>
      </c>
      <c r="M5127">
        <v>326873</v>
      </c>
      <c r="N5127">
        <v>1</v>
      </c>
      <c r="O5127" s="3">
        <v>5950</v>
      </c>
      <c r="P5127" s="3">
        <v>3257</v>
      </c>
      <c r="Q5127" s="5">
        <f t="shared" si="240"/>
        <v>5000</v>
      </c>
      <c r="R5127" s="5">
        <f t="shared" si="241"/>
        <v>3257</v>
      </c>
      <c r="S5127" s="5">
        <f t="shared" si="242"/>
        <v>1743</v>
      </c>
    </row>
    <row r="5128" spans="1:19" hidden="1" x14ac:dyDescent="0.3">
      <c r="A5128">
        <v>190</v>
      </c>
      <c r="B5128" t="s">
        <v>5801</v>
      </c>
      <c r="C5128" t="s">
        <v>4381</v>
      </c>
      <c r="D5128" s="2" t="s">
        <v>4382</v>
      </c>
      <c r="E5128" t="s">
        <v>2758</v>
      </c>
      <c r="F5128" t="s">
        <v>20</v>
      </c>
      <c r="G5128" t="s">
        <v>21</v>
      </c>
      <c r="H5128" t="s">
        <v>2759</v>
      </c>
      <c r="I5128" t="s">
        <v>23</v>
      </c>
      <c r="J5128" t="s">
        <v>49</v>
      </c>
      <c r="K5128" s="2" t="s">
        <v>1744</v>
      </c>
      <c r="L5128" t="s">
        <v>26</v>
      </c>
      <c r="M5128">
        <v>326874</v>
      </c>
      <c r="N5128">
        <v>1</v>
      </c>
      <c r="O5128" s="3">
        <v>79950</v>
      </c>
      <c r="P5128" s="3">
        <v>33450</v>
      </c>
      <c r="Q5128" s="5">
        <f t="shared" si="240"/>
        <v>67184.873949579836</v>
      </c>
      <c r="R5128" s="5">
        <f t="shared" si="241"/>
        <v>33450</v>
      </c>
      <c r="S5128" s="5">
        <f t="shared" si="242"/>
        <v>33734.873949579836</v>
      </c>
    </row>
    <row r="5129" spans="1:19" hidden="1" x14ac:dyDescent="0.3">
      <c r="A5129">
        <v>190</v>
      </c>
      <c r="B5129" t="s">
        <v>5801</v>
      </c>
      <c r="C5129" t="s">
        <v>2649</v>
      </c>
      <c r="D5129" s="2" t="s">
        <v>2650</v>
      </c>
      <c r="E5129" t="s">
        <v>266</v>
      </c>
      <c r="F5129" t="s">
        <v>20</v>
      </c>
      <c r="G5129" t="s">
        <v>21</v>
      </c>
      <c r="H5129" t="s">
        <v>267</v>
      </c>
      <c r="I5129" t="s">
        <v>23</v>
      </c>
      <c r="J5129" t="s">
        <v>49</v>
      </c>
      <c r="K5129" s="2" t="s">
        <v>1744</v>
      </c>
      <c r="L5129" t="s">
        <v>26</v>
      </c>
      <c r="M5129">
        <v>326875</v>
      </c>
      <c r="N5129">
        <v>1</v>
      </c>
      <c r="O5129" s="3">
        <v>64950</v>
      </c>
      <c r="P5129" s="3">
        <v>24504</v>
      </c>
      <c r="Q5129" s="5">
        <f t="shared" si="240"/>
        <v>54579.831932773115</v>
      </c>
      <c r="R5129" s="5">
        <f t="shared" si="241"/>
        <v>24504</v>
      </c>
      <c r="S5129" s="5">
        <f t="shared" si="242"/>
        <v>30075.831932773115</v>
      </c>
    </row>
    <row r="5130" spans="1:19" hidden="1" x14ac:dyDescent="0.3">
      <c r="A5130">
        <v>190</v>
      </c>
      <c r="B5130" t="s">
        <v>5801</v>
      </c>
      <c r="C5130" t="s">
        <v>4760</v>
      </c>
      <c r="D5130" s="2" t="s">
        <v>4761</v>
      </c>
      <c r="E5130" t="s">
        <v>2561</v>
      </c>
      <c r="F5130" t="s">
        <v>20</v>
      </c>
      <c r="G5130" t="s">
        <v>21</v>
      </c>
      <c r="H5130" t="s">
        <v>1914</v>
      </c>
      <c r="I5130" t="s">
        <v>23</v>
      </c>
      <c r="J5130" t="s">
        <v>35</v>
      </c>
      <c r="K5130" s="2" t="s">
        <v>1744</v>
      </c>
      <c r="L5130" t="s">
        <v>26</v>
      </c>
      <c r="M5130">
        <v>326876</v>
      </c>
      <c r="N5130">
        <v>1</v>
      </c>
      <c r="O5130" s="3">
        <v>69990</v>
      </c>
      <c r="P5130" s="3">
        <v>28298</v>
      </c>
      <c r="Q5130" s="5">
        <f t="shared" si="240"/>
        <v>58815.126050420171</v>
      </c>
      <c r="R5130" s="5">
        <f t="shared" si="241"/>
        <v>28298</v>
      </c>
      <c r="S5130" s="5">
        <f t="shared" si="242"/>
        <v>30517.126050420171</v>
      </c>
    </row>
    <row r="5131" spans="1:19" hidden="1" x14ac:dyDescent="0.3">
      <c r="A5131">
        <v>190</v>
      </c>
      <c r="B5131" t="s">
        <v>5801</v>
      </c>
      <c r="C5131" t="s">
        <v>4669</v>
      </c>
      <c r="D5131" s="2" t="s">
        <v>4670</v>
      </c>
      <c r="E5131" t="s">
        <v>2449</v>
      </c>
      <c r="F5131" t="s">
        <v>20</v>
      </c>
      <c r="G5131" t="s">
        <v>21</v>
      </c>
      <c r="H5131" t="s">
        <v>1703</v>
      </c>
      <c r="I5131" t="s">
        <v>23</v>
      </c>
      <c r="J5131" t="s">
        <v>49</v>
      </c>
      <c r="K5131" s="2" t="s">
        <v>1744</v>
      </c>
      <c r="L5131" t="s">
        <v>26</v>
      </c>
      <c r="M5131">
        <v>326877</v>
      </c>
      <c r="N5131">
        <v>-1</v>
      </c>
      <c r="O5131" s="3">
        <v>-74950</v>
      </c>
      <c r="P5131" s="3">
        <v>26457</v>
      </c>
      <c r="Q5131" s="5">
        <f t="shared" si="240"/>
        <v>-62983.193277310929</v>
      </c>
      <c r="R5131" s="5">
        <f t="shared" si="241"/>
        <v>-26457</v>
      </c>
      <c r="S5131" s="5">
        <f t="shared" si="242"/>
        <v>-36526.193277310929</v>
      </c>
    </row>
    <row r="5132" spans="1:19" hidden="1" x14ac:dyDescent="0.3">
      <c r="A5132">
        <v>190</v>
      </c>
      <c r="B5132" t="s">
        <v>5801</v>
      </c>
      <c r="C5132" t="s">
        <v>4936</v>
      </c>
      <c r="D5132" s="2" t="s">
        <v>4937</v>
      </c>
      <c r="E5132" t="s">
        <v>2930</v>
      </c>
      <c r="F5132" t="s">
        <v>20</v>
      </c>
      <c r="G5132" t="s">
        <v>21</v>
      </c>
      <c r="H5132" t="s">
        <v>1703</v>
      </c>
      <c r="I5132" t="s">
        <v>23</v>
      </c>
      <c r="J5132" t="s">
        <v>49</v>
      </c>
      <c r="K5132" s="2" t="s">
        <v>1744</v>
      </c>
      <c r="L5132" t="s">
        <v>26</v>
      </c>
      <c r="M5132">
        <v>326877</v>
      </c>
      <c r="N5132">
        <v>1</v>
      </c>
      <c r="O5132" s="3">
        <v>74950</v>
      </c>
      <c r="P5132" s="3">
        <v>26457</v>
      </c>
      <c r="Q5132" s="5">
        <f t="shared" si="240"/>
        <v>62983.193277310929</v>
      </c>
      <c r="R5132" s="5">
        <f t="shared" si="241"/>
        <v>26457</v>
      </c>
      <c r="S5132" s="5">
        <f t="shared" si="242"/>
        <v>36526.193277310929</v>
      </c>
    </row>
    <row r="5133" spans="1:19" hidden="1" x14ac:dyDescent="0.3">
      <c r="A5133">
        <v>190</v>
      </c>
      <c r="B5133" t="s">
        <v>5801</v>
      </c>
      <c r="C5133" t="s">
        <v>2575</v>
      </c>
      <c r="D5133" s="2" t="s">
        <v>2576</v>
      </c>
      <c r="E5133" t="s">
        <v>2577</v>
      </c>
      <c r="F5133" t="s">
        <v>377</v>
      </c>
      <c r="G5133" t="s">
        <v>21</v>
      </c>
      <c r="H5133" t="s">
        <v>378</v>
      </c>
      <c r="I5133" t="s">
        <v>23</v>
      </c>
      <c r="J5133" t="s">
        <v>379</v>
      </c>
      <c r="K5133" s="2" t="s">
        <v>1744</v>
      </c>
      <c r="L5133" t="s">
        <v>26</v>
      </c>
      <c r="M5133">
        <v>326877</v>
      </c>
      <c r="N5133">
        <v>1</v>
      </c>
      <c r="O5133" s="3">
        <v>5950</v>
      </c>
      <c r="P5133" s="3">
        <v>3307</v>
      </c>
      <c r="Q5133" s="5">
        <f t="shared" si="240"/>
        <v>5000</v>
      </c>
      <c r="R5133" s="5">
        <f t="shared" si="241"/>
        <v>3307</v>
      </c>
      <c r="S5133" s="5">
        <f t="shared" si="242"/>
        <v>1693</v>
      </c>
    </row>
    <row r="5134" spans="1:19" hidden="1" x14ac:dyDescent="0.3">
      <c r="A5134">
        <v>190</v>
      </c>
      <c r="B5134" t="s">
        <v>5801</v>
      </c>
      <c r="C5134" t="s">
        <v>4292</v>
      </c>
      <c r="D5134" s="2" t="s">
        <v>4293</v>
      </c>
      <c r="E5134" t="s">
        <v>2778</v>
      </c>
      <c r="F5134" t="s">
        <v>20</v>
      </c>
      <c r="G5134" t="s">
        <v>21</v>
      </c>
      <c r="H5134" t="s">
        <v>1296</v>
      </c>
      <c r="I5134" t="s">
        <v>23</v>
      </c>
      <c r="J5134" t="s">
        <v>35</v>
      </c>
      <c r="K5134" s="2" t="s">
        <v>1744</v>
      </c>
      <c r="L5134" t="s">
        <v>26</v>
      </c>
      <c r="M5134">
        <v>326878</v>
      </c>
      <c r="N5134">
        <v>1</v>
      </c>
      <c r="O5134" s="3">
        <v>99950</v>
      </c>
      <c r="P5134" s="3">
        <v>34091</v>
      </c>
      <c r="Q5134" s="5">
        <f t="shared" si="240"/>
        <v>83991.596638655465</v>
      </c>
      <c r="R5134" s="5">
        <f t="shared" si="241"/>
        <v>34091</v>
      </c>
      <c r="S5134" s="5">
        <f t="shared" si="242"/>
        <v>49900.596638655465</v>
      </c>
    </row>
    <row r="5135" spans="1:19" hidden="1" x14ac:dyDescent="0.3">
      <c r="A5135">
        <v>190</v>
      </c>
      <c r="B5135" t="s">
        <v>5801</v>
      </c>
      <c r="C5135" t="s">
        <v>6021</v>
      </c>
      <c r="D5135" s="2" t="s">
        <v>6022</v>
      </c>
      <c r="E5135" t="s">
        <v>1706</v>
      </c>
      <c r="F5135" t="s">
        <v>20</v>
      </c>
      <c r="G5135" t="s">
        <v>338</v>
      </c>
      <c r="H5135">
        <v>23201</v>
      </c>
      <c r="I5135" t="s">
        <v>23</v>
      </c>
      <c r="J5135" t="s">
        <v>49</v>
      </c>
      <c r="K5135" s="2" t="s">
        <v>1744</v>
      </c>
      <c r="L5135" t="s">
        <v>26</v>
      </c>
      <c r="M5135">
        <v>326879</v>
      </c>
      <c r="N5135">
        <v>1</v>
      </c>
      <c r="O5135" s="3">
        <v>84950</v>
      </c>
      <c r="P5135" s="3">
        <v>26390</v>
      </c>
      <c r="Q5135" s="5">
        <f t="shared" si="240"/>
        <v>71386.554621848743</v>
      </c>
      <c r="R5135" s="5">
        <f t="shared" si="241"/>
        <v>26390</v>
      </c>
      <c r="S5135" s="5">
        <f t="shared" si="242"/>
        <v>44996.554621848743</v>
      </c>
    </row>
    <row r="5136" spans="1:19" hidden="1" x14ac:dyDescent="0.3">
      <c r="A5136">
        <v>190</v>
      </c>
      <c r="B5136" t="s">
        <v>5801</v>
      </c>
      <c r="C5136" t="s">
        <v>6023</v>
      </c>
      <c r="D5136" s="2" t="s">
        <v>6024</v>
      </c>
      <c r="E5136" t="s">
        <v>3764</v>
      </c>
      <c r="F5136" t="s">
        <v>20</v>
      </c>
      <c r="G5136" t="s">
        <v>21</v>
      </c>
      <c r="H5136" t="s">
        <v>1282</v>
      </c>
      <c r="I5136" t="s">
        <v>23</v>
      </c>
      <c r="J5136" t="s">
        <v>40</v>
      </c>
      <c r="K5136" s="2" t="s">
        <v>1744</v>
      </c>
      <c r="L5136" t="s">
        <v>26</v>
      </c>
      <c r="M5136">
        <v>326880</v>
      </c>
      <c r="N5136">
        <v>1</v>
      </c>
      <c r="O5136" s="3">
        <v>49950</v>
      </c>
      <c r="P5136" s="3">
        <v>13922</v>
      </c>
      <c r="Q5136" s="5">
        <f t="shared" si="240"/>
        <v>41974.789915966387</v>
      </c>
      <c r="R5136" s="5">
        <f t="shared" si="241"/>
        <v>13922</v>
      </c>
      <c r="S5136" s="5">
        <f t="shared" si="242"/>
        <v>28052.789915966387</v>
      </c>
    </row>
    <row r="5137" spans="1:19" hidden="1" x14ac:dyDescent="0.3">
      <c r="A5137">
        <v>190</v>
      </c>
      <c r="B5137" t="s">
        <v>5801</v>
      </c>
      <c r="C5137" t="s">
        <v>832</v>
      </c>
      <c r="D5137" s="2" t="s">
        <v>833</v>
      </c>
      <c r="E5137" t="s">
        <v>834</v>
      </c>
      <c r="F5137" t="s">
        <v>20</v>
      </c>
      <c r="G5137" t="s">
        <v>21</v>
      </c>
      <c r="H5137" t="s">
        <v>835</v>
      </c>
      <c r="I5137" t="s">
        <v>23</v>
      </c>
      <c r="J5137" t="s">
        <v>40</v>
      </c>
      <c r="K5137" s="2" t="s">
        <v>1744</v>
      </c>
      <c r="L5137" t="s">
        <v>26</v>
      </c>
      <c r="M5137">
        <v>326880</v>
      </c>
      <c r="N5137">
        <v>1</v>
      </c>
      <c r="O5137" s="3">
        <v>39990</v>
      </c>
      <c r="P5137" s="3">
        <v>26012</v>
      </c>
      <c r="Q5137" s="5">
        <f t="shared" si="240"/>
        <v>33605.042016806721</v>
      </c>
      <c r="R5137" s="5">
        <f t="shared" si="241"/>
        <v>26012</v>
      </c>
      <c r="S5137" s="5">
        <f t="shared" si="242"/>
        <v>7593.0420168067212</v>
      </c>
    </row>
    <row r="5138" spans="1:19" hidden="1" x14ac:dyDescent="0.3">
      <c r="A5138">
        <v>190</v>
      </c>
      <c r="B5138" t="s">
        <v>5801</v>
      </c>
      <c r="C5138" t="s">
        <v>5879</v>
      </c>
      <c r="D5138" s="2" t="s">
        <v>5880</v>
      </c>
      <c r="E5138" t="s">
        <v>3283</v>
      </c>
      <c r="F5138" t="s">
        <v>20</v>
      </c>
      <c r="G5138" t="s">
        <v>21</v>
      </c>
      <c r="H5138" t="s">
        <v>2494</v>
      </c>
      <c r="I5138" t="s">
        <v>23</v>
      </c>
      <c r="J5138" t="s">
        <v>40</v>
      </c>
      <c r="K5138" s="2" t="s">
        <v>1744</v>
      </c>
      <c r="L5138" t="s">
        <v>26</v>
      </c>
      <c r="M5138">
        <v>326880</v>
      </c>
      <c r="N5138">
        <v>-1</v>
      </c>
      <c r="O5138" s="3">
        <v>-69950</v>
      </c>
      <c r="P5138" s="3">
        <v>23470</v>
      </c>
      <c r="Q5138" s="5">
        <f t="shared" si="240"/>
        <v>-58781.512605042022</v>
      </c>
      <c r="R5138" s="5">
        <f t="shared" si="241"/>
        <v>-23470</v>
      </c>
      <c r="S5138" s="5">
        <f t="shared" si="242"/>
        <v>-35311.512605042022</v>
      </c>
    </row>
    <row r="5139" spans="1:19" hidden="1" x14ac:dyDescent="0.3">
      <c r="A5139">
        <v>190</v>
      </c>
      <c r="B5139" t="s">
        <v>5801</v>
      </c>
      <c r="C5139" t="s">
        <v>2868</v>
      </c>
      <c r="D5139" s="2" t="s">
        <v>2869</v>
      </c>
      <c r="E5139" t="s">
        <v>2870</v>
      </c>
      <c r="F5139" t="s">
        <v>20</v>
      </c>
      <c r="G5139" t="s">
        <v>21</v>
      </c>
      <c r="H5139" t="s">
        <v>30</v>
      </c>
      <c r="I5139" t="s">
        <v>23</v>
      </c>
      <c r="J5139" t="s">
        <v>35</v>
      </c>
      <c r="K5139" s="2" t="s">
        <v>1744</v>
      </c>
      <c r="L5139" t="s">
        <v>26</v>
      </c>
      <c r="M5139">
        <v>326881</v>
      </c>
      <c r="N5139">
        <v>1</v>
      </c>
      <c r="O5139" s="3">
        <v>79950</v>
      </c>
      <c r="P5139" s="3">
        <v>30749</v>
      </c>
      <c r="Q5139" s="5">
        <f t="shared" si="240"/>
        <v>67184.873949579836</v>
      </c>
      <c r="R5139" s="5">
        <f t="shared" si="241"/>
        <v>30749</v>
      </c>
      <c r="S5139" s="5">
        <f t="shared" si="242"/>
        <v>36435.873949579836</v>
      </c>
    </row>
    <row r="5140" spans="1:19" hidden="1" x14ac:dyDescent="0.3">
      <c r="A5140">
        <v>190</v>
      </c>
      <c r="B5140" t="s">
        <v>5801</v>
      </c>
      <c r="C5140" t="s">
        <v>6025</v>
      </c>
      <c r="D5140" s="2" t="s">
        <v>6026</v>
      </c>
      <c r="E5140" t="s">
        <v>2632</v>
      </c>
      <c r="F5140" t="s">
        <v>20</v>
      </c>
      <c r="G5140" t="s">
        <v>21</v>
      </c>
      <c r="H5140" t="s">
        <v>2469</v>
      </c>
      <c r="I5140" t="s">
        <v>23</v>
      </c>
      <c r="J5140" t="s">
        <v>49</v>
      </c>
      <c r="K5140" s="2" t="s">
        <v>1744</v>
      </c>
      <c r="L5140" t="s">
        <v>26</v>
      </c>
      <c r="M5140">
        <v>326881</v>
      </c>
      <c r="N5140">
        <v>-1</v>
      </c>
      <c r="O5140" s="3">
        <v>-64950</v>
      </c>
      <c r="P5140" s="3">
        <v>21379</v>
      </c>
      <c r="Q5140" s="5">
        <f t="shared" si="240"/>
        <v>-54579.831932773115</v>
      </c>
      <c r="R5140" s="5">
        <f t="shared" si="241"/>
        <v>-21379</v>
      </c>
      <c r="S5140" s="5">
        <f t="shared" si="242"/>
        <v>-33200.831932773115</v>
      </c>
    </row>
    <row r="5141" spans="1:19" hidden="1" x14ac:dyDescent="0.3">
      <c r="A5141">
        <v>190</v>
      </c>
      <c r="B5141" t="s">
        <v>5801</v>
      </c>
      <c r="C5141">
        <v>1687976791</v>
      </c>
      <c r="D5141" s="2" t="s">
        <v>200</v>
      </c>
      <c r="E5141" t="s">
        <v>201</v>
      </c>
      <c r="F5141" t="s">
        <v>201</v>
      </c>
      <c r="G5141" t="s">
        <v>202</v>
      </c>
      <c r="H5141" t="s">
        <v>202</v>
      </c>
      <c r="I5141" t="s">
        <v>23</v>
      </c>
      <c r="J5141" t="s">
        <v>202</v>
      </c>
      <c r="K5141" s="2" t="s">
        <v>1744</v>
      </c>
      <c r="L5141" t="s">
        <v>26</v>
      </c>
      <c r="M5141">
        <v>326882</v>
      </c>
      <c r="N5141">
        <v>1</v>
      </c>
      <c r="O5141" s="3">
        <v>3400</v>
      </c>
      <c r="P5141">
        <v>1</v>
      </c>
      <c r="Q5141" s="5">
        <f t="shared" si="240"/>
        <v>2857.1428571428573</v>
      </c>
      <c r="R5141" s="5">
        <f t="shared" si="241"/>
        <v>1</v>
      </c>
      <c r="S5141" s="5">
        <f t="shared" si="242"/>
        <v>2856.1428571428573</v>
      </c>
    </row>
    <row r="5142" spans="1:19" hidden="1" x14ac:dyDescent="0.3">
      <c r="A5142">
        <v>190</v>
      </c>
      <c r="B5142" t="s">
        <v>5801</v>
      </c>
      <c r="C5142" t="s">
        <v>72</v>
      </c>
      <c r="D5142" s="2" t="s">
        <v>73</v>
      </c>
      <c r="E5142" t="s">
        <v>71</v>
      </c>
      <c r="F5142" t="s">
        <v>20</v>
      </c>
      <c r="G5142" t="s">
        <v>21</v>
      </c>
      <c r="H5142" t="s">
        <v>53</v>
      </c>
      <c r="I5142" t="s">
        <v>23</v>
      </c>
      <c r="J5142" t="s">
        <v>35</v>
      </c>
      <c r="K5142" s="2" t="s">
        <v>1744</v>
      </c>
      <c r="L5142" t="s">
        <v>26</v>
      </c>
      <c r="M5142">
        <v>326882</v>
      </c>
      <c r="N5142">
        <v>1</v>
      </c>
      <c r="O5142" s="3">
        <v>49990</v>
      </c>
      <c r="P5142" s="3">
        <v>24247</v>
      </c>
      <c r="Q5142" s="5">
        <f t="shared" si="240"/>
        <v>42008.403361344543</v>
      </c>
      <c r="R5142" s="5">
        <f t="shared" si="241"/>
        <v>24247</v>
      </c>
      <c r="S5142" s="5">
        <f t="shared" si="242"/>
        <v>17761.403361344543</v>
      </c>
    </row>
    <row r="5143" spans="1:19" hidden="1" x14ac:dyDescent="0.3">
      <c r="A5143">
        <v>190</v>
      </c>
      <c r="B5143" t="s">
        <v>5801</v>
      </c>
      <c r="C5143" t="s">
        <v>4150</v>
      </c>
      <c r="D5143" s="2" t="s">
        <v>4151</v>
      </c>
      <c r="E5143" t="s">
        <v>4038</v>
      </c>
      <c r="F5143" t="s">
        <v>20</v>
      </c>
      <c r="G5143" t="s">
        <v>21</v>
      </c>
      <c r="H5143" t="s">
        <v>2469</v>
      </c>
      <c r="I5143" t="s">
        <v>23</v>
      </c>
      <c r="J5143" t="s">
        <v>35</v>
      </c>
      <c r="K5143" s="2" t="s">
        <v>1744</v>
      </c>
      <c r="L5143" t="s">
        <v>26</v>
      </c>
      <c r="M5143">
        <v>326883</v>
      </c>
      <c r="N5143">
        <v>1</v>
      </c>
      <c r="O5143" s="3">
        <v>69990</v>
      </c>
      <c r="P5143" s="3">
        <v>29635</v>
      </c>
      <c r="Q5143" s="5">
        <f t="shared" si="240"/>
        <v>58815.126050420171</v>
      </c>
      <c r="R5143" s="5">
        <f t="shared" si="241"/>
        <v>29635</v>
      </c>
      <c r="S5143" s="5">
        <f t="shared" si="242"/>
        <v>29180.126050420171</v>
      </c>
    </row>
    <row r="5144" spans="1:19" hidden="1" x14ac:dyDescent="0.3">
      <c r="A5144">
        <v>190</v>
      </c>
      <c r="B5144" t="s">
        <v>5801</v>
      </c>
      <c r="C5144" t="s">
        <v>6027</v>
      </c>
      <c r="D5144" s="2" t="s">
        <v>6028</v>
      </c>
      <c r="E5144" t="s">
        <v>6029</v>
      </c>
      <c r="F5144" t="s">
        <v>20</v>
      </c>
      <c r="G5144" t="s">
        <v>215</v>
      </c>
      <c r="H5144" t="s">
        <v>3709</v>
      </c>
      <c r="I5144" t="s">
        <v>23</v>
      </c>
      <c r="J5144" t="s">
        <v>35</v>
      </c>
      <c r="K5144" s="2" t="s">
        <v>1744</v>
      </c>
      <c r="L5144" t="s">
        <v>26</v>
      </c>
      <c r="M5144">
        <v>326884</v>
      </c>
      <c r="N5144">
        <v>1</v>
      </c>
      <c r="O5144" s="3">
        <v>99950</v>
      </c>
      <c r="P5144" s="3">
        <v>47276</v>
      </c>
      <c r="Q5144" s="5">
        <f t="shared" si="240"/>
        <v>83991.596638655465</v>
      </c>
      <c r="R5144" s="5">
        <f t="shared" si="241"/>
        <v>47276</v>
      </c>
      <c r="S5144" s="5">
        <f t="shared" si="242"/>
        <v>36715.596638655465</v>
      </c>
    </row>
    <row r="5145" spans="1:19" hidden="1" x14ac:dyDescent="0.3">
      <c r="A5145">
        <v>190</v>
      </c>
      <c r="B5145" t="s">
        <v>5801</v>
      </c>
      <c r="C5145" t="s">
        <v>1037</v>
      </c>
      <c r="D5145" s="2" t="s">
        <v>1038</v>
      </c>
      <c r="E5145" t="s">
        <v>1039</v>
      </c>
      <c r="F5145" t="s">
        <v>377</v>
      </c>
      <c r="G5145" t="s">
        <v>21</v>
      </c>
      <c r="H5145" t="s">
        <v>378</v>
      </c>
      <c r="I5145" t="s">
        <v>23</v>
      </c>
      <c r="J5145" t="s">
        <v>379</v>
      </c>
      <c r="K5145" s="2" t="s">
        <v>1744</v>
      </c>
      <c r="L5145" t="s">
        <v>26</v>
      </c>
      <c r="M5145">
        <v>326885</v>
      </c>
      <c r="N5145">
        <v>1</v>
      </c>
      <c r="O5145" s="3">
        <v>5950</v>
      </c>
      <c r="P5145" s="3">
        <v>3257</v>
      </c>
      <c r="Q5145" s="5">
        <f t="shared" si="240"/>
        <v>5000</v>
      </c>
      <c r="R5145" s="5">
        <f t="shared" si="241"/>
        <v>3257</v>
      </c>
      <c r="S5145" s="5">
        <f t="shared" si="242"/>
        <v>1743</v>
      </c>
    </row>
    <row r="5146" spans="1:19" hidden="1" x14ac:dyDescent="0.3">
      <c r="A5146">
        <v>190</v>
      </c>
      <c r="B5146" t="s">
        <v>5801</v>
      </c>
      <c r="C5146" t="s">
        <v>6030</v>
      </c>
      <c r="D5146" s="2" t="s">
        <v>6031</v>
      </c>
      <c r="E5146" t="s">
        <v>905</v>
      </c>
      <c r="F5146" t="s">
        <v>20</v>
      </c>
      <c r="G5146" t="s">
        <v>21</v>
      </c>
      <c r="H5146" t="s">
        <v>224</v>
      </c>
      <c r="I5146" t="s">
        <v>23</v>
      </c>
      <c r="J5146" t="s">
        <v>49</v>
      </c>
      <c r="K5146" s="2" t="s">
        <v>1744</v>
      </c>
      <c r="L5146" t="s">
        <v>26</v>
      </c>
      <c r="M5146">
        <v>326886</v>
      </c>
      <c r="N5146">
        <v>1</v>
      </c>
      <c r="O5146" s="3">
        <v>45991</v>
      </c>
      <c r="P5146" s="3">
        <v>27208</v>
      </c>
      <c r="Q5146" s="5">
        <f t="shared" si="240"/>
        <v>38647.899159663866</v>
      </c>
      <c r="R5146" s="5">
        <f t="shared" si="241"/>
        <v>27208</v>
      </c>
      <c r="S5146" s="5">
        <f t="shared" si="242"/>
        <v>11439.899159663866</v>
      </c>
    </row>
    <row r="5147" spans="1:19" hidden="1" x14ac:dyDescent="0.3">
      <c r="A5147">
        <v>190</v>
      </c>
      <c r="B5147" t="s">
        <v>5801</v>
      </c>
      <c r="C5147" t="s">
        <v>1238</v>
      </c>
      <c r="D5147" s="2" t="s">
        <v>1239</v>
      </c>
      <c r="E5147" t="s">
        <v>905</v>
      </c>
      <c r="F5147" t="s">
        <v>20</v>
      </c>
      <c r="G5147" t="s">
        <v>21</v>
      </c>
      <c r="H5147" t="s">
        <v>224</v>
      </c>
      <c r="I5147" t="s">
        <v>23</v>
      </c>
      <c r="J5147" t="s">
        <v>49</v>
      </c>
      <c r="K5147" s="2" t="s">
        <v>1744</v>
      </c>
      <c r="L5147" t="s">
        <v>26</v>
      </c>
      <c r="M5147">
        <v>326886</v>
      </c>
      <c r="N5147">
        <v>-1</v>
      </c>
      <c r="O5147" s="3">
        <v>-45990</v>
      </c>
      <c r="P5147" s="3">
        <v>26725</v>
      </c>
      <c r="Q5147" s="5">
        <f t="shared" si="240"/>
        <v>-38647.058823529413</v>
      </c>
      <c r="R5147" s="5">
        <f t="shared" si="241"/>
        <v>-26725</v>
      </c>
      <c r="S5147" s="5">
        <f t="shared" si="242"/>
        <v>-11922.058823529413</v>
      </c>
    </row>
    <row r="5148" spans="1:19" hidden="1" x14ac:dyDescent="0.3">
      <c r="A5148">
        <v>190</v>
      </c>
      <c r="B5148" t="s">
        <v>5801</v>
      </c>
      <c r="C5148" t="s">
        <v>5165</v>
      </c>
      <c r="D5148" s="2" t="s">
        <v>5166</v>
      </c>
      <c r="E5148" t="s">
        <v>2671</v>
      </c>
      <c r="F5148" t="s">
        <v>20</v>
      </c>
      <c r="G5148" t="s">
        <v>21</v>
      </c>
      <c r="H5148" t="s">
        <v>874</v>
      </c>
      <c r="I5148" t="s">
        <v>23</v>
      </c>
      <c r="J5148" t="s">
        <v>95</v>
      </c>
      <c r="K5148" s="2" t="s">
        <v>1744</v>
      </c>
      <c r="L5148" t="s">
        <v>26</v>
      </c>
      <c r="M5148">
        <v>326887</v>
      </c>
      <c r="N5148">
        <v>1</v>
      </c>
      <c r="O5148" s="3">
        <v>39990</v>
      </c>
      <c r="P5148" s="3">
        <v>20699</v>
      </c>
      <c r="Q5148" s="5">
        <f t="shared" si="240"/>
        <v>33605.042016806721</v>
      </c>
      <c r="R5148" s="5">
        <f t="shared" si="241"/>
        <v>20699</v>
      </c>
      <c r="S5148" s="5">
        <f t="shared" si="242"/>
        <v>12906.042016806721</v>
      </c>
    </row>
    <row r="5149" spans="1:19" hidden="1" x14ac:dyDescent="0.3">
      <c r="A5149">
        <v>190</v>
      </c>
      <c r="B5149" t="s">
        <v>5801</v>
      </c>
      <c r="C5149" t="s">
        <v>3253</v>
      </c>
      <c r="D5149" s="2" t="s">
        <v>3254</v>
      </c>
      <c r="E5149" t="s">
        <v>2653</v>
      </c>
      <c r="F5149" t="s">
        <v>20</v>
      </c>
      <c r="G5149" t="s">
        <v>21</v>
      </c>
      <c r="H5149" t="s">
        <v>2315</v>
      </c>
      <c r="I5149" t="s">
        <v>23</v>
      </c>
      <c r="J5149" t="s">
        <v>35</v>
      </c>
      <c r="K5149" s="2" t="s">
        <v>1744</v>
      </c>
      <c r="L5149" t="s">
        <v>26</v>
      </c>
      <c r="M5149">
        <v>326888</v>
      </c>
      <c r="N5149">
        <v>1</v>
      </c>
      <c r="O5149" s="3">
        <v>89950</v>
      </c>
      <c r="P5149" s="3">
        <v>30749</v>
      </c>
      <c r="Q5149" s="5">
        <f t="shared" si="240"/>
        <v>75588.23529411765</v>
      </c>
      <c r="R5149" s="5">
        <f t="shared" si="241"/>
        <v>30749</v>
      </c>
      <c r="S5149" s="5">
        <f t="shared" si="242"/>
        <v>44839.23529411765</v>
      </c>
    </row>
    <row r="5150" spans="1:19" hidden="1" x14ac:dyDescent="0.3">
      <c r="A5150">
        <v>190</v>
      </c>
      <c r="B5150" t="s">
        <v>5801</v>
      </c>
      <c r="C5150" t="s">
        <v>5781</v>
      </c>
      <c r="D5150" s="2" t="s">
        <v>5782</v>
      </c>
      <c r="E5150" t="s">
        <v>2378</v>
      </c>
      <c r="F5150" t="s">
        <v>20</v>
      </c>
      <c r="G5150" t="s">
        <v>21</v>
      </c>
      <c r="H5150" t="s">
        <v>2379</v>
      </c>
      <c r="I5150" t="s">
        <v>23</v>
      </c>
      <c r="J5150" t="s">
        <v>40</v>
      </c>
      <c r="K5150" s="2" t="s">
        <v>1744</v>
      </c>
      <c r="L5150" t="s">
        <v>26</v>
      </c>
      <c r="M5150">
        <v>326889</v>
      </c>
      <c r="N5150">
        <v>-1</v>
      </c>
      <c r="O5150" s="3">
        <v>-49950</v>
      </c>
      <c r="P5150" s="3">
        <v>15753</v>
      </c>
      <c r="Q5150" s="5">
        <f t="shared" si="240"/>
        <v>-41974.789915966387</v>
      </c>
      <c r="R5150" s="5">
        <f t="shared" si="241"/>
        <v>-15753</v>
      </c>
      <c r="S5150" s="5">
        <f t="shared" si="242"/>
        <v>-26221.789915966387</v>
      </c>
    </row>
    <row r="5151" spans="1:19" hidden="1" x14ac:dyDescent="0.3">
      <c r="A5151">
        <v>190</v>
      </c>
      <c r="B5151" t="s">
        <v>5801</v>
      </c>
      <c r="C5151" t="s">
        <v>3118</v>
      </c>
      <c r="D5151" s="2" t="s">
        <v>3119</v>
      </c>
      <c r="E5151" t="s">
        <v>954</v>
      </c>
      <c r="F5151" t="s">
        <v>20</v>
      </c>
      <c r="G5151" t="s">
        <v>21</v>
      </c>
      <c r="H5151" t="s">
        <v>557</v>
      </c>
      <c r="I5151" t="s">
        <v>23</v>
      </c>
      <c r="J5151" t="s">
        <v>40</v>
      </c>
      <c r="K5151" s="2" t="s">
        <v>1744</v>
      </c>
      <c r="L5151" t="s">
        <v>26</v>
      </c>
      <c r="M5151">
        <v>326889</v>
      </c>
      <c r="N5151">
        <v>1</v>
      </c>
      <c r="O5151" s="3">
        <v>79950</v>
      </c>
      <c r="P5151" s="3">
        <v>26747</v>
      </c>
      <c r="Q5151" s="5">
        <f t="shared" si="240"/>
        <v>67184.873949579836</v>
      </c>
      <c r="R5151" s="5">
        <f t="shared" si="241"/>
        <v>26747</v>
      </c>
      <c r="S5151" s="5">
        <f t="shared" si="242"/>
        <v>40437.873949579836</v>
      </c>
    </row>
    <row r="5152" spans="1:19" hidden="1" x14ac:dyDescent="0.3">
      <c r="A5152">
        <v>190</v>
      </c>
      <c r="B5152" t="s">
        <v>5801</v>
      </c>
      <c r="C5152" t="s">
        <v>2365</v>
      </c>
      <c r="D5152" s="2" t="s">
        <v>2366</v>
      </c>
      <c r="E5152" t="s">
        <v>2367</v>
      </c>
      <c r="F5152" t="s">
        <v>377</v>
      </c>
      <c r="G5152" t="s">
        <v>21</v>
      </c>
      <c r="H5152" t="s">
        <v>378</v>
      </c>
      <c r="I5152" t="s">
        <v>23</v>
      </c>
      <c r="J5152" t="s">
        <v>379</v>
      </c>
      <c r="K5152" s="2" t="s">
        <v>1744</v>
      </c>
      <c r="L5152" t="s">
        <v>26</v>
      </c>
      <c r="M5152">
        <v>326889</v>
      </c>
      <c r="N5152">
        <v>1</v>
      </c>
      <c r="O5152" s="3">
        <v>6950</v>
      </c>
      <c r="P5152" s="3">
        <v>3759</v>
      </c>
      <c r="Q5152" s="5">
        <f t="shared" si="240"/>
        <v>5840.3361344537816</v>
      </c>
      <c r="R5152" s="5">
        <f t="shared" si="241"/>
        <v>3759</v>
      </c>
      <c r="S5152" s="5">
        <f t="shared" si="242"/>
        <v>2081.3361344537816</v>
      </c>
    </row>
    <row r="5153" spans="1:19" hidden="1" x14ac:dyDescent="0.3">
      <c r="A5153">
        <v>190</v>
      </c>
      <c r="B5153" t="s">
        <v>5801</v>
      </c>
      <c r="C5153" t="s">
        <v>5006</v>
      </c>
      <c r="D5153" s="2" t="s">
        <v>5007</v>
      </c>
      <c r="E5153" t="s">
        <v>1223</v>
      </c>
      <c r="F5153" t="s">
        <v>20</v>
      </c>
      <c r="G5153" t="s">
        <v>21</v>
      </c>
      <c r="H5153" t="s">
        <v>500</v>
      </c>
      <c r="I5153" t="s">
        <v>23</v>
      </c>
      <c r="J5153" t="s">
        <v>40</v>
      </c>
      <c r="K5153" s="2" t="s">
        <v>1744</v>
      </c>
      <c r="L5153" t="s">
        <v>26</v>
      </c>
      <c r="M5153">
        <v>326890</v>
      </c>
      <c r="N5153">
        <v>1</v>
      </c>
      <c r="O5153" s="3">
        <v>49990</v>
      </c>
      <c r="P5153" s="3">
        <v>20043</v>
      </c>
      <c r="Q5153" s="5">
        <f t="shared" si="240"/>
        <v>42008.403361344543</v>
      </c>
      <c r="R5153" s="5">
        <f t="shared" si="241"/>
        <v>20043</v>
      </c>
      <c r="S5153" s="5">
        <f t="shared" si="242"/>
        <v>21965.403361344543</v>
      </c>
    </row>
    <row r="5154" spans="1:19" hidden="1" x14ac:dyDescent="0.3">
      <c r="A5154">
        <v>190</v>
      </c>
      <c r="B5154" t="s">
        <v>5801</v>
      </c>
      <c r="C5154" t="s">
        <v>5832</v>
      </c>
      <c r="D5154" s="2" t="s">
        <v>5833</v>
      </c>
      <c r="E5154" t="s">
        <v>2042</v>
      </c>
      <c r="F5154" t="s">
        <v>20</v>
      </c>
      <c r="G5154" t="s">
        <v>21</v>
      </c>
      <c r="H5154" t="s">
        <v>565</v>
      </c>
      <c r="I5154" t="s">
        <v>23</v>
      </c>
      <c r="J5154" t="s">
        <v>49</v>
      </c>
      <c r="K5154" s="2" t="s">
        <v>1797</v>
      </c>
      <c r="L5154" t="s">
        <v>26</v>
      </c>
      <c r="M5154">
        <v>326891</v>
      </c>
      <c r="N5154">
        <v>1</v>
      </c>
      <c r="O5154" s="3">
        <v>69950</v>
      </c>
      <c r="P5154" s="3">
        <v>24768</v>
      </c>
      <c r="Q5154" s="5">
        <f t="shared" si="240"/>
        <v>58781.512605042022</v>
      </c>
      <c r="R5154" s="5">
        <f t="shared" si="241"/>
        <v>24768</v>
      </c>
      <c r="S5154" s="5">
        <f t="shared" si="242"/>
        <v>34013.512605042022</v>
      </c>
    </row>
    <row r="5155" spans="1:19" hidden="1" x14ac:dyDescent="0.3">
      <c r="A5155">
        <v>190</v>
      </c>
      <c r="B5155" t="s">
        <v>5801</v>
      </c>
      <c r="C5155" t="s">
        <v>2350</v>
      </c>
      <c r="D5155" s="2" t="s">
        <v>2351</v>
      </c>
      <c r="E5155" t="s">
        <v>2352</v>
      </c>
      <c r="F5155" t="s">
        <v>20</v>
      </c>
      <c r="G5155" t="s">
        <v>21</v>
      </c>
      <c r="H5155" t="s">
        <v>2353</v>
      </c>
      <c r="I5155" t="s">
        <v>23</v>
      </c>
      <c r="J5155" t="s">
        <v>40</v>
      </c>
      <c r="K5155" s="2" t="s">
        <v>1797</v>
      </c>
      <c r="L5155" t="s">
        <v>26</v>
      </c>
      <c r="M5155">
        <v>326892</v>
      </c>
      <c r="N5155">
        <v>1</v>
      </c>
      <c r="O5155" s="3">
        <v>69990</v>
      </c>
      <c r="P5155" s="3">
        <v>31405</v>
      </c>
      <c r="Q5155" s="5">
        <f t="shared" si="240"/>
        <v>58815.126050420171</v>
      </c>
      <c r="R5155" s="5">
        <f t="shared" si="241"/>
        <v>31405</v>
      </c>
      <c r="S5155" s="5">
        <f t="shared" si="242"/>
        <v>27410.126050420171</v>
      </c>
    </row>
    <row r="5156" spans="1:19" hidden="1" x14ac:dyDescent="0.3">
      <c r="A5156">
        <v>190</v>
      </c>
      <c r="B5156" t="s">
        <v>5801</v>
      </c>
      <c r="C5156" t="s">
        <v>6032</v>
      </c>
      <c r="D5156" s="2" t="s">
        <v>6033</v>
      </c>
      <c r="E5156" t="s">
        <v>1709</v>
      </c>
      <c r="F5156" t="s">
        <v>20</v>
      </c>
      <c r="G5156" t="s">
        <v>21</v>
      </c>
      <c r="H5156" t="s">
        <v>970</v>
      </c>
      <c r="I5156" t="s">
        <v>23</v>
      </c>
      <c r="J5156" t="s">
        <v>40</v>
      </c>
      <c r="K5156" s="2" t="s">
        <v>1797</v>
      </c>
      <c r="L5156" t="s">
        <v>26</v>
      </c>
      <c r="M5156">
        <v>326893</v>
      </c>
      <c r="N5156">
        <v>1</v>
      </c>
      <c r="O5156" s="3">
        <v>49990</v>
      </c>
      <c r="P5156" s="3">
        <v>18897</v>
      </c>
      <c r="Q5156" s="5">
        <f t="shared" si="240"/>
        <v>42008.403361344543</v>
      </c>
      <c r="R5156" s="5">
        <f t="shared" si="241"/>
        <v>18897</v>
      </c>
      <c r="S5156" s="5">
        <f t="shared" si="242"/>
        <v>23111.403361344543</v>
      </c>
    </row>
    <row r="5157" spans="1:19" hidden="1" x14ac:dyDescent="0.3">
      <c r="A5157">
        <v>190</v>
      </c>
      <c r="B5157" t="s">
        <v>5801</v>
      </c>
      <c r="C5157" t="s">
        <v>492</v>
      </c>
      <c r="D5157" s="2" t="s">
        <v>493</v>
      </c>
      <c r="E5157" t="s">
        <v>494</v>
      </c>
      <c r="F5157" t="s">
        <v>20</v>
      </c>
      <c r="G5157" t="s">
        <v>21</v>
      </c>
      <c r="H5157" t="s">
        <v>317</v>
      </c>
      <c r="I5157" t="s">
        <v>23</v>
      </c>
      <c r="J5157" t="s">
        <v>35</v>
      </c>
      <c r="K5157" s="2" t="s">
        <v>1797</v>
      </c>
      <c r="L5157" t="s">
        <v>26</v>
      </c>
      <c r="M5157">
        <v>326894</v>
      </c>
      <c r="N5157">
        <v>1</v>
      </c>
      <c r="O5157" s="3">
        <v>69950</v>
      </c>
      <c r="P5157" s="3">
        <v>23619</v>
      </c>
      <c r="Q5157" s="5">
        <f t="shared" si="240"/>
        <v>58781.512605042022</v>
      </c>
      <c r="R5157" s="5">
        <f t="shared" si="241"/>
        <v>23619</v>
      </c>
      <c r="S5157" s="5">
        <f t="shared" si="242"/>
        <v>35162.512605042022</v>
      </c>
    </row>
    <row r="5158" spans="1:19" hidden="1" x14ac:dyDescent="0.3">
      <c r="A5158">
        <v>190</v>
      </c>
      <c r="B5158" t="s">
        <v>5801</v>
      </c>
      <c r="C5158" t="s">
        <v>3647</v>
      </c>
      <c r="D5158" s="2" t="s">
        <v>3648</v>
      </c>
      <c r="E5158" t="s">
        <v>316</v>
      </c>
      <c r="F5158" t="s">
        <v>20</v>
      </c>
      <c r="G5158" t="s">
        <v>21</v>
      </c>
      <c r="H5158" t="s">
        <v>317</v>
      </c>
      <c r="I5158" t="s">
        <v>23</v>
      </c>
      <c r="J5158" t="s">
        <v>35</v>
      </c>
      <c r="K5158" s="2" t="s">
        <v>1797</v>
      </c>
      <c r="L5158" t="s">
        <v>26</v>
      </c>
      <c r="M5158">
        <v>326895</v>
      </c>
      <c r="N5158">
        <v>1</v>
      </c>
      <c r="O5158" s="3">
        <v>69950</v>
      </c>
      <c r="P5158" s="3">
        <v>24893</v>
      </c>
      <c r="Q5158" s="5">
        <f t="shared" si="240"/>
        <v>58781.512605042022</v>
      </c>
      <c r="R5158" s="5">
        <f t="shared" si="241"/>
        <v>24893</v>
      </c>
      <c r="S5158" s="5">
        <f t="shared" si="242"/>
        <v>33888.512605042022</v>
      </c>
    </row>
    <row r="5159" spans="1:19" hidden="1" x14ac:dyDescent="0.3">
      <c r="A5159">
        <v>190</v>
      </c>
      <c r="B5159" t="s">
        <v>5801</v>
      </c>
      <c r="C5159" t="s">
        <v>6034</v>
      </c>
      <c r="D5159" s="2" t="s">
        <v>6035</v>
      </c>
      <c r="E5159" t="s">
        <v>2252</v>
      </c>
      <c r="F5159" t="s">
        <v>20</v>
      </c>
      <c r="G5159" t="s">
        <v>21</v>
      </c>
      <c r="H5159" t="s">
        <v>970</v>
      </c>
      <c r="I5159" t="s">
        <v>23</v>
      </c>
      <c r="J5159" t="s">
        <v>40</v>
      </c>
      <c r="K5159" s="2" t="s">
        <v>1797</v>
      </c>
      <c r="L5159" t="s">
        <v>26</v>
      </c>
      <c r="M5159">
        <v>326896</v>
      </c>
      <c r="N5159">
        <v>1</v>
      </c>
      <c r="O5159" s="3">
        <v>50950</v>
      </c>
      <c r="P5159" s="3">
        <v>15928</v>
      </c>
      <c r="Q5159" s="5">
        <f t="shared" si="240"/>
        <v>42815.126050420171</v>
      </c>
      <c r="R5159" s="5">
        <f t="shared" si="241"/>
        <v>15928</v>
      </c>
      <c r="S5159" s="5">
        <f t="shared" si="242"/>
        <v>26887.126050420171</v>
      </c>
    </row>
    <row r="5160" spans="1:19" hidden="1" x14ac:dyDescent="0.3">
      <c r="A5160">
        <v>190</v>
      </c>
      <c r="B5160" t="s">
        <v>5801</v>
      </c>
      <c r="C5160" t="s">
        <v>5295</v>
      </c>
      <c r="D5160" s="2" t="s">
        <v>5296</v>
      </c>
      <c r="E5160" t="s">
        <v>4736</v>
      </c>
      <c r="F5160" t="s">
        <v>20</v>
      </c>
      <c r="G5160" t="s">
        <v>21</v>
      </c>
      <c r="H5160" t="s">
        <v>1914</v>
      </c>
      <c r="I5160" t="s">
        <v>23</v>
      </c>
      <c r="J5160" t="s">
        <v>49</v>
      </c>
      <c r="K5160" s="2" t="s">
        <v>1797</v>
      </c>
      <c r="L5160" t="s">
        <v>26</v>
      </c>
      <c r="M5160">
        <v>326896</v>
      </c>
      <c r="N5160">
        <v>1</v>
      </c>
      <c r="O5160" s="3">
        <v>74950</v>
      </c>
      <c r="P5160" s="3">
        <v>24728</v>
      </c>
      <c r="Q5160" s="5">
        <f t="shared" si="240"/>
        <v>62983.193277310929</v>
      </c>
      <c r="R5160" s="5">
        <f t="shared" si="241"/>
        <v>24728</v>
      </c>
      <c r="S5160" s="5">
        <f t="shared" si="242"/>
        <v>38255.193277310929</v>
      </c>
    </row>
    <row r="5161" spans="1:19" hidden="1" x14ac:dyDescent="0.3">
      <c r="A5161">
        <v>190</v>
      </c>
      <c r="B5161" t="s">
        <v>5801</v>
      </c>
      <c r="C5161" t="s">
        <v>4538</v>
      </c>
      <c r="D5161" s="2" t="s">
        <v>4539</v>
      </c>
      <c r="E5161" t="s">
        <v>4540</v>
      </c>
      <c r="F5161" t="s">
        <v>20</v>
      </c>
      <c r="G5161" t="s">
        <v>338</v>
      </c>
      <c r="H5161">
        <v>25623</v>
      </c>
      <c r="I5161" t="s">
        <v>23</v>
      </c>
      <c r="J5161" t="s">
        <v>31</v>
      </c>
      <c r="K5161" s="2" t="s">
        <v>1797</v>
      </c>
      <c r="L5161" t="s">
        <v>26</v>
      </c>
      <c r="M5161">
        <v>326897</v>
      </c>
      <c r="N5161">
        <v>1</v>
      </c>
      <c r="O5161" s="3">
        <v>99950</v>
      </c>
      <c r="P5161" s="3">
        <v>33748</v>
      </c>
      <c r="Q5161" s="5">
        <f t="shared" si="240"/>
        <v>83991.596638655465</v>
      </c>
      <c r="R5161" s="5">
        <f t="shared" si="241"/>
        <v>33748</v>
      </c>
      <c r="S5161" s="5">
        <f t="shared" si="242"/>
        <v>50243.596638655465</v>
      </c>
    </row>
    <row r="5162" spans="1:19" hidden="1" x14ac:dyDescent="0.3">
      <c r="A5162">
        <v>190</v>
      </c>
      <c r="B5162" t="s">
        <v>5801</v>
      </c>
      <c r="C5162" t="s">
        <v>6036</v>
      </c>
      <c r="D5162" s="2" t="s">
        <v>6037</v>
      </c>
      <c r="E5162" t="s">
        <v>869</v>
      </c>
      <c r="F5162" t="s">
        <v>20</v>
      </c>
      <c r="G5162" t="s">
        <v>21</v>
      </c>
      <c r="H5162" t="s">
        <v>870</v>
      </c>
      <c r="I5162" t="s">
        <v>23</v>
      </c>
      <c r="J5162" t="s">
        <v>35</v>
      </c>
      <c r="K5162" s="2" t="s">
        <v>1797</v>
      </c>
      <c r="L5162" t="s">
        <v>26</v>
      </c>
      <c r="M5162">
        <v>326898</v>
      </c>
      <c r="N5162">
        <v>1</v>
      </c>
      <c r="O5162" s="3">
        <v>69950</v>
      </c>
      <c r="P5162" s="3">
        <v>25434</v>
      </c>
      <c r="Q5162" s="5">
        <f t="shared" si="240"/>
        <v>58781.512605042022</v>
      </c>
      <c r="R5162" s="5">
        <f t="shared" si="241"/>
        <v>25434</v>
      </c>
      <c r="S5162" s="5">
        <f t="shared" si="242"/>
        <v>33347.512605042022</v>
      </c>
    </row>
    <row r="5163" spans="1:19" hidden="1" x14ac:dyDescent="0.3">
      <c r="A5163">
        <v>190</v>
      </c>
      <c r="B5163" t="s">
        <v>5801</v>
      </c>
      <c r="C5163" t="s">
        <v>4065</v>
      </c>
      <c r="D5163" s="2" t="s">
        <v>4066</v>
      </c>
      <c r="E5163" t="s">
        <v>2787</v>
      </c>
      <c r="F5163" t="s">
        <v>20</v>
      </c>
      <c r="G5163" t="s">
        <v>21</v>
      </c>
      <c r="H5163" t="s">
        <v>1286</v>
      </c>
      <c r="I5163" t="s">
        <v>23</v>
      </c>
      <c r="J5163" t="s">
        <v>40</v>
      </c>
      <c r="K5163" s="2" t="s">
        <v>1797</v>
      </c>
      <c r="L5163" t="s">
        <v>26</v>
      </c>
      <c r="M5163">
        <v>326898</v>
      </c>
      <c r="N5163">
        <v>1</v>
      </c>
      <c r="O5163" s="3">
        <v>49990</v>
      </c>
      <c r="P5163" s="3">
        <v>24783</v>
      </c>
      <c r="Q5163" s="5">
        <f t="shared" si="240"/>
        <v>42008.403361344543</v>
      </c>
      <c r="R5163" s="5">
        <f t="shared" si="241"/>
        <v>24783</v>
      </c>
      <c r="S5163" s="5">
        <f t="shared" si="242"/>
        <v>17225.403361344543</v>
      </c>
    </row>
    <row r="5164" spans="1:19" hidden="1" x14ac:dyDescent="0.3">
      <c r="A5164">
        <v>190</v>
      </c>
      <c r="B5164" t="s">
        <v>5801</v>
      </c>
      <c r="C5164" t="s">
        <v>4067</v>
      </c>
      <c r="D5164" s="2" t="s">
        <v>4068</v>
      </c>
      <c r="E5164" t="s">
        <v>3323</v>
      </c>
      <c r="F5164" t="s">
        <v>20</v>
      </c>
      <c r="G5164" t="s">
        <v>21</v>
      </c>
      <c r="H5164" t="s">
        <v>625</v>
      </c>
      <c r="I5164" t="s">
        <v>23</v>
      </c>
      <c r="J5164" t="s">
        <v>35</v>
      </c>
      <c r="K5164" s="2" t="s">
        <v>1797</v>
      </c>
      <c r="L5164" t="s">
        <v>26</v>
      </c>
      <c r="M5164">
        <v>326899</v>
      </c>
      <c r="N5164">
        <v>1</v>
      </c>
      <c r="O5164" s="3">
        <v>49990</v>
      </c>
      <c r="P5164" s="3">
        <v>24956</v>
      </c>
      <c r="Q5164" s="5">
        <f t="shared" si="240"/>
        <v>42008.403361344543</v>
      </c>
      <c r="R5164" s="5">
        <f t="shared" si="241"/>
        <v>24956</v>
      </c>
      <c r="S5164" s="5">
        <f t="shared" si="242"/>
        <v>17052.403361344543</v>
      </c>
    </row>
    <row r="5165" spans="1:19" hidden="1" x14ac:dyDescent="0.3">
      <c r="A5165">
        <v>190</v>
      </c>
      <c r="B5165" t="s">
        <v>5801</v>
      </c>
      <c r="C5165" t="s">
        <v>4480</v>
      </c>
      <c r="D5165" s="2" t="s">
        <v>4481</v>
      </c>
      <c r="E5165" t="s">
        <v>617</v>
      </c>
      <c r="F5165" t="s">
        <v>20</v>
      </c>
      <c r="G5165" t="s">
        <v>21</v>
      </c>
      <c r="H5165" t="s">
        <v>618</v>
      </c>
      <c r="I5165" t="s">
        <v>23</v>
      </c>
      <c r="J5165" t="s">
        <v>40</v>
      </c>
      <c r="K5165" s="2" t="s">
        <v>1797</v>
      </c>
      <c r="L5165" t="s">
        <v>26</v>
      </c>
      <c r="M5165">
        <v>326900</v>
      </c>
      <c r="N5165">
        <v>1</v>
      </c>
      <c r="O5165" s="3">
        <v>34990</v>
      </c>
      <c r="P5165" s="3">
        <v>16817</v>
      </c>
      <c r="Q5165" s="5">
        <f t="shared" si="240"/>
        <v>29403.361344537818</v>
      </c>
      <c r="R5165" s="5">
        <f t="shared" si="241"/>
        <v>16817</v>
      </c>
      <c r="S5165" s="5">
        <f t="shared" si="242"/>
        <v>12586.361344537818</v>
      </c>
    </row>
    <row r="5166" spans="1:19" hidden="1" x14ac:dyDescent="0.3">
      <c r="A5166">
        <v>190</v>
      </c>
      <c r="B5166" t="s">
        <v>5801</v>
      </c>
      <c r="C5166" t="s">
        <v>5573</v>
      </c>
      <c r="D5166" s="2" t="s">
        <v>5574</v>
      </c>
      <c r="E5166" t="s">
        <v>5575</v>
      </c>
      <c r="F5166" t="s">
        <v>20</v>
      </c>
      <c r="G5166" t="s">
        <v>21</v>
      </c>
      <c r="H5166" t="s">
        <v>618</v>
      </c>
      <c r="I5166" t="s">
        <v>23</v>
      </c>
      <c r="J5166" t="s">
        <v>40</v>
      </c>
      <c r="K5166" s="2" t="s">
        <v>1797</v>
      </c>
      <c r="L5166" t="s">
        <v>26</v>
      </c>
      <c r="M5166">
        <v>326900</v>
      </c>
      <c r="N5166">
        <v>1</v>
      </c>
      <c r="O5166" s="3">
        <v>34990</v>
      </c>
      <c r="P5166" s="3">
        <v>16817</v>
      </c>
      <c r="Q5166" s="5">
        <f t="shared" si="240"/>
        <v>29403.361344537818</v>
      </c>
      <c r="R5166" s="5">
        <f t="shared" si="241"/>
        <v>16817</v>
      </c>
      <c r="S5166" s="5">
        <f t="shared" si="242"/>
        <v>12586.361344537818</v>
      </c>
    </row>
    <row r="5167" spans="1:19" hidden="1" x14ac:dyDescent="0.3">
      <c r="A5167">
        <v>190</v>
      </c>
      <c r="B5167" t="s">
        <v>5801</v>
      </c>
      <c r="C5167" t="s">
        <v>4665</v>
      </c>
      <c r="D5167" s="2" t="s">
        <v>4666</v>
      </c>
      <c r="E5167" t="s">
        <v>4132</v>
      </c>
      <c r="F5167" t="s">
        <v>20</v>
      </c>
      <c r="G5167" t="s">
        <v>21</v>
      </c>
      <c r="H5167" t="s">
        <v>1914</v>
      </c>
      <c r="I5167" t="s">
        <v>23</v>
      </c>
      <c r="J5167" t="s">
        <v>49</v>
      </c>
      <c r="K5167" s="2" t="s">
        <v>1797</v>
      </c>
      <c r="L5167" t="s">
        <v>26</v>
      </c>
      <c r="M5167">
        <v>326901</v>
      </c>
      <c r="N5167">
        <v>1</v>
      </c>
      <c r="O5167" s="3">
        <v>74950</v>
      </c>
      <c r="P5167" s="3">
        <v>24732</v>
      </c>
      <c r="Q5167" s="5">
        <f t="shared" si="240"/>
        <v>62983.193277310929</v>
      </c>
      <c r="R5167" s="5">
        <f t="shared" si="241"/>
        <v>24732</v>
      </c>
      <c r="S5167" s="5">
        <f t="shared" si="242"/>
        <v>38251.193277310929</v>
      </c>
    </row>
    <row r="5168" spans="1:19" hidden="1" x14ac:dyDescent="0.3">
      <c r="A5168">
        <v>190</v>
      </c>
      <c r="B5168" t="s">
        <v>5801</v>
      </c>
      <c r="C5168" t="s">
        <v>4409</v>
      </c>
      <c r="D5168" s="2" t="s">
        <v>4410</v>
      </c>
      <c r="E5168" t="s">
        <v>4411</v>
      </c>
      <c r="F5168" t="s">
        <v>20</v>
      </c>
      <c r="G5168" t="s">
        <v>21</v>
      </c>
      <c r="H5168" t="s">
        <v>614</v>
      </c>
      <c r="I5168" t="s">
        <v>23</v>
      </c>
      <c r="J5168" t="s">
        <v>40</v>
      </c>
      <c r="K5168" s="2" t="s">
        <v>1797</v>
      </c>
      <c r="L5168" t="s">
        <v>26</v>
      </c>
      <c r="M5168">
        <v>326902</v>
      </c>
      <c r="N5168">
        <v>1</v>
      </c>
      <c r="O5168" s="3">
        <v>39990</v>
      </c>
      <c r="P5168" s="3">
        <v>15128</v>
      </c>
      <c r="Q5168" s="5">
        <f t="shared" si="240"/>
        <v>33605.042016806721</v>
      </c>
      <c r="R5168" s="5">
        <f t="shared" si="241"/>
        <v>15128</v>
      </c>
      <c r="S5168" s="5">
        <f t="shared" si="242"/>
        <v>18477.042016806721</v>
      </c>
    </row>
    <row r="5169" spans="1:19" hidden="1" x14ac:dyDescent="0.3">
      <c r="A5169">
        <v>190</v>
      </c>
      <c r="B5169" t="s">
        <v>5801</v>
      </c>
      <c r="C5169" t="s">
        <v>2460</v>
      </c>
      <c r="D5169" s="2" t="s">
        <v>2461</v>
      </c>
      <c r="E5169" t="s">
        <v>2462</v>
      </c>
      <c r="F5169" t="s">
        <v>20</v>
      </c>
      <c r="G5169" t="s">
        <v>21</v>
      </c>
      <c r="H5169" t="s">
        <v>65</v>
      </c>
      <c r="I5169" t="s">
        <v>23</v>
      </c>
      <c r="J5169" t="s">
        <v>49</v>
      </c>
      <c r="K5169" s="2" t="s">
        <v>1797</v>
      </c>
      <c r="L5169" t="s">
        <v>26</v>
      </c>
      <c r="M5169">
        <v>326903</v>
      </c>
      <c r="N5169">
        <v>1</v>
      </c>
      <c r="O5169" s="3">
        <v>64950</v>
      </c>
      <c r="P5169" s="3">
        <v>21425</v>
      </c>
      <c r="Q5169" s="5">
        <f t="shared" si="240"/>
        <v>54579.831932773115</v>
      </c>
      <c r="R5169" s="5">
        <f t="shared" si="241"/>
        <v>21425</v>
      </c>
      <c r="S5169" s="5">
        <f t="shared" si="242"/>
        <v>33154.831932773115</v>
      </c>
    </row>
    <row r="5170" spans="1:19" hidden="1" x14ac:dyDescent="0.3">
      <c r="A5170">
        <v>190</v>
      </c>
      <c r="B5170" t="s">
        <v>5801</v>
      </c>
      <c r="C5170" t="s">
        <v>3023</v>
      </c>
      <c r="D5170" s="2" t="s">
        <v>3024</v>
      </c>
      <c r="E5170" t="s">
        <v>938</v>
      </c>
      <c r="F5170" t="s">
        <v>20</v>
      </c>
      <c r="G5170" t="s">
        <v>21</v>
      </c>
      <c r="H5170" t="s">
        <v>317</v>
      </c>
      <c r="I5170" t="s">
        <v>23</v>
      </c>
      <c r="J5170" t="s">
        <v>35</v>
      </c>
      <c r="K5170" s="2" t="s">
        <v>1797</v>
      </c>
      <c r="L5170" t="s">
        <v>26</v>
      </c>
      <c r="M5170">
        <v>326904</v>
      </c>
      <c r="N5170">
        <v>1</v>
      </c>
      <c r="O5170" s="3">
        <v>69950</v>
      </c>
      <c r="P5170" s="3">
        <v>26455</v>
      </c>
      <c r="Q5170" s="5">
        <f t="shared" si="240"/>
        <v>58781.512605042022</v>
      </c>
      <c r="R5170" s="5">
        <f t="shared" si="241"/>
        <v>26455</v>
      </c>
      <c r="S5170" s="5">
        <f t="shared" si="242"/>
        <v>32326.512605042022</v>
      </c>
    </row>
    <row r="5171" spans="1:19" hidden="1" x14ac:dyDescent="0.3">
      <c r="A5171">
        <v>190</v>
      </c>
      <c r="B5171" t="s">
        <v>5801</v>
      </c>
      <c r="C5171" t="s">
        <v>5895</v>
      </c>
      <c r="D5171" s="2" t="s">
        <v>5896</v>
      </c>
      <c r="E5171" t="s">
        <v>2284</v>
      </c>
      <c r="F5171" t="s">
        <v>20</v>
      </c>
      <c r="G5171" t="s">
        <v>21</v>
      </c>
      <c r="H5171" t="s">
        <v>247</v>
      </c>
      <c r="I5171" t="s">
        <v>23</v>
      </c>
      <c r="J5171" t="s">
        <v>40</v>
      </c>
      <c r="K5171" s="2" t="s">
        <v>1797</v>
      </c>
      <c r="L5171" t="s">
        <v>26</v>
      </c>
      <c r="M5171">
        <v>326905</v>
      </c>
      <c r="N5171">
        <v>1</v>
      </c>
      <c r="O5171" s="3">
        <v>59950</v>
      </c>
      <c r="P5171" s="3">
        <v>16541</v>
      </c>
      <c r="Q5171" s="5">
        <f t="shared" si="240"/>
        <v>50378.151260504201</v>
      </c>
      <c r="R5171" s="5">
        <f t="shared" si="241"/>
        <v>16541</v>
      </c>
      <c r="S5171" s="5">
        <f t="shared" si="242"/>
        <v>33837.151260504201</v>
      </c>
    </row>
    <row r="5172" spans="1:19" hidden="1" x14ac:dyDescent="0.3">
      <c r="A5172">
        <v>190</v>
      </c>
      <c r="B5172" t="s">
        <v>5801</v>
      </c>
      <c r="C5172" t="s">
        <v>5117</v>
      </c>
      <c r="D5172" s="2" t="s">
        <v>5118</v>
      </c>
      <c r="E5172" t="s">
        <v>5119</v>
      </c>
      <c r="F5172" t="s">
        <v>20</v>
      </c>
      <c r="G5172" t="s">
        <v>21</v>
      </c>
      <c r="H5172" t="s">
        <v>2782</v>
      </c>
      <c r="I5172" t="s">
        <v>23</v>
      </c>
      <c r="J5172" t="s">
        <v>35</v>
      </c>
      <c r="K5172" s="2" t="s">
        <v>1797</v>
      </c>
      <c r="L5172" t="s">
        <v>26</v>
      </c>
      <c r="M5172">
        <v>326906</v>
      </c>
      <c r="N5172">
        <v>-1</v>
      </c>
      <c r="O5172" s="3">
        <v>-74950</v>
      </c>
      <c r="P5172" s="3">
        <v>24388</v>
      </c>
      <c r="Q5172" s="5">
        <f t="shared" si="240"/>
        <v>-62983.193277310929</v>
      </c>
      <c r="R5172" s="5">
        <f t="shared" si="241"/>
        <v>-24388</v>
      </c>
      <c r="S5172" s="5">
        <f t="shared" si="242"/>
        <v>-38595.193277310929</v>
      </c>
    </row>
    <row r="5173" spans="1:19" hidden="1" x14ac:dyDescent="0.3">
      <c r="A5173">
        <v>190</v>
      </c>
      <c r="B5173" t="s">
        <v>5801</v>
      </c>
      <c r="C5173" t="s">
        <v>524</v>
      </c>
      <c r="D5173" s="2" t="s">
        <v>525</v>
      </c>
      <c r="E5173" t="s">
        <v>526</v>
      </c>
      <c r="F5173" t="s">
        <v>20</v>
      </c>
      <c r="G5173" t="s">
        <v>21</v>
      </c>
      <c r="H5173" t="s">
        <v>527</v>
      </c>
      <c r="I5173" t="s">
        <v>23</v>
      </c>
      <c r="J5173" t="s">
        <v>35</v>
      </c>
      <c r="K5173" s="2" t="s">
        <v>1797</v>
      </c>
      <c r="L5173" t="s">
        <v>26</v>
      </c>
      <c r="M5173">
        <v>326906</v>
      </c>
      <c r="N5173">
        <v>1</v>
      </c>
      <c r="O5173" s="3">
        <v>84950</v>
      </c>
      <c r="P5173" s="3">
        <v>35050</v>
      </c>
      <c r="Q5173" s="5">
        <f t="shared" si="240"/>
        <v>71386.554621848743</v>
      </c>
      <c r="R5173" s="5">
        <f t="shared" si="241"/>
        <v>35050</v>
      </c>
      <c r="S5173" s="5">
        <f t="shared" si="242"/>
        <v>36336.554621848743</v>
      </c>
    </row>
    <row r="5174" spans="1:19" hidden="1" x14ac:dyDescent="0.3">
      <c r="A5174">
        <v>190</v>
      </c>
      <c r="B5174" t="s">
        <v>5801</v>
      </c>
      <c r="C5174" t="s">
        <v>2716</v>
      </c>
      <c r="D5174" s="2" t="s">
        <v>2717</v>
      </c>
      <c r="E5174" t="s">
        <v>2718</v>
      </c>
      <c r="F5174" t="s">
        <v>20</v>
      </c>
      <c r="G5174" t="s">
        <v>21</v>
      </c>
      <c r="H5174" t="s">
        <v>1887</v>
      </c>
      <c r="I5174" t="s">
        <v>23</v>
      </c>
      <c r="J5174" t="s">
        <v>40</v>
      </c>
      <c r="K5174" s="2" t="s">
        <v>1797</v>
      </c>
      <c r="L5174" t="s">
        <v>26</v>
      </c>
      <c r="M5174">
        <v>326907</v>
      </c>
      <c r="N5174">
        <v>1</v>
      </c>
      <c r="O5174" s="3">
        <v>69950</v>
      </c>
      <c r="P5174" s="3">
        <v>22018</v>
      </c>
      <c r="Q5174" s="5">
        <f t="shared" si="240"/>
        <v>58781.512605042022</v>
      </c>
      <c r="R5174" s="5">
        <f t="shared" si="241"/>
        <v>22018</v>
      </c>
      <c r="S5174" s="5">
        <f t="shared" si="242"/>
        <v>36763.512605042022</v>
      </c>
    </row>
    <row r="5175" spans="1:19" hidden="1" x14ac:dyDescent="0.3">
      <c r="A5175">
        <v>190</v>
      </c>
      <c r="B5175" t="s">
        <v>5801</v>
      </c>
      <c r="C5175" t="s">
        <v>3883</v>
      </c>
      <c r="D5175" s="2" t="s">
        <v>3884</v>
      </c>
      <c r="E5175" t="s">
        <v>3277</v>
      </c>
      <c r="F5175" t="s">
        <v>20</v>
      </c>
      <c r="G5175" t="s">
        <v>21</v>
      </c>
      <c r="H5175" t="s">
        <v>57</v>
      </c>
      <c r="I5175" t="s">
        <v>23</v>
      </c>
      <c r="J5175" t="s">
        <v>35</v>
      </c>
      <c r="K5175" s="2" t="s">
        <v>1797</v>
      </c>
      <c r="L5175" t="s">
        <v>26</v>
      </c>
      <c r="M5175">
        <v>326908</v>
      </c>
      <c r="N5175">
        <v>1</v>
      </c>
      <c r="O5175" s="3">
        <v>89950</v>
      </c>
      <c r="P5175" s="3">
        <v>30749</v>
      </c>
      <c r="Q5175" s="5">
        <f t="shared" si="240"/>
        <v>75588.23529411765</v>
      </c>
      <c r="R5175" s="5">
        <f t="shared" si="241"/>
        <v>30749</v>
      </c>
      <c r="S5175" s="5">
        <f t="shared" si="242"/>
        <v>44839.23529411765</v>
      </c>
    </row>
    <row r="5176" spans="1:19" hidden="1" x14ac:dyDescent="0.3">
      <c r="A5176">
        <v>190</v>
      </c>
      <c r="B5176" t="s">
        <v>5801</v>
      </c>
      <c r="C5176" t="s">
        <v>1761</v>
      </c>
      <c r="D5176" s="2" t="s">
        <v>1762</v>
      </c>
      <c r="E5176" t="s">
        <v>1763</v>
      </c>
      <c r="F5176" t="s">
        <v>377</v>
      </c>
      <c r="G5176" t="s">
        <v>21</v>
      </c>
      <c r="H5176" t="s">
        <v>378</v>
      </c>
      <c r="I5176" t="s">
        <v>23</v>
      </c>
      <c r="J5176" t="s">
        <v>379</v>
      </c>
      <c r="K5176" s="2" t="s">
        <v>1797</v>
      </c>
      <c r="L5176" t="s">
        <v>26</v>
      </c>
      <c r="M5176">
        <v>326908</v>
      </c>
      <c r="N5176">
        <v>1</v>
      </c>
      <c r="O5176" s="3">
        <v>5950</v>
      </c>
      <c r="P5176" s="3">
        <v>3279</v>
      </c>
      <c r="Q5176" s="5">
        <f t="shared" si="240"/>
        <v>5000</v>
      </c>
      <c r="R5176" s="5">
        <f t="shared" si="241"/>
        <v>3279</v>
      </c>
      <c r="S5176" s="5">
        <f t="shared" si="242"/>
        <v>1721</v>
      </c>
    </row>
    <row r="5177" spans="1:19" hidden="1" x14ac:dyDescent="0.3">
      <c r="A5177">
        <v>190</v>
      </c>
      <c r="B5177" t="s">
        <v>5801</v>
      </c>
      <c r="C5177" t="s">
        <v>2537</v>
      </c>
      <c r="D5177" s="2" t="s">
        <v>2538</v>
      </c>
      <c r="E5177" t="s">
        <v>2539</v>
      </c>
      <c r="F5177" t="s">
        <v>20</v>
      </c>
      <c r="G5177" t="s">
        <v>21</v>
      </c>
      <c r="H5177" t="s">
        <v>966</v>
      </c>
      <c r="I5177" t="s">
        <v>23</v>
      </c>
      <c r="J5177" t="s">
        <v>35</v>
      </c>
      <c r="K5177" s="2" t="s">
        <v>1797</v>
      </c>
      <c r="L5177" t="s">
        <v>26</v>
      </c>
      <c r="M5177">
        <v>326909</v>
      </c>
      <c r="N5177">
        <v>1</v>
      </c>
      <c r="O5177" s="3">
        <v>74950</v>
      </c>
      <c r="P5177" s="3">
        <v>27299</v>
      </c>
      <c r="Q5177" s="5">
        <f t="shared" si="240"/>
        <v>62983.193277310929</v>
      </c>
      <c r="R5177" s="5">
        <f t="shared" si="241"/>
        <v>27299</v>
      </c>
      <c r="S5177" s="5">
        <f t="shared" si="242"/>
        <v>35684.193277310929</v>
      </c>
    </row>
    <row r="5178" spans="1:19" hidden="1" x14ac:dyDescent="0.3">
      <c r="A5178">
        <v>190</v>
      </c>
      <c r="B5178" t="s">
        <v>5801</v>
      </c>
      <c r="C5178" t="s">
        <v>2525</v>
      </c>
      <c r="D5178" s="2" t="s">
        <v>2526</v>
      </c>
      <c r="E5178" t="s">
        <v>2527</v>
      </c>
      <c r="F5178" t="s">
        <v>377</v>
      </c>
      <c r="G5178" t="s">
        <v>21</v>
      </c>
      <c r="H5178" t="s">
        <v>378</v>
      </c>
      <c r="I5178" t="s">
        <v>23</v>
      </c>
      <c r="J5178" t="s">
        <v>2459</v>
      </c>
      <c r="K5178" s="2" t="s">
        <v>1797</v>
      </c>
      <c r="L5178" t="s">
        <v>26</v>
      </c>
      <c r="M5178">
        <v>326910</v>
      </c>
      <c r="N5178">
        <v>1</v>
      </c>
      <c r="O5178" s="3">
        <v>6950</v>
      </c>
      <c r="P5178" s="3">
        <v>2964</v>
      </c>
      <c r="Q5178" s="5">
        <f t="shared" si="240"/>
        <v>5840.3361344537816</v>
      </c>
      <c r="R5178" s="5">
        <f t="shared" si="241"/>
        <v>2964</v>
      </c>
      <c r="S5178" s="5">
        <f t="shared" si="242"/>
        <v>2876.3361344537816</v>
      </c>
    </row>
    <row r="5179" spans="1:19" hidden="1" x14ac:dyDescent="0.3">
      <c r="A5179">
        <v>190</v>
      </c>
      <c r="B5179" t="s">
        <v>5801</v>
      </c>
      <c r="C5179" t="s">
        <v>2808</v>
      </c>
      <c r="D5179" s="2" t="s">
        <v>2809</v>
      </c>
      <c r="E5179" t="s">
        <v>2810</v>
      </c>
      <c r="F5179" t="s">
        <v>20</v>
      </c>
      <c r="G5179" t="s">
        <v>21</v>
      </c>
      <c r="H5179" t="s">
        <v>1987</v>
      </c>
      <c r="I5179" t="s">
        <v>23</v>
      </c>
      <c r="J5179" t="s">
        <v>35</v>
      </c>
      <c r="K5179" s="2" t="s">
        <v>1797</v>
      </c>
      <c r="L5179" t="s">
        <v>26</v>
      </c>
      <c r="M5179">
        <v>326911</v>
      </c>
      <c r="N5179">
        <v>1</v>
      </c>
      <c r="O5179" s="3">
        <v>89950</v>
      </c>
      <c r="P5179" s="3">
        <v>29858</v>
      </c>
      <c r="Q5179" s="5">
        <f t="shared" si="240"/>
        <v>75588.23529411765</v>
      </c>
      <c r="R5179" s="5">
        <f t="shared" si="241"/>
        <v>29858</v>
      </c>
      <c r="S5179" s="5">
        <f t="shared" si="242"/>
        <v>45730.23529411765</v>
      </c>
    </row>
    <row r="5180" spans="1:19" hidden="1" x14ac:dyDescent="0.3">
      <c r="A5180">
        <v>190</v>
      </c>
      <c r="B5180" t="s">
        <v>5801</v>
      </c>
      <c r="C5180" t="s">
        <v>4397</v>
      </c>
      <c r="D5180" s="2" t="s">
        <v>4398</v>
      </c>
      <c r="E5180" t="s">
        <v>2002</v>
      </c>
      <c r="F5180" t="s">
        <v>20</v>
      </c>
      <c r="G5180" t="s">
        <v>338</v>
      </c>
      <c r="H5180">
        <v>25026</v>
      </c>
      <c r="I5180" t="s">
        <v>23</v>
      </c>
      <c r="J5180" t="s">
        <v>35</v>
      </c>
      <c r="K5180" s="2" t="s">
        <v>1797</v>
      </c>
      <c r="L5180" t="s">
        <v>26</v>
      </c>
      <c r="M5180">
        <v>326911</v>
      </c>
      <c r="N5180">
        <v>1</v>
      </c>
      <c r="O5180" s="3">
        <v>76450</v>
      </c>
      <c r="P5180" s="3">
        <v>28454</v>
      </c>
      <c r="Q5180" s="5">
        <f t="shared" si="240"/>
        <v>64243.697478991598</v>
      </c>
      <c r="R5180" s="5">
        <f t="shared" si="241"/>
        <v>28454</v>
      </c>
      <c r="S5180" s="5">
        <f t="shared" si="242"/>
        <v>35789.697478991598</v>
      </c>
    </row>
    <row r="5181" spans="1:19" hidden="1" x14ac:dyDescent="0.3">
      <c r="A5181">
        <v>190</v>
      </c>
      <c r="B5181" t="s">
        <v>5801</v>
      </c>
      <c r="C5181" t="s">
        <v>2987</v>
      </c>
      <c r="D5181" s="2" t="s">
        <v>2988</v>
      </c>
      <c r="E5181" t="s">
        <v>2870</v>
      </c>
      <c r="F5181" t="s">
        <v>20</v>
      </c>
      <c r="G5181" t="s">
        <v>21</v>
      </c>
      <c r="H5181" t="s">
        <v>30</v>
      </c>
      <c r="I5181" t="s">
        <v>23</v>
      </c>
      <c r="J5181" t="s">
        <v>35</v>
      </c>
      <c r="K5181" s="2" t="s">
        <v>1797</v>
      </c>
      <c r="L5181" t="s">
        <v>26</v>
      </c>
      <c r="M5181">
        <v>326912</v>
      </c>
      <c r="N5181">
        <v>1</v>
      </c>
      <c r="O5181" s="3">
        <v>79950</v>
      </c>
      <c r="P5181" s="3">
        <v>30749</v>
      </c>
      <c r="Q5181" s="5">
        <f t="shared" si="240"/>
        <v>67184.873949579836</v>
      </c>
      <c r="R5181" s="5">
        <f t="shared" si="241"/>
        <v>30749</v>
      </c>
      <c r="S5181" s="5">
        <f t="shared" si="242"/>
        <v>36435.873949579836</v>
      </c>
    </row>
    <row r="5182" spans="1:19" hidden="1" x14ac:dyDescent="0.3">
      <c r="A5182">
        <v>190</v>
      </c>
      <c r="B5182" t="s">
        <v>5801</v>
      </c>
      <c r="C5182" t="s">
        <v>5055</v>
      </c>
      <c r="D5182" s="2" t="s">
        <v>5056</v>
      </c>
      <c r="E5182" t="s">
        <v>3328</v>
      </c>
      <c r="F5182" t="s">
        <v>20</v>
      </c>
      <c r="G5182" t="s">
        <v>338</v>
      </c>
      <c r="H5182">
        <v>23720</v>
      </c>
      <c r="I5182" t="s">
        <v>23</v>
      </c>
      <c r="J5182" t="s">
        <v>40</v>
      </c>
      <c r="K5182" s="2" t="s">
        <v>1797</v>
      </c>
      <c r="L5182" t="s">
        <v>26</v>
      </c>
      <c r="M5182">
        <v>326913</v>
      </c>
      <c r="N5182">
        <v>1</v>
      </c>
      <c r="O5182" s="3">
        <v>59950</v>
      </c>
      <c r="P5182" s="3">
        <v>19579</v>
      </c>
      <c r="Q5182" s="5">
        <f t="shared" si="240"/>
        <v>50378.151260504201</v>
      </c>
      <c r="R5182" s="5">
        <f t="shared" si="241"/>
        <v>19579</v>
      </c>
      <c r="S5182" s="5">
        <f t="shared" si="242"/>
        <v>30799.151260504201</v>
      </c>
    </row>
    <row r="5183" spans="1:19" hidden="1" x14ac:dyDescent="0.3">
      <c r="A5183">
        <v>190</v>
      </c>
      <c r="B5183" t="s">
        <v>5801</v>
      </c>
      <c r="C5183" t="s">
        <v>5362</v>
      </c>
      <c r="D5183" s="2" t="s">
        <v>5363</v>
      </c>
      <c r="E5183" t="s">
        <v>3140</v>
      </c>
      <c r="F5183" t="s">
        <v>20</v>
      </c>
      <c r="G5183" t="s">
        <v>21</v>
      </c>
      <c r="H5183" t="s">
        <v>991</v>
      </c>
      <c r="I5183" t="s">
        <v>23</v>
      </c>
      <c r="J5183" t="s">
        <v>49</v>
      </c>
      <c r="K5183" s="2" t="s">
        <v>1797</v>
      </c>
      <c r="L5183" t="s">
        <v>26</v>
      </c>
      <c r="M5183">
        <v>326914</v>
      </c>
      <c r="N5183">
        <v>1</v>
      </c>
      <c r="O5183" s="3">
        <v>54990</v>
      </c>
      <c r="P5183" s="3">
        <v>24470</v>
      </c>
      <c r="Q5183" s="5">
        <f t="shared" si="240"/>
        <v>46210.08403361345</v>
      </c>
      <c r="R5183" s="5">
        <f t="shared" si="241"/>
        <v>24470</v>
      </c>
      <c r="S5183" s="5">
        <f t="shared" si="242"/>
        <v>21740.08403361345</v>
      </c>
    </row>
    <row r="5184" spans="1:19" hidden="1" x14ac:dyDescent="0.3">
      <c r="A5184">
        <v>190</v>
      </c>
      <c r="B5184" t="s">
        <v>5801</v>
      </c>
      <c r="C5184" t="s">
        <v>4030</v>
      </c>
      <c r="D5184" s="2" t="s">
        <v>4031</v>
      </c>
      <c r="E5184" t="s">
        <v>3564</v>
      </c>
      <c r="F5184" t="s">
        <v>20</v>
      </c>
      <c r="G5184" t="s">
        <v>215</v>
      </c>
      <c r="H5184" t="s">
        <v>3045</v>
      </c>
      <c r="I5184" t="s">
        <v>23</v>
      </c>
      <c r="J5184" t="s">
        <v>35</v>
      </c>
      <c r="K5184" s="2" t="s">
        <v>1853</v>
      </c>
      <c r="L5184" t="s">
        <v>2249</v>
      </c>
      <c r="M5184">
        <v>25443</v>
      </c>
      <c r="N5184">
        <v>-1</v>
      </c>
      <c r="O5184" s="3">
        <v>-69990</v>
      </c>
      <c r="P5184" s="3">
        <v>40434</v>
      </c>
      <c r="Q5184" s="5">
        <f t="shared" si="240"/>
        <v>-58815.126050420171</v>
      </c>
      <c r="R5184" s="5">
        <f t="shared" si="241"/>
        <v>-40434</v>
      </c>
      <c r="S5184" s="5">
        <f t="shared" si="242"/>
        <v>-18381.126050420171</v>
      </c>
    </row>
    <row r="5185" spans="1:19" hidden="1" x14ac:dyDescent="0.3">
      <c r="A5185">
        <v>190</v>
      </c>
      <c r="B5185" t="s">
        <v>5801</v>
      </c>
      <c r="C5185" t="s">
        <v>2299</v>
      </c>
      <c r="D5185" s="2" t="s">
        <v>2300</v>
      </c>
      <c r="E5185" t="s">
        <v>2301</v>
      </c>
      <c r="F5185" t="s">
        <v>20</v>
      </c>
      <c r="G5185" t="s">
        <v>21</v>
      </c>
      <c r="H5185" t="s">
        <v>1124</v>
      </c>
      <c r="I5185" t="s">
        <v>23</v>
      </c>
      <c r="J5185" t="s">
        <v>24</v>
      </c>
      <c r="K5185" s="2" t="s">
        <v>1853</v>
      </c>
      <c r="L5185" t="s">
        <v>26</v>
      </c>
      <c r="M5185">
        <v>326915</v>
      </c>
      <c r="N5185">
        <v>1</v>
      </c>
      <c r="O5185" s="3">
        <v>74951</v>
      </c>
      <c r="P5185" s="3">
        <v>25834</v>
      </c>
      <c r="Q5185" s="5">
        <f t="shared" si="240"/>
        <v>62984.033613445383</v>
      </c>
      <c r="R5185" s="5">
        <f t="shared" si="241"/>
        <v>25834</v>
      </c>
      <c r="S5185" s="5">
        <f t="shared" si="242"/>
        <v>37150.033613445383</v>
      </c>
    </row>
    <row r="5186" spans="1:19" hidden="1" x14ac:dyDescent="0.3">
      <c r="A5186">
        <v>190</v>
      </c>
      <c r="B5186" t="s">
        <v>5801</v>
      </c>
      <c r="C5186" t="s">
        <v>5939</v>
      </c>
      <c r="D5186" s="2" t="s">
        <v>5940</v>
      </c>
      <c r="E5186" t="s">
        <v>2301</v>
      </c>
      <c r="F5186" t="s">
        <v>20</v>
      </c>
      <c r="G5186" t="s">
        <v>21</v>
      </c>
      <c r="H5186" t="s">
        <v>1124</v>
      </c>
      <c r="I5186" t="s">
        <v>23</v>
      </c>
      <c r="J5186" t="s">
        <v>24</v>
      </c>
      <c r="K5186" s="2" t="s">
        <v>1853</v>
      </c>
      <c r="L5186" t="s">
        <v>26</v>
      </c>
      <c r="M5186">
        <v>326915</v>
      </c>
      <c r="N5186">
        <v>-1</v>
      </c>
      <c r="O5186" s="3">
        <v>-74950</v>
      </c>
      <c r="P5186" s="3">
        <v>25857</v>
      </c>
      <c r="Q5186" s="5">
        <f t="shared" si="240"/>
        <v>-62983.193277310929</v>
      </c>
      <c r="R5186" s="5">
        <f t="shared" si="241"/>
        <v>-25857</v>
      </c>
      <c r="S5186" s="5">
        <f t="shared" si="242"/>
        <v>-37126.193277310929</v>
      </c>
    </row>
    <row r="5187" spans="1:19" hidden="1" x14ac:dyDescent="0.3">
      <c r="A5187">
        <v>190</v>
      </c>
      <c r="B5187" t="s">
        <v>5801</v>
      </c>
      <c r="C5187" t="s">
        <v>5806</v>
      </c>
      <c r="D5187" s="2" t="s">
        <v>5807</v>
      </c>
      <c r="E5187" t="s">
        <v>2247</v>
      </c>
      <c r="F5187" t="s">
        <v>20</v>
      </c>
      <c r="G5187" t="s">
        <v>21</v>
      </c>
      <c r="H5187" t="s">
        <v>2248</v>
      </c>
      <c r="I5187" t="s">
        <v>23</v>
      </c>
      <c r="J5187" t="s">
        <v>49</v>
      </c>
      <c r="K5187" s="2" t="s">
        <v>1853</v>
      </c>
      <c r="L5187" t="s">
        <v>26</v>
      </c>
      <c r="M5187">
        <v>326916</v>
      </c>
      <c r="N5187">
        <v>1</v>
      </c>
      <c r="O5187" s="3">
        <v>39990</v>
      </c>
      <c r="P5187" s="3">
        <v>21850</v>
      </c>
      <c r="Q5187" s="5">
        <f t="shared" si="240"/>
        <v>33605.042016806721</v>
      </c>
      <c r="R5187" s="5">
        <f t="shared" si="241"/>
        <v>21850</v>
      </c>
      <c r="S5187" s="5">
        <f t="shared" si="242"/>
        <v>11755.042016806721</v>
      </c>
    </row>
    <row r="5188" spans="1:19" hidden="1" x14ac:dyDescent="0.3">
      <c r="A5188">
        <v>190</v>
      </c>
      <c r="B5188" t="s">
        <v>5801</v>
      </c>
      <c r="C5188" t="s">
        <v>5535</v>
      </c>
      <c r="D5188" s="2" t="s">
        <v>5536</v>
      </c>
      <c r="E5188" t="s">
        <v>4226</v>
      </c>
      <c r="F5188" t="s">
        <v>20</v>
      </c>
      <c r="G5188" t="s">
        <v>21</v>
      </c>
      <c r="H5188" t="s">
        <v>2189</v>
      </c>
      <c r="I5188" t="s">
        <v>23</v>
      </c>
      <c r="J5188" t="s">
        <v>40</v>
      </c>
      <c r="K5188" s="2" t="s">
        <v>1853</v>
      </c>
      <c r="L5188" t="s">
        <v>26</v>
      </c>
      <c r="M5188">
        <v>326917</v>
      </c>
      <c r="N5188">
        <v>1</v>
      </c>
      <c r="O5188" s="3">
        <v>63700</v>
      </c>
      <c r="P5188" s="3">
        <v>27730</v>
      </c>
      <c r="Q5188" s="5">
        <f t="shared" si="240"/>
        <v>53529.411764705888</v>
      </c>
      <c r="R5188" s="5">
        <f t="shared" si="241"/>
        <v>27730</v>
      </c>
      <c r="S5188" s="5">
        <f t="shared" si="242"/>
        <v>25799.411764705888</v>
      </c>
    </row>
    <row r="5189" spans="1:19" hidden="1" x14ac:dyDescent="0.3">
      <c r="A5189">
        <v>190</v>
      </c>
      <c r="B5189" t="s">
        <v>5801</v>
      </c>
      <c r="C5189" t="s">
        <v>2296</v>
      </c>
      <c r="D5189" s="2" t="s">
        <v>2297</v>
      </c>
      <c r="E5189" t="s">
        <v>2298</v>
      </c>
      <c r="F5189" t="s">
        <v>20</v>
      </c>
      <c r="G5189" t="s">
        <v>21</v>
      </c>
      <c r="H5189" t="s">
        <v>2189</v>
      </c>
      <c r="I5189" t="s">
        <v>23</v>
      </c>
      <c r="J5189" t="s">
        <v>40</v>
      </c>
      <c r="K5189" s="2" t="s">
        <v>1853</v>
      </c>
      <c r="L5189" t="s">
        <v>26</v>
      </c>
      <c r="M5189">
        <v>326917</v>
      </c>
      <c r="N5189">
        <v>1</v>
      </c>
      <c r="O5189" s="3">
        <v>64950</v>
      </c>
      <c r="P5189" s="3">
        <v>20781</v>
      </c>
      <c r="Q5189" s="5">
        <f t="shared" si="240"/>
        <v>54579.831932773115</v>
      </c>
      <c r="R5189" s="5">
        <f t="shared" si="241"/>
        <v>20781</v>
      </c>
      <c r="S5189" s="5">
        <f t="shared" si="242"/>
        <v>33798.831932773115</v>
      </c>
    </row>
    <row r="5190" spans="1:19" hidden="1" x14ac:dyDescent="0.3">
      <c r="A5190">
        <v>190</v>
      </c>
      <c r="B5190" t="s">
        <v>5801</v>
      </c>
      <c r="C5190" t="s">
        <v>3480</v>
      </c>
      <c r="D5190" s="2" t="s">
        <v>3481</v>
      </c>
      <c r="E5190" t="s">
        <v>3226</v>
      </c>
      <c r="F5190" t="s">
        <v>20</v>
      </c>
      <c r="G5190" t="s">
        <v>21</v>
      </c>
      <c r="H5190" t="s">
        <v>557</v>
      </c>
      <c r="I5190" t="s">
        <v>23</v>
      </c>
      <c r="J5190" t="s">
        <v>40</v>
      </c>
      <c r="K5190" s="2" t="s">
        <v>1853</v>
      </c>
      <c r="L5190" t="s">
        <v>26</v>
      </c>
      <c r="M5190">
        <v>326918</v>
      </c>
      <c r="N5190">
        <v>1</v>
      </c>
      <c r="O5190" s="3">
        <v>69990</v>
      </c>
      <c r="P5190" s="3">
        <v>26810</v>
      </c>
      <c r="Q5190" s="5">
        <f t="shared" ref="Q5190:Q5253" si="243">O5190/1.19</f>
        <v>58815.126050420171</v>
      </c>
      <c r="R5190" s="5">
        <f t="shared" ref="R5190:R5253" si="244">N5190*P5190</f>
        <v>26810</v>
      </c>
      <c r="S5190" s="5">
        <f t="shared" ref="S5190:S5253" si="245">Q5190-R5190</f>
        <v>32005.126050420171</v>
      </c>
    </row>
    <row r="5191" spans="1:19" hidden="1" x14ac:dyDescent="0.3">
      <c r="A5191">
        <v>190</v>
      </c>
      <c r="B5191" t="s">
        <v>5801</v>
      </c>
      <c r="C5191" t="s">
        <v>6038</v>
      </c>
      <c r="D5191" s="2" t="s">
        <v>6039</v>
      </c>
      <c r="E5191" t="s">
        <v>2771</v>
      </c>
      <c r="F5191" t="s">
        <v>20</v>
      </c>
      <c r="G5191" t="s">
        <v>21</v>
      </c>
      <c r="H5191" t="s">
        <v>57</v>
      </c>
      <c r="I5191" t="s">
        <v>23</v>
      </c>
      <c r="J5191" t="s">
        <v>35</v>
      </c>
      <c r="K5191" s="2" t="s">
        <v>1853</v>
      </c>
      <c r="L5191" t="s">
        <v>26</v>
      </c>
      <c r="M5191">
        <v>326919</v>
      </c>
      <c r="N5191">
        <v>1</v>
      </c>
      <c r="O5191" s="3">
        <v>79990</v>
      </c>
      <c r="P5191" s="3">
        <v>29189</v>
      </c>
      <c r="Q5191" s="5">
        <f t="shared" si="243"/>
        <v>67218.487394957992</v>
      </c>
      <c r="R5191" s="5">
        <f t="shared" si="244"/>
        <v>29189</v>
      </c>
      <c r="S5191" s="5">
        <f t="shared" si="245"/>
        <v>38029.487394957992</v>
      </c>
    </row>
    <row r="5192" spans="1:19" hidden="1" x14ac:dyDescent="0.3">
      <c r="A5192">
        <v>190</v>
      </c>
      <c r="B5192" t="s">
        <v>5801</v>
      </c>
      <c r="C5192" t="s">
        <v>6040</v>
      </c>
      <c r="D5192" s="2" t="s">
        <v>6041</v>
      </c>
      <c r="E5192" t="s">
        <v>5984</v>
      </c>
      <c r="F5192" t="s">
        <v>20</v>
      </c>
      <c r="G5192" t="s">
        <v>21</v>
      </c>
      <c r="H5192" t="s">
        <v>30</v>
      </c>
      <c r="I5192" t="s">
        <v>23</v>
      </c>
      <c r="J5192" t="s">
        <v>49</v>
      </c>
      <c r="K5192" s="2" t="s">
        <v>1853</v>
      </c>
      <c r="L5192" t="s">
        <v>26</v>
      </c>
      <c r="M5192">
        <v>326920</v>
      </c>
      <c r="N5192">
        <v>1</v>
      </c>
      <c r="O5192" s="3">
        <v>69950</v>
      </c>
      <c r="P5192" s="3">
        <v>22007</v>
      </c>
      <c r="Q5192" s="5">
        <f t="shared" si="243"/>
        <v>58781.512605042022</v>
      </c>
      <c r="R5192" s="5">
        <f t="shared" si="244"/>
        <v>22007</v>
      </c>
      <c r="S5192" s="5">
        <f t="shared" si="245"/>
        <v>36774.512605042022</v>
      </c>
    </row>
    <row r="5193" spans="1:19" hidden="1" x14ac:dyDescent="0.3">
      <c r="A5193">
        <v>190</v>
      </c>
      <c r="B5193" t="s">
        <v>5801</v>
      </c>
      <c r="C5193" t="s">
        <v>3054</v>
      </c>
      <c r="D5193" s="2" t="s">
        <v>3055</v>
      </c>
      <c r="E5193" t="s">
        <v>2870</v>
      </c>
      <c r="F5193" t="s">
        <v>20</v>
      </c>
      <c r="G5193" t="s">
        <v>21</v>
      </c>
      <c r="H5193" t="s">
        <v>30</v>
      </c>
      <c r="I5193" t="s">
        <v>23</v>
      </c>
      <c r="J5193" t="s">
        <v>35</v>
      </c>
      <c r="K5193" s="2" t="s">
        <v>1853</v>
      </c>
      <c r="L5193" t="s">
        <v>26</v>
      </c>
      <c r="M5193">
        <v>326920</v>
      </c>
      <c r="N5193">
        <v>1</v>
      </c>
      <c r="O5193" s="3">
        <v>67950</v>
      </c>
      <c r="P5193" s="3">
        <v>30749</v>
      </c>
      <c r="Q5193" s="5">
        <f t="shared" si="243"/>
        <v>57100.840336134454</v>
      </c>
      <c r="R5193" s="5">
        <f t="shared" si="244"/>
        <v>30749</v>
      </c>
      <c r="S5193" s="5">
        <f t="shared" si="245"/>
        <v>26351.840336134454</v>
      </c>
    </row>
    <row r="5194" spans="1:19" hidden="1" x14ac:dyDescent="0.3">
      <c r="A5194">
        <v>190</v>
      </c>
      <c r="B5194" t="s">
        <v>5801</v>
      </c>
      <c r="C5194" t="s">
        <v>3963</v>
      </c>
      <c r="D5194" s="2" t="s">
        <v>3964</v>
      </c>
      <c r="E5194" t="s">
        <v>2986</v>
      </c>
      <c r="F5194" t="s">
        <v>20</v>
      </c>
      <c r="G5194" t="s">
        <v>21</v>
      </c>
      <c r="H5194" t="s">
        <v>267</v>
      </c>
      <c r="I5194" t="s">
        <v>23</v>
      </c>
      <c r="J5194" t="s">
        <v>35</v>
      </c>
      <c r="K5194" s="2" t="s">
        <v>1853</v>
      </c>
      <c r="L5194" t="s">
        <v>26</v>
      </c>
      <c r="M5194">
        <v>326921</v>
      </c>
      <c r="N5194">
        <v>1</v>
      </c>
      <c r="O5194" s="3">
        <v>59990</v>
      </c>
      <c r="P5194" s="3">
        <v>24733</v>
      </c>
      <c r="Q5194" s="5">
        <f t="shared" si="243"/>
        <v>50411.764705882357</v>
      </c>
      <c r="R5194" s="5">
        <f t="shared" si="244"/>
        <v>24733</v>
      </c>
      <c r="S5194" s="5">
        <f t="shared" si="245"/>
        <v>25678.764705882357</v>
      </c>
    </row>
    <row r="5195" spans="1:19" hidden="1" x14ac:dyDescent="0.3">
      <c r="A5195">
        <v>190</v>
      </c>
      <c r="B5195" t="s">
        <v>5801</v>
      </c>
      <c r="C5195" t="s">
        <v>3333</v>
      </c>
      <c r="D5195" s="2" t="s">
        <v>3334</v>
      </c>
      <c r="E5195" t="s">
        <v>3335</v>
      </c>
      <c r="F5195" t="s">
        <v>20</v>
      </c>
      <c r="G5195" t="s">
        <v>338</v>
      </c>
      <c r="H5195">
        <v>25273</v>
      </c>
      <c r="I5195" t="s">
        <v>23</v>
      </c>
      <c r="J5195" t="s">
        <v>35</v>
      </c>
      <c r="K5195" s="2" t="s">
        <v>1853</v>
      </c>
      <c r="L5195" t="s">
        <v>26</v>
      </c>
      <c r="M5195">
        <v>326922</v>
      </c>
      <c r="N5195">
        <v>1</v>
      </c>
      <c r="O5195" s="3">
        <v>89950</v>
      </c>
      <c r="P5195" s="3">
        <v>32658</v>
      </c>
      <c r="Q5195" s="5">
        <f t="shared" si="243"/>
        <v>75588.23529411765</v>
      </c>
      <c r="R5195" s="5">
        <f t="shared" si="244"/>
        <v>32658</v>
      </c>
      <c r="S5195" s="5">
        <f t="shared" si="245"/>
        <v>42930.23529411765</v>
      </c>
    </row>
    <row r="5196" spans="1:19" hidden="1" x14ac:dyDescent="0.3">
      <c r="A5196">
        <v>190</v>
      </c>
      <c r="B5196" t="s">
        <v>5801</v>
      </c>
      <c r="C5196" t="s">
        <v>1415</v>
      </c>
      <c r="D5196" s="2" t="s">
        <v>1416</v>
      </c>
      <c r="E5196" t="s">
        <v>1417</v>
      </c>
      <c r="F5196" t="s">
        <v>20</v>
      </c>
      <c r="G5196" t="s">
        <v>21</v>
      </c>
      <c r="H5196" t="s">
        <v>1418</v>
      </c>
      <c r="I5196" t="s">
        <v>23</v>
      </c>
      <c r="J5196" t="s">
        <v>35</v>
      </c>
      <c r="K5196" s="2" t="s">
        <v>1853</v>
      </c>
      <c r="L5196" t="s">
        <v>26</v>
      </c>
      <c r="M5196">
        <v>326923</v>
      </c>
      <c r="N5196">
        <v>1</v>
      </c>
      <c r="O5196" s="3">
        <v>64990</v>
      </c>
      <c r="P5196" s="3">
        <v>29189</v>
      </c>
      <c r="Q5196" s="5">
        <f t="shared" si="243"/>
        <v>54613.445378151264</v>
      </c>
      <c r="R5196" s="5">
        <f t="shared" si="244"/>
        <v>29189</v>
      </c>
      <c r="S5196" s="5">
        <f t="shared" si="245"/>
        <v>25424.445378151264</v>
      </c>
    </row>
    <row r="5197" spans="1:19" hidden="1" x14ac:dyDescent="0.3">
      <c r="A5197">
        <v>190</v>
      </c>
      <c r="B5197" t="s">
        <v>5801</v>
      </c>
      <c r="C5197" t="s">
        <v>6042</v>
      </c>
      <c r="D5197" s="2" t="s">
        <v>6043</v>
      </c>
      <c r="E5197" t="s">
        <v>4846</v>
      </c>
      <c r="F5197" t="s">
        <v>20</v>
      </c>
      <c r="G5197" t="s">
        <v>21</v>
      </c>
      <c r="H5197" t="s">
        <v>3128</v>
      </c>
      <c r="I5197" t="s">
        <v>23</v>
      </c>
      <c r="J5197" t="s">
        <v>49</v>
      </c>
      <c r="K5197" s="2" t="s">
        <v>1853</v>
      </c>
      <c r="L5197" t="s">
        <v>26</v>
      </c>
      <c r="M5197">
        <v>326924</v>
      </c>
      <c r="N5197">
        <v>1</v>
      </c>
      <c r="O5197" s="3">
        <v>79950</v>
      </c>
      <c r="P5197" s="3">
        <v>29986</v>
      </c>
      <c r="Q5197" s="5">
        <f t="shared" si="243"/>
        <v>67184.873949579836</v>
      </c>
      <c r="R5197" s="5">
        <f t="shared" si="244"/>
        <v>29986</v>
      </c>
      <c r="S5197" s="5">
        <f t="shared" si="245"/>
        <v>37198.873949579836</v>
      </c>
    </row>
    <row r="5198" spans="1:19" hidden="1" x14ac:dyDescent="0.3">
      <c r="A5198">
        <v>190</v>
      </c>
      <c r="B5198" t="s">
        <v>5801</v>
      </c>
      <c r="C5198" t="s">
        <v>5311</v>
      </c>
      <c r="D5198" s="2" t="s">
        <v>5312</v>
      </c>
      <c r="E5198" t="s">
        <v>2986</v>
      </c>
      <c r="F5198" t="s">
        <v>20</v>
      </c>
      <c r="G5198" t="s">
        <v>21</v>
      </c>
      <c r="H5198" t="s">
        <v>267</v>
      </c>
      <c r="I5198" t="s">
        <v>23</v>
      </c>
      <c r="J5198" t="s">
        <v>35</v>
      </c>
      <c r="K5198" s="2" t="s">
        <v>1853</v>
      </c>
      <c r="L5198" t="s">
        <v>26</v>
      </c>
      <c r="M5198">
        <v>326925</v>
      </c>
      <c r="N5198">
        <v>1</v>
      </c>
      <c r="O5198" s="3">
        <v>59990</v>
      </c>
      <c r="P5198" s="3">
        <v>24733</v>
      </c>
      <c r="Q5198" s="5">
        <f t="shared" si="243"/>
        <v>50411.764705882357</v>
      </c>
      <c r="R5198" s="5">
        <f t="shared" si="244"/>
        <v>24733</v>
      </c>
      <c r="S5198" s="5">
        <f t="shared" si="245"/>
        <v>25678.764705882357</v>
      </c>
    </row>
    <row r="5199" spans="1:19" hidden="1" x14ac:dyDescent="0.3">
      <c r="A5199">
        <v>190</v>
      </c>
      <c r="B5199" t="s">
        <v>5801</v>
      </c>
      <c r="C5199" t="s">
        <v>3077</v>
      </c>
      <c r="D5199" s="2" t="s">
        <v>3078</v>
      </c>
      <c r="E5199" t="s">
        <v>1123</v>
      </c>
      <c r="F5199" t="s">
        <v>20</v>
      </c>
      <c r="G5199" t="s">
        <v>21</v>
      </c>
      <c r="H5199" t="s">
        <v>1124</v>
      </c>
      <c r="I5199" t="s">
        <v>23</v>
      </c>
      <c r="J5199" t="s">
        <v>24</v>
      </c>
      <c r="K5199" s="2" t="s">
        <v>1853</v>
      </c>
      <c r="L5199" t="s">
        <v>26</v>
      </c>
      <c r="M5199">
        <v>326926</v>
      </c>
      <c r="N5199">
        <v>1</v>
      </c>
      <c r="O5199" s="3">
        <v>74950</v>
      </c>
      <c r="P5199" s="3">
        <v>25857</v>
      </c>
      <c r="Q5199" s="5">
        <f t="shared" si="243"/>
        <v>62983.193277310929</v>
      </c>
      <c r="R5199" s="5">
        <f t="shared" si="244"/>
        <v>25857</v>
      </c>
      <c r="S5199" s="5">
        <f t="shared" si="245"/>
        <v>37126.193277310929</v>
      </c>
    </row>
    <row r="5200" spans="1:19" hidden="1" x14ac:dyDescent="0.3">
      <c r="A5200">
        <v>190</v>
      </c>
      <c r="B5200" t="s">
        <v>5801</v>
      </c>
      <c r="C5200" t="s">
        <v>6044</v>
      </c>
      <c r="D5200" s="2" t="s">
        <v>6045</v>
      </c>
      <c r="E5200" t="s">
        <v>3472</v>
      </c>
      <c r="F5200" t="s">
        <v>20</v>
      </c>
      <c r="G5200" t="s">
        <v>338</v>
      </c>
      <c r="H5200">
        <v>25336</v>
      </c>
      <c r="I5200" t="s">
        <v>23</v>
      </c>
      <c r="J5200" t="s">
        <v>35</v>
      </c>
      <c r="K5200" s="2" t="s">
        <v>1853</v>
      </c>
      <c r="L5200" t="s">
        <v>26</v>
      </c>
      <c r="M5200">
        <v>326927</v>
      </c>
      <c r="N5200">
        <v>1</v>
      </c>
      <c r="O5200" s="3">
        <v>99950</v>
      </c>
      <c r="P5200" s="3">
        <v>31886</v>
      </c>
      <c r="Q5200" s="5">
        <f t="shared" si="243"/>
        <v>83991.596638655465</v>
      </c>
      <c r="R5200" s="5">
        <f t="shared" si="244"/>
        <v>31886</v>
      </c>
      <c r="S5200" s="5">
        <f t="shared" si="245"/>
        <v>52105.596638655465</v>
      </c>
    </row>
    <row r="5201" spans="1:19" hidden="1" x14ac:dyDescent="0.3">
      <c r="A5201">
        <v>190</v>
      </c>
      <c r="B5201" t="s">
        <v>5801</v>
      </c>
      <c r="C5201" t="s">
        <v>5165</v>
      </c>
      <c r="D5201" s="2" t="s">
        <v>5166</v>
      </c>
      <c r="E5201" t="s">
        <v>2671</v>
      </c>
      <c r="F5201" t="s">
        <v>20</v>
      </c>
      <c r="G5201" t="s">
        <v>21</v>
      </c>
      <c r="H5201" t="s">
        <v>874</v>
      </c>
      <c r="I5201" t="s">
        <v>23</v>
      </c>
      <c r="J5201" t="s">
        <v>95</v>
      </c>
      <c r="K5201" s="2" t="s">
        <v>1853</v>
      </c>
      <c r="L5201" t="s">
        <v>26</v>
      </c>
      <c r="M5201">
        <v>326928</v>
      </c>
      <c r="N5201">
        <v>1</v>
      </c>
      <c r="O5201" s="3">
        <v>39990</v>
      </c>
      <c r="P5201" s="3">
        <v>20699</v>
      </c>
      <c r="Q5201" s="5">
        <f t="shared" si="243"/>
        <v>33605.042016806721</v>
      </c>
      <c r="R5201" s="5">
        <f t="shared" si="244"/>
        <v>20699</v>
      </c>
      <c r="S5201" s="5">
        <f t="shared" si="245"/>
        <v>12906.042016806721</v>
      </c>
    </row>
    <row r="5202" spans="1:19" hidden="1" x14ac:dyDescent="0.3">
      <c r="A5202">
        <v>190</v>
      </c>
      <c r="B5202" t="s">
        <v>5801</v>
      </c>
      <c r="C5202" t="s">
        <v>6046</v>
      </c>
      <c r="D5202" s="2" t="s">
        <v>6047</v>
      </c>
      <c r="E5202" t="s">
        <v>4820</v>
      </c>
      <c r="F5202" t="s">
        <v>20</v>
      </c>
      <c r="G5202" t="s">
        <v>21</v>
      </c>
      <c r="H5202" t="s">
        <v>61</v>
      </c>
      <c r="I5202" t="s">
        <v>23</v>
      </c>
      <c r="J5202" t="s">
        <v>40</v>
      </c>
      <c r="K5202" s="2" t="s">
        <v>1853</v>
      </c>
      <c r="L5202" t="s">
        <v>26</v>
      </c>
      <c r="M5202">
        <v>326929</v>
      </c>
      <c r="N5202">
        <v>-1</v>
      </c>
      <c r="O5202" s="3">
        <v>-39990</v>
      </c>
      <c r="P5202" s="3">
        <v>23828</v>
      </c>
      <c r="Q5202" s="5">
        <f t="shared" si="243"/>
        <v>-33605.042016806721</v>
      </c>
      <c r="R5202" s="5">
        <f t="shared" si="244"/>
        <v>-23828</v>
      </c>
      <c r="S5202" s="5">
        <f t="shared" si="245"/>
        <v>-9777.0420168067212</v>
      </c>
    </row>
    <row r="5203" spans="1:19" hidden="1" x14ac:dyDescent="0.3">
      <c r="A5203">
        <v>190</v>
      </c>
      <c r="B5203" t="s">
        <v>5801</v>
      </c>
      <c r="C5203" t="s">
        <v>3538</v>
      </c>
      <c r="D5203" s="2" t="s">
        <v>3539</v>
      </c>
      <c r="E5203" t="s">
        <v>2163</v>
      </c>
      <c r="F5203" t="s">
        <v>20</v>
      </c>
      <c r="G5203" t="s">
        <v>21</v>
      </c>
      <c r="H5203" t="s">
        <v>970</v>
      </c>
      <c r="I5203" t="s">
        <v>23</v>
      </c>
      <c r="J5203" t="s">
        <v>40</v>
      </c>
      <c r="K5203" s="2" t="s">
        <v>1853</v>
      </c>
      <c r="L5203" t="s">
        <v>26</v>
      </c>
      <c r="M5203">
        <v>326929</v>
      </c>
      <c r="N5203">
        <v>1</v>
      </c>
      <c r="O5203" s="3">
        <v>59950</v>
      </c>
      <c r="P5203" s="3">
        <v>19352</v>
      </c>
      <c r="Q5203" s="5">
        <f t="shared" si="243"/>
        <v>50378.151260504201</v>
      </c>
      <c r="R5203" s="5">
        <f t="shared" si="244"/>
        <v>19352</v>
      </c>
      <c r="S5203" s="5">
        <f t="shared" si="245"/>
        <v>31026.151260504201</v>
      </c>
    </row>
    <row r="5204" spans="1:19" hidden="1" x14ac:dyDescent="0.3">
      <c r="A5204">
        <v>190</v>
      </c>
      <c r="B5204" t="s">
        <v>5801</v>
      </c>
      <c r="C5204" t="s">
        <v>3689</v>
      </c>
      <c r="D5204" s="2" t="s">
        <v>3690</v>
      </c>
      <c r="E5204" t="s">
        <v>3691</v>
      </c>
      <c r="F5204" t="s">
        <v>20</v>
      </c>
      <c r="G5204" t="s">
        <v>338</v>
      </c>
      <c r="H5204">
        <v>23727</v>
      </c>
      <c r="I5204" t="s">
        <v>23</v>
      </c>
      <c r="J5204" t="s">
        <v>40</v>
      </c>
      <c r="K5204" s="2" t="s">
        <v>1853</v>
      </c>
      <c r="L5204" t="s">
        <v>26</v>
      </c>
      <c r="M5204">
        <v>326930</v>
      </c>
      <c r="N5204">
        <v>-1</v>
      </c>
      <c r="O5204" s="3">
        <v>-49990</v>
      </c>
      <c r="P5204" s="3">
        <v>26539</v>
      </c>
      <c r="Q5204" s="5">
        <f t="shared" si="243"/>
        <v>-42008.403361344543</v>
      </c>
      <c r="R5204" s="5">
        <f t="shared" si="244"/>
        <v>-26539</v>
      </c>
      <c r="S5204" s="5">
        <f t="shared" si="245"/>
        <v>-15469.403361344543</v>
      </c>
    </row>
    <row r="5205" spans="1:19" hidden="1" x14ac:dyDescent="0.3">
      <c r="A5205">
        <v>190</v>
      </c>
      <c r="B5205" t="s">
        <v>5801</v>
      </c>
      <c r="C5205" t="s">
        <v>4061</v>
      </c>
      <c r="D5205" s="2" t="s">
        <v>4062</v>
      </c>
      <c r="E5205" t="s">
        <v>2208</v>
      </c>
      <c r="F5205" t="s">
        <v>20</v>
      </c>
      <c r="G5205" t="s">
        <v>338</v>
      </c>
      <c r="H5205">
        <v>25823</v>
      </c>
      <c r="I5205" t="s">
        <v>23</v>
      </c>
      <c r="J5205" t="s">
        <v>35</v>
      </c>
      <c r="K5205" s="2" t="s">
        <v>1853</v>
      </c>
      <c r="L5205" t="s">
        <v>26</v>
      </c>
      <c r="M5205">
        <v>326930</v>
      </c>
      <c r="N5205">
        <v>1</v>
      </c>
      <c r="O5205" s="3">
        <v>99950</v>
      </c>
      <c r="P5205" s="3">
        <v>33748</v>
      </c>
      <c r="Q5205" s="5">
        <f t="shared" si="243"/>
        <v>83991.596638655465</v>
      </c>
      <c r="R5205" s="5">
        <f t="shared" si="244"/>
        <v>33748</v>
      </c>
      <c r="S5205" s="5">
        <f t="shared" si="245"/>
        <v>50243.596638655465</v>
      </c>
    </row>
    <row r="5206" spans="1:19" hidden="1" x14ac:dyDescent="0.3">
      <c r="A5206">
        <v>190</v>
      </c>
      <c r="B5206" t="s">
        <v>5801</v>
      </c>
      <c r="C5206" t="s">
        <v>6048</v>
      </c>
      <c r="D5206" s="2" t="s">
        <v>6049</v>
      </c>
      <c r="E5206" t="s">
        <v>68</v>
      </c>
      <c r="F5206" t="s">
        <v>20</v>
      </c>
      <c r="G5206" t="s">
        <v>21</v>
      </c>
      <c r="H5206" t="s">
        <v>44</v>
      </c>
      <c r="I5206" t="s">
        <v>23</v>
      </c>
      <c r="J5206" t="s">
        <v>40</v>
      </c>
      <c r="K5206" s="2" t="s">
        <v>1853</v>
      </c>
      <c r="L5206" t="s">
        <v>26</v>
      </c>
      <c r="M5206">
        <v>326931</v>
      </c>
      <c r="N5206">
        <v>1</v>
      </c>
      <c r="O5206" s="3">
        <v>59950</v>
      </c>
      <c r="P5206" s="3">
        <v>14287</v>
      </c>
      <c r="Q5206" s="5">
        <f t="shared" si="243"/>
        <v>50378.151260504201</v>
      </c>
      <c r="R5206" s="5">
        <f t="shared" si="244"/>
        <v>14287</v>
      </c>
      <c r="S5206" s="5">
        <f t="shared" si="245"/>
        <v>36091.151260504201</v>
      </c>
    </row>
    <row r="5207" spans="1:19" hidden="1" x14ac:dyDescent="0.3">
      <c r="A5207">
        <v>190</v>
      </c>
      <c r="B5207" t="s">
        <v>5801</v>
      </c>
      <c r="C5207" t="s">
        <v>3466</v>
      </c>
      <c r="D5207" s="2" t="s">
        <v>3467</v>
      </c>
      <c r="E5207" t="s">
        <v>316</v>
      </c>
      <c r="F5207" t="s">
        <v>20</v>
      </c>
      <c r="G5207" t="s">
        <v>21</v>
      </c>
      <c r="H5207" t="s">
        <v>317</v>
      </c>
      <c r="I5207" t="s">
        <v>23</v>
      </c>
      <c r="J5207" t="s">
        <v>35</v>
      </c>
      <c r="K5207" s="2" t="s">
        <v>1853</v>
      </c>
      <c r="L5207" t="s">
        <v>26</v>
      </c>
      <c r="M5207">
        <v>326932</v>
      </c>
      <c r="N5207">
        <v>1</v>
      </c>
      <c r="O5207" s="3">
        <v>69950</v>
      </c>
      <c r="P5207" s="3">
        <v>24552</v>
      </c>
      <c r="Q5207" s="5">
        <f t="shared" si="243"/>
        <v>58781.512605042022</v>
      </c>
      <c r="R5207" s="5">
        <f t="shared" si="244"/>
        <v>24552</v>
      </c>
      <c r="S5207" s="5">
        <f t="shared" si="245"/>
        <v>34229.512605042022</v>
      </c>
    </row>
    <row r="5208" spans="1:19" hidden="1" x14ac:dyDescent="0.3">
      <c r="A5208">
        <v>190</v>
      </c>
      <c r="B5208" t="s">
        <v>5801</v>
      </c>
      <c r="C5208" t="s">
        <v>6050</v>
      </c>
      <c r="D5208" s="2" t="s">
        <v>6051</v>
      </c>
      <c r="E5208" t="s">
        <v>6052</v>
      </c>
      <c r="F5208" t="s">
        <v>20</v>
      </c>
      <c r="G5208" t="s">
        <v>215</v>
      </c>
      <c r="H5208" t="s">
        <v>5851</v>
      </c>
      <c r="I5208" t="s">
        <v>23</v>
      </c>
      <c r="J5208" t="s">
        <v>49</v>
      </c>
      <c r="K5208" s="2" t="s">
        <v>1853</v>
      </c>
      <c r="L5208" t="s">
        <v>26</v>
      </c>
      <c r="M5208">
        <v>326933</v>
      </c>
      <c r="N5208">
        <v>1</v>
      </c>
      <c r="O5208" s="3">
        <v>69990</v>
      </c>
      <c r="P5208" s="3">
        <v>40398</v>
      </c>
      <c r="Q5208" s="5">
        <f t="shared" si="243"/>
        <v>58815.126050420171</v>
      </c>
      <c r="R5208" s="5">
        <f t="shared" si="244"/>
        <v>40398</v>
      </c>
      <c r="S5208" s="5">
        <f t="shared" si="245"/>
        <v>18417.126050420171</v>
      </c>
    </row>
    <row r="5209" spans="1:19" hidden="1" x14ac:dyDescent="0.3">
      <c r="A5209">
        <v>190</v>
      </c>
      <c r="B5209" t="s">
        <v>5801</v>
      </c>
      <c r="C5209" t="s">
        <v>6053</v>
      </c>
      <c r="D5209" s="2" t="s">
        <v>6054</v>
      </c>
      <c r="E5209" t="s">
        <v>3083</v>
      </c>
      <c r="F5209" t="s">
        <v>20</v>
      </c>
      <c r="G5209" t="s">
        <v>21</v>
      </c>
      <c r="H5209" t="s">
        <v>2469</v>
      </c>
      <c r="I5209" t="s">
        <v>23</v>
      </c>
      <c r="J5209" t="s">
        <v>35</v>
      </c>
      <c r="K5209" s="2" t="s">
        <v>1853</v>
      </c>
      <c r="L5209" t="s">
        <v>26</v>
      </c>
      <c r="M5209">
        <v>326934</v>
      </c>
      <c r="N5209">
        <v>1</v>
      </c>
      <c r="O5209" s="3">
        <v>69990</v>
      </c>
      <c r="P5209" s="3">
        <v>29635</v>
      </c>
      <c r="Q5209" s="5">
        <f t="shared" si="243"/>
        <v>58815.126050420171</v>
      </c>
      <c r="R5209" s="5">
        <f t="shared" si="244"/>
        <v>29635</v>
      </c>
      <c r="S5209" s="5">
        <f t="shared" si="245"/>
        <v>29180.126050420171</v>
      </c>
    </row>
    <row r="5210" spans="1:19" hidden="1" x14ac:dyDescent="0.3">
      <c r="A5210">
        <v>190</v>
      </c>
      <c r="B5210" t="s">
        <v>5801</v>
      </c>
      <c r="C5210" t="s">
        <v>6003</v>
      </c>
      <c r="D5210" s="2" t="s">
        <v>6004</v>
      </c>
      <c r="E5210" t="s">
        <v>4038</v>
      </c>
      <c r="F5210" t="s">
        <v>20</v>
      </c>
      <c r="G5210" t="s">
        <v>21</v>
      </c>
      <c r="H5210" t="s">
        <v>2469</v>
      </c>
      <c r="I5210" t="s">
        <v>23</v>
      </c>
      <c r="J5210" t="s">
        <v>35</v>
      </c>
      <c r="K5210" s="2" t="s">
        <v>1910</v>
      </c>
      <c r="L5210" t="s">
        <v>26</v>
      </c>
      <c r="M5210">
        <v>326935</v>
      </c>
      <c r="N5210">
        <v>1</v>
      </c>
      <c r="O5210" s="3">
        <v>69990</v>
      </c>
      <c r="P5210" s="3">
        <v>29635</v>
      </c>
      <c r="Q5210" s="5">
        <f t="shared" si="243"/>
        <v>58815.126050420171</v>
      </c>
      <c r="R5210" s="5">
        <f t="shared" si="244"/>
        <v>29635</v>
      </c>
      <c r="S5210" s="5">
        <f t="shared" si="245"/>
        <v>29180.126050420171</v>
      </c>
    </row>
    <row r="5211" spans="1:19" hidden="1" x14ac:dyDescent="0.3">
      <c r="A5211">
        <v>190</v>
      </c>
      <c r="B5211" t="s">
        <v>5801</v>
      </c>
      <c r="C5211" t="s">
        <v>5517</v>
      </c>
      <c r="D5211" s="2" t="s">
        <v>5518</v>
      </c>
      <c r="E5211" t="s">
        <v>2996</v>
      </c>
      <c r="F5211" t="s">
        <v>20</v>
      </c>
      <c r="G5211" t="s">
        <v>338</v>
      </c>
      <c r="H5211">
        <v>25823</v>
      </c>
      <c r="I5211" t="s">
        <v>23</v>
      </c>
      <c r="J5211" t="s">
        <v>35</v>
      </c>
      <c r="K5211" s="2" t="s">
        <v>1910</v>
      </c>
      <c r="L5211" t="s">
        <v>26</v>
      </c>
      <c r="M5211">
        <v>326936</v>
      </c>
      <c r="N5211">
        <v>1</v>
      </c>
      <c r="O5211" s="3">
        <v>99950</v>
      </c>
      <c r="P5211" s="3">
        <v>33748</v>
      </c>
      <c r="Q5211" s="5">
        <f t="shared" si="243"/>
        <v>83991.596638655465</v>
      </c>
      <c r="R5211" s="5">
        <f t="shared" si="244"/>
        <v>33748</v>
      </c>
      <c r="S5211" s="5">
        <f t="shared" si="245"/>
        <v>50243.596638655465</v>
      </c>
    </row>
    <row r="5212" spans="1:19" hidden="1" x14ac:dyDescent="0.3">
      <c r="A5212">
        <v>190</v>
      </c>
      <c r="B5212" t="s">
        <v>5801</v>
      </c>
      <c r="C5212" t="s">
        <v>5913</v>
      </c>
      <c r="D5212" s="2" t="s">
        <v>5914</v>
      </c>
      <c r="E5212" t="s">
        <v>4540</v>
      </c>
      <c r="F5212" t="s">
        <v>20</v>
      </c>
      <c r="G5212" t="s">
        <v>338</v>
      </c>
      <c r="H5212">
        <v>25623</v>
      </c>
      <c r="I5212" t="s">
        <v>23</v>
      </c>
      <c r="J5212" t="s">
        <v>31</v>
      </c>
      <c r="K5212" s="2" t="s">
        <v>1910</v>
      </c>
      <c r="L5212" t="s">
        <v>26</v>
      </c>
      <c r="M5212">
        <v>326937</v>
      </c>
      <c r="N5212">
        <v>1</v>
      </c>
      <c r="O5212" s="3">
        <v>99950</v>
      </c>
      <c r="P5212" s="3">
        <v>33748</v>
      </c>
      <c r="Q5212" s="5">
        <f t="shared" si="243"/>
        <v>83991.596638655465</v>
      </c>
      <c r="R5212" s="5">
        <f t="shared" si="244"/>
        <v>33748</v>
      </c>
      <c r="S5212" s="5">
        <f t="shared" si="245"/>
        <v>50243.596638655465</v>
      </c>
    </row>
    <row r="5213" spans="1:19" hidden="1" x14ac:dyDescent="0.3">
      <c r="A5213">
        <v>190</v>
      </c>
      <c r="B5213" t="s">
        <v>5801</v>
      </c>
      <c r="C5213" t="s">
        <v>5839</v>
      </c>
      <c r="D5213" s="2" t="s">
        <v>5840</v>
      </c>
      <c r="E5213" t="s">
        <v>3874</v>
      </c>
      <c r="F5213" t="s">
        <v>20</v>
      </c>
      <c r="G5213" t="s">
        <v>21</v>
      </c>
      <c r="H5213" t="s">
        <v>618</v>
      </c>
      <c r="I5213" t="s">
        <v>23</v>
      </c>
      <c r="J5213" t="s">
        <v>40</v>
      </c>
      <c r="K5213" s="2" t="s">
        <v>1910</v>
      </c>
      <c r="L5213" t="s">
        <v>26</v>
      </c>
      <c r="M5213">
        <v>326938</v>
      </c>
      <c r="N5213">
        <v>1</v>
      </c>
      <c r="O5213" s="3">
        <v>34990</v>
      </c>
      <c r="P5213" s="3">
        <v>16817</v>
      </c>
      <c r="Q5213" s="5">
        <f t="shared" si="243"/>
        <v>29403.361344537818</v>
      </c>
      <c r="R5213" s="5">
        <f t="shared" si="244"/>
        <v>16817</v>
      </c>
      <c r="S5213" s="5">
        <f t="shared" si="245"/>
        <v>12586.361344537818</v>
      </c>
    </row>
    <row r="5214" spans="1:19" hidden="1" x14ac:dyDescent="0.3">
      <c r="A5214">
        <v>190</v>
      </c>
      <c r="B5214" t="s">
        <v>5801</v>
      </c>
      <c r="C5214" t="s">
        <v>3927</v>
      </c>
      <c r="D5214" s="2" t="s">
        <v>3928</v>
      </c>
      <c r="E5214" t="s">
        <v>3619</v>
      </c>
      <c r="F5214" t="s">
        <v>20</v>
      </c>
      <c r="G5214" t="s">
        <v>21</v>
      </c>
      <c r="H5214" t="s">
        <v>874</v>
      </c>
      <c r="I5214" t="s">
        <v>23</v>
      </c>
      <c r="J5214" t="s">
        <v>95</v>
      </c>
      <c r="K5214" s="2" t="s">
        <v>1910</v>
      </c>
      <c r="L5214" t="s">
        <v>26</v>
      </c>
      <c r="M5214">
        <v>326939</v>
      </c>
      <c r="N5214">
        <v>1</v>
      </c>
      <c r="O5214" s="3">
        <v>39990</v>
      </c>
      <c r="P5214" s="3">
        <v>21627</v>
      </c>
      <c r="Q5214" s="5">
        <f t="shared" si="243"/>
        <v>33605.042016806721</v>
      </c>
      <c r="R5214" s="5">
        <f t="shared" si="244"/>
        <v>21627</v>
      </c>
      <c r="S5214" s="5">
        <f t="shared" si="245"/>
        <v>11978.042016806721</v>
      </c>
    </row>
    <row r="5215" spans="1:19" hidden="1" x14ac:dyDescent="0.3">
      <c r="A5215">
        <v>190</v>
      </c>
      <c r="B5215" t="s">
        <v>5801</v>
      </c>
      <c r="C5215" t="s">
        <v>3007</v>
      </c>
      <c r="D5215" s="2" t="s">
        <v>3008</v>
      </c>
      <c r="E5215" t="s">
        <v>2986</v>
      </c>
      <c r="F5215" t="s">
        <v>20</v>
      </c>
      <c r="G5215" t="s">
        <v>21</v>
      </c>
      <c r="H5215" t="s">
        <v>267</v>
      </c>
      <c r="I5215" t="s">
        <v>23</v>
      </c>
      <c r="J5215" t="s">
        <v>35</v>
      </c>
      <c r="K5215" s="2" t="s">
        <v>1910</v>
      </c>
      <c r="L5215" t="s">
        <v>26</v>
      </c>
      <c r="M5215">
        <v>326940</v>
      </c>
      <c r="N5215">
        <v>1</v>
      </c>
      <c r="O5215" s="3">
        <v>59990</v>
      </c>
      <c r="P5215" s="3">
        <v>24733</v>
      </c>
      <c r="Q5215" s="5">
        <f t="shared" si="243"/>
        <v>50411.764705882357</v>
      </c>
      <c r="R5215" s="5">
        <f t="shared" si="244"/>
        <v>24733</v>
      </c>
      <c r="S5215" s="5">
        <f t="shared" si="245"/>
        <v>25678.764705882357</v>
      </c>
    </row>
    <row r="5216" spans="1:19" hidden="1" x14ac:dyDescent="0.3">
      <c r="A5216">
        <v>190</v>
      </c>
      <c r="B5216" t="s">
        <v>5801</v>
      </c>
      <c r="C5216" t="s">
        <v>3401</v>
      </c>
      <c r="D5216" s="2" t="s">
        <v>3402</v>
      </c>
      <c r="E5216" t="s">
        <v>3403</v>
      </c>
      <c r="F5216" t="s">
        <v>377</v>
      </c>
      <c r="G5216" t="s">
        <v>21</v>
      </c>
      <c r="H5216" t="s">
        <v>378</v>
      </c>
      <c r="I5216" t="s">
        <v>23</v>
      </c>
      <c r="J5216" t="s">
        <v>3297</v>
      </c>
      <c r="K5216" s="2" t="s">
        <v>1910</v>
      </c>
      <c r="L5216" t="s">
        <v>26</v>
      </c>
      <c r="M5216">
        <v>326940</v>
      </c>
      <c r="N5216">
        <v>1</v>
      </c>
      <c r="O5216">
        <v>500</v>
      </c>
      <c r="P5216">
        <v>418</v>
      </c>
      <c r="Q5216" s="5">
        <f t="shared" si="243"/>
        <v>420.1680672268908</v>
      </c>
      <c r="R5216" s="5">
        <f t="shared" si="244"/>
        <v>418</v>
      </c>
      <c r="S5216" s="5">
        <f t="shared" si="245"/>
        <v>2.1680672268907983</v>
      </c>
    </row>
    <row r="5217" spans="1:19" hidden="1" x14ac:dyDescent="0.3">
      <c r="A5217">
        <v>190</v>
      </c>
      <c r="B5217" t="s">
        <v>5801</v>
      </c>
      <c r="C5217" t="s">
        <v>3069</v>
      </c>
      <c r="D5217" s="2" t="s">
        <v>3070</v>
      </c>
      <c r="E5217" t="s">
        <v>3027</v>
      </c>
      <c r="F5217" t="s">
        <v>20</v>
      </c>
      <c r="G5217" t="s">
        <v>21</v>
      </c>
      <c r="H5217" t="s">
        <v>3028</v>
      </c>
      <c r="I5217" t="s">
        <v>23</v>
      </c>
      <c r="J5217" t="s">
        <v>35</v>
      </c>
      <c r="K5217" s="2" t="s">
        <v>1910</v>
      </c>
      <c r="L5217" t="s">
        <v>26</v>
      </c>
      <c r="M5217">
        <v>326941</v>
      </c>
      <c r="N5217">
        <v>1</v>
      </c>
      <c r="O5217" s="3">
        <v>99950</v>
      </c>
      <c r="P5217" s="3">
        <v>53748</v>
      </c>
      <c r="Q5217" s="5">
        <f t="shared" si="243"/>
        <v>83991.596638655465</v>
      </c>
      <c r="R5217" s="5">
        <f t="shared" si="244"/>
        <v>53748</v>
      </c>
      <c r="S5217" s="5">
        <f t="shared" si="245"/>
        <v>30243.596638655465</v>
      </c>
    </row>
    <row r="5218" spans="1:19" hidden="1" x14ac:dyDescent="0.3">
      <c r="A5218">
        <v>190</v>
      </c>
      <c r="B5218" t="s">
        <v>5801</v>
      </c>
      <c r="C5218" t="s">
        <v>3401</v>
      </c>
      <c r="D5218" s="2" t="s">
        <v>3402</v>
      </c>
      <c r="E5218" t="s">
        <v>3403</v>
      </c>
      <c r="F5218" t="s">
        <v>377</v>
      </c>
      <c r="G5218" t="s">
        <v>21</v>
      </c>
      <c r="H5218" t="s">
        <v>378</v>
      </c>
      <c r="I5218" t="s">
        <v>23</v>
      </c>
      <c r="J5218" t="s">
        <v>3297</v>
      </c>
      <c r="K5218" s="2" t="s">
        <v>1910</v>
      </c>
      <c r="L5218" t="s">
        <v>26</v>
      </c>
      <c r="M5218">
        <v>326941</v>
      </c>
      <c r="N5218">
        <v>1</v>
      </c>
      <c r="O5218">
        <v>500</v>
      </c>
      <c r="P5218">
        <v>418</v>
      </c>
      <c r="Q5218" s="5">
        <f t="shared" si="243"/>
        <v>420.1680672268908</v>
      </c>
      <c r="R5218" s="5">
        <f t="shared" si="244"/>
        <v>418</v>
      </c>
      <c r="S5218" s="5">
        <f t="shared" si="245"/>
        <v>2.1680672268907983</v>
      </c>
    </row>
    <row r="5219" spans="1:19" hidden="1" x14ac:dyDescent="0.3">
      <c r="A5219">
        <v>190</v>
      </c>
      <c r="B5219" t="s">
        <v>5801</v>
      </c>
      <c r="C5219" t="s">
        <v>3538</v>
      </c>
      <c r="D5219" s="2" t="s">
        <v>3539</v>
      </c>
      <c r="E5219" t="s">
        <v>2163</v>
      </c>
      <c r="F5219" t="s">
        <v>20</v>
      </c>
      <c r="G5219" t="s">
        <v>21</v>
      </c>
      <c r="H5219" t="s">
        <v>970</v>
      </c>
      <c r="I5219" t="s">
        <v>23</v>
      </c>
      <c r="J5219" t="s">
        <v>40</v>
      </c>
      <c r="K5219" s="2" t="s">
        <v>1910</v>
      </c>
      <c r="L5219" t="s">
        <v>26</v>
      </c>
      <c r="M5219">
        <v>326942</v>
      </c>
      <c r="N5219">
        <v>1</v>
      </c>
      <c r="O5219" s="3">
        <v>59991</v>
      </c>
      <c r="P5219" s="3">
        <v>19352</v>
      </c>
      <c r="Q5219" s="5">
        <f t="shared" si="243"/>
        <v>50412.60504201681</v>
      </c>
      <c r="R5219" s="5">
        <f t="shared" si="244"/>
        <v>19352</v>
      </c>
      <c r="S5219" s="5">
        <f t="shared" si="245"/>
        <v>31060.60504201681</v>
      </c>
    </row>
    <row r="5220" spans="1:19" hidden="1" x14ac:dyDescent="0.3">
      <c r="A5220">
        <v>190</v>
      </c>
      <c r="B5220" t="s">
        <v>5801</v>
      </c>
      <c r="C5220" t="s">
        <v>6055</v>
      </c>
      <c r="D5220" s="2" t="s">
        <v>6056</v>
      </c>
      <c r="E5220" t="s">
        <v>3421</v>
      </c>
      <c r="F5220" t="s">
        <v>20</v>
      </c>
      <c r="G5220" t="s">
        <v>21</v>
      </c>
      <c r="H5220" t="s">
        <v>1755</v>
      </c>
      <c r="I5220" t="s">
        <v>23</v>
      </c>
      <c r="J5220" t="s">
        <v>35</v>
      </c>
      <c r="K5220" s="2" t="s">
        <v>1910</v>
      </c>
      <c r="L5220" t="s">
        <v>26</v>
      </c>
      <c r="M5220">
        <v>326942</v>
      </c>
      <c r="N5220">
        <v>-1</v>
      </c>
      <c r="O5220" s="3">
        <v>-59990</v>
      </c>
      <c r="P5220" s="3">
        <v>28298</v>
      </c>
      <c r="Q5220" s="5">
        <f t="shared" si="243"/>
        <v>-50411.764705882357</v>
      </c>
      <c r="R5220" s="5">
        <f t="shared" si="244"/>
        <v>-28298</v>
      </c>
      <c r="S5220" s="5">
        <f t="shared" si="245"/>
        <v>-22113.764705882357</v>
      </c>
    </row>
    <row r="5221" spans="1:19" hidden="1" x14ac:dyDescent="0.3">
      <c r="A5221">
        <v>190</v>
      </c>
      <c r="B5221" t="s">
        <v>5801</v>
      </c>
      <c r="C5221" t="s">
        <v>4487</v>
      </c>
      <c r="D5221" s="2" t="s">
        <v>4488</v>
      </c>
      <c r="E5221" t="s">
        <v>1336</v>
      </c>
      <c r="F5221" t="s">
        <v>20</v>
      </c>
      <c r="G5221" t="s">
        <v>21</v>
      </c>
      <c r="H5221" t="s">
        <v>1337</v>
      </c>
      <c r="I5221" t="s">
        <v>23</v>
      </c>
      <c r="J5221" t="s">
        <v>49</v>
      </c>
      <c r="K5221" s="2" t="s">
        <v>1910</v>
      </c>
      <c r="L5221" t="s">
        <v>26</v>
      </c>
      <c r="M5221">
        <v>326943</v>
      </c>
      <c r="N5221">
        <v>1</v>
      </c>
      <c r="O5221" s="3">
        <v>59950</v>
      </c>
      <c r="P5221" s="3">
        <v>19096</v>
      </c>
      <c r="Q5221" s="5">
        <f t="shared" si="243"/>
        <v>50378.151260504201</v>
      </c>
      <c r="R5221" s="5">
        <f t="shared" si="244"/>
        <v>19096</v>
      </c>
      <c r="S5221" s="5">
        <f t="shared" si="245"/>
        <v>31282.151260504201</v>
      </c>
    </row>
    <row r="5222" spans="1:19" hidden="1" x14ac:dyDescent="0.3">
      <c r="A5222">
        <v>190</v>
      </c>
      <c r="B5222" t="s">
        <v>5801</v>
      </c>
      <c r="C5222" t="s">
        <v>5730</v>
      </c>
      <c r="D5222" s="2" t="s">
        <v>5731</v>
      </c>
      <c r="E5222" t="s">
        <v>3175</v>
      </c>
      <c r="F5222" t="s">
        <v>20</v>
      </c>
      <c r="G5222" t="s">
        <v>21</v>
      </c>
      <c r="H5222" t="s">
        <v>625</v>
      </c>
      <c r="I5222" t="s">
        <v>23</v>
      </c>
      <c r="J5222" t="s">
        <v>35</v>
      </c>
      <c r="K5222" s="2" t="s">
        <v>1910</v>
      </c>
      <c r="L5222" t="s">
        <v>26</v>
      </c>
      <c r="M5222">
        <v>326944</v>
      </c>
      <c r="N5222">
        <v>1</v>
      </c>
      <c r="O5222" s="3">
        <v>49990</v>
      </c>
      <c r="P5222" s="3">
        <v>24956</v>
      </c>
      <c r="Q5222" s="5">
        <f t="shared" si="243"/>
        <v>42008.403361344543</v>
      </c>
      <c r="R5222" s="5">
        <f t="shared" si="244"/>
        <v>24956</v>
      </c>
      <c r="S5222" s="5">
        <f t="shared" si="245"/>
        <v>17052.403361344543</v>
      </c>
    </row>
    <row r="5223" spans="1:19" hidden="1" x14ac:dyDescent="0.3">
      <c r="A5223">
        <v>190</v>
      </c>
      <c r="B5223" t="s">
        <v>5801</v>
      </c>
      <c r="C5223" t="s">
        <v>6057</v>
      </c>
      <c r="D5223" s="2" t="s">
        <v>6058</v>
      </c>
      <c r="E5223" t="s">
        <v>2959</v>
      </c>
      <c r="F5223" t="s">
        <v>20</v>
      </c>
      <c r="G5223" t="s">
        <v>338</v>
      </c>
      <c r="H5223">
        <v>25529</v>
      </c>
      <c r="I5223" t="s">
        <v>23</v>
      </c>
      <c r="J5223" t="s">
        <v>31</v>
      </c>
      <c r="K5223" s="2" t="s">
        <v>1910</v>
      </c>
      <c r="L5223" t="s">
        <v>26</v>
      </c>
      <c r="M5223">
        <v>326944</v>
      </c>
      <c r="N5223">
        <v>1</v>
      </c>
      <c r="O5223" s="3">
        <v>149950</v>
      </c>
      <c r="P5223" s="3">
        <v>50690</v>
      </c>
      <c r="Q5223" s="5">
        <f t="shared" si="243"/>
        <v>126008.40336134455</v>
      </c>
      <c r="R5223" s="5">
        <f t="shared" si="244"/>
        <v>50690</v>
      </c>
      <c r="S5223" s="5">
        <f t="shared" si="245"/>
        <v>75318.40336134455</v>
      </c>
    </row>
    <row r="5224" spans="1:19" hidden="1" x14ac:dyDescent="0.3">
      <c r="A5224">
        <v>190</v>
      </c>
      <c r="B5224" t="s">
        <v>5801</v>
      </c>
      <c r="C5224" t="s">
        <v>6059</v>
      </c>
      <c r="D5224" s="2" t="s">
        <v>6060</v>
      </c>
      <c r="E5224" t="s">
        <v>3083</v>
      </c>
      <c r="F5224" t="s">
        <v>20</v>
      </c>
      <c r="G5224" t="s">
        <v>21</v>
      </c>
      <c r="H5224" t="s">
        <v>2469</v>
      </c>
      <c r="I5224" t="s">
        <v>23</v>
      </c>
      <c r="J5224" t="s">
        <v>35</v>
      </c>
      <c r="K5224" s="2" t="s">
        <v>1910</v>
      </c>
      <c r="L5224" t="s">
        <v>26</v>
      </c>
      <c r="M5224">
        <v>326945</v>
      </c>
      <c r="N5224">
        <v>1</v>
      </c>
      <c r="O5224" s="3">
        <v>69990</v>
      </c>
      <c r="P5224" s="3">
        <v>29635</v>
      </c>
      <c r="Q5224" s="5">
        <f t="shared" si="243"/>
        <v>58815.126050420171</v>
      </c>
      <c r="R5224" s="5">
        <f t="shared" si="244"/>
        <v>29635</v>
      </c>
      <c r="S5224" s="5">
        <f t="shared" si="245"/>
        <v>29180.126050420171</v>
      </c>
    </row>
    <row r="5225" spans="1:19" hidden="1" x14ac:dyDescent="0.3">
      <c r="A5225">
        <v>190</v>
      </c>
      <c r="B5225" t="s">
        <v>5801</v>
      </c>
      <c r="C5225" t="s">
        <v>3547</v>
      </c>
      <c r="D5225" s="2" t="s">
        <v>3548</v>
      </c>
      <c r="E5225" t="s">
        <v>3549</v>
      </c>
      <c r="F5225" t="s">
        <v>377</v>
      </c>
      <c r="G5225" t="s">
        <v>21</v>
      </c>
      <c r="H5225" t="s">
        <v>378</v>
      </c>
      <c r="I5225" t="s">
        <v>23</v>
      </c>
      <c r="J5225" t="s">
        <v>379</v>
      </c>
      <c r="K5225" s="2" t="s">
        <v>1910</v>
      </c>
      <c r="L5225" t="s">
        <v>26</v>
      </c>
      <c r="M5225">
        <v>326946</v>
      </c>
      <c r="N5225">
        <v>1</v>
      </c>
      <c r="O5225" s="3">
        <v>5950</v>
      </c>
      <c r="P5225" s="3">
        <v>3184</v>
      </c>
      <c r="Q5225" s="5">
        <f t="shared" si="243"/>
        <v>5000</v>
      </c>
      <c r="R5225" s="5">
        <f t="shared" si="244"/>
        <v>3184</v>
      </c>
      <c r="S5225" s="5">
        <f t="shared" si="245"/>
        <v>1816</v>
      </c>
    </row>
    <row r="5226" spans="1:19" hidden="1" x14ac:dyDescent="0.3">
      <c r="A5226">
        <v>190</v>
      </c>
      <c r="B5226" t="s">
        <v>5801</v>
      </c>
      <c r="C5226" t="s">
        <v>6061</v>
      </c>
      <c r="D5226" s="2" t="s">
        <v>6062</v>
      </c>
      <c r="E5226" t="s">
        <v>1443</v>
      </c>
      <c r="F5226" t="s">
        <v>20</v>
      </c>
      <c r="G5226" t="s">
        <v>338</v>
      </c>
      <c r="H5226">
        <v>25301</v>
      </c>
      <c r="I5226" t="s">
        <v>23</v>
      </c>
      <c r="J5226" t="s">
        <v>35</v>
      </c>
      <c r="K5226" s="2" t="s">
        <v>1910</v>
      </c>
      <c r="L5226" t="s">
        <v>26</v>
      </c>
      <c r="M5226">
        <v>326947</v>
      </c>
      <c r="N5226">
        <v>1</v>
      </c>
      <c r="O5226" s="3">
        <v>99950</v>
      </c>
      <c r="P5226" s="3">
        <v>34157</v>
      </c>
      <c r="Q5226" s="5">
        <f t="shared" si="243"/>
        <v>83991.596638655465</v>
      </c>
      <c r="R5226" s="5">
        <f t="shared" si="244"/>
        <v>34157</v>
      </c>
      <c r="S5226" s="5">
        <f t="shared" si="245"/>
        <v>49834.596638655465</v>
      </c>
    </row>
    <row r="5227" spans="1:19" hidden="1" x14ac:dyDescent="0.3">
      <c r="A5227">
        <v>190</v>
      </c>
      <c r="B5227" t="s">
        <v>5801</v>
      </c>
      <c r="C5227" t="s">
        <v>1441</v>
      </c>
      <c r="D5227" s="2" t="s">
        <v>1442</v>
      </c>
      <c r="E5227" t="s">
        <v>1443</v>
      </c>
      <c r="F5227" t="s">
        <v>20</v>
      </c>
      <c r="G5227" t="s">
        <v>338</v>
      </c>
      <c r="H5227">
        <v>25301</v>
      </c>
      <c r="I5227" t="s">
        <v>23</v>
      </c>
      <c r="J5227" t="s">
        <v>35</v>
      </c>
      <c r="K5227" s="2" t="s">
        <v>1910</v>
      </c>
      <c r="L5227" t="s">
        <v>26</v>
      </c>
      <c r="M5227">
        <v>326948</v>
      </c>
      <c r="N5227">
        <v>1</v>
      </c>
      <c r="O5227" s="3">
        <v>99950</v>
      </c>
      <c r="P5227" s="3">
        <v>34157</v>
      </c>
      <c r="Q5227" s="5">
        <f t="shared" si="243"/>
        <v>83991.596638655465</v>
      </c>
      <c r="R5227" s="5">
        <f t="shared" si="244"/>
        <v>34157</v>
      </c>
      <c r="S5227" s="5">
        <f t="shared" si="245"/>
        <v>49834.596638655465</v>
      </c>
    </row>
    <row r="5228" spans="1:19" hidden="1" x14ac:dyDescent="0.3">
      <c r="A5228">
        <v>190</v>
      </c>
      <c r="B5228" t="s">
        <v>5801</v>
      </c>
      <c r="C5228" t="s">
        <v>3358</v>
      </c>
      <c r="D5228" s="2" t="s">
        <v>3359</v>
      </c>
      <c r="E5228" t="s">
        <v>2069</v>
      </c>
      <c r="F5228" t="s">
        <v>20</v>
      </c>
      <c r="G5228" t="s">
        <v>21</v>
      </c>
      <c r="H5228" t="s">
        <v>2070</v>
      </c>
      <c r="I5228" t="s">
        <v>23</v>
      </c>
      <c r="J5228" t="s">
        <v>35</v>
      </c>
      <c r="K5228" s="2" t="s">
        <v>1910</v>
      </c>
      <c r="L5228" t="s">
        <v>26</v>
      </c>
      <c r="M5228">
        <v>326949</v>
      </c>
      <c r="N5228">
        <v>1</v>
      </c>
      <c r="O5228" s="3">
        <v>89950</v>
      </c>
      <c r="P5228" s="3">
        <v>29635</v>
      </c>
      <c r="Q5228" s="5">
        <f t="shared" si="243"/>
        <v>75588.23529411765</v>
      </c>
      <c r="R5228" s="5">
        <f t="shared" si="244"/>
        <v>29635</v>
      </c>
      <c r="S5228" s="5">
        <f t="shared" si="245"/>
        <v>45953.23529411765</v>
      </c>
    </row>
    <row r="5229" spans="1:19" hidden="1" x14ac:dyDescent="0.3">
      <c r="A5229">
        <v>190</v>
      </c>
      <c r="B5229" t="s">
        <v>5801</v>
      </c>
      <c r="C5229" t="s">
        <v>3294</v>
      </c>
      <c r="D5229" s="2" t="s">
        <v>3295</v>
      </c>
      <c r="E5229" t="s">
        <v>3296</v>
      </c>
      <c r="F5229" t="s">
        <v>377</v>
      </c>
      <c r="G5229" t="s">
        <v>21</v>
      </c>
      <c r="H5229" t="s">
        <v>378</v>
      </c>
      <c r="I5229" t="s">
        <v>23</v>
      </c>
      <c r="J5229" t="s">
        <v>3297</v>
      </c>
      <c r="K5229" s="2" t="s">
        <v>1910</v>
      </c>
      <c r="L5229" t="s">
        <v>26</v>
      </c>
      <c r="M5229">
        <v>326950</v>
      </c>
      <c r="N5229">
        <v>1</v>
      </c>
      <c r="O5229">
        <v>500</v>
      </c>
      <c r="P5229">
        <v>358</v>
      </c>
      <c r="Q5229" s="5">
        <f t="shared" si="243"/>
        <v>420.1680672268908</v>
      </c>
      <c r="R5229" s="5">
        <f t="shared" si="244"/>
        <v>358</v>
      </c>
      <c r="S5229" s="5">
        <f t="shared" si="245"/>
        <v>62.168067226890798</v>
      </c>
    </row>
    <row r="5230" spans="1:19" hidden="1" x14ac:dyDescent="0.3">
      <c r="A5230">
        <v>190</v>
      </c>
      <c r="B5230" t="s">
        <v>5801</v>
      </c>
      <c r="C5230" t="s">
        <v>6063</v>
      </c>
      <c r="D5230" s="2" t="s">
        <v>6064</v>
      </c>
      <c r="E5230" t="s">
        <v>4124</v>
      </c>
      <c r="F5230" t="s">
        <v>20</v>
      </c>
      <c r="G5230" t="s">
        <v>338</v>
      </c>
      <c r="H5230">
        <v>25026</v>
      </c>
      <c r="I5230" t="s">
        <v>23</v>
      </c>
      <c r="J5230" t="s">
        <v>35</v>
      </c>
      <c r="K5230" s="2" t="s">
        <v>1910</v>
      </c>
      <c r="L5230" t="s">
        <v>26</v>
      </c>
      <c r="M5230">
        <v>326951</v>
      </c>
      <c r="N5230">
        <v>1</v>
      </c>
      <c r="O5230" s="3">
        <v>89950</v>
      </c>
      <c r="P5230" s="3">
        <v>28025</v>
      </c>
      <c r="Q5230" s="5">
        <f t="shared" si="243"/>
        <v>75588.23529411765</v>
      </c>
      <c r="R5230" s="5">
        <f t="shared" si="244"/>
        <v>28025</v>
      </c>
      <c r="S5230" s="5">
        <f t="shared" si="245"/>
        <v>47563.23529411765</v>
      </c>
    </row>
    <row r="5231" spans="1:19" hidden="1" x14ac:dyDescent="0.3">
      <c r="A5231">
        <v>190</v>
      </c>
      <c r="B5231" t="s">
        <v>5801</v>
      </c>
      <c r="C5231" t="s">
        <v>3333</v>
      </c>
      <c r="D5231" s="2" t="s">
        <v>3334</v>
      </c>
      <c r="E5231" t="s">
        <v>3335</v>
      </c>
      <c r="F5231" t="s">
        <v>20</v>
      </c>
      <c r="G5231" t="s">
        <v>338</v>
      </c>
      <c r="H5231">
        <v>25273</v>
      </c>
      <c r="I5231" t="s">
        <v>23</v>
      </c>
      <c r="J5231" t="s">
        <v>35</v>
      </c>
      <c r="K5231" s="2" t="s">
        <v>1910</v>
      </c>
      <c r="L5231" t="s">
        <v>26</v>
      </c>
      <c r="M5231">
        <v>326952</v>
      </c>
      <c r="N5231">
        <v>1</v>
      </c>
      <c r="O5231" s="3">
        <v>99950</v>
      </c>
      <c r="P5231" s="3">
        <v>32658</v>
      </c>
      <c r="Q5231" s="5">
        <f t="shared" si="243"/>
        <v>83991.596638655465</v>
      </c>
      <c r="R5231" s="5">
        <f t="shared" si="244"/>
        <v>32658</v>
      </c>
      <c r="S5231" s="5">
        <f t="shared" si="245"/>
        <v>51333.596638655465</v>
      </c>
    </row>
    <row r="5232" spans="1:19" hidden="1" x14ac:dyDescent="0.3">
      <c r="A5232">
        <v>190</v>
      </c>
      <c r="B5232" t="s">
        <v>5801</v>
      </c>
      <c r="C5232" t="s">
        <v>4627</v>
      </c>
      <c r="D5232" s="2" t="s">
        <v>4628</v>
      </c>
      <c r="E5232" t="s">
        <v>3003</v>
      </c>
      <c r="F5232" t="s">
        <v>20</v>
      </c>
      <c r="G5232" t="s">
        <v>338</v>
      </c>
      <c r="H5232">
        <v>25312</v>
      </c>
      <c r="I5232" t="s">
        <v>23</v>
      </c>
      <c r="J5232" t="s">
        <v>35</v>
      </c>
      <c r="K5232" s="2" t="s">
        <v>1910</v>
      </c>
      <c r="L5232" t="s">
        <v>26</v>
      </c>
      <c r="M5232">
        <v>326953</v>
      </c>
      <c r="N5232">
        <v>1</v>
      </c>
      <c r="O5232" s="3">
        <v>69950</v>
      </c>
      <c r="P5232" s="3">
        <v>21167</v>
      </c>
      <c r="Q5232" s="5">
        <f t="shared" si="243"/>
        <v>58781.512605042022</v>
      </c>
      <c r="R5232" s="5">
        <f t="shared" si="244"/>
        <v>21167</v>
      </c>
      <c r="S5232" s="5">
        <f t="shared" si="245"/>
        <v>37614.512605042022</v>
      </c>
    </row>
    <row r="5233" spans="1:19" hidden="1" x14ac:dyDescent="0.3">
      <c r="A5233">
        <v>190</v>
      </c>
      <c r="B5233" t="s">
        <v>5801</v>
      </c>
      <c r="C5233" t="s">
        <v>3401</v>
      </c>
      <c r="D5233" s="2" t="s">
        <v>3402</v>
      </c>
      <c r="E5233" t="s">
        <v>3403</v>
      </c>
      <c r="F5233" t="s">
        <v>377</v>
      </c>
      <c r="G5233" t="s">
        <v>21</v>
      </c>
      <c r="H5233" t="s">
        <v>378</v>
      </c>
      <c r="I5233" t="s">
        <v>23</v>
      </c>
      <c r="J5233" t="s">
        <v>3297</v>
      </c>
      <c r="K5233" s="2" t="s">
        <v>1910</v>
      </c>
      <c r="L5233" t="s">
        <v>26</v>
      </c>
      <c r="M5233">
        <v>326953</v>
      </c>
      <c r="N5233">
        <v>1</v>
      </c>
      <c r="O5233">
        <v>500</v>
      </c>
      <c r="P5233">
        <v>418</v>
      </c>
      <c r="Q5233" s="5">
        <f t="shared" si="243"/>
        <v>420.1680672268908</v>
      </c>
      <c r="R5233" s="5">
        <f t="shared" si="244"/>
        <v>418</v>
      </c>
      <c r="S5233" s="5">
        <f t="shared" si="245"/>
        <v>2.1680672268907983</v>
      </c>
    </row>
    <row r="5234" spans="1:19" hidden="1" x14ac:dyDescent="0.3">
      <c r="A5234">
        <v>190</v>
      </c>
      <c r="B5234" t="s">
        <v>5801</v>
      </c>
      <c r="C5234" t="s">
        <v>2625</v>
      </c>
      <c r="D5234" s="2" t="s">
        <v>2626</v>
      </c>
      <c r="E5234" t="s">
        <v>2539</v>
      </c>
      <c r="F5234" t="s">
        <v>20</v>
      </c>
      <c r="G5234" t="s">
        <v>21</v>
      </c>
      <c r="H5234" t="s">
        <v>966</v>
      </c>
      <c r="I5234" t="s">
        <v>23</v>
      </c>
      <c r="J5234" t="s">
        <v>35</v>
      </c>
      <c r="K5234" s="2" t="s">
        <v>1910</v>
      </c>
      <c r="L5234" t="s">
        <v>26</v>
      </c>
      <c r="M5234">
        <v>326954</v>
      </c>
      <c r="N5234">
        <v>1</v>
      </c>
      <c r="O5234" s="3">
        <v>63700</v>
      </c>
      <c r="P5234" s="3">
        <v>27026</v>
      </c>
      <c r="Q5234" s="5">
        <f t="shared" si="243"/>
        <v>53529.411764705888</v>
      </c>
      <c r="R5234" s="5">
        <f t="shared" si="244"/>
        <v>27026</v>
      </c>
      <c r="S5234" s="5">
        <f t="shared" si="245"/>
        <v>26503.411764705888</v>
      </c>
    </row>
    <row r="5235" spans="1:19" hidden="1" x14ac:dyDescent="0.3">
      <c r="A5235">
        <v>190</v>
      </c>
      <c r="B5235" t="s">
        <v>5801</v>
      </c>
      <c r="C5235" t="s">
        <v>2900</v>
      </c>
      <c r="D5235" s="2" t="s">
        <v>2901</v>
      </c>
      <c r="E5235" t="s">
        <v>2902</v>
      </c>
      <c r="F5235" t="s">
        <v>20</v>
      </c>
      <c r="G5235" t="s">
        <v>21</v>
      </c>
      <c r="H5235" t="s">
        <v>267</v>
      </c>
      <c r="I5235" t="s">
        <v>23</v>
      </c>
      <c r="J5235" t="s">
        <v>49</v>
      </c>
      <c r="K5235" s="2" t="s">
        <v>1910</v>
      </c>
      <c r="L5235" t="s">
        <v>26</v>
      </c>
      <c r="M5235">
        <v>326954</v>
      </c>
      <c r="N5235">
        <v>1</v>
      </c>
      <c r="O5235" s="3">
        <v>64950</v>
      </c>
      <c r="P5235" s="3">
        <v>24504</v>
      </c>
      <c r="Q5235" s="5">
        <f t="shared" si="243"/>
        <v>54579.831932773115</v>
      </c>
      <c r="R5235" s="5">
        <f t="shared" si="244"/>
        <v>24504</v>
      </c>
      <c r="S5235" s="5">
        <f t="shared" si="245"/>
        <v>30075.831932773115</v>
      </c>
    </row>
    <row r="5236" spans="1:19" hidden="1" x14ac:dyDescent="0.3">
      <c r="A5236">
        <v>190</v>
      </c>
      <c r="B5236" t="s">
        <v>5801</v>
      </c>
      <c r="C5236">
        <v>1687976791</v>
      </c>
      <c r="D5236" s="2" t="s">
        <v>200</v>
      </c>
      <c r="E5236" t="s">
        <v>201</v>
      </c>
      <c r="F5236" t="s">
        <v>201</v>
      </c>
      <c r="G5236" t="s">
        <v>202</v>
      </c>
      <c r="H5236" t="s">
        <v>202</v>
      </c>
      <c r="I5236" t="s">
        <v>23</v>
      </c>
      <c r="J5236" t="s">
        <v>202</v>
      </c>
      <c r="K5236" s="2" t="s">
        <v>1910</v>
      </c>
      <c r="L5236" t="s">
        <v>26</v>
      </c>
      <c r="M5236">
        <v>326955</v>
      </c>
      <c r="N5236">
        <v>1</v>
      </c>
      <c r="O5236" s="3">
        <v>3400</v>
      </c>
      <c r="P5236">
        <v>1</v>
      </c>
      <c r="Q5236" s="5">
        <f t="shared" si="243"/>
        <v>2857.1428571428573</v>
      </c>
      <c r="R5236" s="5">
        <f t="shared" si="244"/>
        <v>1</v>
      </c>
      <c r="S5236" s="5">
        <f t="shared" si="245"/>
        <v>2856.1428571428573</v>
      </c>
    </row>
    <row r="5237" spans="1:19" hidden="1" x14ac:dyDescent="0.3">
      <c r="A5237">
        <v>190</v>
      </c>
      <c r="B5237" t="s">
        <v>5801</v>
      </c>
      <c r="C5237" t="s">
        <v>6065</v>
      </c>
      <c r="D5237" s="2" t="s">
        <v>6066</v>
      </c>
      <c r="E5237" t="s">
        <v>3849</v>
      </c>
      <c r="F5237" t="s">
        <v>20</v>
      </c>
      <c r="G5237" t="s">
        <v>21</v>
      </c>
      <c r="H5237" t="s">
        <v>2364</v>
      </c>
      <c r="I5237" t="s">
        <v>23</v>
      </c>
      <c r="J5237" t="s">
        <v>40</v>
      </c>
      <c r="K5237" s="2" t="s">
        <v>1910</v>
      </c>
      <c r="L5237" t="s">
        <v>26</v>
      </c>
      <c r="M5237">
        <v>326955</v>
      </c>
      <c r="N5237">
        <v>1</v>
      </c>
      <c r="O5237" s="3">
        <v>39990</v>
      </c>
      <c r="P5237" s="3">
        <v>30479</v>
      </c>
      <c r="Q5237" s="5">
        <f t="shared" si="243"/>
        <v>33605.042016806721</v>
      </c>
      <c r="R5237" s="5">
        <f t="shared" si="244"/>
        <v>30479</v>
      </c>
      <c r="S5237" s="5">
        <f t="shared" si="245"/>
        <v>3126.0420168067212</v>
      </c>
    </row>
    <row r="5238" spans="1:19" hidden="1" x14ac:dyDescent="0.3">
      <c r="A5238">
        <v>190</v>
      </c>
      <c r="B5238" t="s">
        <v>5801</v>
      </c>
      <c r="C5238" t="s">
        <v>2871</v>
      </c>
      <c r="D5238" s="2" t="s">
        <v>2872</v>
      </c>
      <c r="E5238" t="s">
        <v>1446</v>
      </c>
      <c r="F5238" t="s">
        <v>20</v>
      </c>
      <c r="G5238" t="s">
        <v>338</v>
      </c>
      <c r="H5238">
        <v>25321</v>
      </c>
      <c r="I5238" t="s">
        <v>23</v>
      </c>
      <c r="J5238" t="s">
        <v>35</v>
      </c>
      <c r="K5238" s="2" t="s">
        <v>1910</v>
      </c>
      <c r="L5238" t="s">
        <v>26</v>
      </c>
      <c r="M5238">
        <v>326956</v>
      </c>
      <c r="N5238">
        <v>1</v>
      </c>
      <c r="O5238" s="3">
        <v>109950</v>
      </c>
      <c r="P5238" s="3">
        <v>33748</v>
      </c>
      <c r="Q5238" s="5">
        <f t="shared" si="243"/>
        <v>92394.957983193279</v>
      </c>
      <c r="R5238" s="5">
        <f t="shared" si="244"/>
        <v>33748</v>
      </c>
      <c r="S5238" s="5">
        <f t="shared" si="245"/>
        <v>58646.957983193279</v>
      </c>
    </row>
    <row r="5239" spans="1:19" hidden="1" x14ac:dyDescent="0.3">
      <c r="A5239">
        <v>190</v>
      </c>
      <c r="B5239" t="s">
        <v>5801</v>
      </c>
      <c r="C5239" t="s">
        <v>3401</v>
      </c>
      <c r="D5239" s="2" t="s">
        <v>3402</v>
      </c>
      <c r="E5239" t="s">
        <v>3403</v>
      </c>
      <c r="F5239" t="s">
        <v>377</v>
      </c>
      <c r="G5239" t="s">
        <v>21</v>
      </c>
      <c r="H5239" t="s">
        <v>378</v>
      </c>
      <c r="I5239" t="s">
        <v>23</v>
      </c>
      <c r="J5239" t="s">
        <v>3297</v>
      </c>
      <c r="K5239" s="2" t="s">
        <v>1910</v>
      </c>
      <c r="L5239" t="s">
        <v>26</v>
      </c>
      <c r="M5239">
        <v>326956</v>
      </c>
      <c r="N5239">
        <v>1</v>
      </c>
      <c r="O5239">
        <v>500</v>
      </c>
      <c r="P5239">
        <v>418</v>
      </c>
      <c r="Q5239" s="5">
        <f t="shared" si="243"/>
        <v>420.1680672268908</v>
      </c>
      <c r="R5239" s="5">
        <f t="shared" si="244"/>
        <v>418</v>
      </c>
      <c r="S5239" s="5">
        <f t="shared" si="245"/>
        <v>2.1680672268907983</v>
      </c>
    </row>
    <row r="5240" spans="1:19" hidden="1" x14ac:dyDescent="0.3">
      <c r="A5240">
        <v>190</v>
      </c>
      <c r="B5240" t="s">
        <v>5801</v>
      </c>
      <c r="C5240" t="s">
        <v>6067</v>
      </c>
      <c r="D5240" s="2" t="s">
        <v>6068</v>
      </c>
      <c r="E5240" t="s">
        <v>2592</v>
      </c>
      <c r="F5240" t="s">
        <v>20</v>
      </c>
      <c r="G5240" t="s">
        <v>21</v>
      </c>
      <c r="H5240" t="s">
        <v>2593</v>
      </c>
      <c r="I5240" t="s">
        <v>23</v>
      </c>
      <c r="J5240" t="s">
        <v>35</v>
      </c>
      <c r="K5240" s="2" t="s">
        <v>1910</v>
      </c>
      <c r="L5240" t="s">
        <v>26</v>
      </c>
      <c r="M5240">
        <v>326957</v>
      </c>
      <c r="N5240">
        <v>1</v>
      </c>
      <c r="O5240" s="3">
        <v>99950</v>
      </c>
      <c r="P5240" s="3">
        <v>38102</v>
      </c>
      <c r="Q5240" s="5">
        <f t="shared" si="243"/>
        <v>83991.596638655465</v>
      </c>
      <c r="R5240" s="5">
        <f t="shared" si="244"/>
        <v>38102</v>
      </c>
      <c r="S5240" s="5">
        <f t="shared" si="245"/>
        <v>45889.596638655465</v>
      </c>
    </row>
    <row r="5241" spans="1:19" hidden="1" x14ac:dyDescent="0.3">
      <c r="A5241">
        <v>190</v>
      </c>
      <c r="B5241" t="s">
        <v>5801</v>
      </c>
      <c r="C5241" t="s">
        <v>2830</v>
      </c>
      <c r="D5241" s="2" t="s">
        <v>2831</v>
      </c>
      <c r="E5241" t="s">
        <v>1330</v>
      </c>
      <c r="F5241" t="s">
        <v>20</v>
      </c>
      <c r="G5241" t="s">
        <v>338</v>
      </c>
      <c r="H5241">
        <v>25133</v>
      </c>
      <c r="I5241" t="s">
        <v>23</v>
      </c>
      <c r="J5241" t="s">
        <v>35</v>
      </c>
      <c r="K5241" s="2" t="s">
        <v>1910</v>
      </c>
      <c r="L5241" t="s">
        <v>26</v>
      </c>
      <c r="M5241">
        <v>326958</v>
      </c>
      <c r="N5241">
        <v>1</v>
      </c>
      <c r="O5241" s="3">
        <v>74950</v>
      </c>
      <c r="P5241" s="3">
        <v>21167</v>
      </c>
      <c r="Q5241" s="5">
        <f t="shared" si="243"/>
        <v>62983.193277310929</v>
      </c>
      <c r="R5241" s="5">
        <f t="shared" si="244"/>
        <v>21167</v>
      </c>
      <c r="S5241" s="5">
        <f t="shared" si="245"/>
        <v>41816.193277310929</v>
      </c>
    </row>
    <row r="5242" spans="1:19" hidden="1" x14ac:dyDescent="0.3">
      <c r="A5242">
        <v>190</v>
      </c>
      <c r="B5242" t="s">
        <v>5801</v>
      </c>
      <c r="C5242" t="s">
        <v>3401</v>
      </c>
      <c r="D5242" s="2" t="s">
        <v>3402</v>
      </c>
      <c r="E5242" t="s">
        <v>3403</v>
      </c>
      <c r="F5242" t="s">
        <v>377</v>
      </c>
      <c r="G5242" t="s">
        <v>21</v>
      </c>
      <c r="H5242" t="s">
        <v>378</v>
      </c>
      <c r="I5242" t="s">
        <v>23</v>
      </c>
      <c r="J5242" t="s">
        <v>3297</v>
      </c>
      <c r="K5242" s="2" t="s">
        <v>1910</v>
      </c>
      <c r="L5242" t="s">
        <v>26</v>
      </c>
      <c r="M5242">
        <v>326959</v>
      </c>
      <c r="N5242">
        <v>1</v>
      </c>
      <c r="O5242">
        <v>500</v>
      </c>
      <c r="P5242">
        <v>418</v>
      </c>
      <c r="Q5242" s="5">
        <f t="shared" si="243"/>
        <v>420.1680672268908</v>
      </c>
      <c r="R5242" s="5">
        <f t="shared" si="244"/>
        <v>418</v>
      </c>
      <c r="S5242" s="5">
        <f t="shared" si="245"/>
        <v>2.1680672268907983</v>
      </c>
    </row>
    <row r="5243" spans="1:19" hidden="1" x14ac:dyDescent="0.3">
      <c r="A5243">
        <v>190</v>
      </c>
      <c r="B5243" t="s">
        <v>5801</v>
      </c>
      <c r="C5243">
        <v>1687976791</v>
      </c>
      <c r="D5243" s="2" t="s">
        <v>200</v>
      </c>
      <c r="E5243" t="s">
        <v>201</v>
      </c>
      <c r="F5243" t="s">
        <v>201</v>
      </c>
      <c r="G5243" t="s">
        <v>202</v>
      </c>
      <c r="H5243" t="s">
        <v>202</v>
      </c>
      <c r="I5243" t="s">
        <v>23</v>
      </c>
      <c r="J5243" t="s">
        <v>202</v>
      </c>
      <c r="K5243" s="2" t="s">
        <v>1910</v>
      </c>
      <c r="L5243" t="s">
        <v>26</v>
      </c>
      <c r="M5243">
        <v>326960</v>
      </c>
      <c r="N5243">
        <v>1</v>
      </c>
      <c r="O5243" s="3">
        <v>3400</v>
      </c>
      <c r="P5243">
        <v>1</v>
      </c>
      <c r="Q5243" s="5">
        <f t="shared" si="243"/>
        <v>2857.1428571428573</v>
      </c>
      <c r="R5243" s="5">
        <f t="shared" si="244"/>
        <v>1</v>
      </c>
      <c r="S5243" s="5">
        <f t="shared" si="245"/>
        <v>2856.1428571428573</v>
      </c>
    </row>
    <row r="5244" spans="1:19" hidden="1" x14ac:dyDescent="0.3">
      <c r="A5244">
        <v>190</v>
      </c>
      <c r="B5244" t="s">
        <v>5801</v>
      </c>
      <c r="C5244" t="s">
        <v>2306</v>
      </c>
      <c r="D5244" s="2" t="s">
        <v>2307</v>
      </c>
      <c r="E5244" t="s">
        <v>2308</v>
      </c>
      <c r="F5244" t="s">
        <v>20</v>
      </c>
      <c r="G5244" t="s">
        <v>21</v>
      </c>
      <c r="H5244" t="s">
        <v>1337</v>
      </c>
      <c r="I5244" t="s">
        <v>23</v>
      </c>
      <c r="J5244" t="s">
        <v>49</v>
      </c>
      <c r="K5244" s="2" t="s">
        <v>1910</v>
      </c>
      <c r="L5244" t="s">
        <v>26</v>
      </c>
      <c r="M5244">
        <v>326960</v>
      </c>
      <c r="N5244">
        <v>1</v>
      </c>
      <c r="O5244" s="3">
        <v>59950</v>
      </c>
      <c r="P5244" s="3">
        <v>22221</v>
      </c>
      <c r="Q5244" s="5">
        <f t="shared" si="243"/>
        <v>50378.151260504201</v>
      </c>
      <c r="R5244" s="5">
        <f t="shared" si="244"/>
        <v>22221</v>
      </c>
      <c r="S5244" s="5">
        <f t="shared" si="245"/>
        <v>28157.151260504201</v>
      </c>
    </row>
    <row r="5245" spans="1:19" hidden="1" x14ac:dyDescent="0.3">
      <c r="A5245">
        <v>190</v>
      </c>
      <c r="B5245" t="s">
        <v>5801</v>
      </c>
      <c r="C5245" t="s">
        <v>5814</v>
      </c>
      <c r="D5245" s="2" t="s">
        <v>5815</v>
      </c>
      <c r="E5245" t="s">
        <v>405</v>
      </c>
      <c r="F5245" t="s">
        <v>20</v>
      </c>
      <c r="G5245" t="s">
        <v>21</v>
      </c>
      <c r="H5245" t="s">
        <v>406</v>
      </c>
      <c r="I5245" t="s">
        <v>23</v>
      </c>
      <c r="J5245" t="s">
        <v>407</v>
      </c>
      <c r="K5245" s="2" t="s">
        <v>1910</v>
      </c>
      <c r="L5245" t="s">
        <v>26</v>
      </c>
      <c r="M5245">
        <v>326961</v>
      </c>
      <c r="N5245">
        <v>1</v>
      </c>
      <c r="O5245" s="3">
        <v>44990</v>
      </c>
      <c r="P5245" s="3">
        <v>19806</v>
      </c>
      <c r="Q5245" s="5">
        <f t="shared" si="243"/>
        <v>37806.722689075636</v>
      </c>
      <c r="R5245" s="5">
        <f t="shared" si="244"/>
        <v>19806</v>
      </c>
      <c r="S5245" s="5">
        <f t="shared" si="245"/>
        <v>18000.722689075636</v>
      </c>
    </row>
    <row r="5246" spans="1:19" hidden="1" x14ac:dyDescent="0.3">
      <c r="A5246">
        <v>190</v>
      </c>
      <c r="B5246" t="s">
        <v>5801</v>
      </c>
      <c r="C5246" t="s">
        <v>2580</v>
      </c>
      <c r="D5246" s="2" t="s">
        <v>2581</v>
      </c>
      <c r="E5246" t="s">
        <v>2462</v>
      </c>
      <c r="F5246" t="s">
        <v>20</v>
      </c>
      <c r="G5246" t="s">
        <v>21</v>
      </c>
      <c r="H5246" t="s">
        <v>65</v>
      </c>
      <c r="I5246" t="s">
        <v>23</v>
      </c>
      <c r="J5246" t="s">
        <v>49</v>
      </c>
      <c r="K5246" s="2" t="s">
        <v>1910</v>
      </c>
      <c r="L5246" t="s">
        <v>26</v>
      </c>
      <c r="M5246">
        <v>326962</v>
      </c>
      <c r="N5246">
        <v>1</v>
      </c>
      <c r="O5246" s="3">
        <v>64950</v>
      </c>
      <c r="P5246" s="3">
        <v>22105</v>
      </c>
      <c r="Q5246" s="5">
        <f t="shared" si="243"/>
        <v>54579.831932773115</v>
      </c>
      <c r="R5246" s="5">
        <f t="shared" si="244"/>
        <v>22105</v>
      </c>
      <c r="S5246" s="5">
        <f t="shared" si="245"/>
        <v>32474.831932773115</v>
      </c>
    </row>
    <row r="5247" spans="1:19" hidden="1" x14ac:dyDescent="0.3">
      <c r="A5247">
        <v>190</v>
      </c>
      <c r="B5247" t="s">
        <v>5801</v>
      </c>
      <c r="C5247" t="s">
        <v>6069</v>
      </c>
      <c r="D5247" s="2" t="s">
        <v>6070</v>
      </c>
      <c r="E5247" t="s">
        <v>3729</v>
      </c>
      <c r="F5247" t="s">
        <v>20</v>
      </c>
      <c r="G5247" t="s">
        <v>21</v>
      </c>
      <c r="H5247" t="s">
        <v>272</v>
      </c>
      <c r="I5247" t="s">
        <v>23</v>
      </c>
      <c r="J5247" t="s">
        <v>35</v>
      </c>
      <c r="K5247" s="2" t="s">
        <v>1910</v>
      </c>
      <c r="L5247" t="s">
        <v>26</v>
      </c>
      <c r="M5247">
        <v>326963</v>
      </c>
      <c r="N5247">
        <v>1</v>
      </c>
      <c r="O5247" s="3">
        <v>79950</v>
      </c>
      <c r="P5247" s="3">
        <v>28038</v>
      </c>
      <c r="Q5247" s="5">
        <f t="shared" si="243"/>
        <v>67184.873949579836</v>
      </c>
      <c r="R5247" s="5">
        <f t="shared" si="244"/>
        <v>28038</v>
      </c>
      <c r="S5247" s="5">
        <f t="shared" si="245"/>
        <v>39146.873949579836</v>
      </c>
    </row>
    <row r="5248" spans="1:19" hidden="1" x14ac:dyDescent="0.3">
      <c r="A5248">
        <v>190</v>
      </c>
      <c r="B5248" t="s">
        <v>5801</v>
      </c>
      <c r="C5248" t="s">
        <v>3294</v>
      </c>
      <c r="D5248" s="2" t="s">
        <v>3295</v>
      </c>
      <c r="E5248" t="s">
        <v>3296</v>
      </c>
      <c r="F5248" t="s">
        <v>377</v>
      </c>
      <c r="G5248" t="s">
        <v>21</v>
      </c>
      <c r="H5248" t="s">
        <v>378</v>
      </c>
      <c r="I5248" t="s">
        <v>23</v>
      </c>
      <c r="J5248" t="s">
        <v>3297</v>
      </c>
      <c r="K5248" s="2" t="s">
        <v>1910</v>
      </c>
      <c r="L5248" t="s">
        <v>26</v>
      </c>
      <c r="M5248">
        <v>326963</v>
      </c>
      <c r="N5248">
        <v>1</v>
      </c>
      <c r="O5248">
        <v>500</v>
      </c>
      <c r="P5248">
        <v>358</v>
      </c>
      <c r="Q5248" s="5">
        <f t="shared" si="243"/>
        <v>420.1680672268908</v>
      </c>
      <c r="R5248" s="5">
        <f t="shared" si="244"/>
        <v>358</v>
      </c>
      <c r="S5248" s="5">
        <f t="shared" si="245"/>
        <v>62.168067226890798</v>
      </c>
    </row>
    <row r="5249" spans="1:19" hidden="1" x14ac:dyDescent="0.3">
      <c r="A5249">
        <v>190</v>
      </c>
      <c r="B5249" t="s">
        <v>5801</v>
      </c>
      <c r="C5249" t="s">
        <v>3111</v>
      </c>
      <c r="D5249" s="2" t="s">
        <v>3112</v>
      </c>
      <c r="E5249" t="s">
        <v>3113</v>
      </c>
      <c r="F5249" t="s">
        <v>20</v>
      </c>
      <c r="G5249" t="s">
        <v>338</v>
      </c>
      <c r="H5249">
        <v>25702</v>
      </c>
      <c r="I5249" t="s">
        <v>23</v>
      </c>
      <c r="J5249" t="s">
        <v>35</v>
      </c>
      <c r="K5249" s="2" t="s">
        <v>1910</v>
      </c>
      <c r="L5249" t="s">
        <v>26</v>
      </c>
      <c r="M5249">
        <v>326964</v>
      </c>
      <c r="N5249">
        <v>1</v>
      </c>
      <c r="O5249" s="3">
        <v>109950</v>
      </c>
      <c r="P5249" s="3">
        <v>34974</v>
      </c>
      <c r="Q5249" s="5">
        <f t="shared" si="243"/>
        <v>92394.957983193279</v>
      </c>
      <c r="R5249" s="5">
        <f t="shared" si="244"/>
        <v>34974</v>
      </c>
      <c r="S5249" s="5">
        <f t="shared" si="245"/>
        <v>57420.957983193279</v>
      </c>
    </row>
    <row r="5250" spans="1:19" hidden="1" x14ac:dyDescent="0.3">
      <c r="A5250">
        <v>190</v>
      </c>
      <c r="B5250" t="s">
        <v>5801</v>
      </c>
      <c r="C5250" t="s">
        <v>3294</v>
      </c>
      <c r="D5250" s="2" t="s">
        <v>3295</v>
      </c>
      <c r="E5250" t="s">
        <v>3296</v>
      </c>
      <c r="F5250" t="s">
        <v>377</v>
      </c>
      <c r="G5250" t="s">
        <v>21</v>
      </c>
      <c r="H5250" t="s">
        <v>378</v>
      </c>
      <c r="I5250" t="s">
        <v>23</v>
      </c>
      <c r="J5250" t="s">
        <v>3297</v>
      </c>
      <c r="K5250" s="2" t="s">
        <v>1910</v>
      </c>
      <c r="L5250" t="s">
        <v>26</v>
      </c>
      <c r="M5250">
        <v>326965</v>
      </c>
      <c r="N5250">
        <v>1</v>
      </c>
      <c r="O5250">
        <v>500</v>
      </c>
      <c r="P5250">
        <v>358</v>
      </c>
      <c r="Q5250" s="5">
        <f t="shared" si="243"/>
        <v>420.1680672268908</v>
      </c>
      <c r="R5250" s="5">
        <f t="shared" si="244"/>
        <v>358</v>
      </c>
      <c r="S5250" s="5">
        <f t="shared" si="245"/>
        <v>62.168067226890798</v>
      </c>
    </row>
    <row r="5251" spans="1:19" hidden="1" x14ac:dyDescent="0.3">
      <c r="A5251">
        <v>190</v>
      </c>
      <c r="B5251" t="s">
        <v>5801</v>
      </c>
      <c r="C5251" t="s">
        <v>5113</v>
      </c>
      <c r="D5251" s="2" t="s">
        <v>5114</v>
      </c>
      <c r="E5251" t="s">
        <v>3036</v>
      </c>
      <c r="F5251" t="s">
        <v>20</v>
      </c>
      <c r="G5251" t="s">
        <v>338</v>
      </c>
      <c r="H5251">
        <v>25273</v>
      </c>
      <c r="I5251" t="s">
        <v>23</v>
      </c>
      <c r="J5251" t="s">
        <v>35</v>
      </c>
      <c r="K5251" s="2" t="s">
        <v>3310</v>
      </c>
      <c r="L5251" t="s">
        <v>26</v>
      </c>
      <c r="M5251">
        <v>326966</v>
      </c>
      <c r="N5251">
        <v>1</v>
      </c>
      <c r="O5251" s="3">
        <v>99950</v>
      </c>
      <c r="P5251" s="3">
        <v>32658</v>
      </c>
      <c r="Q5251" s="5">
        <f t="shared" si="243"/>
        <v>83991.596638655465</v>
      </c>
      <c r="R5251" s="5">
        <f t="shared" si="244"/>
        <v>32658</v>
      </c>
      <c r="S5251" s="5">
        <f t="shared" si="245"/>
        <v>51333.596638655465</v>
      </c>
    </row>
    <row r="5252" spans="1:19" hidden="1" x14ac:dyDescent="0.3">
      <c r="A5252">
        <v>190</v>
      </c>
      <c r="B5252" t="s">
        <v>5801</v>
      </c>
      <c r="C5252" t="s">
        <v>3401</v>
      </c>
      <c r="D5252" s="2" t="s">
        <v>3402</v>
      </c>
      <c r="E5252" t="s">
        <v>3403</v>
      </c>
      <c r="F5252" t="s">
        <v>377</v>
      </c>
      <c r="G5252" t="s">
        <v>21</v>
      </c>
      <c r="H5252" t="s">
        <v>378</v>
      </c>
      <c r="I5252" t="s">
        <v>23</v>
      </c>
      <c r="J5252" t="s">
        <v>3297</v>
      </c>
      <c r="K5252" s="2" t="s">
        <v>3310</v>
      </c>
      <c r="L5252" t="s">
        <v>26</v>
      </c>
      <c r="M5252">
        <v>326966</v>
      </c>
      <c r="N5252">
        <v>1</v>
      </c>
      <c r="O5252">
        <v>500</v>
      </c>
      <c r="P5252">
        <v>418</v>
      </c>
      <c r="Q5252" s="5">
        <f t="shared" si="243"/>
        <v>420.1680672268908</v>
      </c>
      <c r="R5252" s="5">
        <f t="shared" si="244"/>
        <v>418</v>
      </c>
      <c r="S5252" s="5">
        <f t="shared" si="245"/>
        <v>2.1680672268907983</v>
      </c>
    </row>
    <row r="5253" spans="1:19" hidden="1" x14ac:dyDescent="0.3">
      <c r="A5253">
        <v>190</v>
      </c>
      <c r="B5253" t="s">
        <v>5801</v>
      </c>
      <c r="C5253" t="s">
        <v>6071</v>
      </c>
      <c r="D5253" s="2" t="s">
        <v>6072</v>
      </c>
      <c r="E5253" t="s">
        <v>1494</v>
      </c>
      <c r="F5253" t="s">
        <v>20</v>
      </c>
      <c r="G5253" t="s">
        <v>338</v>
      </c>
      <c r="H5253">
        <v>23763</v>
      </c>
      <c r="I5253" t="s">
        <v>23</v>
      </c>
      <c r="J5253" t="s">
        <v>40</v>
      </c>
      <c r="K5253" s="2" t="s">
        <v>3310</v>
      </c>
      <c r="L5253" t="s">
        <v>26</v>
      </c>
      <c r="M5253">
        <v>326967</v>
      </c>
      <c r="N5253">
        <v>1</v>
      </c>
      <c r="O5253" s="3">
        <v>59950</v>
      </c>
      <c r="P5253" s="3">
        <v>19813</v>
      </c>
      <c r="Q5253" s="5">
        <f t="shared" si="243"/>
        <v>50378.151260504201</v>
      </c>
      <c r="R5253" s="5">
        <f t="shared" si="244"/>
        <v>19813</v>
      </c>
      <c r="S5253" s="5">
        <f t="shared" si="245"/>
        <v>30565.151260504201</v>
      </c>
    </row>
    <row r="5254" spans="1:19" hidden="1" x14ac:dyDescent="0.3">
      <c r="A5254">
        <v>190</v>
      </c>
      <c r="B5254" t="s">
        <v>5801</v>
      </c>
      <c r="C5254" t="s">
        <v>5814</v>
      </c>
      <c r="D5254" s="2" t="s">
        <v>5815</v>
      </c>
      <c r="E5254" t="s">
        <v>405</v>
      </c>
      <c r="F5254" t="s">
        <v>20</v>
      </c>
      <c r="G5254" t="s">
        <v>21</v>
      </c>
      <c r="H5254" t="s">
        <v>406</v>
      </c>
      <c r="I5254" t="s">
        <v>23</v>
      </c>
      <c r="J5254" t="s">
        <v>407</v>
      </c>
      <c r="K5254" s="2" t="s">
        <v>3310</v>
      </c>
      <c r="L5254" t="s">
        <v>26</v>
      </c>
      <c r="M5254">
        <v>326968</v>
      </c>
      <c r="N5254">
        <v>1</v>
      </c>
      <c r="O5254" s="3">
        <v>44990</v>
      </c>
      <c r="P5254" s="3">
        <v>19806</v>
      </c>
      <c r="Q5254" s="5">
        <f t="shared" ref="Q5254:Q5317" si="246">O5254/1.19</f>
        <v>37806.722689075636</v>
      </c>
      <c r="R5254" s="5">
        <f t="shared" ref="R5254:R5317" si="247">N5254*P5254</f>
        <v>19806</v>
      </c>
      <c r="S5254" s="5">
        <f t="shared" ref="S5254:S5317" si="248">Q5254-R5254</f>
        <v>18000.722689075636</v>
      </c>
    </row>
    <row r="5255" spans="1:19" hidden="1" x14ac:dyDescent="0.3">
      <c r="A5255">
        <v>190</v>
      </c>
      <c r="B5255" t="s">
        <v>5801</v>
      </c>
      <c r="C5255" t="s">
        <v>3294</v>
      </c>
      <c r="D5255" s="2" t="s">
        <v>3295</v>
      </c>
      <c r="E5255" t="s">
        <v>3296</v>
      </c>
      <c r="F5255" t="s">
        <v>377</v>
      </c>
      <c r="G5255" t="s">
        <v>21</v>
      </c>
      <c r="H5255" t="s">
        <v>378</v>
      </c>
      <c r="I5255" t="s">
        <v>23</v>
      </c>
      <c r="J5255" t="s">
        <v>3297</v>
      </c>
      <c r="K5255" s="2" t="s">
        <v>3310</v>
      </c>
      <c r="L5255" t="s">
        <v>26</v>
      </c>
      <c r="M5255">
        <v>326968</v>
      </c>
      <c r="N5255">
        <v>1</v>
      </c>
      <c r="O5255">
        <v>500</v>
      </c>
      <c r="P5255">
        <v>358</v>
      </c>
      <c r="Q5255" s="5">
        <f t="shared" si="246"/>
        <v>420.1680672268908</v>
      </c>
      <c r="R5255" s="5">
        <f t="shared" si="247"/>
        <v>358</v>
      </c>
      <c r="S5255" s="5">
        <f t="shared" si="248"/>
        <v>62.168067226890798</v>
      </c>
    </row>
    <row r="5256" spans="1:19" hidden="1" x14ac:dyDescent="0.3">
      <c r="A5256">
        <v>190</v>
      </c>
      <c r="B5256" t="s">
        <v>5801</v>
      </c>
      <c r="C5256" t="s">
        <v>6073</v>
      </c>
      <c r="D5256" s="2" t="s">
        <v>6074</v>
      </c>
      <c r="E5256" t="s">
        <v>4049</v>
      </c>
      <c r="F5256" t="s">
        <v>20</v>
      </c>
      <c r="G5256" t="s">
        <v>21</v>
      </c>
      <c r="H5256" t="s">
        <v>3351</v>
      </c>
      <c r="I5256" t="s">
        <v>23</v>
      </c>
      <c r="J5256" t="s">
        <v>40</v>
      </c>
      <c r="K5256" s="2" t="s">
        <v>3310</v>
      </c>
      <c r="L5256" t="s">
        <v>26</v>
      </c>
      <c r="M5256">
        <v>326969</v>
      </c>
      <c r="N5256">
        <v>1</v>
      </c>
      <c r="O5256" s="3">
        <v>79950</v>
      </c>
      <c r="P5256" s="3">
        <v>30166</v>
      </c>
      <c r="Q5256" s="5">
        <f t="shared" si="246"/>
        <v>67184.873949579836</v>
      </c>
      <c r="R5256" s="5">
        <f t="shared" si="247"/>
        <v>30166</v>
      </c>
      <c r="S5256" s="5">
        <f t="shared" si="248"/>
        <v>37018.873949579836</v>
      </c>
    </row>
    <row r="5257" spans="1:19" hidden="1" x14ac:dyDescent="0.3">
      <c r="A5257">
        <v>190</v>
      </c>
      <c r="B5257" t="s">
        <v>5801</v>
      </c>
      <c r="C5257" t="s">
        <v>4989</v>
      </c>
      <c r="D5257" s="2" t="s">
        <v>4990</v>
      </c>
      <c r="E5257" t="s">
        <v>3350</v>
      </c>
      <c r="F5257" t="s">
        <v>20</v>
      </c>
      <c r="G5257" t="s">
        <v>21</v>
      </c>
      <c r="H5257" t="s">
        <v>3351</v>
      </c>
      <c r="I5257" t="s">
        <v>23</v>
      </c>
      <c r="J5257" t="s">
        <v>40</v>
      </c>
      <c r="K5257" s="2" t="s">
        <v>3310</v>
      </c>
      <c r="L5257" t="s">
        <v>26</v>
      </c>
      <c r="M5257">
        <v>326970</v>
      </c>
      <c r="N5257">
        <v>1</v>
      </c>
      <c r="O5257" s="3">
        <v>79950</v>
      </c>
      <c r="P5257" s="3">
        <v>28839</v>
      </c>
      <c r="Q5257" s="5">
        <f t="shared" si="246"/>
        <v>67184.873949579836</v>
      </c>
      <c r="R5257" s="5">
        <f t="shared" si="247"/>
        <v>28839</v>
      </c>
      <c r="S5257" s="5">
        <f t="shared" si="248"/>
        <v>38345.873949579836</v>
      </c>
    </row>
    <row r="5258" spans="1:19" hidden="1" x14ac:dyDescent="0.3">
      <c r="A5258">
        <v>190</v>
      </c>
      <c r="B5258" t="s">
        <v>5801</v>
      </c>
      <c r="C5258" t="s">
        <v>3294</v>
      </c>
      <c r="D5258" s="2" t="s">
        <v>3295</v>
      </c>
      <c r="E5258" t="s">
        <v>3296</v>
      </c>
      <c r="F5258" t="s">
        <v>377</v>
      </c>
      <c r="G5258" t="s">
        <v>21</v>
      </c>
      <c r="H5258" t="s">
        <v>378</v>
      </c>
      <c r="I5258" t="s">
        <v>23</v>
      </c>
      <c r="J5258" t="s">
        <v>3297</v>
      </c>
      <c r="K5258" s="2" t="s">
        <v>3310</v>
      </c>
      <c r="L5258" t="s">
        <v>26</v>
      </c>
      <c r="M5258">
        <v>326970</v>
      </c>
      <c r="N5258">
        <v>1</v>
      </c>
      <c r="O5258">
        <v>500</v>
      </c>
      <c r="P5258">
        <v>358</v>
      </c>
      <c r="Q5258" s="5">
        <f t="shared" si="246"/>
        <v>420.1680672268908</v>
      </c>
      <c r="R5258" s="5">
        <f t="shared" si="247"/>
        <v>358</v>
      </c>
      <c r="S5258" s="5">
        <f t="shared" si="248"/>
        <v>62.168067226890798</v>
      </c>
    </row>
    <row r="5259" spans="1:19" hidden="1" x14ac:dyDescent="0.3">
      <c r="A5259">
        <v>190</v>
      </c>
      <c r="B5259" t="s">
        <v>5801</v>
      </c>
      <c r="C5259" t="s">
        <v>3234</v>
      </c>
      <c r="D5259" s="2" t="s">
        <v>3235</v>
      </c>
      <c r="E5259" t="s">
        <v>1330</v>
      </c>
      <c r="F5259" t="s">
        <v>20</v>
      </c>
      <c r="G5259" t="s">
        <v>338</v>
      </c>
      <c r="H5259">
        <v>25133</v>
      </c>
      <c r="I5259" t="s">
        <v>23</v>
      </c>
      <c r="J5259" t="s">
        <v>35</v>
      </c>
      <c r="K5259" s="2" t="s">
        <v>3310</v>
      </c>
      <c r="L5259" t="s">
        <v>26</v>
      </c>
      <c r="M5259">
        <v>326971</v>
      </c>
      <c r="N5259">
        <v>1</v>
      </c>
      <c r="O5259" s="3">
        <v>74950</v>
      </c>
      <c r="P5259" s="3">
        <v>21167</v>
      </c>
      <c r="Q5259" s="5">
        <f t="shared" si="246"/>
        <v>62983.193277310929</v>
      </c>
      <c r="R5259" s="5">
        <f t="shared" si="247"/>
        <v>21167</v>
      </c>
      <c r="S5259" s="5">
        <f t="shared" si="248"/>
        <v>41816.193277310929</v>
      </c>
    </row>
    <row r="5260" spans="1:19" hidden="1" x14ac:dyDescent="0.3">
      <c r="A5260">
        <v>190</v>
      </c>
      <c r="B5260" t="s">
        <v>5801</v>
      </c>
      <c r="C5260" t="s">
        <v>3294</v>
      </c>
      <c r="D5260" s="2" t="s">
        <v>3295</v>
      </c>
      <c r="E5260" t="s">
        <v>3296</v>
      </c>
      <c r="F5260" t="s">
        <v>377</v>
      </c>
      <c r="G5260" t="s">
        <v>21</v>
      </c>
      <c r="H5260" t="s">
        <v>378</v>
      </c>
      <c r="I5260" t="s">
        <v>23</v>
      </c>
      <c r="J5260" t="s">
        <v>3297</v>
      </c>
      <c r="K5260" s="2" t="s">
        <v>3310</v>
      </c>
      <c r="L5260" t="s">
        <v>26</v>
      </c>
      <c r="M5260">
        <v>326971</v>
      </c>
      <c r="N5260">
        <v>1</v>
      </c>
      <c r="O5260">
        <v>500</v>
      </c>
      <c r="P5260">
        <v>358</v>
      </c>
      <c r="Q5260" s="5">
        <f t="shared" si="246"/>
        <v>420.1680672268908</v>
      </c>
      <c r="R5260" s="5">
        <f t="shared" si="247"/>
        <v>358</v>
      </c>
      <c r="S5260" s="5">
        <f t="shared" si="248"/>
        <v>62.168067226890798</v>
      </c>
    </row>
    <row r="5261" spans="1:19" hidden="1" x14ac:dyDescent="0.3">
      <c r="A5261">
        <v>190</v>
      </c>
      <c r="B5261" t="s">
        <v>5801</v>
      </c>
      <c r="C5261" t="s">
        <v>4797</v>
      </c>
      <c r="D5261" s="2" t="s">
        <v>4798</v>
      </c>
      <c r="E5261" t="s">
        <v>3168</v>
      </c>
      <c r="F5261" t="s">
        <v>20</v>
      </c>
      <c r="G5261" t="s">
        <v>338</v>
      </c>
      <c r="H5261">
        <v>23731</v>
      </c>
      <c r="I5261" t="s">
        <v>23</v>
      </c>
      <c r="J5261" t="s">
        <v>40</v>
      </c>
      <c r="K5261" s="2" t="s">
        <v>3310</v>
      </c>
      <c r="L5261" t="s">
        <v>26</v>
      </c>
      <c r="M5261">
        <v>326972</v>
      </c>
      <c r="N5261">
        <v>1</v>
      </c>
      <c r="O5261" s="3">
        <v>69950</v>
      </c>
      <c r="P5261" s="3">
        <v>23119</v>
      </c>
      <c r="Q5261" s="5">
        <f t="shared" si="246"/>
        <v>58781.512605042022</v>
      </c>
      <c r="R5261" s="5">
        <f t="shared" si="247"/>
        <v>23119</v>
      </c>
      <c r="S5261" s="5">
        <f t="shared" si="248"/>
        <v>35662.512605042022</v>
      </c>
    </row>
    <row r="5262" spans="1:19" hidden="1" x14ac:dyDescent="0.3">
      <c r="A5262">
        <v>190</v>
      </c>
      <c r="B5262" t="s">
        <v>5801</v>
      </c>
      <c r="C5262" t="s">
        <v>3294</v>
      </c>
      <c r="D5262" s="2" t="s">
        <v>3295</v>
      </c>
      <c r="E5262" t="s">
        <v>3296</v>
      </c>
      <c r="F5262" t="s">
        <v>377</v>
      </c>
      <c r="G5262" t="s">
        <v>21</v>
      </c>
      <c r="H5262" t="s">
        <v>378</v>
      </c>
      <c r="I5262" t="s">
        <v>23</v>
      </c>
      <c r="J5262" t="s">
        <v>3297</v>
      </c>
      <c r="K5262" s="2" t="s">
        <v>3310</v>
      </c>
      <c r="L5262" t="s">
        <v>26</v>
      </c>
      <c r="M5262">
        <v>326972</v>
      </c>
      <c r="N5262">
        <v>1</v>
      </c>
      <c r="O5262">
        <v>500</v>
      </c>
      <c r="P5262">
        <v>358</v>
      </c>
      <c r="Q5262" s="5">
        <f t="shared" si="246"/>
        <v>420.1680672268908</v>
      </c>
      <c r="R5262" s="5">
        <f t="shared" si="247"/>
        <v>358</v>
      </c>
      <c r="S5262" s="5">
        <f t="shared" si="248"/>
        <v>62.168067226890798</v>
      </c>
    </row>
    <row r="5263" spans="1:19" hidden="1" x14ac:dyDescent="0.3">
      <c r="A5263">
        <v>190</v>
      </c>
      <c r="B5263" t="s">
        <v>5801</v>
      </c>
      <c r="C5263" t="s">
        <v>4987</v>
      </c>
      <c r="D5263" s="2" t="s">
        <v>4988</v>
      </c>
      <c r="E5263" t="s">
        <v>3350</v>
      </c>
      <c r="F5263" t="s">
        <v>20</v>
      </c>
      <c r="G5263" t="s">
        <v>21</v>
      </c>
      <c r="H5263" t="s">
        <v>3351</v>
      </c>
      <c r="I5263" t="s">
        <v>23</v>
      </c>
      <c r="J5263" t="s">
        <v>40</v>
      </c>
      <c r="K5263" s="2" t="s">
        <v>3310</v>
      </c>
      <c r="L5263" t="s">
        <v>26</v>
      </c>
      <c r="M5263">
        <v>326973</v>
      </c>
      <c r="N5263">
        <v>1</v>
      </c>
      <c r="O5263" s="3">
        <v>79950</v>
      </c>
      <c r="P5263" s="3">
        <v>28869</v>
      </c>
      <c r="Q5263" s="5">
        <f t="shared" si="246"/>
        <v>67184.873949579836</v>
      </c>
      <c r="R5263" s="5">
        <f t="shared" si="247"/>
        <v>28869</v>
      </c>
      <c r="S5263" s="5">
        <f t="shared" si="248"/>
        <v>38315.873949579836</v>
      </c>
    </row>
    <row r="5264" spans="1:19" hidden="1" x14ac:dyDescent="0.3">
      <c r="A5264">
        <v>190</v>
      </c>
      <c r="B5264" t="s">
        <v>5801</v>
      </c>
      <c r="C5264" t="s">
        <v>4677</v>
      </c>
      <c r="D5264" s="2" t="s">
        <v>4678</v>
      </c>
      <c r="E5264" t="s">
        <v>266</v>
      </c>
      <c r="F5264" t="s">
        <v>20</v>
      </c>
      <c r="G5264" t="s">
        <v>21</v>
      </c>
      <c r="H5264" t="s">
        <v>267</v>
      </c>
      <c r="I5264" t="s">
        <v>23</v>
      </c>
      <c r="J5264" t="s">
        <v>49</v>
      </c>
      <c r="K5264" s="2" t="s">
        <v>3310</v>
      </c>
      <c r="L5264" t="s">
        <v>26</v>
      </c>
      <c r="M5264">
        <v>326974</v>
      </c>
      <c r="N5264">
        <v>-1</v>
      </c>
      <c r="O5264" s="3">
        <v>-64950</v>
      </c>
      <c r="P5264" s="3">
        <v>24504</v>
      </c>
      <c r="Q5264" s="5">
        <f t="shared" si="246"/>
        <v>-54579.831932773115</v>
      </c>
      <c r="R5264" s="5">
        <f t="shared" si="247"/>
        <v>-24504</v>
      </c>
      <c r="S5264" s="5">
        <f t="shared" si="248"/>
        <v>-30075.831932773115</v>
      </c>
    </row>
    <row r="5265" spans="1:19" hidden="1" x14ac:dyDescent="0.3">
      <c r="A5265">
        <v>190</v>
      </c>
      <c r="B5265" t="s">
        <v>5801</v>
      </c>
      <c r="C5265" t="s">
        <v>3643</v>
      </c>
      <c r="D5265" s="2" t="s">
        <v>3644</v>
      </c>
      <c r="E5265" t="s">
        <v>3277</v>
      </c>
      <c r="F5265" t="s">
        <v>20</v>
      </c>
      <c r="G5265" t="s">
        <v>21</v>
      </c>
      <c r="H5265" t="s">
        <v>57</v>
      </c>
      <c r="I5265" t="s">
        <v>23</v>
      </c>
      <c r="J5265" t="s">
        <v>35</v>
      </c>
      <c r="K5265" s="2" t="s">
        <v>3310</v>
      </c>
      <c r="L5265" t="s">
        <v>26</v>
      </c>
      <c r="M5265">
        <v>326974</v>
      </c>
      <c r="N5265">
        <v>1</v>
      </c>
      <c r="O5265" s="3">
        <v>89950</v>
      </c>
      <c r="P5265" s="3">
        <v>30749</v>
      </c>
      <c r="Q5265" s="5">
        <f t="shared" si="246"/>
        <v>75588.23529411765</v>
      </c>
      <c r="R5265" s="5">
        <f t="shared" si="247"/>
        <v>30749</v>
      </c>
      <c r="S5265" s="5">
        <f t="shared" si="248"/>
        <v>44839.23529411765</v>
      </c>
    </row>
    <row r="5266" spans="1:19" hidden="1" x14ac:dyDescent="0.3">
      <c r="A5266">
        <v>190</v>
      </c>
      <c r="B5266" t="s">
        <v>5801</v>
      </c>
      <c r="C5266" t="s">
        <v>4239</v>
      </c>
      <c r="D5266" s="2" t="s">
        <v>4240</v>
      </c>
      <c r="E5266" t="s">
        <v>2539</v>
      </c>
      <c r="F5266" t="s">
        <v>20</v>
      </c>
      <c r="G5266" t="s">
        <v>21</v>
      </c>
      <c r="H5266" t="s">
        <v>966</v>
      </c>
      <c r="I5266" t="s">
        <v>23</v>
      </c>
      <c r="J5266" t="s">
        <v>35</v>
      </c>
      <c r="K5266" s="2" t="s">
        <v>3310</v>
      </c>
      <c r="L5266" t="s">
        <v>26</v>
      </c>
      <c r="M5266">
        <v>326975</v>
      </c>
      <c r="N5266">
        <v>1</v>
      </c>
      <c r="O5266" s="3">
        <v>74950</v>
      </c>
      <c r="P5266" s="3">
        <v>26729</v>
      </c>
      <c r="Q5266" s="5">
        <f t="shared" si="246"/>
        <v>62983.193277310929</v>
      </c>
      <c r="R5266" s="5">
        <f t="shared" si="247"/>
        <v>26729</v>
      </c>
      <c r="S5266" s="5">
        <f t="shared" si="248"/>
        <v>36254.193277310929</v>
      </c>
    </row>
    <row r="5267" spans="1:19" hidden="1" x14ac:dyDescent="0.3">
      <c r="A5267">
        <v>190</v>
      </c>
      <c r="B5267" t="s">
        <v>5801</v>
      </c>
      <c r="C5267" t="s">
        <v>6055</v>
      </c>
      <c r="D5267" s="2" t="s">
        <v>6056</v>
      </c>
      <c r="E5267" t="s">
        <v>3421</v>
      </c>
      <c r="F5267" t="s">
        <v>20</v>
      </c>
      <c r="G5267" t="s">
        <v>21</v>
      </c>
      <c r="H5267" t="s">
        <v>1755</v>
      </c>
      <c r="I5267" t="s">
        <v>23</v>
      </c>
      <c r="J5267" t="s">
        <v>35</v>
      </c>
      <c r="K5267" s="2" t="s">
        <v>3310</v>
      </c>
      <c r="L5267" t="s">
        <v>26</v>
      </c>
      <c r="M5267">
        <v>326976</v>
      </c>
      <c r="N5267">
        <v>1</v>
      </c>
      <c r="O5267" s="3">
        <v>59990</v>
      </c>
      <c r="P5267" s="3">
        <v>28298</v>
      </c>
      <c r="Q5267" s="5">
        <f t="shared" si="246"/>
        <v>50411.764705882357</v>
      </c>
      <c r="R5267" s="5">
        <f t="shared" si="247"/>
        <v>28298</v>
      </c>
      <c r="S5267" s="5">
        <f t="shared" si="248"/>
        <v>22113.764705882357</v>
      </c>
    </row>
    <row r="5268" spans="1:19" hidden="1" x14ac:dyDescent="0.3">
      <c r="A5268">
        <v>190</v>
      </c>
      <c r="B5268" t="s">
        <v>5801</v>
      </c>
      <c r="C5268" t="s">
        <v>1105</v>
      </c>
      <c r="D5268" s="2" t="s">
        <v>1106</v>
      </c>
      <c r="E5268" t="s">
        <v>316</v>
      </c>
      <c r="F5268" t="s">
        <v>20</v>
      </c>
      <c r="G5268" t="s">
        <v>21</v>
      </c>
      <c r="H5268" t="s">
        <v>317</v>
      </c>
      <c r="I5268" t="s">
        <v>23</v>
      </c>
      <c r="J5268" t="s">
        <v>35</v>
      </c>
      <c r="K5268" s="2" t="s">
        <v>3310</v>
      </c>
      <c r="L5268" t="s">
        <v>26</v>
      </c>
      <c r="M5268">
        <v>326977</v>
      </c>
      <c r="N5268">
        <v>1</v>
      </c>
      <c r="O5268" s="3">
        <v>69950</v>
      </c>
      <c r="P5268" s="3">
        <v>24908</v>
      </c>
      <c r="Q5268" s="5">
        <f t="shared" si="246"/>
        <v>58781.512605042022</v>
      </c>
      <c r="R5268" s="5">
        <f t="shared" si="247"/>
        <v>24908</v>
      </c>
      <c r="S5268" s="5">
        <f t="shared" si="248"/>
        <v>33873.512605042022</v>
      </c>
    </row>
    <row r="5269" spans="1:19" hidden="1" x14ac:dyDescent="0.3">
      <c r="A5269">
        <v>190</v>
      </c>
      <c r="B5269" t="s">
        <v>5801</v>
      </c>
      <c r="C5269" t="s">
        <v>3294</v>
      </c>
      <c r="D5269" s="2" t="s">
        <v>3295</v>
      </c>
      <c r="E5269" t="s">
        <v>3296</v>
      </c>
      <c r="F5269" t="s">
        <v>377</v>
      </c>
      <c r="G5269" t="s">
        <v>21</v>
      </c>
      <c r="H5269" t="s">
        <v>378</v>
      </c>
      <c r="I5269" t="s">
        <v>23</v>
      </c>
      <c r="J5269" t="s">
        <v>3297</v>
      </c>
      <c r="K5269" s="2" t="s">
        <v>3310</v>
      </c>
      <c r="L5269" t="s">
        <v>26</v>
      </c>
      <c r="M5269">
        <v>326977</v>
      </c>
      <c r="N5269">
        <v>1</v>
      </c>
      <c r="O5269">
        <v>500</v>
      </c>
      <c r="P5269">
        <v>358</v>
      </c>
      <c r="Q5269" s="5">
        <f t="shared" si="246"/>
        <v>420.1680672268908</v>
      </c>
      <c r="R5269" s="5">
        <f t="shared" si="247"/>
        <v>358</v>
      </c>
      <c r="S5269" s="5">
        <f t="shared" si="248"/>
        <v>62.168067226890798</v>
      </c>
    </row>
    <row r="5270" spans="1:19" hidden="1" x14ac:dyDescent="0.3">
      <c r="A5270">
        <v>190</v>
      </c>
      <c r="B5270" t="s">
        <v>5801</v>
      </c>
      <c r="C5270" t="s">
        <v>2900</v>
      </c>
      <c r="D5270" s="2" t="s">
        <v>2901</v>
      </c>
      <c r="E5270" t="s">
        <v>2902</v>
      </c>
      <c r="F5270" t="s">
        <v>20</v>
      </c>
      <c r="G5270" t="s">
        <v>21</v>
      </c>
      <c r="H5270" t="s">
        <v>267</v>
      </c>
      <c r="I5270" t="s">
        <v>23</v>
      </c>
      <c r="J5270" t="s">
        <v>49</v>
      </c>
      <c r="K5270" s="2" t="s">
        <v>3310</v>
      </c>
      <c r="L5270" t="s">
        <v>26</v>
      </c>
      <c r="M5270">
        <v>326978</v>
      </c>
      <c r="N5270">
        <v>1</v>
      </c>
      <c r="O5270" s="3">
        <v>64950</v>
      </c>
      <c r="P5270" s="3">
        <v>24504</v>
      </c>
      <c r="Q5270" s="5">
        <f t="shared" si="246"/>
        <v>54579.831932773115</v>
      </c>
      <c r="R5270" s="5">
        <f t="shared" si="247"/>
        <v>24504</v>
      </c>
      <c r="S5270" s="5">
        <f t="shared" si="248"/>
        <v>30075.831932773115</v>
      </c>
    </row>
    <row r="5271" spans="1:19" hidden="1" x14ac:dyDescent="0.3">
      <c r="A5271">
        <v>190</v>
      </c>
      <c r="B5271" t="s">
        <v>5801</v>
      </c>
      <c r="C5271" t="s">
        <v>2258</v>
      </c>
      <c r="D5271" s="2" t="s">
        <v>2259</v>
      </c>
      <c r="E5271" t="s">
        <v>2252</v>
      </c>
      <c r="F5271" t="s">
        <v>20</v>
      </c>
      <c r="G5271" t="s">
        <v>21</v>
      </c>
      <c r="H5271" t="s">
        <v>970</v>
      </c>
      <c r="I5271" t="s">
        <v>23</v>
      </c>
      <c r="J5271" t="s">
        <v>40</v>
      </c>
      <c r="K5271" s="2" t="s">
        <v>3310</v>
      </c>
      <c r="L5271" t="s">
        <v>26</v>
      </c>
      <c r="M5271">
        <v>326979</v>
      </c>
      <c r="N5271">
        <v>1</v>
      </c>
      <c r="O5271" s="3">
        <v>59950</v>
      </c>
      <c r="P5271" s="3">
        <v>15928</v>
      </c>
      <c r="Q5271" s="5">
        <f t="shared" si="246"/>
        <v>50378.151260504201</v>
      </c>
      <c r="R5271" s="5">
        <f t="shared" si="247"/>
        <v>15928</v>
      </c>
      <c r="S5271" s="5">
        <f t="shared" si="248"/>
        <v>34450.151260504201</v>
      </c>
    </row>
    <row r="5272" spans="1:19" hidden="1" x14ac:dyDescent="0.3">
      <c r="A5272">
        <v>190</v>
      </c>
      <c r="B5272" t="s">
        <v>5801</v>
      </c>
      <c r="C5272" t="s">
        <v>3973</v>
      </c>
      <c r="D5272" s="2" t="s">
        <v>3974</v>
      </c>
      <c r="E5272" t="s">
        <v>3068</v>
      </c>
      <c r="F5272" t="s">
        <v>20</v>
      </c>
      <c r="G5272" t="s">
        <v>21</v>
      </c>
      <c r="H5272" t="s">
        <v>1286</v>
      </c>
      <c r="I5272" t="s">
        <v>23</v>
      </c>
      <c r="J5272" t="s">
        <v>40</v>
      </c>
      <c r="K5272" s="2" t="s">
        <v>3310</v>
      </c>
      <c r="L5272" t="s">
        <v>26</v>
      </c>
      <c r="M5272">
        <v>326980</v>
      </c>
      <c r="N5272">
        <v>1</v>
      </c>
      <c r="O5272" s="3">
        <v>69950</v>
      </c>
      <c r="P5272" s="3">
        <v>19604</v>
      </c>
      <c r="Q5272" s="5">
        <f t="shared" si="246"/>
        <v>58781.512605042022</v>
      </c>
      <c r="R5272" s="5">
        <f t="shared" si="247"/>
        <v>19604</v>
      </c>
      <c r="S5272" s="5">
        <f t="shared" si="248"/>
        <v>39177.512605042022</v>
      </c>
    </row>
    <row r="5273" spans="1:19" hidden="1" x14ac:dyDescent="0.3">
      <c r="A5273">
        <v>190</v>
      </c>
      <c r="B5273" t="s">
        <v>5801</v>
      </c>
      <c r="C5273" t="s">
        <v>3294</v>
      </c>
      <c r="D5273" s="2" t="s">
        <v>3295</v>
      </c>
      <c r="E5273" t="s">
        <v>3296</v>
      </c>
      <c r="F5273" t="s">
        <v>377</v>
      </c>
      <c r="G5273" t="s">
        <v>21</v>
      </c>
      <c r="H5273" t="s">
        <v>378</v>
      </c>
      <c r="I5273" t="s">
        <v>23</v>
      </c>
      <c r="J5273" t="s">
        <v>3297</v>
      </c>
      <c r="K5273" s="2" t="s">
        <v>3310</v>
      </c>
      <c r="L5273" t="s">
        <v>26</v>
      </c>
      <c r="M5273">
        <v>326980</v>
      </c>
      <c r="N5273">
        <v>1</v>
      </c>
      <c r="O5273">
        <v>500</v>
      </c>
      <c r="P5273">
        <v>358</v>
      </c>
      <c r="Q5273" s="5">
        <f t="shared" si="246"/>
        <v>420.1680672268908</v>
      </c>
      <c r="R5273" s="5">
        <f t="shared" si="247"/>
        <v>358</v>
      </c>
      <c r="S5273" s="5">
        <f t="shared" si="248"/>
        <v>62.168067226890798</v>
      </c>
    </row>
    <row r="5274" spans="1:19" hidden="1" x14ac:dyDescent="0.3">
      <c r="A5274">
        <v>190</v>
      </c>
      <c r="B5274" t="s">
        <v>5801</v>
      </c>
      <c r="C5274" t="s">
        <v>4194</v>
      </c>
      <c r="D5274" s="2" t="s">
        <v>4195</v>
      </c>
      <c r="E5274" t="s">
        <v>4196</v>
      </c>
      <c r="F5274" t="s">
        <v>377</v>
      </c>
      <c r="G5274" t="s">
        <v>21</v>
      </c>
      <c r="H5274" t="s">
        <v>378</v>
      </c>
      <c r="I5274" t="s">
        <v>23</v>
      </c>
      <c r="J5274" t="s">
        <v>379</v>
      </c>
      <c r="K5274" s="2" t="s">
        <v>3310</v>
      </c>
      <c r="L5274" t="s">
        <v>26</v>
      </c>
      <c r="M5274">
        <v>326981</v>
      </c>
      <c r="N5274">
        <v>1</v>
      </c>
      <c r="O5274" s="3">
        <v>6950</v>
      </c>
      <c r="P5274" s="3">
        <v>3541</v>
      </c>
      <c r="Q5274" s="5">
        <f t="shared" si="246"/>
        <v>5840.3361344537816</v>
      </c>
      <c r="R5274" s="5">
        <f t="shared" si="247"/>
        <v>3541</v>
      </c>
      <c r="S5274" s="5">
        <f t="shared" si="248"/>
        <v>2299.3361344537816</v>
      </c>
    </row>
    <row r="5275" spans="1:19" hidden="1" x14ac:dyDescent="0.3">
      <c r="A5275">
        <v>190</v>
      </c>
      <c r="B5275" t="s">
        <v>5801</v>
      </c>
      <c r="C5275" t="s">
        <v>4760</v>
      </c>
      <c r="D5275" s="2" t="s">
        <v>4761</v>
      </c>
      <c r="E5275" t="s">
        <v>2561</v>
      </c>
      <c r="F5275" t="s">
        <v>20</v>
      </c>
      <c r="G5275" t="s">
        <v>21</v>
      </c>
      <c r="H5275" t="s">
        <v>1914</v>
      </c>
      <c r="I5275" t="s">
        <v>23</v>
      </c>
      <c r="J5275" t="s">
        <v>35</v>
      </c>
      <c r="K5275" s="2" t="s">
        <v>3310</v>
      </c>
      <c r="L5275" t="s">
        <v>26</v>
      </c>
      <c r="M5275">
        <v>326982</v>
      </c>
      <c r="N5275">
        <v>1</v>
      </c>
      <c r="O5275" s="3">
        <v>69990</v>
      </c>
      <c r="P5275" s="3">
        <v>28298</v>
      </c>
      <c r="Q5275" s="5">
        <f t="shared" si="246"/>
        <v>58815.126050420171</v>
      </c>
      <c r="R5275" s="5">
        <f t="shared" si="247"/>
        <v>28298</v>
      </c>
      <c r="S5275" s="5">
        <f t="shared" si="248"/>
        <v>30517.126050420171</v>
      </c>
    </row>
    <row r="5276" spans="1:19" hidden="1" x14ac:dyDescent="0.3">
      <c r="A5276">
        <v>190</v>
      </c>
      <c r="B5276" t="s">
        <v>5801</v>
      </c>
      <c r="C5276" t="s">
        <v>3341</v>
      </c>
      <c r="D5276" s="2" t="s">
        <v>3342</v>
      </c>
      <c r="E5276" t="s">
        <v>2661</v>
      </c>
      <c r="F5276" t="s">
        <v>20</v>
      </c>
      <c r="G5276" t="s">
        <v>21</v>
      </c>
      <c r="H5276" t="s">
        <v>317</v>
      </c>
      <c r="I5276" t="s">
        <v>23</v>
      </c>
      <c r="J5276" t="s">
        <v>35</v>
      </c>
      <c r="K5276" s="2" t="s">
        <v>3310</v>
      </c>
      <c r="L5276" t="s">
        <v>26</v>
      </c>
      <c r="M5276">
        <v>326983</v>
      </c>
      <c r="N5276">
        <v>1</v>
      </c>
      <c r="O5276" s="3">
        <v>69950</v>
      </c>
      <c r="P5276" s="3">
        <v>25924</v>
      </c>
      <c r="Q5276" s="5">
        <f t="shared" si="246"/>
        <v>58781.512605042022</v>
      </c>
      <c r="R5276" s="5">
        <f t="shared" si="247"/>
        <v>25924</v>
      </c>
      <c r="S5276" s="5">
        <f t="shared" si="248"/>
        <v>32857.512605042022</v>
      </c>
    </row>
    <row r="5277" spans="1:19" hidden="1" x14ac:dyDescent="0.3">
      <c r="A5277">
        <v>190</v>
      </c>
      <c r="B5277" t="s">
        <v>5801</v>
      </c>
      <c r="C5277" t="s">
        <v>2547</v>
      </c>
      <c r="D5277" s="2" t="s">
        <v>2548</v>
      </c>
      <c r="E5277" t="s">
        <v>2549</v>
      </c>
      <c r="F5277" t="s">
        <v>20</v>
      </c>
      <c r="G5277" t="s">
        <v>338</v>
      </c>
      <c r="H5277">
        <v>23755</v>
      </c>
      <c r="I5277" t="s">
        <v>23</v>
      </c>
      <c r="J5277" t="s">
        <v>40</v>
      </c>
      <c r="K5277" s="2" t="s">
        <v>3310</v>
      </c>
      <c r="L5277" t="s">
        <v>26</v>
      </c>
      <c r="M5277">
        <v>326984</v>
      </c>
      <c r="N5277">
        <v>1</v>
      </c>
      <c r="O5277" s="3">
        <v>74950</v>
      </c>
      <c r="P5277" s="3">
        <v>24718</v>
      </c>
      <c r="Q5277" s="5">
        <f t="shared" si="246"/>
        <v>62983.193277310929</v>
      </c>
      <c r="R5277" s="5">
        <f t="shared" si="247"/>
        <v>24718</v>
      </c>
      <c r="S5277" s="5">
        <f t="shared" si="248"/>
        <v>38265.193277310929</v>
      </c>
    </row>
    <row r="5278" spans="1:19" hidden="1" x14ac:dyDescent="0.3">
      <c r="A5278">
        <v>190</v>
      </c>
      <c r="B5278" t="s">
        <v>5801</v>
      </c>
      <c r="C5278" t="s">
        <v>3294</v>
      </c>
      <c r="D5278" s="2" t="s">
        <v>3295</v>
      </c>
      <c r="E5278" t="s">
        <v>3296</v>
      </c>
      <c r="F5278" t="s">
        <v>377</v>
      </c>
      <c r="G5278" t="s">
        <v>21</v>
      </c>
      <c r="H5278" t="s">
        <v>378</v>
      </c>
      <c r="I5278" t="s">
        <v>23</v>
      </c>
      <c r="J5278" t="s">
        <v>3297</v>
      </c>
      <c r="K5278" s="2" t="s">
        <v>3310</v>
      </c>
      <c r="L5278" t="s">
        <v>26</v>
      </c>
      <c r="M5278">
        <v>326984</v>
      </c>
      <c r="N5278">
        <v>1</v>
      </c>
      <c r="O5278">
        <v>500</v>
      </c>
      <c r="P5278">
        <v>358</v>
      </c>
      <c r="Q5278" s="5">
        <f t="shared" si="246"/>
        <v>420.1680672268908</v>
      </c>
      <c r="R5278" s="5">
        <f t="shared" si="247"/>
        <v>358</v>
      </c>
      <c r="S5278" s="5">
        <f t="shared" si="248"/>
        <v>62.168067226890798</v>
      </c>
    </row>
    <row r="5279" spans="1:19" hidden="1" x14ac:dyDescent="0.3">
      <c r="A5279">
        <v>190</v>
      </c>
      <c r="B5279" t="s">
        <v>5801</v>
      </c>
      <c r="C5279" t="s">
        <v>6075</v>
      </c>
      <c r="D5279" s="2" t="s">
        <v>6076</v>
      </c>
      <c r="E5279" t="s">
        <v>3096</v>
      </c>
      <c r="F5279" t="s">
        <v>20</v>
      </c>
      <c r="G5279" t="s">
        <v>21</v>
      </c>
      <c r="H5279" t="s">
        <v>991</v>
      </c>
      <c r="I5279" t="s">
        <v>23</v>
      </c>
      <c r="J5279" t="s">
        <v>49</v>
      </c>
      <c r="K5279" s="2" t="s">
        <v>1958</v>
      </c>
      <c r="L5279" t="s">
        <v>26</v>
      </c>
      <c r="M5279">
        <v>326985</v>
      </c>
      <c r="N5279">
        <v>1</v>
      </c>
      <c r="O5279" s="3">
        <v>54990</v>
      </c>
      <c r="P5279" s="3">
        <v>21201</v>
      </c>
      <c r="Q5279" s="5">
        <f t="shared" si="246"/>
        <v>46210.08403361345</v>
      </c>
      <c r="R5279" s="5">
        <f t="shared" si="247"/>
        <v>21201</v>
      </c>
      <c r="S5279" s="5">
        <f t="shared" si="248"/>
        <v>25009.08403361345</v>
      </c>
    </row>
    <row r="5280" spans="1:19" hidden="1" x14ac:dyDescent="0.3">
      <c r="A5280">
        <v>190</v>
      </c>
      <c r="B5280" t="s">
        <v>5801</v>
      </c>
      <c r="C5280" t="s">
        <v>5402</v>
      </c>
      <c r="D5280" s="2" t="s">
        <v>5403</v>
      </c>
      <c r="E5280" t="s">
        <v>3666</v>
      </c>
      <c r="F5280" t="s">
        <v>20</v>
      </c>
      <c r="G5280" t="s">
        <v>338</v>
      </c>
      <c r="H5280">
        <v>24316</v>
      </c>
      <c r="I5280" t="s">
        <v>23</v>
      </c>
      <c r="J5280" t="s">
        <v>49</v>
      </c>
      <c r="K5280" s="2" t="s">
        <v>1958</v>
      </c>
      <c r="L5280" t="s">
        <v>26</v>
      </c>
      <c r="M5280">
        <v>326985</v>
      </c>
      <c r="N5280">
        <v>1</v>
      </c>
      <c r="O5280" s="3">
        <v>63700</v>
      </c>
      <c r="P5280" s="3">
        <v>23473</v>
      </c>
      <c r="Q5280" s="5">
        <f t="shared" si="246"/>
        <v>53529.411764705888</v>
      </c>
      <c r="R5280" s="5">
        <f t="shared" si="247"/>
        <v>23473</v>
      </c>
      <c r="S5280" s="5">
        <f t="shared" si="248"/>
        <v>30056.411764705888</v>
      </c>
    </row>
    <row r="5281" spans="1:19" hidden="1" x14ac:dyDescent="0.3">
      <c r="A5281">
        <v>190</v>
      </c>
      <c r="B5281" t="s">
        <v>5801</v>
      </c>
      <c r="C5281" t="s">
        <v>4114</v>
      </c>
      <c r="D5281" s="2" t="s">
        <v>4115</v>
      </c>
      <c r="E5281" t="s">
        <v>3914</v>
      </c>
      <c r="F5281" t="s">
        <v>20</v>
      </c>
      <c r="G5281" t="s">
        <v>338</v>
      </c>
      <c r="H5281">
        <v>24316</v>
      </c>
      <c r="I5281" t="s">
        <v>23</v>
      </c>
      <c r="J5281" t="s">
        <v>49</v>
      </c>
      <c r="K5281" s="2" t="s">
        <v>1958</v>
      </c>
      <c r="L5281" t="s">
        <v>26</v>
      </c>
      <c r="M5281">
        <v>326985</v>
      </c>
      <c r="N5281">
        <v>1</v>
      </c>
      <c r="O5281" s="3">
        <v>74950</v>
      </c>
      <c r="P5281" s="3">
        <v>23473</v>
      </c>
      <c r="Q5281" s="5">
        <f t="shared" si="246"/>
        <v>62983.193277310929</v>
      </c>
      <c r="R5281" s="5">
        <f t="shared" si="247"/>
        <v>23473</v>
      </c>
      <c r="S5281" s="5">
        <f t="shared" si="248"/>
        <v>39510.193277310929</v>
      </c>
    </row>
    <row r="5282" spans="1:19" hidden="1" x14ac:dyDescent="0.3">
      <c r="A5282">
        <v>190</v>
      </c>
      <c r="B5282" t="s">
        <v>5801</v>
      </c>
      <c r="C5282" t="s">
        <v>492</v>
      </c>
      <c r="D5282" s="2" t="s">
        <v>493</v>
      </c>
      <c r="E5282" t="s">
        <v>494</v>
      </c>
      <c r="F5282" t="s">
        <v>20</v>
      </c>
      <c r="G5282" t="s">
        <v>21</v>
      </c>
      <c r="H5282" t="s">
        <v>317</v>
      </c>
      <c r="I5282" t="s">
        <v>23</v>
      </c>
      <c r="J5282" t="s">
        <v>35</v>
      </c>
      <c r="K5282" s="2" t="s">
        <v>1958</v>
      </c>
      <c r="L5282" t="s">
        <v>26</v>
      </c>
      <c r="M5282">
        <v>326986</v>
      </c>
      <c r="N5282">
        <v>1</v>
      </c>
      <c r="O5282" s="3">
        <v>69950</v>
      </c>
      <c r="P5282" s="3">
        <v>23619</v>
      </c>
      <c r="Q5282" s="5">
        <f t="shared" si="246"/>
        <v>58781.512605042022</v>
      </c>
      <c r="R5282" s="5">
        <f t="shared" si="247"/>
        <v>23619</v>
      </c>
      <c r="S5282" s="5">
        <f t="shared" si="248"/>
        <v>35162.512605042022</v>
      </c>
    </row>
    <row r="5283" spans="1:19" hidden="1" x14ac:dyDescent="0.3">
      <c r="A5283">
        <v>190</v>
      </c>
      <c r="B5283" t="s">
        <v>5801</v>
      </c>
      <c r="C5283" t="s">
        <v>3294</v>
      </c>
      <c r="D5283" s="2" t="s">
        <v>3295</v>
      </c>
      <c r="E5283" t="s">
        <v>3296</v>
      </c>
      <c r="F5283" t="s">
        <v>377</v>
      </c>
      <c r="G5283" t="s">
        <v>21</v>
      </c>
      <c r="H5283" t="s">
        <v>378</v>
      </c>
      <c r="I5283" t="s">
        <v>23</v>
      </c>
      <c r="J5283" t="s">
        <v>3297</v>
      </c>
      <c r="K5283" s="2" t="s">
        <v>1958</v>
      </c>
      <c r="L5283" t="s">
        <v>26</v>
      </c>
      <c r="M5283">
        <v>326986</v>
      </c>
      <c r="N5283">
        <v>1</v>
      </c>
      <c r="O5283">
        <v>500</v>
      </c>
      <c r="P5283">
        <v>358</v>
      </c>
      <c r="Q5283" s="5">
        <f t="shared" si="246"/>
        <v>420.1680672268908</v>
      </c>
      <c r="R5283" s="5">
        <f t="shared" si="247"/>
        <v>358</v>
      </c>
      <c r="S5283" s="5">
        <f t="shared" si="248"/>
        <v>62.168067226890798</v>
      </c>
    </row>
    <row r="5284" spans="1:19" hidden="1" x14ac:dyDescent="0.3">
      <c r="A5284">
        <v>190</v>
      </c>
      <c r="B5284" t="s">
        <v>5801</v>
      </c>
      <c r="C5284" t="s">
        <v>2659</v>
      </c>
      <c r="D5284" s="2" t="s">
        <v>2660</v>
      </c>
      <c r="E5284" t="s">
        <v>2661</v>
      </c>
      <c r="F5284" t="s">
        <v>20</v>
      </c>
      <c r="G5284" t="s">
        <v>21</v>
      </c>
      <c r="H5284" t="s">
        <v>317</v>
      </c>
      <c r="I5284" t="s">
        <v>23</v>
      </c>
      <c r="J5284" t="s">
        <v>35</v>
      </c>
      <c r="K5284" s="2" t="s">
        <v>1958</v>
      </c>
      <c r="L5284" t="s">
        <v>26</v>
      </c>
      <c r="M5284">
        <v>326987</v>
      </c>
      <c r="N5284">
        <v>1</v>
      </c>
      <c r="O5284" s="3">
        <v>69950</v>
      </c>
      <c r="P5284" s="3">
        <v>25849</v>
      </c>
      <c r="Q5284" s="5">
        <f t="shared" si="246"/>
        <v>58781.512605042022</v>
      </c>
      <c r="R5284" s="5">
        <f t="shared" si="247"/>
        <v>25849</v>
      </c>
      <c r="S5284" s="5">
        <f t="shared" si="248"/>
        <v>32932.512605042022</v>
      </c>
    </row>
    <row r="5285" spans="1:19" hidden="1" x14ac:dyDescent="0.3">
      <c r="A5285">
        <v>190</v>
      </c>
      <c r="B5285" t="s">
        <v>5801</v>
      </c>
      <c r="C5285" t="s">
        <v>2067</v>
      </c>
      <c r="D5285" s="2" t="s">
        <v>2068</v>
      </c>
      <c r="E5285" t="s">
        <v>2069</v>
      </c>
      <c r="F5285" t="s">
        <v>20</v>
      </c>
      <c r="G5285" t="s">
        <v>21</v>
      </c>
      <c r="H5285" t="s">
        <v>2070</v>
      </c>
      <c r="I5285" t="s">
        <v>23</v>
      </c>
      <c r="J5285" t="s">
        <v>35</v>
      </c>
      <c r="K5285" s="2" t="s">
        <v>1958</v>
      </c>
      <c r="L5285" t="s">
        <v>26</v>
      </c>
      <c r="M5285">
        <v>326988</v>
      </c>
      <c r="N5285">
        <v>1</v>
      </c>
      <c r="O5285" s="3">
        <v>89950</v>
      </c>
      <c r="P5285" s="3">
        <v>29635</v>
      </c>
      <c r="Q5285" s="5">
        <f t="shared" si="246"/>
        <v>75588.23529411765</v>
      </c>
      <c r="R5285" s="5">
        <f t="shared" si="247"/>
        <v>29635</v>
      </c>
      <c r="S5285" s="5">
        <f t="shared" si="248"/>
        <v>45953.23529411765</v>
      </c>
    </row>
    <row r="5286" spans="1:19" hidden="1" x14ac:dyDescent="0.3">
      <c r="A5286">
        <v>190</v>
      </c>
      <c r="B5286" t="s">
        <v>5801</v>
      </c>
      <c r="C5286" t="s">
        <v>6077</v>
      </c>
      <c r="D5286" s="2" t="s">
        <v>6078</v>
      </c>
      <c r="E5286" t="s">
        <v>4537</v>
      </c>
      <c r="F5286" t="s">
        <v>20</v>
      </c>
      <c r="G5286" t="s">
        <v>21</v>
      </c>
      <c r="H5286" t="s">
        <v>2759</v>
      </c>
      <c r="I5286" t="s">
        <v>23</v>
      </c>
      <c r="J5286" t="s">
        <v>49</v>
      </c>
      <c r="K5286" s="2" t="s">
        <v>1958</v>
      </c>
      <c r="L5286" t="s">
        <v>26</v>
      </c>
      <c r="M5286">
        <v>326989</v>
      </c>
      <c r="N5286">
        <v>1</v>
      </c>
      <c r="O5286" s="3">
        <v>79950</v>
      </c>
      <c r="P5286" s="3">
        <v>33441</v>
      </c>
      <c r="Q5286" s="5">
        <f t="shared" si="246"/>
        <v>67184.873949579836</v>
      </c>
      <c r="R5286" s="5">
        <f t="shared" si="247"/>
        <v>33441</v>
      </c>
      <c r="S5286" s="5">
        <f t="shared" si="248"/>
        <v>33743.873949579836</v>
      </c>
    </row>
    <row r="5287" spans="1:19" hidden="1" x14ac:dyDescent="0.3">
      <c r="A5287">
        <v>190</v>
      </c>
      <c r="B5287" t="s">
        <v>5801</v>
      </c>
      <c r="C5287" t="s">
        <v>3294</v>
      </c>
      <c r="D5287" s="2" t="s">
        <v>3295</v>
      </c>
      <c r="E5287" t="s">
        <v>3296</v>
      </c>
      <c r="F5287" t="s">
        <v>377</v>
      </c>
      <c r="G5287" t="s">
        <v>21</v>
      </c>
      <c r="H5287" t="s">
        <v>378</v>
      </c>
      <c r="I5287" t="s">
        <v>23</v>
      </c>
      <c r="J5287" t="s">
        <v>3297</v>
      </c>
      <c r="K5287" s="2" t="s">
        <v>1958</v>
      </c>
      <c r="L5287" t="s">
        <v>26</v>
      </c>
      <c r="M5287">
        <v>326989</v>
      </c>
      <c r="N5287">
        <v>1</v>
      </c>
      <c r="O5287">
        <v>500</v>
      </c>
      <c r="P5287">
        <v>358</v>
      </c>
      <c r="Q5287" s="5">
        <f t="shared" si="246"/>
        <v>420.1680672268908</v>
      </c>
      <c r="R5287" s="5">
        <f t="shared" si="247"/>
        <v>358</v>
      </c>
      <c r="S5287" s="5">
        <f t="shared" si="248"/>
        <v>62.168067226890798</v>
      </c>
    </row>
    <row r="5288" spans="1:19" hidden="1" x14ac:dyDescent="0.3">
      <c r="A5288">
        <v>190</v>
      </c>
      <c r="B5288" t="s">
        <v>5801</v>
      </c>
      <c r="C5288" t="s">
        <v>2097</v>
      </c>
      <c r="D5288" s="2" t="s">
        <v>2098</v>
      </c>
      <c r="E5288" t="s">
        <v>494</v>
      </c>
      <c r="F5288" t="s">
        <v>20</v>
      </c>
      <c r="G5288" t="s">
        <v>21</v>
      </c>
      <c r="H5288" t="s">
        <v>317</v>
      </c>
      <c r="I5288" t="s">
        <v>23</v>
      </c>
      <c r="J5288" t="s">
        <v>35</v>
      </c>
      <c r="K5288" s="2" t="s">
        <v>1958</v>
      </c>
      <c r="L5288" t="s">
        <v>26</v>
      </c>
      <c r="M5288">
        <v>326990</v>
      </c>
      <c r="N5288">
        <v>1</v>
      </c>
      <c r="O5288" s="3">
        <v>69950</v>
      </c>
      <c r="P5288" s="3">
        <v>23619</v>
      </c>
      <c r="Q5288" s="5">
        <f t="shared" si="246"/>
        <v>58781.512605042022</v>
      </c>
      <c r="R5288" s="5">
        <f t="shared" si="247"/>
        <v>23619</v>
      </c>
      <c r="S5288" s="5">
        <f t="shared" si="248"/>
        <v>35162.512605042022</v>
      </c>
    </row>
    <row r="5289" spans="1:19" hidden="1" x14ac:dyDescent="0.3">
      <c r="A5289">
        <v>190</v>
      </c>
      <c r="B5289" t="s">
        <v>5801</v>
      </c>
      <c r="C5289" t="s">
        <v>4737</v>
      </c>
      <c r="D5289" s="2" t="s">
        <v>4738</v>
      </c>
      <c r="E5289" t="s">
        <v>4739</v>
      </c>
      <c r="F5289" t="s">
        <v>20</v>
      </c>
      <c r="G5289" t="s">
        <v>338</v>
      </c>
      <c r="H5289">
        <v>83716</v>
      </c>
      <c r="I5289" t="s">
        <v>23</v>
      </c>
      <c r="J5289" t="s">
        <v>40</v>
      </c>
      <c r="K5289" s="2" t="s">
        <v>1958</v>
      </c>
      <c r="L5289" t="s">
        <v>26</v>
      </c>
      <c r="M5289">
        <v>326991</v>
      </c>
      <c r="N5289">
        <v>1</v>
      </c>
      <c r="O5289" s="3">
        <v>89950</v>
      </c>
      <c r="P5289" s="3">
        <v>30263</v>
      </c>
      <c r="Q5289" s="5">
        <f t="shared" si="246"/>
        <v>75588.23529411765</v>
      </c>
      <c r="R5289" s="5">
        <f t="shared" si="247"/>
        <v>30263</v>
      </c>
      <c r="S5289" s="5">
        <f t="shared" si="248"/>
        <v>45325.23529411765</v>
      </c>
    </row>
    <row r="5290" spans="1:19" hidden="1" x14ac:dyDescent="0.3">
      <c r="A5290">
        <v>190</v>
      </c>
      <c r="B5290" t="s">
        <v>5801</v>
      </c>
      <c r="C5290" t="s">
        <v>3513</v>
      </c>
      <c r="D5290" s="2" t="s">
        <v>3514</v>
      </c>
      <c r="E5290" t="s">
        <v>3515</v>
      </c>
      <c r="F5290" t="s">
        <v>20</v>
      </c>
      <c r="G5290" t="s">
        <v>21</v>
      </c>
      <c r="H5290" t="s">
        <v>406</v>
      </c>
      <c r="I5290" t="s">
        <v>23</v>
      </c>
      <c r="J5290" t="s">
        <v>407</v>
      </c>
      <c r="K5290" s="2" t="s">
        <v>1958</v>
      </c>
      <c r="L5290" t="s">
        <v>26</v>
      </c>
      <c r="M5290">
        <v>326992</v>
      </c>
      <c r="N5290">
        <v>1</v>
      </c>
      <c r="O5290" s="3">
        <v>44990</v>
      </c>
      <c r="P5290" s="3">
        <v>21598</v>
      </c>
      <c r="Q5290" s="5">
        <f t="shared" si="246"/>
        <v>37806.722689075636</v>
      </c>
      <c r="R5290" s="5">
        <f t="shared" si="247"/>
        <v>21598</v>
      </c>
      <c r="S5290" s="5">
        <f t="shared" si="248"/>
        <v>16208.722689075636</v>
      </c>
    </row>
    <row r="5291" spans="1:19" hidden="1" x14ac:dyDescent="0.3">
      <c r="A5291">
        <v>190</v>
      </c>
      <c r="B5291" t="s">
        <v>5801</v>
      </c>
      <c r="C5291" t="s">
        <v>5437</v>
      </c>
      <c r="D5291" s="2" t="s">
        <v>5438</v>
      </c>
      <c r="E5291" t="s">
        <v>3666</v>
      </c>
      <c r="F5291" t="s">
        <v>20</v>
      </c>
      <c r="G5291" t="s">
        <v>338</v>
      </c>
      <c r="H5291">
        <v>24316</v>
      </c>
      <c r="I5291" t="s">
        <v>23</v>
      </c>
      <c r="J5291" t="s">
        <v>49</v>
      </c>
      <c r="K5291" s="2" t="s">
        <v>1958</v>
      </c>
      <c r="L5291" t="s">
        <v>26</v>
      </c>
      <c r="M5291">
        <v>326992</v>
      </c>
      <c r="N5291">
        <v>1</v>
      </c>
      <c r="O5291" s="3">
        <v>74950</v>
      </c>
      <c r="P5291" s="3">
        <v>23473</v>
      </c>
      <c r="Q5291" s="5">
        <f t="shared" si="246"/>
        <v>62983.193277310929</v>
      </c>
      <c r="R5291" s="5">
        <f t="shared" si="247"/>
        <v>23473</v>
      </c>
      <c r="S5291" s="5">
        <f t="shared" si="248"/>
        <v>39510.193277310929</v>
      </c>
    </row>
    <row r="5292" spans="1:19" hidden="1" x14ac:dyDescent="0.3">
      <c r="A5292">
        <v>190</v>
      </c>
      <c r="B5292" t="s">
        <v>5801</v>
      </c>
      <c r="C5292" t="s">
        <v>3401</v>
      </c>
      <c r="D5292" s="2" t="s">
        <v>3402</v>
      </c>
      <c r="E5292" t="s">
        <v>3403</v>
      </c>
      <c r="F5292" t="s">
        <v>377</v>
      </c>
      <c r="G5292" t="s">
        <v>21</v>
      </c>
      <c r="H5292" t="s">
        <v>378</v>
      </c>
      <c r="I5292" t="s">
        <v>23</v>
      </c>
      <c r="J5292" t="s">
        <v>3297</v>
      </c>
      <c r="K5292" s="2" t="s">
        <v>1958</v>
      </c>
      <c r="L5292" t="s">
        <v>26</v>
      </c>
      <c r="M5292">
        <v>326992</v>
      </c>
      <c r="N5292">
        <v>1</v>
      </c>
      <c r="O5292">
        <v>500</v>
      </c>
      <c r="P5292">
        <v>418</v>
      </c>
      <c r="Q5292" s="5">
        <f t="shared" si="246"/>
        <v>420.1680672268908</v>
      </c>
      <c r="R5292" s="5">
        <f t="shared" si="247"/>
        <v>418</v>
      </c>
      <c r="S5292" s="5">
        <f t="shared" si="248"/>
        <v>2.1680672268907983</v>
      </c>
    </row>
    <row r="5293" spans="1:19" hidden="1" x14ac:dyDescent="0.3">
      <c r="A5293">
        <v>190</v>
      </c>
      <c r="B5293" t="s">
        <v>5801</v>
      </c>
      <c r="C5293" t="s">
        <v>2537</v>
      </c>
      <c r="D5293" s="2" t="s">
        <v>2538</v>
      </c>
      <c r="E5293" t="s">
        <v>2539</v>
      </c>
      <c r="F5293" t="s">
        <v>20</v>
      </c>
      <c r="G5293" t="s">
        <v>21</v>
      </c>
      <c r="H5293" t="s">
        <v>966</v>
      </c>
      <c r="I5293" t="s">
        <v>23</v>
      </c>
      <c r="J5293" t="s">
        <v>35</v>
      </c>
      <c r="K5293" s="2" t="s">
        <v>1958</v>
      </c>
      <c r="L5293" t="s">
        <v>26</v>
      </c>
      <c r="M5293">
        <v>326993</v>
      </c>
      <c r="N5293">
        <v>1</v>
      </c>
      <c r="O5293" s="3">
        <v>74950</v>
      </c>
      <c r="P5293" s="3">
        <v>27299</v>
      </c>
      <c r="Q5293" s="5">
        <f t="shared" si="246"/>
        <v>62983.193277310929</v>
      </c>
      <c r="R5293" s="5">
        <f t="shared" si="247"/>
        <v>27299</v>
      </c>
      <c r="S5293" s="5">
        <f t="shared" si="248"/>
        <v>35684.193277310929</v>
      </c>
    </row>
    <row r="5294" spans="1:19" hidden="1" x14ac:dyDescent="0.3">
      <c r="A5294">
        <v>190</v>
      </c>
      <c r="B5294" t="s">
        <v>5801</v>
      </c>
      <c r="C5294" t="s">
        <v>3294</v>
      </c>
      <c r="D5294" s="2" t="s">
        <v>3295</v>
      </c>
      <c r="E5294" t="s">
        <v>3296</v>
      </c>
      <c r="F5294" t="s">
        <v>377</v>
      </c>
      <c r="G5294" t="s">
        <v>21</v>
      </c>
      <c r="H5294" t="s">
        <v>378</v>
      </c>
      <c r="I5294" t="s">
        <v>23</v>
      </c>
      <c r="J5294" t="s">
        <v>3297</v>
      </c>
      <c r="K5294" s="2" t="s">
        <v>1958</v>
      </c>
      <c r="L5294" t="s">
        <v>26</v>
      </c>
      <c r="M5294">
        <v>326993</v>
      </c>
      <c r="N5294">
        <v>1</v>
      </c>
      <c r="O5294">
        <v>500</v>
      </c>
      <c r="P5294">
        <v>358</v>
      </c>
      <c r="Q5294" s="5">
        <f t="shared" si="246"/>
        <v>420.1680672268908</v>
      </c>
      <c r="R5294" s="5">
        <f t="shared" si="247"/>
        <v>358</v>
      </c>
      <c r="S5294" s="5">
        <f t="shared" si="248"/>
        <v>62.168067226890798</v>
      </c>
    </row>
    <row r="5295" spans="1:19" hidden="1" x14ac:dyDescent="0.3">
      <c r="A5295">
        <v>190</v>
      </c>
      <c r="B5295" t="s">
        <v>5801</v>
      </c>
      <c r="C5295" t="s">
        <v>6079</v>
      </c>
      <c r="D5295" s="2" t="s">
        <v>6080</v>
      </c>
      <c r="E5295" t="s">
        <v>3433</v>
      </c>
      <c r="F5295" t="s">
        <v>20</v>
      </c>
      <c r="G5295" t="s">
        <v>338</v>
      </c>
      <c r="H5295">
        <v>23732</v>
      </c>
      <c r="I5295" t="s">
        <v>23</v>
      </c>
      <c r="J5295" t="s">
        <v>40</v>
      </c>
      <c r="K5295" s="2" t="s">
        <v>1958</v>
      </c>
      <c r="L5295" t="s">
        <v>26</v>
      </c>
      <c r="M5295">
        <v>326994</v>
      </c>
      <c r="N5295">
        <v>1</v>
      </c>
      <c r="O5295" s="3">
        <v>59990</v>
      </c>
      <c r="P5295" s="3">
        <v>26539</v>
      </c>
      <c r="Q5295" s="5">
        <f t="shared" si="246"/>
        <v>50411.764705882357</v>
      </c>
      <c r="R5295" s="5">
        <f t="shared" si="247"/>
        <v>26539</v>
      </c>
      <c r="S5295" s="5">
        <f t="shared" si="248"/>
        <v>23872.764705882357</v>
      </c>
    </row>
    <row r="5296" spans="1:19" hidden="1" x14ac:dyDescent="0.3">
      <c r="A5296">
        <v>190</v>
      </c>
      <c r="B5296" t="s">
        <v>5801</v>
      </c>
      <c r="C5296" t="s">
        <v>3294</v>
      </c>
      <c r="D5296" s="2" t="s">
        <v>3295</v>
      </c>
      <c r="E5296" t="s">
        <v>3296</v>
      </c>
      <c r="F5296" t="s">
        <v>377</v>
      </c>
      <c r="G5296" t="s">
        <v>21</v>
      </c>
      <c r="H5296" t="s">
        <v>378</v>
      </c>
      <c r="I5296" t="s">
        <v>23</v>
      </c>
      <c r="J5296" t="s">
        <v>3297</v>
      </c>
      <c r="K5296" s="2" t="s">
        <v>1958</v>
      </c>
      <c r="L5296" t="s">
        <v>26</v>
      </c>
      <c r="M5296">
        <v>326994</v>
      </c>
      <c r="N5296">
        <v>1</v>
      </c>
      <c r="O5296">
        <v>500</v>
      </c>
      <c r="P5296">
        <v>358</v>
      </c>
      <c r="Q5296" s="5">
        <f t="shared" si="246"/>
        <v>420.1680672268908</v>
      </c>
      <c r="R5296" s="5">
        <f t="shared" si="247"/>
        <v>358</v>
      </c>
      <c r="S5296" s="5">
        <f t="shared" si="248"/>
        <v>62.168067226890798</v>
      </c>
    </row>
    <row r="5297" spans="1:19" hidden="1" x14ac:dyDescent="0.3">
      <c r="A5297">
        <v>190</v>
      </c>
      <c r="B5297" t="s">
        <v>5801</v>
      </c>
      <c r="C5297" t="s">
        <v>6063</v>
      </c>
      <c r="D5297" s="2" t="s">
        <v>6064</v>
      </c>
      <c r="E5297" t="s">
        <v>4124</v>
      </c>
      <c r="F5297" t="s">
        <v>20</v>
      </c>
      <c r="G5297" t="s">
        <v>338</v>
      </c>
      <c r="H5297">
        <v>25026</v>
      </c>
      <c r="I5297" t="s">
        <v>23</v>
      </c>
      <c r="J5297" t="s">
        <v>35</v>
      </c>
      <c r="K5297" s="2" t="s">
        <v>1958</v>
      </c>
      <c r="L5297" t="s">
        <v>26</v>
      </c>
      <c r="M5297">
        <v>326995</v>
      </c>
      <c r="N5297">
        <v>1</v>
      </c>
      <c r="O5297" s="3">
        <v>89950</v>
      </c>
      <c r="P5297" s="3">
        <v>28025</v>
      </c>
      <c r="Q5297" s="5">
        <f t="shared" si="246"/>
        <v>75588.23529411765</v>
      </c>
      <c r="R5297" s="5">
        <f t="shared" si="247"/>
        <v>28025</v>
      </c>
      <c r="S5297" s="5">
        <f t="shared" si="248"/>
        <v>47563.23529411765</v>
      </c>
    </row>
    <row r="5298" spans="1:19" hidden="1" x14ac:dyDescent="0.3">
      <c r="A5298">
        <v>190</v>
      </c>
      <c r="B5298" t="s">
        <v>5801</v>
      </c>
      <c r="C5298" t="s">
        <v>6081</v>
      </c>
      <c r="D5298" s="2" t="s">
        <v>6082</v>
      </c>
      <c r="E5298" t="s">
        <v>4296</v>
      </c>
      <c r="F5298" t="s">
        <v>20</v>
      </c>
      <c r="G5298" t="s">
        <v>338</v>
      </c>
      <c r="H5298">
        <v>25321</v>
      </c>
      <c r="I5298" t="s">
        <v>23</v>
      </c>
      <c r="J5298" t="s">
        <v>35</v>
      </c>
      <c r="K5298" s="2" t="s">
        <v>1958</v>
      </c>
      <c r="L5298" t="s">
        <v>26</v>
      </c>
      <c r="M5298">
        <v>326995</v>
      </c>
      <c r="N5298">
        <v>1</v>
      </c>
      <c r="O5298" s="3">
        <v>93450</v>
      </c>
      <c r="P5298" s="3">
        <v>33748</v>
      </c>
      <c r="Q5298" s="5">
        <f t="shared" si="246"/>
        <v>78529.411764705888</v>
      </c>
      <c r="R5298" s="5">
        <f t="shared" si="247"/>
        <v>33748</v>
      </c>
      <c r="S5298" s="5">
        <f t="shared" si="248"/>
        <v>44781.411764705888</v>
      </c>
    </row>
    <row r="5299" spans="1:19" hidden="1" x14ac:dyDescent="0.3">
      <c r="A5299">
        <v>190</v>
      </c>
      <c r="B5299" t="s">
        <v>5801</v>
      </c>
      <c r="C5299" t="s">
        <v>1761</v>
      </c>
      <c r="D5299" s="2" t="s">
        <v>1762</v>
      </c>
      <c r="E5299" t="s">
        <v>1763</v>
      </c>
      <c r="F5299" t="s">
        <v>377</v>
      </c>
      <c r="G5299" t="s">
        <v>21</v>
      </c>
      <c r="H5299" t="s">
        <v>378</v>
      </c>
      <c r="I5299" t="s">
        <v>23</v>
      </c>
      <c r="J5299" t="s">
        <v>379</v>
      </c>
      <c r="K5299" s="2" t="s">
        <v>1958</v>
      </c>
      <c r="L5299" t="s">
        <v>26</v>
      </c>
      <c r="M5299">
        <v>326996</v>
      </c>
      <c r="N5299">
        <v>1</v>
      </c>
      <c r="O5299" s="3">
        <v>5950</v>
      </c>
      <c r="P5299" s="3">
        <v>3279</v>
      </c>
      <c r="Q5299" s="5">
        <f t="shared" si="246"/>
        <v>5000</v>
      </c>
      <c r="R5299" s="5">
        <f t="shared" si="247"/>
        <v>3279</v>
      </c>
      <c r="S5299" s="5">
        <f t="shared" si="248"/>
        <v>1721</v>
      </c>
    </row>
    <row r="5300" spans="1:19" hidden="1" x14ac:dyDescent="0.3">
      <c r="A5300">
        <v>190</v>
      </c>
      <c r="B5300" t="s">
        <v>5801</v>
      </c>
      <c r="C5300" t="s">
        <v>3815</v>
      </c>
      <c r="D5300" s="2" t="s">
        <v>3816</v>
      </c>
      <c r="E5300" t="s">
        <v>2340</v>
      </c>
      <c r="F5300" t="s">
        <v>20</v>
      </c>
      <c r="G5300" t="s">
        <v>21</v>
      </c>
      <c r="H5300" t="s">
        <v>1914</v>
      </c>
      <c r="I5300" t="s">
        <v>23</v>
      </c>
      <c r="J5300" t="s">
        <v>35</v>
      </c>
      <c r="K5300" s="2" t="s">
        <v>1958</v>
      </c>
      <c r="L5300" t="s">
        <v>26</v>
      </c>
      <c r="M5300">
        <v>326997</v>
      </c>
      <c r="N5300">
        <v>1</v>
      </c>
      <c r="O5300" s="3">
        <v>89950</v>
      </c>
      <c r="P5300" s="3">
        <v>27630</v>
      </c>
      <c r="Q5300" s="5">
        <f t="shared" si="246"/>
        <v>75588.23529411765</v>
      </c>
      <c r="R5300" s="5">
        <f t="shared" si="247"/>
        <v>27630</v>
      </c>
      <c r="S5300" s="5">
        <f t="shared" si="248"/>
        <v>47958.23529411765</v>
      </c>
    </row>
    <row r="5301" spans="1:19" hidden="1" x14ac:dyDescent="0.3">
      <c r="A5301">
        <v>190</v>
      </c>
      <c r="B5301" t="s">
        <v>5801</v>
      </c>
      <c r="C5301" t="s">
        <v>3294</v>
      </c>
      <c r="D5301" s="2" t="s">
        <v>3295</v>
      </c>
      <c r="E5301" t="s">
        <v>3296</v>
      </c>
      <c r="F5301" t="s">
        <v>377</v>
      </c>
      <c r="G5301" t="s">
        <v>21</v>
      </c>
      <c r="H5301" t="s">
        <v>378</v>
      </c>
      <c r="I5301" t="s">
        <v>23</v>
      </c>
      <c r="J5301" t="s">
        <v>3297</v>
      </c>
      <c r="K5301" s="2" t="s">
        <v>1958</v>
      </c>
      <c r="L5301" t="s">
        <v>26</v>
      </c>
      <c r="M5301">
        <v>326997</v>
      </c>
      <c r="N5301">
        <v>1</v>
      </c>
      <c r="O5301">
        <v>500</v>
      </c>
      <c r="P5301">
        <v>358</v>
      </c>
      <c r="Q5301" s="5">
        <f t="shared" si="246"/>
        <v>420.1680672268908</v>
      </c>
      <c r="R5301" s="5">
        <f t="shared" si="247"/>
        <v>358</v>
      </c>
      <c r="S5301" s="5">
        <f t="shared" si="248"/>
        <v>62.168067226890798</v>
      </c>
    </row>
    <row r="5302" spans="1:19" hidden="1" x14ac:dyDescent="0.3">
      <c r="A5302">
        <v>190</v>
      </c>
      <c r="B5302" t="s">
        <v>5801</v>
      </c>
      <c r="C5302" t="s">
        <v>6083</v>
      </c>
      <c r="D5302" s="2" t="s">
        <v>6084</v>
      </c>
      <c r="E5302" t="s">
        <v>4391</v>
      </c>
      <c r="F5302" t="s">
        <v>20</v>
      </c>
      <c r="G5302" t="s">
        <v>21</v>
      </c>
      <c r="H5302" t="s">
        <v>295</v>
      </c>
      <c r="I5302" t="s">
        <v>23</v>
      </c>
      <c r="J5302" t="s">
        <v>40</v>
      </c>
      <c r="K5302" s="2" t="s">
        <v>1958</v>
      </c>
      <c r="L5302" t="s">
        <v>26</v>
      </c>
      <c r="M5302">
        <v>326998</v>
      </c>
      <c r="N5302">
        <v>1</v>
      </c>
      <c r="O5302" s="3">
        <v>79950</v>
      </c>
      <c r="P5302" s="3">
        <v>26951</v>
      </c>
      <c r="Q5302" s="5">
        <f t="shared" si="246"/>
        <v>67184.873949579836</v>
      </c>
      <c r="R5302" s="5">
        <f t="shared" si="247"/>
        <v>26951</v>
      </c>
      <c r="S5302" s="5">
        <f t="shared" si="248"/>
        <v>40233.873949579836</v>
      </c>
    </row>
    <row r="5303" spans="1:19" hidden="1" x14ac:dyDescent="0.3">
      <c r="A5303">
        <v>190</v>
      </c>
      <c r="B5303" t="s">
        <v>5801</v>
      </c>
      <c r="C5303" t="s">
        <v>3835</v>
      </c>
      <c r="D5303" s="2" t="s">
        <v>3836</v>
      </c>
      <c r="E5303" t="s">
        <v>3837</v>
      </c>
      <c r="F5303" t="s">
        <v>20</v>
      </c>
      <c r="G5303" t="s">
        <v>21</v>
      </c>
      <c r="H5303" t="s">
        <v>1457</v>
      </c>
      <c r="I5303" t="s">
        <v>23</v>
      </c>
      <c r="J5303" t="s">
        <v>40</v>
      </c>
      <c r="K5303" s="2" t="s">
        <v>1958</v>
      </c>
      <c r="L5303" t="s">
        <v>26</v>
      </c>
      <c r="M5303">
        <v>326999</v>
      </c>
      <c r="N5303">
        <v>1</v>
      </c>
      <c r="O5303" s="3">
        <v>64950</v>
      </c>
      <c r="P5303" s="3">
        <v>18239</v>
      </c>
      <c r="Q5303" s="5">
        <f t="shared" si="246"/>
        <v>54579.831932773115</v>
      </c>
      <c r="R5303" s="5">
        <f t="shared" si="247"/>
        <v>18239</v>
      </c>
      <c r="S5303" s="5">
        <f t="shared" si="248"/>
        <v>36340.831932773115</v>
      </c>
    </row>
    <row r="5304" spans="1:19" hidden="1" x14ac:dyDescent="0.3">
      <c r="A5304">
        <v>190</v>
      </c>
      <c r="B5304" t="s">
        <v>5801</v>
      </c>
      <c r="C5304" t="s">
        <v>6085</v>
      </c>
      <c r="D5304" s="2" t="s">
        <v>6086</v>
      </c>
      <c r="E5304" t="s">
        <v>3703</v>
      </c>
      <c r="F5304" t="s">
        <v>20</v>
      </c>
      <c r="G5304" t="s">
        <v>21</v>
      </c>
      <c r="H5304" t="s">
        <v>794</v>
      </c>
      <c r="I5304" t="s">
        <v>23</v>
      </c>
      <c r="J5304" t="s">
        <v>40</v>
      </c>
      <c r="K5304" s="2" t="s">
        <v>1958</v>
      </c>
      <c r="L5304" t="s">
        <v>26</v>
      </c>
      <c r="M5304">
        <v>326999</v>
      </c>
      <c r="N5304">
        <v>-1</v>
      </c>
      <c r="O5304" s="3">
        <v>-69950</v>
      </c>
      <c r="P5304" s="3">
        <v>21722</v>
      </c>
      <c r="Q5304" s="5">
        <f t="shared" si="246"/>
        <v>-58781.512605042022</v>
      </c>
      <c r="R5304" s="5">
        <f t="shared" si="247"/>
        <v>-21722</v>
      </c>
      <c r="S5304" s="5">
        <f t="shared" si="248"/>
        <v>-37059.512605042022</v>
      </c>
    </row>
    <row r="5305" spans="1:19" hidden="1" x14ac:dyDescent="0.3">
      <c r="A5305">
        <v>190</v>
      </c>
      <c r="B5305" t="s">
        <v>5801</v>
      </c>
      <c r="C5305" t="s">
        <v>1761</v>
      </c>
      <c r="D5305" s="2" t="s">
        <v>1762</v>
      </c>
      <c r="E5305" t="s">
        <v>1763</v>
      </c>
      <c r="F5305" t="s">
        <v>377</v>
      </c>
      <c r="G5305" t="s">
        <v>21</v>
      </c>
      <c r="H5305" t="s">
        <v>378</v>
      </c>
      <c r="I5305" t="s">
        <v>23</v>
      </c>
      <c r="J5305" t="s">
        <v>379</v>
      </c>
      <c r="K5305" s="2" t="s">
        <v>1958</v>
      </c>
      <c r="L5305" t="s">
        <v>26</v>
      </c>
      <c r="M5305">
        <v>326999</v>
      </c>
      <c r="N5305">
        <v>1</v>
      </c>
      <c r="O5305" s="3">
        <v>5950</v>
      </c>
      <c r="P5305" s="3">
        <v>3279</v>
      </c>
      <c r="Q5305" s="5">
        <f t="shared" si="246"/>
        <v>5000</v>
      </c>
      <c r="R5305" s="5">
        <f t="shared" si="247"/>
        <v>3279</v>
      </c>
      <c r="S5305" s="5">
        <f t="shared" si="248"/>
        <v>1721</v>
      </c>
    </row>
    <row r="5306" spans="1:19" hidden="1" x14ac:dyDescent="0.3">
      <c r="A5306">
        <v>190</v>
      </c>
      <c r="B5306" t="s">
        <v>5801</v>
      </c>
      <c r="C5306" t="s">
        <v>6087</v>
      </c>
      <c r="D5306" s="2" t="s">
        <v>6088</v>
      </c>
      <c r="E5306" t="s">
        <v>4676</v>
      </c>
      <c r="F5306" t="s">
        <v>20</v>
      </c>
      <c r="G5306" t="s">
        <v>21</v>
      </c>
      <c r="H5306" t="s">
        <v>4647</v>
      </c>
      <c r="I5306" t="s">
        <v>23</v>
      </c>
      <c r="J5306" t="s">
        <v>49</v>
      </c>
      <c r="K5306" s="2" t="s">
        <v>1958</v>
      </c>
      <c r="L5306" t="s">
        <v>26</v>
      </c>
      <c r="M5306">
        <v>327000</v>
      </c>
      <c r="N5306">
        <v>1</v>
      </c>
      <c r="O5306" s="3">
        <v>74950</v>
      </c>
      <c r="P5306" s="3">
        <v>28883</v>
      </c>
      <c r="Q5306" s="5">
        <f t="shared" si="246"/>
        <v>62983.193277310929</v>
      </c>
      <c r="R5306" s="5">
        <f t="shared" si="247"/>
        <v>28883</v>
      </c>
      <c r="S5306" s="5">
        <f t="shared" si="248"/>
        <v>34100.193277310929</v>
      </c>
    </row>
    <row r="5307" spans="1:19" hidden="1" x14ac:dyDescent="0.3">
      <c r="A5307">
        <v>190</v>
      </c>
      <c r="B5307" t="s">
        <v>5801</v>
      </c>
      <c r="C5307" t="s">
        <v>3294</v>
      </c>
      <c r="D5307" s="2" t="s">
        <v>3295</v>
      </c>
      <c r="E5307" t="s">
        <v>3296</v>
      </c>
      <c r="F5307" t="s">
        <v>377</v>
      </c>
      <c r="G5307" t="s">
        <v>21</v>
      </c>
      <c r="H5307" t="s">
        <v>378</v>
      </c>
      <c r="I5307" t="s">
        <v>23</v>
      </c>
      <c r="J5307" t="s">
        <v>3297</v>
      </c>
      <c r="K5307" s="2" t="s">
        <v>1958</v>
      </c>
      <c r="L5307" t="s">
        <v>26</v>
      </c>
      <c r="M5307">
        <v>327001</v>
      </c>
      <c r="N5307">
        <v>1</v>
      </c>
      <c r="O5307">
        <v>500</v>
      </c>
      <c r="P5307">
        <v>358</v>
      </c>
      <c r="Q5307" s="5">
        <f t="shared" si="246"/>
        <v>420.1680672268908</v>
      </c>
      <c r="R5307" s="5">
        <f t="shared" si="247"/>
        <v>358</v>
      </c>
      <c r="S5307" s="5">
        <f t="shared" si="248"/>
        <v>62.168067226890798</v>
      </c>
    </row>
    <row r="5308" spans="1:19" hidden="1" x14ac:dyDescent="0.3">
      <c r="A5308">
        <v>190</v>
      </c>
      <c r="B5308" t="s">
        <v>5801</v>
      </c>
      <c r="C5308" t="s">
        <v>3574</v>
      </c>
      <c r="D5308" s="2" t="s">
        <v>3575</v>
      </c>
      <c r="E5308" t="s">
        <v>523</v>
      </c>
      <c r="F5308" t="s">
        <v>20</v>
      </c>
      <c r="G5308" t="s">
        <v>338</v>
      </c>
      <c r="H5308">
        <v>23603</v>
      </c>
      <c r="I5308" t="s">
        <v>23</v>
      </c>
      <c r="J5308" t="s">
        <v>40</v>
      </c>
      <c r="K5308" s="2" t="s">
        <v>1958</v>
      </c>
      <c r="L5308" t="s">
        <v>26</v>
      </c>
      <c r="M5308">
        <v>327002</v>
      </c>
      <c r="N5308">
        <v>1</v>
      </c>
      <c r="O5308" s="3">
        <v>69950</v>
      </c>
      <c r="P5308" s="3">
        <v>22607</v>
      </c>
      <c r="Q5308" s="5">
        <f t="shared" si="246"/>
        <v>58781.512605042022</v>
      </c>
      <c r="R5308" s="5">
        <f t="shared" si="247"/>
        <v>22607</v>
      </c>
      <c r="S5308" s="5">
        <f t="shared" si="248"/>
        <v>36174.512605042022</v>
      </c>
    </row>
    <row r="5309" spans="1:19" hidden="1" x14ac:dyDescent="0.3">
      <c r="A5309">
        <v>190</v>
      </c>
      <c r="B5309" t="s">
        <v>5801</v>
      </c>
      <c r="C5309" t="s">
        <v>5425</v>
      </c>
      <c r="D5309" s="2" t="s">
        <v>5426</v>
      </c>
      <c r="E5309" t="s">
        <v>2561</v>
      </c>
      <c r="F5309" t="s">
        <v>20</v>
      </c>
      <c r="G5309" t="s">
        <v>21</v>
      </c>
      <c r="H5309" t="s">
        <v>1914</v>
      </c>
      <c r="I5309" t="s">
        <v>23</v>
      </c>
      <c r="J5309" t="s">
        <v>35</v>
      </c>
      <c r="K5309" s="2" t="s">
        <v>1958</v>
      </c>
      <c r="L5309" t="s">
        <v>26</v>
      </c>
      <c r="M5309">
        <v>327003</v>
      </c>
      <c r="N5309">
        <v>1</v>
      </c>
      <c r="O5309" s="3">
        <v>69990</v>
      </c>
      <c r="P5309" s="3">
        <v>28298</v>
      </c>
      <c r="Q5309" s="5">
        <f t="shared" si="246"/>
        <v>58815.126050420171</v>
      </c>
      <c r="R5309" s="5">
        <f t="shared" si="247"/>
        <v>28298</v>
      </c>
      <c r="S5309" s="5">
        <f t="shared" si="248"/>
        <v>30517.126050420171</v>
      </c>
    </row>
    <row r="5310" spans="1:19" hidden="1" x14ac:dyDescent="0.3">
      <c r="A5310">
        <v>190</v>
      </c>
      <c r="B5310" t="s">
        <v>5801</v>
      </c>
      <c r="C5310" t="s">
        <v>4728</v>
      </c>
      <c r="D5310" s="2" t="s">
        <v>4729</v>
      </c>
      <c r="E5310" t="s">
        <v>3795</v>
      </c>
      <c r="F5310" t="s">
        <v>20</v>
      </c>
      <c r="G5310" t="s">
        <v>338</v>
      </c>
      <c r="H5310">
        <v>25529</v>
      </c>
      <c r="I5310" t="s">
        <v>23</v>
      </c>
      <c r="J5310" t="s">
        <v>31</v>
      </c>
      <c r="K5310" s="2" t="s">
        <v>1958</v>
      </c>
      <c r="L5310" t="s">
        <v>26</v>
      </c>
      <c r="M5310">
        <v>327004</v>
      </c>
      <c r="N5310">
        <v>1</v>
      </c>
      <c r="O5310" s="3">
        <v>127450</v>
      </c>
      <c r="P5310" s="3">
        <v>50690</v>
      </c>
      <c r="Q5310" s="5">
        <f t="shared" si="246"/>
        <v>107100.84033613445</v>
      </c>
      <c r="R5310" s="5">
        <f t="shared" si="247"/>
        <v>50690</v>
      </c>
      <c r="S5310" s="5">
        <f t="shared" si="248"/>
        <v>56410.840336134454</v>
      </c>
    </row>
    <row r="5311" spans="1:19" hidden="1" x14ac:dyDescent="0.3">
      <c r="A5311">
        <v>190</v>
      </c>
      <c r="B5311" t="s">
        <v>5801</v>
      </c>
      <c r="C5311" t="s">
        <v>5970</v>
      </c>
      <c r="D5311" s="2" t="s">
        <v>5971</v>
      </c>
      <c r="E5311" t="s">
        <v>2996</v>
      </c>
      <c r="F5311" t="s">
        <v>20</v>
      </c>
      <c r="G5311" t="s">
        <v>338</v>
      </c>
      <c r="H5311">
        <v>25823</v>
      </c>
      <c r="I5311" t="s">
        <v>23</v>
      </c>
      <c r="J5311" t="s">
        <v>35</v>
      </c>
      <c r="K5311" s="2" t="s">
        <v>1958</v>
      </c>
      <c r="L5311" t="s">
        <v>26</v>
      </c>
      <c r="M5311">
        <v>327004</v>
      </c>
      <c r="N5311">
        <v>1</v>
      </c>
      <c r="O5311" s="3">
        <v>99950</v>
      </c>
      <c r="P5311" s="3">
        <v>33748</v>
      </c>
      <c r="Q5311" s="5">
        <f t="shared" si="246"/>
        <v>83991.596638655465</v>
      </c>
      <c r="R5311" s="5">
        <f t="shared" si="247"/>
        <v>33748</v>
      </c>
      <c r="S5311" s="5">
        <f t="shared" si="248"/>
        <v>50243.596638655465</v>
      </c>
    </row>
    <row r="5312" spans="1:19" hidden="1" x14ac:dyDescent="0.3">
      <c r="A5312">
        <v>190</v>
      </c>
      <c r="B5312" t="s">
        <v>5801</v>
      </c>
      <c r="C5312" t="s">
        <v>2365</v>
      </c>
      <c r="D5312" s="2" t="s">
        <v>2366</v>
      </c>
      <c r="E5312" t="s">
        <v>2367</v>
      </c>
      <c r="F5312" t="s">
        <v>377</v>
      </c>
      <c r="G5312" t="s">
        <v>21</v>
      </c>
      <c r="H5312" t="s">
        <v>378</v>
      </c>
      <c r="I5312" t="s">
        <v>23</v>
      </c>
      <c r="J5312" t="s">
        <v>379</v>
      </c>
      <c r="K5312" s="2" t="s">
        <v>1958</v>
      </c>
      <c r="L5312" t="s">
        <v>26</v>
      </c>
      <c r="M5312">
        <v>327005</v>
      </c>
      <c r="N5312">
        <v>1</v>
      </c>
      <c r="O5312" s="3">
        <v>6950</v>
      </c>
      <c r="P5312" s="3">
        <v>3759</v>
      </c>
      <c r="Q5312" s="5">
        <f t="shared" si="246"/>
        <v>5840.3361344537816</v>
      </c>
      <c r="R5312" s="5">
        <f t="shared" si="247"/>
        <v>3759</v>
      </c>
      <c r="S5312" s="5">
        <f t="shared" si="248"/>
        <v>2081.3361344537816</v>
      </c>
    </row>
    <row r="5313" spans="1:19" hidden="1" x14ac:dyDescent="0.3">
      <c r="A5313">
        <v>190</v>
      </c>
      <c r="B5313" t="s">
        <v>5801</v>
      </c>
      <c r="C5313" t="s">
        <v>5253</v>
      </c>
      <c r="D5313" s="2" t="s">
        <v>5254</v>
      </c>
      <c r="E5313" t="s">
        <v>4038</v>
      </c>
      <c r="F5313" t="s">
        <v>20</v>
      </c>
      <c r="G5313" t="s">
        <v>21</v>
      </c>
      <c r="H5313" t="s">
        <v>2469</v>
      </c>
      <c r="I5313" t="s">
        <v>23</v>
      </c>
      <c r="J5313" t="s">
        <v>35</v>
      </c>
      <c r="K5313" s="2" t="s">
        <v>1958</v>
      </c>
      <c r="L5313" t="s">
        <v>26</v>
      </c>
      <c r="M5313">
        <v>327006</v>
      </c>
      <c r="N5313">
        <v>1</v>
      </c>
      <c r="O5313" s="3">
        <v>69990</v>
      </c>
      <c r="P5313" s="3">
        <v>29635</v>
      </c>
      <c r="Q5313" s="5">
        <f t="shared" si="246"/>
        <v>58815.126050420171</v>
      </c>
      <c r="R5313" s="5">
        <f t="shared" si="247"/>
        <v>29635</v>
      </c>
      <c r="S5313" s="5">
        <f t="shared" si="248"/>
        <v>29180.126050420171</v>
      </c>
    </row>
    <row r="5314" spans="1:19" hidden="1" x14ac:dyDescent="0.3">
      <c r="A5314">
        <v>190</v>
      </c>
      <c r="B5314" t="s">
        <v>5801</v>
      </c>
      <c r="C5314" t="s">
        <v>6089</v>
      </c>
      <c r="D5314" s="2" t="s">
        <v>6090</v>
      </c>
      <c r="E5314" t="s">
        <v>3531</v>
      </c>
      <c r="F5314" t="s">
        <v>20</v>
      </c>
      <c r="G5314" t="s">
        <v>338</v>
      </c>
      <c r="H5314">
        <v>84316</v>
      </c>
      <c r="I5314" t="s">
        <v>23</v>
      </c>
      <c r="J5314" t="s">
        <v>49</v>
      </c>
      <c r="K5314" s="2" t="s">
        <v>1958</v>
      </c>
      <c r="L5314" t="s">
        <v>26</v>
      </c>
      <c r="M5314">
        <v>327007</v>
      </c>
      <c r="N5314">
        <v>1</v>
      </c>
      <c r="O5314" s="3">
        <v>89950</v>
      </c>
      <c r="P5314" s="3">
        <v>31128</v>
      </c>
      <c r="Q5314" s="5">
        <f t="shared" si="246"/>
        <v>75588.23529411765</v>
      </c>
      <c r="R5314" s="5">
        <f t="shared" si="247"/>
        <v>31128</v>
      </c>
      <c r="S5314" s="5">
        <f t="shared" si="248"/>
        <v>44460.23529411765</v>
      </c>
    </row>
    <row r="5315" spans="1:19" hidden="1" x14ac:dyDescent="0.3">
      <c r="A5315">
        <v>190</v>
      </c>
      <c r="B5315" t="s">
        <v>5801</v>
      </c>
      <c r="C5315" t="s">
        <v>1169</v>
      </c>
      <c r="D5315" s="2" t="s">
        <v>1170</v>
      </c>
      <c r="E5315" t="s">
        <v>1171</v>
      </c>
      <c r="F5315" t="s">
        <v>20</v>
      </c>
      <c r="G5315" t="s">
        <v>21</v>
      </c>
      <c r="H5315" t="s">
        <v>500</v>
      </c>
      <c r="I5315" t="s">
        <v>23</v>
      </c>
      <c r="J5315" t="s">
        <v>40</v>
      </c>
      <c r="K5315" s="2" t="s">
        <v>2093</v>
      </c>
      <c r="L5315" t="s">
        <v>26</v>
      </c>
      <c r="M5315">
        <v>327008</v>
      </c>
      <c r="N5315">
        <v>1</v>
      </c>
      <c r="O5315" s="3">
        <v>59950</v>
      </c>
      <c r="P5315" s="3">
        <v>17416</v>
      </c>
      <c r="Q5315" s="5">
        <f t="shared" si="246"/>
        <v>50378.151260504201</v>
      </c>
      <c r="R5315" s="5">
        <f t="shared" si="247"/>
        <v>17416</v>
      </c>
      <c r="S5315" s="5">
        <f t="shared" si="248"/>
        <v>32962.151260504201</v>
      </c>
    </row>
    <row r="5316" spans="1:19" hidden="1" x14ac:dyDescent="0.3">
      <c r="A5316">
        <v>190</v>
      </c>
      <c r="B5316" t="s">
        <v>5801</v>
      </c>
      <c r="C5316" t="s">
        <v>6091</v>
      </c>
      <c r="D5316" s="2" t="s">
        <v>6092</v>
      </c>
      <c r="E5316" t="s">
        <v>2539</v>
      </c>
      <c r="F5316" t="s">
        <v>20</v>
      </c>
      <c r="G5316" t="s">
        <v>21</v>
      </c>
      <c r="H5316" t="s">
        <v>966</v>
      </c>
      <c r="I5316" t="s">
        <v>23</v>
      </c>
      <c r="J5316" t="s">
        <v>35</v>
      </c>
      <c r="K5316" s="2" t="s">
        <v>2093</v>
      </c>
      <c r="L5316" t="s">
        <v>26</v>
      </c>
      <c r="M5316">
        <v>327009</v>
      </c>
      <c r="N5316">
        <v>1</v>
      </c>
      <c r="O5316" s="3">
        <v>74950</v>
      </c>
      <c r="P5316" s="3">
        <v>27606</v>
      </c>
      <c r="Q5316" s="5">
        <f t="shared" si="246"/>
        <v>62983.193277310929</v>
      </c>
      <c r="R5316" s="5">
        <f t="shared" si="247"/>
        <v>27606</v>
      </c>
      <c r="S5316" s="5">
        <f t="shared" si="248"/>
        <v>35377.193277310929</v>
      </c>
    </row>
    <row r="5317" spans="1:19" hidden="1" x14ac:dyDescent="0.3">
      <c r="A5317">
        <v>190</v>
      </c>
      <c r="B5317" t="s">
        <v>5801</v>
      </c>
      <c r="C5317" t="s">
        <v>3294</v>
      </c>
      <c r="D5317" s="2" t="s">
        <v>3295</v>
      </c>
      <c r="E5317" t="s">
        <v>3296</v>
      </c>
      <c r="F5317" t="s">
        <v>377</v>
      </c>
      <c r="G5317" t="s">
        <v>21</v>
      </c>
      <c r="H5317" t="s">
        <v>378</v>
      </c>
      <c r="I5317" t="s">
        <v>23</v>
      </c>
      <c r="J5317" t="s">
        <v>3297</v>
      </c>
      <c r="K5317" s="2" t="s">
        <v>2093</v>
      </c>
      <c r="L5317" t="s">
        <v>26</v>
      </c>
      <c r="M5317">
        <v>327009</v>
      </c>
      <c r="N5317">
        <v>1</v>
      </c>
      <c r="O5317">
        <v>500</v>
      </c>
      <c r="P5317">
        <v>358</v>
      </c>
      <c r="Q5317" s="5">
        <f t="shared" si="246"/>
        <v>420.1680672268908</v>
      </c>
      <c r="R5317" s="5">
        <f t="shared" si="247"/>
        <v>358</v>
      </c>
      <c r="S5317" s="5">
        <f t="shared" si="248"/>
        <v>62.168067226890798</v>
      </c>
    </row>
    <row r="5318" spans="1:19" hidden="1" x14ac:dyDescent="0.3">
      <c r="A5318">
        <v>190</v>
      </c>
      <c r="B5318" t="s">
        <v>5801</v>
      </c>
      <c r="C5318" t="s">
        <v>2507</v>
      </c>
      <c r="D5318" s="2" t="s">
        <v>2508</v>
      </c>
      <c r="E5318" t="s">
        <v>2352</v>
      </c>
      <c r="F5318" t="s">
        <v>20</v>
      </c>
      <c r="G5318" t="s">
        <v>21</v>
      </c>
      <c r="H5318" t="s">
        <v>2353</v>
      </c>
      <c r="I5318" t="s">
        <v>23</v>
      </c>
      <c r="J5318" t="s">
        <v>40</v>
      </c>
      <c r="K5318" s="2" t="s">
        <v>2093</v>
      </c>
      <c r="L5318" t="s">
        <v>26</v>
      </c>
      <c r="M5318">
        <v>327010</v>
      </c>
      <c r="N5318">
        <v>1</v>
      </c>
      <c r="O5318" s="3">
        <v>69990</v>
      </c>
      <c r="P5318" s="3">
        <v>31405</v>
      </c>
      <c r="Q5318" s="5">
        <f t="shared" ref="Q5318:Q5381" si="249">O5318/1.19</f>
        <v>58815.126050420171</v>
      </c>
      <c r="R5318" s="5">
        <f t="shared" ref="R5318:R5381" si="250">N5318*P5318</f>
        <v>31405</v>
      </c>
      <c r="S5318" s="5">
        <f t="shared" ref="S5318:S5381" si="251">Q5318-R5318</f>
        <v>27410.126050420171</v>
      </c>
    </row>
    <row r="5319" spans="1:19" hidden="1" x14ac:dyDescent="0.3">
      <c r="A5319">
        <v>190</v>
      </c>
      <c r="B5319" t="s">
        <v>5801</v>
      </c>
      <c r="C5319" t="s">
        <v>3516</v>
      </c>
      <c r="D5319" s="2" t="s">
        <v>3517</v>
      </c>
      <c r="E5319" t="s">
        <v>3518</v>
      </c>
      <c r="F5319" t="s">
        <v>20</v>
      </c>
      <c r="G5319" t="s">
        <v>21</v>
      </c>
      <c r="H5319" t="s">
        <v>1124</v>
      </c>
      <c r="I5319" t="s">
        <v>23</v>
      </c>
      <c r="J5319" t="s">
        <v>35</v>
      </c>
      <c r="K5319" s="2" t="s">
        <v>2093</v>
      </c>
      <c r="L5319" t="s">
        <v>26</v>
      </c>
      <c r="M5319">
        <v>327011</v>
      </c>
      <c r="N5319">
        <v>1</v>
      </c>
      <c r="O5319" s="3">
        <v>74950</v>
      </c>
      <c r="P5319" s="3">
        <v>28476</v>
      </c>
      <c r="Q5319" s="5">
        <f t="shared" si="249"/>
        <v>62983.193277310929</v>
      </c>
      <c r="R5319" s="5">
        <f t="shared" si="250"/>
        <v>28476</v>
      </c>
      <c r="S5319" s="5">
        <f t="shared" si="251"/>
        <v>34507.193277310929</v>
      </c>
    </row>
    <row r="5320" spans="1:19" hidden="1" x14ac:dyDescent="0.3">
      <c r="A5320">
        <v>190</v>
      </c>
      <c r="B5320" t="s">
        <v>5801</v>
      </c>
      <c r="C5320" t="s">
        <v>3286</v>
      </c>
      <c r="D5320" s="2" t="s">
        <v>3287</v>
      </c>
      <c r="E5320" t="s">
        <v>2226</v>
      </c>
      <c r="F5320" t="s">
        <v>20</v>
      </c>
      <c r="G5320" t="s">
        <v>21</v>
      </c>
      <c r="H5320" t="s">
        <v>53</v>
      </c>
      <c r="I5320" t="s">
        <v>23</v>
      </c>
      <c r="J5320" t="s">
        <v>49</v>
      </c>
      <c r="K5320" s="2" t="s">
        <v>2093</v>
      </c>
      <c r="L5320" t="s">
        <v>26</v>
      </c>
      <c r="M5320">
        <v>327011</v>
      </c>
      <c r="N5320">
        <v>-1</v>
      </c>
      <c r="O5320" s="3">
        <v>-69950</v>
      </c>
      <c r="P5320" s="3">
        <v>20849</v>
      </c>
      <c r="Q5320" s="5">
        <f t="shared" si="249"/>
        <v>-58781.512605042022</v>
      </c>
      <c r="R5320" s="5">
        <f t="shared" si="250"/>
        <v>-20849</v>
      </c>
      <c r="S5320" s="5">
        <f t="shared" si="251"/>
        <v>-37932.512605042022</v>
      </c>
    </row>
    <row r="5321" spans="1:19" hidden="1" x14ac:dyDescent="0.3">
      <c r="A5321">
        <v>190</v>
      </c>
      <c r="B5321" t="s">
        <v>5801</v>
      </c>
      <c r="C5321" t="s">
        <v>6093</v>
      </c>
      <c r="D5321" s="2" t="s">
        <v>6094</v>
      </c>
      <c r="E5321" t="s">
        <v>523</v>
      </c>
      <c r="F5321" t="s">
        <v>20</v>
      </c>
      <c r="G5321" t="s">
        <v>338</v>
      </c>
      <c r="H5321">
        <v>23603</v>
      </c>
      <c r="I5321" t="s">
        <v>23</v>
      </c>
      <c r="J5321" t="s">
        <v>40</v>
      </c>
      <c r="K5321" s="2" t="s">
        <v>2093</v>
      </c>
      <c r="L5321" t="s">
        <v>26</v>
      </c>
      <c r="M5321">
        <v>327012</v>
      </c>
      <c r="N5321">
        <v>1</v>
      </c>
      <c r="O5321" s="3">
        <v>69950</v>
      </c>
      <c r="P5321" s="3">
        <v>22607</v>
      </c>
      <c r="Q5321" s="5">
        <f t="shared" si="249"/>
        <v>58781.512605042022</v>
      </c>
      <c r="R5321" s="5">
        <f t="shared" si="250"/>
        <v>22607</v>
      </c>
      <c r="S5321" s="5">
        <f t="shared" si="251"/>
        <v>36174.512605042022</v>
      </c>
    </row>
    <row r="5322" spans="1:19" hidden="1" x14ac:dyDescent="0.3">
      <c r="A5322">
        <v>190</v>
      </c>
      <c r="B5322" t="s">
        <v>5801</v>
      </c>
      <c r="C5322" t="s">
        <v>3889</v>
      </c>
      <c r="D5322" s="2" t="s">
        <v>3890</v>
      </c>
      <c r="E5322" t="s">
        <v>3518</v>
      </c>
      <c r="F5322" t="s">
        <v>20</v>
      </c>
      <c r="G5322" t="s">
        <v>21</v>
      </c>
      <c r="H5322" t="s">
        <v>1124</v>
      </c>
      <c r="I5322" t="s">
        <v>23</v>
      </c>
      <c r="J5322" t="s">
        <v>35</v>
      </c>
      <c r="K5322" s="2" t="s">
        <v>2093</v>
      </c>
      <c r="L5322" t="s">
        <v>26</v>
      </c>
      <c r="M5322">
        <v>327013</v>
      </c>
      <c r="N5322">
        <v>1</v>
      </c>
      <c r="O5322" s="3">
        <v>74950</v>
      </c>
      <c r="P5322" s="3">
        <v>28470</v>
      </c>
      <c r="Q5322" s="5">
        <f t="shared" si="249"/>
        <v>62983.193277310929</v>
      </c>
      <c r="R5322" s="5">
        <f t="shared" si="250"/>
        <v>28470</v>
      </c>
      <c r="S5322" s="5">
        <f t="shared" si="251"/>
        <v>34513.193277310929</v>
      </c>
    </row>
    <row r="5323" spans="1:19" hidden="1" x14ac:dyDescent="0.3">
      <c r="A5323">
        <v>190</v>
      </c>
      <c r="B5323" t="s">
        <v>5801</v>
      </c>
      <c r="C5323" t="s">
        <v>3294</v>
      </c>
      <c r="D5323" s="2" t="s">
        <v>3295</v>
      </c>
      <c r="E5323" t="s">
        <v>3296</v>
      </c>
      <c r="F5323" t="s">
        <v>377</v>
      </c>
      <c r="G5323" t="s">
        <v>21</v>
      </c>
      <c r="H5323" t="s">
        <v>378</v>
      </c>
      <c r="I5323" t="s">
        <v>23</v>
      </c>
      <c r="J5323" t="s">
        <v>3297</v>
      </c>
      <c r="K5323" s="2" t="s">
        <v>2093</v>
      </c>
      <c r="L5323" t="s">
        <v>26</v>
      </c>
      <c r="M5323">
        <v>327013</v>
      </c>
      <c r="N5323">
        <v>1</v>
      </c>
      <c r="O5323">
        <v>500</v>
      </c>
      <c r="P5323">
        <v>358</v>
      </c>
      <c r="Q5323" s="5">
        <f t="shared" si="249"/>
        <v>420.1680672268908</v>
      </c>
      <c r="R5323" s="5">
        <f t="shared" si="250"/>
        <v>358</v>
      </c>
      <c r="S5323" s="5">
        <f t="shared" si="251"/>
        <v>62.168067226890798</v>
      </c>
    </row>
    <row r="5324" spans="1:19" hidden="1" x14ac:dyDescent="0.3">
      <c r="A5324">
        <v>190</v>
      </c>
      <c r="B5324" t="s">
        <v>5801</v>
      </c>
      <c r="C5324" t="s">
        <v>5783</v>
      </c>
      <c r="D5324" s="2" t="s">
        <v>5784</v>
      </c>
      <c r="E5324" t="s">
        <v>4771</v>
      </c>
      <c r="F5324" t="s">
        <v>20</v>
      </c>
      <c r="G5324" t="s">
        <v>338</v>
      </c>
      <c r="H5324">
        <v>85200</v>
      </c>
      <c r="I5324" t="s">
        <v>23</v>
      </c>
      <c r="J5324" t="s">
        <v>35</v>
      </c>
      <c r="K5324" s="2" t="s">
        <v>2093</v>
      </c>
      <c r="L5324" t="s">
        <v>26</v>
      </c>
      <c r="M5324">
        <v>327014</v>
      </c>
      <c r="N5324">
        <v>1</v>
      </c>
      <c r="O5324" s="3">
        <v>89950</v>
      </c>
      <c r="P5324" s="3">
        <v>27253</v>
      </c>
      <c r="Q5324" s="5">
        <f t="shared" si="249"/>
        <v>75588.23529411765</v>
      </c>
      <c r="R5324" s="5">
        <f t="shared" si="250"/>
        <v>27253</v>
      </c>
      <c r="S5324" s="5">
        <f t="shared" si="251"/>
        <v>48335.23529411765</v>
      </c>
    </row>
    <row r="5325" spans="1:19" hidden="1" x14ac:dyDescent="0.3">
      <c r="A5325">
        <v>190</v>
      </c>
      <c r="B5325" t="s">
        <v>5801</v>
      </c>
      <c r="C5325" t="s">
        <v>4334</v>
      </c>
      <c r="D5325" s="2" t="s">
        <v>4335</v>
      </c>
      <c r="E5325" t="s">
        <v>4291</v>
      </c>
      <c r="F5325" t="s">
        <v>20</v>
      </c>
      <c r="G5325" t="s">
        <v>21</v>
      </c>
      <c r="H5325" t="s">
        <v>285</v>
      </c>
      <c r="I5325" t="s">
        <v>23</v>
      </c>
      <c r="J5325" t="s">
        <v>35</v>
      </c>
      <c r="K5325" s="2" t="s">
        <v>2093</v>
      </c>
      <c r="L5325" t="s">
        <v>26</v>
      </c>
      <c r="M5325">
        <v>327015</v>
      </c>
      <c r="N5325">
        <v>1</v>
      </c>
      <c r="O5325" s="3">
        <v>79950</v>
      </c>
      <c r="P5325" s="3">
        <v>31481</v>
      </c>
      <c r="Q5325" s="5">
        <f t="shared" si="249"/>
        <v>67184.873949579836</v>
      </c>
      <c r="R5325" s="5">
        <f t="shared" si="250"/>
        <v>31481</v>
      </c>
      <c r="S5325" s="5">
        <f t="shared" si="251"/>
        <v>35703.873949579836</v>
      </c>
    </row>
    <row r="5326" spans="1:19" hidden="1" x14ac:dyDescent="0.3">
      <c r="A5326">
        <v>190</v>
      </c>
      <c r="B5326" t="s">
        <v>5801</v>
      </c>
      <c r="C5326" t="s">
        <v>6095</v>
      </c>
      <c r="D5326" s="2" t="s">
        <v>6096</v>
      </c>
      <c r="E5326" t="s">
        <v>6097</v>
      </c>
      <c r="F5326" t="s">
        <v>20</v>
      </c>
      <c r="G5326" t="s">
        <v>21</v>
      </c>
      <c r="H5326" t="s">
        <v>3811</v>
      </c>
      <c r="I5326" t="s">
        <v>23</v>
      </c>
      <c r="J5326" t="s">
        <v>40</v>
      </c>
      <c r="K5326" s="2" t="s">
        <v>2093</v>
      </c>
      <c r="L5326" t="s">
        <v>26</v>
      </c>
      <c r="M5326">
        <v>327016</v>
      </c>
      <c r="N5326">
        <v>1</v>
      </c>
      <c r="O5326" s="3">
        <v>49990</v>
      </c>
      <c r="P5326" s="3">
        <v>21722</v>
      </c>
      <c r="Q5326" s="5">
        <f t="shared" si="249"/>
        <v>42008.403361344543</v>
      </c>
      <c r="R5326" s="5">
        <f t="shared" si="250"/>
        <v>21722</v>
      </c>
      <c r="S5326" s="5">
        <f t="shared" si="251"/>
        <v>20286.403361344543</v>
      </c>
    </row>
    <row r="5327" spans="1:19" hidden="1" x14ac:dyDescent="0.3">
      <c r="A5327">
        <v>190</v>
      </c>
      <c r="B5327" t="s">
        <v>5801</v>
      </c>
      <c r="C5327" t="s">
        <v>6048</v>
      </c>
      <c r="D5327" s="2" t="s">
        <v>6049</v>
      </c>
      <c r="E5327" t="s">
        <v>68</v>
      </c>
      <c r="F5327" t="s">
        <v>20</v>
      </c>
      <c r="G5327" t="s">
        <v>21</v>
      </c>
      <c r="H5327" t="s">
        <v>44</v>
      </c>
      <c r="I5327" t="s">
        <v>23</v>
      </c>
      <c r="J5327" t="s">
        <v>40</v>
      </c>
      <c r="K5327" s="2" t="s">
        <v>2093</v>
      </c>
      <c r="L5327" t="s">
        <v>26</v>
      </c>
      <c r="M5327">
        <v>327017</v>
      </c>
      <c r="N5327">
        <v>1</v>
      </c>
      <c r="O5327" s="3">
        <v>59950</v>
      </c>
      <c r="P5327" s="3">
        <v>14287</v>
      </c>
      <c r="Q5327" s="5">
        <f t="shared" si="249"/>
        <v>50378.151260504201</v>
      </c>
      <c r="R5327" s="5">
        <f t="shared" si="250"/>
        <v>14287</v>
      </c>
      <c r="S5327" s="5">
        <f t="shared" si="251"/>
        <v>36091.151260504201</v>
      </c>
    </row>
    <row r="5328" spans="1:19" hidden="1" x14ac:dyDescent="0.3">
      <c r="A5328">
        <v>190</v>
      </c>
      <c r="B5328" t="s">
        <v>5801</v>
      </c>
      <c r="C5328" t="s">
        <v>3401</v>
      </c>
      <c r="D5328" s="2" t="s">
        <v>3402</v>
      </c>
      <c r="E5328" t="s">
        <v>3403</v>
      </c>
      <c r="F5328" t="s">
        <v>377</v>
      </c>
      <c r="G5328" t="s">
        <v>21</v>
      </c>
      <c r="H5328" t="s">
        <v>378</v>
      </c>
      <c r="I5328" t="s">
        <v>23</v>
      </c>
      <c r="J5328" t="s">
        <v>3297</v>
      </c>
      <c r="K5328" s="2" t="s">
        <v>2093</v>
      </c>
      <c r="L5328" t="s">
        <v>26</v>
      </c>
      <c r="M5328">
        <v>327017</v>
      </c>
      <c r="N5328">
        <v>1</v>
      </c>
      <c r="O5328">
        <v>500</v>
      </c>
      <c r="P5328">
        <v>418</v>
      </c>
      <c r="Q5328" s="5">
        <f t="shared" si="249"/>
        <v>420.1680672268908</v>
      </c>
      <c r="R5328" s="5">
        <f t="shared" si="250"/>
        <v>418</v>
      </c>
      <c r="S5328" s="5">
        <f t="shared" si="251"/>
        <v>2.1680672268907983</v>
      </c>
    </row>
    <row r="5329" spans="1:19" hidden="1" x14ac:dyDescent="0.3">
      <c r="A5329">
        <v>190</v>
      </c>
      <c r="B5329" t="s">
        <v>5801</v>
      </c>
      <c r="C5329" t="s">
        <v>1200</v>
      </c>
      <c r="D5329" s="2" t="s">
        <v>1201</v>
      </c>
      <c r="E5329" t="s">
        <v>938</v>
      </c>
      <c r="F5329" t="s">
        <v>20</v>
      </c>
      <c r="G5329" t="s">
        <v>21</v>
      </c>
      <c r="H5329" t="s">
        <v>317</v>
      </c>
      <c r="I5329" t="s">
        <v>23</v>
      </c>
      <c r="J5329" t="s">
        <v>35</v>
      </c>
      <c r="K5329" s="2" t="s">
        <v>2093</v>
      </c>
      <c r="L5329" t="s">
        <v>26</v>
      </c>
      <c r="M5329">
        <v>327018</v>
      </c>
      <c r="N5329">
        <v>1</v>
      </c>
      <c r="O5329" s="3">
        <v>69950</v>
      </c>
      <c r="P5329" s="3">
        <v>26288</v>
      </c>
      <c r="Q5329" s="5">
        <f t="shared" si="249"/>
        <v>58781.512605042022</v>
      </c>
      <c r="R5329" s="5">
        <f t="shared" si="250"/>
        <v>26288</v>
      </c>
      <c r="S5329" s="5">
        <f t="shared" si="251"/>
        <v>32493.512605042022</v>
      </c>
    </row>
    <row r="5330" spans="1:19" hidden="1" x14ac:dyDescent="0.3">
      <c r="A5330">
        <v>190</v>
      </c>
      <c r="B5330" t="s">
        <v>5801</v>
      </c>
      <c r="C5330" t="s">
        <v>3294</v>
      </c>
      <c r="D5330" s="2" t="s">
        <v>3295</v>
      </c>
      <c r="E5330" t="s">
        <v>3296</v>
      </c>
      <c r="F5330" t="s">
        <v>377</v>
      </c>
      <c r="G5330" t="s">
        <v>21</v>
      </c>
      <c r="H5330" t="s">
        <v>378</v>
      </c>
      <c r="I5330" t="s">
        <v>23</v>
      </c>
      <c r="J5330" t="s">
        <v>3297</v>
      </c>
      <c r="K5330" s="2" t="s">
        <v>2093</v>
      </c>
      <c r="L5330" t="s">
        <v>26</v>
      </c>
      <c r="M5330">
        <v>327018</v>
      </c>
      <c r="N5330">
        <v>1</v>
      </c>
      <c r="O5330">
        <v>500</v>
      </c>
      <c r="P5330">
        <v>358</v>
      </c>
      <c r="Q5330" s="5">
        <f t="shared" si="249"/>
        <v>420.1680672268908</v>
      </c>
      <c r="R5330" s="5">
        <f t="shared" si="250"/>
        <v>358</v>
      </c>
      <c r="S5330" s="5">
        <f t="shared" si="251"/>
        <v>62.168067226890798</v>
      </c>
    </row>
    <row r="5331" spans="1:19" hidden="1" x14ac:dyDescent="0.3">
      <c r="A5331">
        <v>190</v>
      </c>
      <c r="B5331" t="s">
        <v>5801</v>
      </c>
      <c r="C5331" t="s">
        <v>2108</v>
      </c>
      <c r="D5331" s="2" t="s">
        <v>2109</v>
      </c>
      <c r="E5331" t="s">
        <v>2110</v>
      </c>
      <c r="F5331" t="s">
        <v>20</v>
      </c>
      <c r="G5331" t="s">
        <v>21</v>
      </c>
      <c r="H5331" t="s">
        <v>22</v>
      </c>
      <c r="I5331" t="s">
        <v>23</v>
      </c>
      <c r="J5331" t="s">
        <v>24</v>
      </c>
      <c r="K5331" s="2" t="s">
        <v>2093</v>
      </c>
      <c r="L5331" t="s">
        <v>26</v>
      </c>
      <c r="M5331">
        <v>327019</v>
      </c>
      <c r="N5331">
        <v>1</v>
      </c>
      <c r="O5331" s="3">
        <v>79950</v>
      </c>
      <c r="P5331" s="3">
        <v>27757</v>
      </c>
      <c r="Q5331" s="5">
        <f t="shared" si="249"/>
        <v>67184.873949579836</v>
      </c>
      <c r="R5331" s="5">
        <f t="shared" si="250"/>
        <v>27757</v>
      </c>
      <c r="S5331" s="5">
        <f t="shared" si="251"/>
        <v>39427.873949579836</v>
      </c>
    </row>
    <row r="5332" spans="1:19" hidden="1" x14ac:dyDescent="0.3">
      <c r="A5332">
        <v>190</v>
      </c>
      <c r="B5332" t="s">
        <v>5801</v>
      </c>
      <c r="C5332" t="s">
        <v>6098</v>
      </c>
      <c r="D5332" s="2" t="s">
        <v>6099</v>
      </c>
      <c r="E5332" t="s">
        <v>2370</v>
      </c>
      <c r="F5332" t="s">
        <v>20</v>
      </c>
      <c r="G5332" t="s">
        <v>338</v>
      </c>
      <c r="H5332">
        <v>24200</v>
      </c>
      <c r="I5332" t="s">
        <v>23</v>
      </c>
      <c r="J5332" t="s">
        <v>95</v>
      </c>
      <c r="K5332" s="2" t="s">
        <v>2093</v>
      </c>
      <c r="L5332" t="s">
        <v>26</v>
      </c>
      <c r="M5332">
        <v>327020</v>
      </c>
      <c r="N5332">
        <v>1</v>
      </c>
      <c r="O5332" s="3">
        <v>72200</v>
      </c>
      <c r="P5332" s="3">
        <v>28401</v>
      </c>
      <c r="Q5332" s="5">
        <f t="shared" si="249"/>
        <v>60672.268907563026</v>
      </c>
      <c r="R5332" s="5">
        <f t="shared" si="250"/>
        <v>28401</v>
      </c>
      <c r="S5332" s="5">
        <f t="shared" si="251"/>
        <v>32271.268907563026</v>
      </c>
    </row>
    <row r="5333" spans="1:19" hidden="1" x14ac:dyDescent="0.3">
      <c r="A5333">
        <v>190</v>
      </c>
      <c r="B5333" t="s">
        <v>5801</v>
      </c>
      <c r="C5333" t="s">
        <v>6100</v>
      </c>
      <c r="D5333" s="2" t="s">
        <v>6101</v>
      </c>
      <c r="E5333" t="s">
        <v>5119</v>
      </c>
      <c r="F5333" t="s">
        <v>20</v>
      </c>
      <c r="G5333" t="s">
        <v>21</v>
      </c>
      <c r="H5333" t="s">
        <v>2782</v>
      </c>
      <c r="I5333" t="s">
        <v>23</v>
      </c>
      <c r="J5333" t="s">
        <v>35</v>
      </c>
      <c r="K5333" s="2" t="s">
        <v>2093</v>
      </c>
      <c r="L5333" t="s">
        <v>26</v>
      </c>
      <c r="M5333">
        <v>327020</v>
      </c>
      <c r="N5333">
        <v>1</v>
      </c>
      <c r="O5333" s="3">
        <v>74950</v>
      </c>
      <c r="P5333" s="3">
        <v>24388</v>
      </c>
      <c r="Q5333" s="5">
        <f t="shared" si="249"/>
        <v>62983.193277310929</v>
      </c>
      <c r="R5333" s="5">
        <f t="shared" si="250"/>
        <v>24388</v>
      </c>
      <c r="S5333" s="5">
        <f t="shared" si="251"/>
        <v>38595.193277310929</v>
      </c>
    </row>
    <row r="5334" spans="1:19" hidden="1" x14ac:dyDescent="0.3">
      <c r="A5334">
        <v>190</v>
      </c>
      <c r="B5334" t="s">
        <v>5801</v>
      </c>
      <c r="C5334" t="s">
        <v>2772</v>
      </c>
      <c r="D5334" s="2" t="s">
        <v>2773</v>
      </c>
      <c r="E5334" t="s">
        <v>2771</v>
      </c>
      <c r="F5334" t="s">
        <v>20</v>
      </c>
      <c r="G5334" t="s">
        <v>21</v>
      </c>
      <c r="H5334" t="s">
        <v>57</v>
      </c>
      <c r="I5334" t="s">
        <v>23</v>
      </c>
      <c r="J5334" t="s">
        <v>35</v>
      </c>
      <c r="K5334" s="2" t="s">
        <v>2093</v>
      </c>
      <c r="L5334" t="s">
        <v>26</v>
      </c>
      <c r="M5334">
        <v>327021</v>
      </c>
      <c r="N5334">
        <v>-1</v>
      </c>
      <c r="O5334" s="3">
        <v>-89950</v>
      </c>
      <c r="P5334" s="3">
        <v>29189</v>
      </c>
      <c r="Q5334" s="5">
        <f t="shared" si="249"/>
        <v>-75588.23529411765</v>
      </c>
      <c r="R5334" s="5">
        <f t="shared" si="250"/>
        <v>-29189</v>
      </c>
      <c r="S5334" s="5">
        <f t="shared" si="251"/>
        <v>-46399.23529411765</v>
      </c>
    </row>
    <row r="5335" spans="1:19" hidden="1" x14ac:dyDescent="0.3">
      <c r="A5335">
        <v>190</v>
      </c>
      <c r="B5335" t="s">
        <v>5801</v>
      </c>
      <c r="C5335" t="s">
        <v>6102</v>
      </c>
      <c r="D5335" s="2" t="s">
        <v>6103</v>
      </c>
      <c r="E5335" t="s">
        <v>3280</v>
      </c>
      <c r="F5335" t="s">
        <v>20</v>
      </c>
      <c r="G5335" t="s">
        <v>21</v>
      </c>
      <c r="H5335" t="s">
        <v>1286</v>
      </c>
      <c r="I5335" t="s">
        <v>23</v>
      </c>
      <c r="J5335" t="s">
        <v>40</v>
      </c>
      <c r="K5335" s="2" t="s">
        <v>2093</v>
      </c>
      <c r="L5335" t="s">
        <v>26</v>
      </c>
      <c r="M5335">
        <v>327021</v>
      </c>
      <c r="N5335">
        <v>1</v>
      </c>
      <c r="O5335" s="3">
        <v>69950</v>
      </c>
      <c r="P5335" s="3">
        <v>24783</v>
      </c>
      <c r="Q5335" s="5">
        <f t="shared" si="249"/>
        <v>58781.512605042022</v>
      </c>
      <c r="R5335" s="5">
        <f t="shared" si="250"/>
        <v>24783</v>
      </c>
      <c r="S5335" s="5">
        <f t="shared" si="251"/>
        <v>33998.512605042022</v>
      </c>
    </row>
    <row r="5336" spans="1:19" hidden="1" x14ac:dyDescent="0.3">
      <c r="A5336">
        <v>190</v>
      </c>
      <c r="B5336" t="s">
        <v>5801</v>
      </c>
      <c r="C5336" t="s">
        <v>6104</v>
      </c>
      <c r="D5336" s="2" t="s">
        <v>6105</v>
      </c>
      <c r="E5336" t="s">
        <v>3105</v>
      </c>
      <c r="F5336" t="s">
        <v>377</v>
      </c>
      <c r="G5336" t="s">
        <v>21</v>
      </c>
      <c r="H5336" t="s">
        <v>378</v>
      </c>
      <c r="I5336" t="s">
        <v>23</v>
      </c>
      <c r="J5336" t="s">
        <v>2620</v>
      </c>
      <c r="K5336" s="2" t="s">
        <v>2093</v>
      </c>
      <c r="L5336" t="s">
        <v>26</v>
      </c>
      <c r="M5336">
        <v>327021</v>
      </c>
      <c r="N5336">
        <v>1</v>
      </c>
      <c r="O5336" s="3">
        <v>24950</v>
      </c>
      <c r="P5336" s="3">
        <v>10562</v>
      </c>
      <c r="Q5336" s="5">
        <f t="shared" si="249"/>
        <v>20966.386554621851</v>
      </c>
      <c r="R5336" s="5">
        <f t="shared" si="250"/>
        <v>10562</v>
      </c>
      <c r="S5336" s="5">
        <f t="shared" si="251"/>
        <v>10404.386554621851</v>
      </c>
    </row>
    <row r="5337" spans="1:19" hidden="1" x14ac:dyDescent="0.3">
      <c r="A5337">
        <v>190</v>
      </c>
      <c r="B5337" t="s">
        <v>5801</v>
      </c>
      <c r="C5337" t="s">
        <v>4385</v>
      </c>
      <c r="D5337" s="2" t="s">
        <v>4386</v>
      </c>
      <c r="E5337" t="s">
        <v>609</v>
      </c>
      <c r="F5337" t="s">
        <v>20</v>
      </c>
      <c r="G5337" t="s">
        <v>21</v>
      </c>
      <c r="H5337" t="s">
        <v>610</v>
      </c>
      <c r="I5337" t="s">
        <v>23</v>
      </c>
      <c r="J5337" t="s">
        <v>40</v>
      </c>
      <c r="K5337" s="2" t="s">
        <v>2149</v>
      </c>
      <c r="L5337" t="s">
        <v>26</v>
      </c>
      <c r="M5337">
        <v>327022</v>
      </c>
      <c r="N5337">
        <v>1</v>
      </c>
      <c r="O5337" s="3">
        <v>34990</v>
      </c>
      <c r="P5337" s="3">
        <v>14680</v>
      </c>
      <c r="Q5337" s="5">
        <f t="shared" si="249"/>
        <v>29403.361344537818</v>
      </c>
      <c r="R5337" s="5">
        <f t="shared" si="250"/>
        <v>14680</v>
      </c>
      <c r="S5337" s="5">
        <f t="shared" si="251"/>
        <v>14723.361344537818</v>
      </c>
    </row>
    <row r="5338" spans="1:19" hidden="1" x14ac:dyDescent="0.3">
      <c r="A5338">
        <v>190</v>
      </c>
      <c r="B5338" t="s">
        <v>5801</v>
      </c>
      <c r="C5338">
        <v>1687976791</v>
      </c>
      <c r="D5338" s="2" t="s">
        <v>200</v>
      </c>
      <c r="E5338" t="s">
        <v>201</v>
      </c>
      <c r="F5338" t="s">
        <v>201</v>
      </c>
      <c r="G5338" t="s">
        <v>202</v>
      </c>
      <c r="H5338" t="s">
        <v>202</v>
      </c>
      <c r="I5338" t="s">
        <v>23</v>
      </c>
      <c r="J5338" t="s">
        <v>202</v>
      </c>
      <c r="K5338" s="2" t="s">
        <v>2149</v>
      </c>
      <c r="L5338" t="s">
        <v>26</v>
      </c>
      <c r="M5338">
        <v>327022</v>
      </c>
      <c r="N5338">
        <v>1</v>
      </c>
      <c r="O5338" s="3">
        <v>3400</v>
      </c>
      <c r="P5338">
        <v>1</v>
      </c>
      <c r="Q5338" s="5">
        <f t="shared" si="249"/>
        <v>2857.1428571428573</v>
      </c>
      <c r="R5338" s="5">
        <f t="shared" si="250"/>
        <v>1</v>
      </c>
      <c r="S5338" s="5">
        <f t="shared" si="251"/>
        <v>2856.1428571428573</v>
      </c>
    </row>
    <row r="5339" spans="1:19" hidden="1" x14ac:dyDescent="0.3">
      <c r="A5339">
        <v>190</v>
      </c>
      <c r="B5339" t="s">
        <v>5801</v>
      </c>
      <c r="C5339" t="s">
        <v>2739</v>
      </c>
      <c r="D5339" s="2" t="s">
        <v>2740</v>
      </c>
      <c r="E5339" t="s">
        <v>2741</v>
      </c>
      <c r="F5339" t="s">
        <v>20</v>
      </c>
      <c r="G5339" t="s">
        <v>21</v>
      </c>
      <c r="H5339" t="s">
        <v>2494</v>
      </c>
      <c r="I5339" t="s">
        <v>23</v>
      </c>
      <c r="J5339" t="s">
        <v>40</v>
      </c>
      <c r="K5339" s="2" t="s">
        <v>2149</v>
      </c>
      <c r="L5339" t="s">
        <v>26</v>
      </c>
      <c r="M5339">
        <v>327023</v>
      </c>
      <c r="N5339">
        <v>1</v>
      </c>
      <c r="O5339" s="3">
        <v>69950</v>
      </c>
      <c r="P5339" s="3">
        <v>23470</v>
      </c>
      <c r="Q5339" s="5">
        <f t="shared" si="249"/>
        <v>58781.512605042022</v>
      </c>
      <c r="R5339" s="5">
        <f t="shared" si="250"/>
        <v>23470</v>
      </c>
      <c r="S5339" s="5">
        <f t="shared" si="251"/>
        <v>35311.512605042022</v>
      </c>
    </row>
    <row r="5340" spans="1:19" hidden="1" x14ac:dyDescent="0.3">
      <c r="A5340">
        <v>190</v>
      </c>
      <c r="B5340" t="s">
        <v>5801</v>
      </c>
      <c r="C5340" t="s">
        <v>3294</v>
      </c>
      <c r="D5340" s="2" t="s">
        <v>3295</v>
      </c>
      <c r="E5340" t="s">
        <v>3296</v>
      </c>
      <c r="F5340" t="s">
        <v>377</v>
      </c>
      <c r="G5340" t="s">
        <v>21</v>
      </c>
      <c r="H5340" t="s">
        <v>378</v>
      </c>
      <c r="I5340" t="s">
        <v>23</v>
      </c>
      <c r="J5340" t="s">
        <v>3297</v>
      </c>
      <c r="K5340" s="2" t="s">
        <v>2149</v>
      </c>
      <c r="L5340" t="s">
        <v>26</v>
      </c>
      <c r="M5340">
        <v>327024</v>
      </c>
      <c r="N5340">
        <v>1</v>
      </c>
      <c r="O5340">
        <v>500</v>
      </c>
      <c r="P5340">
        <v>358</v>
      </c>
      <c r="Q5340" s="5">
        <f t="shared" si="249"/>
        <v>420.1680672268908</v>
      </c>
      <c r="R5340" s="5">
        <f t="shared" si="250"/>
        <v>358</v>
      </c>
      <c r="S5340" s="5">
        <f t="shared" si="251"/>
        <v>62.168067226890798</v>
      </c>
    </row>
    <row r="5341" spans="1:19" hidden="1" x14ac:dyDescent="0.3">
      <c r="A5341">
        <v>190</v>
      </c>
      <c r="B5341" t="s">
        <v>5801</v>
      </c>
      <c r="C5341" t="s">
        <v>5004</v>
      </c>
      <c r="D5341" s="2" t="s">
        <v>5005</v>
      </c>
      <c r="E5341" t="s">
        <v>2476</v>
      </c>
      <c r="F5341" t="s">
        <v>20</v>
      </c>
      <c r="G5341" t="s">
        <v>21</v>
      </c>
      <c r="H5341" t="s">
        <v>114</v>
      </c>
      <c r="I5341" t="s">
        <v>23</v>
      </c>
      <c r="J5341" t="s">
        <v>49</v>
      </c>
      <c r="K5341" s="2" t="s">
        <v>2149</v>
      </c>
      <c r="L5341" t="s">
        <v>26</v>
      </c>
      <c r="M5341">
        <v>327025</v>
      </c>
      <c r="N5341">
        <v>1</v>
      </c>
      <c r="O5341" s="3">
        <v>69950</v>
      </c>
      <c r="P5341" s="3">
        <v>22176</v>
      </c>
      <c r="Q5341" s="5">
        <f t="shared" si="249"/>
        <v>58781.512605042022</v>
      </c>
      <c r="R5341" s="5">
        <f t="shared" si="250"/>
        <v>22176</v>
      </c>
      <c r="S5341" s="5">
        <f t="shared" si="251"/>
        <v>36605.512605042022</v>
      </c>
    </row>
    <row r="5342" spans="1:19" hidden="1" x14ac:dyDescent="0.3">
      <c r="A5342">
        <v>190</v>
      </c>
      <c r="B5342" t="s">
        <v>5801</v>
      </c>
      <c r="C5342" t="s">
        <v>2765</v>
      </c>
      <c r="D5342" s="2" t="s">
        <v>2766</v>
      </c>
      <c r="E5342" t="s">
        <v>2658</v>
      </c>
      <c r="F5342" t="s">
        <v>20</v>
      </c>
      <c r="G5342" t="s">
        <v>21</v>
      </c>
      <c r="H5342" t="s">
        <v>500</v>
      </c>
      <c r="I5342" t="s">
        <v>23</v>
      </c>
      <c r="J5342" t="s">
        <v>40</v>
      </c>
      <c r="K5342" s="2" t="s">
        <v>2149</v>
      </c>
      <c r="L5342" t="s">
        <v>26</v>
      </c>
      <c r="M5342">
        <v>327026</v>
      </c>
      <c r="N5342">
        <v>1</v>
      </c>
      <c r="O5342" s="3">
        <v>59950</v>
      </c>
      <c r="P5342" s="3">
        <v>16978</v>
      </c>
      <c r="Q5342" s="5">
        <f t="shared" si="249"/>
        <v>50378.151260504201</v>
      </c>
      <c r="R5342" s="5">
        <f t="shared" si="250"/>
        <v>16978</v>
      </c>
      <c r="S5342" s="5">
        <f t="shared" si="251"/>
        <v>33400.151260504201</v>
      </c>
    </row>
    <row r="5343" spans="1:19" hidden="1" x14ac:dyDescent="0.3">
      <c r="A5343">
        <v>190</v>
      </c>
      <c r="B5343" t="s">
        <v>5801</v>
      </c>
      <c r="C5343" t="s">
        <v>4916</v>
      </c>
      <c r="D5343" s="2" t="s">
        <v>4917</v>
      </c>
      <c r="E5343" t="s">
        <v>2592</v>
      </c>
      <c r="F5343" t="s">
        <v>20</v>
      </c>
      <c r="G5343" t="s">
        <v>21</v>
      </c>
      <c r="H5343" t="s">
        <v>2593</v>
      </c>
      <c r="I5343" t="s">
        <v>23</v>
      </c>
      <c r="J5343" t="s">
        <v>35</v>
      </c>
      <c r="K5343" s="2" t="s">
        <v>2149</v>
      </c>
      <c r="L5343" t="s">
        <v>26</v>
      </c>
      <c r="M5343">
        <v>327027</v>
      </c>
      <c r="N5343">
        <v>1</v>
      </c>
      <c r="O5343" s="3">
        <v>99950</v>
      </c>
      <c r="P5343" s="3">
        <v>38102</v>
      </c>
      <c r="Q5343" s="5">
        <f t="shared" si="249"/>
        <v>83991.596638655465</v>
      </c>
      <c r="R5343" s="5">
        <f t="shared" si="250"/>
        <v>38102</v>
      </c>
      <c r="S5343" s="5">
        <f t="shared" si="251"/>
        <v>45889.596638655465</v>
      </c>
    </row>
    <row r="5344" spans="1:19" hidden="1" x14ac:dyDescent="0.3">
      <c r="A5344">
        <v>190</v>
      </c>
      <c r="B5344" t="s">
        <v>5801</v>
      </c>
      <c r="C5344" t="s">
        <v>3294</v>
      </c>
      <c r="D5344" s="2" t="s">
        <v>3295</v>
      </c>
      <c r="E5344" t="s">
        <v>3296</v>
      </c>
      <c r="F5344" t="s">
        <v>377</v>
      </c>
      <c r="G5344" t="s">
        <v>21</v>
      </c>
      <c r="H5344" t="s">
        <v>378</v>
      </c>
      <c r="I5344" t="s">
        <v>23</v>
      </c>
      <c r="J5344" t="s">
        <v>3297</v>
      </c>
      <c r="K5344" s="2" t="s">
        <v>2149</v>
      </c>
      <c r="L5344" t="s">
        <v>26</v>
      </c>
      <c r="M5344">
        <v>327027</v>
      </c>
      <c r="N5344">
        <v>1</v>
      </c>
      <c r="O5344">
        <v>500</v>
      </c>
      <c r="P5344">
        <v>358</v>
      </c>
      <c r="Q5344" s="5">
        <f t="shared" si="249"/>
        <v>420.1680672268908</v>
      </c>
      <c r="R5344" s="5">
        <f t="shared" si="250"/>
        <v>358</v>
      </c>
      <c r="S5344" s="5">
        <f t="shared" si="251"/>
        <v>62.168067226890798</v>
      </c>
    </row>
    <row r="5345" spans="1:19" hidden="1" x14ac:dyDescent="0.3">
      <c r="A5345">
        <v>190</v>
      </c>
      <c r="B5345" t="s">
        <v>5801</v>
      </c>
      <c r="C5345" t="s">
        <v>4427</v>
      </c>
      <c r="D5345" s="2" t="s">
        <v>4428</v>
      </c>
      <c r="E5345" t="s">
        <v>1986</v>
      </c>
      <c r="F5345" t="s">
        <v>20</v>
      </c>
      <c r="G5345" t="s">
        <v>21</v>
      </c>
      <c r="H5345" t="s">
        <v>1987</v>
      </c>
      <c r="I5345" t="s">
        <v>23</v>
      </c>
      <c r="J5345" t="s">
        <v>49</v>
      </c>
      <c r="K5345" s="2" t="s">
        <v>2149</v>
      </c>
      <c r="L5345" t="s">
        <v>26</v>
      </c>
      <c r="M5345">
        <v>327028</v>
      </c>
      <c r="N5345">
        <v>1</v>
      </c>
      <c r="O5345" s="3">
        <v>74950</v>
      </c>
      <c r="P5345" s="3">
        <v>25014</v>
      </c>
      <c r="Q5345" s="5">
        <f t="shared" si="249"/>
        <v>62983.193277310929</v>
      </c>
      <c r="R5345" s="5">
        <f t="shared" si="250"/>
        <v>25014</v>
      </c>
      <c r="S5345" s="5">
        <f t="shared" si="251"/>
        <v>37969.193277310929</v>
      </c>
    </row>
    <row r="5346" spans="1:19" hidden="1" x14ac:dyDescent="0.3">
      <c r="A5346">
        <v>190</v>
      </c>
      <c r="B5346" t="s">
        <v>5801</v>
      </c>
      <c r="C5346" t="s">
        <v>3099</v>
      </c>
      <c r="D5346" s="2" t="s">
        <v>3100</v>
      </c>
      <c r="E5346" t="s">
        <v>2718</v>
      </c>
      <c r="F5346" t="s">
        <v>20</v>
      </c>
      <c r="G5346" t="s">
        <v>21</v>
      </c>
      <c r="H5346" t="s">
        <v>1887</v>
      </c>
      <c r="I5346" t="s">
        <v>23</v>
      </c>
      <c r="J5346" t="s">
        <v>40</v>
      </c>
      <c r="K5346" s="2" t="s">
        <v>2149</v>
      </c>
      <c r="L5346" t="s">
        <v>26</v>
      </c>
      <c r="M5346">
        <v>327029</v>
      </c>
      <c r="N5346">
        <v>1</v>
      </c>
      <c r="O5346" s="3">
        <v>69950</v>
      </c>
      <c r="P5346" s="3">
        <v>22018</v>
      </c>
      <c r="Q5346" s="5">
        <f t="shared" si="249"/>
        <v>58781.512605042022</v>
      </c>
      <c r="R5346" s="5">
        <f t="shared" si="250"/>
        <v>22018</v>
      </c>
      <c r="S5346" s="5">
        <f t="shared" si="251"/>
        <v>36763.512605042022</v>
      </c>
    </row>
    <row r="5347" spans="1:19" hidden="1" x14ac:dyDescent="0.3">
      <c r="A5347">
        <v>190</v>
      </c>
      <c r="B5347" t="s">
        <v>5801</v>
      </c>
      <c r="C5347" t="s">
        <v>3507</v>
      </c>
      <c r="D5347" s="2" t="s">
        <v>3508</v>
      </c>
      <c r="E5347" t="s">
        <v>2323</v>
      </c>
      <c r="F5347" t="s">
        <v>20</v>
      </c>
      <c r="G5347" t="s">
        <v>21</v>
      </c>
      <c r="H5347" t="s">
        <v>1887</v>
      </c>
      <c r="I5347" t="s">
        <v>23</v>
      </c>
      <c r="J5347" t="s">
        <v>40</v>
      </c>
      <c r="K5347" s="2" t="s">
        <v>2149</v>
      </c>
      <c r="L5347" t="s">
        <v>26</v>
      </c>
      <c r="M5347">
        <v>327030</v>
      </c>
      <c r="N5347">
        <v>1</v>
      </c>
      <c r="O5347" s="3">
        <v>59450</v>
      </c>
      <c r="P5347" s="3">
        <v>21623</v>
      </c>
      <c r="Q5347" s="5">
        <f t="shared" si="249"/>
        <v>49957.983193277316</v>
      </c>
      <c r="R5347" s="5">
        <f t="shared" si="250"/>
        <v>21623</v>
      </c>
      <c r="S5347" s="5">
        <f t="shared" si="251"/>
        <v>28334.983193277316</v>
      </c>
    </row>
    <row r="5348" spans="1:19" hidden="1" x14ac:dyDescent="0.3">
      <c r="A5348">
        <v>190</v>
      </c>
      <c r="B5348" t="s">
        <v>5801</v>
      </c>
      <c r="C5348" t="s">
        <v>3037</v>
      </c>
      <c r="D5348" s="2" t="s">
        <v>3038</v>
      </c>
      <c r="E5348" t="s">
        <v>1404</v>
      </c>
      <c r="F5348" t="s">
        <v>20</v>
      </c>
      <c r="G5348" t="s">
        <v>21</v>
      </c>
      <c r="H5348" t="s">
        <v>1405</v>
      </c>
      <c r="I5348" t="s">
        <v>23</v>
      </c>
      <c r="J5348" t="s">
        <v>40</v>
      </c>
      <c r="K5348" s="2" t="s">
        <v>2149</v>
      </c>
      <c r="L5348" t="s">
        <v>26</v>
      </c>
      <c r="M5348">
        <v>327030</v>
      </c>
      <c r="N5348">
        <v>1</v>
      </c>
      <c r="O5348" s="3">
        <v>49950</v>
      </c>
      <c r="P5348" s="3">
        <v>13302</v>
      </c>
      <c r="Q5348" s="5">
        <f t="shared" si="249"/>
        <v>41974.789915966387</v>
      </c>
      <c r="R5348" s="5">
        <f t="shared" si="250"/>
        <v>13302</v>
      </c>
      <c r="S5348" s="5">
        <f t="shared" si="251"/>
        <v>28672.789915966387</v>
      </c>
    </row>
    <row r="5349" spans="1:19" hidden="1" x14ac:dyDescent="0.3">
      <c r="A5349">
        <v>190</v>
      </c>
      <c r="B5349" t="s">
        <v>5801</v>
      </c>
      <c r="C5349" t="s">
        <v>2866</v>
      </c>
      <c r="D5349" s="2" t="s">
        <v>2867</v>
      </c>
      <c r="E5349" t="s">
        <v>714</v>
      </c>
      <c r="F5349" t="s">
        <v>20</v>
      </c>
      <c r="G5349" t="s">
        <v>21</v>
      </c>
      <c r="H5349" t="s">
        <v>30</v>
      </c>
      <c r="I5349" t="s">
        <v>23</v>
      </c>
      <c r="J5349" t="s">
        <v>49</v>
      </c>
      <c r="K5349" s="2" t="s">
        <v>2149</v>
      </c>
      <c r="L5349" t="s">
        <v>26</v>
      </c>
      <c r="M5349">
        <v>327031</v>
      </c>
      <c r="N5349">
        <v>1</v>
      </c>
      <c r="O5349" s="3">
        <v>69950</v>
      </c>
      <c r="P5349" s="3">
        <v>25153</v>
      </c>
      <c r="Q5349" s="5">
        <f t="shared" si="249"/>
        <v>58781.512605042022</v>
      </c>
      <c r="R5349" s="5">
        <f t="shared" si="250"/>
        <v>25153</v>
      </c>
      <c r="S5349" s="5">
        <f t="shared" si="251"/>
        <v>33628.512605042022</v>
      </c>
    </row>
    <row r="5350" spans="1:19" hidden="1" x14ac:dyDescent="0.3">
      <c r="A5350">
        <v>190</v>
      </c>
      <c r="B5350" t="s">
        <v>5801</v>
      </c>
      <c r="C5350" t="s">
        <v>2746</v>
      </c>
      <c r="D5350" s="2" t="s">
        <v>2747</v>
      </c>
      <c r="E5350" t="s">
        <v>2748</v>
      </c>
      <c r="F5350" t="s">
        <v>20</v>
      </c>
      <c r="G5350" t="s">
        <v>338</v>
      </c>
      <c r="H5350">
        <v>26266</v>
      </c>
      <c r="I5350" t="s">
        <v>23</v>
      </c>
      <c r="J5350" t="s">
        <v>35</v>
      </c>
      <c r="K5350" s="2" t="s">
        <v>2149</v>
      </c>
      <c r="L5350" t="s">
        <v>26</v>
      </c>
      <c r="M5350">
        <v>327032</v>
      </c>
      <c r="N5350">
        <v>1</v>
      </c>
      <c r="O5350" s="3">
        <v>67950</v>
      </c>
      <c r="P5350" s="3">
        <v>25300</v>
      </c>
      <c r="Q5350" s="5">
        <f t="shared" si="249"/>
        <v>57100.840336134454</v>
      </c>
      <c r="R5350" s="5">
        <f t="shared" si="250"/>
        <v>25300</v>
      </c>
      <c r="S5350" s="5">
        <f t="shared" si="251"/>
        <v>31800.840336134454</v>
      </c>
    </row>
    <row r="5351" spans="1:19" hidden="1" x14ac:dyDescent="0.3">
      <c r="A5351">
        <v>190</v>
      </c>
      <c r="B5351" t="s">
        <v>5801</v>
      </c>
      <c r="C5351" t="s">
        <v>6106</v>
      </c>
      <c r="D5351" s="2" t="s">
        <v>6107</v>
      </c>
      <c r="E5351" t="s">
        <v>3669</v>
      </c>
      <c r="F5351" t="s">
        <v>20</v>
      </c>
      <c r="G5351" t="s">
        <v>21</v>
      </c>
      <c r="H5351" t="s">
        <v>2593</v>
      </c>
      <c r="I5351" t="s">
        <v>23</v>
      </c>
      <c r="J5351" t="s">
        <v>35</v>
      </c>
      <c r="K5351" s="2" t="s">
        <v>2149</v>
      </c>
      <c r="L5351" t="s">
        <v>26</v>
      </c>
      <c r="M5351">
        <v>327032</v>
      </c>
      <c r="N5351">
        <v>1</v>
      </c>
      <c r="O5351" s="3">
        <v>94950</v>
      </c>
      <c r="P5351" s="3">
        <v>34760</v>
      </c>
      <c r="Q5351" s="5">
        <f t="shared" si="249"/>
        <v>79789.915966386558</v>
      </c>
      <c r="R5351" s="5">
        <f t="shared" si="250"/>
        <v>34760</v>
      </c>
      <c r="S5351" s="5">
        <f t="shared" si="251"/>
        <v>45029.915966386558</v>
      </c>
    </row>
    <row r="5352" spans="1:19" hidden="1" x14ac:dyDescent="0.3">
      <c r="A5352">
        <v>190</v>
      </c>
      <c r="B5352" t="s">
        <v>5801</v>
      </c>
      <c r="C5352" t="s">
        <v>3294</v>
      </c>
      <c r="D5352" s="2" t="s">
        <v>3295</v>
      </c>
      <c r="E5352" t="s">
        <v>3296</v>
      </c>
      <c r="F5352" t="s">
        <v>377</v>
      </c>
      <c r="G5352" t="s">
        <v>21</v>
      </c>
      <c r="H5352" t="s">
        <v>378</v>
      </c>
      <c r="I5352" t="s">
        <v>23</v>
      </c>
      <c r="J5352" t="s">
        <v>3297</v>
      </c>
      <c r="K5352" s="2" t="s">
        <v>2149</v>
      </c>
      <c r="L5352" t="s">
        <v>26</v>
      </c>
      <c r="M5352">
        <v>327032</v>
      </c>
      <c r="N5352">
        <v>1</v>
      </c>
      <c r="O5352">
        <v>500</v>
      </c>
      <c r="P5352">
        <v>358</v>
      </c>
      <c r="Q5352" s="5">
        <f t="shared" si="249"/>
        <v>420.1680672268908</v>
      </c>
      <c r="R5352" s="5">
        <f t="shared" si="250"/>
        <v>358</v>
      </c>
      <c r="S5352" s="5">
        <f t="shared" si="251"/>
        <v>62.168067226890798</v>
      </c>
    </row>
    <row r="5353" spans="1:19" hidden="1" x14ac:dyDescent="0.3">
      <c r="A5353">
        <v>190</v>
      </c>
      <c r="B5353" t="s">
        <v>5801</v>
      </c>
      <c r="C5353" t="s">
        <v>3796</v>
      </c>
      <c r="D5353" s="2" t="s">
        <v>3797</v>
      </c>
      <c r="E5353" t="s">
        <v>3195</v>
      </c>
      <c r="F5353" t="s">
        <v>20</v>
      </c>
      <c r="G5353" t="s">
        <v>338</v>
      </c>
      <c r="H5353">
        <v>25366</v>
      </c>
      <c r="I5353" t="s">
        <v>23</v>
      </c>
      <c r="J5353" t="s">
        <v>35</v>
      </c>
      <c r="K5353" s="2" t="s">
        <v>2149</v>
      </c>
      <c r="L5353" t="s">
        <v>26</v>
      </c>
      <c r="M5353">
        <v>327033</v>
      </c>
      <c r="N5353">
        <v>1</v>
      </c>
      <c r="O5353" s="3">
        <v>99950</v>
      </c>
      <c r="P5353" s="3">
        <v>33157</v>
      </c>
      <c r="Q5353" s="5">
        <f t="shared" si="249"/>
        <v>83991.596638655465</v>
      </c>
      <c r="R5353" s="5">
        <f t="shared" si="250"/>
        <v>33157</v>
      </c>
      <c r="S5353" s="5">
        <f t="shared" si="251"/>
        <v>50834.596638655465</v>
      </c>
    </row>
    <row r="5354" spans="1:19" hidden="1" x14ac:dyDescent="0.3">
      <c r="A5354">
        <v>190</v>
      </c>
      <c r="B5354" t="s">
        <v>5801</v>
      </c>
      <c r="C5354" t="s">
        <v>3039</v>
      </c>
      <c r="D5354" s="2" t="s">
        <v>3040</v>
      </c>
      <c r="E5354" t="s">
        <v>3041</v>
      </c>
      <c r="F5354" t="s">
        <v>20</v>
      </c>
      <c r="G5354" t="s">
        <v>338</v>
      </c>
      <c r="H5354">
        <v>25327</v>
      </c>
      <c r="I5354" t="s">
        <v>23</v>
      </c>
      <c r="J5354" t="s">
        <v>35</v>
      </c>
      <c r="K5354" s="2" t="s">
        <v>2149</v>
      </c>
      <c r="L5354" t="s">
        <v>26</v>
      </c>
      <c r="M5354">
        <v>327034</v>
      </c>
      <c r="N5354">
        <v>1</v>
      </c>
      <c r="O5354" s="3">
        <v>74950</v>
      </c>
      <c r="P5354" s="3">
        <v>23119</v>
      </c>
      <c r="Q5354" s="5">
        <f t="shared" si="249"/>
        <v>62983.193277310929</v>
      </c>
      <c r="R5354" s="5">
        <f t="shared" si="250"/>
        <v>23119</v>
      </c>
      <c r="S5354" s="5">
        <f t="shared" si="251"/>
        <v>39864.193277310929</v>
      </c>
    </row>
    <row r="5355" spans="1:19" hidden="1" x14ac:dyDescent="0.3">
      <c r="A5355">
        <v>190</v>
      </c>
      <c r="B5355" t="s">
        <v>5801</v>
      </c>
      <c r="C5355" t="s">
        <v>5783</v>
      </c>
      <c r="D5355" s="2" t="s">
        <v>5784</v>
      </c>
      <c r="E5355" t="s">
        <v>4771</v>
      </c>
      <c r="F5355" t="s">
        <v>20</v>
      </c>
      <c r="G5355" t="s">
        <v>338</v>
      </c>
      <c r="H5355">
        <v>85200</v>
      </c>
      <c r="I5355" t="s">
        <v>23</v>
      </c>
      <c r="J5355" t="s">
        <v>35</v>
      </c>
      <c r="K5355" s="2" t="s">
        <v>2149</v>
      </c>
      <c r="L5355" t="s">
        <v>26</v>
      </c>
      <c r="M5355">
        <v>327035</v>
      </c>
      <c r="N5355">
        <v>1</v>
      </c>
      <c r="O5355" s="3">
        <v>89950</v>
      </c>
      <c r="P5355" s="3">
        <v>27253</v>
      </c>
      <c r="Q5355" s="5">
        <f t="shared" si="249"/>
        <v>75588.23529411765</v>
      </c>
      <c r="R5355" s="5">
        <f t="shared" si="250"/>
        <v>27253</v>
      </c>
      <c r="S5355" s="5">
        <f t="shared" si="251"/>
        <v>48335.23529411765</v>
      </c>
    </row>
    <row r="5356" spans="1:19" hidden="1" x14ac:dyDescent="0.3">
      <c r="A5356">
        <v>190</v>
      </c>
      <c r="B5356" t="s">
        <v>5801</v>
      </c>
      <c r="C5356" t="s">
        <v>1761</v>
      </c>
      <c r="D5356" s="2" t="s">
        <v>1762</v>
      </c>
      <c r="E5356" t="s">
        <v>1763</v>
      </c>
      <c r="F5356" t="s">
        <v>377</v>
      </c>
      <c r="G5356" t="s">
        <v>21</v>
      </c>
      <c r="H5356" t="s">
        <v>378</v>
      </c>
      <c r="I5356" t="s">
        <v>23</v>
      </c>
      <c r="J5356" t="s">
        <v>379</v>
      </c>
      <c r="K5356" s="2" t="s">
        <v>2149</v>
      </c>
      <c r="L5356" t="s">
        <v>26</v>
      </c>
      <c r="M5356">
        <v>327035</v>
      </c>
      <c r="N5356">
        <v>1</v>
      </c>
      <c r="O5356" s="3">
        <v>5950</v>
      </c>
      <c r="P5356" s="3">
        <v>3279</v>
      </c>
      <c r="Q5356" s="5">
        <f t="shared" si="249"/>
        <v>5000</v>
      </c>
      <c r="R5356" s="5">
        <f t="shared" si="250"/>
        <v>3279</v>
      </c>
      <c r="S5356" s="5">
        <f t="shared" si="251"/>
        <v>1721</v>
      </c>
    </row>
    <row r="5357" spans="1:19" hidden="1" x14ac:dyDescent="0.3">
      <c r="A5357">
        <v>190</v>
      </c>
      <c r="B5357" t="s">
        <v>5801</v>
      </c>
      <c r="C5357" t="s">
        <v>2282</v>
      </c>
      <c r="D5357" s="2" t="s">
        <v>2283</v>
      </c>
      <c r="E5357" t="s">
        <v>2284</v>
      </c>
      <c r="F5357" t="s">
        <v>20</v>
      </c>
      <c r="G5357" t="s">
        <v>21</v>
      </c>
      <c r="H5357" t="s">
        <v>247</v>
      </c>
      <c r="I5357" t="s">
        <v>23</v>
      </c>
      <c r="J5357" t="s">
        <v>40</v>
      </c>
      <c r="K5357" s="2" t="s">
        <v>2149</v>
      </c>
      <c r="L5357" t="s">
        <v>26</v>
      </c>
      <c r="M5357">
        <v>327036</v>
      </c>
      <c r="N5357">
        <v>1</v>
      </c>
      <c r="O5357" s="3">
        <v>59950</v>
      </c>
      <c r="P5357" s="3">
        <v>16541</v>
      </c>
      <c r="Q5357" s="5">
        <f t="shared" si="249"/>
        <v>50378.151260504201</v>
      </c>
      <c r="R5357" s="5">
        <f t="shared" si="250"/>
        <v>16541</v>
      </c>
      <c r="S5357" s="5">
        <f t="shared" si="251"/>
        <v>33837.151260504201</v>
      </c>
    </row>
    <row r="5358" spans="1:19" hidden="1" x14ac:dyDescent="0.3">
      <c r="A5358">
        <v>190</v>
      </c>
      <c r="B5358" t="s">
        <v>5801</v>
      </c>
      <c r="C5358" t="s">
        <v>5901</v>
      </c>
      <c r="D5358" s="2" t="s">
        <v>5902</v>
      </c>
      <c r="E5358" t="s">
        <v>1886</v>
      </c>
      <c r="F5358" t="s">
        <v>20</v>
      </c>
      <c r="G5358" t="s">
        <v>21</v>
      </c>
      <c r="H5358" t="s">
        <v>1887</v>
      </c>
      <c r="I5358" t="s">
        <v>23</v>
      </c>
      <c r="J5358" t="s">
        <v>40</v>
      </c>
      <c r="K5358" s="2" t="s">
        <v>2149</v>
      </c>
      <c r="L5358" t="s">
        <v>26</v>
      </c>
      <c r="M5358">
        <v>327036</v>
      </c>
      <c r="N5358">
        <v>-1</v>
      </c>
      <c r="O5358" s="3">
        <v>-69950</v>
      </c>
      <c r="P5358" s="3">
        <v>21623</v>
      </c>
      <c r="Q5358" s="5">
        <f t="shared" si="249"/>
        <v>-58781.512605042022</v>
      </c>
      <c r="R5358" s="5">
        <f t="shared" si="250"/>
        <v>-21623</v>
      </c>
      <c r="S5358" s="5">
        <f t="shared" si="251"/>
        <v>-37158.512605042022</v>
      </c>
    </row>
    <row r="5359" spans="1:19" hidden="1" x14ac:dyDescent="0.3">
      <c r="A5359">
        <v>190</v>
      </c>
      <c r="B5359" t="s">
        <v>5801</v>
      </c>
      <c r="C5359" t="s">
        <v>6108</v>
      </c>
      <c r="D5359" s="2" t="s">
        <v>6109</v>
      </c>
      <c r="E5359" t="s">
        <v>4396</v>
      </c>
      <c r="F5359" t="s">
        <v>20</v>
      </c>
      <c r="G5359" t="s">
        <v>21</v>
      </c>
      <c r="H5359" t="s">
        <v>2759</v>
      </c>
      <c r="I5359" t="s">
        <v>23</v>
      </c>
      <c r="J5359" t="s">
        <v>49</v>
      </c>
      <c r="K5359" s="2" t="s">
        <v>2149</v>
      </c>
      <c r="L5359" t="s">
        <v>26</v>
      </c>
      <c r="M5359">
        <v>327036</v>
      </c>
      <c r="N5359">
        <v>1</v>
      </c>
      <c r="O5359" s="3">
        <v>79950</v>
      </c>
      <c r="P5359" s="3">
        <v>33323</v>
      </c>
      <c r="Q5359" s="5">
        <f t="shared" si="249"/>
        <v>67184.873949579836</v>
      </c>
      <c r="R5359" s="5">
        <f t="shared" si="250"/>
        <v>33323</v>
      </c>
      <c r="S5359" s="5">
        <f t="shared" si="251"/>
        <v>33861.873949579836</v>
      </c>
    </row>
    <row r="5360" spans="1:19" hidden="1" x14ac:dyDescent="0.3">
      <c r="A5360">
        <v>190</v>
      </c>
      <c r="B5360" t="s">
        <v>5801</v>
      </c>
      <c r="C5360" t="s">
        <v>3401</v>
      </c>
      <c r="D5360" s="2" t="s">
        <v>3402</v>
      </c>
      <c r="E5360" t="s">
        <v>3403</v>
      </c>
      <c r="F5360" t="s">
        <v>377</v>
      </c>
      <c r="G5360" t="s">
        <v>21</v>
      </c>
      <c r="H5360" t="s">
        <v>378</v>
      </c>
      <c r="I5360" t="s">
        <v>23</v>
      </c>
      <c r="J5360" t="s">
        <v>3297</v>
      </c>
      <c r="K5360" s="2" t="s">
        <v>2149</v>
      </c>
      <c r="L5360" t="s">
        <v>26</v>
      </c>
      <c r="M5360">
        <v>327036</v>
      </c>
      <c r="N5360">
        <v>1</v>
      </c>
      <c r="O5360">
        <v>500</v>
      </c>
      <c r="P5360">
        <v>418</v>
      </c>
      <c r="Q5360" s="5">
        <f t="shared" si="249"/>
        <v>420.1680672268908</v>
      </c>
      <c r="R5360" s="5">
        <f t="shared" si="250"/>
        <v>418</v>
      </c>
      <c r="S5360" s="5">
        <f t="shared" si="251"/>
        <v>2.1680672268907983</v>
      </c>
    </row>
    <row r="5361" spans="1:19" hidden="1" x14ac:dyDescent="0.3">
      <c r="A5361">
        <v>190</v>
      </c>
      <c r="B5361" t="s">
        <v>5801</v>
      </c>
      <c r="C5361" t="s">
        <v>3153</v>
      </c>
      <c r="D5361" s="2" t="s">
        <v>3154</v>
      </c>
      <c r="E5361" t="s">
        <v>3155</v>
      </c>
      <c r="F5361" t="s">
        <v>20</v>
      </c>
      <c r="G5361" t="s">
        <v>21</v>
      </c>
      <c r="H5361" t="s">
        <v>970</v>
      </c>
      <c r="I5361" t="s">
        <v>23</v>
      </c>
      <c r="J5361" t="s">
        <v>40</v>
      </c>
      <c r="K5361" s="2" t="s">
        <v>2149</v>
      </c>
      <c r="L5361" t="s">
        <v>26</v>
      </c>
      <c r="M5361">
        <v>327037</v>
      </c>
      <c r="N5361">
        <v>1</v>
      </c>
      <c r="O5361" s="3">
        <v>59950</v>
      </c>
      <c r="P5361" s="3">
        <v>19352</v>
      </c>
      <c r="Q5361" s="5">
        <f t="shared" si="249"/>
        <v>50378.151260504201</v>
      </c>
      <c r="R5361" s="5">
        <f t="shared" si="250"/>
        <v>19352</v>
      </c>
      <c r="S5361" s="5">
        <f t="shared" si="251"/>
        <v>31026.151260504201</v>
      </c>
    </row>
    <row r="5362" spans="1:19" hidden="1" x14ac:dyDescent="0.3">
      <c r="A5362">
        <v>190</v>
      </c>
      <c r="B5362" t="s">
        <v>5801</v>
      </c>
      <c r="C5362" t="s">
        <v>3294</v>
      </c>
      <c r="D5362" s="2" t="s">
        <v>3295</v>
      </c>
      <c r="E5362" t="s">
        <v>3296</v>
      </c>
      <c r="F5362" t="s">
        <v>377</v>
      </c>
      <c r="G5362" t="s">
        <v>21</v>
      </c>
      <c r="H5362" t="s">
        <v>378</v>
      </c>
      <c r="I5362" t="s">
        <v>23</v>
      </c>
      <c r="J5362" t="s">
        <v>3297</v>
      </c>
      <c r="K5362" s="2" t="s">
        <v>2149</v>
      </c>
      <c r="L5362" t="s">
        <v>26</v>
      </c>
      <c r="M5362">
        <v>327037</v>
      </c>
      <c r="N5362">
        <v>1</v>
      </c>
      <c r="O5362">
        <v>500</v>
      </c>
      <c r="P5362">
        <v>358</v>
      </c>
      <c r="Q5362" s="5">
        <f t="shared" si="249"/>
        <v>420.1680672268908</v>
      </c>
      <c r="R5362" s="5">
        <f t="shared" si="250"/>
        <v>358</v>
      </c>
      <c r="S5362" s="5">
        <f t="shared" si="251"/>
        <v>62.168067226890798</v>
      </c>
    </row>
    <row r="5363" spans="1:19" hidden="1" x14ac:dyDescent="0.3">
      <c r="A5363">
        <v>190</v>
      </c>
      <c r="B5363" t="s">
        <v>5801</v>
      </c>
      <c r="C5363" t="s">
        <v>2716</v>
      </c>
      <c r="D5363" s="2" t="s">
        <v>2717</v>
      </c>
      <c r="E5363" t="s">
        <v>2718</v>
      </c>
      <c r="F5363" t="s">
        <v>20</v>
      </c>
      <c r="G5363" t="s">
        <v>21</v>
      </c>
      <c r="H5363" t="s">
        <v>1887</v>
      </c>
      <c r="I5363" t="s">
        <v>23</v>
      </c>
      <c r="J5363" t="s">
        <v>40</v>
      </c>
      <c r="K5363" s="2" t="s">
        <v>2149</v>
      </c>
      <c r="L5363" t="s">
        <v>26</v>
      </c>
      <c r="M5363">
        <v>327038</v>
      </c>
      <c r="N5363">
        <v>1</v>
      </c>
      <c r="O5363" s="3">
        <v>69950</v>
      </c>
      <c r="P5363" s="3">
        <v>22018</v>
      </c>
      <c r="Q5363" s="5">
        <f t="shared" si="249"/>
        <v>58781.512605042022</v>
      </c>
      <c r="R5363" s="5">
        <f t="shared" si="250"/>
        <v>22018</v>
      </c>
      <c r="S5363" s="5">
        <f t="shared" si="251"/>
        <v>36763.512605042022</v>
      </c>
    </row>
    <row r="5364" spans="1:19" hidden="1" x14ac:dyDescent="0.3">
      <c r="A5364">
        <v>190</v>
      </c>
      <c r="B5364" t="s">
        <v>5801</v>
      </c>
      <c r="C5364" t="s">
        <v>6110</v>
      </c>
      <c r="D5364" s="2" t="s">
        <v>6111</v>
      </c>
      <c r="E5364" t="s">
        <v>4049</v>
      </c>
      <c r="F5364" t="s">
        <v>20</v>
      </c>
      <c r="G5364" t="s">
        <v>21</v>
      </c>
      <c r="H5364" t="s">
        <v>3351</v>
      </c>
      <c r="I5364" t="s">
        <v>23</v>
      </c>
      <c r="J5364" t="s">
        <v>40</v>
      </c>
      <c r="K5364" s="2" t="s">
        <v>2149</v>
      </c>
      <c r="L5364" t="s">
        <v>26</v>
      </c>
      <c r="M5364">
        <v>327038</v>
      </c>
      <c r="N5364">
        <v>1</v>
      </c>
      <c r="O5364" s="3">
        <v>67950</v>
      </c>
      <c r="P5364" s="3">
        <v>30166</v>
      </c>
      <c r="Q5364" s="5">
        <f t="shared" si="249"/>
        <v>57100.840336134454</v>
      </c>
      <c r="R5364" s="5">
        <f t="shared" si="250"/>
        <v>30166</v>
      </c>
      <c r="S5364" s="5">
        <f t="shared" si="251"/>
        <v>26934.840336134454</v>
      </c>
    </row>
    <row r="5365" spans="1:19" hidden="1" x14ac:dyDescent="0.3">
      <c r="A5365">
        <v>190</v>
      </c>
      <c r="B5365" t="s">
        <v>5801</v>
      </c>
      <c r="C5365" t="s">
        <v>3294</v>
      </c>
      <c r="D5365" s="2" t="s">
        <v>3295</v>
      </c>
      <c r="E5365" t="s">
        <v>3296</v>
      </c>
      <c r="F5365" t="s">
        <v>377</v>
      </c>
      <c r="G5365" t="s">
        <v>21</v>
      </c>
      <c r="H5365" t="s">
        <v>378</v>
      </c>
      <c r="I5365" t="s">
        <v>23</v>
      </c>
      <c r="J5365" t="s">
        <v>3297</v>
      </c>
      <c r="K5365" s="2" t="s">
        <v>2149</v>
      </c>
      <c r="L5365" t="s">
        <v>26</v>
      </c>
      <c r="M5365">
        <v>327038</v>
      </c>
      <c r="N5365">
        <v>1</v>
      </c>
      <c r="O5365">
        <v>500</v>
      </c>
      <c r="P5365">
        <v>358</v>
      </c>
      <c r="Q5365" s="5">
        <f t="shared" si="249"/>
        <v>420.1680672268908</v>
      </c>
      <c r="R5365" s="5">
        <f t="shared" si="250"/>
        <v>358</v>
      </c>
      <c r="S5365" s="5">
        <f t="shared" si="251"/>
        <v>62.168067226890798</v>
      </c>
    </row>
    <row r="5366" spans="1:19" hidden="1" x14ac:dyDescent="0.3">
      <c r="A5366">
        <v>190</v>
      </c>
      <c r="B5366" t="s">
        <v>5801</v>
      </c>
      <c r="C5366" t="s">
        <v>3862</v>
      </c>
      <c r="D5366" s="2" t="s">
        <v>3863</v>
      </c>
      <c r="E5366" t="s">
        <v>3283</v>
      </c>
      <c r="F5366" t="s">
        <v>20</v>
      </c>
      <c r="G5366" t="s">
        <v>21</v>
      </c>
      <c r="H5366" t="s">
        <v>2494</v>
      </c>
      <c r="I5366" t="s">
        <v>23</v>
      </c>
      <c r="J5366" t="s">
        <v>40</v>
      </c>
      <c r="K5366" s="2" t="s">
        <v>2149</v>
      </c>
      <c r="L5366" t="s">
        <v>26</v>
      </c>
      <c r="M5366">
        <v>327039</v>
      </c>
      <c r="N5366">
        <v>1</v>
      </c>
      <c r="O5366" s="3">
        <v>69950</v>
      </c>
      <c r="P5366" s="3">
        <v>23470</v>
      </c>
      <c r="Q5366" s="5">
        <f t="shared" si="249"/>
        <v>58781.512605042022</v>
      </c>
      <c r="R5366" s="5">
        <f t="shared" si="250"/>
        <v>23470</v>
      </c>
      <c r="S5366" s="5">
        <f t="shared" si="251"/>
        <v>35311.512605042022</v>
      </c>
    </row>
    <row r="5367" spans="1:19" hidden="1" x14ac:dyDescent="0.3">
      <c r="A5367">
        <v>190</v>
      </c>
      <c r="B5367" t="s">
        <v>5801</v>
      </c>
      <c r="C5367" t="s">
        <v>3255</v>
      </c>
      <c r="D5367" s="2" t="s">
        <v>3256</v>
      </c>
      <c r="E5367" t="s">
        <v>2653</v>
      </c>
      <c r="F5367" t="s">
        <v>20</v>
      </c>
      <c r="G5367" t="s">
        <v>21</v>
      </c>
      <c r="H5367" t="s">
        <v>2315</v>
      </c>
      <c r="I5367" t="s">
        <v>23</v>
      </c>
      <c r="J5367" t="s">
        <v>35</v>
      </c>
      <c r="K5367" s="2" t="s">
        <v>2149</v>
      </c>
      <c r="L5367" t="s">
        <v>26</v>
      </c>
      <c r="M5367">
        <v>327040</v>
      </c>
      <c r="N5367">
        <v>1</v>
      </c>
      <c r="O5367" s="3">
        <v>89950</v>
      </c>
      <c r="P5367" s="3">
        <v>30749</v>
      </c>
      <c r="Q5367" s="5">
        <f t="shared" si="249"/>
        <v>75588.23529411765</v>
      </c>
      <c r="R5367" s="5">
        <f t="shared" si="250"/>
        <v>30749</v>
      </c>
      <c r="S5367" s="5">
        <f t="shared" si="251"/>
        <v>44839.23529411765</v>
      </c>
    </row>
    <row r="5368" spans="1:19" hidden="1" x14ac:dyDescent="0.3">
      <c r="A5368">
        <v>190</v>
      </c>
      <c r="B5368" t="s">
        <v>5801</v>
      </c>
      <c r="C5368" t="s">
        <v>3294</v>
      </c>
      <c r="D5368" s="2" t="s">
        <v>3295</v>
      </c>
      <c r="E5368" t="s">
        <v>3296</v>
      </c>
      <c r="F5368" t="s">
        <v>377</v>
      </c>
      <c r="G5368" t="s">
        <v>21</v>
      </c>
      <c r="H5368" t="s">
        <v>378</v>
      </c>
      <c r="I5368" t="s">
        <v>23</v>
      </c>
      <c r="J5368" t="s">
        <v>3297</v>
      </c>
      <c r="K5368" s="2" t="s">
        <v>2149</v>
      </c>
      <c r="L5368" t="s">
        <v>26</v>
      </c>
      <c r="M5368">
        <v>327040</v>
      </c>
      <c r="N5368">
        <v>1</v>
      </c>
      <c r="O5368">
        <v>500</v>
      </c>
      <c r="P5368">
        <v>358</v>
      </c>
      <c r="Q5368" s="5">
        <f t="shared" si="249"/>
        <v>420.1680672268908</v>
      </c>
      <c r="R5368" s="5">
        <f t="shared" si="250"/>
        <v>358</v>
      </c>
      <c r="S5368" s="5">
        <f t="shared" si="251"/>
        <v>62.168067226890798</v>
      </c>
    </row>
    <row r="5369" spans="1:19" hidden="1" x14ac:dyDescent="0.3">
      <c r="A5369">
        <v>190</v>
      </c>
      <c r="B5369" t="s">
        <v>5801</v>
      </c>
      <c r="C5369" t="s">
        <v>4239</v>
      </c>
      <c r="D5369" s="2" t="s">
        <v>4240</v>
      </c>
      <c r="E5369" t="s">
        <v>2539</v>
      </c>
      <c r="F5369" t="s">
        <v>20</v>
      </c>
      <c r="G5369" t="s">
        <v>21</v>
      </c>
      <c r="H5369" t="s">
        <v>966</v>
      </c>
      <c r="I5369" t="s">
        <v>23</v>
      </c>
      <c r="J5369" t="s">
        <v>35</v>
      </c>
      <c r="K5369" s="2" t="s">
        <v>2149</v>
      </c>
      <c r="L5369" t="s">
        <v>26</v>
      </c>
      <c r="M5369">
        <v>327041</v>
      </c>
      <c r="N5369">
        <v>1</v>
      </c>
      <c r="O5369" s="3">
        <v>74950</v>
      </c>
      <c r="P5369" s="3">
        <v>26729</v>
      </c>
      <c r="Q5369" s="5">
        <f t="shared" si="249"/>
        <v>62983.193277310929</v>
      </c>
      <c r="R5369" s="5">
        <f t="shared" si="250"/>
        <v>26729</v>
      </c>
      <c r="S5369" s="5">
        <f t="shared" si="251"/>
        <v>36254.193277310929</v>
      </c>
    </row>
    <row r="5370" spans="1:19" hidden="1" x14ac:dyDescent="0.3">
      <c r="A5370">
        <v>190</v>
      </c>
      <c r="B5370" t="s">
        <v>5801</v>
      </c>
      <c r="C5370" t="s">
        <v>3634</v>
      </c>
      <c r="D5370" s="2" t="s">
        <v>3635</v>
      </c>
      <c r="E5370" t="s">
        <v>2661</v>
      </c>
      <c r="F5370" t="s">
        <v>20</v>
      </c>
      <c r="G5370" t="s">
        <v>21</v>
      </c>
      <c r="H5370" t="s">
        <v>317</v>
      </c>
      <c r="I5370" t="s">
        <v>23</v>
      </c>
      <c r="J5370" t="s">
        <v>35</v>
      </c>
      <c r="K5370" s="2" t="s">
        <v>2149</v>
      </c>
      <c r="L5370" t="s">
        <v>26</v>
      </c>
      <c r="M5370">
        <v>327041</v>
      </c>
      <c r="N5370">
        <v>-1</v>
      </c>
      <c r="O5370" s="3">
        <v>-69950</v>
      </c>
      <c r="P5370" s="3">
        <v>25992</v>
      </c>
      <c r="Q5370" s="5">
        <f t="shared" si="249"/>
        <v>-58781.512605042022</v>
      </c>
      <c r="R5370" s="5">
        <f t="shared" si="250"/>
        <v>-25992</v>
      </c>
      <c r="S5370" s="5">
        <f t="shared" si="251"/>
        <v>-32789.512605042022</v>
      </c>
    </row>
    <row r="5371" spans="1:19" hidden="1" x14ac:dyDescent="0.3">
      <c r="A5371">
        <v>190</v>
      </c>
      <c r="B5371" t="s">
        <v>5801</v>
      </c>
      <c r="C5371" t="s">
        <v>1037</v>
      </c>
      <c r="D5371" s="2" t="s">
        <v>1038</v>
      </c>
      <c r="E5371" t="s">
        <v>1039</v>
      </c>
      <c r="F5371" t="s">
        <v>377</v>
      </c>
      <c r="G5371" t="s">
        <v>21</v>
      </c>
      <c r="H5371" t="s">
        <v>378</v>
      </c>
      <c r="I5371" t="s">
        <v>23</v>
      </c>
      <c r="J5371" t="s">
        <v>379</v>
      </c>
      <c r="K5371" s="2" t="s">
        <v>2149</v>
      </c>
      <c r="L5371" t="s">
        <v>26</v>
      </c>
      <c r="M5371">
        <v>327042</v>
      </c>
      <c r="N5371">
        <v>1</v>
      </c>
      <c r="O5371" s="3">
        <v>5950</v>
      </c>
      <c r="P5371" s="3">
        <v>3257</v>
      </c>
      <c r="Q5371" s="5">
        <f t="shared" si="249"/>
        <v>5000</v>
      </c>
      <c r="R5371" s="5">
        <f t="shared" si="250"/>
        <v>3257</v>
      </c>
      <c r="S5371" s="5">
        <f t="shared" si="251"/>
        <v>1743</v>
      </c>
    </row>
    <row r="5372" spans="1:19" hidden="1" x14ac:dyDescent="0.3">
      <c r="A5372">
        <v>190</v>
      </c>
      <c r="B5372" t="s">
        <v>5801</v>
      </c>
      <c r="C5372" t="s">
        <v>1507</v>
      </c>
      <c r="D5372" s="2" t="s">
        <v>1508</v>
      </c>
      <c r="E5372" t="s">
        <v>425</v>
      </c>
      <c r="F5372" t="s">
        <v>20</v>
      </c>
      <c r="G5372" t="s">
        <v>21</v>
      </c>
      <c r="H5372" t="s">
        <v>22</v>
      </c>
      <c r="I5372" t="s">
        <v>23</v>
      </c>
      <c r="J5372" t="s">
        <v>24</v>
      </c>
      <c r="K5372" s="2" t="s">
        <v>2149</v>
      </c>
      <c r="L5372" t="s">
        <v>26</v>
      </c>
      <c r="M5372">
        <v>327043</v>
      </c>
      <c r="N5372">
        <v>1</v>
      </c>
      <c r="O5372" s="3">
        <v>79950</v>
      </c>
      <c r="P5372" s="3">
        <v>27778</v>
      </c>
      <c r="Q5372" s="5">
        <f t="shared" si="249"/>
        <v>67184.873949579836</v>
      </c>
      <c r="R5372" s="5">
        <f t="shared" si="250"/>
        <v>27778</v>
      </c>
      <c r="S5372" s="5">
        <f t="shared" si="251"/>
        <v>39406.873949579836</v>
      </c>
    </row>
    <row r="5373" spans="1:19" hidden="1" x14ac:dyDescent="0.3">
      <c r="A5373">
        <v>190</v>
      </c>
      <c r="B5373" t="s">
        <v>5801</v>
      </c>
      <c r="C5373" t="s">
        <v>6112</v>
      </c>
      <c r="D5373" s="2" t="s">
        <v>6113</v>
      </c>
      <c r="E5373" t="s">
        <v>6114</v>
      </c>
      <c r="F5373" t="s">
        <v>20</v>
      </c>
      <c r="G5373" t="s">
        <v>21</v>
      </c>
      <c r="H5373" t="s">
        <v>790</v>
      </c>
      <c r="I5373" t="s">
        <v>23</v>
      </c>
      <c r="J5373" t="s">
        <v>40</v>
      </c>
      <c r="K5373" s="2" t="s">
        <v>2149</v>
      </c>
      <c r="L5373" t="s">
        <v>26</v>
      </c>
      <c r="M5373">
        <v>327044</v>
      </c>
      <c r="N5373">
        <v>1</v>
      </c>
      <c r="O5373" s="3">
        <v>69990</v>
      </c>
      <c r="P5373" s="3">
        <v>30692</v>
      </c>
      <c r="Q5373" s="5">
        <f t="shared" si="249"/>
        <v>58815.126050420171</v>
      </c>
      <c r="R5373" s="5">
        <f t="shared" si="250"/>
        <v>30692</v>
      </c>
      <c r="S5373" s="5">
        <f t="shared" si="251"/>
        <v>28123.126050420171</v>
      </c>
    </row>
    <row r="5374" spans="1:19" hidden="1" x14ac:dyDescent="0.3">
      <c r="A5374">
        <v>190</v>
      </c>
      <c r="B5374" t="s">
        <v>5801</v>
      </c>
      <c r="C5374" t="s">
        <v>3468</v>
      </c>
      <c r="D5374" s="2" t="s">
        <v>3469</v>
      </c>
      <c r="E5374" t="s">
        <v>1336</v>
      </c>
      <c r="F5374" t="s">
        <v>20</v>
      </c>
      <c r="G5374" t="s">
        <v>21</v>
      </c>
      <c r="H5374" t="s">
        <v>1337</v>
      </c>
      <c r="I5374" t="s">
        <v>23</v>
      </c>
      <c r="J5374" t="s">
        <v>49</v>
      </c>
      <c r="K5374" s="2" t="s">
        <v>2149</v>
      </c>
      <c r="L5374" t="s">
        <v>26</v>
      </c>
      <c r="M5374">
        <v>327045</v>
      </c>
      <c r="N5374">
        <v>1</v>
      </c>
      <c r="O5374" s="3">
        <v>59950</v>
      </c>
      <c r="P5374" s="3">
        <v>19234</v>
      </c>
      <c r="Q5374" s="5">
        <f t="shared" si="249"/>
        <v>50378.151260504201</v>
      </c>
      <c r="R5374" s="5">
        <f t="shared" si="250"/>
        <v>19234</v>
      </c>
      <c r="S5374" s="5">
        <f t="shared" si="251"/>
        <v>31144.151260504201</v>
      </c>
    </row>
    <row r="5375" spans="1:19" hidden="1" x14ac:dyDescent="0.3">
      <c r="A5375">
        <v>190</v>
      </c>
      <c r="B5375" t="s">
        <v>5801</v>
      </c>
      <c r="C5375" t="s">
        <v>3294</v>
      </c>
      <c r="D5375" s="2" t="s">
        <v>3295</v>
      </c>
      <c r="E5375" t="s">
        <v>3296</v>
      </c>
      <c r="F5375" t="s">
        <v>377</v>
      </c>
      <c r="G5375" t="s">
        <v>21</v>
      </c>
      <c r="H5375" t="s">
        <v>378</v>
      </c>
      <c r="I5375" t="s">
        <v>23</v>
      </c>
      <c r="J5375" t="s">
        <v>3297</v>
      </c>
      <c r="K5375" s="2" t="s">
        <v>2149</v>
      </c>
      <c r="L5375" t="s">
        <v>26</v>
      </c>
      <c r="M5375">
        <v>327045</v>
      </c>
      <c r="N5375">
        <v>1</v>
      </c>
      <c r="O5375">
        <v>500</v>
      </c>
      <c r="P5375">
        <v>358</v>
      </c>
      <c r="Q5375" s="5">
        <f t="shared" si="249"/>
        <v>420.1680672268908</v>
      </c>
      <c r="R5375" s="5">
        <f t="shared" si="250"/>
        <v>358</v>
      </c>
      <c r="S5375" s="5">
        <f t="shared" si="251"/>
        <v>62.168067226890798</v>
      </c>
    </row>
    <row r="5376" spans="1:19" hidden="1" x14ac:dyDescent="0.3">
      <c r="A5376">
        <v>190</v>
      </c>
      <c r="B5376" t="s">
        <v>5801</v>
      </c>
      <c r="C5376" t="s">
        <v>6115</v>
      </c>
      <c r="D5376" s="2" t="s">
        <v>6116</v>
      </c>
      <c r="E5376" t="s">
        <v>2758</v>
      </c>
      <c r="F5376" t="s">
        <v>20</v>
      </c>
      <c r="G5376" t="s">
        <v>21</v>
      </c>
      <c r="H5376" t="s">
        <v>2759</v>
      </c>
      <c r="I5376" t="s">
        <v>23</v>
      </c>
      <c r="J5376" t="s">
        <v>49</v>
      </c>
      <c r="K5376" s="2" t="s">
        <v>2149</v>
      </c>
      <c r="L5376" t="s">
        <v>26</v>
      </c>
      <c r="M5376">
        <v>327046</v>
      </c>
      <c r="N5376">
        <v>1</v>
      </c>
      <c r="O5376" s="3">
        <v>79950</v>
      </c>
      <c r="P5376" s="3">
        <v>33591</v>
      </c>
      <c r="Q5376" s="5">
        <f t="shared" si="249"/>
        <v>67184.873949579836</v>
      </c>
      <c r="R5376" s="5">
        <f t="shared" si="250"/>
        <v>33591</v>
      </c>
      <c r="S5376" s="5">
        <f t="shared" si="251"/>
        <v>33593.873949579836</v>
      </c>
    </row>
    <row r="5377" spans="1:19" hidden="1" x14ac:dyDescent="0.3">
      <c r="A5377">
        <v>190</v>
      </c>
      <c r="B5377" t="s">
        <v>5801</v>
      </c>
      <c r="C5377" t="s">
        <v>3294</v>
      </c>
      <c r="D5377" s="2" t="s">
        <v>3295</v>
      </c>
      <c r="E5377" t="s">
        <v>3296</v>
      </c>
      <c r="F5377" t="s">
        <v>377</v>
      </c>
      <c r="G5377" t="s">
        <v>21</v>
      </c>
      <c r="H5377" t="s">
        <v>378</v>
      </c>
      <c r="I5377" t="s">
        <v>23</v>
      </c>
      <c r="J5377" t="s">
        <v>3297</v>
      </c>
      <c r="K5377" s="2" t="s">
        <v>2149</v>
      </c>
      <c r="L5377" t="s">
        <v>26</v>
      </c>
      <c r="M5377">
        <v>327046</v>
      </c>
      <c r="N5377">
        <v>1</v>
      </c>
      <c r="O5377">
        <v>500</v>
      </c>
      <c r="P5377">
        <v>358</v>
      </c>
      <c r="Q5377" s="5">
        <f t="shared" si="249"/>
        <v>420.1680672268908</v>
      </c>
      <c r="R5377" s="5">
        <f t="shared" si="250"/>
        <v>358</v>
      </c>
      <c r="S5377" s="5">
        <f t="shared" si="251"/>
        <v>62.168067226890798</v>
      </c>
    </row>
    <row r="5378" spans="1:19" hidden="1" x14ac:dyDescent="0.3">
      <c r="A5378">
        <v>190</v>
      </c>
      <c r="B5378" t="s">
        <v>5801</v>
      </c>
      <c r="C5378" t="s">
        <v>4650</v>
      </c>
      <c r="D5378" s="2" t="s">
        <v>4651</v>
      </c>
      <c r="E5378" t="s">
        <v>3406</v>
      </c>
      <c r="F5378" t="s">
        <v>20</v>
      </c>
      <c r="G5378" t="s">
        <v>338</v>
      </c>
      <c r="H5378">
        <v>26825</v>
      </c>
      <c r="I5378" t="s">
        <v>23</v>
      </c>
      <c r="J5378" t="s">
        <v>35</v>
      </c>
      <c r="K5378" s="2" t="s">
        <v>2149</v>
      </c>
      <c r="L5378" t="s">
        <v>26</v>
      </c>
      <c r="M5378">
        <v>327047</v>
      </c>
      <c r="N5378">
        <v>1</v>
      </c>
      <c r="O5378" s="3">
        <v>79950</v>
      </c>
      <c r="P5378" s="3">
        <v>23119</v>
      </c>
      <c r="Q5378" s="5">
        <f t="shared" si="249"/>
        <v>67184.873949579836</v>
      </c>
      <c r="R5378" s="5">
        <f t="shared" si="250"/>
        <v>23119</v>
      </c>
      <c r="S5378" s="5">
        <f t="shared" si="251"/>
        <v>44065.873949579836</v>
      </c>
    </row>
    <row r="5379" spans="1:19" hidden="1" x14ac:dyDescent="0.3">
      <c r="A5379">
        <v>190</v>
      </c>
      <c r="B5379" t="s">
        <v>5801</v>
      </c>
      <c r="C5379" t="s">
        <v>3401</v>
      </c>
      <c r="D5379" s="2" t="s">
        <v>3402</v>
      </c>
      <c r="E5379" t="s">
        <v>3403</v>
      </c>
      <c r="F5379" t="s">
        <v>377</v>
      </c>
      <c r="G5379" t="s">
        <v>21</v>
      </c>
      <c r="H5379" t="s">
        <v>378</v>
      </c>
      <c r="I5379" t="s">
        <v>23</v>
      </c>
      <c r="J5379" t="s">
        <v>3297</v>
      </c>
      <c r="K5379" s="2" t="s">
        <v>2149</v>
      </c>
      <c r="L5379" t="s">
        <v>26</v>
      </c>
      <c r="M5379">
        <v>327047</v>
      </c>
      <c r="N5379">
        <v>1</v>
      </c>
      <c r="O5379">
        <v>500</v>
      </c>
      <c r="P5379">
        <v>418</v>
      </c>
      <c r="Q5379" s="5">
        <f t="shared" si="249"/>
        <v>420.1680672268908</v>
      </c>
      <c r="R5379" s="5">
        <f t="shared" si="250"/>
        <v>418</v>
      </c>
      <c r="S5379" s="5">
        <f t="shared" si="251"/>
        <v>2.1680672268907983</v>
      </c>
    </row>
    <row r="5380" spans="1:19" hidden="1" x14ac:dyDescent="0.3">
      <c r="A5380">
        <v>190</v>
      </c>
      <c r="B5380" t="s">
        <v>5801</v>
      </c>
      <c r="C5380" t="s">
        <v>2525</v>
      </c>
      <c r="D5380" s="2" t="s">
        <v>2526</v>
      </c>
      <c r="E5380" t="s">
        <v>2527</v>
      </c>
      <c r="F5380" t="s">
        <v>377</v>
      </c>
      <c r="G5380" t="s">
        <v>21</v>
      </c>
      <c r="H5380" t="s">
        <v>378</v>
      </c>
      <c r="I5380" t="s">
        <v>23</v>
      </c>
      <c r="J5380" t="s">
        <v>2459</v>
      </c>
      <c r="K5380" s="2" t="s">
        <v>2149</v>
      </c>
      <c r="L5380" t="s">
        <v>26</v>
      </c>
      <c r="M5380">
        <v>327048</v>
      </c>
      <c r="N5380">
        <v>1</v>
      </c>
      <c r="O5380" s="3">
        <v>6950</v>
      </c>
      <c r="P5380" s="3">
        <v>2964</v>
      </c>
      <c r="Q5380" s="5">
        <f t="shared" si="249"/>
        <v>5840.3361344537816</v>
      </c>
      <c r="R5380" s="5">
        <f t="shared" si="250"/>
        <v>2964</v>
      </c>
      <c r="S5380" s="5">
        <f t="shared" si="251"/>
        <v>2876.3361344537816</v>
      </c>
    </row>
    <row r="5381" spans="1:19" hidden="1" x14ac:dyDescent="0.3">
      <c r="A5381">
        <v>190</v>
      </c>
      <c r="B5381" t="s">
        <v>5801</v>
      </c>
      <c r="C5381" t="s">
        <v>1325</v>
      </c>
      <c r="D5381" s="2" t="s">
        <v>1326</v>
      </c>
      <c r="E5381" t="s">
        <v>1327</v>
      </c>
      <c r="F5381" t="s">
        <v>20</v>
      </c>
      <c r="G5381" t="s">
        <v>21</v>
      </c>
      <c r="H5381" t="s">
        <v>247</v>
      </c>
      <c r="I5381" t="s">
        <v>23</v>
      </c>
      <c r="J5381" t="s">
        <v>40</v>
      </c>
      <c r="K5381" s="2" t="s">
        <v>2149</v>
      </c>
      <c r="L5381" t="s">
        <v>26</v>
      </c>
      <c r="M5381">
        <v>327049</v>
      </c>
      <c r="N5381">
        <v>1</v>
      </c>
      <c r="O5381" s="3">
        <v>59950</v>
      </c>
      <c r="P5381" s="3">
        <v>16541</v>
      </c>
      <c r="Q5381" s="5">
        <f t="shared" si="249"/>
        <v>50378.151260504201</v>
      </c>
      <c r="R5381" s="5">
        <f t="shared" si="250"/>
        <v>16541</v>
      </c>
      <c r="S5381" s="5">
        <f t="shared" si="251"/>
        <v>33837.151260504201</v>
      </c>
    </row>
    <row r="5382" spans="1:19" hidden="1" x14ac:dyDescent="0.3">
      <c r="A5382">
        <v>190</v>
      </c>
      <c r="B5382" t="s">
        <v>5801</v>
      </c>
      <c r="C5382" t="s">
        <v>3294</v>
      </c>
      <c r="D5382" s="2" t="s">
        <v>3295</v>
      </c>
      <c r="E5382" t="s">
        <v>3296</v>
      </c>
      <c r="F5382" t="s">
        <v>377</v>
      </c>
      <c r="G5382" t="s">
        <v>21</v>
      </c>
      <c r="H5382" t="s">
        <v>378</v>
      </c>
      <c r="I5382" t="s">
        <v>23</v>
      </c>
      <c r="J5382" t="s">
        <v>3297</v>
      </c>
      <c r="K5382" s="2" t="s">
        <v>2149</v>
      </c>
      <c r="L5382" t="s">
        <v>26</v>
      </c>
      <c r="M5382">
        <v>327049</v>
      </c>
      <c r="N5382">
        <v>1</v>
      </c>
      <c r="O5382">
        <v>500</v>
      </c>
      <c r="P5382">
        <v>358</v>
      </c>
      <c r="Q5382" s="5">
        <f t="shared" ref="Q5382:Q5445" si="252">O5382/1.19</f>
        <v>420.1680672268908</v>
      </c>
      <c r="R5382" s="5">
        <f t="shared" ref="R5382:R5445" si="253">N5382*P5382</f>
        <v>358</v>
      </c>
      <c r="S5382" s="5">
        <f t="shared" ref="S5382:S5445" si="254">Q5382-R5382</f>
        <v>62.168067226890798</v>
      </c>
    </row>
    <row r="5383" spans="1:19" hidden="1" x14ac:dyDescent="0.3">
      <c r="A5383">
        <v>190</v>
      </c>
      <c r="B5383" t="s">
        <v>5801</v>
      </c>
      <c r="C5383" t="s">
        <v>4696</v>
      </c>
      <c r="D5383" s="2" t="s">
        <v>4697</v>
      </c>
      <c r="E5383" t="s">
        <v>3216</v>
      </c>
      <c r="F5383" t="s">
        <v>20</v>
      </c>
      <c r="G5383" t="s">
        <v>338</v>
      </c>
      <c r="H5383">
        <v>85603</v>
      </c>
      <c r="I5383" t="s">
        <v>23</v>
      </c>
      <c r="J5383" t="s">
        <v>31</v>
      </c>
      <c r="K5383" s="2" t="s">
        <v>2149</v>
      </c>
      <c r="L5383" t="s">
        <v>26</v>
      </c>
      <c r="M5383">
        <v>327050</v>
      </c>
      <c r="N5383">
        <v>1</v>
      </c>
      <c r="O5383" s="3">
        <v>149950</v>
      </c>
      <c r="P5383" s="3">
        <v>50145</v>
      </c>
      <c r="Q5383" s="5">
        <f t="shared" si="252"/>
        <v>126008.40336134455</v>
      </c>
      <c r="R5383" s="5">
        <f t="shared" si="253"/>
        <v>50145</v>
      </c>
      <c r="S5383" s="5">
        <f t="shared" si="254"/>
        <v>75863.40336134455</v>
      </c>
    </row>
    <row r="5384" spans="1:19" hidden="1" x14ac:dyDescent="0.3">
      <c r="A5384">
        <v>190</v>
      </c>
      <c r="B5384" t="s">
        <v>5801</v>
      </c>
      <c r="C5384" t="s">
        <v>4220</v>
      </c>
      <c r="D5384" s="2" t="s">
        <v>4221</v>
      </c>
      <c r="E5384" t="s">
        <v>2933</v>
      </c>
      <c r="F5384" t="s">
        <v>20</v>
      </c>
      <c r="G5384" t="s">
        <v>338</v>
      </c>
      <c r="H5384">
        <v>25539</v>
      </c>
      <c r="I5384" t="s">
        <v>23</v>
      </c>
      <c r="J5384" t="s">
        <v>31</v>
      </c>
      <c r="K5384" s="2" t="s">
        <v>2149</v>
      </c>
      <c r="L5384" t="s">
        <v>26</v>
      </c>
      <c r="M5384">
        <v>327051</v>
      </c>
      <c r="N5384">
        <v>0</v>
      </c>
      <c r="O5384">
        <v>1</v>
      </c>
      <c r="P5384" s="3">
        <v>46011</v>
      </c>
      <c r="Q5384" s="5">
        <f t="shared" si="252"/>
        <v>0.84033613445378152</v>
      </c>
      <c r="R5384" s="5">
        <f t="shared" si="253"/>
        <v>0</v>
      </c>
      <c r="S5384" s="5">
        <f t="shared" si="254"/>
        <v>0.84033613445378152</v>
      </c>
    </row>
    <row r="5385" spans="1:19" hidden="1" x14ac:dyDescent="0.3">
      <c r="A5385">
        <v>190</v>
      </c>
      <c r="B5385" t="s">
        <v>5801</v>
      </c>
      <c r="C5385" t="s">
        <v>5954</v>
      </c>
      <c r="D5385" s="2" t="s">
        <v>5955</v>
      </c>
      <c r="E5385" t="s">
        <v>4739</v>
      </c>
      <c r="F5385" t="s">
        <v>20</v>
      </c>
      <c r="G5385" t="s">
        <v>338</v>
      </c>
      <c r="H5385">
        <v>83716</v>
      </c>
      <c r="I5385" t="s">
        <v>23</v>
      </c>
      <c r="J5385" t="s">
        <v>40</v>
      </c>
      <c r="K5385" s="2" t="s">
        <v>2149</v>
      </c>
      <c r="L5385" t="s">
        <v>26</v>
      </c>
      <c r="M5385">
        <v>327052</v>
      </c>
      <c r="N5385">
        <v>1</v>
      </c>
      <c r="O5385" s="3">
        <v>89950</v>
      </c>
      <c r="P5385" s="3">
        <v>30263</v>
      </c>
      <c r="Q5385" s="5">
        <f t="shared" si="252"/>
        <v>75588.23529411765</v>
      </c>
      <c r="R5385" s="5">
        <f t="shared" si="253"/>
        <v>30263</v>
      </c>
      <c r="S5385" s="5">
        <f t="shared" si="254"/>
        <v>45325.23529411765</v>
      </c>
    </row>
    <row r="5386" spans="1:19" hidden="1" x14ac:dyDescent="0.3">
      <c r="A5386">
        <v>190</v>
      </c>
      <c r="B5386" t="s">
        <v>5801</v>
      </c>
      <c r="C5386" t="s">
        <v>6117</v>
      </c>
      <c r="D5386" s="2" t="s">
        <v>6118</v>
      </c>
      <c r="E5386" t="s">
        <v>3656</v>
      </c>
      <c r="F5386" t="s">
        <v>20</v>
      </c>
      <c r="G5386" t="s">
        <v>21</v>
      </c>
      <c r="H5386" t="s">
        <v>614</v>
      </c>
      <c r="I5386" t="s">
        <v>23</v>
      </c>
      <c r="J5386" t="s">
        <v>40</v>
      </c>
      <c r="K5386" s="2" t="s">
        <v>2149</v>
      </c>
      <c r="L5386" t="s">
        <v>26</v>
      </c>
      <c r="M5386">
        <v>327053</v>
      </c>
      <c r="N5386">
        <v>1</v>
      </c>
      <c r="O5386" s="3">
        <v>44990</v>
      </c>
      <c r="P5386" s="3">
        <v>14265</v>
      </c>
      <c r="Q5386" s="5">
        <f t="shared" si="252"/>
        <v>37806.722689075636</v>
      </c>
      <c r="R5386" s="5">
        <f t="shared" si="253"/>
        <v>14265</v>
      </c>
      <c r="S5386" s="5">
        <f t="shared" si="254"/>
        <v>23541.722689075636</v>
      </c>
    </row>
    <row r="5387" spans="1:19" hidden="1" x14ac:dyDescent="0.3">
      <c r="A5387">
        <v>190</v>
      </c>
      <c r="B5387" t="s">
        <v>5801</v>
      </c>
      <c r="C5387" t="s">
        <v>3294</v>
      </c>
      <c r="D5387" s="2" t="s">
        <v>3295</v>
      </c>
      <c r="E5387" t="s">
        <v>3296</v>
      </c>
      <c r="F5387" t="s">
        <v>377</v>
      </c>
      <c r="G5387" t="s">
        <v>21</v>
      </c>
      <c r="H5387" t="s">
        <v>378</v>
      </c>
      <c r="I5387" t="s">
        <v>23</v>
      </c>
      <c r="J5387" t="s">
        <v>3297</v>
      </c>
      <c r="K5387" s="2" t="s">
        <v>2149</v>
      </c>
      <c r="L5387" t="s">
        <v>26</v>
      </c>
      <c r="M5387">
        <v>327053</v>
      </c>
      <c r="N5387">
        <v>1</v>
      </c>
      <c r="O5387">
        <v>500</v>
      </c>
      <c r="P5387">
        <v>358</v>
      </c>
      <c r="Q5387" s="5">
        <f t="shared" si="252"/>
        <v>420.1680672268908</v>
      </c>
      <c r="R5387" s="5">
        <f t="shared" si="253"/>
        <v>358</v>
      </c>
      <c r="S5387" s="5">
        <f t="shared" si="254"/>
        <v>62.168067226890798</v>
      </c>
    </row>
    <row r="5388" spans="1:19" hidden="1" x14ac:dyDescent="0.3">
      <c r="A5388">
        <v>190</v>
      </c>
      <c r="B5388" t="s">
        <v>5801</v>
      </c>
      <c r="C5388" t="s">
        <v>6119</v>
      </c>
      <c r="D5388" s="2" t="s">
        <v>6120</v>
      </c>
      <c r="E5388" t="s">
        <v>3113</v>
      </c>
      <c r="F5388" t="s">
        <v>20</v>
      </c>
      <c r="G5388" t="s">
        <v>338</v>
      </c>
      <c r="H5388">
        <v>25702</v>
      </c>
      <c r="I5388" t="s">
        <v>23</v>
      </c>
      <c r="J5388" t="s">
        <v>35</v>
      </c>
      <c r="K5388" s="2" t="s">
        <v>2149</v>
      </c>
      <c r="L5388" t="s">
        <v>26</v>
      </c>
      <c r="M5388">
        <v>327054</v>
      </c>
      <c r="N5388">
        <v>1</v>
      </c>
      <c r="O5388" s="3">
        <v>109950</v>
      </c>
      <c r="P5388" s="3">
        <v>34974</v>
      </c>
      <c r="Q5388" s="5">
        <f t="shared" si="252"/>
        <v>92394.957983193279</v>
      </c>
      <c r="R5388" s="5">
        <f t="shared" si="253"/>
        <v>34974</v>
      </c>
      <c r="S5388" s="5">
        <f t="shared" si="254"/>
        <v>57420.957983193279</v>
      </c>
    </row>
    <row r="5389" spans="1:19" hidden="1" x14ac:dyDescent="0.3">
      <c r="A5389">
        <v>190</v>
      </c>
      <c r="B5389" t="s">
        <v>5801</v>
      </c>
      <c r="C5389" t="s">
        <v>5138</v>
      </c>
      <c r="D5389" s="2" t="s">
        <v>5139</v>
      </c>
      <c r="E5389" t="s">
        <v>3003</v>
      </c>
      <c r="F5389" t="s">
        <v>20</v>
      </c>
      <c r="G5389" t="s">
        <v>338</v>
      </c>
      <c r="H5389">
        <v>25312</v>
      </c>
      <c r="I5389" t="s">
        <v>23</v>
      </c>
      <c r="J5389" t="s">
        <v>35</v>
      </c>
      <c r="K5389" s="2" t="s">
        <v>2149</v>
      </c>
      <c r="L5389" t="s">
        <v>26</v>
      </c>
      <c r="M5389">
        <v>327055</v>
      </c>
      <c r="N5389">
        <v>1</v>
      </c>
      <c r="O5389" s="3">
        <v>69950</v>
      </c>
      <c r="P5389" s="3">
        <v>21167</v>
      </c>
      <c r="Q5389" s="5">
        <f t="shared" si="252"/>
        <v>58781.512605042022</v>
      </c>
      <c r="R5389" s="5">
        <f t="shared" si="253"/>
        <v>21167</v>
      </c>
      <c r="S5389" s="5">
        <f t="shared" si="254"/>
        <v>37614.512605042022</v>
      </c>
    </row>
    <row r="5390" spans="1:19" hidden="1" x14ac:dyDescent="0.3">
      <c r="A5390">
        <v>190</v>
      </c>
      <c r="B5390" t="s">
        <v>5801</v>
      </c>
      <c r="C5390" t="s">
        <v>3294</v>
      </c>
      <c r="D5390" s="2" t="s">
        <v>3295</v>
      </c>
      <c r="E5390" t="s">
        <v>3296</v>
      </c>
      <c r="F5390" t="s">
        <v>377</v>
      </c>
      <c r="G5390" t="s">
        <v>21</v>
      </c>
      <c r="H5390" t="s">
        <v>378</v>
      </c>
      <c r="I5390" t="s">
        <v>23</v>
      </c>
      <c r="J5390" t="s">
        <v>3297</v>
      </c>
      <c r="K5390" s="2" t="s">
        <v>2149</v>
      </c>
      <c r="L5390" t="s">
        <v>26</v>
      </c>
      <c r="M5390">
        <v>327055</v>
      </c>
      <c r="N5390">
        <v>1</v>
      </c>
      <c r="O5390">
        <v>500</v>
      </c>
      <c r="P5390">
        <v>358</v>
      </c>
      <c r="Q5390" s="5">
        <f t="shared" si="252"/>
        <v>420.1680672268908</v>
      </c>
      <c r="R5390" s="5">
        <f t="shared" si="253"/>
        <v>358</v>
      </c>
      <c r="S5390" s="5">
        <f t="shared" si="254"/>
        <v>62.168067226890798</v>
      </c>
    </row>
    <row r="5391" spans="1:19" hidden="1" x14ac:dyDescent="0.3">
      <c r="A5391">
        <v>190</v>
      </c>
      <c r="B5391" t="s">
        <v>5801</v>
      </c>
      <c r="C5391" t="s">
        <v>6121</v>
      </c>
      <c r="D5391" s="2" t="s">
        <v>6122</v>
      </c>
      <c r="E5391" t="s">
        <v>3127</v>
      </c>
      <c r="F5391" t="s">
        <v>20</v>
      </c>
      <c r="G5391" t="s">
        <v>21</v>
      </c>
      <c r="H5391" t="s">
        <v>3128</v>
      </c>
      <c r="I5391" t="s">
        <v>23</v>
      </c>
      <c r="J5391" t="s">
        <v>35</v>
      </c>
      <c r="K5391" s="2" t="s">
        <v>2149</v>
      </c>
      <c r="L5391" t="s">
        <v>26</v>
      </c>
      <c r="M5391">
        <v>327056</v>
      </c>
      <c r="N5391">
        <v>1</v>
      </c>
      <c r="O5391" s="3">
        <v>84950</v>
      </c>
      <c r="P5391" s="3">
        <v>29189</v>
      </c>
      <c r="Q5391" s="5">
        <f t="shared" si="252"/>
        <v>71386.554621848743</v>
      </c>
      <c r="R5391" s="5">
        <f t="shared" si="253"/>
        <v>29189</v>
      </c>
      <c r="S5391" s="5">
        <f t="shared" si="254"/>
        <v>42197.554621848743</v>
      </c>
    </row>
    <row r="5392" spans="1:19" hidden="1" x14ac:dyDescent="0.3">
      <c r="A5392">
        <v>190</v>
      </c>
      <c r="B5392" t="s">
        <v>5801</v>
      </c>
      <c r="C5392" t="s">
        <v>3294</v>
      </c>
      <c r="D5392" s="2" t="s">
        <v>3295</v>
      </c>
      <c r="E5392" t="s">
        <v>3296</v>
      </c>
      <c r="F5392" t="s">
        <v>377</v>
      </c>
      <c r="G5392" t="s">
        <v>21</v>
      </c>
      <c r="H5392" t="s">
        <v>378</v>
      </c>
      <c r="I5392" t="s">
        <v>23</v>
      </c>
      <c r="J5392" t="s">
        <v>3297</v>
      </c>
      <c r="K5392" s="2" t="s">
        <v>2149</v>
      </c>
      <c r="L5392" t="s">
        <v>26</v>
      </c>
      <c r="M5392">
        <v>327056</v>
      </c>
      <c r="N5392">
        <v>1</v>
      </c>
      <c r="O5392">
        <v>500</v>
      </c>
      <c r="P5392">
        <v>358</v>
      </c>
      <c r="Q5392" s="5">
        <f t="shared" si="252"/>
        <v>420.1680672268908</v>
      </c>
      <c r="R5392" s="5">
        <f t="shared" si="253"/>
        <v>358</v>
      </c>
      <c r="S5392" s="5">
        <f t="shared" si="254"/>
        <v>62.168067226890798</v>
      </c>
    </row>
    <row r="5393" spans="1:19" hidden="1" x14ac:dyDescent="0.3">
      <c r="A5393">
        <v>190</v>
      </c>
      <c r="B5393" t="s">
        <v>5801</v>
      </c>
      <c r="C5393" t="s">
        <v>5881</v>
      </c>
      <c r="D5393" s="2" t="s">
        <v>5882</v>
      </c>
      <c r="E5393" t="s">
        <v>985</v>
      </c>
      <c r="F5393" t="s">
        <v>20</v>
      </c>
      <c r="G5393" t="s">
        <v>21</v>
      </c>
      <c r="H5393" t="s">
        <v>565</v>
      </c>
      <c r="I5393" t="s">
        <v>23</v>
      </c>
      <c r="J5393" t="s">
        <v>49</v>
      </c>
      <c r="K5393" s="2" t="s">
        <v>2192</v>
      </c>
      <c r="L5393" t="s">
        <v>26</v>
      </c>
      <c r="M5393">
        <v>327057</v>
      </c>
      <c r="N5393">
        <v>1</v>
      </c>
      <c r="O5393" s="3">
        <v>69950</v>
      </c>
      <c r="P5393" s="3">
        <v>27927</v>
      </c>
      <c r="Q5393" s="5">
        <f t="shared" si="252"/>
        <v>58781.512605042022</v>
      </c>
      <c r="R5393" s="5">
        <f t="shared" si="253"/>
        <v>27927</v>
      </c>
      <c r="S5393" s="5">
        <f t="shared" si="254"/>
        <v>30854.512605042022</v>
      </c>
    </row>
    <row r="5394" spans="1:19" hidden="1" x14ac:dyDescent="0.3">
      <c r="A5394">
        <v>190</v>
      </c>
      <c r="B5394" t="s">
        <v>5801</v>
      </c>
      <c r="C5394" t="s">
        <v>3125</v>
      </c>
      <c r="D5394" s="2" t="s">
        <v>3126</v>
      </c>
      <c r="E5394" t="s">
        <v>3127</v>
      </c>
      <c r="F5394" t="s">
        <v>20</v>
      </c>
      <c r="G5394" t="s">
        <v>21</v>
      </c>
      <c r="H5394" t="s">
        <v>3128</v>
      </c>
      <c r="I5394" t="s">
        <v>23</v>
      </c>
      <c r="J5394" t="s">
        <v>35</v>
      </c>
      <c r="K5394" s="2" t="s">
        <v>2192</v>
      </c>
      <c r="L5394" t="s">
        <v>26</v>
      </c>
      <c r="M5394">
        <v>327057</v>
      </c>
      <c r="N5394">
        <v>1</v>
      </c>
      <c r="O5394" s="3">
        <v>72200</v>
      </c>
      <c r="P5394" s="3">
        <v>29189</v>
      </c>
      <c r="Q5394" s="5">
        <f t="shared" si="252"/>
        <v>60672.268907563026</v>
      </c>
      <c r="R5394" s="5">
        <f t="shared" si="253"/>
        <v>29189</v>
      </c>
      <c r="S5394" s="5">
        <f t="shared" si="254"/>
        <v>31483.268907563026</v>
      </c>
    </row>
    <row r="5395" spans="1:19" hidden="1" x14ac:dyDescent="0.3">
      <c r="A5395">
        <v>190</v>
      </c>
      <c r="B5395" t="s">
        <v>5801</v>
      </c>
      <c r="C5395" t="s">
        <v>6123</v>
      </c>
      <c r="D5395" s="2" t="s">
        <v>6124</v>
      </c>
      <c r="E5395" t="s">
        <v>6125</v>
      </c>
      <c r="F5395" t="s">
        <v>20</v>
      </c>
      <c r="G5395" t="s">
        <v>338</v>
      </c>
      <c r="H5395">
        <v>23731</v>
      </c>
      <c r="I5395" t="s">
        <v>23</v>
      </c>
      <c r="J5395" t="s">
        <v>40</v>
      </c>
      <c r="K5395" s="2" t="s">
        <v>2192</v>
      </c>
      <c r="L5395" t="s">
        <v>26</v>
      </c>
      <c r="M5395">
        <v>327058</v>
      </c>
      <c r="N5395">
        <v>1</v>
      </c>
      <c r="O5395" s="3">
        <v>69950</v>
      </c>
      <c r="P5395" s="3">
        <v>23119</v>
      </c>
      <c r="Q5395" s="5">
        <f t="shared" si="252"/>
        <v>58781.512605042022</v>
      </c>
      <c r="R5395" s="5">
        <f t="shared" si="253"/>
        <v>23119</v>
      </c>
      <c r="S5395" s="5">
        <f t="shared" si="254"/>
        <v>35662.512605042022</v>
      </c>
    </row>
    <row r="5396" spans="1:19" hidden="1" x14ac:dyDescent="0.3">
      <c r="A5396">
        <v>190</v>
      </c>
      <c r="B5396" t="s">
        <v>5801</v>
      </c>
      <c r="C5396" t="s">
        <v>4891</v>
      </c>
      <c r="D5396" s="2" t="s">
        <v>4892</v>
      </c>
      <c r="E5396" t="s">
        <v>2493</v>
      </c>
      <c r="F5396" t="s">
        <v>20</v>
      </c>
      <c r="G5396" t="s">
        <v>21</v>
      </c>
      <c r="H5396" t="s">
        <v>2494</v>
      </c>
      <c r="I5396" t="s">
        <v>23</v>
      </c>
      <c r="J5396" t="s">
        <v>40</v>
      </c>
      <c r="K5396" s="2" t="s">
        <v>2192</v>
      </c>
      <c r="L5396" t="s">
        <v>26</v>
      </c>
      <c r="M5396">
        <v>327059</v>
      </c>
      <c r="N5396">
        <v>1</v>
      </c>
      <c r="O5396" s="3">
        <v>69950</v>
      </c>
      <c r="P5396" s="3">
        <v>22206</v>
      </c>
      <c r="Q5396" s="5">
        <f t="shared" si="252"/>
        <v>58781.512605042022</v>
      </c>
      <c r="R5396" s="5">
        <f t="shared" si="253"/>
        <v>22206</v>
      </c>
      <c r="S5396" s="5">
        <f t="shared" si="254"/>
        <v>36575.512605042022</v>
      </c>
    </row>
    <row r="5397" spans="1:19" hidden="1" x14ac:dyDescent="0.3">
      <c r="A5397">
        <v>190</v>
      </c>
      <c r="B5397" t="s">
        <v>5801</v>
      </c>
      <c r="C5397" t="s">
        <v>5279</v>
      </c>
      <c r="D5397" s="2" t="s">
        <v>5280</v>
      </c>
      <c r="E5397" t="s">
        <v>2781</v>
      </c>
      <c r="F5397" t="s">
        <v>20</v>
      </c>
      <c r="G5397" t="s">
        <v>21</v>
      </c>
      <c r="H5397" t="s">
        <v>2782</v>
      </c>
      <c r="I5397" t="s">
        <v>23</v>
      </c>
      <c r="J5397" t="s">
        <v>35</v>
      </c>
      <c r="K5397" s="2" t="s">
        <v>2192</v>
      </c>
      <c r="L5397" t="s">
        <v>26</v>
      </c>
      <c r="M5397">
        <v>327059</v>
      </c>
      <c r="N5397">
        <v>1</v>
      </c>
      <c r="O5397" s="3">
        <v>63700</v>
      </c>
      <c r="P5397" s="3">
        <v>24388</v>
      </c>
      <c r="Q5397" s="5">
        <f t="shared" si="252"/>
        <v>53529.411764705888</v>
      </c>
      <c r="R5397" s="5">
        <f t="shared" si="253"/>
        <v>24388</v>
      </c>
      <c r="S5397" s="5">
        <f t="shared" si="254"/>
        <v>29141.411764705888</v>
      </c>
    </row>
    <row r="5398" spans="1:19" hidden="1" x14ac:dyDescent="0.3">
      <c r="A5398">
        <v>190</v>
      </c>
      <c r="B5398" t="s">
        <v>5801</v>
      </c>
      <c r="C5398" t="s">
        <v>3294</v>
      </c>
      <c r="D5398" s="2" t="s">
        <v>3295</v>
      </c>
      <c r="E5398" t="s">
        <v>3296</v>
      </c>
      <c r="F5398" t="s">
        <v>377</v>
      </c>
      <c r="G5398" t="s">
        <v>21</v>
      </c>
      <c r="H5398" t="s">
        <v>378</v>
      </c>
      <c r="I5398" t="s">
        <v>23</v>
      </c>
      <c r="J5398" t="s">
        <v>3297</v>
      </c>
      <c r="K5398" s="2" t="s">
        <v>2192</v>
      </c>
      <c r="L5398" t="s">
        <v>26</v>
      </c>
      <c r="M5398">
        <v>327059</v>
      </c>
      <c r="N5398">
        <v>1</v>
      </c>
      <c r="O5398">
        <v>500</v>
      </c>
      <c r="P5398">
        <v>358</v>
      </c>
      <c r="Q5398" s="5">
        <f t="shared" si="252"/>
        <v>420.1680672268908</v>
      </c>
      <c r="R5398" s="5">
        <f t="shared" si="253"/>
        <v>358</v>
      </c>
      <c r="S5398" s="5">
        <f t="shared" si="254"/>
        <v>62.168067226890798</v>
      </c>
    </row>
    <row r="5399" spans="1:19" hidden="1" x14ac:dyDescent="0.3">
      <c r="A5399">
        <v>190</v>
      </c>
      <c r="B5399" t="s">
        <v>5801</v>
      </c>
      <c r="C5399" t="s">
        <v>4036</v>
      </c>
      <c r="D5399" s="2" t="s">
        <v>4037</v>
      </c>
      <c r="E5399" t="s">
        <v>4038</v>
      </c>
      <c r="F5399" t="s">
        <v>20</v>
      </c>
      <c r="G5399" t="s">
        <v>21</v>
      </c>
      <c r="H5399" t="s">
        <v>2469</v>
      </c>
      <c r="I5399" t="s">
        <v>23</v>
      </c>
      <c r="J5399" t="s">
        <v>35</v>
      </c>
      <c r="K5399" s="2" t="s">
        <v>2192</v>
      </c>
      <c r="L5399" t="s">
        <v>26</v>
      </c>
      <c r="M5399">
        <v>327060</v>
      </c>
      <c r="N5399">
        <v>1</v>
      </c>
      <c r="O5399" s="3">
        <v>69990</v>
      </c>
      <c r="P5399" s="3">
        <v>29635</v>
      </c>
      <c r="Q5399" s="5">
        <f t="shared" si="252"/>
        <v>58815.126050420171</v>
      </c>
      <c r="R5399" s="5">
        <f t="shared" si="253"/>
        <v>29635</v>
      </c>
      <c r="S5399" s="5">
        <f t="shared" si="254"/>
        <v>29180.126050420171</v>
      </c>
    </row>
    <row r="5400" spans="1:19" hidden="1" x14ac:dyDescent="0.3">
      <c r="A5400">
        <v>190</v>
      </c>
      <c r="B5400" t="s">
        <v>5801</v>
      </c>
      <c r="C5400" t="s">
        <v>4247</v>
      </c>
      <c r="D5400" s="2" t="s">
        <v>4248</v>
      </c>
      <c r="E5400" t="s">
        <v>4109</v>
      </c>
      <c r="F5400" t="s">
        <v>20</v>
      </c>
      <c r="G5400" t="s">
        <v>21</v>
      </c>
      <c r="H5400" t="s">
        <v>818</v>
      </c>
      <c r="I5400" t="s">
        <v>23</v>
      </c>
      <c r="J5400" t="s">
        <v>35</v>
      </c>
      <c r="K5400" s="2" t="s">
        <v>2192</v>
      </c>
      <c r="L5400" t="s">
        <v>26</v>
      </c>
      <c r="M5400">
        <v>327061</v>
      </c>
      <c r="N5400">
        <v>1</v>
      </c>
      <c r="O5400" s="3">
        <v>76450</v>
      </c>
      <c r="P5400" s="3">
        <v>33052</v>
      </c>
      <c r="Q5400" s="5">
        <f t="shared" si="252"/>
        <v>64243.697478991598</v>
      </c>
      <c r="R5400" s="5">
        <f t="shared" si="253"/>
        <v>33052</v>
      </c>
      <c r="S5400" s="5">
        <f t="shared" si="254"/>
        <v>31191.697478991598</v>
      </c>
    </row>
    <row r="5401" spans="1:19" hidden="1" x14ac:dyDescent="0.3">
      <c r="A5401">
        <v>190</v>
      </c>
      <c r="B5401" t="s">
        <v>5801</v>
      </c>
      <c r="C5401" t="s">
        <v>3373</v>
      </c>
      <c r="D5401" s="2" t="s">
        <v>3374</v>
      </c>
      <c r="E5401" t="s">
        <v>3091</v>
      </c>
      <c r="F5401" t="s">
        <v>20</v>
      </c>
      <c r="G5401" t="s">
        <v>338</v>
      </c>
      <c r="H5401">
        <v>26266</v>
      </c>
      <c r="I5401" t="s">
        <v>23</v>
      </c>
      <c r="J5401" t="s">
        <v>35</v>
      </c>
      <c r="K5401" s="2" t="s">
        <v>2192</v>
      </c>
      <c r="L5401" t="s">
        <v>26</v>
      </c>
      <c r="M5401">
        <v>327061</v>
      </c>
      <c r="N5401">
        <v>1</v>
      </c>
      <c r="O5401" s="3">
        <v>79950</v>
      </c>
      <c r="P5401" s="3">
        <v>25300</v>
      </c>
      <c r="Q5401" s="5">
        <f t="shared" si="252"/>
        <v>67184.873949579836</v>
      </c>
      <c r="R5401" s="5">
        <f t="shared" si="253"/>
        <v>25300</v>
      </c>
      <c r="S5401" s="5">
        <f t="shared" si="254"/>
        <v>41884.873949579836</v>
      </c>
    </row>
    <row r="5402" spans="1:19" hidden="1" x14ac:dyDescent="0.3">
      <c r="A5402">
        <v>190</v>
      </c>
      <c r="B5402" t="s">
        <v>5801</v>
      </c>
      <c r="C5402" t="s">
        <v>1325</v>
      </c>
      <c r="D5402" s="2" t="s">
        <v>1326</v>
      </c>
      <c r="E5402" t="s">
        <v>1327</v>
      </c>
      <c r="F5402" t="s">
        <v>20</v>
      </c>
      <c r="G5402" t="s">
        <v>21</v>
      </c>
      <c r="H5402" t="s">
        <v>247</v>
      </c>
      <c r="I5402" t="s">
        <v>23</v>
      </c>
      <c r="J5402" t="s">
        <v>40</v>
      </c>
      <c r="K5402" s="2" t="s">
        <v>2192</v>
      </c>
      <c r="L5402" t="s">
        <v>26</v>
      </c>
      <c r="M5402">
        <v>327062</v>
      </c>
      <c r="N5402">
        <v>1</v>
      </c>
      <c r="O5402" s="3">
        <v>59950</v>
      </c>
      <c r="P5402" s="3">
        <v>16541</v>
      </c>
      <c r="Q5402" s="5">
        <f t="shared" si="252"/>
        <v>50378.151260504201</v>
      </c>
      <c r="R5402" s="5">
        <f t="shared" si="253"/>
        <v>16541</v>
      </c>
      <c r="S5402" s="5">
        <f t="shared" si="254"/>
        <v>33837.151260504201</v>
      </c>
    </row>
    <row r="5403" spans="1:19" hidden="1" x14ac:dyDescent="0.3">
      <c r="A5403">
        <v>190</v>
      </c>
      <c r="B5403" t="s">
        <v>5801</v>
      </c>
      <c r="C5403" t="s">
        <v>6126</v>
      </c>
      <c r="D5403" s="2" t="s">
        <v>6127</v>
      </c>
      <c r="E5403" t="s">
        <v>4257</v>
      </c>
      <c r="F5403" t="s">
        <v>20</v>
      </c>
      <c r="G5403" t="s">
        <v>338</v>
      </c>
      <c r="H5403">
        <v>25702</v>
      </c>
      <c r="I5403" t="s">
        <v>23</v>
      </c>
      <c r="J5403" t="s">
        <v>35</v>
      </c>
      <c r="K5403" s="2" t="s">
        <v>2192</v>
      </c>
      <c r="L5403" t="s">
        <v>26</v>
      </c>
      <c r="M5403">
        <v>327063</v>
      </c>
      <c r="N5403">
        <v>1</v>
      </c>
      <c r="O5403" s="3">
        <v>109950</v>
      </c>
      <c r="P5403" s="3">
        <v>34974</v>
      </c>
      <c r="Q5403" s="5">
        <f t="shared" si="252"/>
        <v>92394.957983193279</v>
      </c>
      <c r="R5403" s="5">
        <f t="shared" si="253"/>
        <v>34974</v>
      </c>
      <c r="S5403" s="5">
        <f t="shared" si="254"/>
        <v>57420.957983193279</v>
      </c>
    </row>
    <row r="5404" spans="1:19" hidden="1" x14ac:dyDescent="0.3">
      <c r="A5404">
        <v>190</v>
      </c>
      <c r="B5404" t="s">
        <v>5801</v>
      </c>
      <c r="C5404" t="s">
        <v>6034</v>
      </c>
      <c r="D5404" s="2" t="s">
        <v>6035</v>
      </c>
      <c r="E5404" t="s">
        <v>2252</v>
      </c>
      <c r="F5404" t="s">
        <v>20</v>
      </c>
      <c r="G5404" t="s">
        <v>21</v>
      </c>
      <c r="H5404" t="s">
        <v>970</v>
      </c>
      <c r="I5404" t="s">
        <v>23</v>
      </c>
      <c r="J5404" t="s">
        <v>40</v>
      </c>
      <c r="K5404" s="2" t="s">
        <v>2192</v>
      </c>
      <c r="L5404" t="s">
        <v>26</v>
      </c>
      <c r="M5404">
        <v>327064</v>
      </c>
      <c r="N5404">
        <v>1</v>
      </c>
      <c r="O5404" s="3">
        <v>59950</v>
      </c>
      <c r="P5404" s="3">
        <v>15928</v>
      </c>
      <c r="Q5404" s="5">
        <f t="shared" si="252"/>
        <v>50378.151260504201</v>
      </c>
      <c r="R5404" s="5">
        <f t="shared" si="253"/>
        <v>15928</v>
      </c>
      <c r="S5404" s="5">
        <f t="shared" si="254"/>
        <v>34450.151260504201</v>
      </c>
    </row>
    <row r="5405" spans="1:19" hidden="1" x14ac:dyDescent="0.3">
      <c r="A5405">
        <v>190</v>
      </c>
      <c r="B5405" t="s">
        <v>5801</v>
      </c>
      <c r="C5405" t="s">
        <v>5954</v>
      </c>
      <c r="D5405" s="2" t="s">
        <v>5955</v>
      </c>
      <c r="E5405" t="s">
        <v>4739</v>
      </c>
      <c r="F5405" t="s">
        <v>20</v>
      </c>
      <c r="G5405" t="s">
        <v>338</v>
      </c>
      <c r="H5405">
        <v>83716</v>
      </c>
      <c r="I5405" t="s">
        <v>23</v>
      </c>
      <c r="J5405" t="s">
        <v>40</v>
      </c>
      <c r="K5405" s="2" t="s">
        <v>2192</v>
      </c>
      <c r="L5405" t="s">
        <v>26</v>
      </c>
      <c r="M5405">
        <v>327064</v>
      </c>
      <c r="N5405">
        <v>1</v>
      </c>
      <c r="O5405" s="3">
        <v>76450</v>
      </c>
      <c r="P5405" s="3">
        <v>30263</v>
      </c>
      <c r="Q5405" s="5">
        <f t="shared" si="252"/>
        <v>64243.697478991598</v>
      </c>
      <c r="R5405" s="5">
        <f t="shared" si="253"/>
        <v>30263</v>
      </c>
      <c r="S5405" s="5">
        <f t="shared" si="254"/>
        <v>33980.697478991598</v>
      </c>
    </row>
    <row r="5406" spans="1:19" hidden="1" x14ac:dyDescent="0.3">
      <c r="A5406">
        <v>190</v>
      </c>
      <c r="B5406" t="s">
        <v>5801</v>
      </c>
      <c r="C5406" t="s">
        <v>5999</v>
      </c>
      <c r="D5406" s="2" t="s">
        <v>6000</v>
      </c>
      <c r="E5406" t="s">
        <v>3155</v>
      </c>
      <c r="F5406" t="s">
        <v>20</v>
      </c>
      <c r="G5406" t="s">
        <v>21</v>
      </c>
      <c r="H5406" t="s">
        <v>970</v>
      </c>
      <c r="I5406" t="s">
        <v>23</v>
      </c>
      <c r="J5406" t="s">
        <v>40</v>
      </c>
      <c r="K5406" s="2" t="s">
        <v>2192</v>
      </c>
      <c r="L5406" t="s">
        <v>26</v>
      </c>
      <c r="M5406">
        <v>327065</v>
      </c>
      <c r="N5406">
        <v>1</v>
      </c>
      <c r="O5406" s="3">
        <v>59950</v>
      </c>
      <c r="P5406" s="3">
        <v>19352</v>
      </c>
      <c r="Q5406" s="5">
        <f t="shared" si="252"/>
        <v>50378.151260504201</v>
      </c>
      <c r="R5406" s="5">
        <f t="shared" si="253"/>
        <v>19352</v>
      </c>
      <c r="S5406" s="5">
        <f t="shared" si="254"/>
        <v>31026.151260504201</v>
      </c>
    </row>
    <row r="5407" spans="1:19" hidden="1" x14ac:dyDescent="0.3">
      <c r="A5407">
        <v>190</v>
      </c>
      <c r="B5407" t="s">
        <v>5801</v>
      </c>
      <c r="C5407" t="s">
        <v>3294</v>
      </c>
      <c r="D5407" s="2" t="s">
        <v>3295</v>
      </c>
      <c r="E5407" t="s">
        <v>3296</v>
      </c>
      <c r="F5407" t="s">
        <v>377</v>
      </c>
      <c r="G5407" t="s">
        <v>21</v>
      </c>
      <c r="H5407" t="s">
        <v>378</v>
      </c>
      <c r="I5407" t="s">
        <v>23</v>
      </c>
      <c r="J5407" t="s">
        <v>3297</v>
      </c>
      <c r="K5407" s="2" t="s">
        <v>2192</v>
      </c>
      <c r="L5407" t="s">
        <v>26</v>
      </c>
      <c r="M5407">
        <v>327065</v>
      </c>
      <c r="N5407">
        <v>1</v>
      </c>
      <c r="O5407">
        <v>500</v>
      </c>
      <c r="P5407">
        <v>358</v>
      </c>
      <c r="Q5407" s="5">
        <f t="shared" si="252"/>
        <v>420.1680672268908</v>
      </c>
      <c r="R5407" s="5">
        <f t="shared" si="253"/>
        <v>358</v>
      </c>
      <c r="S5407" s="5">
        <f t="shared" si="254"/>
        <v>62.168067226890798</v>
      </c>
    </row>
    <row r="5408" spans="1:19" hidden="1" x14ac:dyDescent="0.3">
      <c r="A5408">
        <v>190</v>
      </c>
      <c r="B5408" t="s">
        <v>5801</v>
      </c>
      <c r="C5408" t="s">
        <v>4067</v>
      </c>
      <c r="D5408" s="2" t="s">
        <v>4068</v>
      </c>
      <c r="E5408" t="s">
        <v>3323</v>
      </c>
      <c r="F5408" t="s">
        <v>20</v>
      </c>
      <c r="G5408" t="s">
        <v>21</v>
      </c>
      <c r="H5408" t="s">
        <v>625</v>
      </c>
      <c r="I5408" t="s">
        <v>23</v>
      </c>
      <c r="J5408" t="s">
        <v>35</v>
      </c>
      <c r="K5408" s="2" t="s">
        <v>2192</v>
      </c>
      <c r="L5408" t="s">
        <v>26</v>
      </c>
      <c r="M5408">
        <v>327066</v>
      </c>
      <c r="N5408">
        <v>1</v>
      </c>
      <c r="O5408" s="3">
        <v>49990</v>
      </c>
      <c r="P5408" s="3">
        <v>24956</v>
      </c>
      <c r="Q5408" s="5">
        <f t="shared" si="252"/>
        <v>42008.403361344543</v>
      </c>
      <c r="R5408" s="5">
        <f t="shared" si="253"/>
        <v>24956</v>
      </c>
      <c r="S5408" s="5">
        <f t="shared" si="254"/>
        <v>17052.403361344543</v>
      </c>
    </row>
    <row r="5409" spans="1:19" hidden="1" x14ac:dyDescent="0.3">
      <c r="A5409">
        <v>190</v>
      </c>
      <c r="B5409" t="s">
        <v>5801</v>
      </c>
      <c r="C5409" t="s">
        <v>5449</v>
      </c>
      <c r="D5409" s="2" t="s">
        <v>5450</v>
      </c>
      <c r="E5409" t="s">
        <v>1791</v>
      </c>
      <c r="F5409" t="s">
        <v>20</v>
      </c>
      <c r="G5409" t="s">
        <v>21</v>
      </c>
      <c r="H5409" t="s">
        <v>742</v>
      </c>
      <c r="I5409" t="s">
        <v>23</v>
      </c>
      <c r="J5409" t="s">
        <v>40</v>
      </c>
      <c r="K5409" s="2" t="s">
        <v>2192</v>
      </c>
      <c r="L5409" t="s">
        <v>26</v>
      </c>
      <c r="M5409">
        <v>327067</v>
      </c>
      <c r="N5409">
        <v>1</v>
      </c>
      <c r="O5409" s="3">
        <v>69990</v>
      </c>
      <c r="P5409" s="3">
        <v>26554</v>
      </c>
      <c r="Q5409" s="5">
        <f t="shared" si="252"/>
        <v>58815.126050420171</v>
      </c>
      <c r="R5409" s="5">
        <f t="shared" si="253"/>
        <v>26554</v>
      </c>
      <c r="S5409" s="5">
        <f t="shared" si="254"/>
        <v>32261.126050420171</v>
      </c>
    </row>
    <row r="5410" spans="1:19" hidden="1" x14ac:dyDescent="0.3">
      <c r="A5410">
        <v>190</v>
      </c>
      <c r="B5410" t="s">
        <v>5801</v>
      </c>
      <c r="C5410" t="s">
        <v>6128</v>
      </c>
      <c r="D5410" s="2" t="s">
        <v>6129</v>
      </c>
      <c r="E5410" t="s">
        <v>3421</v>
      </c>
      <c r="F5410" t="s">
        <v>20</v>
      </c>
      <c r="G5410" t="s">
        <v>21</v>
      </c>
      <c r="H5410" t="s">
        <v>1755</v>
      </c>
      <c r="I5410" t="s">
        <v>23</v>
      </c>
      <c r="J5410" t="s">
        <v>35</v>
      </c>
      <c r="K5410" s="2" t="s">
        <v>2192</v>
      </c>
      <c r="L5410" t="s">
        <v>26</v>
      </c>
      <c r="M5410">
        <v>327068</v>
      </c>
      <c r="N5410">
        <v>1</v>
      </c>
      <c r="O5410" s="3">
        <v>59990</v>
      </c>
      <c r="P5410" s="3">
        <v>28298</v>
      </c>
      <c r="Q5410" s="5">
        <f t="shared" si="252"/>
        <v>50411.764705882357</v>
      </c>
      <c r="R5410" s="5">
        <f t="shared" si="253"/>
        <v>28298</v>
      </c>
      <c r="S5410" s="5">
        <f t="shared" si="254"/>
        <v>22113.764705882357</v>
      </c>
    </row>
    <row r="5411" spans="1:19" hidden="1" x14ac:dyDescent="0.3">
      <c r="A5411">
        <v>190</v>
      </c>
      <c r="B5411" t="s">
        <v>5801</v>
      </c>
      <c r="C5411" t="s">
        <v>6130</v>
      </c>
      <c r="D5411" s="2" t="s">
        <v>6131</v>
      </c>
      <c r="E5411" t="s">
        <v>2986</v>
      </c>
      <c r="F5411" t="s">
        <v>20</v>
      </c>
      <c r="G5411" t="s">
        <v>21</v>
      </c>
      <c r="H5411" t="s">
        <v>267</v>
      </c>
      <c r="I5411" t="s">
        <v>23</v>
      </c>
      <c r="J5411" t="s">
        <v>35</v>
      </c>
      <c r="K5411" s="2" t="s">
        <v>2192</v>
      </c>
      <c r="L5411" t="s">
        <v>26</v>
      </c>
      <c r="M5411">
        <v>327069</v>
      </c>
      <c r="N5411">
        <v>1</v>
      </c>
      <c r="O5411" s="3">
        <v>59990</v>
      </c>
      <c r="P5411" s="3">
        <v>24733</v>
      </c>
      <c r="Q5411" s="5">
        <f t="shared" si="252"/>
        <v>50411.764705882357</v>
      </c>
      <c r="R5411" s="5">
        <f t="shared" si="253"/>
        <v>24733</v>
      </c>
      <c r="S5411" s="5">
        <f t="shared" si="254"/>
        <v>25678.764705882357</v>
      </c>
    </row>
    <row r="5412" spans="1:19" hidden="1" x14ac:dyDescent="0.3">
      <c r="A5412">
        <v>190</v>
      </c>
      <c r="B5412" t="s">
        <v>5801</v>
      </c>
      <c r="C5412" t="s">
        <v>3401</v>
      </c>
      <c r="D5412" s="2" t="s">
        <v>3402</v>
      </c>
      <c r="E5412" t="s">
        <v>3403</v>
      </c>
      <c r="F5412" t="s">
        <v>377</v>
      </c>
      <c r="G5412" t="s">
        <v>21</v>
      </c>
      <c r="H5412" t="s">
        <v>378</v>
      </c>
      <c r="I5412" t="s">
        <v>23</v>
      </c>
      <c r="J5412" t="s">
        <v>3297</v>
      </c>
      <c r="K5412" s="2" t="s">
        <v>2192</v>
      </c>
      <c r="L5412" t="s">
        <v>26</v>
      </c>
      <c r="M5412">
        <v>327069</v>
      </c>
      <c r="N5412">
        <v>1</v>
      </c>
      <c r="O5412">
        <v>500</v>
      </c>
      <c r="P5412">
        <v>418</v>
      </c>
      <c r="Q5412" s="5">
        <f t="shared" si="252"/>
        <v>420.1680672268908</v>
      </c>
      <c r="R5412" s="5">
        <f t="shared" si="253"/>
        <v>418</v>
      </c>
      <c r="S5412" s="5">
        <f t="shared" si="254"/>
        <v>2.1680672268907983</v>
      </c>
    </row>
    <row r="5413" spans="1:19" hidden="1" x14ac:dyDescent="0.3">
      <c r="A5413">
        <v>190</v>
      </c>
      <c r="B5413" t="s">
        <v>5801</v>
      </c>
      <c r="C5413" t="s">
        <v>4677</v>
      </c>
      <c r="D5413" s="2" t="s">
        <v>4678</v>
      </c>
      <c r="E5413" t="s">
        <v>266</v>
      </c>
      <c r="F5413" t="s">
        <v>20</v>
      </c>
      <c r="G5413" t="s">
        <v>21</v>
      </c>
      <c r="H5413" t="s">
        <v>267</v>
      </c>
      <c r="I5413" t="s">
        <v>23</v>
      </c>
      <c r="J5413" t="s">
        <v>49</v>
      </c>
      <c r="K5413" s="2" t="s">
        <v>2192</v>
      </c>
      <c r="L5413" t="s">
        <v>26</v>
      </c>
      <c r="M5413">
        <v>327070</v>
      </c>
      <c r="N5413">
        <v>1</v>
      </c>
      <c r="O5413" s="3">
        <v>64950</v>
      </c>
      <c r="P5413" s="3">
        <v>24504</v>
      </c>
      <c r="Q5413" s="5">
        <f t="shared" si="252"/>
        <v>54579.831932773115</v>
      </c>
      <c r="R5413" s="5">
        <f t="shared" si="253"/>
        <v>24504</v>
      </c>
      <c r="S5413" s="5">
        <f t="shared" si="254"/>
        <v>30075.831932773115</v>
      </c>
    </row>
    <row r="5414" spans="1:19" hidden="1" x14ac:dyDescent="0.3">
      <c r="A5414">
        <v>190</v>
      </c>
      <c r="B5414" t="s">
        <v>5801</v>
      </c>
      <c r="C5414" t="s">
        <v>6132</v>
      </c>
      <c r="D5414" s="2" t="s">
        <v>6133</v>
      </c>
      <c r="E5414" t="s">
        <v>294</v>
      </c>
      <c r="F5414" t="s">
        <v>20</v>
      </c>
      <c r="G5414" t="s">
        <v>21</v>
      </c>
      <c r="H5414" t="s">
        <v>295</v>
      </c>
      <c r="I5414" t="s">
        <v>23</v>
      </c>
      <c r="J5414" t="s">
        <v>40</v>
      </c>
      <c r="K5414" s="2" t="s">
        <v>2192</v>
      </c>
      <c r="L5414" t="s">
        <v>26</v>
      </c>
      <c r="M5414">
        <v>327071</v>
      </c>
      <c r="N5414">
        <v>1</v>
      </c>
      <c r="O5414" s="3">
        <v>79950</v>
      </c>
      <c r="P5414" s="3">
        <v>26951</v>
      </c>
      <c r="Q5414" s="5">
        <f t="shared" si="252"/>
        <v>67184.873949579836</v>
      </c>
      <c r="R5414" s="5">
        <f t="shared" si="253"/>
        <v>26951</v>
      </c>
      <c r="S5414" s="5">
        <f t="shared" si="254"/>
        <v>40233.873949579836</v>
      </c>
    </row>
    <row r="5415" spans="1:19" hidden="1" x14ac:dyDescent="0.3">
      <c r="A5415">
        <v>190</v>
      </c>
      <c r="B5415" t="s">
        <v>5801</v>
      </c>
      <c r="C5415" t="s">
        <v>3401</v>
      </c>
      <c r="D5415" s="2" t="s">
        <v>3402</v>
      </c>
      <c r="E5415" t="s">
        <v>3403</v>
      </c>
      <c r="F5415" t="s">
        <v>377</v>
      </c>
      <c r="G5415" t="s">
        <v>21</v>
      </c>
      <c r="H5415" t="s">
        <v>378</v>
      </c>
      <c r="I5415" t="s">
        <v>23</v>
      </c>
      <c r="J5415" t="s">
        <v>3297</v>
      </c>
      <c r="K5415" s="2" t="s">
        <v>2192</v>
      </c>
      <c r="L5415" t="s">
        <v>26</v>
      </c>
      <c r="M5415">
        <v>327071</v>
      </c>
      <c r="N5415">
        <v>1</v>
      </c>
      <c r="O5415">
        <v>500</v>
      </c>
      <c r="P5415">
        <v>418</v>
      </c>
      <c r="Q5415" s="5">
        <f t="shared" si="252"/>
        <v>420.1680672268908</v>
      </c>
      <c r="R5415" s="5">
        <f t="shared" si="253"/>
        <v>418</v>
      </c>
      <c r="S5415" s="5">
        <f t="shared" si="254"/>
        <v>2.1680672268907983</v>
      </c>
    </row>
    <row r="5416" spans="1:19" hidden="1" x14ac:dyDescent="0.3">
      <c r="A5416">
        <v>190</v>
      </c>
      <c r="B5416" t="s">
        <v>5801</v>
      </c>
      <c r="C5416" t="s">
        <v>6134</v>
      </c>
      <c r="D5416" s="2" t="s">
        <v>6135</v>
      </c>
      <c r="E5416" t="s">
        <v>3722</v>
      </c>
      <c r="F5416" t="s">
        <v>20</v>
      </c>
      <c r="G5416" t="s">
        <v>21</v>
      </c>
      <c r="H5416" t="s">
        <v>1914</v>
      </c>
      <c r="I5416" t="s">
        <v>23</v>
      </c>
      <c r="J5416" t="s">
        <v>49</v>
      </c>
      <c r="K5416" s="2" t="s">
        <v>2192</v>
      </c>
      <c r="L5416" t="s">
        <v>26</v>
      </c>
      <c r="M5416">
        <v>327072</v>
      </c>
      <c r="N5416">
        <v>1</v>
      </c>
      <c r="O5416" s="3">
        <v>74950</v>
      </c>
      <c r="P5416" s="3">
        <v>22879</v>
      </c>
      <c r="Q5416" s="5">
        <f t="shared" si="252"/>
        <v>62983.193277310929</v>
      </c>
      <c r="R5416" s="5">
        <f t="shared" si="253"/>
        <v>22879</v>
      </c>
      <c r="S5416" s="5">
        <f t="shared" si="254"/>
        <v>40104.193277310929</v>
      </c>
    </row>
    <row r="5417" spans="1:19" hidden="1" x14ac:dyDescent="0.3">
      <c r="A5417">
        <v>190</v>
      </c>
      <c r="B5417" t="s">
        <v>5801</v>
      </c>
      <c r="C5417" t="s">
        <v>3294</v>
      </c>
      <c r="D5417" s="2" t="s">
        <v>3295</v>
      </c>
      <c r="E5417" t="s">
        <v>3296</v>
      </c>
      <c r="F5417" t="s">
        <v>377</v>
      </c>
      <c r="G5417" t="s">
        <v>21</v>
      </c>
      <c r="H5417" t="s">
        <v>378</v>
      </c>
      <c r="I5417" t="s">
        <v>23</v>
      </c>
      <c r="J5417" t="s">
        <v>3297</v>
      </c>
      <c r="K5417" s="2" t="s">
        <v>2192</v>
      </c>
      <c r="L5417" t="s">
        <v>26</v>
      </c>
      <c r="M5417">
        <v>327072</v>
      </c>
      <c r="N5417">
        <v>1</v>
      </c>
      <c r="O5417">
        <v>500</v>
      </c>
      <c r="P5417">
        <v>358</v>
      </c>
      <c r="Q5417" s="5">
        <f t="shared" si="252"/>
        <v>420.1680672268908</v>
      </c>
      <c r="R5417" s="5">
        <f t="shared" si="253"/>
        <v>358</v>
      </c>
      <c r="S5417" s="5">
        <f t="shared" si="254"/>
        <v>62.168067226890798</v>
      </c>
    </row>
    <row r="5418" spans="1:19" hidden="1" x14ac:dyDescent="0.3">
      <c r="A5418">
        <v>190</v>
      </c>
      <c r="B5418" t="s">
        <v>5801</v>
      </c>
      <c r="C5418" t="s">
        <v>6136</v>
      </c>
      <c r="D5418" s="2" t="s">
        <v>6137</v>
      </c>
      <c r="E5418" t="s">
        <v>3795</v>
      </c>
      <c r="F5418" t="s">
        <v>20</v>
      </c>
      <c r="G5418" t="s">
        <v>338</v>
      </c>
      <c r="H5418">
        <v>25529</v>
      </c>
      <c r="I5418" t="s">
        <v>23</v>
      </c>
      <c r="J5418" t="s">
        <v>31</v>
      </c>
      <c r="K5418" s="2" t="s">
        <v>2192</v>
      </c>
      <c r="L5418" t="s">
        <v>26</v>
      </c>
      <c r="M5418">
        <v>327073</v>
      </c>
      <c r="N5418">
        <v>1</v>
      </c>
      <c r="O5418" s="3">
        <v>127450</v>
      </c>
      <c r="P5418" s="3">
        <v>50690</v>
      </c>
      <c r="Q5418" s="5">
        <f t="shared" si="252"/>
        <v>107100.84033613445</v>
      </c>
      <c r="R5418" s="5">
        <f t="shared" si="253"/>
        <v>50690</v>
      </c>
      <c r="S5418" s="5">
        <f t="shared" si="254"/>
        <v>56410.840336134454</v>
      </c>
    </row>
    <row r="5419" spans="1:19" hidden="1" x14ac:dyDescent="0.3">
      <c r="A5419">
        <v>190</v>
      </c>
      <c r="B5419" t="s">
        <v>5801</v>
      </c>
      <c r="C5419" t="s">
        <v>6057</v>
      </c>
      <c r="D5419" s="2" t="s">
        <v>6058</v>
      </c>
      <c r="E5419" t="s">
        <v>2959</v>
      </c>
      <c r="F5419" t="s">
        <v>20</v>
      </c>
      <c r="G5419" t="s">
        <v>338</v>
      </c>
      <c r="H5419">
        <v>25529</v>
      </c>
      <c r="I5419" t="s">
        <v>23</v>
      </c>
      <c r="J5419" t="s">
        <v>31</v>
      </c>
      <c r="K5419" s="2" t="s">
        <v>2192</v>
      </c>
      <c r="L5419" t="s">
        <v>26</v>
      </c>
      <c r="M5419">
        <v>327073</v>
      </c>
      <c r="N5419">
        <v>1</v>
      </c>
      <c r="O5419" s="3">
        <v>149950</v>
      </c>
      <c r="P5419" s="3">
        <v>50690</v>
      </c>
      <c r="Q5419" s="5">
        <f t="shared" si="252"/>
        <v>126008.40336134455</v>
      </c>
      <c r="R5419" s="5">
        <f t="shared" si="253"/>
        <v>50690</v>
      </c>
      <c r="S5419" s="5">
        <f t="shared" si="254"/>
        <v>75318.40336134455</v>
      </c>
    </row>
    <row r="5420" spans="1:19" hidden="1" x14ac:dyDescent="0.3">
      <c r="A5420">
        <v>190</v>
      </c>
      <c r="B5420" t="s">
        <v>5801</v>
      </c>
      <c r="C5420" t="s">
        <v>4214</v>
      </c>
      <c r="D5420" s="2" t="s">
        <v>4215</v>
      </c>
      <c r="E5420" t="s">
        <v>4109</v>
      </c>
      <c r="F5420" t="s">
        <v>20</v>
      </c>
      <c r="G5420" t="s">
        <v>21</v>
      </c>
      <c r="H5420" t="s">
        <v>818</v>
      </c>
      <c r="I5420" t="s">
        <v>23</v>
      </c>
      <c r="J5420" t="s">
        <v>35</v>
      </c>
      <c r="K5420" s="2" t="s">
        <v>2192</v>
      </c>
      <c r="L5420" t="s">
        <v>26</v>
      </c>
      <c r="M5420">
        <v>327074</v>
      </c>
      <c r="N5420">
        <v>1</v>
      </c>
      <c r="O5420" s="3">
        <v>69990</v>
      </c>
      <c r="P5420" s="3">
        <v>33186</v>
      </c>
      <c r="Q5420" s="5">
        <f t="shared" si="252"/>
        <v>58815.126050420171</v>
      </c>
      <c r="R5420" s="5">
        <f t="shared" si="253"/>
        <v>33186</v>
      </c>
      <c r="S5420" s="5">
        <f t="shared" si="254"/>
        <v>25629.126050420171</v>
      </c>
    </row>
    <row r="5421" spans="1:19" hidden="1" x14ac:dyDescent="0.3">
      <c r="A5421">
        <v>190</v>
      </c>
      <c r="B5421" t="s">
        <v>5801</v>
      </c>
      <c r="C5421" t="s">
        <v>5974</v>
      </c>
      <c r="D5421" s="2" t="s">
        <v>5975</v>
      </c>
      <c r="E5421" t="s">
        <v>1651</v>
      </c>
      <c r="F5421" t="s">
        <v>20</v>
      </c>
      <c r="G5421" t="s">
        <v>21</v>
      </c>
      <c r="H5421" t="s">
        <v>1143</v>
      </c>
      <c r="I5421" t="s">
        <v>23</v>
      </c>
      <c r="J5421" t="s">
        <v>40</v>
      </c>
      <c r="K5421" s="2" t="s">
        <v>2192</v>
      </c>
      <c r="L5421" t="s">
        <v>26</v>
      </c>
      <c r="M5421">
        <v>327075</v>
      </c>
      <c r="N5421">
        <v>-1</v>
      </c>
      <c r="O5421" s="3">
        <v>-34990</v>
      </c>
      <c r="P5421" s="3">
        <v>27195</v>
      </c>
      <c r="Q5421" s="5">
        <f t="shared" si="252"/>
        <v>-29403.361344537818</v>
      </c>
      <c r="R5421" s="5">
        <f t="shared" si="253"/>
        <v>-27195</v>
      </c>
      <c r="S5421" s="5">
        <f t="shared" si="254"/>
        <v>-2208.3613445378178</v>
      </c>
    </row>
    <row r="5422" spans="1:19" hidden="1" x14ac:dyDescent="0.3">
      <c r="A5422">
        <v>190</v>
      </c>
      <c r="B5422" t="s">
        <v>5801</v>
      </c>
      <c r="C5422" t="s">
        <v>6138</v>
      </c>
      <c r="D5422" s="2" t="s">
        <v>6139</v>
      </c>
      <c r="E5422" t="s">
        <v>6097</v>
      </c>
      <c r="F5422" t="s">
        <v>20</v>
      </c>
      <c r="G5422" t="s">
        <v>21</v>
      </c>
      <c r="H5422" t="s">
        <v>3811</v>
      </c>
      <c r="I5422" t="s">
        <v>23</v>
      </c>
      <c r="J5422" t="s">
        <v>40</v>
      </c>
      <c r="K5422" s="2" t="s">
        <v>2192</v>
      </c>
      <c r="L5422" t="s">
        <v>26</v>
      </c>
      <c r="M5422">
        <v>327075</v>
      </c>
      <c r="N5422">
        <v>1</v>
      </c>
      <c r="O5422" s="3">
        <v>49990</v>
      </c>
      <c r="P5422" s="3">
        <v>21722</v>
      </c>
      <c r="Q5422" s="5">
        <f t="shared" si="252"/>
        <v>42008.403361344543</v>
      </c>
      <c r="R5422" s="5">
        <f t="shared" si="253"/>
        <v>21722</v>
      </c>
      <c r="S5422" s="5">
        <f t="shared" si="254"/>
        <v>20286.403361344543</v>
      </c>
    </row>
    <row r="5423" spans="1:19" hidden="1" x14ac:dyDescent="0.3">
      <c r="A5423">
        <v>190</v>
      </c>
      <c r="B5423" t="s">
        <v>5801</v>
      </c>
      <c r="C5423" t="s">
        <v>6140</v>
      </c>
      <c r="D5423" s="2" t="s">
        <v>6141</v>
      </c>
      <c r="E5423" t="s">
        <v>4676</v>
      </c>
      <c r="F5423" t="s">
        <v>20</v>
      </c>
      <c r="G5423" t="s">
        <v>21</v>
      </c>
      <c r="H5423" t="s">
        <v>4647</v>
      </c>
      <c r="I5423" t="s">
        <v>23</v>
      </c>
      <c r="J5423" t="s">
        <v>49</v>
      </c>
      <c r="K5423" s="2" t="s">
        <v>2192</v>
      </c>
      <c r="L5423" t="s">
        <v>26</v>
      </c>
      <c r="M5423">
        <v>327076</v>
      </c>
      <c r="N5423">
        <v>1</v>
      </c>
      <c r="O5423" s="3">
        <v>74950</v>
      </c>
      <c r="P5423" s="3">
        <v>28770</v>
      </c>
      <c r="Q5423" s="5">
        <f t="shared" si="252"/>
        <v>62983.193277310929</v>
      </c>
      <c r="R5423" s="5">
        <f t="shared" si="253"/>
        <v>28770</v>
      </c>
      <c r="S5423" s="5">
        <f t="shared" si="254"/>
        <v>34213.193277310929</v>
      </c>
    </row>
    <row r="5424" spans="1:19" hidden="1" x14ac:dyDescent="0.3">
      <c r="A5424">
        <v>190</v>
      </c>
      <c r="B5424" t="s">
        <v>5801</v>
      </c>
      <c r="C5424" t="s">
        <v>3294</v>
      </c>
      <c r="D5424" s="2" t="s">
        <v>3295</v>
      </c>
      <c r="E5424" t="s">
        <v>3296</v>
      </c>
      <c r="F5424" t="s">
        <v>377</v>
      </c>
      <c r="G5424" t="s">
        <v>21</v>
      </c>
      <c r="H5424" t="s">
        <v>378</v>
      </c>
      <c r="I5424" t="s">
        <v>23</v>
      </c>
      <c r="J5424" t="s">
        <v>3297</v>
      </c>
      <c r="K5424" s="2" t="s">
        <v>2192</v>
      </c>
      <c r="L5424" t="s">
        <v>26</v>
      </c>
      <c r="M5424">
        <v>327076</v>
      </c>
      <c r="N5424">
        <v>1</v>
      </c>
      <c r="O5424">
        <v>500</v>
      </c>
      <c r="P5424">
        <v>358</v>
      </c>
      <c r="Q5424" s="5">
        <f t="shared" si="252"/>
        <v>420.1680672268908</v>
      </c>
      <c r="R5424" s="5">
        <f t="shared" si="253"/>
        <v>358</v>
      </c>
      <c r="S5424" s="5">
        <f t="shared" si="254"/>
        <v>62.168067226890798</v>
      </c>
    </row>
    <row r="5425" spans="1:19" hidden="1" x14ac:dyDescent="0.3">
      <c r="A5425">
        <v>190</v>
      </c>
      <c r="B5425" t="s">
        <v>5801</v>
      </c>
      <c r="C5425" t="s">
        <v>2984</v>
      </c>
      <c r="D5425" s="2" t="s">
        <v>2985</v>
      </c>
      <c r="E5425" t="s">
        <v>2986</v>
      </c>
      <c r="F5425" t="s">
        <v>20</v>
      </c>
      <c r="G5425" t="s">
        <v>21</v>
      </c>
      <c r="H5425" t="s">
        <v>267</v>
      </c>
      <c r="I5425" t="s">
        <v>23</v>
      </c>
      <c r="J5425" t="s">
        <v>35</v>
      </c>
      <c r="K5425" s="2" t="s">
        <v>2192</v>
      </c>
      <c r="L5425" t="s">
        <v>26</v>
      </c>
      <c r="M5425">
        <v>327077</v>
      </c>
      <c r="N5425">
        <v>1</v>
      </c>
      <c r="O5425" s="3">
        <v>59990</v>
      </c>
      <c r="P5425" s="3">
        <v>24733</v>
      </c>
      <c r="Q5425" s="5">
        <f t="shared" si="252"/>
        <v>50411.764705882357</v>
      </c>
      <c r="R5425" s="5">
        <f t="shared" si="253"/>
        <v>24733</v>
      </c>
      <c r="S5425" s="5">
        <f t="shared" si="254"/>
        <v>25678.764705882357</v>
      </c>
    </row>
    <row r="5426" spans="1:19" x14ac:dyDescent="0.3">
      <c r="A5426">
        <v>195</v>
      </c>
      <c r="B5426" t="s">
        <v>6142</v>
      </c>
      <c r="C5426" t="s">
        <v>3755</v>
      </c>
      <c r="D5426" s="2" t="s">
        <v>3756</v>
      </c>
      <c r="E5426" t="s">
        <v>3757</v>
      </c>
      <c r="F5426" t="s">
        <v>20</v>
      </c>
      <c r="G5426" t="s">
        <v>338</v>
      </c>
      <c r="H5426">
        <v>23732</v>
      </c>
      <c r="I5426" t="s">
        <v>23</v>
      </c>
      <c r="J5426" t="s">
        <v>40</v>
      </c>
      <c r="K5426" s="2" t="s">
        <v>25</v>
      </c>
      <c r="L5426" t="s">
        <v>26</v>
      </c>
      <c r="M5426">
        <v>307547</v>
      </c>
      <c r="N5426">
        <v>1</v>
      </c>
      <c r="O5426" s="3">
        <v>79950</v>
      </c>
      <c r="P5426" s="3">
        <v>26539</v>
      </c>
      <c r="Q5426" s="5">
        <f t="shared" si="252"/>
        <v>67184.873949579836</v>
      </c>
      <c r="R5426" s="5">
        <f t="shared" si="253"/>
        <v>26539</v>
      </c>
      <c r="S5426" s="5">
        <f t="shared" si="254"/>
        <v>40645.873949579836</v>
      </c>
    </row>
    <row r="5427" spans="1:19" x14ac:dyDescent="0.3">
      <c r="A5427">
        <v>195</v>
      </c>
      <c r="B5427" t="s">
        <v>6142</v>
      </c>
      <c r="C5427" t="s">
        <v>3401</v>
      </c>
      <c r="D5427" s="2" t="s">
        <v>3402</v>
      </c>
      <c r="E5427" t="s">
        <v>3403</v>
      </c>
      <c r="F5427" t="s">
        <v>377</v>
      </c>
      <c r="G5427" t="s">
        <v>21</v>
      </c>
      <c r="H5427" t="s">
        <v>378</v>
      </c>
      <c r="I5427" t="s">
        <v>23</v>
      </c>
      <c r="J5427" t="s">
        <v>3297</v>
      </c>
      <c r="K5427" s="2" t="s">
        <v>25</v>
      </c>
      <c r="L5427" t="s">
        <v>26</v>
      </c>
      <c r="M5427">
        <v>307548</v>
      </c>
      <c r="N5427">
        <v>1</v>
      </c>
      <c r="O5427">
        <v>500</v>
      </c>
      <c r="P5427">
        <v>418</v>
      </c>
      <c r="Q5427" s="5">
        <f t="shared" si="252"/>
        <v>420.1680672268908</v>
      </c>
      <c r="R5427" s="5">
        <f t="shared" si="253"/>
        <v>418</v>
      </c>
      <c r="S5427" s="5">
        <f t="shared" si="254"/>
        <v>2.1680672268907983</v>
      </c>
    </row>
    <row r="5428" spans="1:19" x14ac:dyDescent="0.3">
      <c r="A5428">
        <v>195</v>
      </c>
      <c r="B5428" t="s">
        <v>6142</v>
      </c>
      <c r="C5428" t="s">
        <v>3991</v>
      </c>
      <c r="D5428" s="2" t="s">
        <v>3992</v>
      </c>
      <c r="E5428" t="s">
        <v>2160</v>
      </c>
      <c r="F5428" t="s">
        <v>20</v>
      </c>
      <c r="G5428" t="s">
        <v>21</v>
      </c>
      <c r="H5428" t="s">
        <v>970</v>
      </c>
      <c r="I5428" t="s">
        <v>23</v>
      </c>
      <c r="J5428" t="s">
        <v>40</v>
      </c>
      <c r="K5428" s="2" t="s">
        <v>25</v>
      </c>
      <c r="L5428" t="s">
        <v>26</v>
      </c>
      <c r="M5428">
        <v>307549</v>
      </c>
      <c r="N5428">
        <v>1</v>
      </c>
      <c r="O5428" s="3">
        <v>49990</v>
      </c>
      <c r="P5428" s="3">
        <v>18043</v>
      </c>
      <c r="Q5428" s="5">
        <f t="shared" si="252"/>
        <v>42008.403361344543</v>
      </c>
      <c r="R5428" s="5">
        <f t="shared" si="253"/>
        <v>18043</v>
      </c>
      <c r="S5428" s="5">
        <f t="shared" si="254"/>
        <v>23965.403361344543</v>
      </c>
    </row>
    <row r="5429" spans="1:19" x14ac:dyDescent="0.3">
      <c r="A5429">
        <v>195</v>
      </c>
      <c r="B5429" t="s">
        <v>6142</v>
      </c>
      <c r="C5429" t="s">
        <v>6143</v>
      </c>
      <c r="D5429" s="2" t="s">
        <v>6144</v>
      </c>
      <c r="E5429" t="s">
        <v>6145</v>
      </c>
      <c r="F5429" t="s">
        <v>20</v>
      </c>
      <c r="G5429" t="s">
        <v>21</v>
      </c>
      <c r="H5429" t="s">
        <v>6146</v>
      </c>
      <c r="I5429" t="s">
        <v>23</v>
      </c>
      <c r="J5429" t="s">
        <v>207</v>
      </c>
      <c r="K5429" s="2" t="s">
        <v>25</v>
      </c>
      <c r="L5429" t="s">
        <v>26</v>
      </c>
      <c r="M5429">
        <v>307549</v>
      </c>
      <c r="N5429">
        <v>-1</v>
      </c>
      <c r="O5429" s="3">
        <v>-39990</v>
      </c>
      <c r="P5429" s="3">
        <v>26056</v>
      </c>
      <c r="Q5429" s="5">
        <f t="shared" si="252"/>
        <v>-33605.042016806721</v>
      </c>
      <c r="R5429" s="5">
        <f t="shared" si="253"/>
        <v>-26056</v>
      </c>
      <c r="S5429" s="5">
        <f t="shared" si="254"/>
        <v>-7549.0420168067212</v>
      </c>
    </row>
    <row r="5430" spans="1:19" x14ac:dyDescent="0.3">
      <c r="A5430">
        <v>195</v>
      </c>
      <c r="B5430" t="s">
        <v>6142</v>
      </c>
      <c r="C5430" t="s">
        <v>6147</v>
      </c>
      <c r="D5430" s="2" t="s">
        <v>6148</v>
      </c>
      <c r="E5430" t="s">
        <v>3183</v>
      </c>
      <c r="F5430" t="s">
        <v>20</v>
      </c>
      <c r="G5430" t="s">
        <v>21</v>
      </c>
      <c r="H5430" t="s">
        <v>614</v>
      </c>
      <c r="I5430" t="s">
        <v>23</v>
      </c>
      <c r="J5430" t="s">
        <v>40</v>
      </c>
      <c r="K5430" s="2" t="s">
        <v>25</v>
      </c>
      <c r="L5430" t="s">
        <v>26</v>
      </c>
      <c r="M5430">
        <v>307550</v>
      </c>
      <c r="N5430">
        <v>1</v>
      </c>
      <c r="O5430" s="3">
        <v>39990</v>
      </c>
      <c r="P5430" s="3">
        <v>17378</v>
      </c>
      <c r="Q5430" s="5">
        <f t="shared" si="252"/>
        <v>33605.042016806721</v>
      </c>
      <c r="R5430" s="5">
        <f t="shared" si="253"/>
        <v>17378</v>
      </c>
      <c r="S5430" s="5">
        <f t="shared" si="254"/>
        <v>16227.042016806721</v>
      </c>
    </row>
    <row r="5431" spans="1:19" x14ac:dyDescent="0.3">
      <c r="A5431">
        <v>195</v>
      </c>
      <c r="B5431" t="s">
        <v>6142</v>
      </c>
      <c r="C5431" t="s">
        <v>952</v>
      </c>
      <c r="D5431" s="2" t="s">
        <v>953</v>
      </c>
      <c r="E5431" t="s">
        <v>954</v>
      </c>
      <c r="F5431" t="s">
        <v>20</v>
      </c>
      <c r="G5431" t="s">
        <v>21</v>
      </c>
      <c r="H5431" t="s">
        <v>557</v>
      </c>
      <c r="I5431" t="s">
        <v>23</v>
      </c>
      <c r="J5431" t="s">
        <v>40</v>
      </c>
      <c r="K5431" s="2" t="s">
        <v>25</v>
      </c>
      <c r="L5431" t="s">
        <v>26</v>
      </c>
      <c r="M5431">
        <v>307551</v>
      </c>
      <c r="N5431">
        <v>1</v>
      </c>
      <c r="O5431" s="3">
        <v>79950</v>
      </c>
      <c r="P5431" s="3">
        <v>26779</v>
      </c>
      <c r="Q5431" s="5">
        <f t="shared" si="252"/>
        <v>67184.873949579836</v>
      </c>
      <c r="R5431" s="5">
        <f t="shared" si="253"/>
        <v>26779</v>
      </c>
      <c r="S5431" s="5">
        <f t="shared" si="254"/>
        <v>40405.873949579836</v>
      </c>
    </row>
    <row r="5432" spans="1:19" x14ac:dyDescent="0.3">
      <c r="A5432">
        <v>195</v>
      </c>
      <c r="B5432" t="s">
        <v>6142</v>
      </c>
      <c r="C5432" t="s">
        <v>3401</v>
      </c>
      <c r="D5432" s="2" t="s">
        <v>3402</v>
      </c>
      <c r="E5432" t="s">
        <v>3403</v>
      </c>
      <c r="F5432" t="s">
        <v>377</v>
      </c>
      <c r="G5432" t="s">
        <v>21</v>
      </c>
      <c r="H5432" t="s">
        <v>378</v>
      </c>
      <c r="I5432" t="s">
        <v>23</v>
      </c>
      <c r="J5432" t="s">
        <v>3297</v>
      </c>
      <c r="K5432" s="2" t="s">
        <v>25</v>
      </c>
      <c r="L5432" t="s">
        <v>26</v>
      </c>
      <c r="M5432">
        <v>307552</v>
      </c>
      <c r="N5432">
        <v>1</v>
      </c>
      <c r="O5432">
        <v>500</v>
      </c>
      <c r="P5432">
        <v>418</v>
      </c>
      <c r="Q5432" s="5">
        <f t="shared" si="252"/>
        <v>420.1680672268908</v>
      </c>
      <c r="R5432" s="5">
        <f t="shared" si="253"/>
        <v>418</v>
      </c>
      <c r="S5432" s="5">
        <f t="shared" si="254"/>
        <v>2.1680672268907983</v>
      </c>
    </row>
    <row r="5433" spans="1:19" x14ac:dyDescent="0.3">
      <c r="A5433">
        <v>195</v>
      </c>
      <c r="B5433" t="s">
        <v>6142</v>
      </c>
      <c r="C5433">
        <v>1687976791</v>
      </c>
      <c r="D5433" s="2" t="s">
        <v>200</v>
      </c>
      <c r="E5433" t="s">
        <v>201</v>
      </c>
      <c r="F5433" t="s">
        <v>201</v>
      </c>
      <c r="G5433" t="s">
        <v>202</v>
      </c>
      <c r="H5433" t="s">
        <v>202</v>
      </c>
      <c r="I5433" t="s">
        <v>23</v>
      </c>
      <c r="J5433" t="s">
        <v>202</v>
      </c>
      <c r="K5433" s="2" t="s">
        <v>25</v>
      </c>
      <c r="L5433" t="s">
        <v>26</v>
      </c>
      <c r="M5433">
        <v>307553</v>
      </c>
      <c r="N5433">
        <v>1</v>
      </c>
      <c r="O5433" s="3">
        <v>2000</v>
      </c>
      <c r="P5433">
        <v>1</v>
      </c>
      <c r="Q5433" s="5">
        <f t="shared" si="252"/>
        <v>1680.6722689075632</v>
      </c>
      <c r="R5433" s="5">
        <f t="shared" si="253"/>
        <v>1</v>
      </c>
      <c r="S5433" s="5">
        <f t="shared" si="254"/>
        <v>1679.6722689075632</v>
      </c>
    </row>
    <row r="5434" spans="1:19" x14ac:dyDescent="0.3">
      <c r="A5434">
        <v>195</v>
      </c>
      <c r="B5434" t="s">
        <v>6142</v>
      </c>
      <c r="C5434" t="s">
        <v>6149</v>
      </c>
      <c r="D5434" s="2" t="s">
        <v>6150</v>
      </c>
      <c r="E5434" t="s">
        <v>4084</v>
      </c>
      <c r="F5434" t="s">
        <v>20</v>
      </c>
      <c r="G5434" t="s">
        <v>21</v>
      </c>
      <c r="H5434" t="s">
        <v>3272</v>
      </c>
      <c r="I5434" t="s">
        <v>23</v>
      </c>
      <c r="J5434" t="s">
        <v>40</v>
      </c>
      <c r="K5434" s="2" t="s">
        <v>25</v>
      </c>
      <c r="L5434" t="s">
        <v>26</v>
      </c>
      <c r="M5434">
        <v>307553</v>
      </c>
      <c r="N5434">
        <v>1</v>
      </c>
      <c r="O5434" s="3">
        <v>59950</v>
      </c>
      <c r="P5434" s="3">
        <v>23104</v>
      </c>
      <c r="Q5434" s="5">
        <f t="shared" si="252"/>
        <v>50378.151260504201</v>
      </c>
      <c r="R5434" s="5">
        <f t="shared" si="253"/>
        <v>23104</v>
      </c>
      <c r="S5434" s="5">
        <f t="shared" si="254"/>
        <v>27274.151260504201</v>
      </c>
    </row>
    <row r="5435" spans="1:19" x14ac:dyDescent="0.3">
      <c r="A5435">
        <v>195</v>
      </c>
      <c r="B5435" t="s">
        <v>6142</v>
      </c>
      <c r="C5435" t="s">
        <v>4314</v>
      </c>
      <c r="D5435" s="2" t="s">
        <v>4315</v>
      </c>
      <c r="E5435" t="s">
        <v>1568</v>
      </c>
      <c r="F5435" t="s">
        <v>20</v>
      </c>
      <c r="G5435" t="s">
        <v>21</v>
      </c>
      <c r="H5435" t="s">
        <v>199</v>
      </c>
      <c r="I5435" t="s">
        <v>23</v>
      </c>
      <c r="J5435" t="s">
        <v>49</v>
      </c>
      <c r="K5435" s="2" t="s">
        <v>25</v>
      </c>
      <c r="L5435" t="s">
        <v>26</v>
      </c>
      <c r="M5435">
        <v>307554</v>
      </c>
      <c r="N5435">
        <v>1</v>
      </c>
      <c r="O5435" s="3">
        <v>44990</v>
      </c>
      <c r="P5435" s="3">
        <v>25178</v>
      </c>
      <c r="Q5435" s="5">
        <f t="shared" si="252"/>
        <v>37806.722689075636</v>
      </c>
      <c r="R5435" s="5">
        <f t="shared" si="253"/>
        <v>25178</v>
      </c>
      <c r="S5435" s="5">
        <f t="shared" si="254"/>
        <v>12628.722689075636</v>
      </c>
    </row>
    <row r="5436" spans="1:19" x14ac:dyDescent="0.3">
      <c r="A5436">
        <v>195</v>
      </c>
      <c r="B5436" t="s">
        <v>6142</v>
      </c>
      <c r="C5436" t="s">
        <v>6151</v>
      </c>
      <c r="D5436" s="2" t="s">
        <v>6152</v>
      </c>
      <c r="E5436" t="s">
        <v>4565</v>
      </c>
      <c r="F5436" t="s">
        <v>20</v>
      </c>
      <c r="G5436" t="s">
        <v>21</v>
      </c>
      <c r="H5436" t="s">
        <v>790</v>
      </c>
      <c r="I5436" t="s">
        <v>23</v>
      </c>
      <c r="J5436" t="s">
        <v>40</v>
      </c>
      <c r="K5436" s="2" t="s">
        <v>25</v>
      </c>
      <c r="L5436" t="s">
        <v>26</v>
      </c>
      <c r="M5436">
        <v>307555</v>
      </c>
      <c r="N5436">
        <v>1</v>
      </c>
      <c r="O5436" s="3">
        <v>79950</v>
      </c>
      <c r="P5436" s="3">
        <v>30691</v>
      </c>
      <c r="Q5436" s="5">
        <f t="shared" si="252"/>
        <v>67184.873949579836</v>
      </c>
      <c r="R5436" s="5">
        <f t="shared" si="253"/>
        <v>30691</v>
      </c>
      <c r="S5436" s="5">
        <f t="shared" si="254"/>
        <v>36493.873949579836</v>
      </c>
    </row>
    <row r="5437" spans="1:19" x14ac:dyDescent="0.3">
      <c r="A5437">
        <v>195</v>
      </c>
      <c r="B5437" t="s">
        <v>6142</v>
      </c>
      <c r="C5437" t="s">
        <v>3704</v>
      </c>
      <c r="D5437" s="2" t="s">
        <v>3705</v>
      </c>
      <c r="E5437" t="s">
        <v>2360</v>
      </c>
      <c r="F5437" t="s">
        <v>20</v>
      </c>
      <c r="G5437" t="s">
        <v>21</v>
      </c>
      <c r="H5437" t="s">
        <v>1286</v>
      </c>
      <c r="I5437" t="s">
        <v>23</v>
      </c>
      <c r="J5437" t="s">
        <v>40</v>
      </c>
      <c r="K5437" s="2" t="s">
        <v>25</v>
      </c>
      <c r="L5437" t="s">
        <v>26</v>
      </c>
      <c r="M5437">
        <v>307556</v>
      </c>
      <c r="N5437">
        <v>1</v>
      </c>
      <c r="O5437" s="3">
        <v>49990</v>
      </c>
      <c r="P5437" s="3">
        <v>24783</v>
      </c>
      <c r="Q5437" s="5">
        <f t="shared" si="252"/>
        <v>42008.403361344543</v>
      </c>
      <c r="R5437" s="5">
        <f t="shared" si="253"/>
        <v>24783</v>
      </c>
      <c r="S5437" s="5">
        <f t="shared" si="254"/>
        <v>17225.403361344543</v>
      </c>
    </row>
    <row r="5438" spans="1:19" x14ac:dyDescent="0.3">
      <c r="A5438">
        <v>195</v>
      </c>
      <c r="B5438" t="s">
        <v>6142</v>
      </c>
      <c r="C5438" t="s">
        <v>3401</v>
      </c>
      <c r="D5438" s="2" t="s">
        <v>3402</v>
      </c>
      <c r="E5438" t="s">
        <v>3403</v>
      </c>
      <c r="F5438" t="s">
        <v>377</v>
      </c>
      <c r="G5438" t="s">
        <v>21</v>
      </c>
      <c r="H5438" t="s">
        <v>378</v>
      </c>
      <c r="I5438" t="s">
        <v>23</v>
      </c>
      <c r="J5438" t="s">
        <v>3297</v>
      </c>
      <c r="K5438" s="2" t="s">
        <v>25</v>
      </c>
      <c r="L5438" t="s">
        <v>26</v>
      </c>
      <c r="M5438">
        <v>307557</v>
      </c>
      <c r="N5438">
        <v>1</v>
      </c>
      <c r="O5438">
        <v>500</v>
      </c>
      <c r="P5438">
        <v>418</v>
      </c>
      <c r="Q5438" s="5">
        <f t="shared" si="252"/>
        <v>420.1680672268908</v>
      </c>
      <c r="R5438" s="5">
        <f t="shared" si="253"/>
        <v>418</v>
      </c>
      <c r="S5438" s="5">
        <f t="shared" si="254"/>
        <v>2.1680672268907983</v>
      </c>
    </row>
    <row r="5439" spans="1:19" x14ac:dyDescent="0.3">
      <c r="A5439">
        <v>195</v>
      </c>
      <c r="B5439" t="s">
        <v>6142</v>
      </c>
      <c r="C5439" t="s">
        <v>3209</v>
      </c>
      <c r="D5439" s="2" t="s">
        <v>3210</v>
      </c>
      <c r="E5439" t="s">
        <v>2143</v>
      </c>
      <c r="F5439" t="s">
        <v>20</v>
      </c>
      <c r="G5439" t="s">
        <v>338</v>
      </c>
      <c r="H5439">
        <v>23732</v>
      </c>
      <c r="I5439" t="s">
        <v>23</v>
      </c>
      <c r="J5439" t="s">
        <v>40</v>
      </c>
      <c r="K5439" s="2" t="s">
        <v>268</v>
      </c>
      <c r="L5439" t="s">
        <v>26</v>
      </c>
      <c r="M5439">
        <v>307558</v>
      </c>
      <c r="N5439">
        <v>1</v>
      </c>
      <c r="O5439" s="3">
        <v>59990</v>
      </c>
      <c r="P5439" s="3">
        <v>26539</v>
      </c>
      <c r="Q5439" s="5">
        <f t="shared" si="252"/>
        <v>50411.764705882357</v>
      </c>
      <c r="R5439" s="5">
        <f t="shared" si="253"/>
        <v>26539</v>
      </c>
      <c r="S5439" s="5">
        <f t="shared" si="254"/>
        <v>23872.764705882357</v>
      </c>
    </row>
    <row r="5440" spans="1:19" x14ac:dyDescent="0.3">
      <c r="A5440">
        <v>195</v>
      </c>
      <c r="B5440" t="s">
        <v>6142</v>
      </c>
      <c r="C5440" t="s">
        <v>3547</v>
      </c>
      <c r="D5440" s="2" t="s">
        <v>3548</v>
      </c>
      <c r="E5440" t="s">
        <v>3549</v>
      </c>
      <c r="F5440" t="s">
        <v>377</v>
      </c>
      <c r="G5440" t="s">
        <v>21</v>
      </c>
      <c r="H5440" t="s">
        <v>378</v>
      </c>
      <c r="I5440" t="s">
        <v>23</v>
      </c>
      <c r="J5440" t="s">
        <v>379</v>
      </c>
      <c r="K5440" s="2" t="s">
        <v>268</v>
      </c>
      <c r="L5440" t="s">
        <v>26</v>
      </c>
      <c r="M5440">
        <v>307559</v>
      </c>
      <c r="N5440">
        <v>1</v>
      </c>
      <c r="O5440" s="3">
        <v>5950</v>
      </c>
      <c r="P5440" s="3">
        <v>3184</v>
      </c>
      <c r="Q5440" s="5">
        <f t="shared" si="252"/>
        <v>5000</v>
      </c>
      <c r="R5440" s="5">
        <f t="shared" si="253"/>
        <v>3184</v>
      </c>
      <c r="S5440" s="5">
        <f t="shared" si="254"/>
        <v>1816</v>
      </c>
    </row>
    <row r="5441" spans="1:19" x14ac:dyDescent="0.3">
      <c r="A5441">
        <v>195</v>
      </c>
      <c r="B5441" t="s">
        <v>6142</v>
      </c>
      <c r="C5441" t="s">
        <v>5550</v>
      </c>
      <c r="D5441" s="2" t="s">
        <v>5551</v>
      </c>
      <c r="E5441" t="s">
        <v>2561</v>
      </c>
      <c r="F5441" t="s">
        <v>20</v>
      </c>
      <c r="G5441" t="s">
        <v>21</v>
      </c>
      <c r="H5441" t="s">
        <v>1914</v>
      </c>
      <c r="I5441" t="s">
        <v>23</v>
      </c>
      <c r="J5441" t="s">
        <v>35</v>
      </c>
      <c r="K5441" s="2" t="s">
        <v>268</v>
      </c>
      <c r="L5441" t="s">
        <v>26</v>
      </c>
      <c r="M5441">
        <v>307560</v>
      </c>
      <c r="N5441">
        <v>1</v>
      </c>
      <c r="O5441" s="3">
        <v>76450</v>
      </c>
      <c r="P5441" s="3">
        <v>28298</v>
      </c>
      <c r="Q5441" s="5">
        <f t="shared" si="252"/>
        <v>64243.697478991598</v>
      </c>
      <c r="R5441" s="5">
        <f t="shared" si="253"/>
        <v>28298</v>
      </c>
      <c r="S5441" s="5">
        <f t="shared" si="254"/>
        <v>35945.697478991598</v>
      </c>
    </row>
    <row r="5442" spans="1:19" x14ac:dyDescent="0.3">
      <c r="A5442">
        <v>195</v>
      </c>
      <c r="B5442" t="s">
        <v>6142</v>
      </c>
      <c r="C5442" t="s">
        <v>3815</v>
      </c>
      <c r="D5442" s="2" t="s">
        <v>3816</v>
      </c>
      <c r="E5442" t="s">
        <v>2340</v>
      </c>
      <c r="F5442" t="s">
        <v>20</v>
      </c>
      <c r="G5442" t="s">
        <v>21</v>
      </c>
      <c r="H5442" t="s">
        <v>1914</v>
      </c>
      <c r="I5442" t="s">
        <v>23</v>
      </c>
      <c r="J5442" t="s">
        <v>35</v>
      </c>
      <c r="K5442" s="2" t="s">
        <v>268</v>
      </c>
      <c r="L5442" t="s">
        <v>26</v>
      </c>
      <c r="M5442">
        <v>307560</v>
      </c>
      <c r="N5442">
        <v>1</v>
      </c>
      <c r="O5442" s="3">
        <v>89950</v>
      </c>
      <c r="P5442" s="3">
        <v>27630</v>
      </c>
      <c r="Q5442" s="5">
        <f t="shared" si="252"/>
        <v>75588.23529411765</v>
      </c>
      <c r="R5442" s="5">
        <f t="shared" si="253"/>
        <v>27630</v>
      </c>
      <c r="S5442" s="5">
        <f t="shared" si="254"/>
        <v>47958.23529411765</v>
      </c>
    </row>
    <row r="5443" spans="1:19" x14ac:dyDescent="0.3">
      <c r="A5443">
        <v>195</v>
      </c>
      <c r="B5443" t="s">
        <v>6142</v>
      </c>
      <c r="C5443" t="s">
        <v>1328</v>
      </c>
      <c r="D5443" s="2" t="s">
        <v>1329</v>
      </c>
      <c r="E5443" t="s">
        <v>1330</v>
      </c>
      <c r="F5443" t="s">
        <v>20</v>
      </c>
      <c r="G5443" t="s">
        <v>338</v>
      </c>
      <c r="H5443">
        <v>25133</v>
      </c>
      <c r="I5443" t="s">
        <v>23</v>
      </c>
      <c r="J5443" t="s">
        <v>35</v>
      </c>
      <c r="K5443" s="2" t="s">
        <v>268</v>
      </c>
      <c r="L5443" t="s">
        <v>26</v>
      </c>
      <c r="M5443">
        <v>307560</v>
      </c>
      <c r="N5443">
        <v>1</v>
      </c>
      <c r="O5443" s="3">
        <v>74950</v>
      </c>
      <c r="P5443" s="3">
        <v>21167</v>
      </c>
      <c r="Q5443" s="5">
        <f t="shared" si="252"/>
        <v>62983.193277310929</v>
      </c>
      <c r="R5443" s="5">
        <f t="shared" si="253"/>
        <v>21167</v>
      </c>
      <c r="S5443" s="5">
        <f t="shared" si="254"/>
        <v>41816.193277310929</v>
      </c>
    </row>
    <row r="5444" spans="1:19" x14ac:dyDescent="0.3">
      <c r="A5444">
        <v>195</v>
      </c>
      <c r="B5444" t="s">
        <v>6142</v>
      </c>
      <c r="C5444" t="s">
        <v>6153</v>
      </c>
      <c r="D5444" s="2" t="s">
        <v>6154</v>
      </c>
      <c r="E5444" t="s">
        <v>6155</v>
      </c>
      <c r="F5444" t="s">
        <v>20</v>
      </c>
      <c r="G5444" t="s">
        <v>21</v>
      </c>
      <c r="H5444" t="s">
        <v>718</v>
      </c>
      <c r="I5444" t="s">
        <v>23</v>
      </c>
      <c r="J5444" t="s">
        <v>49</v>
      </c>
      <c r="K5444" s="2" t="s">
        <v>268</v>
      </c>
      <c r="L5444" t="s">
        <v>26</v>
      </c>
      <c r="M5444">
        <v>307561</v>
      </c>
      <c r="N5444">
        <v>-1</v>
      </c>
      <c r="O5444" s="3">
        <v>-39990</v>
      </c>
      <c r="P5444" s="3">
        <v>27144</v>
      </c>
      <c r="Q5444" s="5">
        <f t="shared" si="252"/>
        <v>-33605.042016806721</v>
      </c>
      <c r="R5444" s="5">
        <f t="shared" si="253"/>
        <v>-27144</v>
      </c>
      <c r="S5444" s="5">
        <f t="shared" si="254"/>
        <v>-6461.0420168067212</v>
      </c>
    </row>
    <row r="5445" spans="1:19" x14ac:dyDescent="0.3">
      <c r="A5445">
        <v>195</v>
      </c>
      <c r="B5445" t="s">
        <v>6142</v>
      </c>
      <c r="C5445" t="s">
        <v>6156</v>
      </c>
      <c r="D5445" s="2" t="s">
        <v>6157</v>
      </c>
      <c r="E5445" t="s">
        <v>6155</v>
      </c>
      <c r="F5445" t="s">
        <v>20</v>
      </c>
      <c r="G5445" t="s">
        <v>21</v>
      </c>
      <c r="H5445" t="s">
        <v>718</v>
      </c>
      <c r="I5445" t="s">
        <v>23</v>
      </c>
      <c r="J5445" t="s">
        <v>49</v>
      </c>
      <c r="K5445" s="2" t="s">
        <v>268</v>
      </c>
      <c r="L5445" t="s">
        <v>26</v>
      </c>
      <c r="M5445">
        <v>307561</v>
      </c>
      <c r="N5445">
        <v>1</v>
      </c>
      <c r="O5445" s="3">
        <v>39991</v>
      </c>
      <c r="P5445" s="3">
        <v>27104</v>
      </c>
      <c r="Q5445" s="5">
        <f t="shared" si="252"/>
        <v>33605.882352941175</v>
      </c>
      <c r="R5445" s="5">
        <f t="shared" si="253"/>
        <v>27104</v>
      </c>
      <c r="S5445" s="5">
        <f t="shared" si="254"/>
        <v>6501.8823529411748</v>
      </c>
    </row>
    <row r="5446" spans="1:19" x14ac:dyDescent="0.3">
      <c r="A5446">
        <v>195</v>
      </c>
      <c r="B5446" t="s">
        <v>6142</v>
      </c>
      <c r="C5446" t="s">
        <v>2183</v>
      </c>
      <c r="D5446" s="2" t="s">
        <v>2184</v>
      </c>
      <c r="E5446" t="s">
        <v>2185</v>
      </c>
      <c r="F5446" t="s">
        <v>20</v>
      </c>
      <c r="G5446" t="s">
        <v>21</v>
      </c>
      <c r="H5446" t="s">
        <v>614</v>
      </c>
      <c r="I5446" t="s">
        <v>23</v>
      </c>
      <c r="J5446" t="s">
        <v>40</v>
      </c>
      <c r="K5446" s="2" t="s">
        <v>268</v>
      </c>
      <c r="L5446" t="s">
        <v>26</v>
      </c>
      <c r="M5446">
        <v>307562</v>
      </c>
      <c r="N5446">
        <v>1</v>
      </c>
      <c r="O5446" s="3">
        <v>41210</v>
      </c>
      <c r="P5446" s="3">
        <v>17455</v>
      </c>
      <c r="Q5446" s="5">
        <f t="shared" ref="Q5446:Q5509" si="255">O5446/1.19</f>
        <v>34630.252100840335</v>
      </c>
      <c r="R5446" s="5">
        <f t="shared" ref="R5446:R5509" si="256">N5446*P5446</f>
        <v>17455</v>
      </c>
      <c r="S5446" s="5">
        <f t="shared" ref="S5446:S5509" si="257">Q5446-R5446</f>
        <v>17175.252100840335</v>
      </c>
    </row>
    <row r="5447" spans="1:19" x14ac:dyDescent="0.3">
      <c r="A5447">
        <v>195</v>
      </c>
      <c r="B5447" t="s">
        <v>6142</v>
      </c>
      <c r="C5447" t="s">
        <v>6027</v>
      </c>
      <c r="D5447" s="2" t="s">
        <v>6028</v>
      </c>
      <c r="E5447" t="s">
        <v>6029</v>
      </c>
      <c r="F5447" t="s">
        <v>20</v>
      </c>
      <c r="G5447" t="s">
        <v>215</v>
      </c>
      <c r="H5447" t="s">
        <v>3709</v>
      </c>
      <c r="I5447" t="s">
        <v>23</v>
      </c>
      <c r="J5447" t="s">
        <v>35</v>
      </c>
      <c r="K5447" s="2" t="s">
        <v>268</v>
      </c>
      <c r="L5447" t="s">
        <v>26</v>
      </c>
      <c r="M5447">
        <v>307563</v>
      </c>
      <c r="N5447">
        <v>1</v>
      </c>
      <c r="O5447" s="3">
        <v>84960</v>
      </c>
      <c r="P5447" s="3">
        <v>47276</v>
      </c>
      <c r="Q5447" s="5">
        <f t="shared" si="255"/>
        <v>71394.957983193279</v>
      </c>
      <c r="R5447" s="5">
        <f t="shared" si="256"/>
        <v>47276</v>
      </c>
      <c r="S5447" s="5">
        <f t="shared" si="257"/>
        <v>24118.957983193279</v>
      </c>
    </row>
    <row r="5448" spans="1:19" x14ac:dyDescent="0.3">
      <c r="A5448">
        <v>195</v>
      </c>
      <c r="B5448" t="s">
        <v>6142</v>
      </c>
      <c r="C5448" t="s">
        <v>5527</v>
      </c>
      <c r="D5448" s="2" t="s">
        <v>5528</v>
      </c>
      <c r="E5448" t="s">
        <v>3708</v>
      </c>
      <c r="F5448" t="s">
        <v>20</v>
      </c>
      <c r="G5448" t="s">
        <v>215</v>
      </c>
      <c r="H5448" t="s">
        <v>3709</v>
      </c>
      <c r="I5448" t="s">
        <v>23</v>
      </c>
      <c r="J5448" t="s">
        <v>35</v>
      </c>
      <c r="K5448" s="2" t="s">
        <v>268</v>
      </c>
      <c r="L5448" t="s">
        <v>26</v>
      </c>
      <c r="M5448">
        <v>307563</v>
      </c>
      <c r="N5448">
        <v>-1</v>
      </c>
      <c r="O5448" s="3">
        <v>-84950</v>
      </c>
      <c r="P5448" s="3">
        <v>47276</v>
      </c>
      <c r="Q5448" s="5">
        <f t="shared" si="255"/>
        <v>-71386.554621848743</v>
      </c>
      <c r="R5448" s="5">
        <f t="shared" si="256"/>
        <v>-47276</v>
      </c>
      <c r="S5448" s="5">
        <f t="shared" si="257"/>
        <v>-24110.554621848743</v>
      </c>
    </row>
    <row r="5449" spans="1:19" x14ac:dyDescent="0.3">
      <c r="A5449">
        <v>195</v>
      </c>
      <c r="B5449" t="s">
        <v>6142</v>
      </c>
      <c r="C5449" t="s">
        <v>5999</v>
      </c>
      <c r="D5449" s="2" t="s">
        <v>6000</v>
      </c>
      <c r="E5449" t="s">
        <v>3155</v>
      </c>
      <c r="F5449" t="s">
        <v>20</v>
      </c>
      <c r="G5449" t="s">
        <v>21</v>
      </c>
      <c r="H5449" t="s">
        <v>970</v>
      </c>
      <c r="I5449" t="s">
        <v>23</v>
      </c>
      <c r="J5449" t="s">
        <v>40</v>
      </c>
      <c r="K5449" s="2" t="s">
        <v>268</v>
      </c>
      <c r="L5449" t="s">
        <v>26</v>
      </c>
      <c r="M5449">
        <v>307564</v>
      </c>
      <c r="N5449">
        <v>1</v>
      </c>
      <c r="O5449" s="3">
        <v>44960</v>
      </c>
      <c r="P5449" s="3">
        <v>19352</v>
      </c>
      <c r="Q5449" s="5">
        <f t="shared" si="255"/>
        <v>37781.512605042015</v>
      </c>
      <c r="R5449" s="5">
        <f t="shared" si="256"/>
        <v>19352</v>
      </c>
      <c r="S5449" s="5">
        <f t="shared" si="257"/>
        <v>18429.512605042015</v>
      </c>
    </row>
    <row r="5450" spans="1:19" x14ac:dyDescent="0.3">
      <c r="A5450">
        <v>195</v>
      </c>
      <c r="B5450" t="s">
        <v>6142</v>
      </c>
      <c r="C5450" t="s">
        <v>3748</v>
      </c>
      <c r="D5450" s="2" t="s">
        <v>3749</v>
      </c>
      <c r="E5450" t="s">
        <v>2363</v>
      </c>
      <c r="F5450" t="s">
        <v>20</v>
      </c>
      <c r="G5450" t="s">
        <v>21</v>
      </c>
      <c r="H5450" t="s">
        <v>2364</v>
      </c>
      <c r="I5450" t="s">
        <v>23</v>
      </c>
      <c r="J5450" t="s">
        <v>40</v>
      </c>
      <c r="K5450" s="2" t="s">
        <v>268</v>
      </c>
      <c r="L5450" t="s">
        <v>26</v>
      </c>
      <c r="M5450">
        <v>307564</v>
      </c>
      <c r="N5450">
        <v>1</v>
      </c>
      <c r="O5450" s="3">
        <v>39990</v>
      </c>
      <c r="P5450" s="3">
        <v>30446</v>
      </c>
      <c r="Q5450" s="5">
        <f t="shared" si="255"/>
        <v>33605.042016806721</v>
      </c>
      <c r="R5450" s="5">
        <f t="shared" si="256"/>
        <v>30446</v>
      </c>
      <c r="S5450" s="5">
        <f t="shared" si="257"/>
        <v>3159.0420168067212</v>
      </c>
    </row>
    <row r="5451" spans="1:19" x14ac:dyDescent="0.3">
      <c r="A5451">
        <v>195</v>
      </c>
      <c r="B5451" t="s">
        <v>6142</v>
      </c>
      <c r="C5451" t="s">
        <v>3401</v>
      </c>
      <c r="D5451" s="2" t="s">
        <v>3402</v>
      </c>
      <c r="E5451" t="s">
        <v>3403</v>
      </c>
      <c r="F5451" t="s">
        <v>377</v>
      </c>
      <c r="G5451" t="s">
        <v>21</v>
      </c>
      <c r="H5451" t="s">
        <v>378</v>
      </c>
      <c r="I5451" t="s">
        <v>23</v>
      </c>
      <c r="J5451" t="s">
        <v>3297</v>
      </c>
      <c r="K5451" s="2" t="s">
        <v>268</v>
      </c>
      <c r="L5451" t="s">
        <v>26</v>
      </c>
      <c r="M5451">
        <v>307565</v>
      </c>
      <c r="N5451">
        <v>1</v>
      </c>
      <c r="O5451">
        <v>500</v>
      </c>
      <c r="P5451">
        <v>418</v>
      </c>
      <c r="Q5451" s="5">
        <f t="shared" si="255"/>
        <v>420.1680672268908</v>
      </c>
      <c r="R5451" s="5">
        <f t="shared" si="256"/>
        <v>418</v>
      </c>
      <c r="S5451" s="5">
        <f t="shared" si="257"/>
        <v>2.1680672268907983</v>
      </c>
    </row>
    <row r="5452" spans="1:19" x14ac:dyDescent="0.3">
      <c r="A5452">
        <v>195</v>
      </c>
      <c r="B5452" t="s">
        <v>6142</v>
      </c>
      <c r="C5452" t="s">
        <v>6158</v>
      </c>
      <c r="D5452" s="2" t="s">
        <v>6159</v>
      </c>
      <c r="E5452" t="s">
        <v>2287</v>
      </c>
      <c r="F5452" t="s">
        <v>20</v>
      </c>
      <c r="G5452" t="s">
        <v>21</v>
      </c>
      <c r="H5452" t="s">
        <v>429</v>
      </c>
      <c r="I5452" t="s">
        <v>23</v>
      </c>
      <c r="J5452" t="s">
        <v>49</v>
      </c>
      <c r="K5452" s="2" t="s">
        <v>2344</v>
      </c>
      <c r="L5452" t="s">
        <v>26</v>
      </c>
      <c r="M5452">
        <v>307566</v>
      </c>
      <c r="N5452">
        <v>1</v>
      </c>
      <c r="O5452" s="3">
        <v>49990</v>
      </c>
      <c r="P5452" s="3">
        <v>31346</v>
      </c>
      <c r="Q5452" s="5">
        <f t="shared" si="255"/>
        <v>42008.403361344543</v>
      </c>
      <c r="R5452" s="5">
        <f t="shared" si="256"/>
        <v>31346</v>
      </c>
      <c r="S5452" s="5">
        <f t="shared" si="257"/>
        <v>10662.403361344543</v>
      </c>
    </row>
    <row r="5453" spans="1:19" x14ac:dyDescent="0.3">
      <c r="A5453">
        <v>195</v>
      </c>
      <c r="B5453" t="s">
        <v>6142</v>
      </c>
      <c r="C5453" t="s">
        <v>2361</v>
      </c>
      <c r="D5453" s="2" t="s">
        <v>2362</v>
      </c>
      <c r="E5453" t="s">
        <v>2363</v>
      </c>
      <c r="F5453" t="s">
        <v>20</v>
      </c>
      <c r="G5453" t="s">
        <v>21</v>
      </c>
      <c r="H5453" t="s">
        <v>2364</v>
      </c>
      <c r="I5453" t="s">
        <v>23</v>
      </c>
      <c r="J5453" t="s">
        <v>40</v>
      </c>
      <c r="K5453" s="2" t="s">
        <v>2344</v>
      </c>
      <c r="L5453" t="s">
        <v>26</v>
      </c>
      <c r="M5453">
        <v>307566</v>
      </c>
      <c r="N5453">
        <v>1</v>
      </c>
      <c r="O5453" s="3">
        <v>39990</v>
      </c>
      <c r="P5453" s="3">
        <v>30446</v>
      </c>
      <c r="Q5453" s="5">
        <f t="shared" si="255"/>
        <v>33605.042016806721</v>
      </c>
      <c r="R5453" s="5">
        <f t="shared" si="256"/>
        <v>30446</v>
      </c>
      <c r="S5453" s="5">
        <f t="shared" si="257"/>
        <v>3159.0420168067212</v>
      </c>
    </row>
    <row r="5454" spans="1:19" x14ac:dyDescent="0.3">
      <c r="A5454">
        <v>195</v>
      </c>
      <c r="B5454" t="s">
        <v>6142</v>
      </c>
      <c r="C5454" t="s">
        <v>6151</v>
      </c>
      <c r="D5454" s="2" t="s">
        <v>6152</v>
      </c>
      <c r="E5454" t="s">
        <v>4565</v>
      </c>
      <c r="F5454" t="s">
        <v>20</v>
      </c>
      <c r="G5454" t="s">
        <v>21</v>
      </c>
      <c r="H5454" t="s">
        <v>790</v>
      </c>
      <c r="I5454" t="s">
        <v>23</v>
      </c>
      <c r="J5454" t="s">
        <v>40</v>
      </c>
      <c r="K5454" s="2" t="s">
        <v>2344</v>
      </c>
      <c r="L5454" t="s">
        <v>26</v>
      </c>
      <c r="M5454">
        <v>307567</v>
      </c>
      <c r="N5454">
        <v>1</v>
      </c>
      <c r="O5454" s="3">
        <v>79950</v>
      </c>
      <c r="P5454" s="3">
        <v>30691</v>
      </c>
      <c r="Q5454" s="5">
        <f t="shared" si="255"/>
        <v>67184.873949579836</v>
      </c>
      <c r="R5454" s="5">
        <f t="shared" si="256"/>
        <v>30691</v>
      </c>
      <c r="S5454" s="5">
        <f t="shared" si="257"/>
        <v>36493.873949579836</v>
      </c>
    </row>
    <row r="5455" spans="1:19" x14ac:dyDescent="0.3">
      <c r="A5455">
        <v>195</v>
      </c>
      <c r="B5455" t="s">
        <v>6142</v>
      </c>
      <c r="C5455" t="s">
        <v>6160</v>
      </c>
      <c r="D5455" s="2" t="s">
        <v>6161</v>
      </c>
      <c r="E5455" t="s">
        <v>3814</v>
      </c>
      <c r="F5455" t="s">
        <v>20</v>
      </c>
      <c r="G5455" t="s">
        <v>21</v>
      </c>
      <c r="H5455" t="s">
        <v>500</v>
      </c>
      <c r="I5455" t="s">
        <v>23</v>
      </c>
      <c r="J5455" t="s">
        <v>40</v>
      </c>
      <c r="K5455" s="2" t="s">
        <v>2344</v>
      </c>
      <c r="L5455" t="s">
        <v>26</v>
      </c>
      <c r="M5455">
        <v>307568</v>
      </c>
      <c r="N5455">
        <v>1</v>
      </c>
      <c r="O5455" s="3">
        <v>49990</v>
      </c>
      <c r="P5455" s="3">
        <v>20043</v>
      </c>
      <c r="Q5455" s="5">
        <f t="shared" si="255"/>
        <v>42008.403361344543</v>
      </c>
      <c r="R5455" s="5">
        <f t="shared" si="256"/>
        <v>20043</v>
      </c>
      <c r="S5455" s="5">
        <f t="shared" si="257"/>
        <v>21965.403361344543</v>
      </c>
    </row>
    <row r="5456" spans="1:19" x14ac:dyDescent="0.3">
      <c r="A5456">
        <v>195</v>
      </c>
      <c r="B5456" t="s">
        <v>6142</v>
      </c>
      <c r="C5456" t="s">
        <v>6162</v>
      </c>
      <c r="D5456" s="2" t="s">
        <v>6163</v>
      </c>
      <c r="E5456" t="s">
        <v>6164</v>
      </c>
      <c r="F5456" t="s">
        <v>20</v>
      </c>
      <c r="G5456" t="s">
        <v>21</v>
      </c>
      <c r="H5456" t="s">
        <v>2400</v>
      </c>
      <c r="I5456" t="s">
        <v>23</v>
      </c>
      <c r="J5456" t="s">
        <v>40</v>
      </c>
      <c r="K5456" s="2" t="s">
        <v>2344</v>
      </c>
      <c r="L5456" t="s">
        <v>26</v>
      </c>
      <c r="M5456">
        <v>307568</v>
      </c>
      <c r="N5456">
        <v>1</v>
      </c>
      <c r="O5456" s="3">
        <v>34990</v>
      </c>
      <c r="P5456" s="3">
        <v>14064</v>
      </c>
      <c r="Q5456" s="5">
        <f t="shared" si="255"/>
        <v>29403.361344537818</v>
      </c>
      <c r="R5456" s="5">
        <f t="shared" si="256"/>
        <v>14064</v>
      </c>
      <c r="S5456" s="5">
        <f t="shared" si="257"/>
        <v>15339.361344537818</v>
      </c>
    </row>
    <row r="5457" spans="1:19" x14ac:dyDescent="0.3">
      <c r="A5457">
        <v>195</v>
      </c>
      <c r="B5457" t="s">
        <v>6142</v>
      </c>
      <c r="C5457" t="s">
        <v>3661</v>
      </c>
      <c r="D5457" s="2" t="s">
        <v>3662</v>
      </c>
      <c r="E5457" t="s">
        <v>3663</v>
      </c>
      <c r="F5457" t="s">
        <v>377</v>
      </c>
      <c r="G5457" t="s">
        <v>21</v>
      </c>
      <c r="H5457" t="s">
        <v>378</v>
      </c>
      <c r="I5457" t="s">
        <v>23</v>
      </c>
      <c r="J5457" t="s">
        <v>2459</v>
      </c>
      <c r="K5457" s="2" t="s">
        <v>2344</v>
      </c>
      <c r="L5457" t="s">
        <v>26</v>
      </c>
      <c r="M5457">
        <v>307569</v>
      </c>
      <c r="N5457">
        <v>1</v>
      </c>
      <c r="O5457" s="3">
        <v>3950</v>
      </c>
      <c r="P5457" s="3">
        <v>2224</v>
      </c>
      <c r="Q5457" s="5">
        <f t="shared" si="255"/>
        <v>3319.3277310924373</v>
      </c>
      <c r="R5457" s="5">
        <f t="shared" si="256"/>
        <v>2224</v>
      </c>
      <c r="S5457" s="5">
        <f t="shared" si="257"/>
        <v>1095.3277310924373</v>
      </c>
    </row>
    <row r="5458" spans="1:19" x14ac:dyDescent="0.3">
      <c r="A5458">
        <v>195</v>
      </c>
      <c r="B5458" t="s">
        <v>6142</v>
      </c>
      <c r="C5458" t="s">
        <v>6165</v>
      </c>
      <c r="D5458" s="2" t="s">
        <v>6166</v>
      </c>
      <c r="E5458" t="s">
        <v>2778</v>
      </c>
      <c r="F5458" t="s">
        <v>20</v>
      </c>
      <c r="G5458" t="s">
        <v>21</v>
      </c>
      <c r="H5458" t="s">
        <v>1296</v>
      </c>
      <c r="I5458" t="s">
        <v>23</v>
      </c>
      <c r="J5458" t="s">
        <v>35</v>
      </c>
      <c r="K5458" s="2" t="s">
        <v>2344</v>
      </c>
      <c r="L5458" t="s">
        <v>26</v>
      </c>
      <c r="M5458">
        <v>307570</v>
      </c>
      <c r="N5458">
        <v>1</v>
      </c>
      <c r="O5458" s="3">
        <v>99950</v>
      </c>
      <c r="P5458" s="3">
        <v>34091</v>
      </c>
      <c r="Q5458" s="5">
        <f t="shared" si="255"/>
        <v>83991.596638655465</v>
      </c>
      <c r="R5458" s="5">
        <f t="shared" si="256"/>
        <v>34091</v>
      </c>
      <c r="S5458" s="5">
        <f t="shared" si="257"/>
        <v>49900.596638655465</v>
      </c>
    </row>
    <row r="5459" spans="1:19" x14ac:dyDescent="0.3">
      <c r="A5459">
        <v>195</v>
      </c>
      <c r="B5459" t="s">
        <v>6142</v>
      </c>
      <c r="C5459" t="s">
        <v>2401</v>
      </c>
      <c r="D5459" s="2" t="s">
        <v>2402</v>
      </c>
      <c r="E5459" t="s">
        <v>2287</v>
      </c>
      <c r="F5459" t="s">
        <v>20</v>
      </c>
      <c r="G5459" t="s">
        <v>21</v>
      </c>
      <c r="H5459" t="s">
        <v>429</v>
      </c>
      <c r="I5459" t="s">
        <v>23</v>
      </c>
      <c r="J5459" t="s">
        <v>49</v>
      </c>
      <c r="K5459" s="2" t="s">
        <v>2344</v>
      </c>
      <c r="L5459" t="s">
        <v>26</v>
      </c>
      <c r="M5459">
        <v>307571</v>
      </c>
      <c r="N5459">
        <v>1</v>
      </c>
      <c r="O5459" s="3">
        <v>49991</v>
      </c>
      <c r="P5459" s="3">
        <v>31025</v>
      </c>
      <c r="Q5459" s="5">
        <f t="shared" si="255"/>
        <v>42009.243697478996</v>
      </c>
      <c r="R5459" s="5">
        <f t="shared" si="256"/>
        <v>31025</v>
      </c>
      <c r="S5459" s="5">
        <f t="shared" si="257"/>
        <v>10984.243697478996</v>
      </c>
    </row>
    <row r="5460" spans="1:19" x14ac:dyDescent="0.3">
      <c r="A5460">
        <v>195</v>
      </c>
      <c r="B5460" t="s">
        <v>6142</v>
      </c>
      <c r="C5460" t="s">
        <v>2285</v>
      </c>
      <c r="D5460" s="2" t="s">
        <v>2286</v>
      </c>
      <c r="E5460" t="s">
        <v>2287</v>
      </c>
      <c r="F5460" t="s">
        <v>20</v>
      </c>
      <c r="G5460" t="s">
        <v>21</v>
      </c>
      <c r="H5460" t="s">
        <v>429</v>
      </c>
      <c r="I5460" t="s">
        <v>23</v>
      </c>
      <c r="J5460" t="s">
        <v>49</v>
      </c>
      <c r="K5460" s="2" t="s">
        <v>2344</v>
      </c>
      <c r="L5460" t="s">
        <v>26</v>
      </c>
      <c r="M5460">
        <v>307571</v>
      </c>
      <c r="N5460">
        <v>-1</v>
      </c>
      <c r="O5460" s="3">
        <v>-49990</v>
      </c>
      <c r="P5460" s="3">
        <v>31855</v>
      </c>
      <c r="Q5460" s="5">
        <f t="shared" si="255"/>
        <v>-42008.403361344543</v>
      </c>
      <c r="R5460" s="5">
        <f t="shared" si="256"/>
        <v>-31855</v>
      </c>
      <c r="S5460" s="5">
        <f t="shared" si="257"/>
        <v>-10153.403361344543</v>
      </c>
    </row>
    <row r="5461" spans="1:19" x14ac:dyDescent="0.3">
      <c r="A5461">
        <v>195</v>
      </c>
      <c r="B5461" t="s">
        <v>6142</v>
      </c>
      <c r="C5461" t="s">
        <v>6167</v>
      </c>
      <c r="D5461" s="2" t="s">
        <v>6168</v>
      </c>
      <c r="E5461" t="s">
        <v>2744</v>
      </c>
      <c r="F5461" t="s">
        <v>20</v>
      </c>
      <c r="G5461" t="s">
        <v>21</v>
      </c>
      <c r="H5461" t="s">
        <v>2745</v>
      </c>
      <c r="I5461" t="s">
        <v>23</v>
      </c>
      <c r="J5461" t="s">
        <v>35</v>
      </c>
      <c r="K5461" s="2" t="s">
        <v>2344</v>
      </c>
      <c r="L5461" t="s">
        <v>26</v>
      </c>
      <c r="M5461">
        <v>307572</v>
      </c>
      <c r="N5461">
        <v>1</v>
      </c>
      <c r="O5461" s="3">
        <v>84950</v>
      </c>
      <c r="P5461" s="3">
        <v>33200</v>
      </c>
      <c r="Q5461" s="5">
        <f t="shared" si="255"/>
        <v>71386.554621848743</v>
      </c>
      <c r="R5461" s="5">
        <f t="shared" si="256"/>
        <v>33200</v>
      </c>
      <c r="S5461" s="5">
        <f t="shared" si="257"/>
        <v>38186.554621848743</v>
      </c>
    </row>
    <row r="5462" spans="1:19" x14ac:dyDescent="0.3">
      <c r="A5462">
        <v>195</v>
      </c>
      <c r="B5462" t="s">
        <v>6142</v>
      </c>
      <c r="C5462" t="s">
        <v>3540</v>
      </c>
      <c r="D5462" s="2" t="s">
        <v>3541</v>
      </c>
      <c r="E5462" t="s">
        <v>3542</v>
      </c>
      <c r="F5462" t="s">
        <v>20</v>
      </c>
      <c r="G5462" t="s">
        <v>338</v>
      </c>
      <c r="H5462">
        <v>83717</v>
      </c>
      <c r="I5462" t="s">
        <v>23</v>
      </c>
      <c r="J5462" t="s">
        <v>40</v>
      </c>
      <c r="K5462" s="2" t="s">
        <v>2344</v>
      </c>
      <c r="L5462" t="s">
        <v>26</v>
      </c>
      <c r="M5462">
        <v>307572</v>
      </c>
      <c r="N5462">
        <v>1</v>
      </c>
      <c r="O5462" s="3">
        <v>89950</v>
      </c>
      <c r="P5462" s="3">
        <v>30263</v>
      </c>
      <c r="Q5462" s="5">
        <f t="shared" si="255"/>
        <v>75588.23529411765</v>
      </c>
      <c r="R5462" s="5">
        <f t="shared" si="256"/>
        <v>30263</v>
      </c>
      <c r="S5462" s="5">
        <f t="shared" si="257"/>
        <v>45325.23529411765</v>
      </c>
    </row>
    <row r="5463" spans="1:19" x14ac:dyDescent="0.3">
      <c r="A5463">
        <v>195</v>
      </c>
      <c r="B5463" t="s">
        <v>6142</v>
      </c>
      <c r="C5463" t="s">
        <v>4239</v>
      </c>
      <c r="D5463" s="2" t="s">
        <v>4240</v>
      </c>
      <c r="E5463" t="s">
        <v>2539</v>
      </c>
      <c r="F5463" t="s">
        <v>20</v>
      </c>
      <c r="G5463" t="s">
        <v>21</v>
      </c>
      <c r="H5463" t="s">
        <v>966</v>
      </c>
      <c r="I5463" t="s">
        <v>23</v>
      </c>
      <c r="J5463" t="s">
        <v>35</v>
      </c>
      <c r="K5463" s="2" t="s">
        <v>2344</v>
      </c>
      <c r="L5463" t="s">
        <v>26</v>
      </c>
      <c r="M5463">
        <v>307573</v>
      </c>
      <c r="N5463">
        <v>1</v>
      </c>
      <c r="O5463" s="3">
        <v>74950</v>
      </c>
      <c r="P5463" s="3">
        <v>26729</v>
      </c>
      <c r="Q5463" s="5">
        <f t="shared" si="255"/>
        <v>62983.193277310929</v>
      </c>
      <c r="R5463" s="5">
        <f t="shared" si="256"/>
        <v>26729</v>
      </c>
      <c r="S5463" s="5">
        <f t="shared" si="257"/>
        <v>36254.193277310929</v>
      </c>
    </row>
    <row r="5464" spans="1:19" x14ac:dyDescent="0.3">
      <c r="A5464">
        <v>195</v>
      </c>
      <c r="B5464" t="s">
        <v>6142</v>
      </c>
      <c r="C5464" t="s">
        <v>647</v>
      </c>
      <c r="D5464" s="2" t="s">
        <v>648</v>
      </c>
      <c r="E5464" t="s">
        <v>71</v>
      </c>
      <c r="F5464" t="s">
        <v>20</v>
      </c>
      <c r="G5464" t="s">
        <v>21</v>
      </c>
      <c r="H5464" t="s">
        <v>53</v>
      </c>
      <c r="I5464" t="s">
        <v>23</v>
      </c>
      <c r="J5464" t="s">
        <v>35</v>
      </c>
      <c r="K5464" s="2" t="s">
        <v>2344</v>
      </c>
      <c r="L5464" t="s">
        <v>26</v>
      </c>
      <c r="M5464">
        <v>307573</v>
      </c>
      <c r="N5464">
        <v>-1</v>
      </c>
      <c r="O5464" s="3">
        <v>-49990</v>
      </c>
      <c r="P5464" s="3">
        <v>25147</v>
      </c>
      <c r="Q5464" s="5">
        <f t="shared" si="255"/>
        <v>-42008.403361344543</v>
      </c>
      <c r="R5464" s="5">
        <f t="shared" si="256"/>
        <v>-25147</v>
      </c>
      <c r="S5464" s="5">
        <f t="shared" si="257"/>
        <v>-16861.403361344543</v>
      </c>
    </row>
    <row r="5465" spans="1:19" x14ac:dyDescent="0.3">
      <c r="A5465">
        <v>195</v>
      </c>
      <c r="B5465" t="s">
        <v>6142</v>
      </c>
      <c r="C5465" t="s">
        <v>5629</v>
      </c>
      <c r="D5465" s="2" t="s">
        <v>5630</v>
      </c>
      <c r="E5465" t="s">
        <v>2820</v>
      </c>
      <c r="F5465" t="s">
        <v>20</v>
      </c>
      <c r="G5465" t="s">
        <v>21</v>
      </c>
      <c r="H5465" t="s">
        <v>2821</v>
      </c>
      <c r="I5465" t="s">
        <v>23</v>
      </c>
      <c r="J5465" t="s">
        <v>40</v>
      </c>
      <c r="K5465" s="2" t="s">
        <v>2386</v>
      </c>
      <c r="L5465" t="s">
        <v>26</v>
      </c>
      <c r="M5465">
        <v>307574</v>
      </c>
      <c r="N5465">
        <v>1</v>
      </c>
      <c r="O5465" s="3">
        <v>59990</v>
      </c>
      <c r="P5465" s="3">
        <v>32843</v>
      </c>
      <c r="Q5465" s="5">
        <f t="shared" si="255"/>
        <v>50411.764705882357</v>
      </c>
      <c r="R5465" s="5">
        <f t="shared" si="256"/>
        <v>32843</v>
      </c>
      <c r="S5465" s="5">
        <f t="shared" si="257"/>
        <v>17568.764705882357</v>
      </c>
    </row>
    <row r="5466" spans="1:19" x14ac:dyDescent="0.3">
      <c r="A5466">
        <v>195</v>
      </c>
      <c r="B5466" t="s">
        <v>6142</v>
      </c>
      <c r="C5466" t="s">
        <v>6100</v>
      </c>
      <c r="D5466" s="2" t="s">
        <v>6101</v>
      </c>
      <c r="E5466" t="s">
        <v>5119</v>
      </c>
      <c r="F5466" t="s">
        <v>20</v>
      </c>
      <c r="G5466" t="s">
        <v>21</v>
      </c>
      <c r="H5466" t="s">
        <v>2782</v>
      </c>
      <c r="I5466" t="s">
        <v>23</v>
      </c>
      <c r="J5466" t="s">
        <v>35</v>
      </c>
      <c r="K5466" s="2" t="s">
        <v>2386</v>
      </c>
      <c r="L5466" t="s">
        <v>26</v>
      </c>
      <c r="M5466">
        <v>307575</v>
      </c>
      <c r="N5466">
        <v>1</v>
      </c>
      <c r="O5466" s="3">
        <v>74950</v>
      </c>
      <c r="P5466" s="3">
        <v>24388</v>
      </c>
      <c r="Q5466" s="5">
        <f t="shared" si="255"/>
        <v>62983.193277310929</v>
      </c>
      <c r="R5466" s="5">
        <f t="shared" si="256"/>
        <v>24388</v>
      </c>
      <c r="S5466" s="5">
        <f t="shared" si="257"/>
        <v>38595.193277310929</v>
      </c>
    </row>
    <row r="5467" spans="1:19" x14ac:dyDescent="0.3">
      <c r="A5467">
        <v>195</v>
      </c>
      <c r="B5467" t="s">
        <v>6142</v>
      </c>
      <c r="C5467" t="s">
        <v>3401</v>
      </c>
      <c r="D5467" s="2" t="s">
        <v>3402</v>
      </c>
      <c r="E5467" t="s">
        <v>3403</v>
      </c>
      <c r="F5467" t="s">
        <v>377</v>
      </c>
      <c r="G5467" t="s">
        <v>21</v>
      </c>
      <c r="H5467" t="s">
        <v>378</v>
      </c>
      <c r="I5467" t="s">
        <v>23</v>
      </c>
      <c r="J5467" t="s">
        <v>3297</v>
      </c>
      <c r="K5467" s="2" t="s">
        <v>2386</v>
      </c>
      <c r="L5467" t="s">
        <v>26</v>
      </c>
      <c r="M5467">
        <v>307576</v>
      </c>
      <c r="N5467">
        <v>1</v>
      </c>
      <c r="O5467">
        <v>500</v>
      </c>
      <c r="P5467">
        <v>418</v>
      </c>
      <c r="Q5467" s="5">
        <f t="shared" si="255"/>
        <v>420.1680672268908</v>
      </c>
      <c r="R5467" s="5">
        <f t="shared" si="256"/>
        <v>418</v>
      </c>
      <c r="S5467" s="5">
        <f t="shared" si="257"/>
        <v>2.1680672268907983</v>
      </c>
    </row>
    <row r="5468" spans="1:19" x14ac:dyDescent="0.3">
      <c r="A5468">
        <v>195</v>
      </c>
      <c r="B5468" t="s">
        <v>6142</v>
      </c>
      <c r="C5468" t="s">
        <v>4383</v>
      </c>
      <c r="D5468" s="2" t="s">
        <v>4384</v>
      </c>
      <c r="E5468" t="s">
        <v>2795</v>
      </c>
      <c r="F5468" t="s">
        <v>20</v>
      </c>
      <c r="G5468" t="s">
        <v>21</v>
      </c>
      <c r="H5468" t="s">
        <v>57</v>
      </c>
      <c r="I5468" t="s">
        <v>23</v>
      </c>
      <c r="J5468" t="s">
        <v>35</v>
      </c>
      <c r="K5468" s="2" t="s">
        <v>2386</v>
      </c>
      <c r="L5468" t="s">
        <v>26</v>
      </c>
      <c r="M5468">
        <v>307577</v>
      </c>
      <c r="N5468">
        <v>1</v>
      </c>
      <c r="O5468" s="3">
        <v>89950</v>
      </c>
      <c r="P5468" s="3">
        <v>31663</v>
      </c>
      <c r="Q5468" s="5">
        <f t="shared" si="255"/>
        <v>75588.23529411765</v>
      </c>
      <c r="R5468" s="5">
        <f t="shared" si="256"/>
        <v>31663</v>
      </c>
      <c r="S5468" s="5">
        <f t="shared" si="257"/>
        <v>43925.23529411765</v>
      </c>
    </row>
    <row r="5469" spans="1:19" x14ac:dyDescent="0.3">
      <c r="A5469">
        <v>195</v>
      </c>
      <c r="B5469" t="s">
        <v>6142</v>
      </c>
      <c r="C5469" t="s">
        <v>6169</v>
      </c>
      <c r="D5469" s="2" t="s">
        <v>6170</v>
      </c>
      <c r="E5469" t="s">
        <v>6171</v>
      </c>
      <c r="F5469" t="s">
        <v>20</v>
      </c>
      <c r="G5469" t="s">
        <v>21</v>
      </c>
      <c r="H5469" t="s">
        <v>2821</v>
      </c>
      <c r="I5469" t="s">
        <v>23</v>
      </c>
      <c r="J5469" t="s">
        <v>40</v>
      </c>
      <c r="K5469" s="2" t="s">
        <v>2386</v>
      </c>
      <c r="L5469" t="s">
        <v>26</v>
      </c>
      <c r="M5469">
        <v>307578</v>
      </c>
      <c r="N5469">
        <v>1</v>
      </c>
      <c r="O5469" s="3">
        <v>59990</v>
      </c>
      <c r="P5469" s="3">
        <v>32843</v>
      </c>
      <c r="Q5469" s="5">
        <f t="shared" si="255"/>
        <v>50411.764705882357</v>
      </c>
      <c r="R5469" s="5">
        <f t="shared" si="256"/>
        <v>32843</v>
      </c>
      <c r="S5469" s="5">
        <f t="shared" si="257"/>
        <v>17568.764705882357</v>
      </c>
    </row>
    <row r="5470" spans="1:19" x14ac:dyDescent="0.3">
      <c r="A5470">
        <v>195</v>
      </c>
      <c r="B5470" t="s">
        <v>6142</v>
      </c>
      <c r="C5470" t="s">
        <v>3594</v>
      </c>
      <c r="D5470" s="2" t="s">
        <v>3595</v>
      </c>
      <c r="E5470" t="s">
        <v>2473</v>
      </c>
      <c r="F5470" t="s">
        <v>20</v>
      </c>
      <c r="G5470" t="s">
        <v>21</v>
      </c>
      <c r="H5470" t="s">
        <v>114</v>
      </c>
      <c r="I5470" t="s">
        <v>23</v>
      </c>
      <c r="J5470" t="s">
        <v>49</v>
      </c>
      <c r="K5470" s="2" t="s">
        <v>2386</v>
      </c>
      <c r="L5470" t="s">
        <v>26</v>
      </c>
      <c r="M5470">
        <v>307579</v>
      </c>
      <c r="N5470">
        <v>1</v>
      </c>
      <c r="O5470" s="3">
        <v>49990</v>
      </c>
      <c r="P5470" s="3">
        <v>23514</v>
      </c>
      <c r="Q5470" s="5">
        <f t="shared" si="255"/>
        <v>42008.403361344543</v>
      </c>
      <c r="R5470" s="5">
        <f t="shared" si="256"/>
        <v>23514</v>
      </c>
      <c r="S5470" s="5">
        <f t="shared" si="257"/>
        <v>18494.403361344543</v>
      </c>
    </row>
    <row r="5471" spans="1:19" x14ac:dyDescent="0.3">
      <c r="A5471">
        <v>195</v>
      </c>
      <c r="B5471" t="s">
        <v>6142</v>
      </c>
      <c r="C5471" t="s">
        <v>6172</v>
      </c>
      <c r="D5471" s="2" t="s">
        <v>6173</v>
      </c>
      <c r="E5471" t="s">
        <v>1522</v>
      </c>
      <c r="F5471" t="s">
        <v>20</v>
      </c>
      <c r="G5471" t="s">
        <v>21</v>
      </c>
      <c r="H5471" t="s">
        <v>61</v>
      </c>
      <c r="I5471" t="s">
        <v>23</v>
      </c>
      <c r="J5471" t="s">
        <v>40</v>
      </c>
      <c r="K5471" s="2" t="s">
        <v>2386</v>
      </c>
      <c r="L5471" t="s">
        <v>26</v>
      </c>
      <c r="M5471">
        <v>307580</v>
      </c>
      <c r="N5471">
        <v>1</v>
      </c>
      <c r="O5471" s="3">
        <v>49990</v>
      </c>
      <c r="P5471" s="3">
        <v>27546</v>
      </c>
      <c r="Q5471" s="5">
        <f t="shared" si="255"/>
        <v>42008.403361344543</v>
      </c>
      <c r="R5471" s="5">
        <f t="shared" si="256"/>
        <v>27546</v>
      </c>
      <c r="S5471" s="5">
        <f t="shared" si="257"/>
        <v>14462.403361344543</v>
      </c>
    </row>
    <row r="5472" spans="1:19" x14ac:dyDescent="0.3">
      <c r="A5472">
        <v>195</v>
      </c>
      <c r="B5472" t="s">
        <v>6142</v>
      </c>
      <c r="C5472">
        <v>1687976791</v>
      </c>
      <c r="D5472" s="2" t="s">
        <v>200</v>
      </c>
      <c r="E5472" t="s">
        <v>201</v>
      </c>
      <c r="F5472" t="s">
        <v>201</v>
      </c>
      <c r="G5472" t="s">
        <v>202</v>
      </c>
      <c r="H5472" t="s">
        <v>202</v>
      </c>
      <c r="I5472" t="s">
        <v>23</v>
      </c>
      <c r="J5472" t="s">
        <v>202</v>
      </c>
      <c r="K5472" s="2" t="s">
        <v>2386</v>
      </c>
      <c r="L5472" t="s">
        <v>26</v>
      </c>
      <c r="M5472">
        <v>307580</v>
      </c>
      <c r="N5472">
        <v>1</v>
      </c>
      <c r="O5472" s="3">
        <v>2000</v>
      </c>
      <c r="P5472">
        <v>1</v>
      </c>
      <c r="Q5472" s="5">
        <f t="shared" si="255"/>
        <v>1680.6722689075632</v>
      </c>
      <c r="R5472" s="5">
        <f t="shared" si="256"/>
        <v>1</v>
      </c>
      <c r="S5472" s="5">
        <f t="shared" si="257"/>
        <v>1679.6722689075632</v>
      </c>
    </row>
    <row r="5473" spans="1:19" x14ac:dyDescent="0.3">
      <c r="A5473">
        <v>195</v>
      </c>
      <c r="B5473" t="s">
        <v>6142</v>
      </c>
      <c r="C5473" t="s">
        <v>2960</v>
      </c>
      <c r="D5473" s="2" t="s">
        <v>2961</v>
      </c>
      <c r="E5473" t="s">
        <v>2539</v>
      </c>
      <c r="F5473" t="s">
        <v>20</v>
      </c>
      <c r="G5473" t="s">
        <v>21</v>
      </c>
      <c r="H5473" t="s">
        <v>966</v>
      </c>
      <c r="I5473" t="s">
        <v>23</v>
      </c>
      <c r="J5473" t="s">
        <v>35</v>
      </c>
      <c r="K5473" s="2" t="s">
        <v>2386</v>
      </c>
      <c r="L5473" t="s">
        <v>26</v>
      </c>
      <c r="M5473">
        <v>307581</v>
      </c>
      <c r="N5473">
        <v>1</v>
      </c>
      <c r="O5473" s="3">
        <v>74950</v>
      </c>
      <c r="P5473" s="3">
        <v>27380</v>
      </c>
      <c r="Q5473" s="5">
        <f t="shared" si="255"/>
        <v>62983.193277310929</v>
      </c>
      <c r="R5473" s="5">
        <f t="shared" si="256"/>
        <v>27380</v>
      </c>
      <c r="S5473" s="5">
        <f t="shared" si="257"/>
        <v>35603.193277310929</v>
      </c>
    </row>
    <row r="5474" spans="1:19" x14ac:dyDescent="0.3">
      <c r="A5474">
        <v>195</v>
      </c>
      <c r="B5474" t="s">
        <v>6142</v>
      </c>
      <c r="C5474" t="s">
        <v>6174</v>
      </c>
      <c r="D5474" s="2" t="s">
        <v>6175</v>
      </c>
      <c r="E5474" t="s">
        <v>2648</v>
      </c>
      <c r="F5474" t="s">
        <v>20</v>
      </c>
      <c r="G5474" t="s">
        <v>21</v>
      </c>
      <c r="H5474" t="s">
        <v>970</v>
      </c>
      <c r="I5474" t="s">
        <v>23</v>
      </c>
      <c r="J5474" t="s">
        <v>40</v>
      </c>
      <c r="K5474" s="2" t="s">
        <v>2386</v>
      </c>
      <c r="L5474" t="s">
        <v>26</v>
      </c>
      <c r="M5474">
        <v>307582</v>
      </c>
      <c r="N5474">
        <v>1</v>
      </c>
      <c r="O5474" s="3">
        <v>49950</v>
      </c>
      <c r="P5474" s="3">
        <v>18616</v>
      </c>
      <c r="Q5474" s="5">
        <f t="shared" si="255"/>
        <v>41974.789915966387</v>
      </c>
      <c r="R5474" s="5">
        <f t="shared" si="256"/>
        <v>18616</v>
      </c>
      <c r="S5474" s="5">
        <f t="shared" si="257"/>
        <v>23358.789915966387</v>
      </c>
    </row>
    <row r="5475" spans="1:19" x14ac:dyDescent="0.3">
      <c r="A5475">
        <v>195</v>
      </c>
      <c r="B5475" t="s">
        <v>6142</v>
      </c>
      <c r="C5475" t="s">
        <v>3401</v>
      </c>
      <c r="D5475" s="2" t="s">
        <v>3402</v>
      </c>
      <c r="E5475" t="s">
        <v>3403</v>
      </c>
      <c r="F5475" t="s">
        <v>377</v>
      </c>
      <c r="G5475" t="s">
        <v>21</v>
      </c>
      <c r="H5475" t="s">
        <v>378</v>
      </c>
      <c r="I5475" t="s">
        <v>23</v>
      </c>
      <c r="J5475" t="s">
        <v>3297</v>
      </c>
      <c r="K5475" s="2" t="s">
        <v>2386</v>
      </c>
      <c r="L5475" t="s">
        <v>26</v>
      </c>
      <c r="M5475">
        <v>307583</v>
      </c>
      <c r="N5475">
        <v>1</v>
      </c>
      <c r="O5475">
        <v>500</v>
      </c>
      <c r="P5475">
        <v>418</v>
      </c>
      <c r="Q5475" s="5">
        <f t="shared" si="255"/>
        <v>420.1680672268908</v>
      </c>
      <c r="R5475" s="5">
        <f t="shared" si="256"/>
        <v>418</v>
      </c>
      <c r="S5475" s="5">
        <f t="shared" si="257"/>
        <v>2.1680672268907983</v>
      </c>
    </row>
    <row r="5476" spans="1:19" x14ac:dyDescent="0.3">
      <c r="A5476">
        <v>195</v>
      </c>
      <c r="B5476" t="s">
        <v>6142</v>
      </c>
      <c r="C5476" t="s">
        <v>6176</v>
      </c>
      <c r="D5476" s="2" t="s">
        <v>6177</v>
      </c>
      <c r="E5476" t="s">
        <v>6178</v>
      </c>
      <c r="F5476" t="s">
        <v>20</v>
      </c>
      <c r="G5476" t="s">
        <v>21</v>
      </c>
      <c r="H5476" t="s">
        <v>1608</v>
      </c>
      <c r="I5476" t="s">
        <v>23</v>
      </c>
      <c r="J5476" t="s">
        <v>207</v>
      </c>
      <c r="K5476" s="2" t="s">
        <v>2470</v>
      </c>
      <c r="L5476" t="s">
        <v>26</v>
      </c>
      <c r="M5476">
        <v>307584</v>
      </c>
      <c r="N5476">
        <v>0</v>
      </c>
      <c r="O5476">
        <v>1</v>
      </c>
      <c r="P5476" s="3">
        <v>25396</v>
      </c>
      <c r="Q5476" s="5">
        <f t="shared" si="255"/>
        <v>0.84033613445378152</v>
      </c>
      <c r="R5476" s="5">
        <f t="shared" si="256"/>
        <v>0</v>
      </c>
      <c r="S5476" s="5">
        <f t="shared" si="257"/>
        <v>0.84033613445378152</v>
      </c>
    </row>
    <row r="5477" spans="1:19" x14ac:dyDescent="0.3">
      <c r="A5477">
        <v>195</v>
      </c>
      <c r="B5477" t="s">
        <v>6142</v>
      </c>
      <c r="C5477" t="s">
        <v>2525</v>
      </c>
      <c r="D5477" s="2" t="s">
        <v>2526</v>
      </c>
      <c r="E5477" t="s">
        <v>2527</v>
      </c>
      <c r="F5477" t="s">
        <v>377</v>
      </c>
      <c r="G5477" t="s">
        <v>21</v>
      </c>
      <c r="H5477" t="s">
        <v>378</v>
      </c>
      <c r="I5477" t="s">
        <v>23</v>
      </c>
      <c r="J5477" t="s">
        <v>2459</v>
      </c>
      <c r="K5477" s="2" t="s">
        <v>2470</v>
      </c>
      <c r="L5477" t="s">
        <v>26</v>
      </c>
      <c r="M5477">
        <v>307585</v>
      </c>
      <c r="N5477">
        <v>1</v>
      </c>
      <c r="O5477" s="3">
        <v>6950</v>
      </c>
      <c r="P5477" s="3">
        <v>2964</v>
      </c>
      <c r="Q5477" s="5">
        <f t="shared" si="255"/>
        <v>5840.3361344537816</v>
      </c>
      <c r="R5477" s="5">
        <f t="shared" si="256"/>
        <v>2964</v>
      </c>
      <c r="S5477" s="5">
        <f t="shared" si="257"/>
        <v>2876.3361344537816</v>
      </c>
    </row>
    <row r="5478" spans="1:19" x14ac:dyDescent="0.3">
      <c r="A5478">
        <v>195</v>
      </c>
      <c r="B5478" t="s">
        <v>6142</v>
      </c>
      <c r="C5478" t="s">
        <v>5854</v>
      </c>
      <c r="D5478" s="2" t="s">
        <v>5855</v>
      </c>
      <c r="E5478" t="s">
        <v>1736</v>
      </c>
      <c r="F5478" t="s">
        <v>20</v>
      </c>
      <c r="G5478" t="s">
        <v>21</v>
      </c>
      <c r="H5478" t="s">
        <v>783</v>
      </c>
      <c r="I5478" t="s">
        <v>23</v>
      </c>
      <c r="J5478" t="s">
        <v>40</v>
      </c>
      <c r="K5478" s="2" t="s">
        <v>2470</v>
      </c>
      <c r="L5478" t="s">
        <v>26</v>
      </c>
      <c r="M5478">
        <v>307586</v>
      </c>
      <c r="N5478">
        <v>1</v>
      </c>
      <c r="O5478" s="3">
        <v>34990</v>
      </c>
      <c r="P5478" s="3">
        <v>17194</v>
      </c>
      <c r="Q5478" s="5">
        <f t="shared" si="255"/>
        <v>29403.361344537818</v>
      </c>
      <c r="R5478" s="5">
        <f t="shared" si="256"/>
        <v>17194</v>
      </c>
      <c r="S5478" s="5">
        <f t="shared" si="257"/>
        <v>12209.361344537818</v>
      </c>
    </row>
    <row r="5479" spans="1:19" x14ac:dyDescent="0.3">
      <c r="A5479">
        <v>195</v>
      </c>
      <c r="B5479" t="s">
        <v>6142</v>
      </c>
      <c r="C5479" t="s">
        <v>3401</v>
      </c>
      <c r="D5479" s="2" t="s">
        <v>3402</v>
      </c>
      <c r="E5479" t="s">
        <v>3403</v>
      </c>
      <c r="F5479" t="s">
        <v>377</v>
      </c>
      <c r="G5479" t="s">
        <v>21</v>
      </c>
      <c r="H5479" t="s">
        <v>378</v>
      </c>
      <c r="I5479" t="s">
        <v>23</v>
      </c>
      <c r="J5479" t="s">
        <v>3297</v>
      </c>
      <c r="K5479" s="2" t="s">
        <v>2470</v>
      </c>
      <c r="L5479" t="s">
        <v>26</v>
      </c>
      <c r="M5479">
        <v>307586</v>
      </c>
      <c r="N5479">
        <v>1</v>
      </c>
      <c r="O5479">
        <v>500</v>
      </c>
      <c r="P5479">
        <v>418</v>
      </c>
      <c r="Q5479" s="5">
        <f t="shared" si="255"/>
        <v>420.1680672268908</v>
      </c>
      <c r="R5479" s="5">
        <f t="shared" si="256"/>
        <v>418</v>
      </c>
      <c r="S5479" s="5">
        <f t="shared" si="257"/>
        <v>2.1680672268907983</v>
      </c>
    </row>
    <row r="5480" spans="1:19" x14ac:dyDescent="0.3">
      <c r="A5480">
        <v>195</v>
      </c>
      <c r="B5480" t="s">
        <v>6142</v>
      </c>
      <c r="C5480" t="s">
        <v>5455</v>
      </c>
      <c r="D5480" s="2" t="s">
        <v>5456</v>
      </c>
      <c r="E5480" t="s">
        <v>3593</v>
      </c>
      <c r="F5480" t="s">
        <v>20</v>
      </c>
      <c r="G5480" t="s">
        <v>21</v>
      </c>
      <c r="H5480" t="s">
        <v>839</v>
      </c>
      <c r="I5480" t="s">
        <v>23</v>
      </c>
      <c r="J5480" t="s">
        <v>40</v>
      </c>
      <c r="K5480" s="2" t="s">
        <v>2470</v>
      </c>
      <c r="L5480" t="s">
        <v>26</v>
      </c>
      <c r="M5480">
        <v>307587</v>
      </c>
      <c r="N5480">
        <v>1</v>
      </c>
      <c r="O5480" s="3">
        <v>39990</v>
      </c>
      <c r="P5480" s="3">
        <v>16210</v>
      </c>
      <c r="Q5480" s="5">
        <f t="shared" si="255"/>
        <v>33605.042016806721</v>
      </c>
      <c r="R5480" s="5">
        <f t="shared" si="256"/>
        <v>16210</v>
      </c>
      <c r="S5480" s="5">
        <f t="shared" si="257"/>
        <v>17395.042016806721</v>
      </c>
    </row>
    <row r="5481" spans="1:19" x14ac:dyDescent="0.3">
      <c r="A5481">
        <v>195</v>
      </c>
      <c r="B5481" t="s">
        <v>6142</v>
      </c>
      <c r="C5481" t="s">
        <v>3401</v>
      </c>
      <c r="D5481" s="2" t="s">
        <v>3402</v>
      </c>
      <c r="E5481" t="s">
        <v>3403</v>
      </c>
      <c r="F5481" t="s">
        <v>377</v>
      </c>
      <c r="G5481" t="s">
        <v>21</v>
      </c>
      <c r="H5481" t="s">
        <v>378</v>
      </c>
      <c r="I5481" t="s">
        <v>23</v>
      </c>
      <c r="J5481" t="s">
        <v>3297</v>
      </c>
      <c r="K5481" s="2" t="s">
        <v>2470</v>
      </c>
      <c r="L5481" t="s">
        <v>26</v>
      </c>
      <c r="M5481">
        <v>307587</v>
      </c>
      <c r="N5481">
        <v>1</v>
      </c>
      <c r="O5481">
        <v>500</v>
      </c>
      <c r="P5481">
        <v>418</v>
      </c>
      <c r="Q5481" s="5">
        <f t="shared" si="255"/>
        <v>420.1680672268908</v>
      </c>
      <c r="R5481" s="5">
        <f t="shared" si="256"/>
        <v>418</v>
      </c>
      <c r="S5481" s="5">
        <f t="shared" si="257"/>
        <v>2.1680672268907983</v>
      </c>
    </row>
    <row r="5482" spans="1:19" x14ac:dyDescent="0.3">
      <c r="A5482">
        <v>195</v>
      </c>
      <c r="B5482" t="s">
        <v>6142</v>
      </c>
      <c r="C5482" t="s">
        <v>5173</v>
      </c>
      <c r="D5482" s="2" t="s">
        <v>5174</v>
      </c>
      <c r="E5482" t="s">
        <v>3804</v>
      </c>
      <c r="F5482" t="s">
        <v>20</v>
      </c>
      <c r="G5482" t="s">
        <v>338</v>
      </c>
      <c r="H5482">
        <v>24200</v>
      </c>
      <c r="I5482" t="s">
        <v>23</v>
      </c>
      <c r="J5482" t="s">
        <v>95</v>
      </c>
      <c r="K5482" s="2" t="s">
        <v>2470</v>
      </c>
      <c r="L5482" t="s">
        <v>26</v>
      </c>
      <c r="M5482">
        <v>307588</v>
      </c>
      <c r="N5482">
        <v>1</v>
      </c>
      <c r="O5482" s="3">
        <v>84950</v>
      </c>
      <c r="P5482" s="3">
        <v>26465</v>
      </c>
      <c r="Q5482" s="5">
        <f t="shared" si="255"/>
        <v>71386.554621848743</v>
      </c>
      <c r="R5482" s="5">
        <f t="shared" si="256"/>
        <v>26465</v>
      </c>
      <c r="S5482" s="5">
        <f t="shared" si="257"/>
        <v>44921.554621848743</v>
      </c>
    </row>
    <row r="5483" spans="1:19" x14ac:dyDescent="0.3">
      <c r="A5483">
        <v>195</v>
      </c>
      <c r="B5483" t="s">
        <v>6142</v>
      </c>
      <c r="C5483" t="s">
        <v>2380</v>
      </c>
      <c r="D5483" s="2" t="s">
        <v>2381</v>
      </c>
      <c r="E5483" t="s">
        <v>2382</v>
      </c>
      <c r="F5483" t="s">
        <v>20</v>
      </c>
      <c r="G5483" t="s">
        <v>21</v>
      </c>
      <c r="H5483" t="s">
        <v>2379</v>
      </c>
      <c r="I5483" t="s">
        <v>23</v>
      </c>
      <c r="J5483" t="s">
        <v>40</v>
      </c>
      <c r="K5483" s="2" t="s">
        <v>2470</v>
      </c>
      <c r="L5483" t="s">
        <v>26</v>
      </c>
      <c r="M5483">
        <v>307589</v>
      </c>
      <c r="N5483">
        <v>1</v>
      </c>
      <c r="O5483" s="3">
        <v>34990</v>
      </c>
      <c r="P5483" s="3">
        <v>13135</v>
      </c>
      <c r="Q5483" s="5">
        <f t="shared" si="255"/>
        <v>29403.361344537818</v>
      </c>
      <c r="R5483" s="5">
        <f t="shared" si="256"/>
        <v>13135</v>
      </c>
      <c r="S5483" s="5">
        <f t="shared" si="257"/>
        <v>16268.361344537818</v>
      </c>
    </row>
    <row r="5484" spans="1:19" x14ac:dyDescent="0.3">
      <c r="A5484">
        <v>195</v>
      </c>
      <c r="B5484" t="s">
        <v>6142</v>
      </c>
      <c r="C5484" t="s">
        <v>2491</v>
      </c>
      <c r="D5484" s="2" t="s">
        <v>2492</v>
      </c>
      <c r="E5484" t="s">
        <v>2493</v>
      </c>
      <c r="F5484" t="s">
        <v>20</v>
      </c>
      <c r="G5484" t="s">
        <v>21</v>
      </c>
      <c r="H5484" t="s">
        <v>2494</v>
      </c>
      <c r="I5484" t="s">
        <v>23</v>
      </c>
      <c r="J5484" t="s">
        <v>40</v>
      </c>
      <c r="K5484" s="2" t="s">
        <v>2470</v>
      </c>
      <c r="L5484" t="s">
        <v>26</v>
      </c>
      <c r="M5484">
        <v>307590</v>
      </c>
      <c r="N5484">
        <v>1</v>
      </c>
      <c r="O5484" s="3">
        <v>69950</v>
      </c>
      <c r="P5484" s="3">
        <v>22206</v>
      </c>
      <c r="Q5484" s="5">
        <f t="shared" si="255"/>
        <v>58781.512605042022</v>
      </c>
      <c r="R5484" s="5">
        <f t="shared" si="256"/>
        <v>22206</v>
      </c>
      <c r="S5484" s="5">
        <f t="shared" si="257"/>
        <v>36575.512605042022</v>
      </c>
    </row>
    <row r="5485" spans="1:19" x14ac:dyDescent="0.3">
      <c r="A5485">
        <v>195</v>
      </c>
      <c r="B5485" t="s">
        <v>6142</v>
      </c>
      <c r="C5485" t="s">
        <v>3401</v>
      </c>
      <c r="D5485" s="2" t="s">
        <v>3402</v>
      </c>
      <c r="E5485" t="s">
        <v>3403</v>
      </c>
      <c r="F5485" t="s">
        <v>377</v>
      </c>
      <c r="G5485" t="s">
        <v>21</v>
      </c>
      <c r="H5485" t="s">
        <v>378</v>
      </c>
      <c r="I5485" t="s">
        <v>23</v>
      </c>
      <c r="J5485" t="s">
        <v>3297</v>
      </c>
      <c r="K5485" s="2" t="s">
        <v>2470</v>
      </c>
      <c r="L5485" t="s">
        <v>26</v>
      </c>
      <c r="M5485">
        <v>307591</v>
      </c>
      <c r="N5485">
        <v>1</v>
      </c>
      <c r="O5485">
        <v>500</v>
      </c>
      <c r="P5485">
        <v>418</v>
      </c>
      <c r="Q5485" s="5">
        <f t="shared" si="255"/>
        <v>420.1680672268908</v>
      </c>
      <c r="R5485" s="5">
        <f t="shared" si="256"/>
        <v>418</v>
      </c>
      <c r="S5485" s="5">
        <f t="shared" si="257"/>
        <v>2.1680672268907983</v>
      </c>
    </row>
    <row r="5486" spans="1:19" x14ac:dyDescent="0.3">
      <c r="A5486">
        <v>195</v>
      </c>
      <c r="B5486" t="s">
        <v>6142</v>
      </c>
      <c r="C5486" t="s">
        <v>6179</v>
      </c>
      <c r="D5486" s="2" t="s">
        <v>6180</v>
      </c>
      <c r="E5486" t="s">
        <v>3195</v>
      </c>
      <c r="F5486" t="s">
        <v>20</v>
      </c>
      <c r="G5486" t="s">
        <v>338</v>
      </c>
      <c r="H5486">
        <v>25366</v>
      </c>
      <c r="I5486" t="s">
        <v>23</v>
      </c>
      <c r="J5486" t="s">
        <v>35</v>
      </c>
      <c r="K5486" s="2" t="s">
        <v>2470</v>
      </c>
      <c r="L5486" t="s">
        <v>26</v>
      </c>
      <c r="M5486">
        <v>307592</v>
      </c>
      <c r="N5486">
        <v>1</v>
      </c>
      <c r="O5486" s="3">
        <v>99950</v>
      </c>
      <c r="P5486" s="3">
        <v>33157</v>
      </c>
      <c r="Q5486" s="5">
        <f t="shared" si="255"/>
        <v>83991.596638655465</v>
      </c>
      <c r="R5486" s="5">
        <f t="shared" si="256"/>
        <v>33157</v>
      </c>
      <c r="S5486" s="5">
        <f t="shared" si="257"/>
        <v>50834.596638655465</v>
      </c>
    </row>
    <row r="5487" spans="1:19" x14ac:dyDescent="0.3">
      <c r="A5487">
        <v>195</v>
      </c>
      <c r="B5487" t="s">
        <v>6142</v>
      </c>
      <c r="C5487" t="s">
        <v>1037</v>
      </c>
      <c r="D5487" s="2" t="s">
        <v>1038</v>
      </c>
      <c r="E5487" t="s">
        <v>1039</v>
      </c>
      <c r="F5487" t="s">
        <v>377</v>
      </c>
      <c r="G5487" t="s">
        <v>21</v>
      </c>
      <c r="H5487" t="s">
        <v>378</v>
      </c>
      <c r="I5487" t="s">
        <v>23</v>
      </c>
      <c r="J5487" t="s">
        <v>379</v>
      </c>
      <c r="K5487" s="2" t="s">
        <v>2470</v>
      </c>
      <c r="L5487" t="s">
        <v>26</v>
      </c>
      <c r="M5487">
        <v>307593</v>
      </c>
      <c r="N5487">
        <v>1</v>
      </c>
      <c r="O5487" s="3">
        <v>5950</v>
      </c>
      <c r="P5487" s="3">
        <v>3257</v>
      </c>
      <c r="Q5487" s="5">
        <f t="shared" si="255"/>
        <v>5000</v>
      </c>
      <c r="R5487" s="5">
        <f t="shared" si="256"/>
        <v>3257</v>
      </c>
      <c r="S5487" s="5">
        <f t="shared" si="257"/>
        <v>1743</v>
      </c>
    </row>
    <row r="5488" spans="1:19" x14ac:dyDescent="0.3">
      <c r="A5488">
        <v>195</v>
      </c>
      <c r="B5488" t="s">
        <v>6142</v>
      </c>
      <c r="C5488" t="s">
        <v>6181</v>
      </c>
      <c r="D5488" s="2" t="s">
        <v>6182</v>
      </c>
      <c r="E5488" t="s">
        <v>3155</v>
      </c>
      <c r="F5488" t="s">
        <v>20</v>
      </c>
      <c r="G5488" t="s">
        <v>21</v>
      </c>
      <c r="H5488" t="s">
        <v>970</v>
      </c>
      <c r="I5488" t="s">
        <v>23</v>
      </c>
      <c r="J5488" t="s">
        <v>40</v>
      </c>
      <c r="K5488" s="2" t="s">
        <v>2470</v>
      </c>
      <c r="L5488" t="s">
        <v>26</v>
      </c>
      <c r="M5488">
        <v>307594</v>
      </c>
      <c r="N5488">
        <v>1</v>
      </c>
      <c r="O5488" s="3">
        <v>59950</v>
      </c>
      <c r="P5488" s="3">
        <v>19352</v>
      </c>
      <c r="Q5488" s="5">
        <f t="shared" si="255"/>
        <v>50378.151260504201</v>
      </c>
      <c r="R5488" s="5">
        <f t="shared" si="256"/>
        <v>19352</v>
      </c>
      <c r="S5488" s="5">
        <f t="shared" si="257"/>
        <v>31026.151260504201</v>
      </c>
    </row>
    <row r="5489" spans="1:19" x14ac:dyDescent="0.3">
      <c r="A5489">
        <v>195</v>
      </c>
      <c r="B5489" t="s">
        <v>6142</v>
      </c>
      <c r="C5489" t="s">
        <v>3401</v>
      </c>
      <c r="D5489" s="2" t="s">
        <v>3402</v>
      </c>
      <c r="E5489" t="s">
        <v>3403</v>
      </c>
      <c r="F5489" t="s">
        <v>377</v>
      </c>
      <c r="G5489" t="s">
        <v>21</v>
      </c>
      <c r="H5489" t="s">
        <v>378</v>
      </c>
      <c r="I5489" t="s">
        <v>23</v>
      </c>
      <c r="J5489" t="s">
        <v>3297</v>
      </c>
      <c r="K5489" s="2" t="s">
        <v>2470</v>
      </c>
      <c r="L5489" t="s">
        <v>26</v>
      </c>
      <c r="M5489">
        <v>307595</v>
      </c>
      <c r="N5489">
        <v>1</v>
      </c>
      <c r="O5489">
        <v>500</v>
      </c>
      <c r="P5489">
        <v>418</v>
      </c>
      <c r="Q5489" s="5">
        <f t="shared" si="255"/>
        <v>420.1680672268908</v>
      </c>
      <c r="R5489" s="5">
        <f t="shared" si="256"/>
        <v>418</v>
      </c>
      <c r="S5489" s="5">
        <f t="shared" si="257"/>
        <v>2.1680672268907983</v>
      </c>
    </row>
    <row r="5490" spans="1:19" x14ac:dyDescent="0.3">
      <c r="A5490">
        <v>195</v>
      </c>
      <c r="B5490" t="s">
        <v>6142</v>
      </c>
      <c r="C5490" t="s">
        <v>3842</v>
      </c>
      <c r="D5490" s="2" t="s">
        <v>3843</v>
      </c>
      <c r="E5490" t="s">
        <v>2606</v>
      </c>
      <c r="F5490" t="s">
        <v>20</v>
      </c>
      <c r="G5490" t="s">
        <v>21</v>
      </c>
      <c r="H5490" t="s">
        <v>970</v>
      </c>
      <c r="I5490" t="s">
        <v>23</v>
      </c>
      <c r="J5490" t="s">
        <v>40</v>
      </c>
      <c r="K5490" s="2" t="s">
        <v>2470</v>
      </c>
      <c r="L5490" t="s">
        <v>26</v>
      </c>
      <c r="M5490">
        <v>307596</v>
      </c>
      <c r="N5490">
        <v>1</v>
      </c>
      <c r="O5490" s="3">
        <v>49990</v>
      </c>
      <c r="P5490" s="3">
        <v>18897</v>
      </c>
      <c r="Q5490" s="5">
        <f t="shared" si="255"/>
        <v>42008.403361344543</v>
      </c>
      <c r="R5490" s="5">
        <f t="shared" si="256"/>
        <v>18897</v>
      </c>
      <c r="S5490" s="5">
        <f t="shared" si="257"/>
        <v>23111.403361344543</v>
      </c>
    </row>
    <row r="5491" spans="1:19" x14ac:dyDescent="0.3">
      <c r="A5491">
        <v>195</v>
      </c>
      <c r="B5491" t="s">
        <v>6142</v>
      </c>
      <c r="C5491" t="s">
        <v>2739</v>
      </c>
      <c r="D5491" s="2" t="s">
        <v>2740</v>
      </c>
      <c r="E5491" t="s">
        <v>2741</v>
      </c>
      <c r="F5491" t="s">
        <v>20</v>
      </c>
      <c r="G5491" t="s">
        <v>21</v>
      </c>
      <c r="H5491" t="s">
        <v>2494</v>
      </c>
      <c r="I5491" t="s">
        <v>23</v>
      </c>
      <c r="J5491" t="s">
        <v>40</v>
      </c>
      <c r="K5491" s="2" t="s">
        <v>2470</v>
      </c>
      <c r="L5491" t="s">
        <v>26</v>
      </c>
      <c r="M5491">
        <v>307596</v>
      </c>
      <c r="N5491">
        <v>1</v>
      </c>
      <c r="O5491" s="3">
        <v>59450</v>
      </c>
      <c r="P5491" s="3">
        <v>23470</v>
      </c>
      <c r="Q5491" s="5">
        <f t="shared" si="255"/>
        <v>49957.983193277316</v>
      </c>
      <c r="R5491" s="5">
        <f t="shared" si="256"/>
        <v>23470</v>
      </c>
      <c r="S5491" s="5">
        <f t="shared" si="257"/>
        <v>26487.983193277316</v>
      </c>
    </row>
    <row r="5492" spans="1:19" x14ac:dyDescent="0.3">
      <c r="A5492">
        <v>195</v>
      </c>
      <c r="B5492" t="s">
        <v>6142</v>
      </c>
      <c r="C5492" t="s">
        <v>6183</v>
      </c>
      <c r="D5492" s="2" t="s">
        <v>6184</v>
      </c>
      <c r="E5492" t="s">
        <v>3290</v>
      </c>
      <c r="F5492" t="s">
        <v>20</v>
      </c>
      <c r="G5492" t="s">
        <v>21</v>
      </c>
      <c r="H5492" t="s">
        <v>247</v>
      </c>
      <c r="I5492" t="s">
        <v>23</v>
      </c>
      <c r="J5492" t="s">
        <v>40</v>
      </c>
      <c r="K5492" s="2" t="s">
        <v>2470</v>
      </c>
      <c r="L5492" t="s">
        <v>26</v>
      </c>
      <c r="M5492">
        <v>307597</v>
      </c>
      <c r="N5492">
        <v>1</v>
      </c>
      <c r="O5492" s="3">
        <v>34990</v>
      </c>
      <c r="P5492" s="3">
        <v>18016</v>
      </c>
      <c r="Q5492" s="5">
        <f t="shared" si="255"/>
        <v>29403.361344537818</v>
      </c>
      <c r="R5492" s="5">
        <f t="shared" si="256"/>
        <v>18016</v>
      </c>
      <c r="S5492" s="5">
        <f t="shared" si="257"/>
        <v>11387.361344537818</v>
      </c>
    </row>
    <row r="5493" spans="1:19" x14ac:dyDescent="0.3">
      <c r="A5493">
        <v>195</v>
      </c>
      <c r="B5493" t="s">
        <v>6142</v>
      </c>
      <c r="C5493" t="s">
        <v>3234</v>
      </c>
      <c r="D5493" s="2" t="s">
        <v>3235</v>
      </c>
      <c r="E5493" t="s">
        <v>1330</v>
      </c>
      <c r="F5493" t="s">
        <v>20</v>
      </c>
      <c r="G5493" t="s">
        <v>338</v>
      </c>
      <c r="H5493">
        <v>25133</v>
      </c>
      <c r="I5493" t="s">
        <v>23</v>
      </c>
      <c r="J5493" t="s">
        <v>35</v>
      </c>
      <c r="K5493" s="2" t="s">
        <v>2470</v>
      </c>
      <c r="L5493" t="s">
        <v>26</v>
      </c>
      <c r="M5493">
        <v>307597</v>
      </c>
      <c r="N5493">
        <v>1</v>
      </c>
      <c r="O5493" s="3">
        <v>63700</v>
      </c>
      <c r="P5493" s="3">
        <v>21167</v>
      </c>
      <c r="Q5493" s="5">
        <f t="shared" si="255"/>
        <v>53529.411764705888</v>
      </c>
      <c r="R5493" s="5">
        <f t="shared" si="256"/>
        <v>21167</v>
      </c>
      <c r="S5493" s="5">
        <f t="shared" si="257"/>
        <v>32362.411764705888</v>
      </c>
    </row>
    <row r="5494" spans="1:19" x14ac:dyDescent="0.3">
      <c r="A5494">
        <v>195</v>
      </c>
      <c r="B5494" t="s">
        <v>6142</v>
      </c>
      <c r="C5494" t="s">
        <v>4968</v>
      </c>
      <c r="D5494" s="2" t="s">
        <v>4969</v>
      </c>
      <c r="E5494" t="s">
        <v>1758</v>
      </c>
      <c r="F5494" t="s">
        <v>20</v>
      </c>
      <c r="G5494" t="s">
        <v>338</v>
      </c>
      <c r="H5494">
        <v>25133</v>
      </c>
      <c r="I5494" t="s">
        <v>23</v>
      </c>
      <c r="J5494" t="s">
        <v>35</v>
      </c>
      <c r="K5494" s="2" t="s">
        <v>2470</v>
      </c>
      <c r="L5494" t="s">
        <v>26</v>
      </c>
      <c r="M5494">
        <v>307598</v>
      </c>
      <c r="N5494">
        <v>1</v>
      </c>
      <c r="O5494" s="3">
        <v>56210</v>
      </c>
      <c r="P5494" s="3">
        <v>21167</v>
      </c>
      <c r="Q5494" s="5">
        <f t="shared" si="255"/>
        <v>47235.294117647063</v>
      </c>
      <c r="R5494" s="5">
        <f t="shared" si="256"/>
        <v>21167</v>
      </c>
      <c r="S5494" s="5">
        <f t="shared" si="257"/>
        <v>26068.294117647063</v>
      </c>
    </row>
    <row r="5495" spans="1:19" x14ac:dyDescent="0.3">
      <c r="A5495">
        <v>195</v>
      </c>
      <c r="B5495" t="s">
        <v>6142</v>
      </c>
      <c r="C5495" t="s">
        <v>3411</v>
      </c>
      <c r="D5495" s="2" t="s">
        <v>3412</v>
      </c>
      <c r="E5495" t="s">
        <v>3283</v>
      </c>
      <c r="F5495" t="s">
        <v>20</v>
      </c>
      <c r="G5495" t="s">
        <v>21</v>
      </c>
      <c r="H5495" t="s">
        <v>2494</v>
      </c>
      <c r="I5495" t="s">
        <v>23</v>
      </c>
      <c r="J5495" t="s">
        <v>40</v>
      </c>
      <c r="K5495" s="2" t="s">
        <v>422</v>
      </c>
      <c r="L5495" t="s">
        <v>26</v>
      </c>
      <c r="M5495">
        <v>307599</v>
      </c>
      <c r="N5495">
        <v>1</v>
      </c>
      <c r="O5495" s="3">
        <v>69950</v>
      </c>
      <c r="P5495" s="3">
        <v>23470</v>
      </c>
      <c r="Q5495" s="5">
        <f t="shared" si="255"/>
        <v>58781.512605042022</v>
      </c>
      <c r="R5495" s="5">
        <f t="shared" si="256"/>
        <v>23470</v>
      </c>
      <c r="S5495" s="5">
        <f t="shared" si="257"/>
        <v>35311.512605042022</v>
      </c>
    </row>
    <row r="5496" spans="1:19" x14ac:dyDescent="0.3">
      <c r="A5496">
        <v>195</v>
      </c>
      <c r="B5496" t="s">
        <v>6142</v>
      </c>
      <c r="C5496" t="s">
        <v>3401</v>
      </c>
      <c r="D5496" s="2" t="s">
        <v>3402</v>
      </c>
      <c r="E5496" t="s">
        <v>3403</v>
      </c>
      <c r="F5496" t="s">
        <v>377</v>
      </c>
      <c r="G5496" t="s">
        <v>21</v>
      </c>
      <c r="H5496" t="s">
        <v>378</v>
      </c>
      <c r="I5496" t="s">
        <v>23</v>
      </c>
      <c r="J5496" t="s">
        <v>3297</v>
      </c>
      <c r="K5496" s="2" t="s">
        <v>422</v>
      </c>
      <c r="L5496" t="s">
        <v>26</v>
      </c>
      <c r="M5496">
        <v>307600</v>
      </c>
      <c r="N5496">
        <v>1</v>
      </c>
      <c r="O5496">
        <v>500</v>
      </c>
      <c r="P5496">
        <v>418</v>
      </c>
      <c r="Q5496" s="5">
        <f t="shared" si="255"/>
        <v>420.1680672268908</v>
      </c>
      <c r="R5496" s="5">
        <f t="shared" si="256"/>
        <v>418</v>
      </c>
      <c r="S5496" s="5">
        <f t="shared" si="257"/>
        <v>2.1680672268907983</v>
      </c>
    </row>
    <row r="5497" spans="1:19" x14ac:dyDescent="0.3">
      <c r="A5497">
        <v>195</v>
      </c>
      <c r="B5497" t="s">
        <v>6142</v>
      </c>
      <c r="C5497" t="s">
        <v>2525</v>
      </c>
      <c r="D5497" s="2" t="s">
        <v>2526</v>
      </c>
      <c r="E5497" t="s">
        <v>2527</v>
      </c>
      <c r="F5497" t="s">
        <v>377</v>
      </c>
      <c r="G5497" t="s">
        <v>21</v>
      </c>
      <c r="H5497" t="s">
        <v>378</v>
      </c>
      <c r="I5497" t="s">
        <v>23</v>
      </c>
      <c r="J5497" t="s">
        <v>2459</v>
      </c>
      <c r="K5497" s="2" t="s">
        <v>422</v>
      </c>
      <c r="L5497" t="s">
        <v>26</v>
      </c>
      <c r="M5497">
        <v>307601</v>
      </c>
      <c r="N5497">
        <v>1</v>
      </c>
      <c r="O5497" s="3">
        <v>6950</v>
      </c>
      <c r="P5497" s="3">
        <v>2964</v>
      </c>
      <c r="Q5497" s="5">
        <f t="shared" si="255"/>
        <v>5840.3361344537816</v>
      </c>
      <c r="R5497" s="5">
        <f t="shared" si="256"/>
        <v>2964</v>
      </c>
      <c r="S5497" s="5">
        <f t="shared" si="257"/>
        <v>2876.3361344537816</v>
      </c>
    </row>
    <row r="5498" spans="1:19" x14ac:dyDescent="0.3">
      <c r="A5498">
        <v>195</v>
      </c>
      <c r="B5498" t="s">
        <v>6142</v>
      </c>
      <c r="C5498" t="s">
        <v>5156</v>
      </c>
      <c r="D5498" s="2" t="s">
        <v>5157</v>
      </c>
      <c r="E5498" t="s">
        <v>5158</v>
      </c>
      <c r="F5498" t="s">
        <v>20</v>
      </c>
      <c r="G5498" t="s">
        <v>21</v>
      </c>
      <c r="H5498" t="s">
        <v>2353</v>
      </c>
      <c r="I5498" t="s">
        <v>23</v>
      </c>
      <c r="J5498" t="s">
        <v>40</v>
      </c>
      <c r="K5498" s="2" t="s">
        <v>422</v>
      </c>
      <c r="L5498" t="s">
        <v>26</v>
      </c>
      <c r="M5498">
        <v>307602</v>
      </c>
      <c r="N5498">
        <v>1</v>
      </c>
      <c r="O5498" s="3">
        <v>69990</v>
      </c>
      <c r="P5498" s="3">
        <v>31435</v>
      </c>
      <c r="Q5498" s="5">
        <f t="shared" si="255"/>
        <v>58815.126050420171</v>
      </c>
      <c r="R5498" s="5">
        <f t="shared" si="256"/>
        <v>31435</v>
      </c>
      <c r="S5498" s="5">
        <f t="shared" si="257"/>
        <v>27380.126050420171</v>
      </c>
    </row>
    <row r="5499" spans="1:19" x14ac:dyDescent="0.3">
      <c r="A5499">
        <v>195</v>
      </c>
      <c r="B5499" t="s">
        <v>6142</v>
      </c>
      <c r="C5499" t="s">
        <v>91</v>
      </c>
      <c r="D5499" s="2" t="s">
        <v>92</v>
      </c>
      <c r="E5499" t="s">
        <v>93</v>
      </c>
      <c r="F5499" t="s">
        <v>20</v>
      </c>
      <c r="G5499" t="s">
        <v>21</v>
      </c>
      <c r="H5499" t="s">
        <v>94</v>
      </c>
      <c r="I5499" t="s">
        <v>23</v>
      </c>
      <c r="J5499" t="s">
        <v>95</v>
      </c>
      <c r="K5499" s="2" t="s">
        <v>422</v>
      </c>
      <c r="L5499" t="s">
        <v>26</v>
      </c>
      <c r="M5499">
        <v>307602</v>
      </c>
      <c r="N5499">
        <v>1</v>
      </c>
      <c r="O5499" s="3">
        <v>49990</v>
      </c>
      <c r="P5499" s="3">
        <v>33414</v>
      </c>
      <c r="Q5499" s="5">
        <f t="shared" si="255"/>
        <v>42008.403361344543</v>
      </c>
      <c r="R5499" s="5">
        <f t="shared" si="256"/>
        <v>33414</v>
      </c>
      <c r="S5499" s="5">
        <f t="shared" si="257"/>
        <v>8594.4033613445426</v>
      </c>
    </row>
    <row r="5500" spans="1:19" x14ac:dyDescent="0.3">
      <c r="A5500">
        <v>195</v>
      </c>
      <c r="B5500" t="s">
        <v>6142</v>
      </c>
      <c r="C5500" t="s">
        <v>4677</v>
      </c>
      <c r="D5500" s="2" t="s">
        <v>4678</v>
      </c>
      <c r="E5500" t="s">
        <v>266</v>
      </c>
      <c r="F5500" t="s">
        <v>20</v>
      </c>
      <c r="G5500" t="s">
        <v>21</v>
      </c>
      <c r="H5500" t="s">
        <v>267</v>
      </c>
      <c r="I5500" t="s">
        <v>23</v>
      </c>
      <c r="J5500" t="s">
        <v>49</v>
      </c>
      <c r="K5500" s="2" t="s">
        <v>422</v>
      </c>
      <c r="L5500" t="s">
        <v>26</v>
      </c>
      <c r="M5500">
        <v>307603</v>
      </c>
      <c r="N5500">
        <v>1</v>
      </c>
      <c r="O5500" s="3">
        <v>64950</v>
      </c>
      <c r="P5500" s="3">
        <v>24504</v>
      </c>
      <c r="Q5500" s="5">
        <f t="shared" si="255"/>
        <v>54579.831932773115</v>
      </c>
      <c r="R5500" s="5">
        <f t="shared" si="256"/>
        <v>24504</v>
      </c>
      <c r="S5500" s="5">
        <f t="shared" si="257"/>
        <v>30075.831932773115</v>
      </c>
    </row>
    <row r="5501" spans="1:19" x14ac:dyDescent="0.3">
      <c r="A5501">
        <v>195</v>
      </c>
      <c r="B5501" t="s">
        <v>6142</v>
      </c>
      <c r="C5501" t="s">
        <v>1037</v>
      </c>
      <c r="D5501" s="2" t="s">
        <v>1038</v>
      </c>
      <c r="E5501" t="s">
        <v>1039</v>
      </c>
      <c r="F5501" t="s">
        <v>377</v>
      </c>
      <c r="G5501" t="s">
        <v>21</v>
      </c>
      <c r="H5501" t="s">
        <v>378</v>
      </c>
      <c r="I5501" t="s">
        <v>23</v>
      </c>
      <c r="J5501" t="s">
        <v>379</v>
      </c>
      <c r="K5501" s="2" t="s">
        <v>422</v>
      </c>
      <c r="L5501" t="s">
        <v>26</v>
      </c>
      <c r="M5501">
        <v>307604</v>
      </c>
      <c r="N5501">
        <v>1</v>
      </c>
      <c r="O5501" s="3">
        <v>5950</v>
      </c>
      <c r="P5501" s="3">
        <v>3257</v>
      </c>
      <c r="Q5501" s="5">
        <f t="shared" si="255"/>
        <v>5000</v>
      </c>
      <c r="R5501" s="5">
        <f t="shared" si="256"/>
        <v>3257</v>
      </c>
      <c r="S5501" s="5">
        <f t="shared" si="257"/>
        <v>1743</v>
      </c>
    </row>
    <row r="5502" spans="1:19" x14ac:dyDescent="0.3">
      <c r="A5502">
        <v>195</v>
      </c>
      <c r="B5502" t="s">
        <v>6142</v>
      </c>
      <c r="C5502" t="s">
        <v>1469</v>
      </c>
      <c r="D5502" s="2" t="s">
        <v>1470</v>
      </c>
      <c r="E5502" t="s">
        <v>1471</v>
      </c>
      <c r="F5502" t="s">
        <v>20</v>
      </c>
      <c r="G5502" t="s">
        <v>21</v>
      </c>
      <c r="H5502" t="s">
        <v>180</v>
      </c>
      <c r="I5502" t="s">
        <v>23</v>
      </c>
      <c r="J5502" t="s">
        <v>49</v>
      </c>
      <c r="K5502" s="2" t="s">
        <v>422</v>
      </c>
      <c r="L5502" t="s">
        <v>26</v>
      </c>
      <c r="M5502">
        <v>307605</v>
      </c>
      <c r="N5502">
        <v>1</v>
      </c>
      <c r="O5502" s="3">
        <v>34990</v>
      </c>
      <c r="P5502" s="3">
        <v>23549</v>
      </c>
      <c r="Q5502" s="5">
        <f t="shared" si="255"/>
        <v>29403.361344537818</v>
      </c>
      <c r="R5502" s="5">
        <f t="shared" si="256"/>
        <v>23549</v>
      </c>
      <c r="S5502" s="5">
        <f t="shared" si="257"/>
        <v>5854.3613445378178</v>
      </c>
    </row>
    <row r="5503" spans="1:19" x14ac:dyDescent="0.3">
      <c r="A5503">
        <v>195</v>
      </c>
      <c r="B5503" t="s">
        <v>6142</v>
      </c>
      <c r="C5503" t="s">
        <v>2397</v>
      </c>
      <c r="D5503" s="2" t="s">
        <v>2398</v>
      </c>
      <c r="E5503" t="s">
        <v>2399</v>
      </c>
      <c r="F5503" t="s">
        <v>20</v>
      </c>
      <c r="G5503" t="s">
        <v>21</v>
      </c>
      <c r="H5503" t="s">
        <v>2400</v>
      </c>
      <c r="I5503" t="s">
        <v>23</v>
      </c>
      <c r="J5503" t="s">
        <v>40</v>
      </c>
      <c r="K5503" s="2" t="s">
        <v>422</v>
      </c>
      <c r="L5503" t="s">
        <v>26</v>
      </c>
      <c r="M5503">
        <v>307606</v>
      </c>
      <c r="N5503">
        <v>1</v>
      </c>
      <c r="O5503" s="3">
        <v>34990</v>
      </c>
      <c r="P5503" s="3">
        <v>14064</v>
      </c>
      <c r="Q5503" s="5">
        <f t="shared" si="255"/>
        <v>29403.361344537818</v>
      </c>
      <c r="R5503" s="5">
        <f t="shared" si="256"/>
        <v>14064</v>
      </c>
      <c r="S5503" s="5">
        <f t="shared" si="257"/>
        <v>15339.361344537818</v>
      </c>
    </row>
    <row r="5504" spans="1:19" x14ac:dyDescent="0.3">
      <c r="A5504">
        <v>195</v>
      </c>
      <c r="B5504" t="s">
        <v>6142</v>
      </c>
      <c r="C5504" t="s">
        <v>3503</v>
      </c>
      <c r="D5504" s="2" t="s">
        <v>3504</v>
      </c>
      <c r="E5504" t="s">
        <v>2265</v>
      </c>
      <c r="F5504" t="s">
        <v>20</v>
      </c>
      <c r="G5504" t="s">
        <v>21</v>
      </c>
      <c r="H5504" t="s">
        <v>2070</v>
      </c>
      <c r="I5504" t="s">
        <v>23</v>
      </c>
      <c r="J5504" t="s">
        <v>35</v>
      </c>
      <c r="K5504" s="2" t="s">
        <v>422</v>
      </c>
      <c r="L5504" t="s">
        <v>26</v>
      </c>
      <c r="M5504">
        <v>307607</v>
      </c>
      <c r="N5504">
        <v>1</v>
      </c>
      <c r="O5504" s="3">
        <v>89950</v>
      </c>
      <c r="P5504" s="3">
        <v>29635</v>
      </c>
      <c r="Q5504" s="5">
        <f t="shared" si="255"/>
        <v>75588.23529411765</v>
      </c>
      <c r="R5504" s="5">
        <f t="shared" si="256"/>
        <v>29635</v>
      </c>
      <c r="S5504" s="5">
        <f t="shared" si="257"/>
        <v>45953.23529411765</v>
      </c>
    </row>
    <row r="5505" spans="1:19" x14ac:dyDescent="0.3">
      <c r="A5505">
        <v>195</v>
      </c>
      <c r="B5505" t="s">
        <v>6142</v>
      </c>
      <c r="C5505" t="s">
        <v>6185</v>
      </c>
      <c r="D5505" s="2" t="s">
        <v>6186</v>
      </c>
      <c r="E5505" t="s">
        <v>3180</v>
      </c>
      <c r="F5505" t="s">
        <v>20</v>
      </c>
      <c r="G5505" t="s">
        <v>338</v>
      </c>
      <c r="H5505">
        <v>23313</v>
      </c>
      <c r="I5505" t="s">
        <v>23</v>
      </c>
      <c r="J5505" t="s">
        <v>40</v>
      </c>
      <c r="K5505" s="2" t="s">
        <v>422</v>
      </c>
      <c r="L5505" t="s">
        <v>26</v>
      </c>
      <c r="M5505">
        <v>307608</v>
      </c>
      <c r="N5505">
        <v>1</v>
      </c>
      <c r="O5505" s="3">
        <v>52460</v>
      </c>
      <c r="P5505" s="3">
        <v>23365</v>
      </c>
      <c r="Q5505" s="5">
        <f t="shared" si="255"/>
        <v>44084.033613445383</v>
      </c>
      <c r="R5505" s="5">
        <f t="shared" si="256"/>
        <v>23365</v>
      </c>
      <c r="S5505" s="5">
        <f t="shared" si="257"/>
        <v>20719.033613445383</v>
      </c>
    </row>
    <row r="5506" spans="1:19" x14ac:dyDescent="0.3">
      <c r="A5506">
        <v>195</v>
      </c>
      <c r="B5506" t="s">
        <v>6142</v>
      </c>
      <c r="C5506" t="s">
        <v>6187</v>
      </c>
      <c r="D5506" s="2" t="s">
        <v>6188</v>
      </c>
      <c r="E5506" t="s">
        <v>93</v>
      </c>
      <c r="F5506" t="s">
        <v>20</v>
      </c>
      <c r="G5506" t="s">
        <v>21</v>
      </c>
      <c r="H5506" t="s">
        <v>94</v>
      </c>
      <c r="I5506" t="s">
        <v>23</v>
      </c>
      <c r="J5506" t="s">
        <v>95</v>
      </c>
      <c r="K5506" s="2" t="s">
        <v>422</v>
      </c>
      <c r="L5506" t="s">
        <v>26</v>
      </c>
      <c r="M5506">
        <v>307609</v>
      </c>
      <c r="N5506">
        <v>1</v>
      </c>
      <c r="O5506" s="3">
        <v>49990</v>
      </c>
      <c r="P5506" s="3">
        <v>33414</v>
      </c>
      <c r="Q5506" s="5">
        <f t="shared" si="255"/>
        <v>42008.403361344543</v>
      </c>
      <c r="R5506" s="5">
        <f t="shared" si="256"/>
        <v>33414</v>
      </c>
      <c r="S5506" s="5">
        <f t="shared" si="257"/>
        <v>8594.4033613445426</v>
      </c>
    </row>
    <row r="5507" spans="1:19" x14ac:dyDescent="0.3">
      <c r="A5507">
        <v>195</v>
      </c>
      <c r="B5507" t="s">
        <v>6142</v>
      </c>
      <c r="C5507" t="s">
        <v>3273</v>
      </c>
      <c r="D5507" s="2" t="s">
        <v>3274</v>
      </c>
      <c r="E5507" t="s">
        <v>499</v>
      </c>
      <c r="F5507" t="s">
        <v>20</v>
      </c>
      <c r="G5507" t="s">
        <v>21</v>
      </c>
      <c r="H5507" t="s">
        <v>500</v>
      </c>
      <c r="I5507" t="s">
        <v>23</v>
      </c>
      <c r="J5507" t="s">
        <v>40</v>
      </c>
      <c r="K5507" s="2" t="s">
        <v>422</v>
      </c>
      <c r="L5507" t="s">
        <v>26</v>
      </c>
      <c r="M5507">
        <v>307610</v>
      </c>
      <c r="N5507">
        <v>1</v>
      </c>
      <c r="O5507" s="3">
        <v>59950</v>
      </c>
      <c r="P5507" s="3">
        <v>17416</v>
      </c>
      <c r="Q5507" s="5">
        <f t="shared" si="255"/>
        <v>50378.151260504201</v>
      </c>
      <c r="R5507" s="5">
        <f t="shared" si="256"/>
        <v>17416</v>
      </c>
      <c r="S5507" s="5">
        <f t="shared" si="257"/>
        <v>32962.151260504201</v>
      </c>
    </row>
    <row r="5508" spans="1:19" x14ac:dyDescent="0.3">
      <c r="A5508">
        <v>195</v>
      </c>
      <c r="B5508" t="s">
        <v>6142</v>
      </c>
      <c r="C5508" t="s">
        <v>426</v>
      </c>
      <c r="D5508" s="2" t="s">
        <v>427</v>
      </c>
      <c r="E5508" t="s">
        <v>428</v>
      </c>
      <c r="F5508" t="s">
        <v>20</v>
      </c>
      <c r="G5508" t="s">
        <v>21</v>
      </c>
      <c r="H5508" t="s">
        <v>429</v>
      </c>
      <c r="I5508" t="s">
        <v>23</v>
      </c>
      <c r="J5508" t="s">
        <v>49</v>
      </c>
      <c r="K5508" s="2" t="s">
        <v>422</v>
      </c>
      <c r="L5508" t="s">
        <v>26</v>
      </c>
      <c r="M5508">
        <v>307611</v>
      </c>
      <c r="N5508">
        <v>1</v>
      </c>
      <c r="O5508" s="3">
        <v>59990</v>
      </c>
      <c r="P5508" s="3">
        <v>28897</v>
      </c>
      <c r="Q5508" s="5">
        <f t="shared" si="255"/>
        <v>50411.764705882357</v>
      </c>
      <c r="R5508" s="5">
        <f t="shared" si="256"/>
        <v>28897</v>
      </c>
      <c r="S5508" s="5">
        <f t="shared" si="257"/>
        <v>21514.764705882357</v>
      </c>
    </row>
    <row r="5509" spans="1:19" x14ac:dyDescent="0.3">
      <c r="A5509">
        <v>195</v>
      </c>
      <c r="B5509" t="s">
        <v>6142</v>
      </c>
      <c r="C5509" t="s">
        <v>6187</v>
      </c>
      <c r="D5509" s="2" t="s">
        <v>6188</v>
      </c>
      <c r="E5509" t="s">
        <v>93</v>
      </c>
      <c r="F5509" t="s">
        <v>20</v>
      </c>
      <c r="G5509" t="s">
        <v>21</v>
      </c>
      <c r="H5509" t="s">
        <v>94</v>
      </c>
      <c r="I5509" t="s">
        <v>23</v>
      </c>
      <c r="J5509" t="s">
        <v>95</v>
      </c>
      <c r="K5509" s="2" t="s">
        <v>422</v>
      </c>
      <c r="L5509" t="s">
        <v>26</v>
      </c>
      <c r="M5509">
        <v>307611</v>
      </c>
      <c r="N5509">
        <v>-1</v>
      </c>
      <c r="O5509" s="3">
        <v>-49990</v>
      </c>
      <c r="P5509" s="3">
        <v>33414</v>
      </c>
      <c r="Q5509" s="5">
        <f t="shared" si="255"/>
        <v>-42008.403361344543</v>
      </c>
      <c r="R5509" s="5">
        <f t="shared" si="256"/>
        <v>-33414</v>
      </c>
      <c r="S5509" s="5">
        <f t="shared" si="257"/>
        <v>-8594.4033613445426</v>
      </c>
    </row>
    <row r="5510" spans="1:19" x14ac:dyDescent="0.3">
      <c r="A5510">
        <v>195</v>
      </c>
      <c r="B5510" t="s">
        <v>6142</v>
      </c>
      <c r="C5510" t="s">
        <v>3631</v>
      </c>
      <c r="D5510" s="2" t="s">
        <v>3632</v>
      </c>
      <c r="E5510" t="s">
        <v>3633</v>
      </c>
      <c r="F5510" t="s">
        <v>20</v>
      </c>
      <c r="G5510" t="s">
        <v>21</v>
      </c>
      <c r="H5510" t="s">
        <v>1689</v>
      </c>
      <c r="I5510" t="s">
        <v>23</v>
      </c>
      <c r="J5510" t="s">
        <v>49</v>
      </c>
      <c r="K5510" s="2" t="s">
        <v>814</v>
      </c>
      <c r="L5510" t="s">
        <v>2249</v>
      </c>
      <c r="M5510">
        <v>25380</v>
      </c>
      <c r="N5510">
        <v>-1</v>
      </c>
      <c r="O5510" s="3">
        <v>-84950</v>
      </c>
      <c r="P5510" s="3">
        <v>39837</v>
      </c>
      <c r="Q5510" s="5">
        <f t="shared" ref="Q5510:Q5573" si="258">O5510/1.19</f>
        <v>-71386.554621848743</v>
      </c>
      <c r="R5510" s="5">
        <f t="shared" ref="R5510:R5573" si="259">N5510*P5510</f>
        <v>-39837</v>
      </c>
      <c r="S5510" s="5">
        <f t="shared" ref="S5510:S5573" si="260">Q5510-R5510</f>
        <v>-31549.554621848743</v>
      </c>
    </row>
    <row r="5511" spans="1:19" x14ac:dyDescent="0.3">
      <c r="A5511">
        <v>195</v>
      </c>
      <c r="B5511" t="s">
        <v>6142</v>
      </c>
      <c r="C5511" t="s">
        <v>6189</v>
      </c>
      <c r="D5511" s="2" t="s">
        <v>6190</v>
      </c>
      <c r="E5511" t="s">
        <v>2231</v>
      </c>
      <c r="F5511" t="s">
        <v>20</v>
      </c>
      <c r="G5511" t="s">
        <v>21</v>
      </c>
      <c r="H5511" t="s">
        <v>614</v>
      </c>
      <c r="I5511" t="s">
        <v>23</v>
      </c>
      <c r="J5511" t="s">
        <v>40</v>
      </c>
      <c r="K5511" s="2" t="s">
        <v>814</v>
      </c>
      <c r="L5511" t="s">
        <v>26</v>
      </c>
      <c r="M5511">
        <v>307612</v>
      </c>
      <c r="N5511">
        <v>1</v>
      </c>
      <c r="O5511" s="3">
        <v>29990</v>
      </c>
      <c r="P5511" s="3">
        <v>17194</v>
      </c>
      <c r="Q5511" s="5">
        <f t="shared" si="258"/>
        <v>25201.680672268907</v>
      </c>
      <c r="R5511" s="5">
        <f t="shared" si="259"/>
        <v>17194</v>
      </c>
      <c r="S5511" s="5">
        <f t="shared" si="260"/>
        <v>8007.6806722689071</v>
      </c>
    </row>
    <row r="5512" spans="1:19" x14ac:dyDescent="0.3">
      <c r="A5512">
        <v>195</v>
      </c>
      <c r="B5512" t="s">
        <v>6142</v>
      </c>
      <c r="C5512">
        <v>1687976791</v>
      </c>
      <c r="D5512" s="2" t="s">
        <v>200</v>
      </c>
      <c r="E5512" t="s">
        <v>201</v>
      </c>
      <c r="F5512" t="s">
        <v>201</v>
      </c>
      <c r="G5512" t="s">
        <v>202</v>
      </c>
      <c r="H5512" t="s">
        <v>202</v>
      </c>
      <c r="I5512" t="s">
        <v>23</v>
      </c>
      <c r="J5512" t="s">
        <v>202</v>
      </c>
      <c r="K5512" s="2" t="s">
        <v>814</v>
      </c>
      <c r="L5512" t="s">
        <v>26</v>
      </c>
      <c r="M5512">
        <v>307612</v>
      </c>
      <c r="N5512">
        <v>1</v>
      </c>
      <c r="O5512" s="3">
        <v>5436</v>
      </c>
      <c r="P5512">
        <v>1</v>
      </c>
      <c r="Q5512" s="5">
        <f t="shared" si="258"/>
        <v>4568.0672268907565</v>
      </c>
      <c r="R5512" s="5">
        <f t="shared" si="259"/>
        <v>1</v>
      </c>
      <c r="S5512" s="5">
        <f t="shared" si="260"/>
        <v>4567.0672268907565</v>
      </c>
    </row>
    <row r="5513" spans="1:19" x14ac:dyDescent="0.3">
      <c r="A5513">
        <v>195</v>
      </c>
      <c r="B5513" t="s">
        <v>6142</v>
      </c>
      <c r="C5513" t="s">
        <v>6191</v>
      </c>
      <c r="D5513" s="2" t="s">
        <v>6192</v>
      </c>
      <c r="E5513" t="s">
        <v>3433</v>
      </c>
      <c r="F5513" t="s">
        <v>20</v>
      </c>
      <c r="G5513" t="s">
        <v>338</v>
      </c>
      <c r="H5513">
        <v>23732</v>
      </c>
      <c r="I5513" t="s">
        <v>23</v>
      </c>
      <c r="J5513" t="s">
        <v>40</v>
      </c>
      <c r="K5513" s="2" t="s">
        <v>814</v>
      </c>
      <c r="L5513" t="s">
        <v>26</v>
      </c>
      <c r="M5513">
        <v>307613</v>
      </c>
      <c r="N5513">
        <v>1</v>
      </c>
      <c r="O5513" s="3">
        <v>59990</v>
      </c>
      <c r="P5513" s="3">
        <v>26539</v>
      </c>
      <c r="Q5513" s="5">
        <f t="shared" si="258"/>
        <v>50411.764705882357</v>
      </c>
      <c r="R5513" s="5">
        <f t="shared" si="259"/>
        <v>26539</v>
      </c>
      <c r="S5513" s="5">
        <f t="shared" si="260"/>
        <v>23872.764705882357</v>
      </c>
    </row>
    <row r="5514" spans="1:19" x14ac:dyDescent="0.3">
      <c r="A5514">
        <v>195</v>
      </c>
      <c r="B5514" t="s">
        <v>6142</v>
      </c>
      <c r="C5514" t="s">
        <v>2525</v>
      </c>
      <c r="D5514" s="2" t="s">
        <v>2526</v>
      </c>
      <c r="E5514" t="s">
        <v>2527</v>
      </c>
      <c r="F5514" t="s">
        <v>377</v>
      </c>
      <c r="G5514" t="s">
        <v>21</v>
      </c>
      <c r="H5514" t="s">
        <v>378</v>
      </c>
      <c r="I5514" t="s">
        <v>23</v>
      </c>
      <c r="J5514" t="s">
        <v>2459</v>
      </c>
      <c r="K5514" s="2" t="s">
        <v>814</v>
      </c>
      <c r="L5514" t="s">
        <v>26</v>
      </c>
      <c r="M5514">
        <v>307614</v>
      </c>
      <c r="N5514">
        <v>1</v>
      </c>
      <c r="O5514" s="3">
        <v>6950</v>
      </c>
      <c r="P5514" s="3">
        <v>2964</v>
      </c>
      <c r="Q5514" s="5">
        <f t="shared" si="258"/>
        <v>5840.3361344537816</v>
      </c>
      <c r="R5514" s="5">
        <f t="shared" si="259"/>
        <v>2964</v>
      </c>
      <c r="S5514" s="5">
        <f t="shared" si="260"/>
        <v>2876.3361344537816</v>
      </c>
    </row>
    <row r="5515" spans="1:19" x14ac:dyDescent="0.3">
      <c r="A5515">
        <v>195</v>
      </c>
      <c r="B5515" t="s">
        <v>6142</v>
      </c>
      <c r="C5515" t="s">
        <v>3951</v>
      </c>
      <c r="D5515" s="2" t="s">
        <v>3952</v>
      </c>
      <c r="E5515" t="s">
        <v>2741</v>
      </c>
      <c r="F5515" t="s">
        <v>20</v>
      </c>
      <c r="G5515" t="s">
        <v>21</v>
      </c>
      <c r="H5515" t="s">
        <v>2494</v>
      </c>
      <c r="I5515" t="s">
        <v>23</v>
      </c>
      <c r="J5515" t="s">
        <v>40</v>
      </c>
      <c r="K5515" s="2" t="s">
        <v>814</v>
      </c>
      <c r="L5515" t="s">
        <v>26</v>
      </c>
      <c r="M5515">
        <v>307615</v>
      </c>
      <c r="N5515">
        <v>1</v>
      </c>
      <c r="O5515" s="3">
        <v>69950</v>
      </c>
      <c r="P5515" s="3">
        <v>23470</v>
      </c>
      <c r="Q5515" s="5">
        <f t="shared" si="258"/>
        <v>58781.512605042022</v>
      </c>
      <c r="R5515" s="5">
        <f t="shared" si="259"/>
        <v>23470</v>
      </c>
      <c r="S5515" s="5">
        <f t="shared" si="260"/>
        <v>35311.512605042022</v>
      </c>
    </row>
    <row r="5516" spans="1:19" x14ac:dyDescent="0.3">
      <c r="A5516">
        <v>195</v>
      </c>
      <c r="B5516" t="s">
        <v>6142</v>
      </c>
      <c r="C5516" t="s">
        <v>3046</v>
      </c>
      <c r="D5516" s="2" t="s">
        <v>3047</v>
      </c>
      <c r="E5516" t="s">
        <v>3048</v>
      </c>
      <c r="F5516" t="s">
        <v>20</v>
      </c>
      <c r="G5516" t="s">
        <v>21</v>
      </c>
      <c r="H5516" t="s">
        <v>2484</v>
      </c>
      <c r="I5516" t="s">
        <v>23</v>
      </c>
      <c r="J5516" t="s">
        <v>40</v>
      </c>
      <c r="K5516" s="2" t="s">
        <v>814</v>
      </c>
      <c r="L5516" t="s">
        <v>26</v>
      </c>
      <c r="M5516">
        <v>307616</v>
      </c>
      <c r="N5516">
        <v>1</v>
      </c>
      <c r="O5516" s="3">
        <v>59950</v>
      </c>
      <c r="P5516" s="3">
        <v>17503</v>
      </c>
      <c r="Q5516" s="5">
        <f t="shared" si="258"/>
        <v>50378.151260504201</v>
      </c>
      <c r="R5516" s="5">
        <f t="shared" si="259"/>
        <v>17503</v>
      </c>
      <c r="S5516" s="5">
        <f t="shared" si="260"/>
        <v>32875.151260504201</v>
      </c>
    </row>
    <row r="5517" spans="1:19" x14ac:dyDescent="0.3">
      <c r="A5517">
        <v>195</v>
      </c>
      <c r="B5517" t="s">
        <v>6142</v>
      </c>
      <c r="C5517" t="s">
        <v>2906</v>
      </c>
      <c r="D5517" s="2" t="s">
        <v>2907</v>
      </c>
      <c r="E5517" t="s">
        <v>2311</v>
      </c>
      <c r="F5517" t="s">
        <v>20</v>
      </c>
      <c r="G5517" t="s">
        <v>338</v>
      </c>
      <c r="H5517">
        <v>83716</v>
      </c>
      <c r="I5517" t="s">
        <v>23</v>
      </c>
      <c r="J5517" t="s">
        <v>40</v>
      </c>
      <c r="K5517" s="2" t="s">
        <v>814</v>
      </c>
      <c r="L5517" t="s">
        <v>26</v>
      </c>
      <c r="M5517">
        <v>307616</v>
      </c>
      <c r="N5517">
        <v>1</v>
      </c>
      <c r="O5517" s="3">
        <v>76450</v>
      </c>
      <c r="P5517" s="3">
        <v>30263</v>
      </c>
      <c r="Q5517" s="5">
        <f t="shared" si="258"/>
        <v>64243.697478991598</v>
      </c>
      <c r="R5517" s="5">
        <f t="shared" si="259"/>
        <v>30263</v>
      </c>
      <c r="S5517" s="5">
        <f t="shared" si="260"/>
        <v>33980.697478991598</v>
      </c>
    </row>
    <row r="5518" spans="1:19" x14ac:dyDescent="0.3">
      <c r="A5518">
        <v>195</v>
      </c>
      <c r="B5518" t="s">
        <v>6142</v>
      </c>
      <c r="C5518" t="s">
        <v>4425</v>
      </c>
      <c r="D5518" s="2" t="s">
        <v>4426</v>
      </c>
      <c r="E5518" t="s">
        <v>2262</v>
      </c>
      <c r="F5518" t="s">
        <v>20</v>
      </c>
      <c r="G5518" t="s">
        <v>21</v>
      </c>
      <c r="H5518" t="s">
        <v>565</v>
      </c>
      <c r="I5518" t="s">
        <v>23</v>
      </c>
      <c r="J5518" t="s">
        <v>49</v>
      </c>
      <c r="K5518" s="2" t="s">
        <v>814</v>
      </c>
      <c r="L5518" t="s">
        <v>26</v>
      </c>
      <c r="M5518">
        <v>307617</v>
      </c>
      <c r="N5518">
        <v>1</v>
      </c>
      <c r="O5518" s="3">
        <v>69950</v>
      </c>
      <c r="P5518" s="3">
        <v>24012</v>
      </c>
      <c r="Q5518" s="5">
        <f t="shared" si="258"/>
        <v>58781.512605042022</v>
      </c>
      <c r="R5518" s="5">
        <f t="shared" si="259"/>
        <v>24012</v>
      </c>
      <c r="S5518" s="5">
        <f t="shared" si="260"/>
        <v>34769.512605042022</v>
      </c>
    </row>
    <row r="5519" spans="1:19" x14ac:dyDescent="0.3">
      <c r="A5519">
        <v>195</v>
      </c>
      <c r="B5519" t="s">
        <v>6142</v>
      </c>
      <c r="C5519" t="s">
        <v>3431</v>
      </c>
      <c r="D5519" s="2" t="s">
        <v>3432</v>
      </c>
      <c r="E5519" t="s">
        <v>3433</v>
      </c>
      <c r="F5519" t="s">
        <v>20</v>
      </c>
      <c r="G5519" t="s">
        <v>338</v>
      </c>
      <c r="H5519">
        <v>23732</v>
      </c>
      <c r="I5519" t="s">
        <v>23</v>
      </c>
      <c r="J5519" t="s">
        <v>40</v>
      </c>
      <c r="K5519" s="2" t="s">
        <v>814</v>
      </c>
      <c r="L5519" t="s">
        <v>26</v>
      </c>
      <c r="M5519">
        <v>307618</v>
      </c>
      <c r="N5519">
        <v>1</v>
      </c>
      <c r="O5519" s="3">
        <v>59990</v>
      </c>
      <c r="P5519" s="3">
        <v>26539</v>
      </c>
      <c r="Q5519" s="5">
        <f t="shared" si="258"/>
        <v>50411.764705882357</v>
      </c>
      <c r="R5519" s="5">
        <f t="shared" si="259"/>
        <v>26539</v>
      </c>
      <c r="S5519" s="5">
        <f t="shared" si="260"/>
        <v>23872.764705882357</v>
      </c>
    </row>
    <row r="5520" spans="1:19" x14ac:dyDescent="0.3">
      <c r="A5520">
        <v>195</v>
      </c>
      <c r="B5520" t="s">
        <v>6142</v>
      </c>
      <c r="C5520" t="s">
        <v>3401</v>
      </c>
      <c r="D5520" s="2" t="s">
        <v>3402</v>
      </c>
      <c r="E5520" t="s">
        <v>3403</v>
      </c>
      <c r="F5520" t="s">
        <v>377</v>
      </c>
      <c r="G5520" t="s">
        <v>21</v>
      </c>
      <c r="H5520" t="s">
        <v>378</v>
      </c>
      <c r="I5520" t="s">
        <v>23</v>
      </c>
      <c r="J5520" t="s">
        <v>3297</v>
      </c>
      <c r="K5520" s="2" t="s">
        <v>814</v>
      </c>
      <c r="L5520" t="s">
        <v>26</v>
      </c>
      <c r="M5520">
        <v>307619</v>
      </c>
      <c r="N5520">
        <v>1</v>
      </c>
      <c r="O5520">
        <v>500</v>
      </c>
      <c r="P5520">
        <v>418</v>
      </c>
      <c r="Q5520" s="5">
        <f t="shared" si="258"/>
        <v>420.1680672268908</v>
      </c>
      <c r="R5520" s="5">
        <f t="shared" si="259"/>
        <v>418</v>
      </c>
      <c r="S5520" s="5">
        <f t="shared" si="260"/>
        <v>2.1680672268907983</v>
      </c>
    </row>
    <row r="5521" spans="1:19" x14ac:dyDescent="0.3">
      <c r="A5521">
        <v>195</v>
      </c>
      <c r="B5521" t="s">
        <v>6142</v>
      </c>
      <c r="C5521" t="s">
        <v>6193</v>
      </c>
      <c r="D5521" s="2" t="s">
        <v>6194</v>
      </c>
      <c r="E5521" t="s">
        <v>5633</v>
      </c>
      <c r="F5521" t="s">
        <v>20</v>
      </c>
      <c r="G5521" t="s">
        <v>21</v>
      </c>
      <c r="H5521" t="s">
        <v>1755</v>
      </c>
      <c r="I5521" t="s">
        <v>23</v>
      </c>
      <c r="J5521" t="s">
        <v>40</v>
      </c>
      <c r="K5521" s="2" t="s">
        <v>814</v>
      </c>
      <c r="L5521" t="s">
        <v>26</v>
      </c>
      <c r="M5521">
        <v>307620</v>
      </c>
      <c r="N5521">
        <v>1</v>
      </c>
      <c r="O5521" s="3">
        <v>49990</v>
      </c>
      <c r="P5521" s="3">
        <v>28528</v>
      </c>
      <c r="Q5521" s="5">
        <f t="shared" si="258"/>
        <v>42008.403361344543</v>
      </c>
      <c r="R5521" s="5">
        <f t="shared" si="259"/>
        <v>28528</v>
      </c>
      <c r="S5521" s="5">
        <f t="shared" si="260"/>
        <v>13480.403361344543</v>
      </c>
    </row>
    <row r="5522" spans="1:19" x14ac:dyDescent="0.3">
      <c r="A5522">
        <v>195</v>
      </c>
      <c r="B5522" t="s">
        <v>6142</v>
      </c>
      <c r="C5522" t="s">
        <v>3401</v>
      </c>
      <c r="D5522" s="2" t="s">
        <v>3402</v>
      </c>
      <c r="E5522" t="s">
        <v>3403</v>
      </c>
      <c r="F5522" t="s">
        <v>377</v>
      </c>
      <c r="G5522" t="s">
        <v>21</v>
      </c>
      <c r="H5522" t="s">
        <v>378</v>
      </c>
      <c r="I5522" t="s">
        <v>23</v>
      </c>
      <c r="J5522" t="s">
        <v>3297</v>
      </c>
      <c r="K5522" s="2" t="s">
        <v>814</v>
      </c>
      <c r="L5522" t="s">
        <v>26</v>
      </c>
      <c r="M5522">
        <v>307621</v>
      </c>
      <c r="N5522">
        <v>1</v>
      </c>
      <c r="O5522">
        <v>500</v>
      </c>
      <c r="P5522">
        <v>418</v>
      </c>
      <c r="Q5522" s="5">
        <f t="shared" si="258"/>
        <v>420.1680672268908</v>
      </c>
      <c r="R5522" s="5">
        <f t="shared" si="259"/>
        <v>418</v>
      </c>
      <c r="S5522" s="5">
        <f t="shared" si="260"/>
        <v>2.1680672268907983</v>
      </c>
    </row>
    <row r="5523" spans="1:19" x14ac:dyDescent="0.3">
      <c r="A5523">
        <v>195</v>
      </c>
      <c r="B5523" t="s">
        <v>6142</v>
      </c>
      <c r="C5523">
        <v>1687976791</v>
      </c>
      <c r="D5523" s="2" t="s">
        <v>200</v>
      </c>
      <c r="E5523" t="s">
        <v>201</v>
      </c>
      <c r="F5523" t="s">
        <v>201</v>
      </c>
      <c r="G5523" t="s">
        <v>202</v>
      </c>
      <c r="H5523" t="s">
        <v>202</v>
      </c>
      <c r="I5523" t="s">
        <v>23</v>
      </c>
      <c r="J5523" t="s">
        <v>202</v>
      </c>
      <c r="K5523" s="2" t="s">
        <v>902</v>
      </c>
      <c r="L5523" t="s">
        <v>26</v>
      </c>
      <c r="M5523">
        <v>307622</v>
      </c>
      <c r="N5523">
        <v>1</v>
      </c>
      <c r="O5523" s="3">
        <v>4413</v>
      </c>
      <c r="P5523">
        <v>1</v>
      </c>
      <c r="Q5523" s="5">
        <f t="shared" si="258"/>
        <v>3708.4033613445381</v>
      </c>
      <c r="R5523" s="5">
        <f t="shared" si="259"/>
        <v>1</v>
      </c>
      <c r="S5523" s="5">
        <f t="shared" si="260"/>
        <v>3707.4033613445381</v>
      </c>
    </row>
    <row r="5524" spans="1:19" x14ac:dyDescent="0.3">
      <c r="A5524">
        <v>195</v>
      </c>
      <c r="B5524" t="s">
        <v>6142</v>
      </c>
      <c r="C5524" t="s">
        <v>6195</v>
      </c>
      <c r="D5524" s="2" t="s">
        <v>6196</v>
      </c>
      <c r="E5524" t="s">
        <v>6197</v>
      </c>
      <c r="F5524" t="s">
        <v>377</v>
      </c>
      <c r="G5524" t="s">
        <v>21</v>
      </c>
      <c r="H5524" t="s">
        <v>378</v>
      </c>
      <c r="I5524" t="s">
        <v>23</v>
      </c>
      <c r="J5524" t="s">
        <v>2459</v>
      </c>
      <c r="K5524" s="2" t="s">
        <v>902</v>
      </c>
      <c r="L5524" t="s">
        <v>26</v>
      </c>
      <c r="M5524">
        <v>307622</v>
      </c>
      <c r="N5524">
        <v>2</v>
      </c>
      <c r="O5524" s="3">
        <v>13900</v>
      </c>
      <c r="P5524" s="3">
        <v>4670</v>
      </c>
      <c r="Q5524" s="5">
        <f t="shared" si="258"/>
        <v>11680.672268907563</v>
      </c>
      <c r="R5524" s="5">
        <f t="shared" si="259"/>
        <v>9340</v>
      </c>
      <c r="S5524" s="5">
        <f t="shared" si="260"/>
        <v>2340.6722689075632</v>
      </c>
    </row>
    <row r="5525" spans="1:19" x14ac:dyDescent="0.3">
      <c r="A5525">
        <v>195</v>
      </c>
      <c r="B5525" t="s">
        <v>6142</v>
      </c>
      <c r="C5525" t="s">
        <v>6198</v>
      </c>
      <c r="D5525" s="2" t="s">
        <v>6199</v>
      </c>
      <c r="E5525" t="s">
        <v>3633</v>
      </c>
      <c r="F5525" t="s">
        <v>20</v>
      </c>
      <c r="G5525" t="s">
        <v>21</v>
      </c>
      <c r="H5525" t="s">
        <v>1689</v>
      </c>
      <c r="I5525" t="s">
        <v>23</v>
      </c>
      <c r="J5525" t="s">
        <v>49</v>
      </c>
      <c r="K5525" s="2" t="s">
        <v>902</v>
      </c>
      <c r="L5525" t="s">
        <v>26</v>
      </c>
      <c r="M5525">
        <v>307623</v>
      </c>
      <c r="N5525">
        <v>-1</v>
      </c>
      <c r="O5525" s="3">
        <v>-89950</v>
      </c>
      <c r="P5525" s="3">
        <v>39837</v>
      </c>
      <c r="Q5525" s="5">
        <f t="shared" si="258"/>
        <v>-75588.23529411765</v>
      </c>
      <c r="R5525" s="5">
        <f t="shared" si="259"/>
        <v>-39837</v>
      </c>
      <c r="S5525" s="5">
        <f t="shared" si="260"/>
        <v>-35751.23529411765</v>
      </c>
    </row>
    <row r="5526" spans="1:19" x14ac:dyDescent="0.3">
      <c r="A5526">
        <v>195</v>
      </c>
      <c r="B5526" t="s">
        <v>6142</v>
      </c>
      <c r="C5526" t="s">
        <v>6200</v>
      </c>
      <c r="D5526" s="2" t="s">
        <v>6201</v>
      </c>
      <c r="E5526" t="s">
        <v>3633</v>
      </c>
      <c r="F5526" t="s">
        <v>20</v>
      </c>
      <c r="G5526" t="s">
        <v>21</v>
      </c>
      <c r="H5526" t="s">
        <v>1689</v>
      </c>
      <c r="I5526" t="s">
        <v>23</v>
      </c>
      <c r="J5526" t="s">
        <v>49</v>
      </c>
      <c r="K5526" s="2" t="s">
        <v>902</v>
      </c>
      <c r="L5526" t="s">
        <v>26</v>
      </c>
      <c r="M5526">
        <v>307623</v>
      </c>
      <c r="N5526">
        <v>1</v>
      </c>
      <c r="O5526" s="3">
        <v>89951</v>
      </c>
      <c r="P5526" s="3">
        <v>39837</v>
      </c>
      <c r="Q5526" s="5">
        <f t="shared" si="258"/>
        <v>75589.075630252104</v>
      </c>
      <c r="R5526" s="5">
        <f t="shared" si="259"/>
        <v>39837</v>
      </c>
      <c r="S5526" s="5">
        <f t="shared" si="260"/>
        <v>35752.075630252104</v>
      </c>
    </row>
    <row r="5527" spans="1:19" x14ac:dyDescent="0.3">
      <c r="A5527">
        <v>195</v>
      </c>
      <c r="B5527" t="s">
        <v>6142</v>
      </c>
      <c r="C5527" t="s">
        <v>6003</v>
      </c>
      <c r="D5527" s="2" t="s">
        <v>6004</v>
      </c>
      <c r="E5527" t="s">
        <v>4038</v>
      </c>
      <c r="F5527" t="s">
        <v>20</v>
      </c>
      <c r="G5527" t="s">
        <v>21</v>
      </c>
      <c r="H5527" t="s">
        <v>2469</v>
      </c>
      <c r="I5527" t="s">
        <v>23</v>
      </c>
      <c r="J5527" t="s">
        <v>35</v>
      </c>
      <c r="K5527" s="2" t="s">
        <v>902</v>
      </c>
      <c r="L5527" t="s">
        <v>26</v>
      </c>
      <c r="M5527">
        <v>307624</v>
      </c>
      <c r="N5527">
        <v>1</v>
      </c>
      <c r="O5527" s="3">
        <v>84950</v>
      </c>
      <c r="P5527" s="3">
        <v>29635</v>
      </c>
      <c r="Q5527" s="5">
        <f t="shared" si="258"/>
        <v>71386.554621848743</v>
      </c>
      <c r="R5527" s="5">
        <f t="shared" si="259"/>
        <v>29635</v>
      </c>
      <c r="S5527" s="5">
        <f t="shared" si="260"/>
        <v>41751.554621848743</v>
      </c>
    </row>
    <row r="5528" spans="1:19" x14ac:dyDescent="0.3">
      <c r="A5528">
        <v>195</v>
      </c>
      <c r="B5528" t="s">
        <v>6142</v>
      </c>
      <c r="C5528" t="s">
        <v>6202</v>
      </c>
      <c r="D5528" s="2" t="s">
        <v>6203</v>
      </c>
      <c r="E5528" t="s">
        <v>6204</v>
      </c>
      <c r="F5528" t="s">
        <v>377</v>
      </c>
      <c r="G5528" t="s">
        <v>21</v>
      </c>
      <c r="H5528" t="s">
        <v>378</v>
      </c>
      <c r="I5528" t="s">
        <v>23</v>
      </c>
      <c r="J5528" t="s">
        <v>2459</v>
      </c>
      <c r="K5528" s="2" t="s">
        <v>902</v>
      </c>
      <c r="L5528" t="s">
        <v>26</v>
      </c>
      <c r="M5528">
        <v>307625</v>
      </c>
      <c r="N5528">
        <v>1</v>
      </c>
      <c r="O5528" s="3">
        <v>5450</v>
      </c>
      <c r="P5528" s="3">
        <v>2249</v>
      </c>
      <c r="Q5528" s="5">
        <f t="shared" si="258"/>
        <v>4579.8319327731097</v>
      </c>
      <c r="R5528" s="5">
        <f t="shared" si="259"/>
        <v>2249</v>
      </c>
      <c r="S5528" s="5">
        <f t="shared" si="260"/>
        <v>2330.8319327731097</v>
      </c>
    </row>
    <row r="5529" spans="1:19" x14ac:dyDescent="0.3">
      <c r="A5529">
        <v>195</v>
      </c>
      <c r="B5529" t="s">
        <v>6142</v>
      </c>
      <c r="C5529" t="s">
        <v>2785</v>
      </c>
      <c r="D5529" s="2" t="s">
        <v>2786</v>
      </c>
      <c r="E5529" t="s">
        <v>2787</v>
      </c>
      <c r="F5529" t="s">
        <v>20</v>
      </c>
      <c r="G5529" t="s">
        <v>21</v>
      </c>
      <c r="H5529" t="s">
        <v>1286</v>
      </c>
      <c r="I5529" t="s">
        <v>23</v>
      </c>
      <c r="J5529" t="s">
        <v>40</v>
      </c>
      <c r="K5529" s="2" t="s">
        <v>902</v>
      </c>
      <c r="L5529" t="s">
        <v>26</v>
      </c>
      <c r="M5529">
        <v>307626</v>
      </c>
      <c r="N5529">
        <v>1</v>
      </c>
      <c r="O5529" s="3">
        <v>49991</v>
      </c>
      <c r="P5529" s="3">
        <v>24783</v>
      </c>
      <c r="Q5529" s="5">
        <f t="shared" si="258"/>
        <v>42009.243697478996</v>
      </c>
      <c r="R5529" s="5">
        <f t="shared" si="259"/>
        <v>24783</v>
      </c>
      <c r="S5529" s="5">
        <f t="shared" si="260"/>
        <v>17226.243697478996</v>
      </c>
    </row>
    <row r="5530" spans="1:19" x14ac:dyDescent="0.3">
      <c r="A5530">
        <v>195</v>
      </c>
      <c r="B5530" t="s">
        <v>6142</v>
      </c>
      <c r="C5530" t="s">
        <v>3704</v>
      </c>
      <c r="D5530" s="2" t="s">
        <v>3705</v>
      </c>
      <c r="E5530" t="s">
        <v>2360</v>
      </c>
      <c r="F5530" t="s">
        <v>20</v>
      </c>
      <c r="G5530" t="s">
        <v>21</v>
      </c>
      <c r="H5530" t="s">
        <v>1286</v>
      </c>
      <c r="I5530" t="s">
        <v>23</v>
      </c>
      <c r="J5530" t="s">
        <v>40</v>
      </c>
      <c r="K5530" s="2" t="s">
        <v>902</v>
      </c>
      <c r="L5530" t="s">
        <v>26</v>
      </c>
      <c r="M5530">
        <v>307626</v>
      </c>
      <c r="N5530">
        <v>-1</v>
      </c>
      <c r="O5530" s="3">
        <v>-49990</v>
      </c>
      <c r="P5530" s="3">
        <v>24783</v>
      </c>
      <c r="Q5530" s="5">
        <f t="shared" si="258"/>
        <v>-42008.403361344543</v>
      </c>
      <c r="R5530" s="5">
        <f t="shared" si="259"/>
        <v>-24783</v>
      </c>
      <c r="S5530" s="5">
        <f t="shared" si="260"/>
        <v>-17225.403361344543</v>
      </c>
    </row>
    <row r="5531" spans="1:19" x14ac:dyDescent="0.3">
      <c r="A5531">
        <v>195</v>
      </c>
      <c r="B5531" t="s">
        <v>6142</v>
      </c>
      <c r="C5531" t="s">
        <v>2395</v>
      </c>
      <c r="D5531" s="2" t="s">
        <v>2396</v>
      </c>
      <c r="E5531" t="s">
        <v>425</v>
      </c>
      <c r="F5531" t="s">
        <v>20</v>
      </c>
      <c r="G5531" t="s">
        <v>21</v>
      </c>
      <c r="H5531" t="s">
        <v>22</v>
      </c>
      <c r="I5531" t="s">
        <v>23</v>
      </c>
      <c r="J5531" t="s">
        <v>24</v>
      </c>
      <c r="K5531" s="2" t="s">
        <v>902</v>
      </c>
      <c r="L5531" t="s">
        <v>26</v>
      </c>
      <c r="M5531">
        <v>307627</v>
      </c>
      <c r="N5531">
        <v>-1</v>
      </c>
      <c r="O5531" s="3">
        <v>-79950</v>
      </c>
      <c r="P5531" s="3">
        <v>27848</v>
      </c>
      <c r="Q5531" s="5">
        <f t="shared" si="258"/>
        <v>-67184.873949579836</v>
      </c>
      <c r="R5531" s="5">
        <f t="shared" si="259"/>
        <v>-27848</v>
      </c>
      <c r="S5531" s="5">
        <f t="shared" si="260"/>
        <v>-39336.873949579836</v>
      </c>
    </row>
    <row r="5532" spans="1:19" x14ac:dyDescent="0.3">
      <c r="A5532">
        <v>195</v>
      </c>
      <c r="B5532" t="s">
        <v>6142</v>
      </c>
      <c r="C5532" t="s">
        <v>423</v>
      </c>
      <c r="D5532" s="2" t="s">
        <v>424</v>
      </c>
      <c r="E5532" t="s">
        <v>425</v>
      </c>
      <c r="F5532" t="s">
        <v>20</v>
      </c>
      <c r="G5532" t="s">
        <v>21</v>
      </c>
      <c r="H5532" t="s">
        <v>22</v>
      </c>
      <c r="I5532" t="s">
        <v>23</v>
      </c>
      <c r="J5532" t="s">
        <v>24</v>
      </c>
      <c r="K5532" s="2" t="s">
        <v>902</v>
      </c>
      <c r="L5532" t="s">
        <v>26</v>
      </c>
      <c r="M5532">
        <v>307627</v>
      </c>
      <c r="N5532">
        <v>1</v>
      </c>
      <c r="O5532" s="3">
        <v>79951</v>
      </c>
      <c r="P5532" s="3">
        <v>27848</v>
      </c>
      <c r="Q5532" s="5">
        <f t="shared" si="258"/>
        <v>67185.71428571429</v>
      </c>
      <c r="R5532" s="5">
        <f t="shared" si="259"/>
        <v>27848</v>
      </c>
      <c r="S5532" s="5">
        <f t="shared" si="260"/>
        <v>39337.71428571429</v>
      </c>
    </row>
    <row r="5533" spans="1:19" x14ac:dyDescent="0.3">
      <c r="A5533">
        <v>195</v>
      </c>
      <c r="B5533" t="s">
        <v>6142</v>
      </c>
      <c r="C5533" t="s">
        <v>3401</v>
      </c>
      <c r="D5533" s="2" t="s">
        <v>3402</v>
      </c>
      <c r="E5533" t="s">
        <v>3403</v>
      </c>
      <c r="F5533" t="s">
        <v>377</v>
      </c>
      <c r="G5533" t="s">
        <v>21</v>
      </c>
      <c r="H5533" t="s">
        <v>378</v>
      </c>
      <c r="I5533" t="s">
        <v>23</v>
      </c>
      <c r="J5533" t="s">
        <v>3297</v>
      </c>
      <c r="K5533" s="2" t="s">
        <v>902</v>
      </c>
      <c r="L5533" t="s">
        <v>26</v>
      </c>
      <c r="M5533">
        <v>307628</v>
      </c>
      <c r="N5533">
        <v>1</v>
      </c>
      <c r="O5533">
        <v>500</v>
      </c>
      <c r="P5533">
        <v>418</v>
      </c>
      <c r="Q5533" s="5">
        <f t="shared" si="258"/>
        <v>420.1680672268908</v>
      </c>
      <c r="R5533" s="5">
        <f t="shared" si="259"/>
        <v>418</v>
      </c>
      <c r="S5533" s="5">
        <f t="shared" si="260"/>
        <v>2.1680672268907983</v>
      </c>
    </row>
    <row r="5534" spans="1:19" x14ac:dyDescent="0.3">
      <c r="A5534">
        <v>195</v>
      </c>
      <c r="B5534" t="s">
        <v>6142</v>
      </c>
      <c r="C5534" t="s">
        <v>6205</v>
      </c>
      <c r="D5534" s="2" t="s">
        <v>6206</v>
      </c>
      <c r="E5534" t="s">
        <v>3148</v>
      </c>
      <c r="F5534" t="s">
        <v>20</v>
      </c>
      <c r="G5534" t="s">
        <v>338</v>
      </c>
      <c r="H5534">
        <v>23313</v>
      </c>
      <c r="I5534" t="s">
        <v>23</v>
      </c>
      <c r="J5534" t="s">
        <v>40</v>
      </c>
      <c r="K5534" s="2" t="s">
        <v>902</v>
      </c>
      <c r="L5534" t="s">
        <v>26</v>
      </c>
      <c r="M5534">
        <v>307629</v>
      </c>
      <c r="N5534">
        <v>1</v>
      </c>
      <c r="O5534" s="3">
        <v>49990</v>
      </c>
      <c r="P5534" s="3">
        <v>23611</v>
      </c>
      <c r="Q5534" s="5">
        <f t="shared" si="258"/>
        <v>42008.403361344543</v>
      </c>
      <c r="R5534" s="5">
        <f t="shared" si="259"/>
        <v>23611</v>
      </c>
      <c r="S5534" s="5">
        <f t="shared" si="260"/>
        <v>18397.403361344543</v>
      </c>
    </row>
    <row r="5535" spans="1:19" x14ac:dyDescent="0.3">
      <c r="A5535">
        <v>195</v>
      </c>
      <c r="B5535" t="s">
        <v>6142</v>
      </c>
      <c r="C5535" t="s">
        <v>6207</v>
      </c>
      <c r="D5535" s="2" t="s">
        <v>6208</v>
      </c>
      <c r="E5535" t="s">
        <v>6209</v>
      </c>
      <c r="F5535" t="s">
        <v>20</v>
      </c>
      <c r="G5535" t="s">
        <v>21</v>
      </c>
      <c r="H5535" t="s">
        <v>958</v>
      </c>
      <c r="I5535" t="s">
        <v>23</v>
      </c>
      <c r="J5535" t="s">
        <v>40</v>
      </c>
      <c r="K5535" s="2" t="s">
        <v>902</v>
      </c>
      <c r="L5535" t="s">
        <v>26</v>
      </c>
      <c r="M5535">
        <v>307630</v>
      </c>
      <c r="N5535">
        <v>1</v>
      </c>
      <c r="O5535" s="3">
        <v>34990</v>
      </c>
      <c r="P5535" s="3">
        <v>13471</v>
      </c>
      <c r="Q5535" s="5">
        <f t="shared" si="258"/>
        <v>29403.361344537818</v>
      </c>
      <c r="R5535" s="5">
        <f t="shared" si="259"/>
        <v>13471</v>
      </c>
      <c r="S5535" s="5">
        <f t="shared" si="260"/>
        <v>15932.361344537818</v>
      </c>
    </row>
    <row r="5536" spans="1:19" x14ac:dyDescent="0.3">
      <c r="A5536">
        <v>195</v>
      </c>
      <c r="B5536" t="s">
        <v>6142</v>
      </c>
      <c r="C5536" t="s">
        <v>6003</v>
      </c>
      <c r="D5536" s="2" t="s">
        <v>6004</v>
      </c>
      <c r="E5536" t="s">
        <v>4038</v>
      </c>
      <c r="F5536" t="s">
        <v>20</v>
      </c>
      <c r="G5536" t="s">
        <v>21</v>
      </c>
      <c r="H5536" t="s">
        <v>2469</v>
      </c>
      <c r="I5536" t="s">
        <v>23</v>
      </c>
      <c r="J5536" t="s">
        <v>35</v>
      </c>
      <c r="K5536" s="2" t="s">
        <v>902</v>
      </c>
      <c r="L5536" t="s">
        <v>26</v>
      </c>
      <c r="M5536">
        <v>307631</v>
      </c>
      <c r="N5536">
        <v>1</v>
      </c>
      <c r="O5536" s="3">
        <v>84950</v>
      </c>
      <c r="P5536" s="3">
        <v>29635</v>
      </c>
      <c r="Q5536" s="5">
        <f t="shared" si="258"/>
        <v>71386.554621848743</v>
      </c>
      <c r="R5536" s="5">
        <f t="shared" si="259"/>
        <v>29635</v>
      </c>
      <c r="S5536" s="5">
        <f t="shared" si="260"/>
        <v>41751.554621848743</v>
      </c>
    </row>
    <row r="5537" spans="1:19" x14ac:dyDescent="0.3">
      <c r="A5537">
        <v>195</v>
      </c>
      <c r="B5537" t="s">
        <v>6142</v>
      </c>
      <c r="C5537" t="s">
        <v>5720</v>
      </c>
      <c r="D5537" s="2" t="s">
        <v>5721</v>
      </c>
      <c r="E5537" t="s">
        <v>3786</v>
      </c>
      <c r="F5537" t="s">
        <v>20</v>
      </c>
      <c r="G5537" t="s">
        <v>21</v>
      </c>
      <c r="H5537" t="s">
        <v>1405</v>
      </c>
      <c r="I5537" t="s">
        <v>23</v>
      </c>
      <c r="J5537" t="s">
        <v>40</v>
      </c>
      <c r="K5537" s="2" t="s">
        <v>902</v>
      </c>
      <c r="L5537" t="s">
        <v>26</v>
      </c>
      <c r="M5537">
        <v>307632</v>
      </c>
      <c r="N5537">
        <v>1</v>
      </c>
      <c r="O5537" s="3">
        <v>49950</v>
      </c>
      <c r="P5537" s="3">
        <v>13302</v>
      </c>
      <c r="Q5537" s="5">
        <f t="shared" si="258"/>
        <v>41974.789915966387</v>
      </c>
      <c r="R5537" s="5">
        <f t="shared" si="259"/>
        <v>13302</v>
      </c>
      <c r="S5537" s="5">
        <f t="shared" si="260"/>
        <v>28672.789915966387</v>
      </c>
    </row>
    <row r="5538" spans="1:19" x14ac:dyDescent="0.3">
      <c r="A5538">
        <v>195</v>
      </c>
      <c r="B5538" t="s">
        <v>6142</v>
      </c>
      <c r="C5538" t="s">
        <v>5443</v>
      </c>
      <c r="D5538" s="2" t="s">
        <v>5444</v>
      </c>
      <c r="E5538" t="s">
        <v>1913</v>
      </c>
      <c r="F5538" t="s">
        <v>20</v>
      </c>
      <c r="G5538" t="s">
        <v>21</v>
      </c>
      <c r="H5538" t="s">
        <v>1914</v>
      </c>
      <c r="I5538" t="s">
        <v>23</v>
      </c>
      <c r="J5538" t="s">
        <v>35</v>
      </c>
      <c r="K5538" s="2" t="s">
        <v>999</v>
      </c>
      <c r="L5538" t="s">
        <v>26</v>
      </c>
      <c r="M5538">
        <v>307633</v>
      </c>
      <c r="N5538">
        <v>1</v>
      </c>
      <c r="O5538" s="3">
        <v>89950</v>
      </c>
      <c r="P5538" s="3">
        <v>28298</v>
      </c>
      <c r="Q5538" s="5">
        <f t="shared" si="258"/>
        <v>75588.23529411765</v>
      </c>
      <c r="R5538" s="5">
        <f t="shared" si="259"/>
        <v>28298</v>
      </c>
      <c r="S5538" s="5">
        <f t="shared" si="260"/>
        <v>47290.23529411765</v>
      </c>
    </row>
    <row r="5539" spans="1:19" x14ac:dyDescent="0.3">
      <c r="A5539">
        <v>195</v>
      </c>
      <c r="B5539" t="s">
        <v>6142</v>
      </c>
      <c r="C5539" t="s">
        <v>3401</v>
      </c>
      <c r="D5539" s="2" t="s">
        <v>3402</v>
      </c>
      <c r="E5539" t="s">
        <v>3403</v>
      </c>
      <c r="F5539" t="s">
        <v>377</v>
      </c>
      <c r="G5539" t="s">
        <v>21</v>
      </c>
      <c r="H5539" t="s">
        <v>378</v>
      </c>
      <c r="I5539" t="s">
        <v>23</v>
      </c>
      <c r="J5539" t="s">
        <v>3297</v>
      </c>
      <c r="K5539" s="2" t="s">
        <v>999</v>
      </c>
      <c r="L5539" t="s">
        <v>26</v>
      </c>
      <c r="M5539">
        <v>307634</v>
      </c>
      <c r="N5539">
        <v>2</v>
      </c>
      <c r="O5539" s="3">
        <v>1000</v>
      </c>
      <c r="P5539">
        <v>418</v>
      </c>
      <c r="Q5539" s="5">
        <f t="shared" si="258"/>
        <v>840.3361344537816</v>
      </c>
      <c r="R5539" s="5">
        <f t="shared" si="259"/>
        <v>836</v>
      </c>
      <c r="S5539" s="5">
        <f t="shared" si="260"/>
        <v>4.3361344537815967</v>
      </c>
    </row>
    <row r="5540" spans="1:19" x14ac:dyDescent="0.3">
      <c r="A5540">
        <v>195</v>
      </c>
      <c r="B5540" t="s">
        <v>6142</v>
      </c>
      <c r="C5540" t="s">
        <v>2525</v>
      </c>
      <c r="D5540" s="2" t="s">
        <v>2526</v>
      </c>
      <c r="E5540" t="s">
        <v>2527</v>
      </c>
      <c r="F5540" t="s">
        <v>377</v>
      </c>
      <c r="G5540" t="s">
        <v>21</v>
      </c>
      <c r="H5540" t="s">
        <v>378</v>
      </c>
      <c r="I5540" t="s">
        <v>23</v>
      </c>
      <c r="J5540" t="s">
        <v>2459</v>
      </c>
      <c r="K5540" s="2" t="s">
        <v>999</v>
      </c>
      <c r="L5540" t="s">
        <v>26</v>
      </c>
      <c r="M5540">
        <v>307635</v>
      </c>
      <c r="N5540">
        <v>1</v>
      </c>
      <c r="O5540" s="3">
        <v>6950</v>
      </c>
      <c r="P5540" s="3">
        <v>2964</v>
      </c>
      <c r="Q5540" s="5">
        <f t="shared" si="258"/>
        <v>5840.3361344537816</v>
      </c>
      <c r="R5540" s="5">
        <f t="shared" si="259"/>
        <v>2964</v>
      </c>
      <c r="S5540" s="5">
        <f t="shared" si="260"/>
        <v>2876.3361344537816</v>
      </c>
    </row>
    <row r="5541" spans="1:19" x14ac:dyDescent="0.3">
      <c r="A5541">
        <v>195</v>
      </c>
      <c r="B5541" t="s">
        <v>6142</v>
      </c>
      <c r="C5541" t="s">
        <v>2525</v>
      </c>
      <c r="D5541" s="2" t="s">
        <v>2526</v>
      </c>
      <c r="E5541" t="s">
        <v>2527</v>
      </c>
      <c r="F5541" t="s">
        <v>377</v>
      </c>
      <c r="G5541" t="s">
        <v>21</v>
      </c>
      <c r="H5541" t="s">
        <v>378</v>
      </c>
      <c r="I5541" t="s">
        <v>23</v>
      </c>
      <c r="J5541" t="s">
        <v>2459</v>
      </c>
      <c r="K5541" s="2" t="s">
        <v>999</v>
      </c>
      <c r="L5541" t="s">
        <v>26</v>
      </c>
      <c r="M5541">
        <v>307636</v>
      </c>
      <c r="N5541">
        <v>1</v>
      </c>
      <c r="O5541" s="3">
        <v>6950</v>
      </c>
      <c r="P5541" s="3">
        <v>2964</v>
      </c>
      <c r="Q5541" s="5">
        <f t="shared" si="258"/>
        <v>5840.3361344537816</v>
      </c>
      <c r="R5541" s="5">
        <f t="shared" si="259"/>
        <v>2964</v>
      </c>
      <c r="S5541" s="5">
        <f t="shared" si="260"/>
        <v>2876.3361344537816</v>
      </c>
    </row>
    <row r="5542" spans="1:19" x14ac:dyDescent="0.3">
      <c r="A5542">
        <v>195</v>
      </c>
      <c r="B5542" t="s">
        <v>6142</v>
      </c>
      <c r="C5542" t="s">
        <v>6210</v>
      </c>
      <c r="D5542" s="2" t="s">
        <v>6211</v>
      </c>
      <c r="E5542" t="s">
        <v>6212</v>
      </c>
      <c r="F5542" t="s">
        <v>20</v>
      </c>
      <c r="G5542" t="s">
        <v>21</v>
      </c>
      <c r="H5542" t="s">
        <v>794</v>
      </c>
      <c r="I5542" t="s">
        <v>23</v>
      </c>
      <c r="J5542" t="s">
        <v>40</v>
      </c>
      <c r="K5542" s="2" t="s">
        <v>999</v>
      </c>
      <c r="L5542" t="s">
        <v>26</v>
      </c>
      <c r="M5542">
        <v>307637</v>
      </c>
      <c r="N5542">
        <v>1</v>
      </c>
      <c r="O5542" s="3">
        <v>39990</v>
      </c>
      <c r="P5542" s="3">
        <v>21101</v>
      </c>
      <c r="Q5542" s="5">
        <f t="shared" si="258"/>
        <v>33605.042016806721</v>
      </c>
      <c r="R5542" s="5">
        <f t="shared" si="259"/>
        <v>21101</v>
      </c>
      <c r="S5542" s="5">
        <f t="shared" si="260"/>
        <v>12504.042016806721</v>
      </c>
    </row>
    <row r="5543" spans="1:19" x14ac:dyDescent="0.3">
      <c r="A5543">
        <v>195</v>
      </c>
      <c r="B5543" t="s">
        <v>6142</v>
      </c>
      <c r="C5543" t="s">
        <v>3701</v>
      </c>
      <c r="D5543" s="2" t="s">
        <v>3702</v>
      </c>
      <c r="E5543" t="s">
        <v>3703</v>
      </c>
      <c r="F5543" t="s">
        <v>20</v>
      </c>
      <c r="G5543" t="s">
        <v>21</v>
      </c>
      <c r="H5543" t="s">
        <v>794</v>
      </c>
      <c r="I5543" t="s">
        <v>23</v>
      </c>
      <c r="J5543" t="s">
        <v>40</v>
      </c>
      <c r="K5543" s="2" t="s">
        <v>999</v>
      </c>
      <c r="L5543" t="s">
        <v>26</v>
      </c>
      <c r="M5543">
        <v>307637</v>
      </c>
      <c r="N5543">
        <v>1</v>
      </c>
      <c r="O5543" s="3">
        <v>59450</v>
      </c>
      <c r="P5543" s="3">
        <v>21722</v>
      </c>
      <c r="Q5543" s="5">
        <f t="shared" si="258"/>
        <v>49957.983193277316</v>
      </c>
      <c r="R5543" s="5">
        <f t="shared" si="259"/>
        <v>21722</v>
      </c>
      <c r="S5543" s="5">
        <f t="shared" si="260"/>
        <v>28235.983193277316</v>
      </c>
    </row>
    <row r="5544" spans="1:19" x14ac:dyDescent="0.3">
      <c r="A5544">
        <v>195</v>
      </c>
      <c r="B5544" t="s">
        <v>6142</v>
      </c>
      <c r="C5544" t="s">
        <v>780</v>
      </c>
      <c r="D5544" s="2" t="s">
        <v>781</v>
      </c>
      <c r="E5544" t="s">
        <v>782</v>
      </c>
      <c r="F5544" t="s">
        <v>20</v>
      </c>
      <c r="G5544" t="s">
        <v>21</v>
      </c>
      <c r="H5544" t="s">
        <v>783</v>
      </c>
      <c r="I5544" t="s">
        <v>23</v>
      </c>
      <c r="J5544" t="s">
        <v>40</v>
      </c>
      <c r="K5544" s="2" t="s">
        <v>999</v>
      </c>
      <c r="L5544" t="s">
        <v>26</v>
      </c>
      <c r="M5544">
        <v>307638</v>
      </c>
      <c r="N5544">
        <v>1</v>
      </c>
      <c r="O5544" s="3">
        <v>29990</v>
      </c>
      <c r="P5544" s="3">
        <v>15745</v>
      </c>
      <c r="Q5544" s="5">
        <f t="shared" si="258"/>
        <v>25201.680672268907</v>
      </c>
      <c r="R5544" s="5">
        <f t="shared" si="259"/>
        <v>15745</v>
      </c>
      <c r="S5544" s="5">
        <f t="shared" si="260"/>
        <v>9456.6806722689071</v>
      </c>
    </row>
    <row r="5545" spans="1:19" x14ac:dyDescent="0.3">
      <c r="A5545">
        <v>195</v>
      </c>
      <c r="B5545" t="s">
        <v>6142</v>
      </c>
      <c r="C5545" t="s">
        <v>2575</v>
      </c>
      <c r="D5545" s="2" t="s">
        <v>2576</v>
      </c>
      <c r="E5545" t="s">
        <v>2577</v>
      </c>
      <c r="F5545" t="s">
        <v>377</v>
      </c>
      <c r="G5545" t="s">
        <v>21</v>
      </c>
      <c r="H5545" t="s">
        <v>378</v>
      </c>
      <c r="I5545" t="s">
        <v>23</v>
      </c>
      <c r="J5545" t="s">
        <v>379</v>
      </c>
      <c r="K5545" s="2" t="s">
        <v>999</v>
      </c>
      <c r="L5545" t="s">
        <v>26</v>
      </c>
      <c r="M5545">
        <v>307639</v>
      </c>
      <c r="N5545">
        <v>1</v>
      </c>
      <c r="O5545" s="3">
        <v>5950</v>
      </c>
      <c r="P5545" s="3">
        <v>3307</v>
      </c>
      <c r="Q5545" s="5">
        <f t="shared" si="258"/>
        <v>5000</v>
      </c>
      <c r="R5545" s="5">
        <f t="shared" si="259"/>
        <v>3307</v>
      </c>
      <c r="S5545" s="5">
        <f t="shared" si="260"/>
        <v>1693</v>
      </c>
    </row>
    <row r="5546" spans="1:19" x14ac:dyDescent="0.3">
      <c r="A5546">
        <v>195</v>
      </c>
      <c r="B5546" t="s">
        <v>6142</v>
      </c>
      <c r="C5546" t="s">
        <v>2575</v>
      </c>
      <c r="D5546" s="2" t="s">
        <v>2576</v>
      </c>
      <c r="E5546" t="s">
        <v>2577</v>
      </c>
      <c r="F5546" t="s">
        <v>377</v>
      </c>
      <c r="G5546" t="s">
        <v>21</v>
      </c>
      <c r="H5546" t="s">
        <v>378</v>
      </c>
      <c r="I5546" t="s">
        <v>23</v>
      </c>
      <c r="J5546" t="s">
        <v>379</v>
      </c>
      <c r="K5546" s="2" t="s">
        <v>999</v>
      </c>
      <c r="L5546" t="s">
        <v>26</v>
      </c>
      <c r="M5546">
        <v>307640</v>
      </c>
      <c r="N5546">
        <v>1</v>
      </c>
      <c r="O5546" s="3">
        <v>5950</v>
      </c>
      <c r="P5546" s="3">
        <v>3307</v>
      </c>
      <c r="Q5546" s="5">
        <f t="shared" si="258"/>
        <v>5000</v>
      </c>
      <c r="R5546" s="5">
        <f t="shared" si="259"/>
        <v>3307</v>
      </c>
      <c r="S5546" s="5">
        <f t="shared" si="260"/>
        <v>1693</v>
      </c>
    </row>
    <row r="5547" spans="1:19" x14ac:dyDescent="0.3">
      <c r="A5547">
        <v>195</v>
      </c>
      <c r="B5547" t="s">
        <v>6142</v>
      </c>
      <c r="C5547" t="s">
        <v>6213</v>
      </c>
      <c r="D5547" s="2" t="s">
        <v>6214</v>
      </c>
      <c r="E5547" t="s">
        <v>6204</v>
      </c>
      <c r="F5547" t="s">
        <v>377</v>
      </c>
      <c r="G5547" t="s">
        <v>21</v>
      </c>
      <c r="H5547" t="s">
        <v>378</v>
      </c>
      <c r="I5547" t="s">
        <v>23</v>
      </c>
      <c r="J5547" t="s">
        <v>2459</v>
      </c>
      <c r="K5547" s="2" t="s">
        <v>999</v>
      </c>
      <c r="L5547" t="s">
        <v>26</v>
      </c>
      <c r="M5547">
        <v>307641</v>
      </c>
      <c r="N5547">
        <v>1</v>
      </c>
      <c r="O5547" s="3">
        <v>5450</v>
      </c>
      <c r="P5547" s="3">
        <v>2249</v>
      </c>
      <c r="Q5547" s="5">
        <f t="shared" si="258"/>
        <v>4579.8319327731097</v>
      </c>
      <c r="R5547" s="5">
        <f t="shared" si="259"/>
        <v>2249</v>
      </c>
      <c r="S5547" s="5">
        <f t="shared" si="260"/>
        <v>2330.8319327731097</v>
      </c>
    </row>
    <row r="5548" spans="1:19" x14ac:dyDescent="0.3">
      <c r="A5548">
        <v>195</v>
      </c>
      <c r="B5548" t="s">
        <v>6142</v>
      </c>
      <c r="C5548" t="s">
        <v>5686</v>
      </c>
      <c r="D5548" s="2" t="s">
        <v>5687</v>
      </c>
      <c r="E5548" t="s">
        <v>5688</v>
      </c>
      <c r="F5548" t="s">
        <v>20</v>
      </c>
      <c r="G5548" t="s">
        <v>338</v>
      </c>
      <c r="H5548">
        <v>23724</v>
      </c>
      <c r="I5548" t="s">
        <v>23</v>
      </c>
      <c r="J5548" t="s">
        <v>40</v>
      </c>
      <c r="K5548" s="2" t="s">
        <v>999</v>
      </c>
      <c r="L5548" t="s">
        <v>26</v>
      </c>
      <c r="M5548">
        <v>307642</v>
      </c>
      <c r="N5548">
        <v>1</v>
      </c>
      <c r="O5548" s="3">
        <v>67950</v>
      </c>
      <c r="P5548" s="3">
        <v>26332</v>
      </c>
      <c r="Q5548" s="5">
        <f t="shared" si="258"/>
        <v>57100.840336134454</v>
      </c>
      <c r="R5548" s="5">
        <f t="shared" si="259"/>
        <v>26332</v>
      </c>
      <c r="S5548" s="5">
        <f t="shared" si="260"/>
        <v>30768.840336134454</v>
      </c>
    </row>
    <row r="5549" spans="1:19" x14ac:dyDescent="0.3">
      <c r="A5549">
        <v>195</v>
      </c>
      <c r="B5549" t="s">
        <v>6142</v>
      </c>
      <c r="C5549" t="s">
        <v>4575</v>
      </c>
      <c r="D5549" s="2" t="s">
        <v>4576</v>
      </c>
      <c r="E5549" t="s">
        <v>4577</v>
      </c>
      <c r="F5549" t="s">
        <v>20</v>
      </c>
      <c r="G5549" t="s">
        <v>338</v>
      </c>
      <c r="H5549">
        <v>23724</v>
      </c>
      <c r="I5549" t="s">
        <v>23</v>
      </c>
      <c r="J5549" t="s">
        <v>40</v>
      </c>
      <c r="K5549" s="2" t="s">
        <v>999</v>
      </c>
      <c r="L5549" t="s">
        <v>26</v>
      </c>
      <c r="M5549">
        <v>307642</v>
      </c>
      <c r="N5549">
        <v>1</v>
      </c>
      <c r="O5549" s="3">
        <v>79950</v>
      </c>
      <c r="P5549" s="3">
        <v>26332</v>
      </c>
      <c r="Q5549" s="5">
        <f t="shared" si="258"/>
        <v>67184.873949579836</v>
      </c>
      <c r="R5549" s="5">
        <f t="shared" si="259"/>
        <v>26332</v>
      </c>
      <c r="S5549" s="5">
        <f t="shared" si="260"/>
        <v>40852.873949579836</v>
      </c>
    </row>
    <row r="5550" spans="1:19" x14ac:dyDescent="0.3">
      <c r="A5550">
        <v>195</v>
      </c>
      <c r="B5550" t="s">
        <v>6142</v>
      </c>
      <c r="C5550" t="s">
        <v>2525</v>
      </c>
      <c r="D5550" s="2" t="s">
        <v>2526</v>
      </c>
      <c r="E5550" t="s">
        <v>2527</v>
      </c>
      <c r="F5550" t="s">
        <v>377</v>
      </c>
      <c r="G5550" t="s">
        <v>21</v>
      </c>
      <c r="H5550" t="s">
        <v>378</v>
      </c>
      <c r="I5550" t="s">
        <v>23</v>
      </c>
      <c r="J5550" t="s">
        <v>2459</v>
      </c>
      <c r="K5550" s="2" t="s">
        <v>999</v>
      </c>
      <c r="L5550" t="s">
        <v>26</v>
      </c>
      <c r="M5550">
        <v>307643</v>
      </c>
      <c r="N5550">
        <v>1</v>
      </c>
      <c r="O5550" s="3">
        <v>6950</v>
      </c>
      <c r="P5550" s="3">
        <v>2964</v>
      </c>
      <c r="Q5550" s="5">
        <f t="shared" si="258"/>
        <v>5840.3361344537816</v>
      </c>
      <c r="R5550" s="5">
        <f t="shared" si="259"/>
        <v>2964</v>
      </c>
      <c r="S5550" s="5">
        <f t="shared" si="260"/>
        <v>2876.3361344537816</v>
      </c>
    </row>
    <row r="5551" spans="1:19" x14ac:dyDescent="0.3">
      <c r="A5551">
        <v>195</v>
      </c>
      <c r="B5551" t="s">
        <v>6142</v>
      </c>
      <c r="C5551" t="s">
        <v>6215</v>
      </c>
      <c r="D5551" s="2" t="s">
        <v>6216</v>
      </c>
      <c r="E5551" t="s">
        <v>2721</v>
      </c>
      <c r="F5551" t="s">
        <v>20</v>
      </c>
      <c r="G5551" t="s">
        <v>21</v>
      </c>
      <c r="H5551" t="s">
        <v>1422</v>
      </c>
      <c r="I5551" t="s">
        <v>23</v>
      </c>
      <c r="J5551" t="s">
        <v>49</v>
      </c>
      <c r="K5551" s="2" t="s">
        <v>999</v>
      </c>
      <c r="L5551" t="s">
        <v>26</v>
      </c>
      <c r="M5551">
        <v>307644</v>
      </c>
      <c r="N5551">
        <v>1</v>
      </c>
      <c r="O5551" s="3">
        <v>59990</v>
      </c>
      <c r="P5551" s="3">
        <v>27667</v>
      </c>
      <c r="Q5551" s="5">
        <f t="shared" si="258"/>
        <v>50411.764705882357</v>
      </c>
      <c r="R5551" s="5">
        <f t="shared" si="259"/>
        <v>27667</v>
      </c>
      <c r="S5551" s="5">
        <f t="shared" si="260"/>
        <v>22744.764705882357</v>
      </c>
    </row>
    <row r="5552" spans="1:19" x14ac:dyDescent="0.3">
      <c r="A5552">
        <v>195</v>
      </c>
      <c r="B5552" t="s">
        <v>6142</v>
      </c>
      <c r="C5552" t="s">
        <v>5215</v>
      </c>
      <c r="D5552" s="2" t="s">
        <v>5216</v>
      </c>
      <c r="E5552" t="s">
        <v>2455</v>
      </c>
      <c r="F5552" t="s">
        <v>20</v>
      </c>
      <c r="G5552" t="s">
        <v>21</v>
      </c>
      <c r="H5552" t="s">
        <v>742</v>
      </c>
      <c r="I5552" t="s">
        <v>23</v>
      </c>
      <c r="J5552" t="s">
        <v>40</v>
      </c>
      <c r="K5552" s="2" t="s">
        <v>999</v>
      </c>
      <c r="L5552" t="s">
        <v>26</v>
      </c>
      <c r="M5552">
        <v>307645</v>
      </c>
      <c r="N5552">
        <v>1</v>
      </c>
      <c r="O5552" s="3">
        <v>79950</v>
      </c>
      <c r="P5552" s="3">
        <v>28515</v>
      </c>
      <c r="Q5552" s="5">
        <f t="shared" si="258"/>
        <v>67184.873949579836</v>
      </c>
      <c r="R5552" s="5">
        <f t="shared" si="259"/>
        <v>28515</v>
      </c>
      <c r="S5552" s="5">
        <f t="shared" si="260"/>
        <v>38669.873949579836</v>
      </c>
    </row>
    <row r="5553" spans="1:19" x14ac:dyDescent="0.3">
      <c r="A5553">
        <v>195</v>
      </c>
      <c r="B5553" t="s">
        <v>6142</v>
      </c>
      <c r="C5553" t="s">
        <v>4453</v>
      </c>
      <c r="D5553" s="2" t="s">
        <v>4454</v>
      </c>
      <c r="E5553" t="s">
        <v>4455</v>
      </c>
      <c r="F5553" t="s">
        <v>377</v>
      </c>
      <c r="G5553" t="s">
        <v>21</v>
      </c>
      <c r="H5553" t="s">
        <v>378</v>
      </c>
      <c r="I5553" t="s">
        <v>23</v>
      </c>
      <c r="J5553" t="s">
        <v>2459</v>
      </c>
      <c r="K5553" s="2" t="s">
        <v>1072</v>
      </c>
      <c r="L5553" t="s">
        <v>2249</v>
      </c>
      <c r="M5553">
        <v>25381</v>
      </c>
      <c r="N5553">
        <v>-1</v>
      </c>
      <c r="O5553" s="3">
        <v>-3950</v>
      </c>
      <c r="P5553" s="3">
        <v>1607</v>
      </c>
      <c r="Q5553" s="5">
        <f t="shared" si="258"/>
        <v>-3319.3277310924373</v>
      </c>
      <c r="R5553" s="5">
        <f t="shared" si="259"/>
        <v>-1607</v>
      </c>
      <c r="S5553" s="5">
        <f t="shared" si="260"/>
        <v>-1712.3277310924373</v>
      </c>
    </row>
    <row r="5554" spans="1:19" x14ac:dyDescent="0.3">
      <c r="A5554">
        <v>195</v>
      </c>
      <c r="B5554" t="s">
        <v>6142</v>
      </c>
      <c r="C5554" t="s">
        <v>4491</v>
      </c>
      <c r="D5554" s="2" t="s">
        <v>4492</v>
      </c>
      <c r="E5554" t="s">
        <v>3449</v>
      </c>
      <c r="F5554" t="s">
        <v>20</v>
      </c>
      <c r="G5554" t="s">
        <v>338</v>
      </c>
      <c r="H5554">
        <v>25366</v>
      </c>
      <c r="I5554" t="s">
        <v>23</v>
      </c>
      <c r="J5554" t="s">
        <v>35</v>
      </c>
      <c r="K5554" s="2" t="s">
        <v>1072</v>
      </c>
      <c r="L5554" t="s">
        <v>26</v>
      </c>
      <c r="M5554">
        <v>307646</v>
      </c>
      <c r="N5554">
        <v>1</v>
      </c>
      <c r="O5554" s="3">
        <v>99950</v>
      </c>
      <c r="P5554" s="3">
        <v>33157</v>
      </c>
      <c r="Q5554" s="5">
        <f t="shared" si="258"/>
        <v>83991.596638655465</v>
      </c>
      <c r="R5554" s="5">
        <f t="shared" si="259"/>
        <v>33157</v>
      </c>
      <c r="S5554" s="5">
        <f t="shared" si="260"/>
        <v>50834.596638655465</v>
      </c>
    </row>
    <row r="5555" spans="1:19" x14ac:dyDescent="0.3">
      <c r="A5555">
        <v>195</v>
      </c>
      <c r="B5555" t="s">
        <v>6142</v>
      </c>
      <c r="C5555" t="s">
        <v>1037</v>
      </c>
      <c r="D5555" s="2" t="s">
        <v>1038</v>
      </c>
      <c r="E5555" t="s">
        <v>1039</v>
      </c>
      <c r="F5555" t="s">
        <v>377</v>
      </c>
      <c r="G5555" t="s">
        <v>21</v>
      </c>
      <c r="H5555" t="s">
        <v>378</v>
      </c>
      <c r="I5555" t="s">
        <v>23</v>
      </c>
      <c r="J5555" t="s">
        <v>379</v>
      </c>
      <c r="K5555" s="2" t="s">
        <v>1072</v>
      </c>
      <c r="L5555" t="s">
        <v>26</v>
      </c>
      <c r="M5555">
        <v>307646</v>
      </c>
      <c r="N5555">
        <v>1</v>
      </c>
      <c r="O5555" s="3">
        <v>5950</v>
      </c>
      <c r="P5555" s="3">
        <v>3257</v>
      </c>
      <c r="Q5555" s="5">
        <f t="shared" si="258"/>
        <v>5000</v>
      </c>
      <c r="R5555" s="5">
        <f t="shared" si="259"/>
        <v>3257</v>
      </c>
      <c r="S5555" s="5">
        <f t="shared" si="260"/>
        <v>1743</v>
      </c>
    </row>
    <row r="5556" spans="1:19" x14ac:dyDescent="0.3">
      <c r="A5556">
        <v>195</v>
      </c>
      <c r="B5556" t="s">
        <v>6142</v>
      </c>
      <c r="C5556" t="s">
        <v>6217</v>
      </c>
      <c r="D5556" s="2" t="s">
        <v>6218</v>
      </c>
      <c r="E5556" t="s">
        <v>4537</v>
      </c>
      <c r="F5556" t="s">
        <v>20</v>
      </c>
      <c r="G5556" t="s">
        <v>21</v>
      </c>
      <c r="H5556" t="s">
        <v>2759</v>
      </c>
      <c r="I5556" t="s">
        <v>23</v>
      </c>
      <c r="J5556" t="s">
        <v>49</v>
      </c>
      <c r="K5556" s="2" t="s">
        <v>1072</v>
      </c>
      <c r="L5556" t="s">
        <v>26</v>
      </c>
      <c r="M5556">
        <v>307647</v>
      </c>
      <c r="N5556">
        <v>1</v>
      </c>
      <c r="O5556" s="3">
        <v>79950</v>
      </c>
      <c r="P5556" s="3">
        <v>33323</v>
      </c>
      <c r="Q5556" s="5">
        <f t="shared" si="258"/>
        <v>67184.873949579836</v>
      </c>
      <c r="R5556" s="5">
        <f t="shared" si="259"/>
        <v>33323</v>
      </c>
      <c r="S5556" s="5">
        <f t="shared" si="260"/>
        <v>33861.873949579836</v>
      </c>
    </row>
    <row r="5557" spans="1:19" x14ac:dyDescent="0.3">
      <c r="A5557">
        <v>195</v>
      </c>
      <c r="B5557" t="s">
        <v>6142</v>
      </c>
      <c r="C5557" t="s">
        <v>1037</v>
      </c>
      <c r="D5557" s="2" t="s">
        <v>1038</v>
      </c>
      <c r="E5557" t="s">
        <v>1039</v>
      </c>
      <c r="F5557" t="s">
        <v>377</v>
      </c>
      <c r="G5557" t="s">
        <v>21</v>
      </c>
      <c r="H5557" t="s">
        <v>378</v>
      </c>
      <c r="I5557" t="s">
        <v>23</v>
      </c>
      <c r="J5557" t="s">
        <v>379</v>
      </c>
      <c r="K5557" s="2" t="s">
        <v>1072</v>
      </c>
      <c r="L5557" t="s">
        <v>26</v>
      </c>
      <c r="M5557">
        <v>307647</v>
      </c>
      <c r="N5557">
        <v>1</v>
      </c>
      <c r="O5557" s="3">
        <v>5950</v>
      </c>
      <c r="P5557" s="3">
        <v>3257</v>
      </c>
      <c r="Q5557" s="5">
        <f t="shared" si="258"/>
        <v>5000</v>
      </c>
      <c r="R5557" s="5">
        <f t="shared" si="259"/>
        <v>3257</v>
      </c>
      <c r="S5557" s="5">
        <f t="shared" si="260"/>
        <v>1743</v>
      </c>
    </row>
    <row r="5558" spans="1:19" x14ac:dyDescent="0.3">
      <c r="A5558">
        <v>195</v>
      </c>
      <c r="B5558" t="s">
        <v>6142</v>
      </c>
      <c r="C5558" t="s">
        <v>6219</v>
      </c>
      <c r="D5558" s="2" t="s">
        <v>6220</v>
      </c>
      <c r="E5558" t="s">
        <v>2758</v>
      </c>
      <c r="F5558" t="s">
        <v>20</v>
      </c>
      <c r="G5558" t="s">
        <v>21</v>
      </c>
      <c r="H5558" t="s">
        <v>2759</v>
      </c>
      <c r="I5558" t="s">
        <v>23</v>
      </c>
      <c r="J5558" t="s">
        <v>49</v>
      </c>
      <c r="K5558" s="2" t="s">
        <v>1072</v>
      </c>
      <c r="L5558" t="s">
        <v>26</v>
      </c>
      <c r="M5558">
        <v>307648</v>
      </c>
      <c r="N5558">
        <v>1</v>
      </c>
      <c r="O5558" s="3">
        <v>79950</v>
      </c>
      <c r="P5558" s="3">
        <v>33323</v>
      </c>
      <c r="Q5558" s="5">
        <f t="shared" si="258"/>
        <v>67184.873949579836</v>
      </c>
      <c r="R5558" s="5">
        <f t="shared" si="259"/>
        <v>33323</v>
      </c>
      <c r="S5558" s="5">
        <f t="shared" si="260"/>
        <v>33861.873949579836</v>
      </c>
    </row>
    <row r="5559" spans="1:19" x14ac:dyDescent="0.3">
      <c r="A5559">
        <v>195</v>
      </c>
      <c r="B5559" t="s">
        <v>6142</v>
      </c>
      <c r="C5559" t="s">
        <v>3466</v>
      </c>
      <c r="D5559" s="2" t="s">
        <v>3467</v>
      </c>
      <c r="E5559" t="s">
        <v>316</v>
      </c>
      <c r="F5559" t="s">
        <v>20</v>
      </c>
      <c r="G5559" t="s">
        <v>21</v>
      </c>
      <c r="H5559" t="s">
        <v>317</v>
      </c>
      <c r="I5559" t="s">
        <v>23</v>
      </c>
      <c r="J5559" t="s">
        <v>35</v>
      </c>
      <c r="K5559" s="2" t="s">
        <v>1072</v>
      </c>
      <c r="L5559" t="s">
        <v>26</v>
      </c>
      <c r="M5559">
        <v>307649</v>
      </c>
      <c r="N5559">
        <v>1</v>
      </c>
      <c r="O5559" s="3">
        <v>69950</v>
      </c>
      <c r="P5559" s="3">
        <v>24552</v>
      </c>
      <c r="Q5559" s="5">
        <f t="shared" si="258"/>
        <v>58781.512605042022</v>
      </c>
      <c r="R5559" s="5">
        <f t="shared" si="259"/>
        <v>24552</v>
      </c>
      <c r="S5559" s="5">
        <f t="shared" si="260"/>
        <v>34229.512605042022</v>
      </c>
    </row>
    <row r="5560" spans="1:19" x14ac:dyDescent="0.3">
      <c r="A5560">
        <v>195</v>
      </c>
      <c r="B5560" t="s">
        <v>6142</v>
      </c>
      <c r="C5560" t="s">
        <v>5333</v>
      </c>
      <c r="D5560" s="2" t="s">
        <v>5334</v>
      </c>
      <c r="E5560" t="s">
        <v>4540</v>
      </c>
      <c r="F5560" t="s">
        <v>20</v>
      </c>
      <c r="G5560" t="s">
        <v>338</v>
      </c>
      <c r="H5560">
        <v>25623</v>
      </c>
      <c r="I5560" t="s">
        <v>23</v>
      </c>
      <c r="J5560" t="s">
        <v>31</v>
      </c>
      <c r="K5560" s="2" t="s">
        <v>1072</v>
      </c>
      <c r="L5560" t="s">
        <v>26</v>
      </c>
      <c r="M5560">
        <v>307650</v>
      </c>
      <c r="N5560">
        <v>1</v>
      </c>
      <c r="O5560" s="3">
        <v>99950</v>
      </c>
      <c r="P5560" s="3">
        <v>33748</v>
      </c>
      <c r="Q5560" s="5">
        <f t="shared" si="258"/>
        <v>83991.596638655465</v>
      </c>
      <c r="R5560" s="5">
        <f t="shared" si="259"/>
        <v>33748</v>
      </c>
      <c r="S5560" s="5">
        <f t="shared" si="260"/>
        <v>50243.596638655465</v>
      </c>
    </row>
    <row r="5561" spans="1:19" x14ac:dyDescent="0.3">
      <c r="A5561">
        <v>195</v>
      </c>
      <c r="B5561" t="s">
        <v>6142</v>
      </c>
      <c r="C5561" t="s">
        <v>4443</v>
      </c>
      <c r="D5561" s="2" t="s">
        <v>4444</v>
      </c>
      <c r="E5561" t="s">
        <v>1137</v>
      </c>
      <c r="F5561" t="s">
        <v>20</v>
      </c>
      <c r="G5561" t="s">
        <v>21</v>
      </c>
      <c r="H5561" t="s">
        <v>224</v>
      </c>
      <c r="I5561" t="s">
        <v>23</v>
      </c>
      <c r="J5561" t="s">
        <v>49</v>
      </c>
      <c r="K5561" s="2" t="s">
        <v>1072</v>
      </c>
      <c r="L5561" t="s">
        <v>26</v>
      </c>
      <c r="M5561">
        <v>307651</v>
      </c>
      <c r="N5561">
        <v>1</v>
      </c>
      <c r="O5561" s="3">
        <v>44990</v>
      </c>
      <c r="P5561" s="3">
        <v>31785</v>
      </c>
      <c r="Q5561" s="5">
        <f t="shared" si="258"/>
        <v>37806.722689075636</v>
      </c>
      <c r="R5561" s="5">
        <f t="shared" si="259"/>
        <v>31785</v>
      </c>
      <c r="S5561" s="5">
        <f t="shared" si="260"/>
        <v>6021.7226890756356</v>
      </c>
    </row>
    <row r="5562" spans="1:19" x14ac:dyDescent="0.3">
      <c r="A5562">
        <v>195</v>
      </c>
      <c r="B5562" t="s">
        <v>6142</v>
      </c>
      <c r="C5562" t="s">
        <v>1037</v>
      </c>
      <c r="D5562" s="2" t="s">
        <v>1038</v>
      </c>
      <c r="E5562" t="s">
        <v>1039</v>
      </c>
      <c r="F5562" t="s">
        <v>377</v>
      </c>
      <c r="G5562" t="s">
        <v>21</v>
      </c>
      <c r="H5562" t="s">
        <v>378</v>
      </c>
      <c r="I5562" t="s">
        <v>23</v>
      </c>
      <c r="J5562" t="s">
        <v>379</v>
      </c>
      <c r="K5562" s="2" t="s">
        <v>1072</v>
      </c>
      <c r="L5562" t="s">
        <v>26</v>
      </c>
      <c r="M5562">
        <v>307652</v>
      </c>
      <c r="N5562">
        <v>1</v>
      </c>
      <c r="O5562" s="3">
        <v>5950</v>
      </c>
      <c r="P5562" s="3">
        <v>3257</v>
      </c>
      <c r="Q5562" s="5">
        <f t="shared" si="258"/>
        <v>5000</v>
      </c>
      <c r="R5562" s="5">
        <f t="shared" si="259"/>
        <v>3257</v>
      </c>
      <c r="S5562" s="5">
        <f t="shared" si="260"/>
        <v>1743</v>
      </c>
    </row>
    <row r="5563" spans="1:19" x14ac:dyDescent="0.3">
      <c r="A5563">
        <v>195</v>
      </c>
      <c r="B5563" t="s">
        <v>6142</v>
      </c>
      <c r="C5563" t="s">
        <v>1037</v>
      </c>
      <c r="D5563" s="2" t="s">
        <v>1038</v>
      </c>
      <c r="E5563" t="s">
        <v>1039</v>
      </c>
      <c r="F5563" t="s">
        <v>377</v>
      </c>
      <c r="G5563" t="s">
        <v>21</v>
      </c>
      <c r="H5563" t="s">
        <v>378</v>
      </c>
      <c r="I5563" t="s">
        <v>23</v>
      </c>
      <c r="J5563" t="s">
        <v>379</v>
      </c>
      <c r="K5563" s="2" t="s">
        <v>1072</v>
      </c>
      <c r="L5563" t="s">
        <v>26</v>
      </c>
      <c r="M5563">
        <v>307653</v>
      </c>
      <c r="N5563">
        <v>1</v>
      </c>
      <c r="O5563" s="3">
        <v>5950</v>
      </c>
      <c r="P5563" s="3">
        <v>3257</v>
      </c>
      <c r="Q5563" s="5">
        <f t="shared" si="258"/>
        <v>5000</v>
      </c>
      <c r="R5563" s="5">
        <f t="shared" si="259"/>
        <v>3257</v>
      </c>
      <c r="S5563" s="5">
        <f t="shared" si="260"/>
        <v>1743</v>
      </c>
    </row>
    <row r="5564" spans="1:19" x14ac:dyDescent="0.3">
      <c r="A5564">
        <v>195</v>
      </c>
      <c r="B5564" t="s">
        <v>6142</v>
      </c>
      <c r="C5564" t="s">
        <v>607</v>
      </c>
      <c r="D5564" s="2" t="s">
        <v>608</v>
      </c>
      <c r="E5564" t="s">
        <v>609</v>
      </c>
      <c r="F5564" t="s">
        <v>20</v>
      </c>
      <c r="G5564" t="s">
        <v>21</v>
      </c>
      <c r="H5564" t="s">
        <v>610</v>
      </c>
      <c r="I5564" t="s">
        <v>23</v>
      </c>
      <c r="J5564" t="s">
        <v>40</v>
      </c>
      <c r="K5564" s="2" t="s">
        <v>1072</v>
      </c>
      <c r="L5564" t="s">
        <v>26</v>
      </c>
      <c r="M5564">
        <v>307654</v>
      </c>
      <c r="N5564">
        <v>1</v>
      </c>
      <c r="O5564" s="3">
        <v>34990</v>
      </c>
      <c r="P5564" s="3">
        <v>14680</v>
      </c>
      <c r="Q5564" s="5">
        <f t="shared" si="258"/>
        <v>29403.361344537818</v>
      </c>
      <c r="R5564" s="5">
        <f t="shared" si="259"/>
        <v>14680</v>
      </c>
      <c r="S5564" s="5">
        <f t="shared" si="260"/>
        <v>14723.361344537818</v>
      </c>
    </row>
    <row r="5565" spans="1:19" x14ac:dyDescent="0.3">
      <c r="A5565">
        <v>195</v>
      </c>
      <c r="B5565" t="s">
        <v>6142</v>
      </c>
      <c r="C5565" t="s">
        <v>6221</v>
      </c>
      <c r="D5565" s="2" t="s">
        <v>6222</v>
      </c>
      <c r="E5565" t="s">
        <v>6223</v>
      </c>
      <c r="F5565" t="s">
        <v>20</v>
      </c>
      <c r="G5565" t="s">
        <v>21</v>
      </c>
      <c r="H5565" t="s">
        <v>3996</v>
      </c>
      <c r="I5565" t="s">
        <v>23</v>
      </c>
      <c r="J5565" t="s">
        <v>40</v>
      </c>
      <c r="K5565" s="2" t="s">
        <v>1072</v>
      </c>
      <c r="L5565" t="s">
        <v>26</v>
      </c>
      <c r="M5565">
        <v>307654</v>
      </c>
      <c r="N5565">
        <v>1</v>
      </c>
      <c r="O5565" s="3">
        <v>39990</v>
      </c>
      <c r="P5565" s="3">
        <v>18908</v>
      </c>
      <c r="Q5565" s="5">
        <f t="shared" si="258"/>
        <v>33605.042016806721</v>
      </c>
      <c r="R5565" s="5">
        <f t="shared" si="259"/>
        <v>18908</v>
      </c>
      <c r="S5565" s="5">
        <f t="shared" si="260"/>
        <v>14697.042016806721</v>
      </c>
    </row>
    <row r="5566" spans="1:19" x14ac:dyDescent="0.3">
      <c r="A5566">
        <v>195</v>
      </c>
      <c r="B5566" t="s">
        <v>6142</v>
      </c>
      <c r="C5566" t="s">
        <v>5197</v>
      </c>
      <c r="D5566" s="2" t="s">
        <v>5198</v>
      </c>
      <c r="E5566" t="s">
        <v>3323</v>
      </c>
      <c r="F5566" t="s">
        <v>20</v>
      </c>
      <c r="G5566" t="s">
        <v>21</v>
      </c>
      <c r="H5566" t="s">
        <v>625</v>
      </c>
      <c r="I5566" t="s">
        <v>23</v>
      </c>
      <c r="J5566" t="s">
        <v>35</v>
      </c>
      <c r="K5566" s="2" t="s">
        <v>1072</v>
      </c>
      <c r="L5566" t="s">
        <v>26</v>
      </c>
      <c r="M5566">
        <v>307655</v>
      </c>
      <c r="N5566">
        <v>1</v>
      </c>
      <c r="O5566" s="3">
        <v>69950</v>
      </c>
      <c r="P5566" s="3">
        <v>24956</v>
      </c>
      <c r="Q5566" s="5">
        <f t="shared" si="258"/>
        <v>58781.512605042022</v>
      </c>
      <c r="R5566" s="5">
        <f t="shared" si="259"/>
        <v>24956</v>
      </c>
      <c r="S5566" s="5">
        <f t="shared" si="260"/>
        <v>33825.512605042022</v>
      </c>
    </row>
    <row r="5567" spans="1:19" x14ac:dyDescent="0.3">
      <c r="A5567">
        <v>195</v>
      </c>
      <c r="B5567" t="s">
        <v>6142</v>
      </c>
      <c r="C5567" t="s">
        <v>3447</v>
      </c>
      <c r="D5567" s="2" t="s">
        <v>3448</v>
      </c>
      <c r="E5567" t="s">
        <v>3449</v>
      </c>
      <c r="F5567" t="s">
        <v>20</v>
      </c>
      <c r="G5567" t="s">
        <v>338</v>
      </c>
      <c r="H5567">
        <v>25366</v>
      </c>
      <c r="I5567" t="s">
        <v>23</v>
      </c>
      <c r="J5567" t="s">
        <v>35</v>
      </c>
      <c r="K5567" s="2" t="s">
        <v>1072</v>
      </c>
      <c r="L5567" t="s">
        <v>26</v>
      </c>
      <c r="M5567">
        <v>307655</v>
      </c>
      <c r="N5567">
        <v>1</v>
      </c>
      <c r="O5567" s="3">
        <v>84950</v>
      </c>
      <c r="P5567" s="3">
        <v>33157</v>
      </c>
      <c r="Q5567" s="5">
        <f t="shared" si="258"/>
        <v>71386.554621848743</v>
      </c>
      <c r="R5567" s="5">
        <f t="shared" si="259"/>
        <v>33157</v>
      </c>
      <c r="S5567" s="5">
        <f t="shared" si="260"/>
        <v>38229.554621848743</v>
      </c>
    </row>
    <row r="5568" spans="1:19" x14ac:dyDescent="0.3">
      <c r="A5568">
        <v>195</v>
      </c>
      <c r="B5568" t="s">
        <v>6142</v>
      </c>
      <c r="C5568" t="s">
        <v>5489</v>
      </c>
      <c r="D5568" s="2" t="s">
        <v>5490</v>
      </c>
      <c r="E5568" t="s">
        <v>3764</v>
      </c>
      <c r="F5568" t="s">
        <v>20</v>
      </c>
      <c r="G5568" t="s">
        <v>21</v>
      </c>
      <c r="H5568" t="s">
        <v>1282</v>
      </c>
      <c r="I5568" t="s">
        <v>23</v>
      </c>
      <c r="J5568" t="s">
        <v>40</v>
      </c>
      <c r="K5568" s="2" t="s">
        <v>1072</v>
      </c>
      <c r="L5568" t="s">
        <v>26</v>
      </c>
      <c r="M5568">
        <v>307656</v>
      </c>
      <c r="N5568">
        <v>1</v>
      </c>
      <c r="O5568" s="3">
        <v>49950</v>
      </c>
      <c r="P5568" s="3">
        <v>13922</v>
      </c>
      <c r="Q5568" s="5">
        <f t="shared" si="258"/>
        <v>41974.789915966387</v>
      </c>
      <c r="R5568" s="5">
        <f t="shared" si="259"/>
        <v>13922</v>
      </c>
      <c r="S5568" s="5">
        <f t="shared" si="260"/>
        <v>28052.789915966387</v>
      </c>
    </row>
    <row r="5569" spans="1:19" x14ac:dyDescent="0.3">
      <c r="A5569">
        <v>195</v>
      </c>
      <c r="B5569" t="s">
        <v>6142</v>
      </c>
      <c r="C5569" t="s">
        <v>1988</v>
      </c>
      <c r="D5569" s="2" t="s">
        <v>1989</v>
      </c>
      <c r="E5569" t="s">
        <v>309</v>
      </c>
      <c r="F5569" t="s">
        <v>20</v>
      </c>
      <c r="G5569" t="s">
        <v>21</v>
      </c>
      <c r="H5569" t="s">
        <v>310</v>
      </c>
      <c r="I5569" t="s">
        <v>23</v>
      </c>
      <c r="J5569" t="s">
        <v>49</v>
      </c>
      <c r="K5569" s="2" t="s">
        <v>1072</v>
      </c>
      <c r="L5569" t="s">
        <v>26</v>
      </c>
      <c r="M5569">
        <v>307657</v>
      </c>
      <c r="N5569">
        <v>1</v>
      </c>
      <c r="O5569" s="3">
        <v>44990</v>
      </c>
      <c r="P5569" s="3">
        <v>29155</v>
      </c>
      <c r="Q5569" s="5">
        <f t="shared" si="258"/>
        <v>37806.722689075636</v>
      </c>
      <c r="R5569" s="5">
        <f t="shared" si="259"/>
        <v>29155</v>
      </c>
      <c r="S5569" s="5">
        <f t="shared" si="260"/>
        <v>8651.7226890756356</v>
      </c>
    </row>
    <row r="5570" spans="1:19" x14ac:dyDescent="0.3">
      <c r="A5570">
        <v>195</v>
      </c>
      <c r="B5570" t="s">
        <v>6142</v>
      </c>
      <c r="C5570" t="s">
        <v>282</v>
      </c>
      <c r="D5570" s="2" t="s">
        <v>283</v>
      </c>
      <c r="E5570" t="s">
        <v>284</v>
      </c>
      <c r="F5570" t="s">
        <v>20</v>
      </c>
      <c r="G5570" t="s">
        <v>21</v>
      </c>
      <c r="H5570" t="s">
        <v>285</v>
      </c>
      <c r="I5570" t="s">
        <v>23</v>
      </c>
      <c r="J5570" t="s">
        <v>35</v>
      </c>
      <c r="K5570" s="2" t="s">
        <v>1072</v>
      </c>
      <c r="L5570" t="s">
        <v>26</v>
      </c>
      <c r="M5570">
        <v>307658</v>
      </c>
      <c r="N5570">
        <v>1</v>
      </c>
      <c r="O5570" s="3">
        <v>59990</v>
      </c>
      <c r="P5570" s="3">
        <v>30703</v>
      </c>
      <c r="Q5570" s="5">
        <f t="shared" si="258"/>
        <v>50411.764705882357</v>
      </c>
      <c r="R5570" s="5">
        <f t="shared" si="259"/>
        <v>30703</v>
      </c>
      <c r="S5570" s="5">
        <f t="shared" si="260"/>
        <v>19708.764705882357</v>
      </c>
    </row>
    <row r="5571" spans="1:19" x14ac:dyDescent="0.3">
      <c r="A5571">
        <v>195</v>
      </c>
      <c r="B5571" t="s">
        <v>6142</v>
      </c>
      <c r="C5571">
        <v>1687976791</v>
      </c>
      <c r="D5571" s="2" t="s">
        <v>200</v>
      </c>
      <c r="E5571" t="s">
        <v>201</v>
      </c>
      <c r="F5571" t="s">
        <v>201</v>
      </c>
      <c r="G5571" t="s">
        <v>202</v>
      </c>
      <c r="H5571" t="s">
        <v>202</v>
      </c>
      <c r="I5571" t="s">
        <v>23</v>
      </c>
      <c r="J5571" t="s">
        <v>202</v>
      </c>
      <c r="K5571" s="2" t="s">
        <v>1072</v>
      </c>
      <c r="L5571" t="s">
        <v>26</v>
      </c>
      <c r="M5571">
        <v>307658</v>
      </c>
      <c r="N5571">
        <v>1</v>
      </c>
      <c r="O5571" s="3">
        <v>1990</v>
      </c>
      <c r="P5571">
        <v>1</v>
      </c>
      <c r="Q5571" s="5">
        <f t="shared" si="258"/>
        <v>1672.2689075630253</v>
      </c>
      <c r="R5571" s="5">
        <f t="shared" si="259"/>
        <v>1</v>
      </c>
      <c r="S5571" s="5">
        <f t="shared" si="260"/>
        <v>1671.2689075630253</v>
      </c>
    </row>
    <row r="5572" spans="1:19" x14ac:dyDescent="0.3">
      <c r="A5572">
        <v>195</v>
      </c>
      <c r="B5572" t="s">
        <v>6142</v>
      </c>
      <c r="C5572" t="s">
        <v>4453</v>
      </c>
      <c r="D5572" s="2" t="s">
        <v>4454</v>
      </c>
      <c r="E5572" t="s">
        <v>4455</v>
      </c>
      <c r="F5572" t="s">
        <v>377</v>
      </c>
      <c r="G5572" t="s">
        <v>21</v>
      </c>
      <c r="H5572" t="s">
        <v>378</v>
      </c>
      <c r="I5572" t="s">
        <v>23</v>
      </c>
      <c r="J5572" t="s">
        <v>2459</v>
      </c>
      <c r="K5572" s="2" t="s">
        <v>1072</v>
      </c>
      <c r="L5572" t="s">
        <v>26</v>
      </c>
      <c r="M5572">
        <v>307659</v>
      </c>
      <c r="N5572">
        <v>1</v>
      </c>
      <c r="O5572" s="3">
        <v>3950</v>
      </c>
      <c r="P5572" s="3">
        <v>1607</v>
      </c>
      <c r="Q5572" s="5">
        <f t="shared" si="258"/>
        <v>3319.3277310924373</v>
      </c>
      <c r="R5572" s="5">
        <f t="shared" si="259"/>
        <v>1607</v>
      </c>
      <c r="S5572" s="5">
        <f t="shared" si="260"/>
        <v>1712.3277310924373</v>
      </c>
    </row>
    <row r="5573" spans="1:19" x14ac:dyDescent="0.3">
      <c r="A5573">
        <v>195</v>
      </c>
      <c r="B5573" t="s">
        <v>6142</v>
      </c>
      <c r="C5573" t="s">
        <v>1037</v>
      </c>
      <c r="D5573" s="2" t="s">
        <v>1038</v>
      </c>
      <c r="E5573" t="s">
        <v>1039</v>
      </c>
      <c r="F5573" t="s">
        <v>377</v>
      </c>
      <c r="G5573" t="s">
        <v>21</v>
      </c>
      <c r="H5573" t="s">
        <v>378</v>
      </c>
      <c r="I5573" t="s">
        <v>23</v>
      </c>
      <c r="J5573" t="s">
        <v>379</v>
      </c>
      <c r="K5573" s="2" t="s">
        <v>1072</v>
      </c>
      <c r="L5573" t="s">
        <v>26</v>
      </c>
      <c r="M5573">
        <v>307660</v>
      </c>
      <c r="N5573">
        <v>1</v>
      </c>
      <c r="O5573" s="3">
        <v>5950</v>
      </c>
      <c r="P5573" s="3">
        <v>3257</v>
      </c>
      <c r="Q5573" s="5">
        <f t="shared" si="258"/>
        <v>5000</v>
      </c>
      <c r="R5573" s="5">
        <f t="shared" si="259"/>
        <v>3257</v>
      </c>
      <c r="S5573" s="5">
        <f t="shared" si="260"/>
        <v>1743</v>
      </c>
    </row>
    <row r="5574" spans="1:19" x14ac:dyDescent="0.3">
      <c r="A5574">
        <v>195</v>
      </c>
      <c r="B5574" t="s">
        <v>6142</v>
      </c>
      <c r="C5574">
        <v>1687976791</v>
      </c>
      <c r="D5574" s="2" t="s">
        <v>200</v>
      </c>
      <c r="E5574" t="s">
        <v>201</v>
      </c>
      <c r="F5574" t="s">
        <v>201</v>
      </c>
      <c r="G5574" t="s">
        <v>202</v>
      </c>
      <c r="H5574" t="s">
        <v>202</v>
      </c>
      <c r="I5574" t="s">
        <v>23</v>
      </c>
      <c r="J5574" t="s">
        <v>202</v>
      </c>
      <c r="K5574" s="2" t="s">
        <v>2693</v>
      </c>
      <c r="L5574" t="s">
        <v>26</v>
      </c>
      <c r="M5574">
        <v>307661</v>
      </c>
      <c r="N5574">
        <v>1</v>
      </c>
      <c r="O5574">
        <v>1</v>
      </c>
      <c r="P5574">
        <v>1</v>
      </c>
      <c r="Q5574" s="5">
        <f t="shared" ref="Q5574:Q5637" si="261">O5574/1.19</f>
        <v>0.84033613445378152</v>
      </c>
      <c r="R5574" s="5">
        <f t="shared" ref="R5574:R5637" si="262">N5574*P5574</f>
        <v>1</v>
      </c>
      <c r="S5574" s="5">
        <f t="shared" ref="S5574:S5637" si="263">Q5574-R5574</f>
        <v>-0.15966386554621848</v>
      </c>
    </row>
    <row r="5575" spans="1:19" x14ac:dyDescent="0.3">
      <c r="A5575">
        <v>195</v>
      </c>
      <c r="B5575" t="s">
        <v>6142</v>
      </c>
      <c r="C5575" t="s">
        <v>2525</v>
      </c>
      <c r="D5575" s="2" t="s">
        <v>2526</v>
      </c>
      <c r="E5575" t="s">
        <v>2527</v>
      </c>
      <c r="F5575" t="s">
        <v>377</v>
      </c>
      <c r="G5575" t="s">
        <v>21</v>
      </c>
      <c r="H5575" t="s">
        <v>378</v>
      </c>
      <c r="I5575" t="s">
        <v>23</v>
      </c>
      <c r="J5575" t="s">
        <v>2459</v>
      </c>
      <c r="K5575" s="2" t="s">
        <v>2693</v>
      </c>
      <c r="L5575" t="s">
        <v>26</v>
      </c>
      <c r="M5575">
        <v>307661</v>
      </c>
      <c r="N5575">
        <v>1</v>
      </c>
      <c r="O5575" s="3">
        <v>6950</v>
      </c>
      <c r="P5575" s="3">
        <v>2964</v>
      </c>
      <c r="Q5575" s="5">
        <f t="shared" si="261"/>
        <v>5840.3361344537816</v>
      </c>
      <c r="R5575" s="5">
        <f t="shared" si="262"/>
        <v>2964</v>
      </c>
      <c r="S5575" s="5">
        <f t="shared" si="263"/>
        <v>2876.3361344537816</v>
      </c>
    </row>
    <row r="5576" spans="1:19" x14ac:dyDescent="0.3">
      <c r="A5576">
        <v>195</v>
      </c>
      <c r="B5576" t="s">
        <v>6142</v>
      </c>
      <c r="C5576" t="s">
        <v>3704</v>
      </c>
      <c r="D5576" s="2" t="s">
        <v>3705</v>
      </c>
      <c r="E5576" t="s">
        <v>2360</v>
      </c>
      <c r="F5576" t="s">
        <v>20</v>
      </c>
      <c r="G5576" t="s">
        <v>21</v>
      </c>
      <c r="H5576" t="s">
        <v>1286</v>
      </c>
      <c r="I5576" t="s">
        <v>23</v>
      </c>
      <c r="J5576" t="s">
        <v>40</v>
      </c>
      <c r="K5576" s="2" t="s">
        <v>2693</v>
      </c>
      <c r="L5576" t="s">
        <v>26</v>
      </c>
      <c r="M5576">
        <v>307662</v>
      </c>
      <c r="N5576">
        <v>1</v>
      </c>
      <c r="O5576" s="3">
        <v>49990</v>
      </c>
      <c r="P5576" s="3">
        <v>24783</v>
      </c>
      <c r="Q5576" s="5">
        <f t="shared" si="261"/>
        <v>42008.403361344543</v>
      </c>
      <c r="R5576" s="5">
        <f t="shared" si="262"/>
        <v>24783</v>
      </c>
      <c r="S5576" s="5">
        <f t="shared" si="263"/>
        <v>17225.403361344543</v>
      </c>
    </row>
    <row r="5577" spans="1:19" x14ac:dyDescent="0.3">
      <c r="A5577">
        <v>195</v>
      </c>
      <c r="B5577" t="s">
        <v>6142</v>
      </c>
      <c r="C5577">
        <v>1687976791</v>
      </c>
      <c r="D5577" s="2" t="s">
        <v>200</v>
      </c>
      <c r="E5577" t="s">
        <v>201</v>
      </c>
      <c r="F5577" t="s">
        <v>201</v>
      </c>
      <c r="G5577" t="s">
        <v>202</v>
      </c>
      <c r="H5577" t="s">
        <v>202</v>
      </c>
      <c r="I5577" t="s">
        <v>23</v>
      </c>
      <c r="J5577" t="s">
        <v>202</v>
      </c>
      <c r="K5577" s="2" t="s">
        <v>2693</v>
      </c>
      <c r="L5577" t="s">
        <v>26</v>
      </c>
      <c r="M5577">
        <v>307663</v>
      </c>
      <c r="N5577">
        <v>1</v>
      </c>
      <c r="O5577" s="3">
        <v>1990</v>
      </c>
      <c r="P5577">
        <v>1</v>
      </c>
      <c r="Q5577" s="5">
        <f t="shared" si="261"/>
        <v>1672.2689075630253</v>
      </c>
      <c r="R5577" s="5">
        <f t="shared" si="262"/>
        <v>1</v>
      </c>
      <c r="S5577" s="5">
        <f t="shared" si="263"/>
        <v>1671.2689075630253</v>
      </c>
    </row>
    <row r="5578" spans="1:19" x14ac:dyDescent="0.3">
      <c r="A5578">
        <v>195</v>
      </c>
      <c r="B5578" t="s">
        <v>6142</v>
      </c>
      <c r="C5578" t="s">
        <v>6162</v>
      </c>
      <c r="D5578" s="2" t="s">
        <v>6163</v>
      </c>
      <c r="E5578" t="s">
        <v>6164</v>
      </c>
      <c r="F5578" t="s">
        <v>20</v>
      </c>
      <c r="G5578" t="s">
        <v>21</v>
      </c>
      <c r="H5578" t="s">
        <v>2400</v>
      </c>
      <c r="I5578" t="s">
        <v>23</v>
      </c>
      <c r="J5578" t="s">
        <v>40</v>
      </c>
      <c r="K5578" s="2" t="s">
        <v>2693</v>
      </c>
      <c r="L5578" t="s">
        <v>26</v>
      </c>
      <c r="M5578">
        <v>307663</v>
      </c>
      <c r="N5578">
        <v>1</v>
      </c>
      <c r="O5578" s="3">
        <v>34990</v>
      </c>
      <c r="P5578" s="3">
        <v>14064</v>
      </c>
      <c r="Q5578" s="5">
        <f t="shared" si="261"/>
        <v>29403.361344537818</v>
      </c>
      <c r="R5578" s="5">
        <f t="shared" si="262"/>
        <v>14064</v>
      </c>
      <c r="S5578" s="5">
        <f t="shared" si="263"/>
        <v>15339.361344537818</v>
      </c>
    </row>
    <row r="5579" spans="1:19" x14ac:dyDescent="0.3">
      <c r="A5579">
        <v>195</v>
      </c>
      <c r="B5579" t="s">
        <v>6142</v>
      </c>
      <c r="C5579" t="s">
        <v>2906</v>
      </c>
      <c r="D5579" s="2" t="s">
        <v>2907</v>
      </c>
      <c r="E5579" t="s">
        <v>2311</v>
      </c>
      <c r="F5579" t="s">
        <v>20</v>
      </c>
      <c r="G5579" t="s">
        <v>338</v>
      </c>
      <c r="H5579">
        <v>83716</v>
      </c>
      <c r="I5579" t="s">
        <v>23</v>
      </c>
      <c r="J5579" t="s">
        <v>40</v>
      </c>
      <c r="K5579" s="2" t="s">
        <v>2693</v>
      </c>
      <c r="L5579" t="s">
        <v>26</v>
      </c>
      <c r="M5579">
        <v>307664</v>
      </c>
      <c r="N5579">
        <v>-1</v>
      </c>
      <c r="O5579" s="3">
        <v>-89950</v>
      </c>
      <c r="P5579" s="3">
        <v>30263</v>
      </c>
      <c r="Q5579" s="5">
        <f t="shared" si="261"/>
        <v>-75588.23529411765</v>
      </c>
      <c r="R5579" s="5">
        <f t="shared" si="262"/>
        <v>-30263</v>
      </c>
      <c r="S5579" s="5">
        <f t="shared" si="263"/>
        <v>-45325.23529411765</v>
      </c>
    </row>
    <row r="5580" spans="1:19" x14ac:dyDescent="0.3">
      <c r="A5580">
        <v>195</v>
      </c>
      <c r="B5580" t="s">
        <v>6142</v>
      </c>
      <c r="C5580" t="s">
        <v>5289</v>
      </c>
      <c r="D5580" s="2" t="s">
        <v>5290</v>
      </c>
      <c r="E5580" t="s">
        <v>3542</v>
      </c>
      <c r="F5580" t="s">
        <v>20</v>
      </c>
      <c r="G5580" t="s">
        <v>338</v>
      </c>
      <c r="H5580">
        <v>83717</v>
      </c>
      <c r="I5580" t="s">
        <v>23</v>
      </c>
      <c r="J5580" t="s">
        <v>40</v>
      </c>
      <c r="K5580" s="2" t="s">
        <v>2693</v>
      </c>
      <c r="L5580" t="s">
        <v>26</v>
      </c>
      <c r="M5580">
        <v>307664</v>
      </c>
      <c r="N5580">
        <v>1</v>
      </c>
      <c r="O5580" s="3">
        <v>89951</v>
      </c>
      <c r="P5580" s="3">
        <v>30263</v>
      </c>
      <c r="Q5580" s="5">
        <f t="shared" si="261"/>
        <v>75589.075630252104</v>
      </c>
      <c r="R5580" s="5">
        <f t="shared" si="262"/>
        <v>30263</v>
      </c>
      <c r="S5580" s="5">
        <f t="shared" si="263"/>
        <v>45326.075630252104</v>
      </c>
    </row>
    <row r="5581" spans="1:19" x14ac:dyDescent="0.3">
      <c r="A5581">
        <v>195</v>
      </c>
      <c r="B5581" t="s">
        <v>6142</v>
      </c>
      <c r="C5581" t="s">
        <v>6224</v>
      </c>
      <c r="D5581" s="2" t="s">
        <v>6225</v>
      </c>
      <c r="E5581" t="s">
        <v>3083</v>
      </c>
      <c r="F5581" t="s">
        <v>20</v>
      </c>
      <c r="G5581" t="s">
        <v>21</v>
      </c>
      <c r="H5581" t="s">
        <v>2469</v>
      </c>
      <c r="I5581" t="s">
        <v>23</v>
      </c>
      <c r="J5581" t="s">
        <v>35</v>
      </c>
      <c r="K5581" s="2" t="s">
        <v>2693</v>
      </c>
      <c r="L5581" t="s">
        <v>26</v>
      </c>
      <c r="M5581">
        <v>307665</v>
      </c>
      <c r="N5581">
        <v>1</v>
      </c>
      <c r="O5581" s="3">
        <v>84950</v>
      </c>
      <c r="P5581" s="3">
        <v>29635</v>
      </c>
      <c r="Q5581" s="5">
        <f t="shared" si="261"/>
        <v>71386.554621848743</v>
      </c>
      <c r="R5581" s="5">
        <f t="shared" si="262"/>
        <v>29635</v>
      </c>
      <c r="S5581" s="5">
        <f t="shared" si="263"/>
        <v>41751.554621848743</v>
      </c>
    </row>
    <row r="5582" spans="1:19" x14ac:dyDescent="0.3">
      <c r="A5582">
        <v>195</v>
      </c>
      <c r="B5582" t="s">
        <v>6142</v>
      </c>
      <c r="C5582" t="s">
        <v>4756</v>
      </c>
      <c r="D5582" s="2" t="s">
        <v>4757</v>
      </c>
      <c r="E5582" t="s">
        <v>4540</v>
      </c>
      <c r="F5582" t="s">
        <v>20</v>
      </c>
      <c r="G5582" t="s">
        <v>338</v>
      </c>
      <c r="H5582">
        <v>25623</v>
      </c>
      <c r="I5582" t="s">
        <v>23</v>
      </c>
      <c r="J5582" t="s">
        <v>31</v>
      </c>
      <c r="K5582" s="2" t="s">
        <v>2693</v>
      </c>
      <c r="L5582" t="s">
        <v>26</v>
      </c>
      <c r="M5582">
        <v>307666</v>
      </c>
      <c r="N5582">
        <v>1</v>
      </c>
      <c r="O5582" s="3">
        <v>99950</v>
      </c>
      <c r="P5582" s="3">
        <v>33748</v>
      </c>
      <c r="Q5582" s="5">
        <f t="shared" si="261"/>
        <v>83991.596638655465</v>
      </c>
      <c r="R5582" s="5">
        <f t="shared" si="262"/>
        <v>33748</v>
      </c>
      <c r="S5582" s="5">
        <f t="shared" si="263"/>
        <v>50243.596638655465</v>
      </c>
    </row>
    <row r="5583" spans="1:19" x14ac:dyDescent="0.3">
      <c r="A5583">
        <v>195</v>
      </c>
      <c r="B5583" t="s">
        <v>6142</v>
      </c>
      <c r="C5583" t="s">
        <v>3556</v>
      </c>
      <c r="D5583" s="2" t="s">
        <v>3557</v>
      </c>
      <c r="E5583" t="s">
        <v>2837</v>
      </c>
      <c r="F5583" t="s">
        <v>20</v>
      </c>
      <c r="G5583" t="s">
        <v>21</v>
      </c>
      <c r="H5583" t="s">
        <v>272</v>
      </c>
      <c r="I5583" t="s">
        <v>23</v>
      </c>
      <c r="J5583" t="s">
        <v>40</v>
      </c>
      <c r="K5583" s="2" t="s">
        <v>2693</v>
      </c>
      <c r="L5583" t="s">
        <v>26</v>
      </c>
      <c r="M5583">
        <v>307667</v>
      </c>
      <c r="N5583">
        <v>1</v>
      </c>
      <c r="O5583" s="3">
        <v>74950</v>
      </c>
      <c r="P5583" s="3">
        <v>26159</v>
      </c>
      <c r="Q5583" s="5">
        <f t="shared" si="261"/>
        <v>62983.193277310929</v>
      </c>
      <c r="R5583" s="5">
        <f t="shared" si="262"/>
        <v>26159</v>
      </c>
      <c r="S5583" s="5">
        <f t="shared" si="263"/>
        <v>36824.193277310929</v>
      </c>
    </row>
    <row r="5584" spans="1:19" x14ac:dyDescent="0.3">
      <c r="A5584">
        <v>195</v>
      </c>
      <c r="B5584" t="s">
        <v>6142</v>
      </c>
      <c r="C5584" t="s">
        <v>3401</v>
      </c>
      <c r="D5584" s="2" t="s">
        <v>3402</v>
      </c>
      <c r="E5584" t="s">
        <v>3403</v>
      </c>
      <c r="F5584" t="s">
        <v>377</v>
      </c>
      <c r="G5584" t="s">
        <v>21</v>
      </c>
      <c r="H5584" t="s">
        <v>378</v>
      </c>
      <c r="I5584" t="s">
        <v>23</v>
      </c>
      <c r="J5584" t="s">
        <v>3297</v>
      </c>
      <c r="K5584" s="2" t="s">
        <v>2693</v>
      </c>
      <c r="L5584" t="s">
        <v>26</v>
      </c>
      <c r="M5584">
        <v>307668</v>
      </c>
      <c r="N5584">
        <v>1</v>
      </c>
      <c r="O5584">
        <v>500</v>
      </c>
      <c r="P5584">
        <v>418</v>
      </c>
      <c r="Q5584" s="5">
        <f t="shared" si="261"/>
        <v>420.1680672268908</v>
      </c>
      <c r="R5584" s="5">
        <f t="shared" si="262"/>
        <v>418</v>
      </c>
      <c r="S5584" s="5">
        <f t="shared" si="263"/>
        <v>2.1680672268907983</v>
      </c>
    </row>
    <row r="5585" spans="1:19" x14ac:dyDescent="0.3">
      <c r="A5585">
        <v>195</v>
      </c>
      <c r="B5585" t="s">
        <v>6142</v>
      </c>
      <c r="C5585" t="s">
        <v>6226</v>
      </c>
      <c r="D5585" s="2" t="s">
        <v>6227</v>
      </c>
      <c r="E5585" t="s">
        <v>6228</v>
      </c>
      <c r="F5585" t="s">
        <v>377</v>
      </c>
      <c r="G5585" t="s">
        <v>21</v>
      </c>
      <c r="H5585" t="s">
        <v>378</v>
      </c>
      <c r="I5585" t="s">
        <v>23</v>
      </c>
      <c r="J5585" t="s">
        <v>2459</v>
      </c>
      <c r="K5585" s="2" t="s">
        <v>2693</v>
      </c>
      <c r="L5585" t="s">
        <v>26</v>
      </c>
      <c r="M5585">
        <v>307669</v>
      </c>
      <c r="N5585">
        <v>1</v>
      </c>
      <c r="O5585" s="3">
        <v>6950</v>
      </c>
      <c r="P5585" s="3">
        <v>4514</v>
      </c>
      <c r="Q5585" s="5">
        <f t="shared" si="261"/>
        <v>5840.3361344537816</v>
      </c>
      <c r="R5585" s="5">
        <f t="shared" si="262"/>
        <v>4514</v>
      </c>
      <c r="S5585" s="5">
        <f t="shared" si="263"/>
        <v>1326.3361344537816</v>
      </c>
    </row>
    <row r="5586" spans="1:19" x14ac:dyDescent="0.3">
      <c r="A5586">
        <v>195</v>
      </c>
      <c r="B5586" t="s">
        <v>6142</v>
      </c>
      <c r="C5586" t="s">
        <v>6229</v>
      </c>
      <c r="D5586" s="2" t="s">
        <v>6230</v>
      </c>
      <c r="E5586" t="s">
        <v>3804</v>
      </c>
      <c r="F5586" t="s">
        <v>20</v>
      </c>
      <c r="G5586" t="s">
        <v>338</v>
      </c>
      <c r="H5586">
        <v>24200</v>
      </c>
      <c r="I5586" t="s">
        <v>23</v>
      </c>
      <c r="J5586" t="s">
        <v>95</v>
      </c>
      <c r="K5586" s="2" t="s">
        <v>2693</v>
      </c>
      <c r="L5586" t="s">
        <v>26</v>
      </c>
      <c r="M5586">
        <v>307670</v>
      </c>
      <c r="N5586">
        <v>1</v>
      </c>
      <c r="O5586" s="3">
        <v>84950</v>
      </c>
      <c r="P5586" s="3">
        <v>26375</v>
      </c>
      <c r="Q5586" s="5">
        <f t="shared" si="261"/>
        <v>71386.554621848743</v>
      </c>
      <c r="R5586" s="5">
        <f t="shared" si="262"/>
        <v>26375</v>
      </c>
      <c r="S5586" s="5">
        <f t="shared" si="263"/>
        <v>45011.554621848743</v>
      </c>
    </row>
    <row r="5587" spans="1:19" x14ac:dyDescent="0.3">
      <c r="A5587">
        <v>195</v>
      </c>
      <c r="B5587" t="s">
        <v>6142</v>
      </c>
      <c r="C5587" t="s">
        <v>5475</v>
      </c>
      <c r="D5587" s="2" t="s">
        <v>5476</v>
      </c>
      <c r="E5587" t="s">
        <v>4257</v>
      </c>
      <c r="F5587" t="s">
        <v>20</v>
      </c>
      <c r="G5587" t="s">
        <v>338</v>
      </c>
      <c r="H5587">
        <v>25702</v>
      </c>
      <c r="I5587" t="s">
        <v>23</v>
      </c>
      <c r="J5587" t="s">
        <v>35</v>
      </c>
      <c r="K5587" s="2" t="s">
        <v>2693</v>
      </c>
      <c r="L5587" t="s">
        <v>26</v>
      </c>
      <c r="M5587">
        <v>307670</v>
      </c>
      <c r="N5587">
        <v>1</v>
      </c>
      <c r="O5587" s="3">
        <v>93450</v>
      </c>
      <c r="P5587" s="3">
        <v>34974</v>
      </c>
      <c r="Q5587" s="5">
        <f t="shared" si="261"/>
        <v>78529.411764705888</v>
      </c>
      <c r="R5587" s="5">
        <f t="shared" si="262"/>
        <v>34974</v>
      </c>
      <c r="S5587" s="5">
        <f t="shared" si="263"/>
        <v>43555.411764705888</v>
      </c>
    </row>
    <row r="5588" spans="1:19" x14ac:dyDescent="0.3">
      <c r="A5588">
        <v>195</v>
      </c>
      <c r="B5588" t="s">
        <v>6142</v>
      </c>
      <c r="C5588" t="s">
        <v>4167</v>
      </c>
      <c r="D5588" s="2" t="s">
        <v>4168</v>
      </c>
      <c r="E5588" t="s">
        <v>3691</v>
      </c>
      <c r="F5588" t="s">
        <v>20</v>
      </c>
      <c r="G5588" t="s">
        <v>338</v>
      </c>
      <c r="H5588">
        <v>23727</v>
      </c>
      <c r="I5588" t="s">
        <v>23</v>
      </c>
      <c r="J5588" t="s">
        <v>40</v>
      </c>
      <c r="K5588" s="2" t="s">
        <v>2693</v>
      </c>
      <c r="L5588" t="s">
        <v>26</v>
      </c>
      <c r="M5588">
        <v>307671</v>
      </c>
      <c r="N5588">
        <v>1</v>
      </c>
      <c r="O5588" s="3">
        <v>49990</v>
      </c>
      <c r="P5588" s="3">
        <v>26539</v>
      </c>
      <c r="Q5588" s="5">
        <f t="shared" si="261"/>
        <v>42008.403361344543</v>
      </c>
      <c r="R5588" s="5">
        <f t="shared" si="262"/>
        <v>26539</v>
      </c>
      <c r="S5588" s="5">
        <f t="shared" si="263"/>
        <v>15469.403361344543</v>
      </c>
    </row>
    <row r="5589" spans="1:19" x14ac:dyDescent="0.3">
      <c r="A5589">
        <v>195</v>
      </c>
      <c r="B5589" t="s">
        <v>6142</v>
      </c>
      <c r="C5589" t="s">
        <v>4874</v>
      </c>
      <c r="D5589" s="2" t="s">
        <v>4875</v>
      </c>
      <c r="E5589" t="s">
        <v>3757</v>
      </c>
      <c r="F5589" t="s">
        <v>20</v>
      </c>
      <c r="G5589" t="s">
        <v>338</v>
      </c>
      <c r="H5589">
        <v>23732</v>
      </c>
      <c r="I5589" t="s">
        <v>23</v>
      </c>
      <c r="J5589" t="s">
        <v>40</v>
      </c>
      <c r="K5589" s="2" t="s">
        <v>2693</v>
      </c>
      <c r="L5589" t="s">
        <v>26</v>
      </c>
      <c r="M5589">
        <v>307671</v>
      </c>
      <c r="N5589">
        <v>1</v>
      </c>
      <c r="O5589" s="3">
        <v>67950</v>
      </c>
      <c r="P5589" s="3">
        <v>26539</v>
      </c>
      <c r="Q5589" s="5">
        <f t="shared" si="261"/>
        <v>57100.840336134454</v>
      </c>
      <c r="R5589" s="5">
        <f t="shared" si="262"/>
        <v>26539</v>
      </c>
      <c r="S5589" s="5">
        <f t="shared" si="263"/>
        <v>30561.840336134454</v>
      </c>
    </row>
    <row r="5590" spans="1:19" x14ac:dyDescent="0.3">
      <c r="A5590">
        <v>195</v>
      </c>
      <c r="B5590" t="s">
        <v>6142</v>
      </c>
      <c r="C5590" t="s">
        <v>3898</v>
      </c>
      <c r="D5590" s="2" t="s">
        <v>3899</v>
      </c>
      <c r="E5590" t="s">
        <v>2741</v>
      </c>
      <c r="F5590" t="s">
        <v>20</v>
      </c>
      <c r="G5590" t="s">
        <v>21</v>
      </c>
      <c r="H5590" t="s">
        <v>2494</v>
      </c>
      <c r="I5590" t="s">
        <v>23</v>
      </c>
      <c r="J5590" t="s">
        <v>40</v>
      </c>
      <c r="K5590" s="2" t="s">
        <v>2693</v>
      </c>
      <c r="L5590" t="s">
        <v>26</v>
      </c>
      <c r="M5590">
        <v>307672</v>
      </c>
      <c r="N5590">
        <v>1</v>
      </c>
      <c r="O5590" s="3">
        <v>69950</v>
      </c>
      <c r="P5590" s="3">
        <v>23470</v>
      </c>
      <c r="Q5590" s="5">
        <f t="shared" si="261"/>
        <v>58781.512605042022</v>
      </c>
      <c r="R5590" s="5">
        <f t="shared" si="262"/>
        <v>23470</v>
      </c>
      <c r="S5590" s="5">
        <f t="shared" si="263"/>
        <v>35311.512605042022</v>
      </c>
    </row>
    <row r="5591" spans="1:19" x14ac:dyDescent="0.3">
      <c r="A5591">
        <v>195</v>
      </c>
      <c r="B5591" t="s">
        <v>6142</v>
      </c>
      <c r="C5591" t="s">
        <v>3230</v>
      </c>
      <c r="D5591" s="2" t="s">
        <v>3231</v>
      </c>
      <c r="E5591" t="s">
        <v>3183</v>
      </c>
      <c r="F5591" t="s">
        <v>20</v>
      </c>
      <c r="G5591" t="s">
        <v>21</v>
      </c>
      <c r="H5591" t="s">
        <v>614</v>
      </c>
      <c r="I5591" t="s">
        <v>23</v>
      </c>
      <c r="J5591" t="s">
        <v>40</v>
      </c>
      <c r="K5591" s="2" t="s">
        <v>2693</v>
      </c>
      <c r="L5591" t="s">
        <v>26</v>
      </c>
      <c r="M5591">
        <v>307673</v>
      </c>
      <c r="N5591">
        <v>1</v>
      </c>
      <c r="O5591" s="3">
        <v>39990</v>
      </c>
      <c r="P5591" s="3">
        <v>17378</v>
      </c>
      <c r="Q5591" s="5">
        <f t="shared" si="261"/>
        <v>33605.042016806721</v>
      </c>
      <c r="R5591" s="5">
        <f t="shared" si="262"/>
        <v>17378</v>
      </c>
      <c r="S5591" s="5">
        <f t="shared" si="263"/>
        <v>16227.042016806721</v>
      </c>
    </row>
    <row r="5592" spans="1:19" x14ac:dyDescent="0.3">
      <c r="A5592">
        <v>195</v>
      </c>
      <c r="B5592" t="s">
        <v>6142</v>
      </c>
      <c r="C5592" t="s">
        <v>6231</v>
      </c>
      <c r="D5592" s="2" t="s">
        <v>6232</v>
      </c>
      <c r="E5592" t="s">
        <v>4411</v>
      </c>
      <c r="F5592" t="s">
        <v>20</v>
      </c>
      <c r="G5592" t="s">
        <v>21</v>
      </c>
      <c r="H5592" t="s">
        <v>614</v>
      </c>
      <c r="I5592" t="s">
        <v>23</v>
      </c>
      <c r="J5592" t="s">
        <v>40</v>
      </c>
      <c r="K5592" s="2" t="s">
        <v>2751</v>
      </c>
      <c r="L5592" t="s">
        <v>26</v>
      </c>
      <c r="M5592">
        <v>307674</v>
      </c>
      <c r="N5592">
        <v>1</v>
      </c>
      <c r="O5592" s="3">
        <v>39990</v>
      </c>
      <c r="P5592" s="3">
        <v>14614</v>
      </c>
      <c r="Q5592" s="5">
        <f t="shared" si="261"/>
        <v>33605.042016806721</v>
      </c>
      <c r="R5592" s="5">
        <f t="shared" si="262"/>
        <v>14614</v>
      </c>
      <c r="S5592" s="5">
        <f t="shared" si="263"/>
        <v>18991.042016806721</v>
      </c>
    </row>
    <row r="5593" spans="1:19" x14ac:dyDescent="0.3">
      <c r="A5593">
        <v>195</v>
      </c>
      <c r="B5593" t="s">
        <v>6142</v>
      </c>
      <c r="C5593" t="s">
        <v>3787</v>
      </c>
      <c r="D5593" s="2" t="s">
        <v>3788</v>
      </c>
      <c r="E5593" t="s">
        <v>2748</v>
      </c>
      <c r="F5593" t="s">
        <v>20</v>
      </c>
      <c r="G5593" t="s">
        <v>338</v>
      </c>
      <c r="H5593">
        <v>26266</v>
      </c>
      <c r="I5593" t="s">
        <v>23</v>
      </c>
      <c r="J5593" t="s">
        <v>35</v>
      </c>
      <c r="K5593" s="2" t="s">
        <v>2751</v>
      </c>
      <c r="L5593" t="s">
        <v>26</v>
      </c>
      <c r="M5593">
        <v>307675</v>
      </c>
      <c r="N5593">
        <v>1</v>
      </c>
      <c r="O5593" s="3">
        <v>79950</v>
      </c>
      <c r="P5593" s="3">
        <v>25300</v>
      </c>
      <c r="Q5593" s="5">
        <f t="shared" si="261"/>
        <v>67184.873949579836</v>
      </c>
      <c r="R5593" s="5">
        <f t="shared" si="262"/>
        <v>25300</v>
      </c>
      <c r="S5593" s="5">
        <f t="shared" si="263"/>
        <v>41884.873949579836</v>
      </c>
    </row>
    <row r="5594" spans="1:19" x14ac:dyDescent="0.3">
      <c r="A5594">
        <v>195</v>
      </c>
      <c r="B5594" t="s">
        <v>6142</v>
      </c>
      <c r="C5594" t="s">
        <v>3089</v>
      </c>
      <c r="D5594" s="2" t="s">
        <v>3090</v>
      </c>
      <c r="E5594" t="s">
        <v>3091</v>
      </c>
      <c r="F5594" t="s">
        <v>20</v>
      </c>
      <c r="G5594" t="s">
        <v>338</v>
      </c>
      <c r="H5594">
        <v>26266</v>
      </c>
      <c r="I5594" t="s">
        <v>23</v>
      </c>
      <c r="J5594" t="s">
        <v>35</v>
      </c>
      <c r="K5594" s="2" t="s">
        <v>2751</v>
      </c>
      <c r="L5594" t="s">
        <v>26</v>
      </c>
      <c r="M5594">
        <v>307675</v>
      </c>
      <c r="N5594">
        <v>1</v>
      </c>
      <c r="O5594" s="3">
        <v>79950</v>
      </c>
      <c r="P5594" s="3">
        <v>25300</v>
      </c>
      <c r="Q5594" s="5">
        <f t="shared" si="261"/>
        <v>67184.873949579836</v>
      </c>
      <c r="R5594" s="5">
        <f t="shared" si="262"/>
        <v>25300</v>
      </c>
      <c r="S5594" s="5">
        <f t="shared" si="263"/>
        <v>41884.873949579836</v>
      </c>
    </row>
    <row r="5595" spans="1:19" x14ac:dyDescent="0.3">
      <c r="A5595">
        <v>195</v>
      </c>
      <c r="B5595" t="s">
        <v>6142</v>
      </c>
      <c r="C5595" t="s">
        <v>1037</v>
      </c>
      <c r="D5595" s="2" t="s">
        <v>1038</v>
      </c>
      <c r="E5595" t="s">
        <v>1039</v>
      </c>
      <c r="F5595" t="s">
        <v>377</v>
      </c>
      <c r="G5595" t="s">
        <v>21</v>
      </c>
      <c r="H5595" t="s">
        <v>378</v>
      </c>
      <c r="I5595" t="s">
        <v>23</v>
      </c>
      <c r="J5595" t="s">
        <v>379</v>
      </c>
      <c r="K5595" s="2" t="s">
        <v>2751</v>
      </c>
      <c r="L5595" t="s">
        <v>26</v>
      </c>
      <c r="M5595">
        <v>307675</v>
      </c>
      <c r="N5595">
        <v>1</v>
      </c>
      <c r="O5595" s="3">
        <v>5950</v>
      </c>
      <c r="P5595" s="3">
        <v>3257</v>
      </c>
      <c r="Q5595" s="5">
        <f t="shared" si="261"/>
        <v>5000</v>
      </c>
      <c r="R5595" s="5">
        <f t="shared" si="262"/>
        <v>3257</v>
      </c>
      <c r="S5595" s="5">
        <f t="shared" si="263"/>
        <v>1743</v>
      </c>
    </row>
    <row r="5596" spans="1:19" x14ac:dyDescent="0.3">
      <c r="A5596">
        <v>195</v>
      </c>
      <c r="B5596" t="s">
        <v>6142</v>
      </c>
      <c r="C5596" t="s">
        <v>5634</v>
      </c>
      <c r="D5596" s="2" t="s">
        <v>5635</v>
      </c>
      <c r="E5596" t="s">
        <v>2490</v>
      </c>
      <c r="F5596" t="s">
        <v>20</v>
      </c>
      <c r="G5596" t="s">
        <v>21</v>
      </c>
      <c r="H5596" t="s">
        <v>44</v>
      </c>
      <c r="I5596" t="s">
        <v>23</v>
      </c>
      <c r="J5596" t="s">
        <v>40</v>
      </c>
      <c r="K5596" s="2" t="s">
        <v>2751</v>
      </c>
      <c r="L5596" t="s">
        <v>26</v>
      </c>
      <c r="M5596">
        <v>307676</v>
      </c>
      <c r="N5596">
        <v>1</v>
      </c>
      <c r="O5596" s="3">
        <v>39990</v>
      </c>
      <c r="P5596" s="3">
        <v>15254</v>
      </c>
      <c r="Q5596" s="5">
        <f t="shared" si="261"/>
        <v>33605.042016806721</v>
      </c>
      <c r="R5596" s="5">
        <f t="shared" si="262"/>
        <v>15254</v>
      </c>
      <c r="S5596" s="5">
        <f t="shared" si="263"/>
        <v>18351.042016806721</v>
      </c>
    </row>
    <row r="5597" spans="1:19" x14ac:dyDescent="0.3">
      <c r="A5597">
        <v>195</v>
      </c>
      <c r="B5597" t="s">
        <v>6142</v>
      </c>
      <c r="C5597" t="s">
        <v>2365</v>
      </c>
      <c r="D5597" s="2" t="s">
        <v>2366</v>
      </c>
      <c r="E5597" t="s">
        <v>2367</v>
      </c>
      <c r="F5597" t="s">
        <v>377</v>
      </c>
      <c r="G5597" t="s">
        <v>21</v>
      </c>
      <c r="H5597" t="s">
        <v>378</v>
      </c>
      <c r="I5597" t="s">
        <v>23</v>
      </c>
      <c r="J5597" t="s">
        <v>379</v>
      </c>
      <c r="K5597" s="2" t="s">
        <v>2751</v>
      </c>
      <c r="L5597" t="s">
        <v>26</v>
      </c>
      <c r="M5597">
        <v>307677</v>
      </c>
      <c r="N5597">
        <v>1</v>
      </c>
      <c r="O5597" s="3">
        <v>6950</v>
      </c>
      <c r="P5597" s="3">
        <v>3759</v>
      </c>
      <c r="Q5597" s="5">
        <f t="shared" si="261"/>
        <v>5840.3361344537816</v>
      </c>
      <c r="R5597" s="5">
        <f t="shared" si="262"/>
        <v>3759</v>
      </c>
      <c r="S5597" s="5">
        <f t="shared" si="263"/>
        <v>2081.3361344537816</v>
      </c>
    </row>
    <row r="5598" spans="1:19" x14ac:dyDescent="0.3">
      <c r="A5598">
        <v>195</v>
      </c>
      <c r="B5598" t="s">
        <v>6142</v>
      </c>
      <c r="C5598" t="s">
        <v>3401</v>
      </c>
      <c r="D5598" s="2" t="s">
        <v>3402</v>
      </c>
      <c r="E5598" t="s">
        <v>3403</v>
      </c>
      <c r="F5598" t="s">
        <v>377</v>
      </c>
      <c r="G5598" t="s">
        <v>21</v>
      </c>
      <c r="H5598" t="s">
        <v>378</v>
      </c>
      <c r="I5598" t="s">
        <v>23</v>
      </c>
      <c r="J5598" t="s">
        <v>3297</v>
      </c>
      <c r="K5598" s="2" t="s">
        <v>2751</v>
      </c>
      <c r="L5598" t="s">
        <v>26</v>
      </c>
      <c r="M5598">
        <v>307678</v>
      </c>
      <c r="N5598">
        <v>1</v>
      </c>
      <c r="O5598">
        <v>500</v>
      </c>
      <c r="P5598">
        <v>418</v>
      </c>
      <c r="Q5598" s="5">
        <f t="shared" si="261"/>
        <v>420.1680672268908</v>
      </c>
      <c r="R5598" s="5">
        <f t="shared" si="262"/>
        <v>418</v>
      </c>
      <c r="S5598" s="5">
        <f t="shared" si="263"/>
        <v>2.1680672268907983</v>
      </c>
    </row>
    <row r="5599" spans="1:19" x14ac:dyDescent="0.3">
      <c r="A5599">
        <v>195</v>
      </c>
      <c r="B5599" t="s">
        <v>6142</v>
      </c>
      <c r="C5599" t="s">
        <v>5992</v>
      </c>
      <c r="D5599" s="2" t="s">
        <v>5993</v>
      </c>
      <c r="E5599" t="s">
        <v>3168</v>
      </c>
      <c r="F5599" t="s">
        <v>20</v>
      </c>
      <c r="G5599" t="s">
        <v>338</v>
      </c>
      <c r="H5599">
        <v>23731</v>
      </c>
      <c r="I5599" t="s">
        <v>23</v>
      </c>
      <c r="J5599" t="s">
        <v>40</v>
      </c>
      <c r="K5599" s="2" t="s">
        <v>2751</v>
      </c>
      <c r="L5599" t="s">
        <v>26</v>
      </c>
      <c r="M5599">
        <v>307679</v>
      </c>
      <c r="N5599">
        <v>1</v>
      </c>
      <c r="O5599" s="3">
        <v>69950</v>
      </c>
      <c r="P5599" s="3">
        <v>23119</v>
      </c>
      <c r="Q5599" s="5">
        <f t="shared" si="261"/>
        <v>58781.512605042022</v>
      </c>
      <c r="R5599" s="5">
        <f t="shared" si="262"/>
        <v>23119</v>
      </c>
      <c r="S5599" s="5">
        <f t="shared" si="263"/>
        <v>35662.512605042022</v>
      </c>
    </row>
    <row r="5600" spans="1:19" x14ac:dyDescent="0.3">
      <c r="A5600">
        <v>195</v>
      </c>
      <c r="B5600" t="s">
        <v>6142</v>
      </c>
      <c r="C5600" t="s">
        <v>3230</v>
      </c>
      <c r="D5600" s="2" t="s">
        <v>3231</v>
      </c>
      <c r="E5600" t="s">
        <v>3183</v>
      </c>
      <c r="F5600" t="s">
        <v>20</v>
      </c>
      <c r="G5600" t="s">
        <v>21</v>
      </c>
      <c r="H5600" t="s">
        <v>614</v>
      </c>
      <c r="I5600" t="s">
        <v>23</v>
      </c>
      <c r="J5600" t="s">
        <v>40</v>
      </c>
      <c r="K5600" s="2" t="s">
        <v>2751</v>
      </c>
      <c r="L5600" t="s">
        <v>26</v>
      </c>
      <c r="M5600">
        <v>307680</v>
      </c>
      <c r="N5600">
        <v>1</v>
      </c>
      <c r="O5600" s="3">
        <v>39990</v>
      </c>
      <c r="P5600" s="3">
        <v>17378</v>
      </c>
      <c r="Q5600" s="5">
        <f t="shared" si="261"/>
        <v>33605.042016806721</v>
      </c>
      <c r="R5600" s="5">
        <f t="shared" si="262"/>
        <v>17378</v>
      </c>
      <c r="S5600" s="5">
        <f t="shared" si="263"/>
        <v>16227.042016806721</v>
      </c>
    </row>
    <row r="5601" spans="1:19" x14ac:dyDescent="0.3">
      <c r="A5601">
        <v>195</v>
      </c>
      <c r="B5601" t="s">
        <v>6142</v>
      </c>
      <c r="C5601" t="s">
        <v>6233</v>
      </c>
      <c r="D5601" s="2" t="s">
        <v>6234</v>
      </c>
      <c r="E5601" t="s">
        <v>6212</v>
      </c>
      <c r="F5601" t="s">
        <v>20</v>
      </c>
      <c r="G5601" t="s">
        <v>21</v>
      </c>
      <c r="H5601" t="s">
        <v>794</v>
      </c>
      <c r="I5601" t="s">
        <v>23</v>
      </c>
      <c r="J5601" t="s">
        <v>40</v>
      </c>
      <c r="K5601" s="2" t="s">
        <v>2751</v>
      </c>
      <c r="L5601" t="s">
        <v>26</v>
      </c>
      <c r="M5601">
        <v>307680</v>
      </c>
      <c r="N5601">
        <v>1</v>
      </c>
      <c r="O5601" s="3">
        <v>39990</v>
      </c>
      <c r="P5601" s="3">
        <v>21101</v>
      </c>
      <c r="Q5601" s="5">
        <f t="shared" si="261"/>
        <v>33605.042016806721</v>
      </c>
      <c r="R5601" s="5">
        <f t="shared" si="262"/>
        <v>21101</v>
      </c>
      <c r="S5601" s="5">
        <f t="shared" si="263"/>
        <v>12504.042016806721</v>
      </c>
    </row>
    <row r="5602" spans="1:19" x14ac:dyDescent="0.3">
      <c r="A5602">
        <v>195</v>
      </c>
      <c r="B5602" t="s">
        <v>6142</v>
      </c>
      <c r="C5602" t="s">
        <v>6235</v>
      </c>
      <c r="D5602" s="2" t="s">
        <v>6236</v>
      </c>
      <c r="E5602" t="s">
        <v>5984</v>
      </c>
      <c r="F5602" t="s">
        <v>20</v>
      </c>
      <c r="G5602" t="s">
        <v>21</v>
      </c>
      <c r="H5602" t="s">
        <v>30</v>
      </c>
      <c r="I5602" t="s">
        <v>23</v>
      </c>
      <c r="J5602" t="s">
        <v>49</v>
      </c>
      <c r="K5602" s="2" t="s">
        <v>1152</v>
      </c>
      <c r="L5602" t="s">
        <v>2249</v>
      </c>
      <c r="M5602">
        <v>25382</v>
      </c>
      <c r="N5602">
        <v>-1</v>
      </c>
      <c r="O5602" s="3">
        <v>-69950</v>
      </c>
      <c r="P5602" s="3">
        <v>16827</v>
      </c>
      <c r="Q5602" s="5">
        <f t="shared" si="261"/>
        <v>-58781.512605042022</v>
      </c>
      <c r="R5602" s="5">
        <f t="shared" si="262"/>
        <v>-16827</v>
      </c>
      <c r="S5602" s="5">
        <f t="shared" si="263"/>
        <v>-41954.512605042022</v>
      </c>
    </row>
    <row r="5603" spans="1:19" x14ac:dyDescent="0.3">
      <c r="A5603">
        <v>195</v>
      </c>
      <c r="B5603" t="s">
        <v>6142</v>
      </c>
      <c r="C5603" t="s">
        <v>5634</v>
      </c>
      <c r="D5603" s="2" t="s">
        <v>5635</v>
      </c>
      <c r="E5603" t="s">
        <v>2490</v>
      </c>
      <c r="F5603" t="s">
        <v>20</v>
      </c>
      <c r="G5603" t="s">
        <v>21</v>
      </c>
      <c r="H5603" t="s">
        <v>44</v>
      </c>
      <c r="I5603" t="s">
        <v>23</v>
      </c>
      <c r="J5603" t="s">
        <v>40</v>
      </c>
      <c r="K5603" s="2" t="s">
        <v>1152</v>
      </c>
      <c r="L5603" t="s">
        <v>2249</v>
      </c>
      <c r="M5603">
        <v>25382</v>
      </c>
      <c r="N5603">
        <v>-1</v>
      </c>
      <c r="O5603" s="3">
        <v>-39990</v>
      </c>
      <c r="P5603" s="3">
        <v>15254</v>
      </c>
      <c r="Q5603" s="5">
        <f t="shared" si="261"/>
        <v>-33605.042016806721</v>
      </c>
      <c r="R5603" s="5">
        <f t="shared" si="262"/>
        <v>-15254</v>
      </c>
      <c r="S5603" s="5">
        <f t="shared" si="263"/>
        <v>-18351.042016806721</v>
      </c>
    </row>
    <row r="5604" spans="1:19" x14ac:dyDescent="0.3">
      <c r="A5604">
        <v>195</v>
      </c>
      <c r="B5604" t="s">
        <v>6142</v>
      </c>
      <c r="C5604" t="s">
        <v>1700</v>
      </c>
      <c r="D5604" s="2" t="s">
        <v>1701</v>
      </c>
      <c r="E5604" t="s">
        <v>1702</v>
      </c>
      <c r="F5604" t="s">
        <v>20</v>
      </c>
      <c r="G5604" t="s">
        <v>21</v>
      </c>
      <c r="H5604" t="s">
        <v>1703</v>
      </c>
      <c r="I5604" t="s">
        <v>23</v>
      </c>
      <c r="J5604" t="s">
        <v>49</v>
      </c>
      <c r="K5604" s="2" t="s">
        <v>1152</v>
      </c>
      <c r="L5604" t="s">
        <v>26</v>
      </c>
      <c r="M5604">
        <v>307681</v>
      </c>
      <c r="N5604">
        <v>1</v>
      </c>
      <c r="O5604" s="3">
        <v>59990</v>
      </c>
      <c r="P5604" s="3">
        <v>22864</v>
      </c>
      <c r="Q5604" s="5">
        <f t="shared" si="261"/>
        <v>50411.764705882357</v>
      </c>
      <c r="R5604" s="5">
        <f t="shared" si="262"/>
        <v>22864</v>
      </c>
      <c r="S5604" s="5">
        <f t="shared" si="263"/>
        <v>27547.764705882357</v>
      </c>
    </row>
    <row r="5605" spans="1:19" x14ac:dyDescent="0.3">
      <c r="A5605">
        <v>195</v>
      </c>
      <c r="B5605" t="s">
        <v>6142</v>
      </c>
      <c r="C5605" t="s">
        <v>3401</v>
      </c>
      <c r="D5605" s="2" t="s">
        <v>3402</v>
      </c>
      <c r="E5605" t="s">
        <v>3403</v>
      </c>
      <c r="F5605" t="s">
        <v>377</v>
      </c>
      <c r="G5605" t="s">
        <v>21</v>
      </c>
      <c r="H5605" t="s">
        <v>378</v>
      </c>
      <c r="I5605" t="s">
        <v>23</v>
      </c>
      <c r="J5605" t="s">
        <v>3297</v>
      </c>
      <c r="K5605" s="2" t="s">
        <v>1152</v>
      </c>
      <c r="L5605" t="s">
        <v>26</v>
      </c>
      <c r="M5605">
        <v>307682</v>
      </c>
      <c r="N5605">
        <v>1</v>
      </c>
      <c r="O5605">
        <v>500</v>
      </c>
      <c r="P5605">
        <v>418</v>
      </c>
      <c r="Q5605" s="5">
        <f t="shared" si="261"/>
        <v>420.1680672268908</v>
      </c>
      <c r="R5605" s="5">
        <f t="shared" si="262"/>
        <v>418</v>
      </c>
      <c r="S5605" s="5">
        <f t="shared" si="263"/>
        <v>2.1680672268907983</v>
      </c>
    </row>
    <row r="5606" spans="1:19" x14ac:dyDescent="0.3">
      <c r="A5606">
        <v>195</v>
      </c>
      <c r="B5606" t="s">
        <v>6142</v>
      </c>
      <c r="C5606" t="s">
        <v>2767</v>
      </c>
      <c r="D5606" s="2" t="s">
        <v>2768</v>
      </c>
      <c r="E5606" t="s">
        <v>1336</v>
      </c>
      <c r="F5606" t="s">
        <v>20</v>
      </c>
      <c r="G5606" t="s">
        <v>21</v>
      </c>
      <c r="H5606" t="s">
        <v>1337</v>
      </c>
      <c r="I5606" t="s">
        <v>23</v>
      </c>
      <c r="J5606" t="s">
        <v>49</v>
      </c>
      <c r="K5606" s="2" t="s">
        <v>1152</v>
      </c>
      <c r="L5606" t="s">
        <v>26</v>
      </c>
      <c r="M5606">
        <v>307683</v>
      </c>
      <c r="N5606">
        <v>1</v>
      </c>
      <c r="O5606" s="3">
        <v>59950</v>
      </c>
      <c r="P5606" s="3">
        <v>19179</v>
      </c>
      <c r="Q5606" s="5">
        <f t="shared" si="261"/>
        <v>50378.151260504201</v>
      </c>
      <c r="R5606" s="5">
        <f t="shared" si="262"/>
        <v>19179</v>
      </c>
      <c r="S5606" s="5">
        <f t="shared" si="263"/>
        <v>31199.151260504201</v>
      </c>
    </row>
    <row r="5607" spans="1:19" x14ac:dyDescent="0.3">
      <c r="A5607">
        <v>195</v>
      </c>
      <c r="B5607" t="s">
        <v>6142</v>
      </c>
      <c r="C5607" t="s">
        <v>6235</v>
      </c>
      <c r="D5607" s="2" t="s">
        <v>6236</v>
      </c>
      <c r="E5607" t="s">
        <v>5984</v>
      </c>
      <c r="F5607" t="s">
        <v>20</v>
      </c>
      <c r="G5607" t="s">
        <v>21</v>
      </c>
      <c r="H5607" t="s">
        <v>30</v>
      </c>
      <c r="I5607" t="s">
        <v>23</v>
      </c>
      <c r="J5607" t="s">
        <v>49</v>
      </c>
      <c r="K5607" s="2" t="s">
        <v>1152</v>
      </c>
      <c r="L5607" t="s">
        <v>26</v>
      </c>
      <c r="M5607">
        <v>307684</v>
      </c>
      <c r="N5607">
        <v>1</v>
      </c>
      <c r="O5607" s="3">
        <v>69950</v>
      </c>
      <c r="P5607" s="3">
        <v>16827</v>
      </c>
      <c r="Q5607" s="5">
        <f t="shared" si="261"/>
        <v>58781.512605042022</v>
      </c>
      <c r="R5607" s="5">
        <f t="shared" si="262"/>
        <v>16827</v>
      </c>
      <c r="S5607" s="5">
        <f t="shared" si="263"/>
        <v>41954.512605042022</v>
      </c>
    </row>
    <row r="5608" spans="1:19" x14ac:dyDescent="0.3">
      <c r="A5608">
        <v>195</v>
      </c>
      <c r="B5608" t="s">
        <v>6142</v>
      </c>
      <c r="C5608" t="s">
        <v>6193</v>
      </c>
      <c r="D5608" s="2" t="s">
        <v>6194</v>
      </c>
      <c r="E5608" t="s">
        <v>5633</v>
      </c>
      <c r="F5608" t="s">
        <v>20</v>
      </c>
      <c r="G5608" t="s">
        <v>21</v>
      </c>
      <c r="H5608" t="s">
        <v>1755</v>
      </c>
      <c r="I5608" t="s">
        <v>23</v>
      </c>
      <c r="J5608" t="s">
        <v>40</v>
      </c>
      <c r="K5608" s="2" t="s">
        <v>1152</v>
      </c>
      <c r="L5608" t="s">
        <v>26</v>
      </c>
      <c r="M5608">
        <v>307684</v>
      </c>
      <c r="N5608">
        <v>-1</v>
      </c>
      <c r="O5608" s="3">
        <v>-49990</v>
      </c>
      <c r="P5608" s="3">
        <v>28528</v>
      </c>
      <c r="Q5608" s="5">
        <f t="shared" si="261"/>
        <v>-42008.403361344543</v>
      </c>
      <c r="R5608" s="5">
        <f t="shared" si="262"/>
        <v>-28528</v>
      </c>
      <c r="S5608" s="5">
        <f t="shared" si="263"/>
        <v>-13480.403361344543</v>
      </c>
    </row>
    <row r="5609" spans="1:19" x14ac:dyDescent="0.3">
      <c r="A5609">
        <v>195</v>
      </c>
      <c r="B5609" t="s">
        <v>6142</v>
      </c>
      <c r="C5609" t="s">
        <v>5634</v>
      </c>
      <c r="D5609" s="2" t="s">
        <v>5635</v>
      </c>
      <c r="E5609" t="s">
        <v>2490</v>
      </c>
      <c r="F5609" t="s">
        <v>20</v>
      </c>
      <c r="G5609" t="s">
        <v>21</v>
      </c>
      <c r="H5609" t="s">
        <v>44</v>
      </c>
      <c r="I5609" t="s">
        <v>23</v>
      </c>
      <c r="J5609" t="s">
        <v>40</v>
      </c>
      <c r="K5609" s="2" t="s">
        <v>1152</v>
      </c>
      <c r="L5609" t="s">
        <v>26</v>
      </c>
      <c r="M5609">
        <v>307684</v>
      </c>
      <c r="N5609">
        <v>1</v>
      </c>
      <c r="O5609" s="3">
        <v>39990</v>
      </c>
      <c r="P5609" s="3">
        <v>15254</v>
      </c>
      <c r="Q5609" s="5">
        <f t="shared" si="261"/>
        <v>33605.042016806721</v>
      </c>
      <c r="R5609" s="5">
        <f t="shared" si="262"/>
        <v>15254</v>
      </c>
      <c r="S5609" s="5">
        <f t="shared" si="263"/>
        <v>18351.042016806721</v>
      </c>
    </row>
    <row r="5610" spans="1:19" x14ac:dyDescent="0.3">
      <c r="A5610">
        <v>195</v>
      </c>
      <c r="B5610" t="s">
        <v>6142</v>
      </c>
      <c r="C5610" t="s">
        <v>5634</v>
      </c>
      <c r="D5610" s="2" t="s">
        <v>5635</v>
      </c>
      <c r="E5610" t="s">
        <v>2490</v>
      </c>
      <c r="F5610" t="s">
        <v>20</v>
      </c>
      <c r="G5610" t="s">
        <v>21</v>
      </c>
      <c r="H5610" t="s">
        <v>44</v>
      </c>
      <c r="I5610" t="s">
        <v>23</v>
      </c>
      <c r="J5610" t="s">
        <v>40</v>
      </c>
      <c r="K5610" s="2" t="s">
        <v>1152</v>
      </c>
      <c r="L5610" t="s">
        <v>26</v>
      </c>
      <c r="M5610">
        <v>307685</v>
      </c>
      <c r="N5610">
        <v>1</v>
      </c>
      <c r="O5610" s="3">
        <v>39990</v>
      </c>
      <c r="P5610" s="3">
        <v>15254</v>
      </c>
      <c r="Q5610" s="5">
        <f t="shared" si="261"/>
        <v>33605.042016806721</v>
      </c>
      <c r="R5610" s="5">
        <f t="shared" si="262"/>
        <v>15254</v>
      </c>
      <c r="S5610" s="5">
        <f t="shared" si="263"/>
        <v>18351.042016806721</v>
      </c>
    </row>
    <row r="5611" spans="1:19" x14ac:dyDescent="0.3">
      <c r="A5611">
        <v>195</v>
      </c>
      <c r="B5611" t="s">
        <v>6142</v>
      </c>
      <c r="C5611" t="s">
        <v>3401</v>
      </c>
      <c r="D5611" s="2" t="s">
        <v>3402</v>
      </c>
      <c r="E5611" t="s">
        <v>3403</v>
      </c>
      <c r="F5611" t="s">
        <v>377</v>
      </c>
      <c r="G5611" t="s">
        <v>21</v>
      </c>
      <c r="H5611" t="s">
        <v>378</v>
      </c>
      <c r="I5611" t="s">
        <v>23</v>
      </c>
      <c r="J5611" t="s">
        <v>3297</v>
      </c>
      <c r="K5611" s="2" t="s">
        <v>1152</v>
      </c>
      <c r="L5611" t="s">
        <v>26</v>
      </c>
      <c r="M5611">
        <v>307686</v>
      </c>
      <c r="N5611">
        <v>1</v>
      </c>
      <c r="O5611">
        <v>500</v>
      </c>
      <c r="P5611">
        <v>418</v>
      </c>
      <c r="Q5611" s="5">
        <f t="shared" si="261"/>
        <v>420.1680672268908</v>
      </c>
      <c r="R5611" s="5">
        <f t="shared" si="262"/>
        <v>418</v>
      </c>
      <c r="S5611" s="5">
        <f t="shared" si="263"/>
        <v>2.1680672268907983</v>
      </c>
    </row>
    <row r="5612" spans="1:19" x14ac:dyDescent="0.3">
      <c r="A5612">
        <v>195</v>
      </c>
      <c r="B5612" t="s">
        <v>6142</v>
      </c>
      <c r="C5612" t="s">
        <v>6235</v>
      </c>
      <c r="D5612" s="2" t="s">
        <v>6236</v>
      </c>
      <c r="E5612" t="s">
        <v>5984</v>
      </c>
      <c r="F5612" t="s">
        <v>20</v>
      </c>
      <c r="G5612" t="s">
        <v>21</v>
      </c>
      <c r="H5612" t="s">
        <v>30</v>
      </c>
      <c r="I5612" t="s">
        <v>23</v>
      </c>
      <c r="J5612" t="s">
        <v>49</v>
      </c>
      <c r="K5612" s="2" t="s">
        <v>1152</v>
      </c>
      <c r="L5612" t="s">
        <v>26</v>
      </c>
      <c r="M5612">
        <v>307687</v>
      </c>
      <c r="N5612">
        <v>1</v>
      </c>
      <c r="O5612" s="3">
        <v>69950</v>
      </c>
      <c r="P5612" s="3">
        <v>16827</v>
      </c>
      <c r="Q5612" s="5">
        <f t="shared" si="261"/>
        <v>58781.512605042022</v>
      </c>
      <c r="R5612" s="5">
        <f t="shared" si="262"/>
        <v>16827</v>
      </c>
      <c r="S5612" s="5">
        <f t="shared" si="263"/>
        <v>41954.512605042022</v>
      </c>
    </row>
    <row r="5613" spans="1:19" x14ac:dyDescent="0.3">
      <c r="A5613">
        <v>195</v>
      </c>
      <c r="B5613" t="s">
        <v>6142</v>
      </c>
      <c r="C5613" t="s">
        <v>6193</v>
      </c>
      <c r="D5613" s="2" t="s">
        <v>6194</v>
      </c>
      <c r="E5613" t="s">
        <v>5633</v>
      </c>
      <c r="F5613" t="s">
        <v>20</v>
      </c>
      <c r="G5613" t="s">
        <v>21</v>
      </c>
      <c r="H5613" t="s">
        <v>1755</v>
      </c>
      <c r="I5613" t="s">
        <v>23</v>
      </c>
      <c r="J5613" t="s">
        <v>40</v>
      </c>
      <c r="K5613" s="2" t="s">
        <v>1152</v>
      </c>
      <c r="L5613" t="s">
        <v>26</v>
      </c>
      <c r="M5613">
        <v>307687</v>
      </c>
      <c r="N5613">
        <v>-1</v>
      </c>
      <c r="O5613" s="3">
        <v>-49990</v>
      </c>
      <c r="P5613" s="3">
        <v>28528</v>
      </c>
      <c r="Q5613" s="5">
        <f t="shared" si="261"/>
        <v>-42008.403361344543</v>
      </c>
      <c r="R5613" s="5">
        <f t="shared" si="262"/>
        <v>-28528</v>
      </c>
      <c r="S5613" s="5">
        <f t="shared" si="263"/>
        <v>-13480.403361344543</v>
      </c>
    </row>
    <row r="5614" spans="1:19" x14ac:dyDescent="0.3">
      <c r="A5614">
        <v>195</v>
      </c>
      <c r="B5614" t="s">
        <v>6142</v>
      </c>
      <c r="C5614" t="s">
        <v>6193</v>
      </c>
      <c r="D5614" s="2" t="s">
        <v>6194</v>
      </c>
      <c r="E5614" t="s">
        <v>5633</v>
      </c>
      <c r="F5614" t="s">
        <v>20</v>
      </c>
      <c r="G5614" t="s">
        <v>21</v>
      </c>
      <c r="H5614" t="s">
        <v>1755</v>
      </c>
      <c r="I5614" t="s">
        <v>23</v>
      </c>
      <c r="J5614" t="s">
        <v>40</v>
      </c>
      <c r="K5614" s="2" t="s">
        <v>1152</v>
      </c>
      <c r="L5614" t="s">
        <v>26</v>
      </c>
      <c r="M5614">
        <v>307688</v>
      </c>
      <c r="N5614">
        <v>1</v>
      </c>
      <c r="O5614" s="3">
        <v>49990</v>
      </c>
      <c r="P5614" s="3">
        <v>28528</v>
      </c>
      <c r="Q5614" s="5">
        <f t="shared" si="261"/>
        <v>42008.403361344543</v>
      </c>
      <c r="R5614" s="5">
        <f t="shared" si="262"/>
        <v>28528</v>
      </c>
      <c r="S5614" s="5">
        <f t="shared" si="263"/>
        <v>13480.403361344543</v>
      </c>
    </row>
    <row r="5615" spans="1:19" x14ac:dyDescent="0.3">
      <c r="A5615">
        <v>195</v>
      </c>
      <c r="B5615" t="s">
        <v>6142</v>
      </c>
      <c r="C5615" t="s">
        <v>3401</v>
      </c>
      <c r="D5615" s="2" t="s">
        <v>3402</v>
      </c>
      <c r="E5615" t="s">
        <v>3403</v>
      </c>
      <c r="F5615" t="s">
        <v>377</v>
      </c>
      <c r="G5615" t="s">
        <v>21</v>
      </c>
      <c r="H5615" t="s">
        <v>378</v>
      </c>
      <c r="I5615" t="s">
        <v>23</v>
      </c>
      <c r="J5615" t="s">
        <v>3297</v>
      </c>
      <c r="K5615" s="2" t="s">
        <v>1152</v>
      </c>
      <c r="L5615" t="s">
        <v>26</v>
      </c>
      <c r="M5615">
        <v>307689</v>
      </c>
      <c r="N5615">
        <v>1</v>
      </c>
      <c r="O5615">
        <v>500</v>
      </c>
      <c r="P5615">
        <v>418</v>
      </c>
      <c r="Q5615" s="5">
        <f t="shared" si="261"/>
        <v>420.1680672268908</v>
      </c>
      <c r="R5615" s="5">
        <f t="shared" si="262"/>
        <v>418</v>
      </c>
      <c r="S5615" s="5">
        <f t="shared" si="263"/>
        <v>2.1680672268907983</v>
      </c>
    </row>
    <row r="5616" spans="1:19" x14ac:dyDescent="0.3">
      <c r="A5616">
        <v>195</v>
      </c>
      <c r="B5616" t="s">
        <v>6142</v>
      </c>
      <c r="C5616" t="s">
        <v>2644</v>
      </c>
      <c r="D5616" s="2" t="s">
        <v>2645</v>
      </c>
      <c r="E5616" t="s">
        <v>428</v>
      </c>
      <c r="F5616" t="s">
        <v>20</v>
      </c>
      <c r="G5616" t="s">
        <v>21</v>
      </c>
      <c r="H5616" t="s">
        <v>429</v>
      </c>
      <c r="I5616" t="s">
        <v>23</v>
      </c>
      <c r="J5616" t="s">
        <v>49</v>
      </c>
      <c r="K5616" s="2" t="s">
        <v>1309</v>
      </c>
      <c r="L5616" t="s">
        <v>26</v>
      </c>
      <c r="M5616">
        <v>307690</v>
      </c>
      <c r="N5616">
        <v>1</v>
      </c>
      <c r="O5616" s="3">
        <v>59990</v>
      </c>
      <c r="P5616" s="3">
        <v>28864</v>
      </c>
      <c r="Q5616" s="5">
        <f t="shared" si="261"/>
        <v>50411.764705882357</v>
      </c>
      <c r="R5616" s="5">
        <f t="shared" si="262"/>
        <v>28864</v>
      </c>
      <c r="S5616" s="5">
        <f t="shared" si="263"/>
        <v>21547.764705882357</v>
      </c>
    </row>
    <row r="5617" spans="1:19" x14ac:dyDescent="0.3">
      <c r="A5617">
        <v>195</v>
      </c>
      <c r="B5617" t="s">
        <v>6142</v>
      </c>
      <c r="C5617" t="s">
        <v>2285</v>
      </c>
      <c r="D5617" s="2" t="s">
        <v>2286</v>
      </c>
      <c r="E5617" t="s">
        <v>2287</v>
      </c>
      <c r="F5617" t="s">
        <v>20</v>
      </c>
      <c r="G5617" t="s">
        <v>21</v>
      </c>
      <c r="H5617" t="s">
        <v>429</v>
      </c>
      <c r="I5617" t="s">
        <v>23</v>
      </c>
      <c r="J5617" t="s">
        <v>49</v>
      </c>
      <c r="K5617" s="2" t="s">
        <v>1309</v>
      </c>
      <c r="L5617" t="s">
        <v>26</v>
      </c>
      <c r="M5617">
        <v>307691</v>
      </c>
      <c r="N5617">
        <v>1</v>
      </c>
      <c r="O5617" s="3">
        <v>49990</v>
      </c>
      <c r="P5617" s="3">
        <v>31855</v>
      </c>
      <c r="Q5617" s="5">
        <f t="shared" si="261"/>
        <v>42008.403361344543</v>
      </c>
      <c r="R5617" s="5">
        <f t="shared" si="262"/>
        <v>31855</v>
      </c>
      <c r="S5617" s="5">
        <f t="shared" si="263"/>
        <v>10153.403361344543</v>
      </c>
    </row>
    <row r="5618" spans="1:19" x14ac:dyDescent="0.3">
      <c r="A5618">
        <v>195</v>
      </c>
      <c r="B5618" t="s">
        <v>6142</v>
      </c>
      <c r="C5618" t="s">
        <v>6237</v>
      </c>
      <c r="D5618" s="2" t="s">
        <v>6238</v>
      </c>
      <c r="E5618" t="s">
        <v>2143</v>
      </c>
      <c r="F5618" t="s">
        <v>20</v>
      </c>
      <c r="G5618" t="s">
        <v>338</v>
      </c>
      <c r="H5618">
        <v>23732</v>
      </c>
      <c r="I5618" t="s">
        <v>23</v>
      </c>
      <c r="J5618" t="s">
        <v>40</v>
      </c>
      <c r="K5618" s="2" t="s">
        <v>1309</v>
      </c>
      <c r="L5618" t="s">
        <v>26</v>
      </c>
      <c r="M5618">
        <v>307692</v>
      </c>
      <c r="N5618">
        <v>1</v>
      </c>
      <c r="O5618" s="3">
        <v>59990</v>
      </c>
      <c r="P5618" s="3">
        <v>26539</v>
      </c>
      <c r="Q5618" s="5">
        <f t="shared" si="261"/>
        <v>50411.764705882357</v>
      </c>
      <c r="R5618" s="5">
        <f t="shared" si="262"/>
        <v>26539</v>
      </c>
      <c r="S5618" s="5">
        <f t="shared" si="263"/>
        <v>23872.764705882357</v>
      </c>
    </row>
    <row r="5619" spans="1:19" x14ac:dyDescent="0.3">
      <c r="A5619">
        <v>195</v>
      </c>
      <c r="B5619" t="s">
        <v>6142</v>
      </c>
      <c r="C5619" t="s">
        <v>3529</v>
      </c>
      <c r="D5619" s="2" t="s">
        <v>3530</v>
      </c>
      <c r="E5619" t="s">
        <v>3531</v>
      </c>
      <c r="F5619" t="s">
        <v>20</v>
      </c>
      <c r="G5619" t="s">
        <v>338</v>
      </c>
      <c r="H5619">
        <v>84316</v>
      </c>
      <c r="I5619" t="s">
        <v>23</v>
      </c>
      <c r="J5619" t="s">
        <v>49</v>
      </c>
      <c r="K5619" s="2" t="s">
        <v>1309</v>
      </c>
      <c r="L5619" t="s">
        <v>26</v>
      </c>
      <c r="M5619">
        <v>307693</v>
      </c>
      <c r="N5619">
        <v>1</v>
      </c>
      <c r="O5619" s="3">
        <v>67460</v>
      </c>
      <c r="P5619" s="3">
        <v>31128</v>
      </c>
      <c r="Q5619" s="5">
        <f t="shared" si="261"/>
        <v>56689.075630252104</v>
      </c>
      <c r="R5619" s="5">
        <f t="shared" si="262"/>
        <v>31128</v>
      </c>
      <c r="S5619" s="5">
        <f t="shared" si="263"/>
        <v>25561.075630252104</v>
      </c>
    </row>
    <row r="5620" spans="1:19" x14ac:dyDescent="0.3">
      <c r="A5620">
        <v>195</v>
      </c>
      <c r="B5620" t="s">
        <v>6142</v>
      </c>
      <c r="C5620" t="s">
        <v>3401</v>
      </c>
      <c r="D5620" s="2" t="s">
        <v>3402</v>
      </c>
      <c r="E5620" t="s">
        <v>3403</v>
      </c>
      <c r="F5620" t="s">
        <v>377</v>
      </c>
      <c r="G5620" t="s">
        <v>21</v>
      </c>
      <c r="H5620" t="s">
        <v>378</v>
      </c>
      <c r="I5620" t="s">
        <v>23</v>
      </c>
      <c r="J5620" t="s">
        <v>3297</v>
      </c>
      <c r="K5620" s="2" t="s">
        <v>1309</v>
      </c>
      <c r="L5620" t="s">
        <v>26</v>
      </c>
      <c r="M5620">
        <v>307694</v>
      </c>
      <c r="N5620">
        <v>1</v>
      </c>
      <c r="O5620">
        <v>500</v>
      </c>
      <c r="P5620">
        <v>418</v>
      </c>
      <c r="Q5620" s="5">
        <f t="shared" si="261"/>
        <v>420.1680672268908</v>
      </c>
      <c r="R5620" s="5">
        <f t="shared" si="262"/>
        <v>418</v>
      </c>
      <c r="S5620" s="5">
        <f t="shared" si="263"/>
        <v>2.1680672268907983</v>
      </c>
    </row>
    <row r="5621" spans="1:19" x14ac:dyDescent="0.3">
      <c r="A5621">
        <v>195</v>
      </c>
      <c r="B5621" t="s">
        <v>6142</v>
      </c>
      <c r="C5621" t="s">
        <v>6239</v>
      </c>
      <c r="D5621" s="2" t="s">
        <v>6240</v>
      </c>
      <c r="E5621" t="s">
        <v>2930</v>
      </c>
      <c r="F5621" t="s">
        <v>20</v>
      </c>
      <c r="G5621" t="s">
        <v>21</v>
      </c>
      <c r="H5621" t="s">
        <v>1703</v>
      </c>
      <c r="I5621" t="s">
        <v>23</v>
      </c>
      <c r="J5621" t="s">
        <v>49</v>
      </c>
      <c r="K5621" s="2" t="s">
        <v>1309</v>
      </c>
      <c r="L5621" t="s">
        <v>26</v>
      </c>
      <c r="M5621">
        <v>307695</v>
      </c>
      <c r="N5621">
        <v>1</v>
      </c>
      <c r="O5621" s="3">
        <v>74950</v>
      </c>
      <c r="P5621" s="3">
        <v>26457</v>
      </c>
      <c r="Q5621" s="5">
        <f t="shared" si="261"/>
        <v>62983.193277310929</v>
      </c>
      <c r="R5621" s="5">
        <f t="shared" si="262"/>
        <v>26457</v>
      </c>
      <c r="S5621" s="5">
        <f t="shared" si="263"/>
        <v>36526.193277310929</v>
      </c>
    </row>
    <row r="5622" spans="1:19" x14ac:dyDescent="0.3">
      <c r="A5622">
        <v>195</v>
      </c>
      <c r="B5622" t="s">
        <v>6142</v>
      </c>
      <c r="C5622" t="s">
        <v>6241</v>
      </c>
      <c r="D5622" s="2" t="s">
        <v>6242</v>
      </c>
      <c r="E5622" t="s">
        <v>68</v>
      </c>
      <c r="F5622" t="s">
        <v>20</v>
      </c>
      <c r="G5622" t="s">
        <v>21</v>
      </c>
      <c r="H5622" t="s">
        <v>44</v>
      </c>
      <c r="I5622" t="s">
        <v>23</v>
      </c>
      <c r="J5622" t="s">
        <v>40</v>
      </c>
      <c r="K5622" s="2" t="s">
        <v>1309</v>
      </c>
      <c r="L5622" t="s">
        <v>26</v>
      </c>
      <c r="M5622">
        <v>307696</v>
      </c>
      <c r="N5622">
        <v>1</v>
      </c>
      <c r="O5622" s="3">
        <v>59950</v>
      </c>
      <c r="P5622" s="3">
        <v>14287</v>
      </c>
      <c r="Q5622" s="5">
        <f t="shared" si="261"/>
        <v>50378.151260504201</v>
      </c>
      <c r="R5622" s="5">
        <f t="shared" si="262"/>
        <v>14287</v>
      </c>
      <c r="S5622" s="5">
        <f t="shared" si="263"/>
        <v>36091.151260504201</v>
      </c>
    </row>
    <row r="5623" spans="1:19" x14ac:dyDescent="0.3">
      <c r="A5623">
        <v>195</v>
      </c>
      <c r="B5623" t="s">
        <v>6142</v>
      </c>
      <c r="C5623" t="s">
        <v>5651</v>
      </c>
      <c r="D5623" s="2" t="s">
        <v>5652</v>
      </c>
      <c r="E5623" t="s">
        <v>2490</v>
      </c>
      <c r="F5623" t="s">
        <v>20</v>
      </c>
      <c r="G5623" t="s">
        <v>21</v>
      </c>
      <c r="H5623" t="s">
        <v>44</v>
      </c>
      <c r="I5623" t="s">
        <v>23</v>
      </c>
      <c r="J5623" t="s">
        <v>40</v>
      </c>
      <c r="K5623" s="2" t="s">
        <v>1309</v>
      </c>
      <c r="L5623" t="s">
        <v>26</v>
      </c>
      <c r="M5623">
        <v>307696</v>
      </c>
      <c r="N5623">
        <v>1</v>
      </c>
      <c r="O5623" s="3">
        <v>39990</v>
      </c>
      <c r="P5623" s="3">
        <v>15254</v>
      </c>
      <c r="Q5623" s="5">
        <f t="shared" si="261"/>
        <v>33605.042016806721</v>
      </c>
      <c r="R5623" s="5">
        <f t="shared" si="262"/>
        <v>15254</v>
      </c>
      <c r="S5623" s="5">
        <f t="shared" si="263"/>
        <v>18351.042016806721</v>
      </c>
    </row>
    <row r="5624" spans="1:19" x14ac:dyDescent="0.3">
      <c r="A5624">
        <v>195</v>
      </c>
      <c r="B5624" t="s">
        <v>6142</v>
      </c>
      <c r="C5624" t="s">
        <v>6243</v>
      </c>
      <c r="D5624" s="2" t="s">
        <v>6244</v>
      </c>
      <c r="E5624" t="s">
        <v>1214</v>
      </c>
      <c r="F5624" t="s">
        <v>20</v>
      </c>
      <c r="G5624" t="s">
        <v>21</v>
      </c>
      <c r="H5624" t="s">
        <v>224</v>
      </c>
      <c r="I5624" t="s">
        <v>23</v>
      </c>
      <c r="J5624" t="s">
        <v>49</v>
      </c>
      <c r="K5624" s="2" t="s">
        <v>1365</v>
      </c>
      <c r="L5624" t="s">
        <v>26</v>
      </c>
      <c r="M5624">
        <v>307697</v>
      </c>
      <c r="N5624">
        <v>-1</v>
      </c>
      <c r="O5624" s="3">
        <v>-49990</v>
      </c>
      <c r="P5624" s="3">
        <v>25246</v>
      </c>
      <c r="Q5624" s="5">
        <f t="shared" si="261"/>
        <v>-42008.403361344543</v>
      </c>
      <c r="R5624" s="5">
        <f t="shared" si="262"/>
        <v>-25246</v>
      </c>
      <c r="S5624" s="5">
        <f t="shared" si="263"/>
        <v>-16762.403361344543</v>
      </c>
    </row>
    <row r="5625" spans="1:19" x14ac:dyDescent="0.3">
      <c r="A5625">
        <v>195</v>
      </c>
      <c r="B5625" t="s">
        <v>6142</v>
      </c>
      <c r="C5625" t="s">
        <v>6245</v>
      </c>
      <c r="D5625" s="2" t="s">
        <v>6246</v>
      </c>
      <c r="E5625" t="s">
        <v>3148</v>
      </c>
      <c r="F5625" t="s">
        <v>20</v>
      </c>
      <c r="G5625" t="s">
        <v>338</v>
      </c>
      <c r="H5625">
        <v>23313</v>
      </c>
      <c r="I5625" t="s">
        <v>23</v>
      </c>
      <c r="J5625" t="s">
        <v>40</v>
      </c>
      <c r="K5625" s="2" t="s">
        <v>1365</v>
      </c>
      <c r="L5625" t="s">
        <v>26</v>
      </c>
      <c r="M5625">
        <v>307697</v>
      </c>
      <c r="N5625">
        <v>1</v>
      </c>
      <c r="O5625" s="3">
        <v>49991</v>
      </c>
      <c r="P5625" s="3">
        <v>23466</v>
      </c>
      <c r="Q5625" s="5">
        <f t="shared" si="261"/>
        <v>42009.243697478996</v>
      </c>
      <c r="R5625" s="5">
        <f t="shared" si="262"/>
        <v>23466</v>
      </c>
      <c r="S5625" s="5">
        <f t="shared" si="263"/>
        <v>18543.243697478996</v>
      </c>
    </row>
    <row r="5626" spans="1:19" x14ac:dyDescent="0.3">
      <c r="A5626">
        <v>195</v>
      </c>
      <c r="B5626" t="s">
        <v>6142</v>
      </c>
      <c r="C5626" t="s">
        <v>2625</v>
      </c>
      <c r="D5626" s="2" t="s">
        <v>2626</v>
      </c>
      <c r="E5626" t="s">
        <v>2539</v>
      </c>
      <c r="F5626" t="s">
        <v>20</v>
      </c>
      <c r="G5626" t="s">
        <v>21</v>
      </c>
      <c r="H5626" t="s">
        <v>966</v>
      </c>
      <c r="I5626" t="s">
        <v>23</v>
      </c>
      <c r="J5626" t="s">
        <v>35</v>
      </c>
      <c r="K5626" s="2" t="s">
        <v>1365</v>
      </c>
      <c r="L5626" t="s">
        <v>26</v>
      </c>
      <c r="M5626">
        <v>307698</v>
      </c>
      <c r="N5626">
        <v>1</v>
      </c>
      <c r="O5626" s="3">
        <v>74950</v>
      </c>
      <c r="P5626" s="3">
        <v>27026</v>
      </c>
      <c r="Q5626" s="5">
        <f t="shared" si="261"/>
        <v>62983.193277310929</v>
      </c>
      <c r="R5626" s="5">
        <f t="shared" si="262"/>
        <v>27026</v>
      </c>
      <c r="S5626" s="5">
        <f t="shared" si="263"/>
        <v>35957.193277310929</v>
      </c>
    </row>
    <row r="5627" spans="1:19" x14ac:dyDescent="0.3">
      <c r="A5627">
        <v>195</v>
      </c>
      <c r="B5627" t="s">
        <v>6142</v>
      </c>
      <c r="C5627" t="s">
        <v>6247</v>
      </c>
      <c r="D5627" s="2" t="s">
        <v>6248</v>
      </c>
      <c r="E5627" t="s">
        <v>3893</v>
      </c>
      <c r="F5627" t="s">
        <v>20</v>
      </c>
      <c r="G5627" t="s">
        <v>21</v>
      </c>
      <c r="H5627" t="s">
        <v>2364</v>
      </c>
      <c r="I5627" t="s">
        <v>23</v>
      </c>
      <c r="J5627" t="s">
        <v>40</v>
      </c>
      <c r="K5627" s="2" t="s">
        <v>1365</v>
      </c>
      <c r="L5627" t="s">
        <v>26</v>
      </c>
      <c r="M5627">
        <v>307699</v>
      </c>
      <c r="N5627">
        <v>1</v>
      </c>
      <c r="O5627" s="3">
        <v>39990</v>
      </c>
      <c r="P5627" s="3">
        <v>30479</v>
      </c>
      <c r="Q5627" s="5">
        <f t="shared" si="261"/>
        <v>33605.042016806721</v>
      </c>
      <c r="R5627" s="5">
        <f t="shared" si="262"/>
        <v>30479</v>
      </c>
      <c r="S5627" s="5">
        <f t="shared" si="263"/>
        <v>3126.0420168067212</v>
      </c>
    </row>
    <row r="5628" spans="1:19" x14ac:dyDescent="0.3">
      <c r="A5628">
        <v>195</v>
      </c>
      <c r="B5628" t="s">
        <v>6142</v>
      </c>
      <c r="C5628" t="s">
        <v>4570</v>
      </c>
      <c r="D5628" s="2" t="s">
        <v>4571</v>
      </c>
      <c r="E5628" t="s">
        <v>4296</v>
      </c>
      <c r="F5628" t="s">
        <v>20</v>
      </c>
      <c r="G5628" t="s">
        <v>338</v>
      </c>
      <c r="H5628">
        <v>25321</v>
      </c>
      <c r="I5628" t="s">
        <v>23</v>
      </c>
      <c r="J5628" t="s">
        <v>35</v>
      </c>
      <c r="K5628" s="2" t="s">
        <v>1365</v>
      </c>
      <c r="L5628" t="s">
        <v>26</v>
      </c>
      <c r="M5628">
        <v>307700</v>
      </c>
      <c r="N5628">
        <v>1</v>
      </c>
      <c r="O5628" s="3">
        <v>109950</v>
      </c>
      <c r="P5628" s="3">
        <v>33748</v>
      </c>
      <c r="Q5628" s="5">
        <f t="shared" si="261"/>
        <v>92394.957983193279</v>
      </c>
      <c r="R5628" s="5">
        <f t="shared" si="262"/>
        <v>33748</v>
      </c>
      <c r="S5628" s="5">
        <f t="shared" si="263"/>
        <v>58646.957983193279</v>
      </c>
    </row>
    <row r="5629" spans="1:19" x14ac:dyDescent="0.3">
      <c r="A5629">
        <v>195</v>
      </c>
      <c r="B5629" t="s">
        <v>6142</v>
      </c>
      <c r="C5629" t="s">
        <v>1169</v>
      </c>
      <c r="D5629" s="2" t="s">
        <v>1170</v>
      </c>
      <c r="E5629" t="s">
        <v>1171</v>
      </c>
      <c r="F5629" t="s">
        <v>20</v>
      </c>
      <c r="G5629" t="s">
        <v>21</v>
      </c>
      <c r="H5629" t="s">
        <v>500</v>
      </c>
      <c r="I5629" t="s">
        <v>23</v>
      </c>
      <c r="J5629" t="s">
        <v>40</v>
      </c>
      <c r="K5629" s="2" t="s">
        <v>1365</v>
      </c>
      <c r="L5629" t="s">
        <v>26</v>
      </c>
      <c r="M5629">
        <v>307701</v>
      </c>
      <c r="N5629">
        <v>1</v>
      </c>
      <c r="O5629" s="3">
        <v>59950</v>
      </c>
      <c r="P5629" s="3">
        <v>17416</v>
      </c>
      <c r="Q5629" s="5">
        <f t="shared" si="261"/>
        <v>50378.151260504201</v>
      </c>
      <c r="R5629" s="5">
        <f t="shared" si="262"/>
        <v>17416</v>
      </c>
      <c r="S5629" s="5">
        <f t="shared" si="263"/>
        <v>32962.151260504201</v>
      </c>
    </row>
    <row r="5630" spans="1:19" x14ac:dyDescent="0.3">
      <c r="A5630">
        <v>195</v>
      </c>
      <c r="B5630" t="s">
        <v>6142</v>
      </c>
      <c r="C5630" t="s">
        <v>4940</v>
      </c>
      <c r="D5630" s="2" t="s">
        <v>4941</v>
      </c>
      <c r="E5630" t="s">
        <v>2611</v>
      </c>
      <c r="F5630" t="s">
        <v>20</v>
      </c>
      <c r="G5630" t="s">
        <v>338</v>
      </c>
      <c r="H5630">
        <v>25312</v>
      </c>
      <c r="I5630" t="s">
        <v>23</v>
      </c>
      <c r="J5630" t="s">
        <v>35</v>
      </c>
      <c r="K5630" s="2" t="s">
        <v>1365</v>
      </c>
      <c r="L5630" t="s">
        <v>26</v>
      </c>
      <c r="M5630">
        <v>307702</v>
      </c>
      <c r="N5630">
        <v>1</v>
      </c>
      <c r="O5630" s="3">
        <v>69950</v>
      </c>
      <c r="P5630" s="3">
        <v>21167</v>
      </c>
      <c r="Q5630" s="5">
        <f t="shared" si="261"/>
        <v>58781.512605042022</v>
      </c>
      <c r="R5630" s="5">
        <f t="shared" si="262"/>
        <v>21167</v>
      </c>
      <c r="S5630" s="5">
        <f t="shared" si="263"/>
        <v>37614.512605042022</v>
      </c>
    </row>
    <row r="5631" spans="1:19" x14ac:dyDescent="0.3">
      <c r="A5631">
        <v>195</v>
      </c>
      <c r="B5631" t="s">
        <v>6142</v>
      </c>
      <c r="C5631" t="s">
        <v>6249</v>
      </c>
      <c r="D5631" s="2" t="s">
        <v>6250</v>
      </c>
      <c r="E5631" t="s">
        <v>6251</v>
      </c>
      <c r="F5631" t="s">
        <v>20</v>
      </c>
      <c r="G5631" t="s">
        <v>21</v>
      </c>
      <c r="H5631" t="s">
        <v>152</v>
      </c>
      <c r="I5631" t="s">
        <v>23</v>
      </c>
      <c r="J5631" t="s">
        <v>40</v>
      </c>
      <c r="K5631" s="2" t="s">
        <v>1450</v>
      </c>
      <c r="L5631" t="s">
        <v>26</v>
      </c>
      <c r="M5631">
        <v>307703</v>
      </c>
      <c r="N5631">
        <v>1</v>
      </c>
      <c r="O5631" s="3">
        <v>34990</v>
      </c>
      <c r="P5631" s="3">
        <v>18485</v>
      </c>
      <c r="Q5631" s="5">
        <f t="shared" si="261"/>
        <v>29403.361344537818</v>
      </c>
      <c r="R5631" s="5">
        <f t="shared" si="262"/>
        <v>18485</v>
      </c>
      <c r="S5631" s="5">
        <f t="shared" si="263"/>
        <v>10918.361344537818</v>
      </c>
    </row>
    <row r="5632" spans="1:19" x14ac:dyDescent="0.3">
      <c r="A5632">
        <v>195</v>
      </c>
      <c r="B5632" t="s">
        <v>6142</v>
      </c>
      <c r="C5632" t="s">
        <v>3321</v>
      </c>
      <c r="D5632" s="2" t="s">
        <v>3322</v>
      </c>
      <c r="E5632" t="s">
        <v>3323</v>
      </c>
      <c r="F5632" t="s">
        <v>20</v>
      </c>
      <c r="G5632" t="s">
        <v>21</v>
      </c>
      <c r="H5632" t="s">
        <v>625</v>
      </c>
      <c r="I5632" t="s">
        <v>23</v>
      </c>
      <c r="J5632" t="s">
        <v>35</v>
      </c>
      <c r="K5632" s="2" t="s">
        <v>1450</v>
      </c>
      <c r="L5632" t="s">
        <v>26</v>
      </c>
      <c r="M5632">
        <v>307704</v>
      </c>
      <c r="N5632">
        <v>1</v>
      </c>
      <c r="O5632" s="3">
        <v>69950</v>
      </c>
      <c r="P5632" s="3">
        <v>24956</v>
      </c>
      <c r="Q5632" s="5">
        <f t="shared" si="261"/>
        <v>58781.512605042022</v>
      </c>
      <c r="R5632" s="5">
        <f t="shared" si="262"/>
        <v>24956</v>
      </c>
      <c r="S5632" s="5">
        <f t="shared" si="263"/>
        <v>33825.512605042022</v>
      </c>
    </row>
    <row r="5633" spans="1:19" x14ac:dyDescent="0.3">
      <c r="A5633">
        <v>195</v>
      </c>
      <c r="B5633" t="s">
        <v>6142</v>
      </c>
      <c r="C5633" t="s">
        <v>2746</v>
      </c>
      <c r="D5633" s="2" t="s">
        <v>2747</v>
      </c>
      <c r="E5633" t="s">
        <v>2748</v>
      </c>
      <c r="F5633" t="s">
        <v>20</v>
      </c>
      <c r="G5633" t="s">
        <v>338</v>
      </c>
      <c r="H5633">
        <v>26266</v>
      </c>
      <c r="I5633" t="s">
        <v>23</v>
      </c>
      <c r="J5633" t="s">
        <v>35</v>
      </c>
      <c r="K5633" s="2" t="s">
        <v>1450</v>
      </c>
      <c r="L5633" t="s">
        <v>26</v>
      </c>
      <c r="M5633">
        <v>307705</v>
      </c>
      <c r="N5633">
        <v>1</v>
      </c>
      <c r="O5633" s="3">
        <v>79950</v>
      </c>
      <c r="P5633" s="3">
        <v>25300</v>
      </c>
      <c r="Q5633" s="5">
        <f t="shared" si="261"/>
        <v>67184.873949579836</v>
      </c>
      <c r="R5633" s="5">
        <f t="shared" si="262"/>
        <v>25300</v>
      </c>
      <c r="S5633" s="5">
        <f t="shared" si="263"/>
        <v>41884.873949579836</v>
      </c>
    </row>
    <row r="5634" spans="1:19" x14ac:dyDescent="0.3">
      <c r="A5634">
        <v>195</v>
      </c>
      <c r="B5634" t="s">
        <v>6142</v>
      </c>
      <c r="C5634" t="s">
        <v>264</v>
      </c>
      <c r="D5634" s="2" t="s">
        <v>265</v>
      </c>
      <c r="E5634" t="s">
        <v>266</v>
      </c>
      <c r="F5634" t="s">
        <v>20</v>
      </c>
      <c r="G5634" t="s">
        <v>21</v>
      </c>
      <c r="H5634" t="s">
        <v>267</v>
      </c>
      <c r="I5634" t="s">
        <v>23</v>
      </c>
      <c r="J5634" t="s">
        <v>49</v>
      </c>
      <c r="K5634" s="2" t="s">
        <v>1450</v>
      </c>
      <c r="L5634" t="s">
        <v>26</v>
      </c>
      <c r="M5634">
        <v>307706</v>
      </c>
      <c r="N5634">
        <v>1</v>
      </c>
      <c r="O5634" s="3">
        <v>64950</v>
      </c>
      <c r="P5634" s="3">
        <v>24504</v>
      </c>
      <c r="Q5634" s="5">
        <f t="shared" si="261"/>
        <v>54579.831932773115</v>
      </c>
      <c r="R5634" s="5">
        <f t="shared" si="262"/>
        <v>24504</v>
      </c>
      <c r="S5634" s="5">
        <f t="shared" si="263"/>
        <v>30075.831932773115</v>
      </c>
    </row>
    <row r="5635" spans="1:19" x14ac:dyDescent="0.3">
      <c r="A5635">
        <v>195</v>
      </c>
      <c r="B5635" t="s">
        <v>6142</v>
      </c>
      <c r="C5635" t="s">
        <v>4728</v>
      </c>
      <c r="D5635" s="2" t="s">
        <v>4729</v>
      </c>
      <c r="E5635" t="s">
        <v>3795</v>
      </c>
      <c r="F5635" t="s">
        <v>20</v>
      </c>
      <c r="G5635" t="s">
        <v>338</v>
      </c>
      <c r="H5635">
        <v>25529</v>
      </c>
      <c r="I5635" t="s">
        <v>23</v>
      </c>
      <c r="J5635" t="s">
        <v>31</v>
      </c>
      <c r="K5635" s="2" t="s">
        <v>1450</v>
      </c>
      <c r="L5635" t="s">
        <v>26</v>
      </c>
      <c r="M5635">
        <v>307707</v>
      </c>
      <c r="N5635">
        <v>1</v>
      </c>
      <c r="O5635" s="3">
        <v>149950</v>
      </c>
      <c r="P5635" s="3">
        <v>50690</v>
      </c>
      <c r="Q5635" s="5">
        <f t="shared" si="261"/>
        <v>126008.40336134455</v>
      </c>
      <c r="R5635" s="5">
        <f t="shared" si="262"/>
        <v>50690</v>
      </c>
      <c r="S5635" s="5">
        <f t="shared" si="263"/>
        <v>75318.40336134455</v>
      </c>
    </row>
    <row r="5636" spans="1:19" x14ac:dyDescent="0.3">
      <c r="A5636">
        <v>195</v>
      </c>
      <c r="B5636" t="s">
        <v>6142</v>
      </c>
      <c r="C5636" t="s">
        <v>4762</v>
      </c>
      <c r="D5636" s="2" t="s">
        <v>4763</v>
      </c>
      <c r="E5636" t="s">
        <v>1330</v>
      </c>
      <c r="F5636" t="s">
        <v>20</v>
      </c>
      <c r="G5636" t="s">
        <v>338</v>
      </c>
      <c r="H5636">
        <v>25133</v>
      </c>
      <c r="I5636" t="s">
        <v>23</v>
      </c>
      <c r="J5636" t="s">
        <v>35</v>
      </c>
      <c r="K5636" s="2" t="s">
        <v>1450</v>
      </c>
      <c r="L5636" t="s">
        <v>26</v>
      </c>
      <c r="M5636">
        <v>307708</v>
      </c>
      <c r="N5636">
        <v>1</v>
      </c>
      <c r="O5636" s="3">
        <v>74950</v>
      </c>
      <c r="P5636" s="3">
        <v>21167</v>
      </c>
      <c r="Q5636" s="5">
        <f t="shared" si="261"/>
        <v>62983.193277310929</v>
      </c>
      <c r="R5636" s="5">
        <f t="shared" si="262"/>
        <v>21167</v>
      </c>
      <c r="S5636" s="5">
        <f t="shared" si="263"/>
        <v>41816.193277310929</v>
      </c>
    </row>
    <row r="5637" spans="1:19" x14ac:dyDescent="0.3">
      <c r="A5637">
        <v>195</v>
      </c>
      <c r="B5637" t="s">
        <v>6142</v>
      </c>
      <c r="C5637" t="s">
        <v>5215</v>
      </c>
      <c r="D5637" s="2" t="s">
        <v>5216</v>
      </c>
      <c r="E5637" t="s">
        <v>2455</v>
      </c>
      <c r="F5637" t="s">
        <v>20</v>
      </c>
      <c r="G5637" t="s">
        <v>21</v>
      </c>
      <c r="H5637" t="s">
        <v>742</v>
      </c>
      <c r="I5637" t="s">
        <v>23</v>
      </c>
      <c r="J5637" t="s">
        <v>40</v>
      </c>
      <c r="K5637" s="2" t="s">
        <v>1450</v>
      </c>
      <c r="L5637" t="s">
        <v>26</v>
      </c>
      <c r="M5637">
        <v>307709</v>
      </c>
      <c r="N5637">
        <v>-1</v>
      </c>
      <c r="O5637" s="3">
        <v>-79950</v>
      </c>
      <c r="P5637" s="3">
        <v>28515</v>
      </c>
      <c r="Q5637" s="5">
        <f t="shared" si="261"/>
        <v>-67184.873949579836</v>
      </c>
      <c r="R5637" s="5">
        <f t="shared" si="262"/>
        <v>-28515</v>
      </c>
      <c r="S5637" s="5">
        <f t="shared" si="263"/>
        <v>-38669.873949579836</v>
      </c>
    </row>
    <row r="5638" spans="1:19" x14ac:dyDescent="0.3">
      <c r="A5638">
        <v>195</v>
      </c>
      <c r="B5638" t="s">
        <v>6142</v>
      </c>
      <c r="C5638" t="s">
        <v>6151</v>
      </c>
      <c r="D5638" s="2" t="s">
        <v>6152</v>
      </c>
      <c r="E5638" t="s">
        <v>4565</v>
      </c>
      <c r="F5638" t="s">
        <v>20</v>
      </c>
      <c r="G5638" t="s">
        <v>21</v>
      </c>
      <c r="H5638" t="s">
        <v>790</v>
      </c>
      <c r="I5638" t="s">
        <v>23</v>
      </c>
      <c r="J5638" t="s">
        <v>40</v>
      </c>
      <c r="K5638" s="2" t="s">
        <v>1450</v>
      </c>
      <c r="L5638" t="s">
        <v>26</v>
      </c>
      <c r="M5638">
        <v>307709</v>
      </c>
      <c r="N5638">
        <v>1</v>
      </c>
      <c r="O5638" s="3">
        <v>79951</v>
      </c>
      <c r="P5638" s="3">
        <v>30691</v>
      </c>
      <c r="Q5638" s="5">
        <f t="shared" ref="Q5638:Q5701" si="264">O5638/1.19</f>
        <v>67185.71428571429</v>
      </c>
      <c r="R5638" s="5">
        <f t="shared" ref="R5638:R5701" si="265">N5638*P5638</f>
        <v>30691</v>
      </c>
      <c r="S5638" s="5">
        <f t="shared" ref="S5638:S5701" si="266">Q5638-R5638</f>
        <v>36494.71428571429</v>
      </c>
    </row>
    <row r="5639" spans="1:19" x14ac:dyDescent="0.3">
      <c r="A5639">
        <v>195</v>
      </c>
      <c r="B5639" t="s">
        <v>6142</v>
      </c>
      <c r="C5639" t="s">
        <v>5818</v>
      </c>
      <c r="D5639" s="2" t="s">
        <v>5819</v>
      </c>
      <c r="E5639" t="s">
        <v>2718</v>
      </c>
      <c r="F5639" t="s">
        <v>20</v>
      </c>
      <c r="G5639" t="s">
        <v>21</v>
      </c>
      <c r="H5639" t="s">
        <v>1887</v>
      </c>
      <c r="I5639" t="s">
        <v>23</v>
      </c>
      <c r="J5639" t="s">
        <v>40</v>
      </c>
      <c r="K5639" s="2" t="s">
        <v>1450</v>
      </c>
      <c r="L5639" t="s">
        <v>26</v>
      </c>
      <c r="M5639">
        <v>307710</v>
      </c>
      <c r="N5639">
        <v>1</v>
      </c>
      <c r="O5639" s="3">
        <v>69950</v>
      </c>
      <c r="P5639" s="3">
        <v>22018</v>
      </c>
      <c r="Q5639" s="5">
        <f t="shared" si="264"/>
        <v>58781.512605042022</v>
      </c>
      <c r="R5639" s="5">
        <f t="shared" si="265"/>
        <v>22018</v>
      </c>
      <c r="S5639" s="5">
        <f t="shared" si="266"/>
        <v>36763.512605042022</v>
      </c>
    </row>
    <row r="5640" spans="1:19" x14ac:dyDescent="0.3">
      <c r="A5640">
        <v>195</v>
      </c>
      <c r="B5640" t="s">
        <v>6142</v>
      </c>
      <c r="C5640" t="s">
        <v>1911</v>
      </c>
      <c r="D5640" s="2" t="s">
        <v>1912</v>
      </c>
      <c r="E5640" t="s">
        <v>1913</v>
      </c>
      <c r="F5640" t="s">
        <v>20</v>
      </c>
      <c r="G5640" t="s">
        <v>21</v>
      </c>
      <c r="H5640" t="s">
        <v>1914</v>
      </c>
      <c r="I5640" t="s">
        <v>23</v>
      </c>
      <c r="J5640" t="s">
        <v>35</v>
      </c>
      <c r="K5640" s="2" t="s">
        <v>1525</v>
      </c>
      <c r="L5640" t="s">
        <v>26</v>
      </c>
      <c r="M5640">
        <v>307711</v>
      </c>
      <c r="N5640">
        <v>1</v>
      </c>
      <c r="O5640" s="3">
        <v>89950</v>
      </c>
      <c r="P5640" s="3">
        <v>28298</v>
      </c>
      <c r="Q5640" s="5">
        <f t="shared" si="264"/>
        <v>75588.23529411765</v>
      </c>
      <c r="R5640" s="5">
        <f t="shared" si="265"/>
        <v>28298</v>
      </c>
      <c r="S5640" s="5">
        <f t="shared" si="266"/>
        <v>47290.23529411765</v>
      </c>
    </row>
    <row r="5641" spans="1:19" x14ac:dyDescent="0.3">
      <c r="A5641">
        <v>195</v>
      </c>
      <c r="B5641" t="s">
        <v>6142</v>
      </c>
      <c r="C5641" t="s">
        <v>6252</v>
      </c>
      <c r="D5641" s="2" t="s">
        <v>6253</v>
      </c>
      <c r="E5641" t="s">
        <v>414</v>
      </c>
      <c r="F5641" t="s">
        <v>20</v>
      </c>
      <c r="G5641" t="s">
        <v>338</v>
      </c>
      <c r="H5641">
        <v>23731</v>
      </c>
      <c r="I5641" t="s">
        <v>23</v>
      </c>
      <c r="J5641" t="s">
        <v>40</v>
      </c>
      <c r="K5641" s="2" t="s">
        <v>1525</v>
      </c>
      <c r="L5641" t="s">
        <v>26</v>
      </c>
      <c r="M5641">
        <v>307712</v>
      </c>
      <c r="N5641">
        <v>1</v>
      </c>
      <c r="O5641" s="3">
        <v>59450</v>
      </c>
      <c r="P5641" s="3">
        <v>23473</v>
      </c>
      <c r="Q5641" s="5">
        <f t="shared" si="264"/>
        <v>49957.983193277316</v>
      </c>
      <c r="R5641" s="5">
        <f t="shared" si="265"/>
        <v>23473</v>
      </c>
      <c r="S5641" s="5">
        <f t="shared" si="266"/>
        <v>26484.983193277316</v>
      </c>
    </row>
    <row r="5642" spans="1:19" x14ac:dyDescent="0.3">
      <c r="A5642">
        <v>195</v>
      </c>
      <c r="B5642" t="s">
        <v>6142</v>
      </c>
      <c r="C5642" t="s">
        <v>6013</v>
      </c>
      <c r="D5642" s="2" t="s">
        <v>6014</v>
      </c>
      <c r="E5642" t="s">
        <v>4084</v>
      </c>
      <c r="F5642" t="s">
        <v>20</v>
      </c>
      <c r="G5642" t="s">
        <v>21</v>
      </c>
      <c r="H5642" t="s">
        <v>3272</v>
      </c>
      <c r="I5642" t="s">
        <v>23</v>
      </c>
      <c r="J5642" t="s">
        <v>40</v>
      </c>
      <c r="K5642" s="2" t="s">
        <v>1525</v>
      </c>
      <c r="L5642" t="s">
        <v>26</v>
      </c>
      <c r="M5642">
        <v>307712</v>
      </c>
      <c r="N5642">
        <v>1</v>
      </c>
      <c r="O5642" s="3">
        <v>59950</v>
      </c>
      <c r="P5642" s="3">
        <v>23104</v>
      </c>
      <c r="Q5642" s="5">
        <f t="shared" si="264"/>
        <v>50378.151260504201</v>
      </c>
      <c r="R5642" s="5">
        <f t="shared" si="265"/>
        <v>23104</v>
      </c>
      <c r="S5642" s="5">
        <f t="shared" si="266"/>
        <v>27274.151260504201</v>
      </c>
    </row>
    <row r="5643" spans="1:19" x14ac:dyDescent="0.3">
      <c r="A5643">
        <v>195</v>
      </c>
      <c r="B5643" t="s">
        <v>6142</v>
      </c>
      <c r="C5643" t="s">
        <v>3789</v>
      </c>
      <c r="D5643" s="2" t="s">
        <v>3790</v>
      </c>
      <c r="E5643" t="s">
        <v>2787</v>
      </c>
      <c r="F5643" t="s">
        <v>20</v>
      </c>
      <c r="G5643" t="s">
        <v>21</v>
      </c>
      <c r="H5643" t="s">
        <v>1286</v>
      </c>
      <c r="I5643" t="s">
        <v>23</v>
      </c>
      <c r="J5643" t="s">
        <v>40</v>
      </c>
      <c r="K5643" s="2" t="s">
        <v>1525</v>
      </c>
      <c r="L5643" t="s">
        <v>26</v>
      </c>
      <c r="M5643">
        <v>307713</v>
      </c>
      <c r="N5643">
        <v>1</v>
      </c>
      <c r="O5643" s="3">
        <v>49990</v>
      </c>
      <c r="P5643" s="3">
        <v>24783</v>
      </c>
      <c r="Q5643" s="5">
        <f t="shared" si="264"/>
        <v>42008.403361344543</v>
      </c>
      <c r="R5643" s="5">
        <f t="shared" si="265"/>
        <v>24783</v>
      </c>
      <c r="S5643" s="5">
        <f t="shared" si="266"/>
        <v>17225.403361344543</v>
      </c>
    </row>
    <row r="5644" spans="1:19" x14ac:dyDescent="0.3">
      <c r="A5644">
        <v>195</v>
      </c>
      <c r="B5644" t="s">
        <v>6142</v>
      </c>
      <c r="C5644" t="s">
        <v>4437</v>
      </c>
      <c r="D5644" s="2" t="s">
        <v>4438</v>
      </c>
      <c r="E5644" t="s">
        <v>4411</v>
      </c>
      <c r="F5644" t="s">
        <v>20</v>
      </c>
      <c r="G5644" t="s">
        <v>21</v>
      </c>
      <c r="H5644" t="s">
        <v>614</v>
      </c>
      <c r="I5644" t="s">
        <v>23</v>
      </c>
      <c r="J5644" t="s">
        <v>40</v>
      </c>
      <c r="K5644" s="2" t="s">
        <v>1525</v>
      </c>
      <c r="L5644" t="s">
        <v>26</v>
      </c>
      <c r="M5644">
        <v>307714</v>
      </c>
      <c r="N5644">
        <v>1</v>
      </c>
      <c r="O5644" s="3">
        <v>39990</v>
      </c>
      <c r="P5644" s="3">
        <v>14604</v>
      </c>
      <c r="Q5644" s="5">
        <f t="shared" si="264"/>
        <v>33605.042016806721</v>
      </c>
      <c r="R5644" s="5">
        <f t="shared" si="265"/>
        <v>14604</v>
      </c>
      <c r="S5644" s="5">
        <f t="shared" si="266"/>
        <v>19001.042016806721</v>
      </c>
    </row>
    <row r="5645" spans="1:19" x14ac:dyDescent="0.3">
      <c r="A5645">
        <v>195</v>
      </c>
      <c r="B5645" t="s">
        <v>6142</v>
      </c>
      <c r="C5645">
        <v>1687976791</v>
      </c>
      <c r="D5645" s="2" t="s">
        <v>200</v>
      </c>
      <c r="E5645" t="s">
        <v>201</v>
      </c>
      <c r="F5645" t="s">
        <v>201</v>
      </c>
      <c r="G5645" t="s">
        <v>202</v>
      </c>
      <c r="H5645" t="s">
        <v>202</v>
      </c>
      <c r="I5645" t="s">
        <v>23</v>
      </c>
      <c r="J5645" t="s">
        <v>202</v>
      </c>
      <c r="K5645" s="2" t="s">
        <v>1525</v>
      </c>
      <c r="L5645" t="s">
        <v>26</v>
      </c>
      <c r="M5645">
        <v>307714</v>
      </c>
      <c r="N5645">
        <v>1</v>
      </c>
      <c r="O5645" s="3">
        <v>5547</v>
      </c>
      <c r="P5645">
        <v>1</v>
      </c>
      <c r="Q5645" s="5">
        <f t="shared" si="264"/>
        <v>4661.3445378151264</v>
      </c>
      <c r="R5645" s="5">
        <f t="shared" si="265"/>
        <v>1</v>
      </c>
      <c r="S5645" s="5">
        <f t="shared" si="266"/>
        <v>4660.3445378151264</v>
      </c>
    </row>
    <row r="5646" spans="1:19" x14ac:dyDescent="0.3">
      <c r="A5646">
        <v>195</v>
      </c>
      <c r="B5646" t="s">
        <v>6142</v>
      </c>
      <c r="C5646" t="s">
        <v>6254</v>
      </c>
      <c r="D5646" s="2" t="s">
        <v>6255</v>
      </c>
      <c r="E5646" t="s">
        <v>4768</v>
      </c>
      <c r="F5646" t="s">
        <v>20</v>
      </c>
      <c r="G5646" t="s">
        <v>21</v>
      </c>
      <c r="H5646" t="s">
        <v>2782</v>
      </c>
      <c r="I5646" t="s">
        <v>23</v>
      </c>
      <c r="J5646" t="s">
        <v>40</v>
      </c>
      <c r="K5646" s="2" t="s">
        <v>1525</v>
      </c>
      <c r="L5646" t="s">
        <v>26</v>
      </c>
      <c r="M5646">
        <v>307715</v>
      </c>
      <c r="N5646">
        <v>1</v>
      </c>
      <c r="O5646" s="3">
        <v>69950</v>
      </c>
      <c r="P5646" s="3">
        <v>23697</v>
      </c>
      <c r="Q5646" s="5">
        <f t="shared" si="264"/>
        <v>58781.512605042022</v>
      </c>
      <c r="R5646" s="5">
        <f t="shared" si="265"/>
        <v>23697</v>
      </c>
      <c r="S5646" s="5">
        <f t="shared" si="266"/>
        <v>35084.512605042022</v>
      </c>
    </row>
    <row r="5647" spans="1:19" x14ac:dyDescent="0.3">
      <c r="A5647">
        <v>195</v>
      </c>
      <c r="B5647" t="s">
        <v>6142</v>
      </c>
      <c r="C5647">
        <v>1687976791</v>
      </c>
      <c r="D5647" s="2" t="s">
        <v>200</v>
      </c>
      <c r="E5647" t="s">
        <v>201</v>
      </c>
      <c r="F5647" t="s">
        <v>201</v>
      </c>
      <c r="G5647" t="s">
        <v>202</v>
      </c>
      <c r="H5647" t="s">
        <v>202</v>
      </c>
      <c r="I5647" t="s">
        <v>23</v>
      </c>
      <c r="J5647" t="s">
        <v>202</v>
      </c>
      <c r="K5647" s="2" t="s">
        <v>1525</v>
      </c>
      <c r="L5647" t="s">
        <v>26</v>
      </c>
      <c r="M5647">
        <v>307716</v>
      </c>
      <c r="N5647">
        <v>1</v>
      </c>
      <c r="O5647" s="3">
        <v>2000</v>
      </c>
      <c r="P5647">
        <v>1</v>
      </c>
      <c r="Q5647" s="5">
        <f t="shared" si="264"/>
        <v>1680.6722689075632</v>
      </c>
      <c r="R5647" s="5">
        <f t="shared" si="265"/>
        <v>1</v>
      </c>
      <c r="S5647" s="5">
        <f t="shared" si="266"/>
        <v>1679.6722689075632</v>
      </c>
    </row>
    <row r="5648" spans="1:19" x14ac:dyDescent="0.3">
      <c r="A5648">
        <v>195</v>
      </c>
      <c r="B5648" t="s">
        <v>6142</v>
      </c>
      <c r="C5648" t="s">
        <v>2429</v>
      </c>
      <c r="D5648" s="2" t="s">
        <v>2430</v>
      </c>
      <c r="E5648" t="s">
        <v>1828</v>
      </c>
      <c r="F5648" t="s">
        <v>20</v>
      </c>
      <c r="G5648" t="s">
        <v>21</v>
      </c>
      <c r="H5648" t="s">
        <v>1689</v>
      </c>
      <c r="I5648" t="s">
        <v>23</v>
      </c>
      <c r="J5648" t="s">
        <v>49</v>
      </c>
      <c r="K5648" s="2" t="s">
        <v>1525</v>
      </c>
      <c r="L5648" t="s">
        <v>26</v>
      </c>
      <c r="M5648">
        <v>307716</v>
      </c>
      <c r="N5648">
        <v>1</v>
      </c>
      <c r="O5648" s="3">
        <v>54990</v>
      </c>
      <c r="P5648" s="3">
        <v>36616</v>
      </c>
      <c r="Q5648" s="5">
        <f t="shared" si="264"/>
        <v>46210.08403361345</v>
      </c>
      <c r="R5648" s="5">
        <f t="shared" si="265"/>
        <v>36616</v>
      </c>
      <c r="S5648" s="5">
        <f t="shared" si="266"/>
        <v>9594.0840336134497</v>
      </c>
    </row>
    <row r="5649" spans="1:19" x14ac:dyDescent="0.3">
      <c r="A5649">
        <v>195</v>
      </c>
      <c r="B5649" t="s">
        <v>6142</v>
      </c>
      <c r="C5649" t="s">
        <v>6256</v>
      </c>
      <c r="D5649" s="2" t="s">
        <v>6257</v>
      </c>
      <c r="E5649" t="s">
        <v>1847</v>
      </c>
      <c r="F5649" t="s">
        <v>20</v>
      </c>
      <c r="G5649" t="s">
        <v>21</v>
      </c>
      <c r="H5649" t="s">
        <v>561</v>
      </c>
      <c r="I5649" t="s">
        <v>23</v>
      </c>
      <c r="J5649" t="s">
        <v>40</v>
      </c>
      <c r="K5649" s="2" t="s">
        <v>1525</v>
      </c>
      <c r="L5649" t="s">
        <v>26</v>
      </c>
      <c r="M5649">
        <v>307717</v>
      </c>
      <c r="N5649">
        <v>1</v>
      </c>
      <c r="O5649" s="3">
        <v>39990</v>
      </c>
      <c r="P5649" s="3">
        <v>29989</v>
      </c>
      <c r="Q5649" s="5">
        <f t="shared" si="264"/>
        <v>33605.042016806721</v>
      </c>
      <c r="R5649" s="5">
        <f t="shared" si="265"/>
        <v>29989</v>
      </c>
      <c r="S5649" s="5">
        <f t="shared" si="266"/>
        <v>3616.0420168067212</v>
      </c>
    </row>
    <row r="5650" spans="1:19" x14ac:dyDescent="0.3">
      <c r="A5650">
        <v>195</v>
      </c>
      <c r="B5650" t="s">
        <v>6142</v>
      </c>
      <c r="C5650" t="s">
        <v>3303</v>
      </c>
      <c r="D5650" s="2" t="s">
        <v>3304</v>
      </c>
      <c r="E5650" t="s">
        <v>3305</v>
      </c>
      <c r="F5650" t="s">
        <v>20</v>
      </c>
      <c r="G5650" t="s">
        <v>21</v>
      </c>
      <c r="H5650" t="s">
        <v>970</v>
      </c>
      <c r="I5650" t="s">
        <v>23</v>
      </c>
      <c r="J5650" t="s">
        <v>40</v>
      </c>
      <c r="K5650" s="2" t="s">
        <v>1525</v>
      </c>
      <c r="L5650" t="s">
        <v>26</v>
      </c>
      <c r="M5650">
        <v>307718</v>
      </c>
      <c r="N5650">
        <v>1</v>
      </c>
      <c r="O5650" s="3">
        <v>49990</v>
      </c>
      <c r="P5650" s="3">
        <v>18897</v>
      </c>
      <c r="Q5650" s="5">
        <f t="shared" si="264"/>
        <v>42008.403361344543</v>
      </c>
      <c r="R5650" s="5">
        <f t="shared" si="265"/>
        <v>18897</v>
      </c>
      <c r="S5650" s="5">
        <f t="shared" si="266"/>
        <v>23111.403361344543</v>
      </c>
    </row>
    <row r="5651" spans="1:19" x14ac:dyDescent="0.3">
      <c r="A5651">
        <v>195</v>
      </c>
      <c r="B5651" t="s">
        <v>6142</v>
      </c>
      <c r="C5651" t="s">
        <v>1884</v>
      </c>
      <c r="D5651" s="2" t="s">
        <v>1885</v>
      </c>
      <c r="E5651" t="s">
        <v>1886</v>
      </c>
      <c r="F5651" t="s">
        <v>20</v>
      </c>
      <c r="G5651" t="s">
        <v>21</v>
      </c>
      <c r="H5651" t="s">
        <v>1887</v>
      </c>
      <c r="I5651" t="s">
        <v>23</v>
      </c>
      <c r="J5651" t="s">
        <v>40</v>
      </c>
      <c r="K5651" s="2" t="s">
        <v>1525</v>
      </c>
      <c r="L5651" t="s">
        <v>26</v>
      </c>
      <c r="M5651">
        <v>307718</v>
      </c>
      <c r="N5651">
        <v>1</v>
      </c>
      <c r="O5651" s="3">
        <v>59450</v>
      </c>
      <c r="P5651" s="3">
        <v>21623</v>
      </c>
      <c r="Q5651" s="5">
        <f t="shared" si="264"/>
        <v>49957.983193277316</v>
      </c>
      <c r="R5651" s="5">
        <f t="shared" si="265"/>
        <v>21623</v>
      </c>
      <c r="S5651" s="5">
        <f t="shared" si="266"/>
        <v>28334.983193277316</v>
      </c>
    </row>
    <row r="5652" spans="1:19" x14ac:dyDescent="0.3">
      <c r="A5652">
        <v>195</v>
      </c>
      <c r="B5652" t="s">
        <v>6142</v>
      </c>
      <c r="C5652" t="s">
        <v>1037</v>
      </c>
      <c r="D5652" s="2" t="s">
        <v>1038</v>
      </c>
      <c r="E5652" t="s">
        <v>1039</v>
      </c>
      <c r="F5652" t="s">
        <v>377</v>
      </c>
      <c r="G5652" t="s">
        <v>21</v>
      </c>
      <c r="H5652" t="s">
        <v>378</v>
      </c>
      <c r="I5652" t="s">
        <v>23</v>
      </c>
      <c r="J5652" t="s">
        <v>379</v>
      </c>
      <c r="K5652" s="2" t="s">
        <v>1525</v>
      </c>
      <c r="L5652" t="s">
        <v>26</v>
      </c>
      <c r="M5652">
        <v>307719</v>
      </c>
      <c r="N5652">
        <v>1</v>
      </c>
      <c r="O5652" s="3">
        <v>4460</v>
      </c>
      <c r="P5652" s="3">
        <v>3257</v>
      </c>
      <c r="Q5652" s="5">
        <f t="shared" si="264"/>
        <v>3747.8991596638657</v>
      </c>
      <c r="R5652" s="5">
        <f t="shared" si="265"/>
        <v>3257</v>
      </c>
      <c r="S5652" s="5">
        <f t="shared" si="266"/>
        <v>490.8991596638657</v>
      </c>
    </row>
    <row r="5653" spans="1:19" x14ac:dyDescent="0.3">
      <c r="A5653">
        <v>195</v>
      </c>
      <c r="B5653" t="s">
        <v>6142</v>
      </c>
      <c r="C5653" t="s">
        <v>5945</v>
      </c>
      <c r="D5653" s="2" t="s">
        <v>5946</v>
      </c>
      <c r="E5653" t="s">
        <v>453</v>
      </c>
      <c r="F5653" t="s">
        <v>20</v>
      </c>
      <c r="G5653" t="s">
        <v>21</v>
      </c>
      <c r="H5653" t="s">
        <v>454</v>
      </c>
      <c r="I5653" t="s">
        <v>23</v>
      </c>
      <c r="J5653" t="s">
        <v>407</v>
      </c>
      <c r="K5653" s="2" t="s">
        <v>1525</v>
      </c>
      <c r="L5653" t="s">
        <v>26</v>
      </c>
      <c r="M5653">
        <v>307720</v>
      </c>
      <c r="N5653">
        <v>1</v>
      </c>
      <c r="O5653" s="3">
        <v>39990</v>
      </c>
      <c r="P5653" s="3">
        <v>21038</v>
      </c>
      <c r="Q5653" s="5">
        <f t="shared" si="264"/>
        <v>33605.042016806721</v>
      </c>
      <c r="R5653" s="5">
        <f t="shared" si="265"/>
        <v>21038</v>
      </c>
      <c r="S5653" s="5">
        <f t="shared" si="266"/>
        <v>12567.042016806721</v>
      </c>
    </row>
    <row r="5654" spans="1:19" x14ac:dyDescent="0.3">
      <c r="A5654">
        <v>195</v>
      </c>
      <c r="B5654" t="s">
        <v>6142</v>
      </c>
      <c r="C5654" t="s">
        <v>2728</v>
      </c>
      <c r="D5654" s="2" t="s">
        <v>2729</v>
      </c>
      <c r="E5654" t="s">
        <v>2536</v>
      </c>
      <c r="F5654" t="s">
        <v>20</v>
      </c>
      <c r="G5654" t="s">
        <v>21</v>
      </c>
      <c r="H5654" t="s">
        <v>454</v>
      </c>
      <c r="I5654" t="s">
        <v>23</v>
      </c>
      <c r="J5654" t="s">
        <v>407</v>
      </c>
      <c r="K5654" s="2" t="s">
        <v>1525</v>
      </c>
      <c r="L5654" t="s">
        <v>26</v>
      </c>
      <c r="M5654">
        <v>307720</v>
      </c>
      <c r="N5654">
        <v>1</v>
      </c>
      <c r="O5654" s="3">
        <v>39990</v>
      </c>
      <c r="P5654" s="3">
        <v>21038</v>
      </c>
      <c r="Q5654" s="5">
        <f t="shared" si="264"/>
        <v>33605.042016806721</v>
      </c>
      <c r="R5654" s="5">
        <f t="shared" si="265"/>
        <v>21038</v>
      </c>
      <c r="S5654" s="5">
        <f t="shared" si="266"/>
        <v>12567.042016806721</v>
      </c>
    </row>
    <row r="5655" spans="1:19" x14ac:dyDescent="0.3">
      <c r="A5655">
        <v>195</v>
      </c>
      <c r="B5655" t="s">
        <v>6142</v>
      </c>
      <c r="C5655" t="s">
        <v>6258</v>
      </c>
      <c r="D5655" s="2" t="s">
        <v>6259</v>
      </c>
      <c r="E5655" t="s">
        <v>5158</v>
      </c>
      <c r="F5655" t="s">
        <v>20</v>
      </c>
      <c r="G5655" t="s">
        <v>21</v>
      </c>
      <c r="H5655" t="s">
        <v>2353</v>
      </c>
      <c r="I5655" t="s">
        <v>23</v>
      </c>
      <c r="J5655" t="s">
        <v>40</v>
      </c>
      <c r="K5655" s="2" t="s">
        <v>1525</v>
      </c>
      <c r="L5655" t="s">
        <v>26</v>
      </c>
      <c r="M5655">
        <v>307721</v>
      </c>
      <c r="N5655">
        <v>1</v>
      </c>
      <c r="O5655" s="3">
        <v>69990</v>
      </c>
      <c r="P5655" s="3">
        <v>31435</v>
      </c>
      <c r="Q5655" s="5">
        <f t="shared" si="264"/>
        <v>58815.126050420171</v>
      </c>
      <c r="R5655" s="5">
        <f t="shared" si="265"/>
        <v>31435</v>
      </c>
      <c r="S5655" s="5">
        <f t="shared" si="266"/>
        <v>27380.126050420171</v>
      </c>
    </row>
    <row r="5656" spans="1:19" x14ac:dyDescent="0.3">
      <c r="A5656">
        <v>195</v>
      </c>
      <c r="B5656" t="s">
        <v>6142</v>
      </c>
      <c r="C5656" t="s">
        <v>3615</v>
      </c>
      <c r="D5656" s="2" t="s">
        <v>3616</v>
      </c>
      <c r="E5656" t="s">
        <v>938</v>
      </c>
      <c r="F5656" t="s">
        <v>20</v>
      </c>
      <c r="G5656" t="s">
        <v>21</v>
      </c>
      <c r="H5656" t="s">
        <v>317</v>
      </c>
      <c r="I5656" t="s">
        <v>23</v>
      </c>
      <c r="J5656" t="s">
        <v>35</v>
      </c>
      <c r="K5656" s="2" t="s">
        <v>2983</v>
      </c>
      <c r="L5656" t="s">
        <v>26</v>
      </c>
      <c r="M5656">
        <v>307722</v>
      </c>
      <c r="N5656">
        <v>1</v>
      </c>
      <c r="O5656" s="3">
        <v>69950</v>
      </c>
      <c r="P5656" s="3">
        <v>27213</v>
      </c>
      <c r="Q5656" s="5">
        <f t="shared" si="264"/>
        <v>58781.512605042022</v>
      </c>
      <c r="R5656" s="5">
        <f t="shared" si="265"/>
        <v>27213</v>
      </c>
      <c r="S5656" s="5">
        <f t="shared" si="266"/>
        <v>31568.512605042022</v>
      </c>
    </row>
    <row r="5657" spans="1:19" x14ac:dyDescent="0.3">
      <c r="A5657">
        <v>195</v>
      </c>
      <c r="B5657" t="s">
        <v>6142</v>
      </c>
      <c r="C5657" t="s">
        <v>5658</v>
      </c>
      <c r="D5657" s="2" t="s">
        <v>5659</v>
      </c>
      <c r="E5657" t="s">
        <v>1913</v>
      </c>
      <c r="F5657" t="s">
        <v>20</v>
      </c>
      <c r="G5657" t="s">
        <v>21</v>
      </c>
      <c r="H5657" t="s">
        <v>1914</v>
      </c>
      <c r="I5657" t="s">
        <v>23</v>
      </c>
      <c r="J5657" t="s">
        <v>35</v>
      </c>
      <c r="K5657" s="2" t="s">
        <v>2983</v>
      </c>
      <c r="L5657" t="s">
        <v>26</v>
      </c>
      <c r="M5657">
        <v>307723</v>
      </c>
      <c r="N5657">
        <v>1</v>
      </c>
      <c r="O5657" s="3">
        <v>89950</v>
      </c>
      <c r="P5657" s="3">
        <v>28298</v>
      </c>
      <c r="Q5657" s="5">
        <f t="shared" si="264"/>
        <v>75588.23529411765</v>
      </c>
      <c r="R5657" s="5">
        <f t="shared" si="265"/>
        <v>28298</v>
      </c>
      <c r="S5657" s="5">
        <f t="shared" si="266"/>
        <v>47290.23529411765</v>
      </c>
    </row>
    <row r="5658" spans="1:19" x14ac:dyDescent="0.3">
      <c r="A5658">
        <v>195</v>
      </c>
      <c r="B5658" t="s">
        <v>6142</v>
      </c>
      <c r="C5658" t="s">
        <v>6179</v>
      </c>
      <c r="D5658" s="2" t="s">
        <v>6180</v>
      </c>
      <c r="E5658" t="s">
        <v>3195</v>
      </c>
      <c r="F5658" t="s">
        <v>20</v>
      </c>
      <c r="G5658" t="s">
        <v>338</v>
      </c>
      <c r="H5658">
        <v>25366</v>
      </c>
      <c r="I5658" t="s">
        <v>23</v>
      </c>
      <c r="J5658" t="s">
        <v>35</v>
      </c>
      <c r="K5658" s="2" t="s">
        <v>2983</v>
      </c>
      <c r="L5658" t="s">
        <v>26</v>
      </c>
      <c r="M5658">
        <v>307723</v>
      </c>
      <c r="N5658">
        <v>-1</v>
      </c>
      <c r="O5658" s="3">
        <v>-99950</v>
      </c>
      <c r="P5658" s="3">
        <v>33157</v>
      </c>
      <c r="Q5658" s="5">
        <f t="shared" si="264"/>
        <v>-83991.596638655465</v>
      </c>
      <c r="R5658" s="5">
        <f t="shared" si="265"/>
        <v>-33157</v>
      </c>
      <c r="S5658" s="5">
        <f t="shared" si="266"/>
        <v>-50834.596638655465</v>
      </c>
    </row>
    <row r="5659" spans="1:19" x14ac:dyDescent="0.3">
      <c r="A5659">
        <v>195</v>
      </c>
      <c r="B5659" t="s">
        <v>6142</v>
      </c>
      <c r="C5659" t="s">
        <v>3401</v>
      </c>
      <c r="D5659" s="2" t="s">
        <v>3402</v>
      </c>
      <c r="E5659" t="s">
        <v>3403</v>
      </c>
      <c r="F5659" t="s">
        <v>377</v>
      </c>
      <c r="G5659" t="s">
        <v>21</v>
      </c>
      <c r="H5659" t="s">
        <v>378</v>
      </c>
      <c r="I5659" t="s">
        <v>23</v>
      </c>
      <c r="J5659" t="s">
        <v>3297</v>
      </c>
      <c r="K5659" s="2" t="s">
        <v>2983</v>
      </c>
      <c r="L5659" t="s">
        <v>26</v>
      </c>
      <c r="M5659">
        <v>307723</v>
      </c>
      <c r="N5659">
        <v>1</v>
      </c>
      <c r="O5659">
        <v>110</v>
      </c>
      <c r="P5659">
        <v>418</v>
      </c>
      <c r="Q5659" s="5">
        <f t="shared" si="264"/>
        <v>92.436974789915965</v>
      </c>
      <c r="R5659" s="5">
        <f t="shared" si="265"/>
        <v>418</v>
      </c>
      <c r="S5659" s="5">
        <f t="shared" si="266"/>
        <v>-325.56302521008405</v>
      </c>
    </row>
    <row r="5660" spans="1:19" x14ac:dyDescent="0.3">
      <c r="A5660">
        <v>195</v>
      </c>
      <c r="B5660" t="s">
        <v>6142</v>
      </c>
      <c r="C5660" t="s">
        <v>1037</v>
      </c>
      <c r="D5660" s="2" t="s">
        <v>1038</v>
      </c>
      <c r="E5660" t="s">
        <v>1039</v>
      </c>
      <c r="F5660" t="s">
        <v>377</v>
      </c>
      <c r="G5660" t="s">
        <v>21</v>
      </c>
      <c r="H5660" t="s">
        <v>378</v>
      </c>
      <c r="I5660" t="s">
        <v>23</v>
      </c>
      <c r="J5660" t="s">
        <v>379</v>
      </c>
      <c r="K5660" s="2" t="s">
        <v>2983</v>
      </c>
      <c r="L5660" t="s">
        <v>26</v>
      </c>
      <c r="M5660">
        <v>307723</v>
      </c>
      <c r="N5660">
        <v>1</v>
      </c>
      <c r="O5660" s="3">
        <v>5950</v>
      </c>
      <c r="P5660" s="3">
        <v>3257</v>
      </c>
      <c r="Q5660" s="5">
        <f t="shared" si="264"/>
        <v>5000</v>
      </c>
      <c r="R5660" s="5">
        <f t="shared" si="265"/>
        <v>3257</v>
      </c>
      <c r="S5660" s="5">
        <f t="shared" si="266"/>
        <v>1743</v>
      </c>
    </row>
    <row r="5661" spans="1:19" x14ac:dyDescent="0.3">
      <c r="A5661">
        <v>195</v>
      </c>
      <c r="B5661" t="s">
        <v>6142</v>
      </c>
      <c r="C5661" t="s">
        <v>3661</v>
      </c>
      <c r="D5661" s="2" t="s">
        <v>3662</v>
      </c>
      <c r="E5661" t="s">
        <v>3663</v>
      </c>
      <c r="F5661" t="s">
        <v>377</v>
      </c>
      <c r="G5661" t="s">
        <v>21</v>
      </c>
      <c r="H5661" t="s">
        <v>378</v>
      </c>
      <c r="I5661" t="s">
        <v>23</v>
      </c>
      <c r="J5661" t="s">
        <v>2459</v>
      </c>
      <c r="K5661" s="2" t="s">
        <v>2983</v>
      </c>
      <c r="L5661" t="s">
        <v>26</v>
      </c>
      <c r="M5661">
        <v>307723</v>
      </c>
      <c r="N5661">
        <v>1</v>
      </c>
      <c r="O5661" s="3">
        <v>3950</v>
      </c>
      <c r="P5661" s="3">
        <v>2224</v>
      </c>
      <c r="Q5661" s="5">
        <f t="shared" si="264"/>
        <v>3319.3277310924373</v>
      </c>
      <c r="R5661" s="5">
        <f t="shared" si="265"/>
        <v>2224</v>
      </c>
      <c r="S5661" s="5">
        <f t="shared" si="266"/>
        <v>1095.3277310924373</v>
      </c>
    </row>
    <row r="5662" spans="1:19" x14ac:dyDescent="0.3">
      <c r="A5662">
        <v>195</v>
      </c>
      <c r="B5662" t="s">
        <v>6142</v>
      </c>
      <c r="C5662" t="s">
        <v>3835</v>
      </c>
      <c r="D5662" s="2" t="s">
        <v>3836</v>
      </c>
      <c r="E5662" t="s">
        <v>3837</v>
      </c>
      <c r="F5662" t="s">
        <v>20</v>
      </c>
      <c r="G5662" t="s">
        <v>21</v>
      </c>
      <c r="H5662" t="s">
        <v>1457</v>
      </c>
      <c r="I5662" t="s">
        <v>23</v>
      </c>
      <c r="J5662" t="s">
        <v>40</v>
      </c>
      <c r="K5662" s="2" t="s">
        <v>2983</v>
      </c>
      <c r="L5662" t="s">
        <v>26</v>
      </c>
      <c r="M5662">
        <v>307724</v>
      </c>
      <c r="N5662">
        <v>1</v>
      </c>
      <c r="O5662" s="3">
        <v>64950</v>
      </c>
      <c r="P5662" s="3">
        <v>18239</v>
      </c>
      <c r="Q5662" s="5">
        <f t="shared" si="264"/>
        <v>54579.831932773115</v>
      </c>
      <c r="R5662" s="5">
        <f t="shared" si="265"/>
        <v>18239</v>
      </c>
      <c r="S5662" s="5">
        <f t="shared" si="266"/>
        <v>36340.831932773115</v>
      </c>
    </row>
    <row r="5663" spans="1:19" x14ac:dyDescent="0.3">
      <c r="A5663">
        <v>195</v>
      </c>
      <c r="B5663" t="s">
        <v>6142</v>
      </c>
      <c r="C5663" t="s">
        <v>3348</v>
      </c>
      <c r="D5663" s="2" t="s">
        <v>3349</v>
      </c>
      <c r="E5663" t="s">
        <v>3350</v>
      </c>
      <c r="F5663" t="s">
        <v>20</v>
      </c>
      <c r="G5663" t="s">
        <v>21</v>
      </c>
      <c r="H5663" t="s">
        <v>3351</v>
      </c>
      <c r="I5663" t="s">
        <v>23</v>
      </c>
      <c r="J5663" t="s">
        <v>40</v>
      </c>
      <c r="K5663" s="2" t="s">
        <v>2983</v>
      </c>
      <c r="L5663" t="s">
        <v>26</v>
      </c>
      <c r="M5663">
        <v>307724</v>
      </c>
      <c r="N5663">
        <v>1</v>
      </c>
      <c r="O5663" s="3">
        <v>67950</v>
      </c>
      <c r="P5663" s="3">
        <v>28855</v>
      </c>
      <c r="Q5663" s="5">
        <f t="shared" si="264"/>
        <v>57100.840336134454</v>
      </c>
      <c r="R5663" s="5">
        <f t="shared" si="265"/>
        <v>28855</v>
      </c>
      <c r="S5663" s="5">
        <f t="shared" si="266"/>
        <v>28245.840336134454</v>
      </c>
    </row>
    <row r="5664" spans="1:19" x14ac:dyDescent="0.3">
      <c r="A5664">
        <v>195</v>
      </c>
      <c r="B5664" t="s">
        <v>6142</v>
      </c>
      <c r="C5664" t="s">
        <v>6258</v>
      </c>
      <c r="D5664" s="2" t="s">
        <v>6259</v>
      </c>
      <c r="E5664" t="s">
        <v>5158</v>
      </c>
      <c r="F5664" t="s">
        <v>20</v>
      </c>
      <c r="G5664" t="s">
        <v>21</v>
      </c>
      <c r="H5664" t="s">
        <v>2353</v>
      </c>
      <c r="I5664" t="s">
        <v>23</v>
      </c>
      <c r="J5664" t="s">
        <v>40</v>
      </c>
      <c r="K5664" s="2" t="s">
        <v>2983</v>
      </c>
      <c r="L5664" t="s">
        <v>26</v>
      </c>
      <c r="M5664">
        <v>307725</v>
      </c>
      <c r="N5664">
        <v>1</v>
      </c>
      <c r="O5664" s="3">
        <v>69990</v>
      </c>
      <c r="P5664" s="3">
        <v>31435</v>
      </c>
      <c r="Q5664" s="5">
        <f t="shared" si="264"/>
        <v>58815.126050420171</v>
      </c>
      <c r="R5664" s="5">
        <f t="shared" si="265"/>
        <v>31435</v>
      </c>
      <c r="S5664" s="5">
        <f t="shared" si="266"/>
        <v>27380.126050420171</v>
      </c>
    </row>
    <row r="5665" spans="1:19" x14ac:dyDescent="0.3">
      <c r="A5665">
        <v>195</v>
      </c>
      <c r="B5665" t="s">
        <v>6142</v>
      </c>
      <c r="C5665" t="s">
        <v>2984</v>
      </c>
      <c r="D5665" s="2" t="s">
        <v>2985</v>
      </c>
      <c r="E5665" t="s">
        <v>2986</v>
      </c>
      <c r="F5665" t="s">
        <v>20</v>
      </c>
      <c r="G5665" t="s">
        <v>21</v>
      </c>
      <c r="H5665" t="s">
        <v>267</v>
      </c>
      <c r="I5665" t="s">
        <v>23</v>
      </c>
      <c r="J5665" t="s">
        <v>35</v>
      </c>
      <c r="K5665" s="2" t="s">
        <v>2983</v>
      </c>
      <c r="L5665" t="s">
        <v>26</v>
      </c>
      <c r="M5665">
        <v>307726</v>
      </c>
      <c r="N5665">
        <v>1</v>
      </c>
      <c r="O5665" s="3">
        <v>59990</v>
      </c>
      <c r="P5665" s="3">
        <v>24733</v>
      </c>
      <c r="Q5665" s="5">
        <f t="shared" si="264"/>
        <v>50411.764705882357</v>
      </c>
      <c r="R5665" s="5">
        <f t="shared" si="265"/>
        <v>24733</v>
      </c>
      <c r="S5665" s="5">
        <f t="shared" si="266"/>
        <v>25678.764705882357</v>
      </c>
    </row>
    <row r="5666" spans="1:19" x14ac:dyDescent="0.3">
      <c r="A5666">
        <v>195</v>
      </c>
      <c r="B5666" t="s">
        <v>6142</v>
      </c>
      <c r="C5666" t="s">
        <v>1147</v>
      </c>
      <c r="D5666" s="2" t="s">
        <v>1148</v>
      </c>
      <c r="E5666" t="s">
        <v>1042</v>
      </c>
      <c r="F5666" t="s">
        <v>20</v>
      </c>
      <c r="G5666" t="s">
        <v>21</v>
      </c>
      <c r="H5666" t="s">
        <v>317</v>
      </c>
      <c r="I5666" t="s">
        <v>23</v>
      </c>
      <c r="J5666" t="s">
        <v>35</v>
      </c>
      <c r="K5666" s="2" t="s">
        <v>2983</v>
      </c>
      <c r="L5666" t="s">
        <v>26</v>
      </c>
      <c r="M5666">
        <v>307726</v>
      </c>
      <c r="N5666">
        <v>-1</v>
      </c>
      <c r="O5666" s="3">
        <v>-49990</v>
      </c>
      <c r="P5666" s="3">
        <v>24344</v>
      </c>
      <c r="Q5666" s="5">
        <f t="shared" si="264"/>
        <v>-42008.403361344543</v>
      </c>
      <c r="R5666" s="5">
        <f t="shared" si="265"/>
        <v>-24344</v>
      </c>
      <c r="S5666" s="5">
        <f t="shared" si="266"/>
        <v>-17664.403361344543</v>
      </c>
    </row>
    <row r="5667" spans="1:19" x14ac:dyDescent="0.3">
      <c r="A5667">
        <v>195</v>
      </c>
      <c r="B5667" t="s">
        <v>6142</v>
      </c>
      <c r="C5667" t="s">
        <v>1684</v>
      </c>
      <c r="D5667" s="2" t="s">
        <v>1685</v>
      </c>
      <c r="E5667" t="s">
        <v>316</v>
      </c>
      <c r="F5667" t="s">
        <v>20</v>
      </c>
      <c r="G5667" t="s">
        <v>21</v>
      </c>
      <c r="H5667" t="s">
        <v>317</v>
      </c>
      <c r="I5667" t="s">
        <v>23</v>
      </c>
      <c r="J5667" t="s">
        <v>35</v>
      </c>
      <c r="K5667" s="2" t="s">
        <v>2983</v>
      </c>
      <c r="L5667" t="s">
        <v>26</v>
      </c>
      <c r="M5667">
        <v>307727</v>
      </c>
      <c r="N5667">
        <v>1</v>
      </c>
      <c r="O5667" s="3">
        <v>69950</v>
      </c>
      <c r="P5667" s="3">
        <v>23738</v>
      </c>
      <c r="Q5667" s="5">
        <f t="shared" si="264"/>
        <v>58781.512605042022</v>
      </c>
      <c r="R5667" s="5">
        <f t="shared" si="265"/>
        <v>23738</v>
      </c>
      <c r="S5667" s="5">
        <f t="shared" si="266"/>
        <v>35043.512605042022</v>
      </c>
    </row>
    <row r="5668" spans="1:19" x14ac:dyDescent="0.3">
      <c r="A5668">
        <v>195</v>
      </c>
      <c r="B5668" t="s">
        <v>6142</v>
      </c>
      <c r="C5668" t="s">
        <v>6260</v>
      </c>
      <c r="D5668" s="2" t="s">
        <v>6261</v>
      </c>
      <c r="E5668" t="s">
        <v>1111</v>
      </c>
      <c r="F5668" t="s">
        <v>20</v>
      </c>
      <c r="G5668" t="s">
        <v>21</v>
      </c>
      <c r="H5668" t="s">
        <v>199</v>
      </c>
      <c r="I5668" t="s">
        <v>23</v>
      </c>
      <c r="J5668" t="s">
        <v>35</v>
      </c>
      <c r="K5668" s="2" t="s">
        <v>2983</v>
      </c>
      <c r="L5668" t="s">
        <v>26</v>
      </c>
      <c r="M5668">
        <v>307727</v>
      </c>
      <c r="N5668">
        <v>-1</v>
      </c>
      <c r="O5668" s="3">
        <v>-49990</v>
      </c>
      <c r="P5668" s="3">
        <v>31396</v>
      </c>
      <c r="Q5668" s="5">
        <f t="shared" si="264"/>
        <v>-42008.403361344543</v>
      </c>
      <c r="R5668" s="5">
        <f t="shared" si="265"/>
        <v>-31396</v>
      </c>
      <c r="S5668" s="5">
        <f t="shared" si="266"/>
        <v>-10612.403361344543</v>
      </c>
    </row>
    <row r="5669" spans="1:19" x14ac:dyDescent="0.3">
      <c r="A5669">
        <v>195</v>
      </c>
      <c r="B5669" t="s">
        <v>6142</v>
      </c>
      <c r="C5669" t="s">
        <v>629</v>
      </c>
      <c r="D5669" s="2" t="s">
        <v>630</v>
      </c>
      <c r="E5669" t="s">
        <v>631</v>
      </c>
      <c r="F5669" t="s">
        <v>20</v>
      </c>
      <c r="G5669" t="s">
        <v>21</v>
      </c>
      <c r="H5669" t="s">
        <v>632</v>
      </c>
      <c r="I5669" t="s">
        <v>23</v>
      </c>
      <c r="J5669" t="s">
        <v>40</v>
      </c>
      <c r="K5669" s="2" t="s">
        <v>2983</v>
      </c>
      <c r="L5669" t="s">
        <v>26</v>
      </c>
      <c r="M5669">
        <v>307728</v>
      </c>
      <c r="N5669">
        <v>1</v>
      </c>
      <c r="O5669" s="3">
        <v>49950</v>
      </c>
      <c r="P5669" s="3">
        <v>19155</v>
      </c>
      <c r="Q5669" s="5">
        <f t="shared" si="264"/>
        <v>41974.789915966387</v>
      </c>
      <c r="R5669" s="5">
        <f t="shared" si="265"/>
        <v>19155</v>
      </c>
      <c r="S5669" s="5">
        <f t="shared" si="266"/>
        <v>22819.789915966387</v>
      </c>
    </row>
    <row r="5670" spans="1:19" x14ac:dyDescent="0.3">
      <c r="A5670">
        <v>195</v>
      </c>
      <c r="B5670" t="s">
        <v>6142</v>
      </c>
      <c r="C5670" t="s">
        <v>6262</v>
      </c>
      <c r="D5670" s="2" t="s">
        <v>6263</v>
      </c>
      <c r="E5670" t="s">
        <v>3433</v>
      </c>
      <c r="F5670" t="s">
        <v>20</v>
      </c>
      <c r="G5670" t="s">
        <v>338</v>
      </c>
      <c r="H5670">
        <v>23732</v>
      </c>
      <c r="I5670" t="s">
        <v>23</v>
      </c>
      <c r="J5670" t="s">
        <v>40</v>
      </c>
      <c r="K5670" s="2" t="s">
        <v>2983</v>
      </c>
      <c r="L5670" t="s">
        <v>26</v>
      </c>
      <c r="M5670">
        <v>307729</v>
      </c>
      <c r="N5670">
        <v>1</v>
      </c>
      <c r="O5670" s="3">
        <v>59990</v>
      </c>
      <c r="P5670" s="3">
        <v>26539</v>
      </c>
      <c r="Q5670" s="5">
        <f t="shared" si="264"/>
        <v>50411.764705882357</v>
      </c>
      <c r="R5670" s="5">
        <f t="shared" si="265"/>
        <v>26539</v>
      </c>
      <c r="S5670" s="5">
        <f t="shared" si="266"/>
        <v>23872.764705882357</v>
      </c>
    </row>
    <row r="5671" spans="1:19" x14ac:dyDescent="0.3">
      <c r="A5671">
        <v>195</v>
      </c>
      <c r="B5671" t="s">
        <v>6142</v>
      </c>
      <c r="C5671" t="s">
        <v>3064</v>
      </c>
      <c r="D5671" s="2" t="s">
        <v>3065</v>
      </c>
      <c r="E5671" t="s">
        <v>3031</v>
      </c>
      <c r="F5671" t="s">
        <v>20</v>
      </c>
      <c r="G5671" t="s">
        <v>21</v>
      </c>
      <c r="H5671" t="s">
        <v>2315</v>
      </c>
      <c r="I5671" t="s">
        <v>23</v>
      </c>
      <c r="J5671" t="s">
        <v>49</v>
      </c>
      <c r="K5671" s="2" t="s">
        <v>2983</v>
      </c>
      <c r="L5671" t="s">
        <v>26</v>
      </c>
      <c r="M5671">
        <v>307730</v>
      </c>
      <c r="N5671">
        <v>1</v>
      </c>
      <c r="O5671" s="3">
        <v>74950</v>
      </c>
      <c r="P5671" s="3">
        <v>24255</v>
      </c>
      <c r="Q5671" s="5">
        <f t="shared" si="264"/>
        <v>62983.193277310929</v>
      </c>
      <c r="R5671" s="5">
        <f t="shared" si="265"/>
        <v>24255</v>
      </c>
      <c r="S5671" s="5">
        <f t="shared" si="266"/>
        <v>38728.193277310929</v>
      </c>
    </row>
    <row r="5672" spans="1:19" x14ac:dyDescent="0.3">
      <c r="A5672">
        <v>195</v>
      </c>
      <c r="B5672" t="s">
        <v>6142</v>
      </c>
      <c r="C5672" t="s">
        <v>2602</v>
      </c>
      <c r="D5672" s="2" t="s">
        <v>2603</v>
      </c>
      <c r="E5672" t="s">
        <v>2533</v>
      </c>
      <c r="F5672" t="s">
        <v>20</v>
      </c>
      <c r="G5672" t="s">
        <v>21</v>
      </c>
      <c r="H5672" t="s">
        <v>500</v>
      </c>
      <c r="I5672" t="s">
        <v>23</v>
      </c>
      <c r="J5672" t="s">
        <v>40</v>
      </c>
      <c r="K5672" s="2" t="s">
        <v>2983</v>
      </c>
      <c r="L5672" t="s">
        <v>26</v>
      </c>
      <c r="M5672">
        <v>307731</v>
      </c>
      <c r="N5672">
        <v>1</v>
      </c>
      <c r="O5672" s="3">
        <v>49990</v>
      </c>
      <c r="P5672" s="3">
        <v>20043</v>
      </c>
      <c r="Q5672" s="5">
        <f t="shared" si="264"/>
        <v>42008.403361344543</v>
      </c>
      <c r="R5672" s="5">
        <f t="shared" si="265"/>
        <v>20043</v>
      </c>
      <c r="S5672" s="5">
        <f t="shared" si="266"/>
        <v>21965.403361344543</v>
      </c>
    </row>
    <row r="5673" spans="1:19" x14ac:dyDescent="0.3">
      <c r="A5673">
        <v>195</v>
      </c>
      <c r="B5673" t="s">
        <v>6142</v>
      </c>
      <c r="C5673" t="s">
        <v>3001</v>
      </c>
      <c r="D5673" s="2" t="s">
        <v>3002</v>
      </c>
      <c r="E5673" t="s">
        <v>3003</v>
      </c>
      <c r="F5673" t="s">
        <v>20</v>
      </c>
      <c r="G5673" t="s">
        <v>338</v>
      </c>
      <c r="H5673">
        <v>25312</v>
      </c>
      <c r="I5673" t="s">
        <v>23</v>
      </c>
      <c r="J5673" t="s">
        <v>35</v>
      </c>
      <c r="K5673" s="2" t="s">
        <v>2983</v>
      </c>
      <c r="L5673" t="s">
        <v>26</v>
      </c>
      <c r="M5673">
        <v>307731</v>
      </c>
      <c r="N5673">
        <v>1</v>
      </c>
      <c r="O5673" s="3">
        <v>59450</v>
      </c>
      <c r="P5673" s="3">
        <v>21167</v>
      </c>
      <c r="Q5673" s="5">
        <f t="shared" si="264"/>
        <v>49957.983193277316</v>
      </c>
      <c r="R5673" s="5">
        <f t="shared" si="265"/>
        <v>21167</v>
      </c>
      <c r="S5673" s="5">
        <f t="shared" si="266"/>
        <v>28790.983193277316</v>
      </c>
    </row>
    <row r="5674" spans="1:19" x14ac:dyDescent="0.3">
      <c r="A5674">
        <v>195</v>
      </c>
      <c r="B5674" t="s">
        <v>6142</v>
      </c>
      <c r="C5674" t="s">
        <v>5093</v>
      </c>
      <c r="D5674" s="2" t="s">
        <v>5094</v>
      </c>
      <c r="E5674" t="s">
        <v>3340</v>
      </c>
      <c r="F5674" t="s">
        <v>20</v>
      </c>
      <c r="G5674" t="s">
        <v>338</v>
      </c>
      <c r="H5674">
        <v>25097</v>
      </c>
      <c r="I5674" t="s">
        <v>23</v>
      </c>
      <c r="J5674" t="s">
        <v>24</v>
      </c>
      <c r="K5674" s="2" t="s">
        <v>2983</v>
      </c>
      <c r="L5674" t="s">
        <v>26</v>
      </c>
      <c r="M5674">
        <v>307732</v>
      </c>
      <c r="N5674">
        <v>1</v>
      </c>
      <c r="O5674" s="3">
        <v>59990</v>
      </c>
      <c r="P5674" s="3">
        <v>23242</v>
      </c>
      <c r="Q5674" s="5">
        <f t="shared" si="264"/>
        <v>50411.764705882357</v>
      </c>
      <c r="R5674" s="5">
        <f t="shared" si="265"/>
        <v>23242</v>
      </c>
      <c r="S5674" s="5">
        <f t="shared" si="266"/>
        <v>27169.764705882357</v>
      </c>
    </row>
    <row r="5675" spans="1:19" x14ac:dyDescent="0.3">
      <c r="A5675">
        <v>195</v>
      </c>
      <c r="B5675" t="s">
        <v>6142</v>
      </c>
      <c r="C5675" t="s">
        <v>5004</v>
      </c>
      <c r="D5675" s="2" t="s">
        <v>5005</v>
      </c>
      <c r="E5675" t="s">
        <v>2476</v>
      </c>
      <c r="F5675" t="s">
        <v>20</v>
      </c>
      <c r="G5675" t="s">
        <v>21</v>
      </c>
      <c r="H5675" t="s">
        <v>114</v>
      </c>
      <c r="I5675" t="s">
        <v>23</v>
      </c>
      <c r="J5675" t="s">
        <v>49</v>
      </c>
      <c r="K5675" s="2" t="s">
        <v>2983</v>
      </c>
      <c r="L5675" t="s">
        <v>26</v>
      </c>
      <c r="M5675">
        <v>307733</v>
      </c>
      <c r="N5675">
        <v>1</v>
      </c>
      <c r="O5675" s="3">
        <v>69950</v>
      </c>
      <c r="P5675" s="3">
        <v>22176</v>
      </c>
      <c r="Q5675" s="5">
        <f t="shared" si="264"/>
        <v>58781.512605042022</v>
      </c>
      <c r="R5675" s="5">
        <f t="shared" si="265"/>
        <v>22176</v>
      </c>
      <c r="S5675" s="5">
        <f t="shared" si="266"/>
        <v>36605.512605042022</v>
      </c>
    </row>
    <row r="5676" spans="1:19" x14ac:dyDescent="0.3">
      <c r="A5676">
        <v>195</v>
      </c>
      <c r="B5676" t="s">
        <v>6142</v>
      </c>
      <c r="C5676" t="s">
        <v>3240</v>
      </c>
      <c r="D5676" s="2" t="s">
        <v>3241</v>
      </c>
      <c r="E5676" t="s">
        <v>3061</v>
      </c>
      <c r="F5676" t="s">
        <v>20</v>
      </c>
      <c r="G5676" t="s">
        <v>21</v>
      </c>
      <c r="H5676" t="s">
        <v>2315</v>
      </c>
      <c r="I5676" t="s">
        <v>23</v>
      </c>
      <c r="J5676" t="s">
        <v>49</v>
      </c>
      <c r="K5676" s="2" t="s">
        <v>2983</v>
      </c>
      <c r="L5676" t="s">
        <v>26</v>
      </c>
      <c r="M5676">
        <v>307734</v>
      </c>
      <c r="N5676">
        <v>1</v>
      </c>
      <c r="O5676" s="3">
        <v>63700</v>
      </c>
      <c r="P5676" s="3">
        <v>29090</v>
      </c>
      <c r="Q5676" s="5">
        <f t="shared" si="264"/>
        <v>53529.411764705888</v>
      </c>
      <c r="R5676" s="5">
        <f t="shared" si="265"/>
        <v>29090</v>
      </c>
      <c r="S5676" s="5">
        <f t="shared" si="266"/>
        <v>24439.411764705888</v>
      </c>
    </row>
    <row r="5677" spans="1:19" x14ac:dyDescent="0.3">
      <c r="A5677">
        <v>195</v>
      </c>
      <c r="B5677" t="s">
        <v>6142</v>
      </c>
      <c r="C5677" t="s">
        <v>6017</v>
      </c>
      <c r="D5677" s="2" t="s">
        <v>6018</v>
      </c>
      <c r="E5677" t="s">
        <v>4274</v>
      </c>
      <c r="F5677" t="s">
        <v>20</v>
      </c>
      <c r="G5677" t="s">
        <v>338</v>
      </c>
      <c r="H5677">
        <v>22410</v>
      </c>
      <c r="I5677" t="s">
        <v>23</v>
      </c>
      <c r="J5677" t="s">
        <v>49</v>
      </c>
      <c r="K5677" s="2" t="s">
        <v>2983</v>
      </c>
      <c r="L5677" t="s">
        <v>26</v>
      </c>
      <c r="M5677">
        <v>307734</v>
      </c>
      <c r="N5677">
        <v>1</v>
      </c>
      <c r="O5677" s="3">
        <v>69950</v>
      </c>
      <c r="P5677" s="3">
        <v>20848</v>
      </c>
      <c r="Q5677" s="5">
        <f t="shared" si="264"/>
        <v>58781.512605042022</v>
      </c>
      <c r="R5677" s="5">
        <f t="shared" si="265"/>
        <v>20848</v>
      </c>
      <c r="S5677" s="5">
        <f t="shared" si="266"/>
        <v>37933.512605042022</v>
      </c>
    </row>
    <row r="5678" spans="1:19" x14ac:dyDescent="0.3">
      <c r="A5678">
        <v>195</v>
      </c>
      <c r="B5678" t="s">
        <v>6142</v>
      </c>
      <c r="C5678" t="s">
        <v>1037</v>
      </c>
      <c r="D5678" s="2" t="s">
        <v>1038</v>
      </c>
      <c r="E5678" t="s">
        <v>1039</v>
      </c>
      <c r="F5678" t="s">
        <v>377</v>
      </c>
      <c r="G5678" t="s">
        <v>21</v>
      </c>
      <c r="H5678" t="s">
        <v>378</v>
      </c>
      <c r="I5678" t="s">
        <v>23</v>
      </c>
      <c r="J5678" t="s">
        <v>379</v>
      </c>
      <c r="K5678" s="2" t="s">
        <v>2983</v>
      </c>
      <c r="L5678" t="s">
        <v>26</v>
      </c>
      <c r="M5678">
        <v>307735</v>
      </c>
      <c r="N5678">
        <v>1</v>
      </c>
      <c r="O5678" s="3">
        <v>5950</v>
      </c>
      <c r="P5678" s="3">
        <v>3257</v>
      </c>
      <c r="Q5678" s="5">
        <f t="shared" si="264"/>
        <v>5000</v>
      </c>
      <c r="R5678" s="5">
        <f t="shared" si="265"/>
        <v>3257</v>
      </c>
      <c r="S5678" s="5">
        <f t="shared" si="266"/>
        <v>1743</v>
      </c>
    </row>
    <row r="5679" spans="1:19" x14ac:dyDescent="0.3">
      <c r="A5679">
        <v>195</v>
      </c>
      <c r="B5679" t="s">
        <v>6142</v>
      </c>
      <c r="C5679" t="s">
        <v>492</v>
      </c>
      <c r="D5679" s="2" t="s">
        <v>493</v>
      </c>
      <c r="E5679" t="s">
        <v>494</v>
      </c>
      <c r="F5679" t="s">
        <v>20</v>
      </c>
      <c r="G5679" t="s">
        <v>21</v>
      </c>
      <c r="H5679" t="s">
        <v>317</v>
      </c>
      <c r="I5679" t="s">
        <v>23</v>
      </c>
      <c r="J5679" t="s">
        <v>35</v>
      </c>
      <c r="K5679" s="2" t="s">
        <v>2983</v>
      </c>
      <c r="L5679" t="s">
        <v>26</v>
      </c>
      <c r="M5679">
        <v>307736</v>
      </c>
      <c r="N5679">
        <v>1</v>
      </c>
      <c r="O5679" s="3">
        <v>69950</v>
      </c>
      <c r="P5679" s="3">
        <v>23619</v>
      </c>
      <c r="Q5679" s="5">
        <f t="shared" si="264"/>
        <v>58781.512605042022</v>
      </c>
      <c r="R5679" s="5">
        <f t="shared" si="265"/>
        <v>23619</v>
      </c>
      <c r="S5679" s="5">
        <f t="shared" si="266"/>
        <v>35162.512605042022</v>
      </c>
    </row>
    <row r="5680" spans="1:19" x14ac:dyDescent="0.3">
      <c r="A5680">
        <v>195</v>
      </c>
      <c r="B5680" t="s">
        <v>6142</v>
      </c>
      <c r="C5680" t="s">
        <v>700</v>
      </c>
      <c r="D5680" s="2" t="s">
        <v>701</v>
      </c>
      <c r="E5680" t="s">
        <v>702</v>
      </c>
      <c r="F5680" t="s">
        <v>377</v>
      </c>
      <c r="G5680" t="s">
        <v>21</v>
      </c>
      <c r="H5680" t="s">
        <v>378</v>
      </c>
      <c r="I5680" t="s">
        <v>23</v>
      </c>
      <c r="J5680" t="s">
        <v>379</v>
      </c>
      <c r="K5680" s="2" t="s">
        <v>2983</v>
      </c>
      <c r="L5680" t="s">
        <v>26</v>
      </c>
      <c r="M5680">
        <v>307736</v>
      </c>
      <c r="N5680">
        <v>1</v>
      </c>
      <c r="O5680" s="3">
        <v>4950</v>
      </c>
      <c r="P5680" s="3">
        <v>2529</v>
      </c>
      <c r="Q5680" s="5">
        <f t="shared" si="264"/>
        <v>4159.6638655462184</v>
      </c>
      <c r="R5680" s="5">
        <f t="shared" si="265"/>
        <v>2529</v>
      </c>
      <c r="S5680" s="5">
        <f t="shared" si="266"/>
        <v>1630.6638655462184</v>
      </c>
    </row>
    <row r="5681" spans="1:19" x14ac:dyDescent="0.3">
      <c r="A5681">
        <v>195</v>
      </c>
      <c r="B5681" t="s">
        <v>6142</v>
      </c>
      <c r="C5681">
        <v>1687976791</v>
      </c>
      <c r="D5681" s="2" t="s">
        <v>200</v>
      </c>
      <c r="E5681" t="s">
        <v>201</v>
      </c>
      <c r="F5681" t="s">
        <v>201</v>
      </c>
      <c r="G5681" t="s">
        <v>202</v>
      </c>
      <c r="H5681" t="s">
        <v>202</v>
      </c>
      <c r="I5681" t="s">
        <v>23</v>
      </c>
      <c r="J5681" t="s">
        <v>202</v>
      </c>
      <c r="K5681" s="2" t="s">
        <v>3074</v>
      </c>
      <c r="L5681" t="s">
        <v>26</v>
      </c>
      <c r="M5681">
        <v>307737</v>
      </c>
      <c r="N5681">
        <v>1</v>
      </c>
      <c r="O5681" s="3">
        <v>4083</v>
      </c>
      <c r="P5681">
        <v>1</v>
      </c>
      <c r="Q5681" s="5">
        <f t="shared" si="264"/>
        <v>3431.09243697479</v>
      </c>
      <c r="R5681" s="5">
        <f t="shared" si="265"/>
        <v>1</v>
      </c>
      <c r="S5681" s="5">
        <f t="shared" si="266"/>
        <v>3430.09243697479</v>
      </c>
    </row>
    <row r="5682" spans="1:19" x14ac:dyDescent="0.3">
      <c r="A5682">
        <v>195</v>
      </c>
      <c r="B5682" t="s">
        <v>6142</v>
      </c>
      <c r="C5682" t="s">
        <v>700</v>
      </c>
      <c r="D5682" s="2" t="s">
        <v>701</v>
      </c>
      <c r="E5682" t="s">
        <v>702</v>
      </c>
      <c r="F5682" t="s">
        <v>377</v>
      </c>
      <c r="G5682" t="s">
        <v>21</v>
      </c>
      <c r="H5682" t="s">
        <v>378</v>
      </c>
      <c r="I5682" t="s">
        <v>23</v>
      </c>
      <c r="J5682" t="s">
        <v>379</v>
      </c>
      <c r="K5682" s="2" t="s">
        <v>3074</v>
      </c>
      <c r="L5682" t="s">
        <v>26</v>
      </c>
      <c r="M5682">
        <v>307737</v>
      </c>
      <c r="N5682">
        <v>1</v>
      </c>
      <c r="O5682" s="3">
        <v>4950</v>
      </c>
      <c r="P5682" s="3">
        <v>2529</v>
      </c>
      <c r="Q5682" s="5">
        <f t="shared" si="264"/>
        <v>4159.6638655462184</v>
      </c>
      <c r="R5682" s="5">
        <f t="shared" si="265"/>
        <v>2529</v>
      </c>
      <c r="S5682" s="5">
        <f t="shared" si="266"/>
        <v>1630.6638655462184</v>
      </c>
    </row>
    <row r="5683" spans="1:19" x14ac:dyDescent="0.3">
      <c r="A5683">
        <v>195</v>
      </c>
      <c r="B5683" t="s">
        <v>6142</v>
      </c>
      <c r="C5683" t="s">
        <v>6264</v>
      </c>
      <c r="D5683" s="2" t="s">
        <v>6265</v>
      </c>
      <c r="E5683" t="s">
        <v>2939</v>
      </c>
      <c r="F5683" t="s">
        <v>20</v>
      </c>
      <c r="G5683" t="s">
        <v>338</v>
      </c>
      <c r="H5683">
        <v>25321</v>
      </c>
      <c r="I5683" t="s">
        <v>23</v>
      </c>
      <c r="J5683" t="s">
        <v>35</v>
      </c>
      <c r="K5683" s="2" t="s">
        <v>3074</v>
      </c>
      <c r="L5683" t="s">
        <v>26</v>
      </c>
      <c r="M5683">
        <v>307738</v>
      </c>
      <c r="N5683">
        <v>1</v>
      </c>
      <c r="O5683" s="3">
        <v>109950</v>
      </c>
      <c r="P5683" s="3">
        <v>33748</v>
      </c>
      <c r="Q5683" s="5">
        <f t="shared" si="264"/>
        <v>92394.957983193279</v>
      </c>
      <c r="R5683" s="5">
        <f t="shared" si="265"/>
        <v>33748</v>
      </c>
      <c r="S5683" s="5">
        <f t="shared" si="266"/>
        <v>58646.957983193279</v>
      </c>
    </row>
    <row r="5684" spans="1:19" x14ac:dyDescent="0.3">
      <c r="A5684">
        <v>195</v>
      </c>
      <c r="B5684" t="s">
        <v>6142</v>
      </c>
      <c r="C5684" t="s">
        <v>2625</v>
      </c>
      <c r="D5684" s="2" t="s">
        <v>2626</v>
      </c>
      <c r="E5684" t="s">
        <v>2539</v>
      </c>
      <c r="F5684" t="s">
        <v>20</v>
      </c>
      <c r="G5684" t="s">
        <v>21</v>
      </c>
      <c r="H5684" t="s">
        <v>966</v>
      </c>
      <c r="I5684" t="s">
        <v>23</v>
      </c>
      <c r="J5684" t="s">
        <v>35</v>
      </c>
      <c r="K5684" s="2" t="s">
        <v>3074</v>
      </c>
      <c r="L5684" t="s">
        <v>26</v>
      </c>
      <c r="M5684">
        <v>307739</v>
      </c>
      <c r="N5684">
        <v>1</v>
      </c>
      <c r="O5684" s="3">
        <v>74950</v>
      </c>
      <c r="P5684" s="3">
        <v>27026</v>
      </c>
      <c r="Q5684" s="5">
        <f t="shared" si="264"/>
        <v>62983.193277310929</v>
      </c>
      <c r="R5684" s="5">
        <f t="shared" si="265"/>
        <v>27026</v>
      </c>
      <c r="S5684" s="5">
        <f t="shared" si="266"/>
        <v>35957.193277310929</v>
      </c>
    </row>
    <row r="5685" spans="1:19" x14ac:dyDescent="0.3">
      <c r="A5685">
        <v>195</v>
      </c>
      <c r="B5685" t="s">
        <v>6142</v>
      </c>
      <c r="C5685" t="s">
        <v>1441</v>
      </c>
      <c r="D5685" s="2" t="s">
        <v>1442</v>
      </c>
      <c r="E5685" t="s">
        <v>1443</v>
      </c>
      <c r="F5685" t="s">
        <v>20</v>
      </c>
      <c r="G5685" t="s">
        <v>338</v>
      </c>
      <c r="H5685">
        <v>25301</v>
      </c>
      <c r="I5685" t="s">
        <v>23</v>
      </c>
      <c r="J5685" t="s">
        <v>35</v>
      </c>
      <c r="K5685" s="2" t="s">
        <v>3074</v>
      </c>
      <c r="L5685" t="s">
        <v>26</v>
      </c>
      <c r="M5685">
        <v>307740</v>
      </c>
      <c r="N5685">
        <v>1</v>
      </c>
      <c r="O5685" s="3">
        <v>99950</v>
      </c>
      <c r="P5685" s="3">
        <v>34157</v>
      </c>
      <c r="Q5685" s="5">
        <f t="shared" si="264"/>
        <v>83991.596638655465</v>
      </c>
      <c r="R5685" s="5">
        <f t="shared" si="265"/>
        <v>34157</v>
      </c>
      <c r="S5685" s="5">
        <f t="shared" si="266"/>
        <v>49834.596638655465</v>
      </c>
    </row>
    <row r="5686" spans="1:19" x14ac:dyDescent="0.3">
      <c r="A5686">
        <v>195</v>
      </c>
      <c r="B5686" t="s">
        <v>6142</v>
      </c>
      <c r="C5686" t="s">
        <v>6266</v>
      </c>
      <c r="D5686" s="2" t="s">
        <v>6267</v>
      </c>
      <c r="E5686" t="s">
        <v>3491</v>
      </c>
      <c r="F5686" t="s">
        <v>20</v>
      </c>
      <c r="G5686" t="s">
        <v>338</v>
      </c>
      <c r="H5686">
        <v>85200</v>
      </c>
      <c r="I5686" t="s">
        <v>23</v>
      </c>
      <c r="J5686" t="s">
        <v>35</v>
      </c>
      <c r="K5686" s="2" t="s">
        <v>3074</v>
      </c>
      <c r="L5686" t="s">
        <v>26</v>
      </c>
      <c r="M5686">
        <v>307741</v>
      </c>
      <c r="N5686">
        <v>1</v>
      </c>
      <c r="O5686" s="3">
        <v>89950</v>
      </c>
      <c r="P5686" s="3">
        <v>27253</v>
      </c>
      <c r="Q5686" s="5">
        <f t="shared" si="264"/>
        <v>75588.23529411765</v>
      </c>
      <c r="R5686" s="5">
        <f t="shared" si="265"/>
        <v>27253</v>
      </c>
      <c r="S5686" s="5">
        <f t="shared" si="266"/>
        <v>48335.23529411765</v>
      </c>
    </row>
    <row r="5687" spans="1:19" x14ac:dyDescent="0.3">
      <c r="A5687">
        <v>195</v>
      </c>
      <c r="B5687" t="s">
        <v>6142</v>
      </c>
      <c r="C5687" t="s">
        <v>6268</v>
      </c>
      <c r="D5687" s="2" t="s">
        <v>6269</v>
      </c>
      <c r="E5687" t="s">
        <v>6270</v>
      </c>
      <c r="F5687" t="s">
        <v>20</v>
      </c>
      <c r="G5687" t="s">
        <v>21</v>
      </c>
      <c r="H5687" t="s">
        <v>1282</v>
      </c>
      <c r="I5687" t="s">
        <v>23</v>
      </c>
      <c r="J5687" t="s">
        <v>40</v>
      </c>
      <c r="K5687" s="2" t="s">
        <v>3074</v>
      </c>
      <c r="L5687" t="s">
        <v>26</v>
      </c>
      <c r="M5687">
        <v>307742</v>
      </c>
      <c r="N5687">
        <v>1</v>
      </c>
      <c r="O5687" s="3">
        <v>29990</v>
      </c>
      <c r="P5687" s="3">
        <v>13161</v>
      </c>
      <c r="Q5687" s="5">
        <f t="shared" si="264"/>
        <v>25201.680672268907</v>
      </c>
      <c r="R5687" s="5">
        <f t="shared" si="265"/>
        <v>13161</v>
      </c>
      <c r="S5687" s="5">
        <f t="shared" si="266"/>
        <v>12040.680672268907</v>
      </c>
    </row>
    <row r="5688" spans="1:19" x14ac:dyDescent="0.3">
      <c r="A5688">
        <v>195</v>
      </c>
      <c r="B5688" t="s">
        <v>6142</v>
      </c>
      <c r="C5688">
        <v>1687976791</v>
      </c>
      <c r="D5688" s="2" t="s">
        <v>200</v>
      </c>
      <c r="E5688" t="s">
        <v>201</v>
      </c>
      <c r="F5688" t="s">
        <v>201</v>
      </c>
      <c r="G5688" t="s">
        <v>202</v>
      </c>
      <c r="H5688" t="s">
        <v>202</v>
      </c>
      <c r="I5688" t="s">
        <v>23</v>
      </c>
      <c r="J5688" t="s">
        <v>202</v>
      </c>
      <c r="K5688" s="2" t="s">
        <v>3074</v>
      </c>
      <c r="L5688" t="s">
        <v>26</v>
      </c>
      <c r="M5688">
        <v>307742</v>
      </c>
      <c r="N5688">
        <v>1</v>
      </c>
      <c r="O5688" s="3">
        <v>5547</v>
      </c>
      <c r="P5688">
        <v>1</v>
      </c>
      <c r="Q5688" s="5">
        <f t="shared" si="264"/>
        <v>4661.3445378151264</v>
      </c>
      <c r="R5688" s="5">
        <f t="shared" si="265"/>
        <v>1</v>
      </c>
      <c r="S5688" s="5">
        <f t="shared" si="266"/>
        <v>4660.3445378151264</v>
      </c>
    </row>
    <row r="5689" spans="1:19" x14ac:dyDescent="0.3">
      <c r="A5689">
        <v>195</v>
      </c>
      <c r="B5689" t="s">
        <v>6142</v>
      </c>
      <c r="C5689" t="s">
        <v>1514</v>
      </c>
      <c r="D5689" s="2" t="s">
        <v>1515</v>
      </c>
      <c r="E5689" t="s">
        <v>884</v>
      </c>
      <c r="F5689" t="s">
        <v>20</v>
      </c>
      <c r="G5689" t="s">
        <v>21</v>
      </c>
      <c r="H5689" t="s">
        <v>48</v>
      </c>
      <c r="I5689" t="s">
        <v>23</v>
      </c>
      <c r="J5689" t="s">
        <v>49</v>
      </c>
      <c r="K5689" s="2" t="s">
        <v>3074</v>
      </c>
      <c r="L5689" t="s">
        <v>26</v>
      </c>
      <c r="M5689">
        <v>307743</v>
      </c>
      <c r="N5689">
        <v>-1</v>
      </c>
      <c r="O5689" s="3">
        <v>-39990</v>
      </c>
      <c r="P5689" s="3">
        <v>26199</v>
      </c>
      <c r="Q5689" s="5">
        <f t="shared" si="264"/>
        <v>-33605.042016806721</v>
      </c>
      <c r="R5689" s="5">
        <f t="shared" si="265"/>
        <v>-26199</v>
      </c>
      <c r="S5689" s="5">
        <f t="shared" si="266"/>
        <v>-7406.0420168067212</v>
      </c>
    </row>
    <row r="5690" spans="1:19" x14ac:dyDescent="0.3">
      <c r="A5690">
        <v>195</v>
      </c>
      <c r="B5690" t="s">
        <v>6142</v>
      </c>
      <c r="C5690" t="s">
        <v>5109</v>
      </c>
      <c r="D5690" s="2" t="s">
        <v>5110</v>
      </c>
      <c r="E5690" t="s">
        <v>4736</v>
      </c>
      <c r="F5690" t="s">
        <v>20</v>
      </c>
      <c r="G5690" t="s">
        <v>21</v>
      </c>
      <c r="H5690" t="s">
        <v>1914</v>
      </c>
      <c r="I5690" t="s">
        <v>23</v>
      </c>
      <c r="J5690" t="s">
        <v>49</v>
      </c>
      <c r="K5690" s="2" t="s">
        <v>3074</v>
      </c>
      <c r="L5690" t="s">
        <v>26</v>
      </c>
      <c r="M5690">
        <v>307743</v>
      </c>
      <c r="N5690">
        <v>1</v>
      </c>
      <c r="O5690" s="3">
        <v>74950</v>
      </c>
      <c r="P5690" s="3">
        <v>24728</v>
      </c>
      <c r="Q5690" s="5">
        <f t="shared" si="264"/>
        <v>62983.193277310929</v>
      </c>
      <c r="R5690" s="5">
        <f t="shared" si="265"/>
        <v>24728</v>
      </c>
      <c r="S5690" s="5">
        <f t="shared" si="266"/>
        <v>38255.193277310929</v>
      </c>
    </row>
    <row r="5691" spans="1:19" x14ac:dyDescent="0.3">
      <c r="A5691">
        <v>195</v>
      </c>
      <c r="B5691" t="s">
        <v>6142</v>
      </c>
      <c r="C5691" t="s">
        <v>5699</v>
      </c>
      <c r="D5691" s="2" t="s">
        <v>5700</v>
      </c>
      <c r="E5691" t="s">
        <v>4915</v>
      </c>
      <c r="F5691" t="s">
        <v>20</v>
      </c>
      <c r="G5691" t="s">
        <v>338</v>
      </c>
      <c r="H5691">
        <v>83716</v>
      </c>
      <c r="I5691" t="s">
        <v>23</v>
      </c>
      <c r="J5691" t="s">
        <v>40</v>
      </c>
      <c r="K5691" s="2" t="s">
        <v>3074</v>
      </c>
      <c r="L5691" t="s">
        <v>26</v>
      </c>
      <c r="M5691">
        <v>307744</v>
      </c>
      <c r="N5691">
        <v>1</v>
      </c>
      <c r="O5691" s="3">
        <v>89950</v>
      </c>
      <c r="P5691" s="3">
        <v>30263</v>
      </c>
      <c r="Q5691" s="5">
        <f t="shared" si="264"/>
        <v>75588.23529411765</v>
      </c>
      <c r="R5691" s="5">
        <f t="shared" si="265"/>
        <v>30263</v>
      </c>
      <c r="S5691" s="5">
        <f t="shared" si="266"/>
        <v>45325.23529411765</v>
      </c>
    </row>
    <row r="5692" spans="1:19" x14ac:dyDescent="0.3">
      <c r="A5692">
        <v>195</v>
      </c>
      <c r="B5692" t="s">
        <v>6142</v>
      </c>
      <c r="C5692" t="s">
        <v>3503</v>
      </c>
      <c r="D5692" s="2" t="s">
        <v>3504</v>
      </c>
      <c r="E5692" t="s">
        <v>2265</v>
      </c>
      <c r="F5692" t="s">
        <v>20</v>
      </c>
      <c r="G5692" t="s">
        <v>21</v>
      </c>
      <c r="H5692" t="s">
        <v>2070</v>
      </c>
      <c r="I5692" t="s">
        <v>23</v>
      </c>
      <c r="J5692" t="s">
        <v>35</v>
      </c>
      <c r="K5692" s="2" t="s">
        <v>3074</v>
      </c>
      <c r="L5692" t="s">
        <v>26</v>
      </c>
      <c r="M5692">
        <v>307745</v>
      </c>
      <c r="N5692">
        <v>1</v>
      </c>
      <c r="O5692" s="3">
        <v>89950</v>
      </c>
      <c r="P5692" s="3">
        <v>29635</v>
      </c>
      <c r="Q5692" s="5">
        <f t="shared" si="264"/>
        <v>75588.23529411765</v>
      </c>
      <c r="R5692" s="5">
        <f t="shared" si="265"/>
        <v>29635</v>
      </c>
      <c r="S5692" s="5">
        <f t="shared" si="266"/>
        <v>45953.23529411765</v>
      </c>
    </row>
    <row r="5693" spans="1:19" x14ac:dyDescent="0.3">
      <c r="A5693">
        <v>195</v>
      </c>
      <c r="B5693" t="s">
        <v>6142</v>
      </c>
      <c r="C5693" t="s">
        <v>6271</v>
      </c>
      <c r="D5693" s="2" t="s">
        <v>6272</v>
      </c>
      <c r="E5693" t="s">
        <v>4744</v>
      </c>
      <c r="F5693" t="s">
        <v>20</v>
      </c>
      <c r="G5693" t="s">
        <v>338</v>
      </c>
      <c r="H5693">
        <v>85101</v>
      </c>
      <c r="I5693" t="s">
        <v>23</v>
      </c>
      <c r="J5693" t="s">
        <v>35</v>
      </c>
      <c r="K5693" s="2" t="s">
        <v>3074</v>
      </c>
      <c r="L5693" t="s">
        <v>26</v>
      </c>
      <c r="M5693">
        <v>307746</v>
      </c>
      <c r="N5693">
        <v>1</v>
      </c>
      <c r="O5693" s="3">
        <v>99950</v>
      </c>
      <c r="P5693" s="3">
        <v>33793</v>
      </c>
      <c r="Q5693" s="5">
        <f t="shared" si="264"/>
        <v>83991.596638655465</v>
      </c>
      <c r="R5693" s="5">
        <f t="shared" si="265"/>
        <v>33793</v>
      </c>
      <c r="S5693" s="5">
        <f t="shared" si="266"/>
        <v>50198.596638655465</v>
      </c>
    </row>
    <row r="5694" spans="1:19" x14ac:dyDescent="0.3">
      <c r="A5694">
        <v>195</v>
      </c>
      <c r="B5694" t="s">
        <v>6142</v>
      </c>
      <c r="C5694" t="s">
        <v>3958</v>
      </c>
      <c r="D5694" s="2" t="s">
        <v>3959</v>
      </c>
      <c r="E5694" t="s">
        <v>2473</v>
      </c>
      <c r="F5694" t="s">
        <v>20</v>
      </c>
      <c r="G5694" t="s">
        <v>21</v>
      </c>
      <c r="H5694" t="s">
        <v>114</v>
      </c>
      <c r="I5694" t="s">
        <v>23</v>
      </c>
      <c r="J5694" t="s">
        <v>49</v>
      </c>
      <c r="K5694" s="2" t="s">
        <v>3074</v>
      </c>
      <c r="L5694" t="s">
        <v>26</v>
      </c>
      <c r="M5694">
        <v>307747</v>
      </c>
      <c r="N5694">
        <v>1</v>
      </c>
      <c r="O5694" s="3">
        <v>49990</v>
      </c>
      <c r="P5694" s="3">
        <v>23514</v>
      </c>
      <c r="Q5694" s="5">
        <f t="shared" si="264"/>
        <v>42008.403361344543</v>
      </c>
      <c r="R5694" s="5">
        <f t="shared" si="265"/>
        <v>23514</v>
      </c>
      <c r="S5694" s="5">
        <f t="shared" si="266"/>
        <v>18494.403361344543</v>
      </c>
    </row>
    <row r="5695" spans="1:19" x14ac:dyDescent="0.3">
      <c r="A5695">
        <v>195</v>
      </c>
      <c r="B5695" t="s">
        <v>6142</v>
      </c>
      <c r="C5695" t="s">
        <v>3253</v>
      </c>
      <c r="D5695" s="2" t="s">
        <v>3254</v>
      </c>
      <c r="E5695" t="s">
        <v>2653</v>
      </c>
      <c r="F5695" t="s">
        <v>20</v>
      </c>
      <c r="G5695" t="s">
        <v>21</v>
      </c>
      <c r="H5695" t="s">
        <v>2315</v>
      </c>
      <c r="I5695" t="s">
        <v>23</v>
      </c>
      <c r="J5695" t="s">
        <v>35</v>
      </c>
      <c r="K5695" s="2" t="s">
        <v>3074</v>
      </c>
      <c r="L5695" t="s">
        <v>26</v>
      </c>
      <c r="M5695">
        <v>307748</v>
      </c>
      <c r="N5695">
        <v>1</v>
      </c>
      <c r="O5695" s="3">
        <v>89950</v>
      </c>
      <c r="P5695" s="3">
        <v>30749</v>
      </c>
      <c r="Q5695" s="5">
        <f t="shared" si="264"/>
        <v>75588.23529411765</v>
      </c>
      <c r="R5695" s="5">
        <f t="shared" si="265"/>
        <v>30749</v>
      </c>
      <c r="S5695" s="5">
        <f t="shared" si="266"/>
        <v>44839.23529411765</v>
      </c>
    </row>
    <row r="5696" spans="1:19" x14ac:dyDescent="0.3">
      <c r="A5696">
        <v>195</v>
      </c>
      <c r="B5696" t="s">
        <v>6142</v>
      </c>
      <c r="C5696" t="s">
        <v>3240</v>
      </c>
      <c r="D5696" s="2" t="s">
        <v>3241</v>
      </c>
      <c r="E5696" t="s">
        <v>3061</v>
      </c>
      <c r="F5696" t="s">
        <v>20</v>
      </c>
      <c r="G5696" t="s">
        <v>21</v>
      </c>
      <c r="H5696" t="s">
        <v>2315</v>
      </c>
      <c r="I5696" t="s">
        <v>23</v>
      </c>
      <c r="J5696" t="s">
        <v>49</v>
      </c>
      <c r="K5696" s="2" t="s">
        <v>3074</v>
      </c>
      <c r="L5696" t="s">
        <v>26</v>
      </c>
      <c r="M5696">
        <v>307749</v>
      </c>
      <c r="N5696">
        <v>1</v>
      </c>
      <c r="O5696" s="3">
        <v>74950</v>
      </c>
      <c r="P5696" s="3">
        <v>29090</v>
      </c>
      <c r="Q5696" s="5">
        <f t="shared" si="264"/>
        <v>62983.193277310929</v>
      </c>
      <c r="R5696" s="5">
        <f t="shared" si="265"/>
        <v>29090</v>
      </c>
      <c r="S5696" s="5">
        <f t="shared" si="266"/>
        <v>33893.193277310929</v>
      </c>
    </row>
    <row r="5697" spans="1:19" x14ac:dyDescent="0.3">
      <c r="A5697">
        <v>195</v>
      </c>
      <c r="B5697" t="s">
        <v>6142</v>
      </c>
      <c r="C5697" t="s">
        <v>4437</v>
      </c>
      <c r="D5697" s="2" t="s">
        <v>4438</v>
      </c>
      <c r="E5697" t="s">
        <v>4411</v>
      </c>
      <c r="F5697" t="s">
        <v>20</v>
      </c>
      <c r="G5697" t="s">
        <v>21</v>
      </c>
      <c r="H5697" t="s">
        <v>614</v>
      </c>
      <c r="I5697" t="s">
        <v>23</v>
      </c>
      <c r="J5697" t="s">
        <v>40</v>
      </c>
      <c r="K5697" s="2" t="s">
        <v>1569</v>
      </c>
      <c r="L5697" t="s">
        <v>26</v>
      </c>
      <c r="M5697">
        <v>307750</v>
      </c>
      <c r="N5697">
        <v>1</v>
      </c>
      <c r="O5697" s="3">
        <v>39990</v>
      </c>
      <c r="P5697" s="3">
        <v>14604</v>
      </c>
      <c r="Q5697" s="5">
        <f t="shared" si="264"/>
        <v>33605.042016806721</v>
      </c>
      <c r="R5697" s="5">
        <f t="shared" si="265"/>
        <v>14604</v>
      </c>
      <c r="S5697" s="5">
        <f t="shared" si="266"/>
        <v>19001.042016806721</v>
      </c>
    </row>
    <row r="5698" spans="1:19" x14ac:dyDescent="0.3">
      <c r="A5698">
        <v>195</v>
      </c>
      <c r="B5698" t="s">
        <v>6142</v>
      </c>
      <c r="C5698">
        <v>1687976791</v>
      </c>
      <c r="D5698" s="2" t="s">
        <v>200</v>
      </c>
      <c r="E5698" t="s">
        <v>201</v>
      </c>
      <c r="F5698" t="s">
        <v>201</v>
      </c>
      <c r="G5698" t="s">
        <v>202</v>
      </c>
      <c r="H5698" t="s">
        <v>202</v>
      </c>
      <c r="I5698" t="s">
        <v>23</v>
      </c>
      <c r="J5698" t="s">
        <v>202</v>
      </c>
      <c r="K5698" s="2" t="s">
        <v>1569</v>
      </c>
      <c r="L5698" t="s">
        <v>26</v>
      </c>
      <c r="M5698">
        <v>307750</v>
      </c>
      <c r="N5698">
        <v>1</v>
      </c>
      <c r="O5698" s="3">
        <v>5813</v>
      </c>
      <c r="P5698">
        <v>1</v>
      </c>
      <c r="Q5698" s="5">
        <f t="shared" si="264"/>
        <v>4884.8739495798318</v>
      </c>
      <c r="R5698" s="5">
        <f t="shared" si="265"/>
        <v>1</v>
      </c>
      <c r="S5698" s="5">
        <f t="shared" si="266"/>
        <v>4883.8739495798318</v>
      </c>
    </row>
    <row r="5699" spans="1:19" x14ac:dyDescent="0.3">
      <c r="A5699">
        <v>195</v>
      </c>
      <c r="B5699" t="s">
        <v>6142</v>
      </c>
      <c r="C5699" t="s">
        <v>4437</v>
      </c>
      <c r="D5699" s="2" t="s">
        <v>4438</v>
      </c>
      <c r="E5699" t="s">
        <v>4411</v>
      </c>
      <c r="F5699" t="s">
        <v>20</v>
      </c>
      <c r="G5699" t="s">
        <v>21</v>
      </c>
      <c r="H5699" t="s">
        <v>614</v>
      </c>
      <c r="I5699" t="s">
        <v>23</v>
      </c>
      <c r="J5699" t="s">
        <v>40</v>
      </c>
      <c r="K5699" s="2" t="s">
        <v>1569</v>
      </c>
      <c r="L5699" t="s">
        <v>26</v>
      </c>
      <c r="M5699">
        <v>307751</v>
      </c>
      <c r="N5699">
        <v>1</v>
      </c>
      <c r="O5699" s="3">
        <v>39990</v>
      </c>
      <c r="P5699" s="3">
        <v>14604</v>
      </c>
      <c r="Q5699" s="5">
        <f t="shared" si="264"/>
        <v>33605.042016806721</v>
      </c>
      <c r="R5699" s="5">
        <f t="shared" si="265"/>
        <v>14604</v>
      </c>
      <c r="S5699" s="5">
        <f t="shared" si="266"/>
        <v>19001.042016806721</v>
      </c>
    </row>
    <row r="5700" spans="1:19" x14ac:dyDescent="0.3">
      <c r="A5700">
        <v>195</v>
      </c>
      <c r="B5700" t="s">
        <v>6142</v>
      </c>
      <c r="C5700" t="s">
        <v>2090</v>
      </c>
      <c r="D5700" s="2" t="s">
        <v>2091</v>
      </c>
      <c r="E5700" t="s">
        <v>2092</v>
      </c>
      <c r="F5700" t="s">
        <v>20</v>
      </c>
      <c r="G5700" t="s">
        <v>21</v>
      </c>
      <c r="H5700" t="s">
        <v>1755</v>
      </c>
      <c r="I5700" t="s">
        <v>23</v>
      </c>
      <c r="J5700" t="s">
        <v>40</v>
      </c>
      <c r="K5700" s="2" t="s">
        <v>1569</v>
      </c>
      <c r="L5700" t="s">
        <v>26</v>
      </c>
      <c r="M5700">
        <v>307751</v>
      </c>
      <c r="N5700">
        <v>1</v>
      </c>
      <c r="O5700" s="3">
        <v>59990</v>
      </c>
      <c r="P5700" s="3">
        <v>32843</v>
      </c>
      <c r="Q5700" s="5">
        <f t="shared" si="264"/>
        <v>50411.764705882357</v>
      </c>
      <c r="R5700" s="5">
        <f t="shared" si="265"/>
        <v>32843</v>
      </c>
      <c r="S5700" s="5">
        <f t="shared" si="266"/>
        <v>17568.764705882357</v>
      </c>
    </row>
    <row r="5701" spans="1:19" x14ac:dyDescent="0.3">
      <c r="A5701">
        <v>195</v>
      </c>
      <c r="B5701" t="s">
        <v>6142</v>
      </c>
      <c r="C5701" t="s">
        <v>5783</v>
      </c>
      <c r="D5701" s="2" t="s">
        <v>5784</v>
      </c>
      <c r="E5701" t="s">
        <v>4771</v>
      </c>
      <c r="F5701" t="s">
        <v>20</v>
      </c>
      <c r="G5701" t="s">
        <v>338</v>
      </c>
      <c r="H5701">
        <v>85200</v>
      </c>
      <c r="I5701" t="s">
        <v>23</v>
      </c>
      <c r="J5701" t="s">
        <v>35</v>
      </c>
      <c r="K5701" s="2" t="s">
        <v>1569</v>
      </c>
      <c r="L5701" t="s">
        <v>26</v>
      </c>
      <c r="M5701">
        <v>307752</v>
      </c>
      <c r="N5701">
        <v>1</v>
      </c>
      <c r="O5701" s="3">
        <v>89950</v>
      </c>
      <c r="P5701" s="3">
        <v>27253</v>
      </c>
      <c r="Q5701" s="5">
        <f t="shared" si="264"/>
        <v>75588.23529411765</v>
      </c>
      <c r="R5701" s="5">
        <f t="shared" si="265"/>
        <v>27253</v>
      </c>
      <c r="S5701" s="5">
        <f t="shared" si="266"/>
        <v>48335.23529411765</v>
      </c>
    </row>
    <row r="5702" spans="1:19" x14ac:dyDescent="0.3">
      <c r="A5702">
        <v>195</v>
      </c>
      <c r="B5702" t="s">
        <v>6142</v>
      </c>
      <c r="C5702" t="s">
        <v>3692</v>
      </c>
      <c r="D5702" s="2" t="s">
        <v>3693</v>
      </c>
      <c r="E5702" t="s">
        <v>1758</v>
      </c>
      <c r="F5702" t="s">
        <v>20</v>
      </c>
      <c r="G5702" t="s">
        <v>338</v>
      </c>
      <c r="H5702">
        <v>25133</v>
      </c>
      <c r="I5702" t="s">
        <v>23</v>
      </c>
      <c r="J5702" t="s">
        <v>35</v>
      </c>
      <c r="K5702" s="2" t="s">
        <v>1569</v>
      </c>
      <c r="L5702" t="s">
        <v>26</v>
      </c>
      <c r="M5702">
        <v>307753</v>
      </c>
      <c r="N5702">
        <v>1</v>
      </c>
      <c r="O5702" s="3">
        <v>74950</v>
      </c>
      <c r="P5702" s="3">
        <v>21167</v>
      </c>
      <c r="Q5702" s="5">
        <f t="shared" ref="Q5702:Q5765" si="267">O5702/1.19</f>
        <v>62983.193277310929</v>
      </c>
      <c r="R5702" s="5">
        <f t="shared" ref="R5702:R5765" si="268">N5702*P5702</f>
        <v>21167</v>
      </c>
      <c r="S5702" s="5">
        <f t="shared" ref="S5702:S5765" si="269">Q5702-R5702</f>
        <v>41816.193277310929</v>
      </c>
    </row>
    <row r="5703" spans="1:19" x14ac:dyDescent="0.3">
      <c r="A5703">
        <v>195</v>
      </c>
      <c r="B5703" t="s">
        <v>6142</v>
      </c>
      <c r="C5703" t="s">
        <v>2977</v>
      </c>
      <c r="D5703" s="2" t="s">
        <v>2978</v>
      </c>
      <c r="E5703" t="s">
        <v>2468</v>
      </c>
      <c r="F5703" t="s">
        <v>20</v>
      </c>
      <c r="G5703" t="s">
        <v>21</v>
      </c>
      <c r="H5703" t="s">
        <v>2469</v>
      </c>
      <c r="I5703" t="s">
        <v>23</v>
      </c>
      <c r="J5703" t="s">
        <v>49</v>
      </c>
      <c r="K5703" s="2" t="s">
        <v>1569</v>
      </c>
      <c r="L5703" t="s">
        <v>26</v>
      </c>
      <c r="M5703">
        <v>307754</v>
      </c>
      <c r="N5703">
        <v>1</v>
      </c>
      <c r="O5703" s="3">
        <v>64950</v>
      </c>
      <c r="P5703" s="3">
        <v>19034</v>
      </c>
      <c r="Q5703" s="5">
        <f t="shared" si="267"/>
        <v>54579.831932773115</v>
      </c>
      <c r="R5703" s="5">
        <f t="shared" si="268"/>
        <v>19034</v>
      </c>
      <c r="S5703" s="5">
        <f t="shared" si="269"/>
        <v>35545.831932773115</v>
      </c>
    </row>
    <row r="5704" spans="1:19" x14ac:dyDescent="0.3">
      <c r="A5704">
        <v>195</v>
      </c>
      <c r="B5704" t="s">
        <v>6142</v>
      </c>
      <c r="C5704" t="s">
        <v>5307</v>
      </c>
      <c r="D5704" s="2" t="s">
        <v>5308</v>
      </c>
      <c r="E5704" t="s">
        <v>5119</v>
      </c>
      <c r="F5704" t="s">
        <v>20</v>
      </c>
      <c r="G5704" t="s">
        <v>21</v>
      </c>
      <c r="H5704" t="s">
        <v>2782</v>
      </c>
      <c r="I5704" t="s">
        <v>23</v>
      </c>
      <c r="J5704" t="s">
        <v>35</v>
      </c>
      <c r="K5704" s="2" t="s">
        <v>1569</v>
      </c>
      <c r="L5704" t="s">
        <v>26</v>
      </c>
      <c r="M5704">
        <v>307755</v>
      </c>
      <c r="N5704">
        <v>1</v>
      </c>
      <c r="O5704" s="3">
        <v>69950</v>
      </c>
      <c r="P5704" s="3">
        <v>24388</v>
      </c>
      <c r="Q5704" s="5">
        <f t="shared" si="267"/>
        <v>58781.512605042022</v>
      </c>
      <c r="R5704" s="5">
        <f t="shared" si="268"/>
        <v>24388</v>
      </c>
      <c r="S5704" s="5">
        <f t="shared" si="269"/>
        <v>34393.512605042022</v>
      </c>
    </row>
    <row r="5705" spans="1:19" x14ac:dyDescent="0.3">
      <c r="A5705">
        <v>195</v>
      </c>
      <c r="B5705" t="s">
        <v>6142</v>
      </c>
      <c r="C5705" t="s">
        <v>2706</v>
      </c>
      <c r="D5705" s="2" t="s">
        <v>2707</v>
      </c>
      <c r="E5705" t="s">
        <v>2708</v>
      </c>
      <c r="F5705" t="s">
        <v>20</v>
      </c>
      <c r="G5705" t="s">
        <v>21</v>
      </c>
      <c r="H5705" t="s">
        <v>783</v>
      </c>
      <c r="I5705" t="s">
        <v>23</v>
      </c>
      <c r="J5705" t="s">
        <v>40</v>
      </c>
      <c r="K5705" s="2" t="s">
        <v>1569</v>
      </c>
      <c r="L5705" t="s">
        <v>26</v>
      </c>
      <c r="M5705">
        <v>307756</v>
      </c>
      <c r="N5705">
        <v>1</v>
      </c>
      <c r="O5705" s="3">
        <v>54950</v>
      </c>
      <c r="P5705" s="3">
        <v>19451</v>
      </c>
      <c r="Q5705" s="5">
        <f t="shared" si="267"/>
        <v>46176.470588235294</v>
      </c>
      <c r="R5705" s="5">
        <f t="shared" si="268"/>
        <v>19451</v>
      </c>
      <c r="S5705" s="5">
        <f t="shared" si="269"/>
        <v>26725.470588235294</v>
      </c>
    </row>
    <row r="5706" spans="1:19" x14ac:dyDescent="0.3">
      <c r="A5706">
        <v>195</v>
      </c>
      <c r="B5706" t="s">
        <v>6142</v>
      </c>
      <c r="C5706" t="s">
        <v>5514</v>
      </c>
      <c r="D5706" s="2" t="s">
        <v>5515</v>
      </c>
      <c r="E5706" t="s">
        <v>5516</v>
      </c>
      <c r="F5706" t="s">
        <v>377</v>
      </c>
      <c r="G5706" t="s">
        <v>21</v>
      </c>
      <c r="H5706" t="s">
        <v>378</v>
      </c>
      <c r="I5706" t="s">
        <v>23</v>
      </c>
      <c r="J5706" t="s">
        <v>2638</v>
      </c>
      <c r="K5706" s="2" t="s">
        <v>1569</v>
      </c>
      <c r="L5706" t="s">
        <v>26</v>
      </c>
      <c r="M5706">
        <v>307757</v>
      </c>
      <c r="N5706">
        <v>1</v>
      </c>
      <c r="O5706" s="3">
        <v>1950</v>
      </c>
      <c r="P5706">
        <v>801</v>
      </c>
      <c r="Q5706" s="5">
        <f t="shared" si="267"/>
        <v>1638.6554621848741</v>
      </c>
      <c r="R5706" s="5">
        <f t="shared" si="268"/>
        <v>801</v>
      </c>
      <c r="S5706" s="5">
        <f t="shared" si="269"/>
        <v>837.65546218487407</v>
      </c>
    </row>
    <row r="5707" spans="1:19" x14ac:dyDescent="0.3">
      <c r="A5707">
        <v>195</v>
      </c>
      <c r="B5707" t="s">
        <v>6142</v>
      </c>
      <c r="C5707" t="s">
        <v>2855</v>
      </c>
      <c r="D5707" s="2" t="s">
        <v>2856</v>
      </c>
      <c r="E5707" t="s">
        <v>2781</v>
      </c>
      <c r="F5707" t="s">
        <v>20</v>
      </c>
      <c r="G5707" t="s">
        <v>21</v>
      </c>
      <c r="H5707" t="s">
        <v>2782</v>
      </c>
      <c r="I5707" t="s">
        <v>23</v>
      </c>
      <c r="J5707" t="s">
        <v>35</v>
      </c>
      <c r="K5707" s="2" t="s">
        <v>1569</v>
      </c>
      <c r="L5707" t="s">
        <v>26</v>
      </c>
      <c r="M5707">
        <v>307758</v>
      </c>
      <c r="N5707">
        <v>1</v>
      </c>
      <c r="O5707" s="3">
        <v>74950</v>
      </c>
      <c r="P5707" s="3">
        <v>24388</v>
      </c>
      <c r="Q5707" s="5">
        <f t="shared" si="267"/>
        <v>62983.193277310929</v>
      </c>
      <c r="R5707" s="5">
        <f t="shared" si="268"/>
        <v>24388</v>
      </c>
      <c r="S5707" s="5">
        <f t="shared" si="269"/>
        <v>38595.193277310929</v>
      </c>
    </row>
    <row r="5708" spans="1:19" x14ac:dyDescent="0.3">
      <c r="A5708">
        <v>195</v>
      </c>
      <c r="B5708" t="s">
        <v>6142</v>
      </c>
      <c r="C5708" t="s">
        <v>2651</v>
      </c>
      <c r="D5708" s="2" t="s">
        <v>2652</v>
      </c>
      <c r="E5708" t="s">
        <v>2653</v>
      </c>
      <c r="F5708" t="s">
        <v>20</v>
      </c>
      <c r="G5708" t="s">
        <v>21</v>
      </c>
      <c r="H5708" t="s">
        <v>2315</v>
      </c>
      <c r="I5708" t="s">
        <v>23</v>
      </c>
      <c r="J5708" t="s">
        <v>35</v>
      </c>
      <c r="K5708" s="2" t="s">
        <v>1569</v>
      </c>
      <c r="L5708" t="s">
        <v>26</v>
      </c>
      <c r="M5708">
        <v>307759</v>
      </c>
      <c r="N5708">
        <v>1</v>
      </c>
      <c r="O5708" s="3">
        <v>89950</v>
      </c>
      <c r="P5708" s="3">
        <v>30749</v>
      </c>
      <c r="Q5708" s="5">
        <f t="shared" si="267"/>
        <v>75588.23529411765</v>
      </c>
      <c r="R5708" s="5">
        <f t="shared" si="268"/>
        <v>30749</v>
      </c>
      <c r="S5708" s="5">
        <f t="shared" si="269"/>
        <v>44839.23529411765</v>
      </c>
    </row>
    <row r="5709" spans="1:19" x14ac:dyDescent="0.3">
      <c r="A5709">
        <v>195</v>
      </c>
      <c r="B5709" t="s">
        <v>6142</v>
      </c>
      <c r="C5709" t="s">
        <v>6273</v>
      </c>
      <c r="D5709" s="2" t="s">
        <v>6274</v>
      </c>
      <c r="E5709" t="s">
        <v>5589</v>
      </c>
      <c r="F5709" t="s">
        <v>20</v>
      </c>
      <c r="G5709" t="s">
        <v>21</v>
      </c>
      <c r="H5709" t="s">
        <v>966</v>
      </c>
      <c r="I5709" t="s">
        <v>23</v>
      </c>
      <c r="J5709" t="s">
        <v>40</v>
      </c>
      <c r="K5709" s="2" t="s">
        <v>1744</v>
      </c>
      <c r="L5709" t="s">
        <v>26</v>
      </c>
      <c r="M5709">
        <v>307760</v>
      </c>
      <c r="N5709">
        <v>1</v>
      </c>
      <c r="O5709" s="3">
        <v>49990</v>
      </c>
      <c r="P5709" s="3">
        <v>23705</v>
      </c>
      <c r="Q5709" s="5">
        <f t="shared" si="267"/>
        <v>42008.403361344543</v>
      </c>
      <c r="R5709" s="5">
        <f t="shared" si="268"/>
        <v>23705</v>
      </c>
      <c r="S5709" s="5">
        <f t="shared" si="269"/>
        <v>18303.403361344543</v>
      </c>
    </row>
    <row r="5710" spans="1:19" x14ac:dyDescent="0.3">
      <c r="A5710">
        <v>195</v>
      </c>
      <c r="B5710" t="s">
        <v>6142</v>
      </c>
      <c r="C5710" t="s">
        <v>5362</v>
      </c>
      <c r="D5710" s="2" t="s">
        <v>5363</v>
      </c>
      <c r="E5710" t="s">
        <v>3140</v>
      </c>
      <c r="F5710" t="s">
        <v>20</v>
      </c>
      <c r="G5710" t="s">
        <v>21</v>
      </c>
      <c r="H5710" t="s">
        <v>991</v>
      </c>
      <c r="I5710" t="s">
        <v>23</v>
      </c>
      <c r="J5710" t="s">
        <v>49</v>
      </c>
      <c r="K5710" s="2" t="s">
        <v>1744</v>
      </c>
      <c r="L5710" t="s">
        <v>26</v>
      </c>
      <c r="M5710">
        <v>307760</v>
      </c>
      <c r="N5710">
        <v>1</v>
      </c>
      <c r="O5710" s="3">
        <v>54990</v>
      </c>
      <c r="P5710" s="3">
        <v>24470</v>
      </c>
      <c r="Q5710" s="5">
        <f t="shared" si="267"/>
        <v>46210.08403361345</v>
      </c>
      <c r="R5710" s="5">
        <f t="shared" si="268"/>
        <v>24470</v>
      </c>
      <c r="S5710" s="5">
        <f t="shared" si="269"/>
        <v>21740.08403361345</v>
      </c>
    </row>
    <row r="5711" spans="1:19" x14ac:dyDescent="0.3">
      <c r="A5711">
        <v>195</v>
      </c>
      <c r="B5711" t="s">
        <v>6142</v>
      </c>
      <c r="C5711">
        <v>1687976791</v>
      </c>
      <c r="D5711" s="2" t="s">
        <v>200</v>
      </c>
      <c r="E5711" t="s">
        <v>201</v>
      </c>
      <c r="F5711" t="s">
        <v>201</v>
      </c>
      <c r="G5711" t="s">
        <v>202</v>
      </c>
      <c r="H5711" t="s">
        <v>202</v>
      </c>
      <c r="I5711" t="s">
        <v>23</v>
      </c>
      <c r="J5711" t="s">
        <v>202</v>
      </c>
      <c r="K5711" s="2" t="s">
        <v>1744</v>
      </c>
      <c r="L5711" t="s">
        <v>26</v>
      </c>
      <c r="M5711">
        <v>307761</v>
      </c>
      <c r="N5711">
        <v>1</v>
      </c>
      <c r="O5711" s="3">
        <v>5813</v>
      </c>
      <c r="P5711">
        <v>1</v>
      </c>
      <c r="Q5711" s="5">
        <f t="shared" si="267"/>
        <v>4884.8739495798318</v>
      </c>
      <c r="R5711" s="5">
        <f t="shared" si="268"/>
        <v>1</v>
      </c>
      <c r="S5711" s="5">
        <f t="shared" si="269"/>
        <v>4883.8739495798318</v>
      </c>
    </row>
    <row r="5712" spans="1:19" x14ac:dyDescent="0.3">
      <c r="A5712">
        <v>195</v>
      </c>
      <c r="B5712" t="s">
        <v>6142</v>
      </c>
      <c r="C5712" t="s">
        <v>5370</v>
      </c>
      <c r="D5712" s="2" t="s">
        <v>5371</v>
      </c>
      <c r="E5712" t="s">
        <v>4859</v>
      </c>
      <c r="F5712" t="s">
        <v>20</v>
      </c>
      <c r="G5712" t="s">
        <v>338</v>
      </c>
      <c r="H5712">
        <v>23624</v>
      </c>
      <c r="I5712" t="s">
        <v>23</v>
      </c>
      <c r="J5712" t="s">
        <v>40</v>
      </c>
      <c r="K5712" s="2" t="s">
        <v>1744</v>
      </c>
      <c r="L5712" t="s">
        <v>26</v>
      </c>
      <c r="M5712">
        <v>307761</v>
      </c>
      <c r="N5712">
        <v>1</v>
      </c>
      <c r="O5712" s="3">
        <v>69990</v>
      </c>
      <c r="P5712" s="3">
        <v>24718</v>
      </c>
      <c r="Q5712" s="5">
        <f t="shared" si="267"/>
        <v>58815.126050420171</v>
      </c>
      <c r="R5712" s="5">
        <f t="shared" si="268"/>
        <v>24718</v>
      </c>
      <c r="S5712" s="5">
        <f t="shared" si="269"/>
        <v>34097.126050420171</v>
      </c>
    </row>
    <row r="5713" spans="1:19" x14ac:dyDescent="0.3">
      <c r="A5713">
        <v>195</v>
      </c>
      <c r="B5713" t="s">
        <v>6142</v>
      </c>
      <c r="C5713" t="s">
        <v>2742</v>
      </c>
      <c r="D5713" s="2" t="s">
        <v>2743</v>
      </c>
      <c r="E5713" t="s">
        <v>2744</v>
      </c>
      <c r="F5713" t="s">
        <v>20</v>
      </c>
      <c r="G5713" t="s">
        <v>21</v>
      </c>
      <c r="H5713" t="s">
        <v>2745</v>
      </c>
      <c r="I5713" t="s">
        <v>23</v>
      </c>
      <c r="J5713" t="s">
        <v>35</v>
      </c>
      <c r="K5713" s="2" t="s">
        <v>1744</v>
      </c>
      <c r="L5713" t="s">
        <v>26</v>
      </c>
      <c r="M5713">
        <v>307762</v>
      </c>
      <c r="N5713">
        <v>1</v>
      </c>
      <c r="O5713" s="3">
        <v>99950</v>
      </c>
      <c r="P5713" s="3">
        <v>33200</v>
      </c>
      <c r="Q5713" s="5">
        <f t="shared" si="267"/>
        <v>83991.596638655465</v>
      </c>
      <c r="R5713" s="5">
        <f t="shared" si="268"/>
        <v>33200</v>
      </c>
      <c r="S5713" s="5">
        <f t="shared" si="269"/>
        <v>50791.596638655465</v>
      </c>
    </row>
    <row r="5714" spans="1:19" x14ac:dyDescent="0.3">
      <c r="A5714">
        <v>195</v>
      </c>
      <c r="B5714" t="s">
        <v>6142</v>
      </c>
      <c r="C5714" t="s">
        <v>2863</v>
      </c>
      <c r="D5714" s="2" t="s">
        <v>2864</v>
      </c>
      <c r="E5714" t="s">
        <v>2865</v>
      </c>
      <c r="F5714" t="s">
        <v>20</v>
      </c>
      <c r="G5714" t="s">
        <v>21</v>
      </c>
      <c r="H5714" t="s">
        <v>57</v>
      </c>
      <c r="I5714" t="s">
        <v>23</v>
      </c>
      <c r="J5714" t="s">
        <v>35</v>
      </c>
      <c r="K5714" s="2" t="s">
        <v>1744</v>
      </c>
      <c r="L5714" t="s">
        <v>26</v>
      </c>
      <c r="M5714">
        <v>307763</v>
      </c>
      <c r="N5714">
        <v>1</v>
      </c>
      <c r="O5714" s="3">
        <v>79990</v>
      </c>
      <c r="P5714" s="3">
        <v>29189</v>
      </c>
      <c r="Q5714" s="5">
        <f t="shared" si="267"/>
        <v>67218.487394957992</v>
      </c>
      <c r="R5714" s="5">
        <f t="shared" si="268"/>
        <v>29189</v>
      </c>
      <c r="S5714" s="5">
        <f t="shared" si="269"/>
        <v>38029.487394957992</v>
      </c>
    </row>
    <row r="5715" spans="1:19" x14ac:dyDescent="0.3">
      <c r="A5715">
        <v>195</v>
      </c>
      <c r="B5715" t="s">
        <v>6142</v>
      </c>
      <c r="C5715" t="s">
        <v>4194</v>
      </c>
      <c r="D5715" s="2" t="s">
        <v>4195</v>
      </c>
      <c r="E5715" t="s">
        <v>4196</v>
      </c>
      <c r="F5715" t="s">
        <v>377</v>
      </c>
      <c r="G5715" t="s">
        <v>21</v>
      </c>
      <c r="H5715" t="s">
        <v>378</v>
      </c>
      <c r="I5715" t="s">
        <v>23</v>
      </c>
      <c r="J5715" t="s">
        <v>379</v>
      </c>
      <c r="K5715" s="2" t="s">
        <v>1744</v>
      </c>
      <c r="L5715" t="s">
        <v>26</v>
      </c>
      <c r="M5715">
        <v>307764</v>
      </c>
      <c r="N5715">
        <v>1</v>
      </c>
      <c r="O5715" s="3">
        <v>6950</v>
      </c>
      <c r="P5715" s="3">
        <v>3541</v>
      </c>
      <c r="Q5715" s="5">
        <f t="shared" si="267"/>
        <v>5840.3361344537816</v>
      </c>
      <c r="R5715" s="5">
        <f t="shared" si="268"/>
        <v>3541</v>
      </c>
      <c r="S5715" s="5">
        <f t="shared" si="269"/>
        <v>2299.3361344537816</v>
      </c>
    </row>
    <row r="5716" spans="1:19" x14ac:dyDescent="0.3">
      <c r="A5716">
        <v>195</v>
      </c>
      <c r="B5716" t="s">
        <v>6142</v>
      </c>
      <c r="C5716" t="s">
        <v>6275</v>
      </c>
      <c r="D5716" s="2" t="s">
        <v>6276</v>
      </c>
      <c r="E5716" t="s">
        <v>2721</v>
      </c>
      <c r="F5716" t="s">
        <v>20</v>
      </c>
      <c r="G5716" t="s">
        <v>21</v>
      </c>
      <c r="H5716" t="s">
        <v>1422</v>
      </c>
      <c r="I5716" t="s">
        <v>23</v>
      </c>
      <c r="J5716" t="s">
        <v>49</v>
      </c>
      <c r="K5716" s="2" t="s">
        <v>1744</v>
      </c>
      <c r="L5716" t="s">
        <v>26</v>
      </c>
      <c r="M5716">
        <v>307765</v>
      </c>
      <c r="N5716">
        <v>1</v>
      </c>
      <c r="O5716" s="3">
        <v>59990</v>
      </c>
      <c r="P5716" s="3">
        <v>27667</v>
      </c>
      <c r="Q5716" s="5">
        <f t="shared" si="267"/>
        <v>50411.764705882357</v>
      </c>
      <c r="R5716" s="5">
        <f t="shared" si="268"/>
        <v>27667</v>
      </c>
      <c r="S5716" s="5">
        <f t="shared" si="269"/>
        <v>22744.764705882357</v>
      </c>
    </row>
    <row r="5717" spans="1:19" x14ac:dyDescent="0.3">
      <c r="A5717">
        <v>195</v>
      </c>
      <c r="B5717" t="s">
        <v>6142</v>
      </c>
      <c r="C5717" t="s">
        <v>6277</v>
      </c>
      <c r="D5717" s="2" t="s">
        <v>6278</v>
      </c>
      <c r="E5717" t="s">
        <v>2066</v>
      </c>
      <c r="F5717" t="s">
        <v>20</v>
      </c>
      <c r="G5717" t="s">
        <v>21</v>
      </c>
      <c r="H5717" t="s">
        <v>1418</v>
      </c>
      <c r="I5717" t="s">
        <v>23</v>
      </c>
      <c r="J5717" t="s">
        <v>35</v>
      </c>
      <c r="K5717" s="2" t="s">
        <v>1744</v>
      </c>
      <c r="L5717" t="s">
        <v>26</v>
      </c>
      <c r="M5717">
        <v>307765</v>
      </c>
      <c r="N5717">
        <v>1</v>
      </c>
      <c r="O5717" s="3">
        <v>94950</v>
      </c>
      <c r="P5717" s="3">
        <v>30749</v>
      </c>
      <c r="Q5717" s="5">
        <f t="shared" si="267"/>
        <v>79789.915966386558</v>
      </c>
      <c r="R5717" s="5">
        <f t="shared" si="268"/>
        <v>30749</v>
      </c>
      <c r="S5717" s="5">
        <f t="shared" si="269"/>
        <v>49040.915966386558</v>
      </c>
    </row>
    <row r="5718" spans="1:19" x14ac:dyDescent="0.3">
      <c r="A5718">
        <v>195</v>
      </c>
      <c r="B5718" t="s">
        <v>6142</v>
      </c>
      <c r="C5718" t="s">
        <v>2694</v>
      </c>
      <c r="D5718" s="2" t="s">
        <v>2695</v>
      </c>
      <c r="E5718" t="s">
        <v>2616</v>
      </c>
      <c r="F5718" t="s">
        <v>20</v>
      </c>
      <c r="G5718" t="s">
        <v>338</v>
      </c>
      <c r="H5718">
        <v>83717</v>
      </c>
      <c r="I5718" t="s">
        <v>23</v>
      </c>
      <c r="J5718" t="s">
        <v>40</v>
      </c>
      <c r="K5718" s="2" t="s">
        <v>1744</v>
      </c>
      <c r="L5718" t="s">
        <v>26</v>
      </c>
      <c r="M5718">
        <v>307765</v>
      </c>
      <c r="N5718">
        <v>1</v>
      </c>
      <c r="O5718" s="3">
        <v>89950</v>
      </c>
      <c r="P5718" s="3">
        <v>30263</v>
      </c>
      <c r="Q5718" s="5">
        <f t="shared" si="267"/>
        <v>75588.23529411765</v>
      </c>
      <c r="R5718" s="5">
        <f t="shared" si="268"/>
        <v>30263</v>
      </c>
      <c r="S5718" s="5">
        <f t="shared" si="269"/>
        <v>45325.23529411765</v>
      </c>
    </row>
    <row r="5719" spans="1:19" x14ac:dyDescent="0.3">
      <c r="A5719">
        <v>195</v>
      </c>
      <c r="B5719" t="s">
        <v>6142</v>
      </c>
      <c r="C5719" t="s">
        <v>3396</v>
      </c>
      <c r="D5719" s="2" t="s">
        <v>3397</v>
      </c>
      <c r="E5719" t="s">
        <v>494</v>
      </c>
      <c r="F5719" t="s">
        <v>20</v>
      </c>
      <c r="G5719" t="s">
        <v>21</v>
      </c>
      <c r="H5719" t="s">
        <v>317</v>
      </c>
      <c r="I5719" t="s">
        <v>23</v>
      </c>
      <c r="J5719" t="s">
        <v>35</v>
      </c>
      <c r="K5719" s="2" t="s">
        <v>1744</v>
      </c>
      <c r="L5719" t="s">
        <v>26</v>
      </c>
      <c r="M5719">
        <v>307766</v>
      </c>
      <c r="N5719">
        <v>1</v>
      </c>
      <c r="O5719" s="3">
        <v>69950</v>
      </c>
      <c r="P5719" s="3">
        <v>23619</v>
      </c>
      <c r="Q5719" s="5">
        <f t="shared" si="267"/>
        <v>58781.512605042022</v>
      </c>
      <c r="R5719" s="5">
        <f t="shared" si="268"/>
        <v>23619</v>
      </c>
      <c r="S5719" s="5">
        <f t="shared" si="269"/>
        <v>35162.512605042022</v>
      </c>
    </row>
    <row r="5720" spans="1:19" x14ac:dyDescent="0.3">
      <c r="A5720">
        <v>195</v>
      </c>
      <c r="B5720" t="s">
        <v>6142</v>
      </c>
      <c r="C5720" t="s">
        <v>6279</v>
      </c>
      <c r="D5720" s="2" t="s">
        <v>6280</v>
      </c>
      <c r="E5720" t="s">
        <v>2905</v>
      </c>
      <c r="F5720" t="s">
        <v>20</v>
      </c>
      <c r="G5720" t="s">
        <v>21</v>
      </c>
      <c r="H5720" t="s">
        <v>272</v>
      </c>
      <c r="I5720" t="s">
        <v>23</v>
      </c>
      <c r="J5720" t="s">
        <v>35</v>
      </c>
      <c r="K5720" s="2" t="s">
        <v>1744</v>
      </c>
      <c r="L5720" t="s">
        <v>26</v>
      </c>
      <c r="M5720">
        <v>307767</v>
      </c>
      <c r="N5720">
        <v>1</v>
      </c>
      <c r="O5720" s="3">
        <v>79950</v>
      </c>
      <c r="P5720" s="3">
        <v>28035</v>
      </c>
      <c r="Q5720" s="5">
        <f t="shared" si="267"/>
        <v>67184.873949579836</v>
      </c>
      <c r="R5720" s="5">
        <f t="shared" si="268"/>
        <v>28035</v>
      </c>
      <c r="S5720" s="5">
        <f t="shared" si="269"/>
        <v>39149.873949579836</v>
      </c>
    </row>
    <row r="5721" spans="1:19" x14ac:dyDescent="0.3">
      <c r="A5721">
        <v>195</v>
      </c>
      <c r="B5721" t="s">
        <v>6142</v>
      </c>
      <c r="C5721" t="s">
        <v>1037</v>
      </c>
      <c r="D5721" s="2" t="s">
        <v>1038</v>
      </c>
      <c r="E5721" t="s">
        <v>1039</v>
      </c>
      <c r="F5721" t="s">
        <v>377</v>
      </c>
      <c r="G5721" t="s">
        <v>21</v>
      </c>
      <c r="H5721" t="s">
        <v>378</v>
      </c>
      <c r="I5721" t="s">
        <v>23</v>
      </c>
      <c r="J5721" t="s">
        <v>379</v>
      </c>
      <c r="K5721" s="2" t="s">
        <v>1744</v>
      </c>
      <c r="L5721" t="s">
        <v>26</v>
      </c>
      <c r="M5721">
        <v>307768</v>
      </c>
      <c r="N5721">
        <v>1</v>
      </c>
      <c r="O5721" s="3">
        <v>5950</v>
      </c>
      <c r="P5721" s="3">
        <v>3257</v>
      </c>
      <c r="Q5721" s="5">
        <f t="shared" si="267"/>
        <v>5000</v>
      </c>
      <c r="R5721" s="5">
        <f t="shared" si="268"/>
        <v>3257</v>
      </c>
      <c r="S5721" s="5">
        <f t="shared" si="269"/>
        <v>1743</v>
      </c>
    </row>
    <row r="5722" spans="1:19" x14ac:dyDescent="0.3">
      <c r="A5722">
        <v>195</v>
      </c>
      <c r="B5722" t="s">
        <v>6142</v>
      </c>
      <c r="C5722" t="s">
        <v>3963</v>
      </c>
      <c r="D5722" s="2" t="s">
        <v>3964</v>
      </c>
      <c r="E5722" t="s">
        <v>2986</v>
      </c>
      <c r="F5722" t="s">
        <v>20</v>
      </c>
      <c r="G5722" t="s">
        <v>21</v>
      </c>
      <c r="H5722" t="s">
        <v>267</v>
      </c>
      <c r="I5722" t="s">
        <v>23</v>
      </c>
      <c r="J5722" t="s">
        <v>35</v>
      </c>
      <c r="K5722" s="2" t="s">
        <v>1744</v>
      </c>
      <c r="L5722" t="s">
        <v>26</v>
      </c>
      <c r="M5722">
        <v>307769</v>
      </c>
      <c r="N5722">
        <v>1</v>
      </c>
      <c r="O5722" s="3">
        <v>59990</v>
      </c>
      <c r="P5722" s="3">
        <v>24733</v>
      </c>
      <c r="Q5722" s="5">
        <f t="shared" si="267"/>
        <v>50411.764705882357</v>
      </c>
      <c r="R5722" s="5">
        <f t="shared" si="268"/>
        <v>24733</v>
      </c>
      <c r="S5722" s="5">
        <f t="shared" si="269"/>
        <v>25678.764705882357</v>
      </c>
    </row>
    <row r="5723" spans="1:19" x14ac:dyDescent="0.3">
      <c r="A5723">
        <v>195</v>
      </c>
      <c r="B5723" t="s">
        <v>6142</v>
      </c>
      <c r="C5723" t="s">
        <v>3441</v>
      </c>
      <c r="D5723" s="2" t="s">
        <v>3442</v>
      </c>
      <c r="E5723" t="s">
        <v>3283</v>
      </c>
      <c r="F5723" t="s">
        <v>20</v>
      </c>
      <c r="G5723" t="s">
        <v>21</v>
      </c>
      <c r="H5723" t="s">
        <v>2494</v>
      </c>
      <c r="I5723" t="s">
        <v>23</v>
      </c>
      <c r="J5723" t="s">
        <v>40</v>
      </c>
      <c r="K5723" s="2" t="s">
        <v>1744</v>
      </c>
      <c r="L5723" t="s">
        <v>26</v>
      </c>
      <c r="M5723">
        <v>307770</v>
      </c>
      <c r="N5723">
        <v>-1</v>
      </c>
      <c r="O5723" s="3">
        <v>-59450</v>
      </c>
      <c r="P5723" s="3">
        <v>23470</v>
      </c>
      <c r="Q5723" s="5">
        <f t="shared" si="267"/>
        <v>-49957.983193277316</v>
      </c>
      <c r="R5723" s="5">
        <f t="shared" si="268"/>
        <v>-23470</v>
      </c>
      <c r="S5723" s="5">
        <f t="shared" si="269"/>
        <v>-26487.983193277316</v>
      </c>
    </row>
    <row r="5724" spans="1:19" x14ac:dyDescent="0.3">
      <c r="A5724">
        <v>195</v>
      </c>
      <c r="B5724" t="s">
        <v>6142</v>
      </c>
      <c r="C5724" t="s">
        <v>4152</v>
      </c>
      <c r="D5724" s="2" t="s">
        <v>4153</v>
      </c>
      <c r="E5724" t="s">
        <v>3491</v>
      </c>
      <c r="F5724" t="s">
        <v>20</v>
      </c>
      <c r="G5724" t="s">
        <v>338</v>
      </c>
      <c r="H5724">
        <v>85200</v>
      </c>
      <c r="I5724" t="s">
        <v>23</v>
      </c>
      <c r="J5724" t="s">
        <v>35</v>
      </c>
      <c r="K5724" s="2" t="s">
        <v>1744</v>
      </c>
      <c r="L5724" t="s">
        <v>26</v>
      </c>
      <c r="M5724">
        <v>307770</v>
      </c>
      <c r="N5724">
        <v>1</v>
      </c>
      <c r="O5724" s="3">
        <v>89950</v>
      </c>
      <c r="P5724" s="3">
        <v>27253</v>
      </c>
      <c r="Q5724" s="5">
        <f t="shared" si="267"/>
        <v>75588.23529411765</v>
      </c>
      <c r="R5724" s="5">
        <f t="shared" si="268"/>
        <v>27253</v>
      </c>
      <c r="S5724" s="5">
        <f t="shared" si="269"/>
        <v>48335.23529411765</v>
      </c>
    </row>
    <row r="5725" spans="1:19" x14ac:dyDescent="0.3">
      <c r="A5725">
        <v>195</v>
      </c>
      <c r="B5725" t="s">
        <v>6142</v>
      </c>
      <c r="C5725" t="s">
        <v>2716</v>
      </c>
      <c r="D5725" s="2" t="s">
        <v>2717</v>
      </c>
      <c r="E5725" t="s">
        <v>2718</v>
      </c>
      <c r="F5725" t="s">
        <v>20</v>
      </c>
      <c r="G5725" t="s">
        <v>21</v>
      </c>
      <c r="H5725" t="s">
        <v>1887</v>
      </c>
      <c r="I5725" t="s">
        <v>23</v>
      </c>
      <c r="J5725" t="s">
        <v>40</v>
      </c>
      <c r="K5725" s="2" t="s">
        <v>1744</v>
      </c>
      <c r="L5725" t="s">
        <v>26</v>
      </c>
      <c r="M5725">
        <v>307771</v>
      </c>
      <c r="N5725">
        <v>1</v>
      </c>
      <c r="O5725" s="3">
        <v>69951</v>
      </c>
      <c r="P5725" s="3">
        <v>22018</v>
      </c>
      <c r="Q5725" s="5">
        <f t="shared" si="267"/>
        <v>58782.352941176476</v>
      </c>
      <c r="R5725" s="5">
        <f t="shared" si="268"/>
        <v>22018</v>
      </c>
      <c r="S5725" s="5">
        <f t="shared" si="269"/>
        <v>36764.352941176476</v>
      </c>
    </row>
    <row r="5726" spans="1:19" x14ac:dyDescent="0.3">
      <c r="A5726">
        <v>195</v>
      </c>
      <c r="B5726" t="s">
        <v>6142</v>
      </c>
      <c r="C5726" t="s">
        <v>5818</v>
      </c>
      <c r="D5726" s="2" t="s">
        <v>5819</v>
      </c>
      <c r="E5726" t="s">
        <v>2718</v>
      </c>
      <c r="F5726" t="s">
        <v>20</v>
      </c>
      <c r="G5726" t="s">
        <v>21</v>
      </c>
      <c r="H5726" t="s">
        <v>1887</v>
      </c>
      <c r="I5726" t="s">
        <v>23</v>
      </c>
      <c r="J5726" t="s">
        <v>40</v>
      </c>
      <c r="K5726" s="2" t="s">
        <v>1744</v>
      </c>
      <c r="L5726" t="s">
        <v>26</v>
      </c>
      <c r="M5726">
        <v>307771</v>
      </c>
      <c r="N5726">
        <v>-1</v>
      </c>
      <c r="O5726" s="3">
        <v>-69950</v>
      </c>
      <c r="P5726" s="3">
        <v>22018</v>
      </c>
      <c r="Q5726" s="5">
        <f t="shared" si="267"/>
        <v>-58781.512605042022</v>
      </c>
      <c r="R5726" s="5">
        <f t="shared" si="268"/>
        <v>-22018</v>
      </c>
      <c r="S5726" s="5">
        <f t="shared" si="269"/>
        <v>-36763.512605042022</v>
      </c>
    </row>
    <row r="5727" spans="1:19" x14ac:dyDescent="0.3">
      <c r="A5727">
        <v>195</v>
      </c>
      <c r="B5727" t="s">
        <v>6142</v>
      </c>
      <c r="C5727" t="s">
        <v>6181</v>
      </c>
      <c r="D5727" s="2" t="s">
        <v>6182</v>
      </c>
      <c r="E5727" t="s">
        <v>3155</v>
      </c>
      <c r="F5727" t="s">
        <v>20</v>
      </c>
      <c r="G5727" t="s">
        <v>21</v>
      </c>
      <c r="H5727" t="s">
        <v>970</v>
      </c>
      <c r="I5727" t="s">
        <v>23</v>
      </c>
      <c r="J5727" t="s">
        <v>40</v>
      </c>
      <c r="K5727" s="2" t="s">
        <v>1744</v>
      </c>
      <c r="L5727" t="s">
        <v>26</v>
      </c>
      <c r="M5727">
        <v>307772</v>
      </c>
      <c r="N5727">
        <v>1</v>
      </c>
      <c r="O5727" s="3">
        <v>59950</v>
      </c>
      <c r="P5727" s="3">
        <v>19352</v>
      </c>
      <c r="Q5727" s="5">
        <f t="shared" si="267"/>
        <v>50378.151260504201</v>
      </c>
      <c r="R5727" s="5">
        <f t="shared" si="268"/>
        <v>19352</v>
      </c>
      <c r="S5727" s="5">
        <f t="shared" si="269"/>
        <v>31026.151260504201</v>
      </c>
    </row>
    <row r="5728" spans="1:19" x14ac:dyDescent="0.3">
      <c r="A5728">
        <v>195</v>
      </c>
      <c r="B5728" t="s">
        <v>6142</v>
      </c>
      <c r="C5728" t="s">
        <v>5362</v>
      </c>
      <c r="D5728" s="2" t="s">
        <v>5363</v>
      </c>
      <c r="E5728" t="s">
        <v>3140</v>
      </c>
      <c r="F5728" t="s">
        <v>20</v>
      </c>
      <c r="G5728" t="s">
        <v>21</v>
      </c>
      <c r="H5728" t="s">
        <v>991</v>
      </c>
      <c r="I5728" t="s">
        <v>23</v>
      </c>
      <c r="J5728" t="s">
        <v>49</v>
      </c>
      <c r="K5728" s="2" t="s">
        <v>1797</v>
      </c>
      <c r="L5728" t="s">
        <v>26</v>
      </c>
      <c r="M5728">
        <v>307773</v>
      </c>
      <c r="N5728">
        <v>-1</v>
      </c>
      <c r="O5728" s="3">
        <v>-54990</v>
      </c>
      <c r="P5728" s="3">
        <v>24470</v>
      </c>
      <c r="Q5728" s="5">
        <f t="shared" si="267"/>
        <v>-46210.08403361345</v>
      </c>
      <c r="R5728" s="5">
        <f t="shared" si="268"/>
        <v>-24470</v>
      </c>
      <c r="S5728" s="5">
        <f t="shared" si="269"/>
        <v>-21740.08403361345</v>
      </c>
    </row>
    <row r="5729" spans="1:19" x14ac:dyDescent="0.3">
      <c r="A5729">
        <v>195</v>
      </c>
      <c r="B5729" t="s">
        <v>6142</v>
      </c>
      <c r="C5729" t="s">
        <v>2097</v>
      </c>
      <c r="D5729" s="2" t="s">
        <v>2098</v>
      </c>
      <c r="E5729" t="s">
        <v>494</v>
      </c>
      <c r="F5729" t="s">
        <v>20</v>
      </c>
      <c r="G5729" t="s">
        <v>21</v>
      </c>
      <c r="H5729" t="s">
        <v>317</v>
      </c>
      <c r="I5729" t="s">
        <v>23</v>
      </c>
      <c r="J5729" t="s">
        <v>35</v>
      </c>
      <c r="K5729" s="2" t="s">
        <v>1797</v>
      </c>
      <c r="L5729" t="s">
        <v>26</v>
      </c>
      <c r="M5729">
        <v>307773</v>
      </c>
      <c r="N5729">
        <v>1</v>
      </c>
      <c r="O5729" s="3">
        <v>69950</v>
      </c>
      <c r="P5729" s="3">
        <v>23619</v>
      </c>
      <c r="Q5729" s="5">
        <f t="shared" si="267"/>
        <v>58781.512605042022</v>
      </c>
      <c r="R5729" s="5">
        <f t="shared" si="268"/>
        <v>23619</v>
      </c>
      <c r="S5729" s="5">
        <f t="shared" si="269"/>
        <v>35162.512605042022</v>
      </c>
    </row>
    <row r="5730" spans="1:19" x14ac:dyDescent="0.3">
      <c r="A5730">
        <v>195</v>
      </c>
      <c r="B5730" t="s">
        <v>6142</v>
      </c>
      <c r="C5730" t="s">
        <v>3586</v>
      </c>
      <c r="D5730" s="2" t="s">
        <v>3587</v>
      </c>
      <c r="E5730" t="s">
        <v>3449</v>
      </c>
      <c r="F5730" t="s">
        <v>20</v>
      </c>
      <c r="G5730" t="s">
        <v>338</v>
      </c>
      <c r="H5730">
        <v>25366</v>
      </c>
      <c r="I5730" t="s">
        <v>23</v>
      </c>
      <c r="J5730" t="s">
        <v>35</v>
      </c>
      <c r="K5730" s="2" t="s">
        <v>1797</v>
      </c>
      <c r="L5730" t="s">
        <v>26</v>
      </c>
      <c r="M5730">
        <v>307774</v>
      </c>
      <c r="N5730">
        <v>1</v>
      </c>
      <c r="O5730" s="3">
        <v>99950</v>
      </c>
      <c r="P5730" s="3">
        <v>33157</v>
      </c>
      <c r="Q5730" s="5">
        <f t="shared" si="267"/>
        <v>83991.596638655465</v>
      </c>
      <c r="R5730" s="5">
        <f t="shared" si="268"/>
        <v>33157</v>
      </c>
      <c r="S5730" s="5">
        <f t="shared" si="269"/>
        <v>50834.596638655465</v>
      </c>
    </row>
    <row r="5731" spans="1:19" x14ac:dyDescent="0.3">
      <c r="A5731">
        <v>195</v>
      </c>
      <c r="B5731" t="s">
        <v>6142</v>
      </c>
      <c r="C5731" t="s">
        <v>3743</v>
      </c>
      <c r="D5731" s="2" t="s">
        <v>3744</v>
      </c>
      <c r="E5731" t="s">
        <v>1709</v>
      </c>
      <c r="F5731" t="s">
        <v>20</v>
      </c>
      <c r="G5731" t="s">
        <v>21</v>
      </c>
      <c r="H5731" t="s">
        <v>970</v>
      </c>
      <c r="I5731" t="s">
        <v>23</v>
      </c>
      <c r="J5731" t="s">
        <v>40</v>
      </c>
      <c r="K5731" s="2" t="s">
        <v>1797</v>
      </c>
      <c r="L5731" t="s">
        <v>26</v>
      </c>
      <c r="M5731">
        <v>307775</v>
      </c>
      <c r="N5731">
        <v>1</v>
      </c>
      <c r="O5731" s="3">
        <v>49990</v>
      </c>
      <c r="P5731" s="3">
        <v>18897</v>
      </c>
      <c r="Q5731" s="5">
        <f t="shared" si="267"/>
        <v>42008.403361344543</v>
      </c>
      <c r="R5731" s="5">
        <f t="shared" si="268"/>
        <v>18897</v>
      </c>
      <c r="S5731" s="5">
        <f t="shared" si="269"/>
        <v>23111.403361344543</v>
      </c>
    </row>
    <row r="5732" spans="1:19" x14ac:dyDescent="0.3">
      <c r="A5732">
        <v>195</v>
      </c>
      <c r="B5732" t="s">
        <v>6142</v>
      </c>
      <c r="C5732" t="s">
        <v>6281</v>
      </c>
      <c r="D5732" s="2" t="s">
        <v>6282</v>
      </c>
      <c r="E5732" t="s">
        <v>6125</v>
      </c>
      <c r="F5732" t="s">
        <v>20</v>
      </c>
      <c r="G5732" t="s">
        <v>338</v>
      </c>
      <c r="H5732">
        <v>23731</v>
      </c>
      <c r="I5732" t="s">
        <v>23</v>
      </c>
      <c r="J5732" t="s">
        <v>40</v>
      </c>
      <c r="K5732" s="2" t="s">
        <v>1797</v>
      </c>
      <c r="L5732" t="s">
        <v>26</v>
      </c>
      <c r="M5732">
        <v>307776</v>
      </c>
      <c r="N5732">
        <v>1</v>
      </c>
      <c r="O5732" s="3">
        <v>69950</v>
      </c>
      <c r="P5732" s="3">
        <v>23119</v>
      </c>
      <c r="Q5732" s="5">
        <f t="shared" si="267"/>
        <v>58781.512605042022</v>
      </c>
      <c r="R5732" s="5">
        <f t="shared" si="268"/>
        <v>23119</v>
      </c>
      <c r="S5732" s="5">
        <f t="shared" si="269"/>
        <v>35662.512605042022</v>
      </c>
    </row>
    <row r="5733" spans="1:19" x14ac:dyDescent="0.3">
      <c r="A5733">
        <v>195</v>
      </c>
      <c r="B5733" t="s">
        <v>6142</v>
      </c>
      <c r="C5733" t="s">
        <v>5483</v>
      </c>
      <c r="D5733" s="2" t="s">
        <v>5484</v>
      </c>
      <c r="E5733" t="s">
        <v>1501</v>
      </c>
      <c r="F5733" t="s">
        <v>20</v>
      </c>
      <c r="G5733" t="s">
        <v>21</v>
      </c>
      <c r="H5733" t="s">
        <v>742</v>
      </c>
      <c r="I5733" t="s">
        <v>23</v>
      </c>
      <c r="J5733" t="s">
        <v>40</v>
      </c>
      <c r="K5733" s="2" t="s">
        <v>1797</v>
      </c>
      <c r="L5733" t="s">
        <v>26</v>
      </c>
      <c r="M5733">
        <v>307777</v>
      </c>
      <c r="N5733">
        <v>1</v>
      </c>
      <c r="O5733" s="3">
        <v>69990</v>
      </c>
      <c r="P5733" s="3">
        <v>28727</v>
      </c>
      <c r="Q5733" s="5">
        <f t="shared" si="267"/>
        <v>58815.126050420171</v>
      </c>
      <c r="R5733" s="5">
        <f t="shared" si="268"/>
        <v>28727</v>
      </c>
      <c r="S5733" s="5">
        <f t="shared" si="269"/>
        <v>30088.126050420171</v>
      </c>
    </row>
    <row r="5734" spans="1:19" x14ac:dyDescent="0.3">
      <c r="A5734">
        <v>195</v>
      </c>
      <c r="B5734" t="s">
        <v>6142</v>
      </c>
      <c r="C5734" t="s">
        <v>4751</v>
      </c>
      <c r="D5734" s="2" t="s">
        <v>4752</v>
      </c>
      <c r="E5734" t="s">
        <v>4753</v>
      </c>
      <c r="F5734" t="s">
        <v>20</v>
      </c>
      <c r="G5734" t="s">
        <v>338</v>
      </c>
      <c r="H5734">
        <v>23313</v>
      </c>
      <c r="I5734" t="s">
        <v>23</v>
      </c>
      <c r="J5734" t="s">
        <v>40</v>
      </c>
      <c r="K5734" s="2" t="s">
        <v>1797</v>
      </c>
      <c r="L5734" t="s">
        <v>26</v>
      </c>
      <c r="M5734">
        <v>307777</v>
      </c>
      <c r="N5734">
        <v>-1</v>
      </c>
      <c r="O5734" s="3">
        <v>-71050</v>
      </c>
      <c r="P5734" s="3">
        <v>22704</v>
      </c>
      <c r="Q5734" s="5">
        <f t="shared" si="267"/>
        <v>-59705.882352941182</v>
      </c>
      <c r="R5734" s="5">
        <f t="shared" si="268"/>
        <v>-22704</v>
      </c>
      <c r="S5734" s="5">
        <f t="shared" si="269"/>
        <v>-37001.882352941182</v>
      </c>
    </row>
    <row r="5735" spans="1:19" x14ac:dyDescent="0.3">
      <c r="A5735">
        <v>195</v>
      </c>
      <c r="B5735" t="s">
        <v>6142</v>
      </c>
      <c r="C5735" t="s">
        <v>6283</v>
      </c>
      <c r="D5735" s="2" t="s">
        <v>6284</v>
      </c>
      <c r="E5735" t="s">
        <v>6285</v>
      </c>
      <c r="F5735" t="s">
        <v>377</v>
      </c>
      <c r="G5735" t="s">
        <v>21</v>
      </c>
      <c r="H5735" t="s">
        <v>378</v>
      </c>
      <c r="I5735" t="s">
        <v>23</v>
      </c>
      <c r="J5735" t="s">
        <v>5704</v>
      </c>
      <c r="K5735" s="2" t="s">
        <v>1797</v>
      </c>
      <c r="L5735" t="s">
        <v>26</v>
      </c>
      <c r="M5735">
        <v>307777</v>
      </c>
      <c r="N5735">
        <v>1</v>
      </c>
      <c r="O5735" s="3">
        <v>3450</v>
      </c>
      <c r="P5735" s="3">
        <v>1710</v>
      </c>
      <c r="Q5735" s="5">
        <f t="shared" si="267"/>
        <v>2899.1596638655465</v>
      </c>
      <c r="R5735" s="5">
        <f t="shared" si="268"/>
        <v>1710</v>
      </c>
      <c r="S5735" s="5">
        <f t="shared" si="269"/>
        <v>1189.1596638655465</v>
      </c>
    </row>
    <row r="5736" spans="1:19" x14ac:dyDescent="0.3">
      <c r="A5736">
        <v>195</v>
      </c>
      <c r="B5736" t="s">
        <v>6142</v>
      </c>
      <c r="C5736" t="s">
        <v>6286</v>
      </c>
      <c r="D5736" s="2" t="s">
        <v>6287</v>
      </c>
      <c r="E5736" t="s">
        <v>6270</v>
      </c>
      <c r="F5736" t="s">
        <v>20</v>
      </c>
      <c r="G5736" t="s">
        <v>21</v>
      </c>
      <c r="H5736" t="s">
        <v>1282</v>
      </c>
      <c r="I5736" t="s">
        <v>23</v>
      </c>
      <c r="J5736" t="s">
        <v>40</v>
      </c>
      <c r="K5736" s="2" t="s">
        <v>1853</v>
      </c>
      <c r="L5736" t="s">
        <v>26</v>
      </c>
      <c r="M5736">
        <v>307778</v>
      </c>
      <c r="N5736">
        <v>1</v>
      </c>
      <c r="O5736" s="3">
        <v>29990</v>
      </c>
      <c r="P5736" s="3">
        <v>13161</v>
      </c>
      <c r="Q5736" s="5">
        <f t="shared" si="267"/>
        <v>25201.680672268907</v>
      </c>
      <c r="R5736" s="5">
        <f t="shared" si="268"/>
        <v>13161</v>
      </c>
      <c r="S5736" s="5">
        <f t="shared" si="269"/>
        <v>12040.680672268907</v>
      </c>
    </row>
    <row r="5737" spans="1:19" x14ac:dyDescent="0.3">
      <c r="A5737">
        <v>195</v>
      </c>
      <c r="B5737" t="s">
        <v>6142</v>
      </c>
      <c r="C5737" t="s">
        <v>3781</v>
      </c>
      <c r="D5737" s="2" t="s">
        <v>3782</v>
      </c>
      <c r="E5737" t="s">
        <v>3783</v>
      </c>
      <c r="F5737" t="s">
        <v>20</v>
      </c>
      <c r="G5737" t="s">
        <v>21</v>
      </c>
      <c r="H5737" t="s">
        <v>295</v>
      </c>
      <c r="I5737" t="s">
        <v>23</v>
      </c>
      <c r="J5737" t="s">
        <v>40</v>
      </c>
      <c r="K5737" s="2" t="s">
        <v>1853</v>
      </c>
      <c r="L5737" t="s">
        <v>26</v>
      </c>
      <c r="M5737">
        <v>307779</v>
      </c>
      <c r="N5737">
        <v>1</v>
      </c>
      <c r="O5737" s="3">
        <v>59990</v>
      </c>
      <c r="P5737" s="3">
        <v>25028</v>
      </c>
      <c r="Q5737" s="5">
        <f t="shared" si="267"/>
        <v>50411.764705882357</v>
      </c>
      <c r="R5737" s="5">
        <f t="shared" si="268"/>
        <v>25028</v>
      </c>
      <c r="S5737" s="5">
        <f t="shared" si="269"/>
        <v>25383.764705882357</v>
      </c>
    </row>
    <row r="5738" spans="1:19" x14ac:dyDescent="0.3">
      <c r="A5738">
        <v>195</v>
      </c>
      <c r="B5738" t="s">
        <v>6142</v>
      </c>
      <c r="C5738">
        <v>1687976791</v>
      </c>
      <c r="D5738" s="2" t="s">
        <v>200</v>
      </c>
      <c r="E5738" t="s">
        <v>201</v>
      </c>
      <c r="F5738" t="s">
        <v>201</v>
      </c>
      <c r="G5738" t="s">
        <v>202</v>
      </c>
      <c r="H5738" t="s">
        <v>202</v>
      </c>
      <c r="I5738" t="s">
        <v>23</v>
      </c>
      <c r="J5738" t="s">
        <v>202</v>
      </c>
      <c r="K5738" s="2" t="s">
        <v>1853</v>
      </c>
      <c r="L5738" t="s">
        <v>26</v>
      </c>
      <c r="M5738">
        <v>307779</v>
      </c>
      <c r="N5738">
        <v>1</v>
      </c>
      <c r="O5738">
        <v>1</v>
      </c>
      <c r="P5738">
        <v>1</v>
      </c>
      <c r="Q5738" s="5">
        <f t="shared" si="267"/>
        <v>0.84033613445378152</v>
      </c>
      <c r="R5738" s="5">
        <f t="shared" si="268"/>
        <v>1</v>
      </c>
      <c r="S5738" s="5">
        <f t="shared" si="269"/>
        <v>-0.15966386554621848</v>
      </c>
    </row>
    <row r="5739" spans="1:19" x14ac:dyDescent="0.3">
      <c r="A5739">
        <v>195</v>
      </c>
      <c r="B5739" t="s">
        <v>6142</v>
      </c>
      <c r="C5739" t="s">
        <v>2897</v>
      </c>
      <c r="D5739" s="2" t="s">
        <v>2898</v>
      </c>
      <c r="E5739" t="s">
        <v>2899</v>
      </c>
      <c r="F5739" t="s">
        <v>20</v>
      </c>
      <c r="G5739" t="s">
        <v>21</v>
      </c>
      <c r="H5739" t="s">
        <v>295</v>
      </c>
      <c r="I5739" t="s">
        <v>23</v>
      </c>
      <c r="J5739" t="s">
        <v>40</v>
      </c>
      <c r="K5739" s="2" t="s">
        <v>1853</v>
      </c>
      <c r="L5739" t="s">
        <v>26</v>
      </c>
      <c r="M5739">
        <v>307780</v>
      </c>
      <c r="N5739">
        <v>1</v>
      </c>
      <c r="O5739" s="3">
        <v>67950</v>
      </c>
      <c r="P5739" s="3">
        <v>26951</v>
      </c>
      <c r="Q5739" s="5">
        <f t="shared" si="267"/>
        <v>57100.840336134454</v>
      </c>
      <c r="R5739" s="5">
        <f t="shared" si="268"/>
        <v>26951</v>
      </c>
      <c r="S5739" s="5">
        <f t="shared" si="269"/>
        <v>30149.840336134454</v>
      </c>
    </row>
    <row r="5740" spans="1:19" x14ac:dyDescent="0.3">
      <c r="A5740">
        <v>195</v>
      </c>
      <c r="B5740" t="s">
        <v>6142</v>
      </c>
      <c r="C5740" t="s">
        <v>6288</v>
      </c>
      <c r="D5740" s="2" t="s">
        <v>6289</v>
      </c>
      <c r="E5740" t="s">
        <v>4391</v>
      </c>
      <c r="F5740" t="s">
        <v>20</v>
      </c>
      <c r="G5740" t="s">
        <v>21</v>
      </c>
      <c r="H5740" t="s">
        <v>295</v>
      </c>
      <c r="I5740" t="s">
        <v>23</v>
      </c>
      <c r="J5740" t="s">
        <v>40</v>
      </c>
      <c r="K5740" s="2" t="s">
        <v>1853</v>
      </c>
      <c r="L5740" t="s">
        <v>26</v>
      </c>
      <c r="M5740">
        <v>307780</v>
      </c>
      <c r="N5740">
        <v>1</v>
      </c>
      <c r="O5740" s="3">
        <v>79950</v>
      </c>
      <c r="P5740" s="3">
        <v>26951</v>
      </c>
      <c r="Q5740" s="5">
        <f t="shared" si="267"/>
        <v>67184.873949579836</v>
      </c>
      <c r="R5740" s="5">
        <f t="shared" si="268"/>
        <v>26951</v>
      </c>
      <c r="S5740" s="5">
        <f t="shared" si="269"/>
        <v>40233.873949579836</v>
      </c>
    </row>
    <row r="5741" spans="1:19" x14ac:dyDescent="0.3">
      <c r="A5741">
        <v>195</v>
      </c>
      <c r="B5741" t="s">
        <v>6142</v>
      </c>
      <c r="C5741" t="s">
        <v>5517</v>
      </c>
      <c r="D5741" s="2" t="s">
        <v>5518</v>
      </c>
      <c r="E5741" t="s">
        <v>2996</v>
      </c>
      <c r="F5741" t="s">
        <v>20</v>
      </c>
      <c r="G5741" t="s">
        <v>338</v>
      </c>
      <c r="H5741">
        <v>25823</v>
      </c>
      <c r="I5741" t="s">
        <v>23</v>
      </c>
      <c r="J5741" t="s">
        <v>35</v>
      </c>
      <c r="K5741" s="2" t="s">
        <v>1853</v>
      </c>
      <c r="L5741" t="s">
        <v>26</v>
      </c>
      <c r="M5741">
        <v>307781</v>
      </c>
      <c r="N5741">
        <v>1</v>
      </c>
      <c r="O5741" s="3">
        <v>99950</v>
      </c>
      <c r="P5741" s="3">
        <v>33748</v>
      </c>
      <c r="Q5741" s="5">
        <f t="shared" si="267"/>
        <v>83991.596638655465</v>
      </c>
      <c r="R5741" s="5">
        <f t="shared" si="268"/>
        <v>33748</v>
      </c>
      <c r="S5741" s="5">
        <f t="shared" si="269"/>
        <v>50243.596638655465</v>
      </c>
    </row>
    <row r="5742" spans="1:19" x14ac:dyDescent="0.3">
      <c r="A5742">
        <v>195</v>
      </c>
      <c r="B5742" t="s">
        <v>6142</v>
      </c>
      <c r="C5742" t="s">
        <v>4627</v>
      </c>
      <c r="D5742" s="2" t="s">
        <v>4628</v>
      </c>
      <c r="E5742" t="s">
        <v>3003</v>
      </c>
      <c r="F5742" t="s">
        <v>20</v>
      </c>
      <c r="G5742" t="s">
        <v>338</v>
      </c>
      <c r="H5742">
        <v>25312</v>
      </c>
      <c r="I5742" t="s">
        <v>23</v>
      </c>
      <c r="J5742" t="s">
        <v>35</v>
      </c>
      <c r="K5742" s="2" t="s">
        <v>1853</v>
      </c>
      <c r="L5742" t="s">
        <v>26</v>
      </c>
      <c r="M5742">
        <v>307782</v>
      </c>
      <c r="N5742">
        <v>1</v>
      </c>
      <c r="O5742" s="3">
        <v>69951</v>
      </c>
      <c r="P5742" s="3">
        <v>21167</v>
      </c>
      <c r="Q5742" s="5">
        <f t="shared" si="267"/>
        <v>58782.352941176476</v>
      </c>
      <c r="R5742" s="5">
        <f t="shared" si="268"/>
        <v>21167</v>
      </c>
      <c r="S5742" s="5">
        <f t="shared" si="269"/>
        <v>37615.352941176476</v>
      </c>
    </row>
    <row r="5743" spans="1:19" x14ac:dyDescent="0.3">
      <c r="A5743">
        <v>195</v>
      </c>
      <c r="B5743" t="s">
        <v>6142</v>
      </c>
      <c r="C5743" t="s">
        <v>3396</v>
      </c>
      <c r="D5743" s="2" t="s">
        <v>3397</v>
      </c>
      <c r="E5743" t="s">
        <v>494</v>
      </c>
      <c r="F5743" t="s">
        <v>20</v>
      </c>
      <c r="G5743" t="s">
        <v>21</v>
      </c>
      <c r="H5743" t="s">
        <v>317</v>
      </c>
      <c r="I5743" t="s">
        <v>23</v>
      </c>
      <c r="J5743" t="s">
        <v>35</v>
      </c>
      <c r="K5743" s="2" t="s">
        <v>1853</v>
      </c>
      <c r="L5743" t="s">
        <v>26</v>
      </c>
      <c r="M5743">
        <v>307782</v>
      </c>
      <c r="N5743">
        <v>-1</v>
      </c>
      <c r="O5743" s="3">
        <v>-69950</v>
      </c>
      <c r="P5743" s="3">
        <v>23619</v>
      </c>
      <c r="Q5743" s="5">
        <f t="shared" si="267"/>
        <v>-58781.512605042022</v>
      </c>
      <c r="R5743" s="5">
        <f t="shared" si="268"/>
        <v>-23619</v>
      </c>
      <c r="S5743" s="5">
        <f t="shared" si="269"/>
        <v>-35162.512605042022</v>
      </c>
    </row>
    <row r="5744" spans="1:19" x14ac:dyDescent="0.3">
      <c r="A5744">
        <v>195</v>
      </c>
      <c r="B5744" t="s">
        <v>6142</v>
      </c>
      <c r="C5744" t="s">
        <v>3894</v>
      </c>
      <c r="D5744" s="2" t="s">
        <v>3895</v>
      </c>
      <c r="E5744" t="s">
        <v>2476</v>
      </c>
      <c r="F5744" t="s">
        <v>20</v>
      </c>
      <c r="G5744" t="s">
        <v>21</v>
      </c>
      <c r="H5744" t="s">
        <v>114</v>
      </c>
      <c r="I5744" t="s">
        <v>23</v>
      </c>
      <c r="J5744" t="s">
        <v>49</v>
      </c>
      <c r="K5744" s="2" t="s">
        <v>1853</v>
      </c>
      <c r="L5744" t="s">
        <v>26</v>
      </c>
      <c r="M5744">
        <v>307783</v>
      </c>
      <c r="N5744">
        <v>1</v>
      </c>
      <c r="O5744" s="3">
        <v>69950</v>
      </c>
      <c r="P5744" s="3">
        <v>22187</v>
      </c>
      <c r="Q5744" s="5">
        <f t="shared" si="267"/>
        <v>58781.512605042022</v>
      </c>
      <c r="R5744" s="5">
        <f t="shared" si="268"/>
        <v>22187</v>
      </c>
      <c r="S5744" s="5">
        <f t="shared" si="269"/>
        <v>36594.512605042022</v>
      </c>
    </row>
    <row r="5745" spans="1:19" x14ac:dyDescent="0.3">
      <c r="A5745">
        <v>195</v>
      </c>
      <c r="B5745" t="s">
        <v>6142</v>
      </c>
      <c r="C5745" t="s">
        <v>3001</v>
      </c>
      <c r="D5745" s="2" t="s">
        <v>3002</v>
      </c>
      <c r="E5745" t="s">
        <v>3003</v>
      </c>
      <c r="F5745" t="s">
        <v>20</v>
      </c>
      <c r="G5745" t="s">
        <v>338</v>
      </c>
      <c r="H5745">
        <v>25312</v>
      </c>
      <c r="I5745" t="s">
        <v>23</v>
      </c>
      <c r="J5745" t="s">
        <v>35</v>
      </c>
      <c r="K5745" s="2" t="s">
        <v>1853</v>
      </c>
      <c r="L5745" t="s">
        <v>26</v>
      </c>
      <c r="M5745">
        <v>307784</v>
      </c>
      <c r="N5745">
        <v>1</v>
      </c>
      <c r="O5745" s="3">
        <v>69950</v>
      </c>
      <c r="P5745" s="3">
        <v>21167</v>
      </c>
      <c r="Q5745" s="5">
        <f t="shared" si="267"/>
        <v>58781.512605042022</v>
      </c>
      <c r="R5745" s="5">
        <f t="shared" si="268"/>
        <v>21167</v>
      </c>
      <c r="S5745" s="5">
        <f t="shared" si="269"/>
        <v>37614.512605042022</v>
      </c>
    </row>
    <row r="5746" spans="1:19" x14ac:dyDescent="0.3">
      <c r="A5746">
        <v>195</v>
      </c>
      <c r="B5746" t="s">
        <v>6142</v>
      </c>
      <c r="C5746" t="s">
        <v>4940</v>
      </c>
      <c r="D5746" s="2" t="s">
        <v>4941</v>
      </c>
      <c r="E5746" t="s">
        <v>2611</v>
      </c>
      <c r="F5746" t="s">
        <v>20</v>
      </c>
      <c r="G5746" t="s">
        <v>338</v>
      </c>
      <c r="H5746">
        <v>25312</v>
      </c>
      <c r="I5746" t="s">
        <v>23</v>
      </c>
      <c r="J5746" t="s">
        <v>35</v>
      </c>
      <c r="K5746" s="2" t="s">
        <v>1853</v>
      </c>
      <c r="L5746" t="s">
        <v>26</v>
      </c>
      <c r="M5746">
        <v>307784</v>
      </c>
      <c r="N5746">
        <v>1</v>
      </c>
      <c r="O5746" s="3">
        <v>69950</v>
      </c>
      <c r="P5746" s="3">
        <v>21167</v>
      </c>
      <c r="Q5746" s="5">
        <f t="shared" si="267"/>
        <v>58781.512605042022</v>
      </c>
      <c r="R5746" s="5">
        <f t="shared" si="268"/>
        <v>21167</v>
      </c>
      <c r="S5746" s="5">
        <f t="shared" si="269"/>
        <v>37614.512605042022</v>
      </c>
    </row>
    <row r="5747" spans="1:19" x14ac:dyDescent="0.3">
      <c r="A5747">
        <v>195</v>
      </c>
      <c r="B5747" t="s">
        <v>6142</v>
      </c>
      <c r="C5747" t="s">
        <v>4936</v>
      </c>
      <c r="D5747" s="2" t="s">
        <v>4937</v>
      </c>
      <c r="E5747" t="s">
        <v>2930</v>
      </c>
      <c r="F5747" t="s">
        <v>20</v>
      </c>
      <c r="G5747" t="s">
        <v>21</v>
      </c>
      <c r="H5747" t="s">
        <v>1703</v>
      </c>
      <c r="I5747" t="s">
        <v>23</v>
      </c>
      <c r="J5747" t="s">
        <v>49</v>
      </c>
      <c r="K5747" s="2" t="s">
        <v>1910</v>
      </c>
      <c r="L5747" t="s">
        <v>26</v>
      </c>
      <c r="M5747">
        <v>307785</v>
      </c>
      <c r="N5747">
        <v>1</v>
      </c>
      <c r="O5747" s="3">
        <v>74950</v>
      </c>
      <c r="P5747" s="3">
        <v>26457</v>
      </c>
      <c r="Q5747" s="5">
        <f t="shared" si="267"/>
        <v>62983.193277310929</v>
      </c>
      <c r="R5747" s="5">
        <f t="shared" si="268"/>
        <v>26457</v>
      </c>
      <c r="S5747" s="5">
        <f t="shared" si="269"/>
        <v>36526.193277310929</v>
      </c>
    </row>
    <row r="5748" spans="1:19" x14ac:dyDescent="0.3">
      <c r="A5748">
        <v>195</v>
      </c>
      <c r="B5748" t="s">
        <v>6142</v>
      </c>
      <c r="C5748" t="s">
        <v>4561</v>
      </c>
      <c r="D5748" s="2" t="s">
        <v>4562</v>
      </c>
      <c r="E5748" t="s">
        <v>3345</v>
      </c>
      <c r="F5748" t="s">
        <v>20</v>
      </c>
      <c r="G5748" t="s">
        <v>338</v>
      </c>
      <c r="H5748">
        <v>25354</v>
      </c>
      <c r="I5748" t="s">
        <v>23</v>
      </c>
      <c r="J5748" t="s">
        <v>35</v>
      </c>
      <c r="K5748" s="2" t="s">
        <v>1910</v>
      </c>
      <c r="L5748" t="s">
        <v>26</v>
      </c>
      <c r="M5748">
        <v>307786</v>
      </c>
      <c r="N5748">
        <v>1</v>
      </c>
      <c r="O5748" s="3">
        <v>69950</v>
      </c>
      <c r="P5748" s="3">
        <v>21167</v>
      </c>
      <c r="Q5748" s="5">
        <f t="shared" si="267"/>
        <v>58781.512605042022</v>
      </c>
      <c r="R5748" s="5">
        <f t="shared" si="268"/>
        <v>21167</v>
      </c>
      <c r="S5748" s="5">
        <f t="shared" si="269"/>
        <v>37614.512605042022</v>
      </c>
    </row>
    <row r="5749" spans="1:19" x14ac:dyDescent="0.3">
      <c r="A5749">
        <v>195</v>
      </c>
      <c r="B5749" t="s">
        <v>6142</v>
      </c>
      <c r="C5749" t="s">
        <v>6290</v>
      </c>
      <c r="D5749" s="2" t="s">
        <v>6291</v>
      </c>
      <c r="E5749" t="s">
        <v>1847</v>
      </c>
      <c r="F5749" t="s">
        <v>20</v>
      </c>
      <c r="G5749" t="s">
        <v>21</v>
      </c>
      <c r="H5749" t="s">
        <v>561</v>
      </c>
      <c r="I5749" t="s">
        <v>23</v>
      </c>
      <c r="J5749" t="s">
        <v>40</v>
      </c>
      <c r="K5749" s="2" t="s">
        <v>1910</v>
      </c>
      <c r="L5749" t="s">
        <v>26</v>
      </c>
      <c r="M5749">
        <v>307787</v>
      </c>
      <c r="N5749">
        <v>1</v>
      </c>
      <c r="O5749" s="3">
        <v>39990</v>
      </c>
      <c r="P5749" s="3">
        <v>29989</v>
      </c>
      <c r="Q5749" s="5">
        <f t="shared" si="267"/>
        <v>33605.042016806721</v>
      </c>
      <c r="R5749" s="5">
        <f t="shared" si="268"/>
        <v>29989</v>
      </c>
      <c r="S5749" s="5">
        <f t="shared" si="269"/>
        <v>3616.0420168067212</v>
      </c>
    </row>
    <row r="5750" spans="1:19" x14ac:dyDescent="0.3">
      <c r="A5750">
        <v>195</v>
      </c>
      <c r="B5750" t="s">
        <v>6142</v>
      </c>
      <c r="C5750" t="s">
        <v>3951</v>
      </c>
      <c r="D5750" s="2" t="s">
        <v>3952</v>
      </c>
      <c r="E5750" t="s">
        <v>2741</v>
      </c>
      <c r="F5750" t="s">
        <v>20</v>
      </c>
      <c r="G5750" t="s">
        <v>21</v>
      </c>
      <c r="H5750" t="s">
        <v>2494</v>
      </c>
      <c r="I5750" t="s">
        <v>23</v>
      </c>
      <c r="J5750" t="s">
        <v>40</v>
      </c>
      <c r="K5750" s="2" t="s">
        <v>1910</v>
      </c>
      <c r="L5750" t="s">
        <v>26</v>
      </c>
      <c r="M5750">
        <v>307788</v>
      </c>
      <c r="N5750">
        <v>1</v>
      </c>
      <c r="O5750" s="3">
        <v>69950</v>
      </c>
      <c r="P5750" s="3">
        <v>23470</v>
      </c>
      <c r="Q5750" s="5">
        <f t="shared" si="267"/>
        <v>58781.512605042022</v>
      </c>
      <c r="R5750" s="5">
        <f t="shared" si="268"/>
        <v>23470</v>
      </c>
      <c r="S5750" s="5">
        <f t="shared" si="269"/>
        <v>35311.512605042022</v>
      </c>
    </row>
    <row r="5751" spans="1:19" x14ac:dyDescent="0.3">
      <c r="A5751">
        <v>195</v>
      </c>
      <c r="B5751" t="s">
        <v>6142</v>
      </c>
      <c r="C5751" t="s">
        <v>6292</v>
      </c>
      <c r="D5751" s="2" t="s">
        <v>6293</v>
      </c>
      <c r="E5751" t="s">
        <v>4954</v>
      </c>
      <c r="F5751" t="s">
        <v>20</v>
      </c>
      <c r="G5751" t="s">
        <v>338</v>
      </c>
      <c r="H5751">
        <v>23624</v>
      </c>
      <c r="I5751" t="s">
        <v>23</v>
      </c>
      <c r="J5751" t="s">
        <v>40</v>
      </c>
      <c r="K5751" s="2" t="s">
        <v>1910</v>
      </c>
      <c r="L5751" t="s">
        <v>26</v>
      </c>
      <c r="M5751">
        <v>307789</v>
      </c>
      <c r="N5751">
        <v>1</v>
      </c>
      <c r="O5751" s="3">
        <v>69990</v>
      </c>
      <c r="P5751" s="3">
        <v>24718</v>
      </c>
      <c r="Q5751" s="5">
        <f t="shared" si="267"/>
        <v>58815.126050420171</v>
      </c>
      <c r="R5751" s="5">
        <f t="shared" si="268"/>
        <v>24718</v>
      </c>
      <c r="S5751" s="5">
        <f t="shared" si="269"/>
        <v>34097.126050420171</v>
      </c>
    </row>
    <row r="5752" spans="1:19" x14ac:dyDescent="0.3">
      <c r="A5752">
        <v>195</v>
      </c>
      <c r="B5752" t="s">
        <v>6142</v>
      </c>
      <c r="C5752" t="s">
        <v>5471</v>
      </c>
      <c r="D5752" s="2" t="s">
        <v>5472</v>
      </c>
      <c r="E5752" t="s">
        <v>4331</v>
      </c>
      <c r="F5752" t="s">
        <v>20</v>
      </c>
      <c r="G5752" t="s">
        <v>338</v>
      </c>
      <c r="H5752">
        <v>25357</v>
      </c>
      <c r="I5752" t="s">
        <v>23</v>
      </c>
      <c r="J5752" t="s">
        <v>35</v>
      </c>
      <c r="K5752" s="2" t="s">
        <v>1910</v>
      </c>
      <c r="L5752" t="s">
        <v>26</v>
      </c>
      <c r="M5752">
        <v>307790</v>
      </c>
      <c r="N5752">
        <v>1</v>
      </c>
      <c r="O5752" s="3">
        <v>79950</v>
      </c>
      <c r="P5752" s="3">
        <v>24482</v>
      </c>
      <c r="Q5752" s="5">
        <f t="shared" si="267"/>
        <v>67184.873949579836</v>
      </c>
      <c r="R5752" s="5">
        <f t="shared" si="268"/>
        <v>24482</v>
      </c>
      <c r="S5752" s="5">
        <f t="shared" si="269"/>
        <v>42702.873949579836</v>
      </c>
    </row>
    <row r="5753" spans="1:19" x14ac:dyDescent="0.3">
      <c r="A5753">
        <v>195</v>
      </c>
      <c r="B5753" t="s">
        <v>6142</v>
      </c>
      <c r="C5753" t="s">
        <v>4692</v>
      </c>
      <c r="D5753" s="2" t="s">
        <v>4693</v>
      </c>
      <c r="E5753" t="s">
        <v>3202</v>
      </c>
      <c r="F5753" t="s">
        <v>20</v>
      </c>
      <c r="G5753" t="s">
        <v>338</v>
      </c>
      <c r="H5753">
        <v>25702</v>
      </c>
      <c r="I5753" t="s">
        <v>23</v>
      </c>
      <c r="J5753" t="s">
        <v>35</v>
      </c>
      <c r="K5753" s="2" t="s">
        <v>1910</v>
      </c>
      <c r="L5753" t="s">
        <v>26</v>
      </c>
      <c r="M5753">
        <v>307790</v>
      </c>
      <c r="N5753">
        <v>1</v>
      </c>
      <c r="O5753" s="3">
        <v>93450</v>
      </c>
      <c r="P5753" s="3">
        <v>34974</v>
      </c>
      <c r="Q5753" s="5">
        <f t="shared" si="267"/>
        <v>78529.411764705888</v>
      </c>
      <c r="R5753" s="5">
        <f t="shared" si="268"/>
        <v>34974</v>
      </c>
      <c r="S5753" s="5">
        <f t="shared" si="269"/>
        <v>43555.411764705888</v>
      </c>
    </row>
    <row r="5754" spans="1:19" x14ac:dyDescent="0.3">
      <c r="A5754">
        <v>195</v>
      </c>
      <c r="B5754" t="s">
        <v>6142</v>
      </c>
      <c r="C5754" t="s">
        <v>2306</v>
      </c>
      <c r="D5754" s="2" t="s">
        <v>2307</v>
      </c>
      <c r="E5754" t="s">
        <v>2308</v>
      </c>
      <c r="F5754" t="s">
        <v>20</v>
      </c>
      <c r="G5754" t="s">
        <v>21</v>
      </c>
      <c r="H5754" t="s">
        <v>1337</v>
      </c>
      <c r="I5754" t="s">
        <v>23</v>
      </c>
      <c r="J5754" t="s">
        <v>49</v>
      </c>
      <c r="K5754" s="2" t="s">
        <v>1910</v>
      </c>
      <c r="L5754" t="s">
        <v>26</v>
      </c>
      <c r="M5754">
        <v>307791</v>
      </c>
      <c r="N5754">
        <v>1</v>
      </c>
      <c r="O5754" s="3">
        <v>59950</v>
      </c>
      <c r="P5754" s="3">
        <v>22221</v>
      </c>
      <c r="Q5754" s="5">
        <f t="shared" si="267"/>
        <v>50378.151260504201</v>
      </c>
      <c r="R5754" s="5">
        <f t="shared" si="268"/>
        <v>22221</v>
      </c>
      <c r="S5754" s="5">
        <f t="shared" si="269"/>
        <v>28157.151260504201</v>
      </c>
    </row>
    <row r="5755" spans="1:19" x14ac:dyDescent="0.3">
      <c r="A5755">
        <v>195</v>
      </c>
      <c r="B5755" t="s">
        <v>6142</v>
      </c>
      <c r="C5755" t="s">
        <v>1037</v>
      </c>
      <c r="D5755" s="2" t="s">
        <v>1038</v>
      </c>
      <c r="E5755" t="s">
        <v>1039</v>
      </c>
      <c r="F5755" t="s">
        <v>377</v>
      </c>
      <c r="G5755" t="s">
        <v>21</v>
      </c>
      <c r="H5755" t="s">
        <v>378</v>
      </c>
      <c r="I5755" t="s">
        <v>23</v>
      </c>
      <c r="J5755" t="s">
        <v>379</v>
      </c>
      <c r="K5755" s="2" t="s">
        <v>1910</v>
      </c>
      <c r="L5755" t="s">
        <v>26</v>
      </c>
      <c r="M5755">
        <v>307792</v>
      </c>
      <c r="N5755">
        <v>1</v>
      </c>
      <c r="O5755" s="3">
        <v>5950</v>
      </c>
      <c r="P5755" s="3">
        <v>3257</v>
      </c>
      <c r="Q5755" s="5">
        <f t="shared" si="267"/>
        <v>5000</v>
      </c>
      <c r="R5755" s="5">
        <f t="shared" si="268"/>
        <v>3257</v>
      </c>
      <c r="S5755" s="5">
        <f t="shared" si="269"/>
        <v>1743</v>
      </c>
    </row>
    <row r="5756" spans="1:19" x14ac:dyDescent="0.3">
      <c r="A5756">
        <v>195</v>
      </c>
      <c r="B5756" t="s">
        <v>6142</v>
      </c>
      <c r="C5756" t="s">
        <v>6294</v>
      </c>
      <c r="D5756" s="2" t="s">
        <v>6295</v>
      </c>
      <c r="E5756" t="s">
        <v>6296</v>
      </c>
      <c r="F5756" t="s">
        <v>20</v>
      </c>
      <c r="G5756" t="s">
        <v>338</v>
      </c>
      <c r="H5756">
        <v>85200</v>
      </c>
      <c r="I5756" t="s">
        <v>23</v>
      </c>
      <c r="J5756" t="s">
        <v>35</v>
      </c>
      <c r="K5756" s="2" t="s">
        <v>1910</v>
      </c>
      <c r="L5756" t="s">
        <v>26</v>
      </c>
      <c r="M5756">
        <v>307793</v>
      </c>
      <c r="N5756">
        <v>1</v>
      </c>
      <c r="O5756" s="3">
        <v>89950</v>
      </c>
      <c r="P5756" s="3">
        <v>27253</v>
      </c>
      <c r="Q5756" s="5">
        <f t="shared" si="267"/>
        <v>75588.23529411765</v>
      </c>
      <c r="R5756" s="5">
        <f t="shared" si="268"/>
        <v>27253</v>
      </c>
      <c r="S5756" s="5">
        <f t="shared" si="269"/>
        <v>48335.23529411765</v>
      </c>
    </row>
    <row r="5757" spans="1:19" x14ac:dyDescent="0.3">
      <c r="A5757">
        <v>195</v>
      </c>
      <c r="B5757" t="s">
        <v>6142</v>
      </c>
      <c r="C5757" t="s">
        <v>5863</v>
      </c>
      <c r="D5757" s="2" t="s">
        <v>5864</v>
      </c>
      <c r="E5757" t="s">
        <v>3380</v>
      </c>
      <c r="F5757" t="s">
        <v>20</v>
      </c>
      <c r="G5757" t="s">
        <v>21</v>
      </c>
      <c r="H5757" t="s">
        <v>1703</v>
      </c>
      <c r="I5757" t="s">
        <v>23</v>
      </c>
      <c r="J5757" t="s">
        <v>49</v>
      </c>
      <c r="K5757" s="2" t="s">
        <v>3310</v>
      </c>
      <c r="L5757" t="s">
        <v>26</v>
      </c>
      <c r="M5757">
        <v>307794</v>
      </c>
      <c r="N5757">
        <v>1</v>
      </c>
      <c r="O5757" s="3">
        <v>59450</v>
      </c>
      <c r="P5757" s="3">
        <v>22287</v>
      </c>
      <c r="Q5757" s="5">
        <f t="shared" si="267"/>
        <v>49957.983193277316</v>
      </c>
      <c r="R5757" s="5">
        <f t="shared" si="268"/>
        <v>22287</v>
      </c>
      <c r="S5757" s="5">
        <f t="shared" si="269"/>
        <v>27670.983193277316</v>
      </c>
    </row>
    <row r="5758" spans="1:19" x14ac:dyDescent="0.3">
      <c r="A5758">
        <v>195</v>
      </c>
      <c r="B5758" t="s">
        <v>6142</v>
      </c>
      <c r="C5758" t="s">
        <v>2774</v>
      </c>
      <c r="D5758" s="2" t="s">
        <v>2775</v>
      </c>
      <c r="E5758" t="s">
        <v>266</v>
      </c>
      <c r="F5758" t="s">
        <v>20</v>
      </c>
      <c r="G5758" t="s">
        <v>21</v>
      </c>
      <c r="H5758" t="s">
        <v>267</v>
      </c>
      <c r="I5758" t="s">
        <v>23</v>
      </c>
      <c r="J5758" t="s">
        <v>49</v>
      </c>
      <c r="K5758" s="2" t="s">
        <v>3310</v>
      </c>
      <c r="L5758" t="s">
        <v>26</v>
      </c>
      <c r="M5758">
        <v>307794</v>
      </c>
      <c r="N5758">
        <v>1</v>
      </c>
      <c r="O5758" s="3">
        <v>64950</v>
      </c>
      <c r="P5758" s="3">
        <v>24504</v>
      </c>
      <c r="Q5758" s="5">
        <f t="shared" si="267"/>
        <v>54579.831932773115</v>
      </c>
      <c r="R5758" s="5">
        <f t="shared" si="268"/>
        <v>24504</v>
      </c>
      <c r="S5758" s="5">
        <f t="shared" si="269"/>
        <v>30075.831932773115</v>
      </c>
    </row>
    <row r="5759" spans="1:19" x14ac:dyDescent="0.3">
      <c r="A5759">
        <v>195</v>
      </c>
      <c r="B5759" t="s">
        <v>6142</v>
      </c>
      <c r="C5759" t="s">
        <v>2306</v>
      </c>
      <c r="D5759" s="2" t="s">
        <v>2307</v>
      </c>
      <c r="E5759" t="s">
        <v>2308</v>
      </c>
      <c r="F5759" t="s">
        <v>20</v>
      </c>
      <c r="G5759" t="s">
        <v>21</v>
      </c>
      <c r="H5759" t="s">
        <v>1337</v>
      </c>
      <c r="I5759" t="s">
        <v>23</v>
      </c>
      <c r="J5759" t="s">
        <v>49</v>
      </c>
      <c r="K5759" s="2" t="s">
        <v>3310</v>
      </c>
      <c r="L5759" t="s">
        <v>26</v>
      </c>
      <c r="M5759">
        <v>307795</v>
      </c>
      <c r="N5759">
        <v>1</v>
      </c>
      <c r="O5759" s="3">
        <v>59950</v>
      </c>
      <c r="P5759" s="3">
        <v>22221</v>
      </c>
      <c r="Q5759" s="5">
        <f t="shared" si="267"/>
        <v>50378.151260504201</v>
      </c>
      <c r="R5759" s="5">
        <f t="shared" si="268"/>
        <v>22221</v>
      </c>
      <c r="S5759" s="5">
        <f t="shared" si="269"/>
        <v>28157.151260504201</v>
      </c>
    </row>
    <row r="5760" spans="1:19" x14ac:dyDescent="0.3">
      <c r="A5760">
        <v>195</v>
      </c>
      <c r="B5760" t="s">
        <v>6142</v>
      </c>
      <c r="C5760" t="s">
        <v>5473</v>
      </c>
      <c r="D5760" s="2" t="s">
        <v>5474</v>
      </c>
      <c r="E5760" t="s">
        <v>3491</v>
      </c>
      <c r="F5760" t="s">
        <v>20</v>
      </c>
      <c r="G5760" t="s">
        <v>338</v>
      </c>
      <c r="H5760">
        <v>85200</v>
      </c>
      <c r="I5760" t="s">
        <v>23</v>
      </c>
      <c r="J5760" t="s">
        <v>35</v>
      </c>
      <c r="K5760" s="2" t="s">
        <v>3310</v>
      </c>
      <c r="L5760" t="s">
        <v>26</v>
      </c>
      <c r="M5760">
        <v>307796</v>
      </c>
      <c r="N5760">
        <v>1</v>
      </c>
      <c r="O5760" s="3">
        <v>89950</v>
      </c>
      <c r="P5760" s="3">
        <v>27253</v>
      </c>
      <c r="Q5760" s="5">
        <f t="shared" si="267"/>
        <v>75588.23529411765</v>
      </c>
      <c r="R5760" s="5">
        <f t="shared" si="268"/>
        <v>27253</v>
      </c>
      <c r="S5760" s="5">
        <f t="shared" si="269"/>
        <v>48335.23529411765</v>
      </c>
    </row>
    <row r="5761" spans="1:19" x14ac:dyDescent="0.3">
      <c r="A5761">
        <v>195</v>
      </c>
      <c r="B5761" t="s">
        <v>6142</v>
      </c>
      <c r="C5761" t="s">
        <v>6297</v>
      </c>
      <c r="D5761" s="2" t="s">
        <v>6298</v>
      </c>
      <c r="E5761" t="s">
        <v>6299</v>
      </c>
      <c r="F5761" t="s">
        <v>377</v>
      </c>
      <c r="G5761" t="s">
        <v>21</v>
      </c>
      <c r="H5761" t="s">
        <v>378</v>
      </c>
      <c r="I5761" t="s">
        <v>23</v>
      </c>
      <c r="J5761" t="s">
        <v>5704</v>
      </c>
      <c r="K5761" s="2" t="s">
        <v>3310</v>
      </c>
      <c r="L5761" t="s">
        <v>26</v>
      </c>
      <c r="M5761">
        <v>307797</v>
      </c>
      <c r="N5761">
        <v>1</v>
      </c>
      <c r="O5761" s="3">
        <v>4450</v>
      </c>
      <c r="P5761" s="3">
        <v>1720</v>
      </c>
      <c r="Q5761" s="5">
        <f t="shared" si="267"/>
        <v>3739.4957983193281</v>
      </c>
      <c r="R5761" s="5">
        <f t="shared" si="268"/>
        <v>1720</v>
      </c>
      <c r="S5761" s="5">
        <f t="shared" si="269"/>
        <v>2019.4957983193281</v>
      </c>
    </row>
    <row r="5762" spans="1:19" x14ac:dyDescent="0.3">
      <c r="A5762">
        <v>195</v>
      </c>
      <c r="B5762" t="s">
        <v>6142</v>
      </c>
      <c r="C5762" t="s">
        <v>6300</v>
      </c>
      <c r="D5762" s="2" t="s">
        <v>6301</v>
      </c>
      <c r="E5762" t="s">
        <v>3140</v>
      </c>
      <c r="F5762" t="s">
        <v>20</v>
      </c>
      <c r="G5762" t="s">
        <v>21</v>
      </c>
      <c r="H5762" t="s">
        <v>991</v>
      </c>
      <c r="I5762" t="s">
        <v>23</v>
      </c>
      <c r="J5762" t="s">
        <v>49</v>
      </c>
      <c r="K5762" s="2" t="s">
        <v>3310</v>
      </c>
      <c r="L5762" t="s">
        <v>26</v>
      </c>
      <c r="M5762">
        <v>307798</v>
      </c>
      <c r="N5762">
        <v>1</v>
      </c>
      <c r="O5762" s="3">
        <v>54990</v>
      </c>
      <c r="P5762" s="3">
        <v>24490</v>
      </c>
      <c r="Q5762" s="5">
        <f t="shared" si="267"/>
        <v>46210.08403361345</v>
      </c>
      <c r="R5762" s="5">
        <f t="shared" si="268"/>
        <v>24490</v>
      </c>
      <c r="S5762" s="5">
        <f t="shared" si="269"/>
        <v>21720.08403361345</v>
      </c>
    </row>
    <row r="5763" spans="1:19" x14ac:dyDescent="0.3">
      <c r="A5763">
        <v>195</v>
      </c>
      <c r="B5763" t="s">
        <v>6142</v>
      </c>
      <c r="C5763" t="s">
        <v>4740</v>
      </c>
      <c r="D5763" s="2" t="s">
        <v>4741</v>
      </c>
      <c r="E5763" t="s">
        <v>1439</v>
      </c>
      <c r="F5763" t="s">
        <v>20</v>
      </c>
      <c r="G5763" t="s">
        <v>21</v>
      </c>
      <c r="H5763" t="s">
        <v>1440</v>
      </c>
      <c r="I5763" t="s">
        <v>23</v>
      </c>
      <c r="J5763" t="s">
        <v>40</v>
      </c>
      <c r="K5763" s="2" t="s">
        <v>3310</v>
      </c>
      <c r="L5763" t="s">
        <v>26</v>
      </c>
      <c r="M5763">
        <v>307799</v>
      </c>
      <c r="N5763">
        <v>1</v>
      </c>
      <c r="O5763" s="3">
        <v>64950</v>
      </c>
      <c r="P5763" s="3">
        <v>17328</v>
      </c>
      <c r="Q5763" s="5">
        <f t="shared" si="267"/>
        <v>54579.831932773115</v>
      </c>
      <c r="R5763" s="5">
        <f t="shared" si="268"/>
        <v>17328</v>
      </c>
      <c r="S5763" s="5">
        <f t="shared" si="269"/>
        <v>37251.831932773115</v>
      </c>
    </row>
    <row r="5764" spans="1:19" x14ac:dyDescent="0.3">
      <c r="A5764">
        <v>195</v>
      </c>
      <c r="B5764" t="s">
        <v>6142</v>
      </c>
      <c r="C5764" t="s">
        <v>6176</v>
      </c>
      <c r="D5764" s="2" t="s">
        <v>6177</v>
      </c>
      <c r="E5764" t="s">
        <v>6178</v>
      </c>
      <c r="F5764" t="s">
        <v>20</v>
      </c>
      <c r="G5764" t="s">
        <v>21</v>
      </c>
      <c r="H5764" t="s">
        <v>1608</v>
      </c>
      <c r="I5764" t="s">
        <v>23</v>
      </c>
      <c r="J5764" t="s">
        <v>207</v>
      </c>
      <c r="K5764" s="2" t="s">
        <v>3310</v>
      </c>
      <c r="L5764" t="s">
        <v>26</v>
      </c>
      <c r="M5764">
        <v>307800</v>
      </c>
      <c r="N5764">
        <v>-1</v>
      </c>
      <c r="O5764" s="3">
        <v>-49990</v>
      </c>
      <c r="P5764" s="3">
        <v>25396</v>
      </c>
      <c r="Q5764" s="5">
        <f t="shared" si="267"/>
        <v>-42008.403361344543</v>
      </c>
      <c r="R5764" s="5">
        <f t="shared" si="268"/>
        <v>-25396</v>
      </c>
      <c r="S5764" s="5">
        <f t="shared" si="269"/>
        <v>-16612.403361344543</v>
      </c>
    </row>
    <row r="5765" spans="1:19" x14ac:dyDescent="0.3">
      <c r="A5765">
        <v>195</v>
      </c>
      <c r="B5765" t="s">
        <v>6142</v>
      </c>
      <c r="C5765" t="s">
        <v>6302</v>
      </c>
      <c r="D5765" s="2" t="s">
        <v>6303</v>
      </c>
      <c r="E5765" t="s">
        <v>3810</v>
      </c>
      <c r="F5765" t="s">
        <v>20</v>
      </c>
      <c r="G5765" t="s">
        <v>21</v>
      </c>
      <c r="H5765" t="s">
        <v>3811</v>
      </c>
      <c r="I5765" t="s">
        <v>23</v>
      </c>
      <c r="J5765" t="s">
        <v>40</v>
      </c>
      <c r="K5765" s="2" t="s">
        <v>3310</v>
      </c>
      <c r="L5765" t="s">
        <v>26</v>
      </c>
      <c r="M5765">
        <v>307800</v>
      </c>
      <c r="N5765">
        <v>1</v>
      </c>
      <c r="O5765" s="3">
        <v>49991</v>
      </c>
      <c r="P5765" s="3">
        <v>21722</v>
      </c>
      <c r="Q5765" s="5">
        <f t="shared" si="267"/>
        <v>42009.243697478996</v>
      </c>
      <c r="R5765" s="5">
        <f t="shared" si="268"/>
        <v>21722</v>
      </c>
      <c r="S5765" s="5">
        <f t="shared" si="269"/>
        <v>20287.243697478996</v>
      </c>
    </row>
    <row r="5766" spans="1:19" x14ac:dyDescent="0.3">
      <c r="A5766">
        <v>195</v>
      </c>
      <c r="B5766" t="s">
        <v>6142</v>
      </c>
      <c r="C5766" t="s">
        <v>5010</v>
      </c>
      <c r="D5766" s="2" t="s">
        <v>5011</v>
      </c>
      <c r="E5766" t="s">
        <v>1075</v>
      </c>
      <c r="F5766" t="s">
        <v>20</v>
      </c>
      <c r="G5766" t="s">
        <v>338</v>
      </c>
      <c r="H5766">
        <v>25097</v>
      </c>
      <c r="I5766" t="s">
        <v>23</v>
      </c>
      <c r="J5766" t="s">
        <v>24</v>
      </c>
      <c r="K5766" s="2" t="s">
        <v>3310</v>
      </c>
      <c r="L5766" t="s">
        <v>26</v>
      </c>
      <c r="M5766">
        <v>307801</v>
      </c>
      <c r="N5766">
        <v>1</v>
      </c>
      <c r="O5766" s="3">
        <v>59990</v>
      </c>
      <c r="P5766" s="3">
        <v>23242</v>
      </c>
      <c r="Q5766" s="5">
        <f t="shared" ref="Q5766:Q5829" si="270">O5766/1.19</f>
        <v>50411.764705882357</v>
      </c>
      <c r="R5766" s="5">
        <f t="shared" ref="R5766:R5829" si="271">N5766*P5766</f>
        <v>23242</v>
      </c>
      <c r="S5766" s="5">
        <f t="shared" ref="S5766:S5829" si="272">Q5766-R5766</f>
        <v>27169.764705882357</v>
      </c>
    </row>
    <row r="5767" spans="1:19" x14ac:dyDescent="0.3">
      <c r="A5767">
        <v>195</v>
      </c>
      <c r="B5767" t="s">
        <v>6142</v>
      </c>
      <c r="C5767" t="s">
        <v>2481</v>
      </c>
      <c r="D5767" s="2" t="s">
        <v>2482</v>
      </c>
      <c r="E5767" t="s">
        <v>2483</v>
      </c>
      <c r="F5767" t="s">
        <v>20</v>
      </c>
      <c r="G5767" t="s">
        <v>21</v>
      </c>
      <c r="H5767" t="s">
        <v>2484</v>
      </c>
      <c r="I5767" t="s">
        <v>23</v>
      </c>
      <c r="J5767" t="s">
        <v>40</v>
      </c>
      <c r="K5767" s="2" t="s">
        <v>3310</v>
      </c>
      <c r="L5767" t="s">
        <v>26</v>
      </c>
      <c r="M5767">
        <v>307802</v>
      </c>
      <c r="N5767">
        <v>1</v>
      </c>
      <c r="O5767" s="3">
        <v>59950</v>
      </c>
      <c r="P5767" s="3">
        <v>17503</v>
      </c>
      <c r="Q5767" s="5">
        <f t="shared" si="270"/>
        <v>50378.151260504201</v>
      </c>
      <c r="R5767" s="5">
        <f t="shared" si="271"/>
        <v>17503</v>
      </c>
      <c r="S5767" s="5">
        <f t="shared" si="272"/>
        <v>32875.151260504201</v>
      </c>
    </row>
    <row r="5768" spans="1:19" x14ac:dyDescent="0.3">
      <c r="A5768">
        <v>195</v>
      </c>
      <c r="B5768" t="s">
        <v>6142</v>
      </c>
      <c r="C5768" t="s">
        <v>2513</v>
      </c>
      <c r="D5768" s="2" t="s">
        <v>2514</v>
      </c>
      <c r="E5768" t="s">
        <v>2515</v>
      </c>
      <c r="F5768" t="s">
        <v>20</v>
      </c>
      <c r="G5768" t="s">
        <v>338</v>
      </c>
      <c r="H5768">
        <v>23603</v>
      </c>
      <c r="I5768" t="s">
        <v>23</v>
      </c>
      <c r="J5768" t="s">
        <v>40</v>
      </c>
      <c r="K5768" s="2" t="s">
        <v>3310</v>
      </c>
      <c r="L5768" t="s">
        <v>26</v>
      </c>
      <c r="M5768">
        <v>307803</v>
      </c>
      <c r="N5768">
        <v>1</v>
      </c>
      <c r="O5768" s="3">
        <v>49990</v>
      </c>
      <c r="P5768" s="3">
        <v>22607</v>
      </c>
      <c r="Q5768" s="5">
        <f t="shared" si="270"/>
        <v>42008.403361344543</v>
      </c>
      <c r="R5768" s="5">
        <f t="shared" si="271"/>
        <v>22607</v>
      </c>
      <c r="S5768" s="5">
        <f t="shared" si="272"/>
        <v>19401.403361344543</v>
      </c>
    </row>
    <row r="5769" spans="1:19" x14ac:dyDescent="0.3">
      <c r="A5769">
        <v>195</v>
      </c>
      <c r="B5769" t="s">
        <v>6142</v>
      </c>
      <c r="C5769" t="s">
        <v>6304</v>
      </c>
      <c r="D5769" s="2" t="s">
        <v>6305</v>
      </c>
      <c r="E5769" t="s">
        <v>1412</v>
      </c>
      <c r="F5769" t="s">
        <v>20</v>
      </c>
      <c r="G5769" t="s">
        <v>338</v>
      </c>
      <c r="H5769">
        <v>23603</v>
      </c>
      <c r="I5769" t="s">
        <v>23</v>
      </c>
      <c r="J5769" t="s">
        <v>40</v>
      </c>
      <c r="K5769" s="2" t="s">
        <v>3310</v>
      </c>
      <c r="L5769" t="s">
        <v>26</v>
      </c>
      <c r="M5769">
        <v>307803</v>
      </c>
      <c r="N5769">
        <v>1</v>
      </c>
      <c r="O5769" s="3">
        <v>49990</v>
      </c>
      <c r="P5769" s="3">
        <v>22607</v>
      </c>
      <c r="Q5769" s="5">
        <f t="shared" si="270"/>
        <v>42008.403361344543</v>
      </c>
      <c r="R5769" s="5">
        <f t="shared" si="271"/>
        <v>22607</v>
      </c>
      <c r="S5769" s="5">
        <f t="shared" si="272"/>
        <v>19401.403361344543</v>
      </c>
    </row>
    <row r="5770" spans="1:19" x14ac:dyDescent="0.3">
      <c r="A5770">
        <v>195</v>
      </c>
      <c r="B5770" t="s">
        <v>6142</v>
      </c>
      <c r="C5770" t="s">
        <v>6306</v>
      </c>
      <c r="D5770" s="2" t="s">
        <v>6307</v>
      </c>
      <c r="E5770" t="s">
        <v>3183</v>
      </c>
      <c r="F5770" t="s">
        <v>20</v>
      </c>
      <c r="G5770" t="s">
        <v>21</v>
      </c>
      <c r="H5770" t="s">
        <v>614</v>
      </c>
      <c r="I5770" t="s">
        <v>23</v>
      </c>
      <c r="J5770" t="s">
        <v>40</v>
      </c>
      <c r="K5770" s="2" t="s">
        <v>3310</v>
      </c>
      <c r="L5770" t="s">
        <v>26</v>
      </c>
      <c r="M5770">
        <v>307804</v>
      </c>
      <c r="N5770">
        <v>1</v>
      </c>
      <c r="O5770" s="3">
        <v>39990</v>
      </c>
      <c r="P5770" s="3">
        <v>17378</v>
      </c>
      <c r="Q5770" s="5">
        <f t="shared" si="270"/>
        <v>33605.042016806721</v>
      </c>
      <c r="R5770" s="5">
        <f t="shared" si="271"/>
        <v>17378</v>
      </c>
      <c r="S5770" s="5">
        <f t="shared" si="272"/>
        <v>16227.042016806721</v>
      </c>
    </row>
    <row r="5771" spans="1:19" x14ac:dyDescent="0.3">
      <c r="A5771">
        <v>195</v>
      </c>
      <c r="B5771" t="s">
        <v>6142</v>
      </c>
      <c r="C5771" t="s">
        <v>4082</v>
      </c>
      <c r="D5771" s="2" t="s">
        <v>4083</v>
      </c>
      <c r="E5771" t="s">
        <v>4084</v>
      </c>
      <c r="F5771" t="s">
        <v>20</v>
      </c>
      <c r="G5771" t="s">
        <v>21</v>
      </c>
      <c r="H5771" t="s">
        <v>3272</v>
      </c>
      <c r="I5771" t="s">
        <v>23</v>
      </c>
      <c r="J5771" t="s">
        <v>40</v>
      </c>
      <c r="K5771" s="2" t="s">
        <v>3310</v>
      </c>
      <c r="L5771" t="s">
        <v>26</v>
      </c>
      <c r="M5771">
        <v>307805</v>
      </c>
      <c r="N5771">
        <v>1</v>
      </c>
      <c r="O5771" s="3">
        <v>59950</v>
      </c>
      <c r="P5771" s="3">
        <v>23104</v>
      </c>
      <c r="Q5771" s="5">
        <f t="shared" si="270"/>
        <v>50378.151260504201</v>
      </c>
      <c r="R5771" s="5">
        <f t="shared" si="271"/>
        <v>23104</v>
      </c>
      <c r="S5771" s="5">
        <f t="shared" si="272"/>
        <v>27274.151260504201</v>
      </c>
    </row>
    <row r="5772" spans="1:19" x14ac:dyDescent="0.3">
      <c r="A5772">
        <v>195</v>
      </c>
      <c r="B5772" t="s">
        <v>6142</v>
      </c>
      <c r="C5772" t="s">
        <v>5501</v>
      </c>
      <c r="D5772" s="2" t="s">
        <v>5502</v>
      </c>
      <c r="E5772" t="s">
        <v>2504</v>
      </c>
      <c r="F5772" t="s">
        <v>20</v>
      </c>
      <c r="G5772" t="s">
        <v>21</v>
      </c>
      <c r="H5772" t="s">
        <v>2501</v>
      </c>
      <c r="I5772" t="s">
        <v>23</v>
      </c>
      <c r="J5772" t="s">
        <v>40</v>
      </c>
      <c r="K5772" s="2" t="s">
        <v>3310</v>
      </c>
      <c r="L5772" t="s">
        <v>26</v>
      </c>
      <c r="M5772">
        <v>307806</v>
      </c>
      <c r="N5772">
        <v>1</v>
      </c>
      <c r="O5772" s="3">
        <v>84950</v>
      </c>
      <c r="P5772" s="3">
        <v>31649</v>
      </c>
      <c r="Q5772" s="5">
        <f t="shared" si="270"/>
        <v>71386.554621848743</v>
      </c>
      <c r="R5772" s="5">
        <f t="shared" si="271"/>
        <v>31649</v>
      </c>
      <c r="S5772" s="5">
        <f t="shared" si="272"/>
        <v>39737.554621848743</v>
      </c>
    </row>
    <row r="5773" spans="1:19" x14ac:dyDescent="0.3">
      <c r="A5773">
        <v>195</v>
      </c>
      <c r="B5773" t="s">
        <v>6142</v>
      </c>
      <c r="C5773" t="s">
        <v>5177</v>
      </c>
      <c r="D5773" s="2" t="s">
        <v>5178</v>
      </c>
      <c r="E5773" t="s">
        <v>3406</v>
      </c>
      <c r="F5773" t="s">
        <v>20</v>
      </c>
      <c r="G5773" t="s">
        <v>338</v>
      </c>
      <c r="H5773">
        <v>26825</v>
      </c>
      <c r="I5773" t="s">
        <v>23</v>
      </c>
      <c r="J5773" t="s">
        <v>35</v>
      </c>
      <c r="K5773" s="2" t="s">
        <v>3310</v>
      </c>
      <c r="L5773" t="s">
        <v>26</v>
      </c>
      <c r="M5773">
        <v>307807</v>
      </c>
      <c r="N5773">
        <v>1</v>
      </c>
      <c r="O5773" s="3">
        <v>79950</v>
      </c>
      <c r="P5773" s="3">
        <v>23119</v>
      </c>
      <c r="Q5773" s="5">
        <f t="shared" si="270"/>
        <v>67184.873949579836</v>
      </c>
      <c r="R5773" s="5">
        <f t="shared" si="271"/>
        <v>23119</v>
      </c>
      <c r="S5773" s="5">
        <f t="shared" si="272"/>
        <v>44065.873949579836</v>
      </c>
    </row>
    <row r="5774" spans="1:19" x14ac:dyDescent="0.3">
      <c r="A5774">
        <v>195</v>
      </c>
      <c r="B5774" t="s">
        <v>6142</v>
      </c>
      <c r="C5774" t="s">
        <v>4936</v>
      </c>
      <c r="D5774" s="2" t="s">
        <v>4937</v>
      </c>
      <c r="E5774" t="s">
        <v>2930</v>
      </c>
      <c r="F5774" t="s">
        <v>20</v>
      </c>
      <c r="G5774" t="s">
        <v>21</v>
      </c>
      <c r="H5774" t="s">
        <v>1703</v>
      </c>
      <c r="I5774" t="s">
        <v>23</v>
      </c>
      <c r="J5774" t="s">
        <v>49</v>
      </c>
      <c r="K5774" s="2" t="s">
        <v>3310</v>
      </c>
      <c r="L5774" t="s">
        <v>26</v>
      </c>
      <c r="M5774">
        <v>307808</v>
      </c>
      <c r="N5774">
        <v>1</v>
      </c>
      <c r="O5774" s="3">
        <v>74950</v>
      </c>
      <c r="P5774" s="3">
        <v>26457</v>
      </c>
      <c r="Q5774" s="5">
        <f t="shared" si="270"/>
        <v>62983.193277310929</v>
      </c>
      <c r="R5774" s="5">
        <f t="shared" si="271"/>
        <v>26457</v>
      </c>
      <c r="S5774" s="5">
        <f t="shared" si="272"/>
        <v>36526.193277310929</v>
      </c>
    </row>
    <row r="5775" spans="1:19" x14ac:dyDescent="0.3">
      <c r="A5775">
        <v>195</v>
      </c>
      <c r="B5775" t="s">
        <v>6142</v>
      </c>
      <c r="C5775" t="s">
        <v>3159</v>
      </c>
      <c r="D5775" s="2" t="s">
        <v>3160</v>
      </c>
      <c r="E5775" t="s">
        <v>1886</v>
      </c>
      <c r="F5775" t="s">
        <v>20</v>
      </c>
      <c r="G5775" t="s">
        <v>21</v>
      </c>
      <c r="H5775" t="s">
        <v>1887</v>
      </c>
      <c r="I5775" t="s">
        <v>23</v>
      </c>
      <c r="J5775" t="s">
        <v>40</v>
      </c>
      <c r="K5775" s="2" t="s">
        <v>3310</v>
      </c>
      <c r="L5775" t="s">
        <v>26</v>
      </c>
      <c r="M5775">
        <v>307809</v>
      </c>
      <c r="N5775">
        <v>1</v>
      </c>
      <c r="O5775" s="3">
        <v>69950</v>
      </c>
      <c r="P5775" s="3">
        <v>21623</v>
      </c>
      <c r="Q5775" s="5">
        <f t="shared" si="270"/>
        <v>58781.512605042022</v>
      </c>
      <c r="R5775" s="5">
        <f t="shared" si="271"/>
        <v>21623</v>
      </c>
      <c r="S5775" s="5">
        <f t="shared" si="272"/>
        <v>37158.512605042022</v>
      </c>
    </row>
    <row r="5776" spans="1:19" x14ac:dyDescent="0.3">
      <c r="A5776">
        <v>195</v>
      </c>
      <c r="B5776" t="s">
        <v>6142</v>
      </c>
      <c r="C5776" t="s">
        <v>2746</v>
      </c>
      <c r="D5776" s="2" t="s">
        <v>2747</v>
      </c>
      <c r="E5776" t="s">
        <v>2748</v>
      </c>
      <c r="F5776" t="s">
        <v>20</v>
      </c>
      <c r="G5776" t="s">
        <v>338</v>
      </c>
      <c r="H5776">
        <v>26266</v>
      </c>
      <c r="I5776" t="s">
        <v>23</v>
      </c>
      <c r="J5776" t="s">
        <v>35</v>
      </c>
      <c r="K5776" s="2" t="s">
        <v>3310</v>
      </c>
      <c r="L5776" t="s">
        <v>26</v>
      </c>
      <c r="M5776">
        <v>307810</v>
      </c>
      <c r="N5776">
        <v>1</v>
      </c>
      <c r="O5776" s="3">
        <v>79950</v>
      </c>
      <c r="P5776" s="3">
        <v>25300</v>
      </c>
      <c r="Q5776" s="5">
        <f t="shared" si="270"/>
        <v>67184.873949579836</v>
      </c>
      <c r="R5776" s="5">
        <f t="shared" si="271"/>
        <v>25300</v>
      </c>
      <c r="S5776" s="5">
        <f t="shared" si="272"/>
        <v>41884.873949579836</v>
      </c>
    </row>
    <row r="5777" spans="1:19" x14ac:dyDescent="0.3">
      <c r="A5777">
        <v>195</v>
      </c>
      <c r="B5777" t="s">
        <v>6142</v>
      </c>
      <c r="C5777" t="s">
        <v>6308</v>
      </c>
      <c r="D5777" s="2" t="s">
        <v>6309</v>
      </c>
      <c r="E5777" t="s">
        <v>284</v>
      </c>
      <c r="F5777" t="s">
        <v>20</v>
      </c>
      <c r="G5777" t="s">
        <v>21</v>
      </c>
      <c r="H5777" t="s">
        <v>285</v>
      </c>
      <c r="I5777" t="s">
        <v>23</v>
      </c>
      <c r="J5777" t="s">
        <v>35</v>
      </c>
      <c r="K5777" s="2" t="s">
        <v>3310</v>
      </c>
      <c r="L5777" t="s">
        <v>26</v>
      </c>
      <c r="M5777">
        <v>307811</v>
      </c>
      <c r="N5777">
        <v>1</v>
      </c>
      <c r="O5777" s="3">
        <v>59990</v>
      </c>
      <c r="P5777" s="3">
        <v>30744</v>
      </c>
      <c r="Q5777" s="5">
        <f t="shared" si="270"/>
        <v>50411.764705882357</v>
      </c>
      <c r="R5777" s="5">
        <f t="shared" si="271"/>
        <v>30744</v>
      </c>
      <c r="S5777" s="5">
        <f t="shared" si="272"/>
        <v>19667.764705882357</v>
      </c>
    </row>
    <row r="5778" spans="1:19" x14ac:dyDescent="0.3">
      <c r="A5778">
        <v>195</v>
      </c>
      <c r="B5778" t="s">
        <v>6142</v>
      </c>
      <c r="C5778">
        <v>1687976791</v>
      </c>
      <c r="D5778" s="2" t="s">
        <v>200</v>
      </c>
      <c r="E5778" t="s">
        <v>201</v>
      </c>
      <c r="F5778" t="s">
        <v>201</v>
      </c>
      <c r="G5778" t="s">
        <v>202</v>
      </c>
      <c r="H5778" t="s">
        <v>202</v>
      </c>
      <c r="I5778" t="s">
        <v>23</v>
      </c>
      <c r="J5778" t="s">
        <v>202</v>
      </c>
      <c r="K5778" s="2" t="s">
        <v>3310</v>
      </c>
      <c r="L5778" t="s">
        <v>26</v>
      </c>
      <c r="M5778">
        <v>307811</v>
      </c>
      <c r="N5778">
        <v>1</v>
      </c>
      <c r="O5778" s="3">
        <v>1990</v>
      </c>
      <c r="P5778">
        <v>1</v>
      </c>
      <c r="Q5778" s="5">
        <f t="shared" si="270"/>
        <v>1672.2689075630253</v>
      </c>
      <c r="R5778" s="5">
        <f t="shared" si="271"/>
        <v>1</v>
      </c>
      <c r="S5778" s="5">
        <f t="shared" si="272"/>
        <v>1671.2689075630253</v>
      </c>
    </row>
    <row r="5779" spans="1:19" x14ac:dyDescent="0.3">
      <c r="A5779">
        <v>195</v>
      </c>
      <c r="B5779" t="s">
        <v>6142</v>
      </c>
      <c r="C5779" t="s">
        <v>3923</v>
      </c>
      <c r="D5779" s="2" t="s">
        <v>3924</v>
      </c>
      <c r="E5779" t="s">
        <v>3051</v>
      </c>
      <c r="F5779" t="s">
        <v>20</v>
      </c>
      <c r="G5779" t="s">
        <v>21</v>
      </c>
      <c r="H5779" t="s">
        <v>1440</v>
      </c>
      <c r="I5779" t="s">
        <v>23</v>
      </c>
      <c r="J5779" t="s">
        <v>40</v>
      </c>
      <c r="K5779" s="2" t="s">
        <v>3310</v>
      </c>
      <c r="L5779" t="s">
        <v>26</v>
      </c>
      <c r="M5779">
        <v>307812</v>
      </c>
      <c r="N5779">
        <v>1</v>
      </c>
      <c r="O5779" s="3">
        <v>55200</v>
      </c>
      <c r="P5779" s="3">
        <v>17328</v>
      </c>
      <c r="Q5779" s="5">
        <f t="shared" si="270"/>
        <v>46386.554621848743</v>
      </c>
      <c r="R5779" s="5">
        <f t="shared" si="271"/>
        <v>17328</v>
      </c>
      <c r="S5779" s="5">
        <f t="shared" si="272"/>
        <v>29058.554621848743</v>
      </c>
    </row>
    <row r="5780" spans="1:19" x14ac:dyDescent="0.3">
      <c r="A5780">
        <v>195</v>
      </c>
      <c r="B5780" t="s">
        <v>6142</v>
      </c>
      <c r="C5780" t="s">
        <v>2772</v>
      </c>
      <c r="D5780" s="2" t="s">
        <v>2773</v>
      </c>
      <c r="E5780" t="s">
        <v>2771</v>
      </c>
      <c r="F5780" t="s">
        <v>20</v>
      </c>
      <c r="G5780" t="s">
        <v>21</v>
      </c>
      <c r="H5780" t="s">
        <v>57</v>
      </c>
      <c r="I5780" t="s">
        <v>23</v>
      </c>
      <c r="J5780" t="s">
        <v>35</v>
      </c>
      <c r="K5780" s="2" t="s">
        <v>3310</v>
      </c>
      <c r="L5780" t="s">
        <v>26</v>
      </c>
      <c r="M5780">
        <v>307812</v>
      </c>
      <c r="N5780">
        <v>1</v>
      </c>
      <c r="O5780" s="3">
        <v>79990</v>
      </c>
      <c r="P5780" s="3">
        <v>29189</v>
      </c>
      <c r="Q5780" s="5">
        <f t="shared" si="270"/>
        <v>67218.487394957992</v>
      </c>
      <c r="R5780" s="5">
        <f t="shared" si="271"/>
        <v>29189</v>
      </c>
      <c r="S5780" s="5">
        <f t="shared" si="272"/>
        <v>38029.487394957992</v>
      </c>
    </row>
    <row r="5781" spans="1:19" x14ac:dyDescent="0.3">
      <c r="A5781">
        <v>195</v>
      </c>
      <c r="B5781" t="s">
        <v>6142</v>
      </c>
      <c r="C5781" t="s">
        <v>2830</v>
      </c>
      <c r="D5781" s="2" t="s">
        <v>2831</v>
      </c>
      <c r="E5781" t="s">
        <v>1330</v>
      </c>
      <c r="F5781" t="s">
        <v>20</v>
      </c>
      <c r="G5781" t="s">
        <v>338</v>
      </c>
      <c r="H5781">
        <v>25133</v>
      </c>
      <c r="I5781" t="s">
        <v>23</v>
      </c>
      <c r="J5781" t="s">
        <v>35</v>
      </c>
      <c r="K5781" s="2" t="s">
        <v>3366</v>
      </c>
      <c r="L5781" t="s">
        <v>2249</v>
      </c>
      <c r="M5781">
        <v>25458</v>
      </c>
      <c r="N5781">
        <v>-1</v>
      </c>
      <c r="O5781" s="3">
        <v>-74950</v>
      </c>
      <c r="P5781" s="3">
        <v>21167</v>
      </c>
      <c r="Q5781" s="5">
        <f t="shared" si="270"/>
        <v>-62983.193277310929</v>
      </c>
      <c r="R5781" s="5">
        <f t="shared" si="271"/>
        <v>-21167</v>
      </c>
      <c r="S5781" s="5">
        <f t="shared" si="272"/>
        <v>-41816.193277310929</v>
      </c>
    </row>
    <row r="5782" spans="1:19" x14ac:dyDescent="0.3">
      <c r="A5782">
        <v>195</v>
      </c>
      <c r="B5782" t="s">
        <v>6142</v>
      </c>
      <c r="C5782" t="s">
        <v>1368</v>
      </c>
      <c r="D5782" s="2" t="s">
        <v>1369</v>
      </c>
      <c r="E5782" t="s">
        <v>1171</v>
      </c>
      <c r="F5782" t="s">
        <v>20</v>
      </c>
      <c r="G5782" t="s">
        <v>21</v>
      </c>
      <c r="H5782" t="s">
        <v>500</v>
      </c>
      <c r="I5782" t="s">
        <v>23</v>
      </c>
      <c r="J5782" t="s">
        <v>40</v>
      </c>
      <c r="K5782" s="2" t="s">
        <v>3366</v>
      </c>
      <c r="L5782" t="s">
        <v>26</v>
      </c>
      <c r="M5782">
        <v>307813</v>
      </c>
      <c r="N5782">
        <v>1</v>
      </c>
      <c r="O5782" s="3">
        <v>59950</v>
      </c>
      <c r="P5782" s="3">
        <v>17416</v>
      </c>
      <c r="Q5782" s="5">
        <f t="shared" si="270"/>
        <v>50378.151260504201</v>
      </c>
      <c r="R5782" s="5">
        <f t="shared" si="271"/>
        <v>17416</v>
      </c>
      <c r="S5782" s="5">
        <f t="shared" si="272"/>
        <v>32962.151260504201</v>
      </c>
    </row>
    <row r="5783" spans="1:19" x14ac:dyDescent="0.3">
      <c r="A5783">
        <v>195</v>
      </c>
      <c r="B5783" t="s">
        <v>6142</v>
      </c>
      <c r="C5783">
        <v>1687976791</v>
      </c>
      <c r="D5783" s="2" t="s">
        <v>200</v>
      </c>
      <c r="E5783" t="s">
        <v>201</v>
      </c>
      <c r="F5783" t="s">
        <v>201</v>
      </c>
      <c r="G5783" t="s">
        <v>202</v>
      </c>
      <c r="H5783" t="s">
        <v>202</v>
      </c>
      <c r="I5783" t="s">
        <v>23</v>
      </c>
      <c r="J5783" t="s">
        <v>202</v>
      </c>
      <c r="K5783" s="2" t="s">
        <v>3366</v>
      </c>
      <c r="L5783" t="s">
        <v>26</v>
      </c>
      <c r="M5783">
        <v>307813</v>
      </c>
      <c r="N5783">
        <v>1</v>
      </c>
      <c r="O5783" s="3">
        <v>5547</v>
      </c>
      <c r="P5783">
        <v>1</v>
      </c>
      <c r="Q5783" s="5">
        <f t="shared" si="270"/>
        <v>4661.3445378151264</v>
      </c>
      <c r="R5783" s="5">
        <f t="shared" si="271"/>
        <v>1</v>
      </c>
      <c r="S5783" s="5">
        <f t="shared" si="272"/>
        <v>4660.3445378151264</v>
      </c>
    </row>
    <row r="5784" spans="1:19" x14ac:dyDescent="0.3">
      <c r="A5784">
        <v>195</v>
      </c>
      <c r="B5784" t="s">
        <v>6142</v>
      </c>
      <c r="C5784" t="s">
        <v>4294</v>
      </c>
      <c r="D5784" s="2" t="s">
        <v>4295</v>
      </c>
      <c r="E5784" t="s">
        <v>4296</v>
      </c>
      <c r="F5784" t="s">
        <v>20</v>
      </c>
      <c r="G5784" t="s">
        <v>338</v>
      </c>
      <c r="H5784">
        <v>25321</v>
      </c>
      <c r="I5784" t="s">
        <v>23</v>
      </c>
      <c r="J5784" t="s">
        <v>35</v>
      </c>
      <c r="K5784" s="2" t="s">
        <v>3366</v>
      </c>
      <c r="L5784" t="s">
        <v>26</v>
      </c>
      <c r="M5784">
        <v>307814</v>
      </c>
      <c r="N5784">
        <v>1</v>
      </c>
      <c r="O5784" s="3">
        <v>93450</v>
      </c>
      <c r="P5784" s="3">
        <v>33748</v>
      </c>
      <c r="Q5784" s="5">
        <f t="shared" si="270"/>
        <v>78529.411764705888</v>
      </c>
      <c r="R5784" s="5">
        <f t="shared" si="271"/>
        <v>33748</v>
      </c>
      <c r="S5784" s="5">
        <f t="shared" si="272"/>
        <v>44781.411764705888</v>
      </c>
    </row>
    <row r="5785" spans="1:19" x14ac:dyDescent="0.3">
      <c r="A5785">
        <v>195</v>
      </c>
      <c r="B5785" t="s">
        <v>6142</v>
      </c>
      <c r="C5785" t="s">
        <v>2772</v>
      </c>
      <c r="D5785" s="2" t="s">
        <v>2773</v>
      </c>
      <c r="E5785" t="s">
        <v>2771</v>
      </c>
      <c r="F5785" t="s">
        <v>20</v>
      </c>
      <c r="G5785" t="s">
        <v>21</v>
      </c>
      <c r="H5785" t="s">
        <v>57</v>
      </c>
      <c r="I5785" t="s">
        <v>23</v>
      </c>
      <c r="J5785" t="s">
        <v>35</v>
      </c>
      <c r="K5785" s="2" t="s">
        <v>3366</v>
      </c>
      <c r="L5785" t="s">
        <v>26</v>
      </c>
      <c r="M5785">
        <v>307814</v>
      </c>
      <c r="N5785">
        <v>1</v>
      </c>
      <c r="O5785" s="3">
        <v>79990</v>
      </c>
      <c r="P5785" s="3">
        <v>29189</v>
      </c>
      <c r="Q5785" s="5">
        <f t="shared" si="270"/>
        <v>67218.487394957992</v>
      </c>
      <c r="R5785" s="5">
        <f t="shared" si="271"/>
        <v>29189</v>
      </c>
      <c r="S5785" s="5">
        <f t="shared" si="272"/>
        <v>38029.487394957992</v>
      </c>
    </row>
    <row r="5786" spans="1:19" x14ac:dyDescent="0.3">
      <c r="A5786">
        <v>195</v>
      </c>
      <c r="B5786" t="s">
        <v>6142</v>
      </c>
      <c r="C5786" t="s">
        <v>3385</v>
      </c>
      <c r="D5786" s="2" t="s">
        <v>3386</v>
      </c>
      <c r="E5786" t="s">
        <v>3302</v>
      </c>
      <c r="F5786" t="s">
        <v>20</v>
      </c>
      <c r="G5786" t="s">
        <v>21</v>
      </c>
      <c r="H5786" t="s">
        <v>958</v>
      </c>
      <c r="I5786" t="s">
        <v>23</v>
      </c>
      <c r="J5786" t="s">
        <v>40</v>
      </c>
      <c r="K5786" s="2" t="s">
        <v>3366</v>
      </c>
      <c r="L5786" t="s">
        <v>26</v>
      </c>
      <c r="M5786">
        <v>307815</v>
      </c>
      <c r="N5786">
        <v>1</v>
      </c>
      <c r="O5786" s="3">
        <v>59950</v>
      </c>
      <c r="P5786" s="3">
        <v>16439</v>
      </c>
      <c r="Q5786" s="5">
        <f t="shared" si="270"/>
        <v>50378.151260504201</v>
      </c>
      <c r="R5786" s="5">
        <f t="shared" si="271"/>
        <v>16439</v>
      </c>
      <c r="S5786" s="5">
        <f t="shared" si="272"/>
        <v>33939.151260504201</v>
      </c>
    </row>
    <row r="5787" spans="1:19" x14ac:dyDescent="0.3">
      <c r="A5787">
        <v>195</v>
      </c>
      <c r="B5787" t="s">
        <v>6142</v>
      </c>
      <c r="C5787" t="s">
        <v>6310</v>
      </c>
      <c r="D5787" s="2" t="s">
        <v>6311</v>
      </c>
      <c r="E5787" t="s">
        <v>6212</v>
      </c>
      <c r="F5787" t="s">
        <v>20</v>
      </c>
      <c r="G5787" t="s">
        <v>21</v>
      </c>
      <c r="H5787" t="s">
        <v>794</v>
      </c>
      <c r="I5787" t="s">
        <v>23</v>
      </c>
      <c r="J5787" t="s">
        <v>40</v>
      </c>
      <c r="K5787" s="2" t="s">
        <v>3366</v>
      </c>
      <c r="L5787" t="s">
        <v>26</v>
      </c>
      <c r="M5787">
        <v>307816</v>
      </c>
      <c r="N5787">
        <v>1</v>
      </c>
      <c r="O5787" s="3">
        <v>39990</v>
      </c>
      <c r="P5787" s="3">
        <v>21101</v>
      </c>
      <c r="Q5787" s="5">
        <f t="shared" si="270"/>
        <v>33605.042016806721</v>
      </c>
      <c r="R5787" s="5">
        <f t="shared" si="271"/>
        <v>21101</v>
      </c>
      <c r="S5787" s="5">
        <f t="shared" si="272"/>
        <v>12504.042016806721</v>
      </c>
    </row>
    <row r="5788" spans="1:19" x14ac:dyDescent="0.3">
      <c r="A5788">
        <v>195</v>
      </c>
      <c r="B5788" t="s">
        <v>6142</v>
      </c>
      <c r="C5788" t="s">
        <v>6085</v>
      </c>
      <c r="D5788" s="2" t="s">
        <v>6086</v>
      </c>
      <c r="E5788" t="s">
        <v>3703</v>
      </c>
      <c r="F5788" t="s">
        <v>20</v>
      </c>
      <c r="G5788" t="s">
        <v>21</v>
      </c>
      <c r="H5788" t="s">
        <v>794</v>
      </c>
      <c r="I5788" t="s">
        <v>23</v>
      </c>
      <c r="J5788" t="s">
        <v>40</v>
      </c>
      <c r="K5788" s="2" t="s">
        <v>3366</v>
      </c>
      <c r="L5788" t="s">
        <v>26</v>
      </c>
      <c r="M5788">
        <v>307816</v>
      </c>
      <c r="N5788">
        <v>1</v>
      </c>
      <c r="O5788" s="3">
        <v>69950</v>
      </c>
      <c r="P5788" s="3">
        <v>21722</v>
      </c>
      <c r="Q5788" s="5">
        <f t="shared" si="270"/>
        <v>58781.512605042022</v>
      </c>
      <c r="R5788" s="5">
        <f t="shared" si="271"/>
        <v>21722</v>
      </c>
      <c r="S5788" s="5">
        <f t="shared" si="272"/>
        <v>37059.512605042022</v>
      </c>
    </row>
    <row r="5789" spans="1:19" x14ac:dyDescent="0.3">
      <c r="A5789">
        <v>195</v>
      </c>
      <c r="B5789" t="s">
        <v>6142</v>
      </c>
      <c r="C5789" t="s">
        <v>5689</v>
      </c>
      <c r="D5789" s="2" t="s">
        <v>5690</v>
      </c>
      <c r="E5789" t="s">
        <v>4049</v>
      </c>
      <c r="F5789" t="s">
        <v>20</v>
      </c>
      <c r="G5789" t="s">
        <v>21</v>
      </c>
      <c r="H5789" t="s">
        <v>3351</v>
      </c>
      <c r="I5789" t="s">
        <v>23</v>
      </c>
      <c r="J5789" t="s">
        <v>40</v>
      </c>
      <c r="K5789" s="2" t="s">
        <v>3366</v>
      </c>
      <c r="L5789" t="s">
        <v>26</v>
      </c>
      <c r="M5789">
        <v>307817</v>
      </c>
      <c r="N5789">
        <v>1</v>
      </c>
      <c r="O5789" s="3">
        <v>79950</v>
      </c>
      <c r="P5789" s="3">
        <v>30166</v>
      </c>
      <c r="Q5789" s="5">
        <f t="shared" si="270"/>
        <v>67184.873949579836</v>
      </c>
      <c r="R5789" s="5">
        <f t="shared" si="271"/>
        <v>30166</v>
      </c>
      <c r="S5789" s="5">
        <f t="shared" si="272"/>
        <v>37018.873949579836</v>
      </c>
    </row>
    <row r="5790" spans="1:19" x14ac:dyDescent="0.3">
      <c r="A5790">
        <v>195</v>
      </c>
      <c r="B5790" t="s">
        <v>6142</v>
      </c>
      <c r="C5790" t="s">
        <v>5730</v>
      </c>
      <c r="D5790" s="2" t="s">
        <v>5731</v>
      </c>
      <c r="E5790" t="s">
        <v>3175</v>
      </c>
      <c r="F5790" t="s">
        <v>20</v>
      </c>
      <c r="G5790" t="s">
        <v>21</v>
      </c>
      <c r="H5790" t="s">
        <v>625</v>
      </c>
      <c r="I5790" t="s">
        <v>23</v>
      </c>
      <c r="J5790" t="s">
        <v>35</v>
      </c>
      <c r="K5790" s="2" t="s">
        <v>3366</v>
      </c>
      <c r="L5790" t="s">
        <v>26</v>
      </c>
      <c r="M5790">
        <v>307818</v>
      </c>
      <c r="N5790">
        <v>1</v>
      </c>
      <c r="O5790" s="3">
        <v>49990</v>
      </c>
      <c r="P5790" s="3">
        <v>24956</v>
      </c>
      <c r="Q5790" s="5">
        <f t="shared" si="270"/>
        <v>42008.403361344543</v>
      </c>
      <c r="R5790" s="5">
        <f t="shared" si="271"/>
        <v>24956</v>
      </c>
      <c r="S5790" s="5">
        <f t="shared" si="272"/>
        <v>17052.403361344543</v>
      </c>
    </row>
    <row r="5791" spans="1:19" x14ac:dyDescent="0.3">
      <c r="A5791">
        <v>195</v>
      </c>
      <c r="B5791" t="s">
        <v>6142</v>
      </c>
      <c r="C5791" t="s">
        <v>6312</v>
      </c>
      <c r="D5791" s="2" t="s">
        <v>6313</v>
      </c>
      <c r="E5791" t="s">
        <v>789</v>
      </c>
      <c r="F5791" t="s">
        <v>20</v>
      </c>
      <c r="G5791" t="s">
        <v>21</v>
      </c>
      <c r="H5791" t="s">
        <v>790</v>
      </c>
      <c r="I5791" t="s">
        <v>23</v>
      </c>
      <c r="J5791" t="s">
        <v>40</v>
      </c>
      <c r="K5791" s="2" t="s">
        <v>3366</v>
      </c>
      <c r="L5791" t="s">
        <v>26</v>
      </c>
      <c r="M5791">
        <v>307819</v>
      </c>
      <c r="N5791">
        <v>1</v>
      </c>
      <c r="O5791" s="3">
        <v>69990</v>
      </c>
      <c r="P5791" s="3">
        <v>30692</v>
      </c>
      <c r="Q5791" s="5">
        <f t="shared" si="270"/>
        <v>58815.126050420171</v>
      </c>
      <c r="R5791" s="5">
        <f t="shared" si="271"/>
        <v>30692</v>
      </c>
      <c r="S5791" s="5">
        <f t="shared" si="272"/>
        <v>28123.126050420171</v>
      </c>
    </row>
    <row r="5792" spans="1:19" x14ac:dyDescent="0.3">
      <c r="A5792">
        <v>195</v>
      </c>
      <c r="B5792" t="s">
        <v>6142</v>
      </c>
      <c r="C5792" t="s">
        <v>6314</v>
      </c>
      <c r="D5792" s="2" t="s">
        <v>6315</v>
      </c>
      <c r="E5792" t="s">
        <v>2865</v>
      </c>
      <c r="F5792" t="s">
        <v>20</v>
      </c>
      <c r="G5792" t="s">
        <v>21</v>
      </c>
      <c r="H5792" t="s">
        <v>57</v>
      </c>
      <c r="I5792" t="s">
        <v>23</v>
      </c>
      <c r="J5792" t="s">
        <v>35</v>
      </c>
      <c r="K5792" s="2" t="s">
        <v>3366</v>
      </c>
      <c r="L5792" t="s">
        <v>26</v>
      </c>
      <c r="M5792">
        <v>307819</v>
      </c>
      <c r="N5792">
        <v>1</v>
      </c>
      <c r="O5792" s="3">
        <v>79990</v>
      </c>
      <c r="P5792" s="3">
        <v>29189</v>
      </c>
      <c r="Q5792" s="5">
        <f t="shared" si="270"/>
        <v>67218.487394957992</v>
      </c>
      <c r="R5792" s="5">
        <f t="shared" si="271"/>
        <v>29189</v>
      </c>
      <c r="S5792" s="5">
        <f t="shared" si="272"/>
        <v>38029.487394957992</v>
      </c>
    </row>
    <row r="5793" spans="1:19" x14ac:dyDescent="0.3">
      <c r="A5793">
        <v>195</v>
      </c>
      <c r="B5793" t="s">
        <v>6142</v>
      </c>
      <c r="C5793" t="s">
        <v>3039</v>
      </c>
      <c r="D5793" s="2" t="s">
        <v>3040</v>
      </c>
      <c r="E5793" t="s">
        <v>3041</v>
      </c>
      <c r="F5793" t="s">
        <v>20</v>
      </c>
      <c r="G5793" t="s">
        <v>338</v>
      </c>
      <c r="H5793">
        <v>25327</v>
      </c>
      <c r="I5793" t="s">
        <v>23</v>
      </c>
      <c r="J5793" t="s">
        <v>35</v>
      </c>
      <c r="K5793" s="2" t="s">
        <v>3366</v>
      </c>
      <c r="L5793" t="s">
        <v>26</v>
      </c>
      <c r="M5793">
        <v>307820</v>
      </c>
      <c r="N5793">
        <v>1</v>
      </c>
      <c r="O5793" s="3">
        <v>74950</v>
      </c>
      <c r="P5793" s="3">
        <v>23119</v>
      </c>
      <c r="Q5793" s="5">
        <f t="shared" si="270"/>
        <v>62983.193277310929</v>
      </c>
      <c r="R5793" s="5">
        <f t="shared" si="271"/>
        <v>23119</v>
      </c>
      <c r="S5793" s="5">
        <f t="shared" si="272"/>
        <v>39864.193277310929</v>
      </c>
    </row>
    <row r="5794" spans="1:19" x14ac:dyDescent="0.3">
      <c r="A5794">
        <v>195</v>
      </c>
      <c r="B5794" t="s">
        <v>6142</v>
      </c>
      <c r="C5794" t="s">
        <v>6292</v>
      </c>
      <c r="D5794" s="2" t="s">
        <v>6293</v>
      </c>
      <c r="E5794" t="s">
        <v>4954</v>
      </c>
      <c r="F5794" t="s">
        <v>20</v>
      </c>
      <c r="G5794" t="s">
        <v>338</v>
      </c>
      <c r="H5794">
        <v>23624</v>
      </c>
      <c r="I5794" t="s">
        <v>23</v>
      </c>
      <c r="J5794" t="s">
        <v>40</v>
      </c>
      <c r="K5794" s="2" t="s">
        <v>3366</v>
      </c>
      <c r="L5794" t="s">
        <v>26</v>
      </c>
      <c r="M5794">
        <v>307821</v>
      </c>
      <c r="N5794">
        <v>1</v>
      </c>
      <c r="O5794" s="3">
        <v>69990</v>
      </c>
      <c r="P5794" s="3">
        <v>24718</v>
      </c>
      <c r="Q5794" s="5">
        <f t="shared" si="270"/>
        <v>58815.126050420171</v>
      </c>
      <c r="R5794" s="5">
        <f t="shared" si="271"/>
        <v>24718</v>
      </c>
      <c r="S5794" s="5">
        <f t="shared" si="272"/>
        <v>34097.126050420171</v>
      </c>
    </row>
    <row r="5795" spans="1:19" x14ac:dyDescent="0.3">
      <c r="A5795">
        <v>195</v>
      </c>
      <c r="B5795" t="s">
        <v>6142</v>
      </c>
      <c r="C5795" t="s">
        <v>5209</v>
      </c>
      <c r="D5795" s="2" t="s">
        <v>5210</v>
      </c>
      <c r="E5795" t="s">
        <v>1177</v>
      </c>
      <c r="F5795" t="s">
        <v>20</v>
      </c>
      <c r="G5795" t="s">
        <v>338</v>
      </c>
      <c r="H5795">
        <v>23724</v>
      </c>
      <c r="I5795" t="s">
        <v>23</v>
      </c>
      <c r="J5795" t="s">
        <v>40</v>
      </c>
      <c r="K5795" s="2" t="s">
        <v>3366</v>
      </c>
      <c r="L5795" t="s">
        <v>26</v>
      </c>
      <c r="M5795">
        <v>307821</v>
      </c>
      <c r="N5795">
        <v>1</v>
      </c>
      <c r="O5795" s="3">
        <v>67950</v>
      </c>
      <c r="P5795" s="3">
        <v>26199</v>
      </c>
      <c r="Q5795" s="5">
        <f t="shared" si="270"/>
        <v>57100.840336134454</v>
      </c>
      <c r="R5795" s="5">
        <f t="shared" si="271"/>
        <v>26199</v>
      </c>
      <c r="S5795" s="5">
        <f t="shared" si="272"/>
        <v>30901.840336134454</v>
      </c>
    </row>
    <row r="5796" spans="1:19" x14ac:dyDescent="0.3">
      <c r="A5796">
        <v>195</v>
      </c>
      <c r="B5796" t="s">
        <v>6142</v>
      </c>
      <c r="C5796" t="s">
        <v>6316</v>
      </c>
      <c r="D5796" s="2" t="s">
        <v>6317</v>
      </c>
      <c r="E5796" t="s">
        <v>2417</v>
      </c>
      <c r="F5796" t="s">
        <v>20</v>
      </c>
      <c r="G5796" t="s">
        <v>21</v>
      </c>
      <c r="H5796" t="s">
        <v>1457</v>
      </c>
      <c r="I5796" t="s">
        <v>23</v>
      </c>
      <c r="J5796" t="s">
        <v>40</v>
      </c>
      <c r="K5796" s="2" t="s">
        <v>1958</v>
      </c>
      <c r="L5796" t="s">
        <v>26</v>
      </c>
      <c r="M5796">
        <v>307822</v>
      </c>
      <c r="N5796">
        <v>1</v>
      </c>
      <c r="O5796" s="3">
        <v>34990</v>
      </c>
      <c r="P5796" s="3">
        <v>19019</v>
      </c>
      <c r="Q5796" s="5">
        <f t="shared" si="270"/>
        <v>29403.361344537818</v>
      </c>
      <c r="R5796" s="5">
        <f t="shared" si="271"/>
        <v>19019</v>
      </c>
      <c r="S5796" s="5">
        <f t="shared" si="272"/>
        <v>10384.361344537818</v>
      </c>
    </row>
    <row r="5797" spans="1:19" x14ac:dyDescent="0.3">
      <c r="A5797">
        <v>195</v>
      </c>
      <c r="B5797" t="s">
        <v>6142</v>
      </c>
      <c r="C5797" t="s">
        <v>6318</v>
      </c>
      <c r="D5797" s="2" t="s">
        <v>6319</v>
      </c>
      <c r="E5797" t="s">
        <v>3091</v>
      </c>
      <c r="F5797" t="s">
        <v>20</v>
      </c>
      <c r="G5797" t="s">
        <v>338</v>
      </c>
      <c r="H5797">
        <v>26266</v>
      </c>
      <c r="I5797" t="s">
        <v>23</v>
      </c>
      <c r="J5797" t="s">
        <v>35</v>
      </c>
      <c r="K5797" s="2" t="s">
        <v>1958</v>
      </c>
      <c r="L5797" t="s">
        <v>26</v>
      </c>
      <c r="M5797">
        <v>307823</v>
      </c>
      <c r="N5797">
        <v>1</v>
      </c>
      <c r="O5797" s="3">
        <v>79950</v>
      </c>
      <c r="P5797" s="3">
        <v>25300</v>
      </c>
      <c r="Q5797" s="5">
        <f t="shared" si="270"/>
        <v>67184.873949579836</v>
      </c>
      <c r="R5797" s="5">
        <f t="shared" si="271"/>
        <v>25300</v>
      </c>
      <c r="S5797" s="5">
        <f t="shared" si="272"/>
        <v>41884.873949579836</v>
      </c>
    </row>
    <row r="5798" spans="1:19" x14ac:dyDescent="0.3">
      <c r="A5798">
        <v>195</v>
      </c>
      <c r="B5798" t="s">
        <v>6142</v>
      </c>
      <c r="C5798" t="s">
        <v>314</v>
      </c>
      <c r="D5798" s="2" t="s">
        <v>315</v>
      </c>
      <c r="E5798" t="s">
        <v>316</v>
      </c>
      <c r="F5798" t="s">
        <v>20</v>
      </c>
      <c r="G5798" t="s">
        <v>21</v>
      </c>
      <c r="H5798" t="s">
        <v>317</v>
      </c>
      <c r="I5798" t="s">
        <v>23</v>
      </c>
      <c r="J5798" t="s">
        <v>35</v>
      </c>
      <c r="K5798" s="2" t="s">
        <v>1958</v>
      </c>
      <c r="L5798" t="s">
        <v>26</v>
      </c>
      <c r="M5798">
        <v>307824</v>
      </c>
      <c r="N5798">
        <v>1</v>
      </c>
      <c r="O5798" s="3">
        <v>69950</v>
      </c>
      <c r="P5798" s="3">
        <v>24517</v>
      </c>
      <c r="Q5798" s="5">
        <f t="shared" si="270"/>
        <v>58781.512605042022</v>
      </c>
      <c r="R5798" s="5">
        <f t="shared" si="271"/>
        <v>24517</v>
      </c>
      <c r="S5798" s="5">
        <f t="shared" si="272"/>
        <v>34264.512605042022</v>
      </c>
    </row>
    <row r="5799" spans="1:19" x14ac:dyDescent="0.3">
      <c r="A5799">
        <v>195</v>
      </c>
      <c r="B5799" t="s">
        <v>6142</v>
      </c>
      <c r="C5799" t="s">
        <v>3647</v>
      </c>
      <c r="D5799" s="2" t="s">
        <v>3648</v>
      </c>
      <c r="E5799" t="s">
        <v>316</v>
      </c>
      <c r="F5799" t="s">
        <v>20</v>
      </c>
      <c r="G5799" t="s">
        <v>21</v>
      </c>
      <c r="H5799" t="s">
        <v>317</v>
      </c>
      <c r="I5799" t="s">
        <v>23</v>
      </c>
      <c r="J5799" t="s">
        <v>35</v>
      </c>
      <c r="K5799" s="2" t="s">
        <v>1958</v>
      </c>
      <c r="L5799" t="s">
        <v>26</v>
      </c>
      <c r="M5799">
        <v>307825</v>
      </c>
      <c r="N5799">
        <v>1</v>
      </c>
      <c r="O5799" s="3">
        <v>69950</v>
      </c>
      <c r="P5799" s="3">
        <v>24893</v>
      </c>
      <c r="Q5799" s="5">
        <f t="shared" si="270"/>
        <v>58781.512605042022</v>
      </c>
      <c r="R5799" s="5">
        <f t="shared" si="271"/>
        <v>24893</v>
      </c>
      <c r="S5799" s="5">
        <f t="shared" si="272"/>
        <v>33888.512605042022</v>
      </c>
    </row>
    <row r="5800" spans="1:19" x14ac:dyDescent="0.3">
      <c r="A5800">
        <v>195</v>
      </c>
      <c r="B5800" t="s">
        <v>6142</v>
      </c>
      <c r="C5800" t="s">
        <v>3755</v>
      </c>
      <c r="D5800" s="2" t="s">
        <v>3756</v>
      </c>
      <c r="E5800" t="s">
        <v>3757</v>
      </c>
      <c r="F5800" t="s">
        <v>20</v>
      </c>
      <c r="G5800" t="s">
        <v>338</v>
      </c>
      <c r="H5800">
        <v>23732</v>
      </c>
      <c r="I5800" t="s">
        <v>23</v>
      </c>
      <c r="J5800" t="s">
        <v>40</v>
      </c>
      <c r="K5800" s="2" t="s">
        <v>1958</v>
      </c>
      <c r="L5800" t="s">
        <v>26</v>
      </c>
      <c r="M5800">
        <v>307826</v>
      </c>
      <c r="N5800">
        <v>1</v>
      </c>
      <c r="O5800" s="3">
        <v>79950</v>
      </c>
      <c r="P5800" s="3">
        <v>26539</v>
      </c>
      <c r="Q5800" s="5">
        <f t="shared" si="270"/>
        <v>67184.873949579836</v>
      </c>
      <c r="R5800" s="5">
        <f t="shared" si="271"/>
        <v>26539</v>
      </c>
      <c r="S5800" s="5">
        <f t="shared" si="272"/>
        <v>40645.873949579836</v>
      </c>
    </row>
    <row r="5801" spans="1:19" x14ac:dyDescent="0.3">
      <c r="A5801">
        <v>195</v>
      </c>
      <c r="B5801" t="s">
        <v>6142</v>
      </c>
      <c r="C5801" t="s">
        <v>3594</v>
      </c>
      <c r="D5801" s="2" t="s">
        <v>3595</v>
      </c>
      <c r="E5801" t="s">
        <v>2473</v>
      </c>
      <c r="F5801" t="s">
        <v>20</v>
      </c>
      <c r="G5801" t="s">
        <v>21</v>
      </c>
      <c r="H5801" t="s">
        <v>114</v>
      </c>
      <c r="I5801" t="s">
        <v>23</v>
      </c>
      <c r="J5801" t="s">
        <v>49</v>
      </c>
      <c r="K5801" s="2" t="s">
        <v>1958</v>
      </c>
      <c r="L5801" t="s">
        <v>26</v>
      </c>
      <c r="M5801">
        <v>307827</v>
      </c>
      <c r="N5801">
        <v>1</v>
      </c>
      <c r="O5801" s="3">
        <v>49990</v>
      </c>
      <c r="P5801" s="3">
        <v>23514</v>
      </c>
      <c r="Q5801" s="5">
        <f t="shared" si="270"/>
        <v>42008.403361344543</v>
      </c>
      <c r="R5801" s="5">
        <f t="shared" si="271"/>
        <v>23514</v>
      </c>
      <c r="S5801" s="5">
        <f t="shared" si="272"/>
        <v>18494.403361344543</v>
      </c>
    </row>
    <row r="5802" spans="1:19" x14ac:dyDescent="0.3">
      <c r="A5802">
        <v>195</v>
      </c>
      <c r="B5802" t="s">
        <v>6142</v>
      </c>
      <c r="C5802">
        <v>1687976791</v>
      </c>
      <c r="D5802" s="2" t="s">
        <v>200</v>
      </c>
      <c r="E5802" t="s">
        <v>201</v>
      </c>
      <c r="F5802" t="s">
        <v>201</v>
      </c>
      <c r="G5802" t="s">
        <v>202</v>
      </c>
      <c r="H5802" t="s">
        <v>202</v>
      </c>
      <c r="I5802" t="s">
        <v>23</v>
      </c>
      <c r="J5802" t="s">
        <v>202</v>
      </c>
      <c r="K5802" s="2" t="s">
        <v>1958</v>
      </c>
      <c r="L5802" t="s">
        <v>26</v>
      </c>
      <c r="M5802">
        <v>307827</v>
      </c>
      <c r="N5802">
        <v>1</v>
      </c>
      <c r="O5802" s="3">
        <v>2000</v>
      </c>
      <c r="P5802">
        <v>1</v>
      </c>
      <c r="Q5802" s="5">
        <f t="shared" si="270"/>
        <v>1680.6722689075632</v>
      </c>
      <c r="R5802" s="5">
        <f t="shared" si="271"/>
        <v>1</v>
      </c>
      <c r="S5802" s="5">
        <f t="shared" si="272"/>
        <v>1679.6722689075632</v>
      </c>
    </row>
    <row r="5803" spans="1:19" x14ac:dyDescent="0.3">
      <c r="A5803">
        <v>195</v>
      </c>
      <c r="B5803" t="s">
        <v>6142</v>
      </c>
      <c r="C5803" t="s">
        <v>1200</v>
      </c>
      <c r="D5803" s="2" t="s">
        <v>1201</v>
      </c>
      <c r="E5803" t="s">
        <v>938</v>
      </c>
      <c r="F5803" t="s">
        <v>20</v>
      </c>
      <c r="G5803" t="s">
        <v>21</v>
      </c>
      <c r="H5803" t="s">
        <v>317</v>
      </c>
      <c r="I5803" t="s">
        <v>23</v>
      </c>
      <c r="J5803" t="s">
        <v>35</v>
      </c>
      <c r="K5803" s="2" t="s">
        <v>1958</v>
      </c>
      <c r="L5803" t="s">
        <v>26</v>
      </c>
      <c r="M5803">
        <v>307828</v>
      </c>
      <c r="N5803">
        <v>1</v>
      </c>
      <c r="O5803" s="3">
        <v>69950</v>
      </c>
      <c r="P5803" s="3">
        <v>26288</v>
      </c>
      <c r="Q5803" s="5">
        <f t="shared" si="270"/>
        <v>58781.512605042022</v>
      </c>
      <c r="R5803" s="5">
        <f t="shared" si="271"/>
        <v>26288</v>
      </c>
      <c r="S5803" s="5">
        <f t="shared" si="272"/>
        <v>32493.512605042022</v>
      </c>
    </row>
    <row r="5804" spans="1:19" x14ac:dyDescent="0.3">
      <c r="A5804">
        <v>195</v>
      </c>
      <c r="B5804" t="s">
        <v>6142</v>
      </c>
      <c r="C5804" t="s">
        <v>6320</v>
      </c>
      <c r="D5804" s="2" t="s">
        <v>6321</v>
      </c>
      <c r="E5804" t="s">
        <v>4771</v>
      </c>
      <c r="F5804" t="s">
        <v>20</v>
      </c>
      <c r="G5804" t="s">
        <v>338</v>
      </c>
      <c r="H5804">
        <v>85200</v>
      </c>
      <c r="I5804" t="s">
        <v>23</v>
      </c>
      <c r="J5804" t="s">
        <v>35</v>
      </c>
      <c r="K5804" s="2" t="s">
        <v>1958</v>
      </c>
      <c r="L5804" t="s">
        <v>26</v>
      </c>
      <c r="M5804">
        <v>307829</v>
      </c>
      <c r="N5804">
        <v>1</v>
      </c>
      <c r="O5804" s="3">
        <v>89950</v>
      </c>
      <c r="P5804" s="3">
        <v>27253</v>
      </c>
      <c r="Q5804" s="5">
        <f t="shared" si="270"/>
        <v>75588.23529411765</v>
      </c>
      <c r="R5804" s="5">
        <f t="shared" si="271"/>
        <v>27253</v>
      </c>
      <c r="S5804" s="5">
        <f t="shared" si="272"/>
        <v>48335.23529411765</v>
      </c>
    </row>
    <row r="5805" spans="1:19" x14ac:dyDescent="0.3">
      <c r="A5805">
        <v>195</v>
      </c>
      <c r="B5805" t="s">
        <v>6142</v>
      </c>
      <c r="C5805" t="s">
        <v>6213</v>
      </c>
      <c r="D5805" s="2" t="s">
        <v>6214</v>
      </c>
      <c r="E5805" t="s">
        <v>6204</v>
      </c>
      <c r="F5805" t="s">
        <v>377</v>
      </c>
      <c r="G5805" t="s">
        <v>21</v>
      </c>
      <c r="H5805" t="s">
        <v>378</v>
      </c>
      <c r="I5805" t="s">
        <v>23</v>
      </c>
      <c r="J5805" t="s">
        <v>2459</v>
      </c>
      <c r="K5805" s="2" t="s">
        <v>2093</v>
      </c>
      <c r="L5805" t="s">
        <v>26</v>
      </c>
      <c r="M5805">
        <v>307830</v>
      </c>
      <c r="N5805">
        <v>1</v>
      </c>
      <c r="O5805" s="3">
        <v>5450</v>
      </c>
      <c r="P5805" s="3">
        <v>2249</v>
      </c>
      <c r="Q5805" s="5">
        <f t="shared" si="270"/>
        <v>4579.8319327731097</v>
      </c>
      <c r="R5805" s="5">
        <f t="shared" si="271"/>
        <v>2249</v>
      </c>
      <c r="S5805" s="5">
        <f t="shared" si="272"/>
        <v>2330.8319327731097</v>
      </c>
    </row>
    <row r="5806" spans="1:19" x14ac:dyDescent="0.3">
      <c r="A5806">
        <v>195</v>
      </c>
      <c r="B5806" t="s">
        <v>6142</v>
      </c>
      <c r="C5806" t="s">
        <v>2678</v>
      </c>
      <c r="D5806" s="2" t="s">
        <v>2679</v>
      </c>
      <c r="E5806" t="s">
        <v>2632</v>
      </c>
      <c r="F5806" t="s">
        <v>20</v>
      </c>
      <c r="G5806" t="s">
        <v>21</v>
      </c>
      <c r="H5806" t="s">
        <v>2469</v>
      </c>
      <c r="I5806" t="s">
        <v>23</v>
      </c>
      <c r="J5806" t="s">
        <v>49</v>
      </c>
      <c r="K5806" s="2" t="s">
        <v>2093</v>
      </c>
      <c r="L5806" t="s">
        <v>26</v>
      </c>
      <c r="M5806">
        <v>307831</v>
      </c>
      <c r="N5806">
        <v>1</v>
      </c>
      <c r="O5806" s="3">
        <v>64950</v>
      </c>
      <c r="P5806" s="3">
        <v>21368</v>
      </c>
      <c r="Q5806" s="5">
        <f t="shared" si="270"/>
        <v>54579.831932773115</v>
      </c>
      <c r="R5806" s="5">
        <f t="shared" si="271"/>
        <v>21368</v>
      </c>
      <c r="S5806" s="5">
        <f t="shared" si="272"/>
        <v>33211.831932773115</v>
      </c>
    </row>
    <row r="5807" spans="1:19" x14ac:dyDescent="0.3">
      <c r="A5807">
        <v>195</v>
      </c>
      <c r="B5807" t="s">
        <v>6142</v>
      </c>
      <c r="C5807" t="s">
        <v>4711</v>
      </c>
      <c r="D5807" s="2" t="s">
        <v>4712</v>
      </c>
      <c r="E5807" t="s">
        <v>2748</v>
      </c>
      <c r="F5807" t="s">
        <v>20</v>
      </c>
      <c r="G5807" t="s">
        <v>338</v>
      </c>
      <c r="H5807">
        <v>26266</v>
      </c>
      <c r="I5807" t="s">
        <v>23</v>
      </c>
      <c r="J5807" t="s">
        <v>35</v>
      </c>
      <c r="K5807" s="2" t="s">
        <v>2093</v>
      </c>
      <c r="L5807" t="s">
        <v>26</v>
      </c>
      <c r="M5807">
        <v>307832</v>
      </c>
      <c r="N5807">
        <v>1</v>
      </c>
      <c r="O5807" s="3">
        <v>79951</v>
      </c>
      <c r="P5807" s="3">
        <v>25300</v>
      </c>
      <c r="Q5807" s="5">
        <f t="shared" si="270"/>
        <v>67185.71428571429</v>
      </c>
      <c r="R5807" s="5">
        <f t="shared" si="271"/>
        <v>25300</v>
      </c>
      <c r="S5807" s="5">
        <f t="shared" si="272"/>
        <v>41885.71428571429</v>
      </c>
    </row>
    <row r="5808" spans="1:19" x14ac:dyDescent="0.3">
      <c r="A5808">
        <v>195</v>
      </c>
      <c r="B5808" t="s">
        <v>6142</v>
      </c>
      <c r="C5808" t="s">
        <v>2746</v>
      </c>
      <c r="D5808" s="2" t="s">
        <v>2747</v>
      </c>
      <c r="E5808" t="s">
        <v>2748</v>
      </c>
      <c r="F5808" t="s">
        <v>20</v>
      </c>
      <c r="G5808" t="s">
        <v>338</v>
      </c>
      <c r="H5808">
        <v>26266</v>
      </c>
      <c r="I5808" t="s">
        <v>23</v>
      </c>
      <c r="J5808" t="s">
        <v>35</v>
      </c>
      <c r="K5808" s="2" t="s">
        <v>2093</v>
      </c>
      <c r="L5808" t="s">
        <v>26</v>
      </c>
      <c r="M5808">
        <v>307832</v>
      </c>
      <c r="N5808">
        <v>-1</v>
      </c>
      <c r="O5808" s="3">
        <v>-79950</v>
      </c>
      <c r="P5808" s="3">
        <v>25300</v>
      </c>
      <c r="Q5808" s="5">
        <f t="shared" si="270"/>
        <v>-67184.873949579836</v>
      </c>
      <c r="R5808" s="5">
        <f t="shared" si="271"/>
        <v>-25300</v>
      </c>
      <c r="S5808" s="5">
        <f t="shared" si="272"/>
        <v>-41884.873949579836</v>
      </c>
    </row>
    <row r="5809" spans="1:19" x14ac:dyDescent="0.3">
      <c r="A5809">
        <v>195</v>
      </c>
      <c r="B5809" t="s">
        <v>6142</v>
      </c>
      <c r="C5809" t="s">
        <v>4247</v>
      </c>
      <c r="D5809" s="2" t="s">
        <v>4248</v>
      </c>
      <c r="E5809" t="s">
        <v>4109</v>
      </c>
      <c r="F5809" t="s">
        <v>20</v>
      </c>
      <c r="G5809" t="s">
        <v>21</v>
      </c>
      <c r="H5809" t="s">
        <v>818</v>
      </c>
      <c r="I5809" t="s">
        <v>23</v>
      </c>
      <c r="J5809" t="s">
        <v>35</v>
      </c>
      <c r="K5809" s="2" t="s">
        <v>2093</v>
      </c>
      <c r="L5809" t="s">
        <v>26</v>
      </c>
      <c r="M5809">
        <v>307833</v>
      </c>
      <c r="N5809">
        <v>1</v>
      </c>
      <c r="O5809" s="3">
        <v>89950</v>
      </c>
      <c r="P5809" s="3">
        <v>33052</v>
      </c>
      <c r="Q5809" s="5">
        <f t="shared" si="270"/>
        <v>75588.23529411765</v>
      </c>
      <c r="R5809" s="5">
        <f t="shared" si="271"/>
        <v>33052</v>
      </c>
      <c r="S5809" s="5">
        <f t="shared" si="272"/>
        <v>42536.23529411765</v>
      </c>
    </row>
    <row r="5810" spans="1:19" x14ac:dyDescent="0.3">
      <c r="A5810">
        <v>195</v>
      </c>
      <c r="B5810" t="s">
        <v>6142</v>
      </c>
      <c r="C5810" t="s">
        <v>1037</v>
      </c>
      <c r="D5810" s="2" t="s">
        <v>1038</v>
      </c>
      <c r="E5810" t="s">
        <v>1039</v>
      </c>
      <c r="F5810" t="s">
        <v>377</v>
      </c>
      <c r="G5810" t="s">
        <v>21</v>
      </c>
      <c r="H5810" t="s">
        <v>378</v>
      </c>
      <c r="I5810" t="s">
        <v>23</v>
      </c>
      <c r="J5810" t="s">
        <v>379</v>
      </c>
      <c r="K5810" s="2" t="s">
        <v>2093</v>
      </c>
      <c r="L5810" t="s">
        <v>26</v>
      </c>
      <c r="M5810">
        <v>307834</v>
      </c>
      <c r="N5810">
        <v>1</v>
      </c>
      <c r="O5810" s="3">
        <v>5950</v>
      </c>
      <c r="P5810" s="3">
        <v>3257</v>
      </c>
      <c r="Q5810" s="5">
        <f t="shared" si="270"/>
        <v>5000</v>
      </c>
      <c r="R5810" s="5">
        <f t="shared" si="271"/>
        <v>3257</v>
      </c>
      <c r="S5810" s="5">
        <f t="shared" si="272"/>
        <v>1743</v>
      </c>
    </row>
    <row r="5811" spans="1:19" x14ac:dyDescent="0.3">
      <c r="A5811">
        <v>195</v>
      </c>
      <c r="B5811" t="s">
        <v>6142</v>
      </c>
      <c r="C5811" t="s">
        <v>3947</v>
      </c>
      <c r="D5811" s="2" t="s">
        <v>3948</v>
      </c>
      <c r="E5811" t="s">
        <v>2428</v>
      </c>
      <c r="F5811" t="s">
        <v>20</v>
      </c>
      <c r="G5811" t="s">
        <v>21</v>
      </c>
      <c r="H5811" t="s">
        <v>2315</v>
      </c>
      <c r="I5811" t="s">
        <v>23</v>
      </c>
      <c r="J5811" t="s">
        <v>35</v>
      </c>
      <c r="K5811" s="2" t="s">
        <v>2093</v>
      </c>
      <c r="L5811" t="s">
        <v>26</v>
      </c>
      <c r="M5811">
        <v>307835</v>
      </c>
      <c r="N5811">
        <v>1</v>
      </c>
      <c r="O5811" s="3">
        <v>89950</v>
      </c>
      <c r="P5811" s="3">
        <v>30749</v>
      </c>
      <c r="Q5811" s="5">
        <f t="shared" si="270"/>
        <v>75588.23529411765</v>
      </c>
      <c r="R5811" s="5">
        <f t="shared" si="271"/>
        <v>30749</v>
      </c>
      <c r="S5811" s="5">
        <f t="shared" si="272"/>
        <v>44839.23529411765</v>
      </c>
    </row>
    <row r="5812" spans="1:19" x14ac:dyDescent="0.3">
      <c r="A5812">
        <v>195</v>
      </c>
      <c r="B5812" t="s">
        <v>6142</v>
      </c>
      <c r="C5812" t="s">
        <v>1761</v>
      </c>
      <c r="D5812" s="2" t="s">
        <v>1762</v>
      </c>
      <c r="E5812" t="s">
        <v>1763</v>
      </c>
      <c r="F5812" t="s">
        <v>377</v>
      </c>
      <c r="G5812" t="s">
        <v>21</v>
      </c>
      <c r="H5812" t="s">
        <v>378</v>
      </c>
      <c r="I5812" t="s">
        <v>23</v>
      </c>
      <c r="J5812" t="s">
        <v>379</v>
      </c>
      <c r="K5812" s="2" t="s">
        <v>2093</v>
      </c>
      <c r="L5812" t="s">
        <v>26</v>
      </c>
      <c r="M5812">
        <v>307836</v>
      </c>
      <c r="N5812">
        <v>1</v>
      </c>
      <c r="O5812" s="3">
        <v>5950</v>
      </c>
      <c r="P5812" s="3">
        <v>3279</v>
      </c>
      <c r="Q5812" s="5">
        <f t="shared" si="270"/>
        <v>5000</v>
      </c>
      <c r="R5812" s="5">
        <f t="shared" si="271"/>
        <v>3279</v>
      </c>
      <c r="S5812" s="5">
        <f t="shared" si="272"/>
        <v>1721</v>
      </c>
    </row>
    <row r="5813" spans="1:19" x14ac:dyDescent="0.3">
      <c r="A5813">
        <v>195</v>
      </c>
      <c r="B5813" t="s">
        <v>6142</v>
      </c>
      <c r="C5813" t="s">
        <v>2625</v>
      </c>
      <c r="D5813" s="2" t="s">
        <v>2626</v>
      </c>
      <c r="E5813" t="s">
        <v>2539</v>
      </c>
      <c r="F5813" t="s">
        <v>20</v>
      </c>
      <c r="G5813" t="s">
        <v>21</v>
      </c>
      <c r="H5813" t="s">
        <v>966</v>
      </c>
      <c r="I5813" t="s">
        <v>23</v>
      </c>
      <c r="J5813" t="s">
        <v>35</v>
      </c>
      <c r="K5813" s="2" t="s">
        <v>2093</v>
      </c>
      <c r="L5813" t="s">
        <v>26</v>
      </c>
      <c r="M5813">
        <v>307837</v>
      </c>
      <c r="N5813">
        <v>1</v>
      </c>
      <c r="O5813" s="3">
        <v>74950</v>
      </c>
      <c r="P5813" s="3">
        <v>27026</v>
      </c>
      <c r="Q5813" s="5">
        <f t="shared" si="270"/>
        <v>62983.193277310929</v>
      </c>
      <c r="R5813" s="5">
        <f t="shared" si="271"/>
        <v>27026</v>
      </c>
      <c r="S5813" s="5">
        <f t="shared" si="272"/>
        <v>35957.193277310929</v>
      </c>
    </row>
    <row r="5814" spans="1:19" x14ac:dyDescent="0.3">
      <c r="A5814">
        <v>195</v>
      </c>
      <c r="B5814" t="s">
        <v>6142</v>
      </c>
      <c r="C5814" t="s">
        <v>2760</v>
      </c>
      <c r="D5814" s="2" t="s">
        <v>2761</v>
      </c>
      <c r="E5814" t="s">
        <v>1443</v>
      </c>
      <c r="F5814" t="s">
        <v>20</v>
      </c>
      <c r="G5814" t="s">
        <v>338</v>
      </c>
      <c r="H5814">
        <v>25301</v>
      </c>
      <c r="I5814" t="s">
        <v>23</v>
      </c>
      <c r="J5814" t="s">
        <v>35</v>
      </c>
      <c r="K5814" s="2" t="s">
        <v>2093</v>
      </c>
      <c r="L5814" t="s">
        <v>26</v>
      </c>
      <c r="M5814">
        <v>307838</v>
      </c>
      <c r="N5814">
        <v>1</v>
      </c>
      <c r="O5814" s="3">
        <v>99950</v>
      </c>
      <c r="P5814" s="3">
        <v>34157</v>
      </c>
      <c r="Q5814" s="5">
        <f t="shared" si="270"/>
        <v>83991.596638655465</v>
      </c>
      <c r="R5814" s="5">
        <f t="shared" si="271"/>
        <v>34157</v>
      </c>
      <c r="S5814" s="5">
        <f t="shared" si="272"/>
        <v>49834.596638655465</v>
      </c>
    </row>
    <row r="5815" spans="1:19" x14ac:dyDescent="0.3">
      <c r="A5815">
        <v>195</v>
      </c>
      <c r="B5815" t="s">
        <v>6142</v>
      </c>
      <c r="C5815" t="s">
        <v>1101</v>
      </c>
      <c r="D5815" s="2" t="s">
        <v>1102</v>
      </c>
      <c r="E5815" t="s">
        <v>477</v>
      </c>
      <c r="F5815" t="s">
        <v>20</v>
      </c>
      <c r="G5815" t="s">
        <v>21</v>
      </c>
      <c r="H5815" t="s">
        <v>48</v>
      </c>
      <c r="I5815" t="s">
        <v>23</v>
      </c>
      <c r="J5815" t="s">
        <v>35</v>
      </c>
      <c r="K5815" s="2" t="s">
        <v>2093</v>
      </c>
      <c r="L5815" t="s">
        <v>26</v>
      </c>
      <c r="M5815">
        <v>307839</v>
      </c>
      <c r="N5815">
        <v>1</v>
      </c>
      <c r="O5815" s="3">
        <v>49990</v>
      </c>
      <c r="P5815" s="3">
        <v>28974</v>
      </c>
      <c r="Q5815" s="5">
        <f t="shared" si="270"/>
        <v>42008.403361344543</v>
      </c>
      <c r="R5815" s="5">
        <f t="shared" si="271"/>
        <v>28974</v>
      </c>
      <c r="S5815" s="5">
        <f t="shared" si="272"/>
        <v>13034.403361344543</v>
      </c>
    </row>
    <row r="5816" spans="1:19" x14ac:dyDescent="0.3">
      <c r="A5816">
        <v>195</v>
      </c>
      <c r="B5816" t="s">
        <v>6142</v>
      </c>
      <c r="C5816">
        <v>1687976791</v>
      </c>
      <c r="D5816" s="2" t="s">
        <v>200</v>
      </c>
      <c r="E5816" t="s">
        <v>201</v>
      </c>
      <c r="F5816" t="s">
        <v>201</v>
      </c>
      <c r="G5816" t="s">
        <v>202</v>
      </c>
      <c r="H5816" t="s">
        <v>202</v>
      </c>
      <c r="I5816" t="s">
        <v>23</v>
      </c>
      <c r="J5816" t="s">
        <v>202</v>
      </c>
      <c r="K5816" s="2" t="s">
        <v>2093</v>
      </c>
      <c r="L5816" t="s">
        <v>26</v>
      </c>
      <c r="M5816">
        <v>307839</v>
      </c>
      <c r="N5816">
        <v>1</v>
      </c>
      <c r="O5816">
        <v>1</v>
      </c>
      <c r="P5816">
        <v>1</v>
      </c>
      <c r="Q5816" s="5">
        <f t="shared" si="270"/>
        <v>0.84033613445378152</v>
      </c>
      <c r="R5816" s="5">
        <f t="shared" si="271"/>
        <v>1</v>
      </c>
      <c r="S5816" s="5">
        <f t="shared" si="272"/>
        <v>-0.15966386554621848</v>
      </c>
    </row>
    <row r="5817" spans="1:19" x14ac:dyDescent="0.3">
      <c r="A5817">
        <v>195</v>
      </c>
      <c r="B5817" t="s">
        <v>6142</v>
      </c>
      <c r="C5817" t="s">
        <v>6179</v>
      </c>
      <c r="D5817" s="2" t="s">
        <v>6180</v>
      </c>
      <c r="E5817" t="s">
        <v>3195</v>
      </c>
      <c r="F5817" t="s">
        <v>20</v>
      </c>
      <c r="G5817" t="s">
        <v>338</v>
      </c>
      <c r="H5817">
        <v>25366</v>
      </c>
      <c r="I5817" t="s">
        <v>23</v>
      </c>
      <c r="J5817" t="s">
        <v>35</v>
      </c>
      <c r="K5817" s="2" t="s">
        <v>2093</v>
      </c>
      <c r="L5817" t="s">
        <v>26</v>
      </c>
      <c r="M5817">
        <v>307840</v>
      </c>
      <c r="N5817">
        <v>1</v>
      </c>
      <c r="O5817" s="3">
        <v>99950</v>
      </c>
      <c r="P5817" s="3">
        <v>33157</v>
      </c>
      <c r="Q5817" s="5">
        <f t="shared" si="270"/>
        <v>83991.596638655465</v>
      </c>
      <c r="R5817" s="5">
        <f t="shared" si="271"/>
        <v>33157</v>
      </c>
      <c r="S5817" s="5">
        <f t="shared" si="272"/>
        <v>50834.596638655465</v>
      </c>
    </row>
    <row r="5818" spans="1:19" x14ac:dyDescent="0.3">
      <c r="A5818">
        <v>195</v>
      </c>
      <c r="B5818" t="s">
        <v>6142</v>
      </c>
      <c r="C5818" t="s">
        <v>6202</v>
      </c>
      <c r="D5818" s="2" t="s">
        <v>6203</v>
      </c>
      <c r="E5818" t="s">
        <v>6204</v>
      </c>
      <c r="F5818" t="s">
        <v>377</v>
      </c>
      <c r="G5818" t="s">
        <v>21</v>
      </c>
      <c r="H5818" t="s">
        <v>378</v>
      </c>
      <c r="I5818" t="s">
        <v>23</v>
      </c>
      <c r="J5818" t="s">
        <v>2459</v>
      </c>
      <c r="K5818" s="2" t="s">
        <v>2149</v>
      </c>
      <c r="L5818" t="s">
        <v>26</v>
      </c>
      <c r="M5818">
        <v>307841</v>
      </c>
      <c r="N5818">
        <v>1</v>
      </c>
      <c r="O5818" s="3">
        <v>5450</v>
      </c>
      <c r="P5818" s="3">
        <v>2249</v>
      </c>
      <c r="Q5818" s="5">
        <f t="shared" si="270"/>
        <v>4579.8319327731097</v>
      </c>
      <c r="R5818" s="5">
        <f t="shared" si="271"/>
        <v>2249</v>
      </c>
      <c r="S5818" s="5">
        <f t="shared" si="272"/>
        <v>2330.8319327731097</v>
      </c>
    </row>
    <row r="5819" spans="1:19" x14ac:dyDescent="0.3">
      <c r="A5819">
        <v>195</v>
      </c>
      <c r="B5819" t="s">
        <v>6142</v>
      </c>
      <c r="C5819" t="s">
        <v>1507</v>
      </c>
      <c r="D5819" s="2" t="s">
        <v>1508</v>
      </c>
      <c r="E5819" t="s">
        <v>425</v>
      </c>
      <c r="F5819" t="s">
        <v>20</v>
      </c>
      <c r="G5819" t="s">
        <v>21</v>
      </c>
      <c r="H5819" t="s">
        <v>22</v>
      </c>
      <c r="I5819" t="s">
        <v>23</v>
      </c>
      <c r="J5819" t="s">
        <v>24</v>
      </c>
      <c r="K5819" s="2" t="s">
        <v>2149</v>
      </c>
      <c r="L5819" t="s">
        <v>26</v>
      </c>
      <c r="M5819">
        <v>307842</v>
      </c>
      <c r="N5819">
        <v>1</v>
      </c>
      <c r="O5819" s="3">
        <v>79950</v>
      </c>
      <c r="P5819" s="3">
        <v>27778</v>
      </c>
      <c r="Q5819" s="5">
        <f t="shared" si="270"/>
        <v>67184.873949579836</v>
      </c>
      <c r="R5819" s="5">
        <f t="shared" si="271"/>
        <v>27778</v>
      </c>
      <c r="S5819" s="5">
        <f t="shared" si="272"/>
        <v>39406.873949579836</v>
      </c>
    </row>
    <row r="5820" spans="1:19" x14ac:dyDescent="0.3">
      <c r="A5820">
        <v>195</v>
      </c>
      <c r="B5820" t="s">
        <v>6142</v>
      </c>
      <c r="C5820" t="s">
        <v>3661</v>
      </c>
      <c r="D5820" s="2" t="s">
        <v>3662</v>
      </c>
      <c r="E5820" t="s">
        <v>3663</v>
      </c>
      <c r="F5820" t="s">
        <v>377</v>
      </c>
      <c r="G5820" t="s">
        <v>21</v>
      </c>
      <c r="H5820" t="s">
        <v>378</v>
      </c>
      <c r="I5820" t="s">
        <v>23</v>
      </c>
      <c r="J5820" t="s">
        <v>2459</v>
      </c>
      <c r="K5820" s="2" t="s">
        <v>2149</v>
      </c>
      <c r="L5820" t="s">
        <v>26</v>
      </c>
      <c r="M5820">
        <v>307842</v>
      </c>
      <c r="N5820">
        <v>1</v>
      </c>
      <c r="O5820" s="3">
        <v>3950</v>
      </c>
      <c r="P5820" s="3">
        <v>2224</v>
      </c>
      <c r="Q5820" s="5">
        <f t="shared" si="270"/>
        <v>3319.3277310924373</v>
      </c>
      <c r="R5820" s="5">
        <f t="shared" si="271"/>
        <v>2224</v>
      </c>
      <c r="S5820" s="5">
        <f t="shared" si="272"/>
        <v>1095.3277310924373</v>
      </c>
    </row>
    <row r="5821" spans="1:19" x14ac:dyDescent="0.3">
      <c r="A5821">
        <v>195</v>
      </c>
      <c r="B5821" t="s">
        <v>6142</v>
      </c>
      <c r="C5821" t="s">
        <v>2365</v>
      </c>
      <c r="D5821" s="2" t="s">
        <v>2366</v>
      </c>
      <c r="E5821" t="s">
        <v>2367</v>
      </c>
      <c r="F5821" t="s">
        <v>377</v>
      </c>
      <c r="G5821" t="s">
        <v>21</v>
      </c>
      <c r="H5821" t="s">
        <v>378</v>
      </c>
      <c r="I5821" t="s">
        <v>23</v>
      </c>
      <c r="J5821" t="s">
        <v>379</v>
      </c>
      <c r="K5821" s="2" t="s">
        <v>2149</v>
      </c>
      <c r="L5821" t="s">
        <v>26</v>
      </c>
      <c r="M5821">
        <v>307842</v>
      </c>
      <c r="N5821">
        <v>1</v>
      </c>
      <c r="O5821" s="3">
        <v>6950</v>
      </c>
      <c r="P5821" s="3">
        <v>3759</v>
      </c>
      <c r="Q5821" s="5">
        <f t="shared" si="270"/>
        <v>5840.3361344537816</v>
      </c>
      <c r="R5821" s="5">
        <f t="shared" si="271"/>
        <v>3759</v>
      </c>
      <c r="S5821" s="5">
        <f t="shared" si="272"/>
        <v>2081.3361344537816</v>
      </c>
    </row>
    <row r="5822" spans="1:19" x14ac:dyDescent="0.3">
      <c r="A5822">
        <v>195</v>
      </c>
      <c r="B5822" t="s">
        <v>6142</v>
      </c>
      <c r="C5822">
        <v>1687976791</v>
      </c>
      <c r="D5822" s="2" t="s">
        <v>200</v>
      </c>
      <c r="E5822" t="s">
        <v>201</v>
      </c>
      <c r="F5822" t="s">
        <v>201</v>
      </c>
      <c r="G5822" t="s">
        <v>202</v>
      </c>
      <c r="H5822" t="s">
        <v>202</v>
      </c>
      <c r="I5822" t="s">
        <v>23</v>
      </c>
      <c r="J5822" t="s">
        <v>202</v>
      </c>
      <c r="K5822" s="2" t="s">
        <v>2149</v>
      </c>
      <c r="L5822" t="s">
        <v>26</v>
      </c>
      <c r="M5822">
        <v>307843</v>
      </c>
      <c r="N5822">
        <v>1</v>
      </c>
      <c r="O5822" s="3">
        <v>5813</v>
      </c>
      <c r="P5822">
        <v>1</v>
      </c>
      <c r="Q5822" s="5">
        <f t="shared" si="270"/>
        <v>4884.8739495798318</v>
      </c>
      <c r="R5822" s="5">
        <f t="shared" si="271"/>
        <v>1</v>
      </c>
      <c r="S5822" s="5">
        <f t="shared" si="272"/>
        <v>4883.8739495798318</v>
      </c>
    </row>
    <row r="5823" spans="1:19" x14ac:dyDescent="0.3">
      <c r="A5823">
        <v>195</v>
      </c>
      <c r="B5823" t="s">
        <v>6142</v>
      </c>
      <c r="C5823" t="s">
        <v>4067</v>
      </c>
      <c r="D5823" s="2" t="s">
        <v>4068</v>
      </c>
      <c r="E5823" t="s">
        <v>3323</v>
      </c>
      <c r="F5823" t="s">
        <v>20</v>
      </c>
      <c r="G5823" t="s">
        <v>21</v>
      </c>
      <c r="H5823" t="s">
        <v>625</v>
      </c>
      <c r="I5823" t="s">
        <v>23</v>
      </c>
      <c r="J5823" t="s">
        <v>35</v>
      </c>
      <c r="K5823" s="2" t="s">
        <v>2149</v>
      </c>
      <c r="L5823" t="s">
        <v>26</v>
      </c>
      <c r="M5823">
        <v>307843</v>
      </c>
      <c r="N5823">
        <v>1</v>
      </c>
      <c r="O5823" s="3">
        <v>49990</v>
      </c>
      <c r="P5823" s="3">
        <v>24956</v>
      </c>
      <c r="Q5823" s="5">
        <f t="shared" si="270"/>
        <v>42008.403361344543</v>
      </c>
      <c r="R5823" s="5">
        <f t="shared" si="271"/>
        <v>24956</v>
      </c>
      <c r="S5823" s="5">
        <f t="shared" si="272"/>
        <v>17052.403361344543</v>
      </c>
    </row>
    <row r="5824" spans="1:19" x14ac:dyDescent="0.3">
      <c r="A5824">
        <v>195</v>
      </c>
      <c r="B5824" t="s">
        <v>6142</v>
      </c>
      <c r="C5824" t="s">
        <v>5883</v>
      </c>
      <c r="D5824" s="2" t="s">
        <v>5884</v>
      </c>
      <c r="E5824" t="s">
        <v>4301</v>
      </c>
      <c r="F5824" t="s">
        <v>20</v>
      </c>
      <c r="G5824" t="s">
        <v>21</v>
      </c>
      <c r="H5824" t="s">
        <v>3309</v>
      </c>
      <c r="I5824" t="s">
        <v>23</v>
      </c>
      <c r="J5824" t="s">
        <v>40</v>
      </c>
      <c r="K5824" s="2" t="s">
        <v>2149</v>
      </c>
      <c r="L5824" t="s">
        <v>26</v>
      </c>
      <c r="M5824">
        <v>307844</v>
      </c>
      <c r="N5824">
        <v>1</v>
      </c>
      <c r="O5824" s="3">
        <v>64950</v>
      </c>
      <c r="P5824" s="3">
        <v>21130</v>
      </c>
      <c r="Q5824" s="5">
        <f t="shared" si="270"/>
        <v>54579.831932773115</v>
      </c>
      <c r="R5824" s="5">
        <f t="shared" si="271"/>
        <v>21130</v>
      </c>
      <c r="S5824" s="5">
        <f t="shared" si="272"/>
        <v>33449.831932773115</v>
      </c>
    </row>
    <row r="5825" spans="1:19" x14ac:dyDescent="0.3">
      <c r="A5825">
        <v>195</v>
      </c>
      <c r="B5825" t="s">
        <v>6142</v>
      </c>
      <c r="C5825" t="s">
        <v>6009</v>
      </c>
      <c r="D5825" s="2" t="s">
        <v>6010</v>
      </c>
      <c r="E5825" t="s">
        <v>5158</v>
      </c>
      <c r="F5825" t="s">
        <v>20</v>
      </c>
      <c r="G5825" t="s">
        <v>21</v>
      </c>
      <c r="H5825" t="s">
        <v>2353</v>
      </c>
      <c r="I5825" t="s">
        <v>23</v>
      </c>
      <c r="J5825" t="s">
        <v>40</v>
      </c>
      <c r="K5825" s="2" t="s">
        <v>2149</v>
      </c>
      <c r="L5825" t="s">
        <v>26</v>
      </c>
      <c r="M5825">
        <v>307845</v>
      </c>
      <c r="N5825">
        <v>1</v>
      </c>
      <c r="O5825" s="3">
        <v>69990</v>
      </c>
      <c r="P5825" s="3">
        <v>31432</v>
      </c>
      <c r="Q5825" s="5">
        <f t="shared" si="270"/>
        <v>58815.126050420171</v>
      </c>
      <c r="R5825" s="5">
        <f t="shared" si="271"/>
        <v>31432</v>
      </c>
      <c r="S5825" s="5">
        <f t="shared" si="272"/>
        <v>27383.126050420171</v>
      </c>
    </row>
    <row r="5826" spans="1:19" x14ac:dyDescent="0.3">
      <c r="A5826">
        <v>195</v>
      </c>
      <c r="B5826" t="s">
        <v>6142</v>
      </c>
      <c r="C5826" t="s">
        <v>6187</v>
      </c>
      <c r="D5826" s="2" t="s">
        <v>6188</v>
      </c>
      <c r="E5826" t="s">
        <v>93</v>
      </c>
      <c r="F5826" t="s">
        <v>20</v>
      </c>
      <c r="G5826" t="s">
        <v>21</v>
      </c>
      <c r="H5826" t="s">
        <v>94</v>
      </c>
      <c r="I5826" t="s">
        <v>23</v>
      </c>
      <c r="J5826" t="s">
        <v>95</v>
      </c>
      <c r="K5826" s="2" t="s">
        <v>2149</v>
      </c>
      <c r="L5826" t="s">
        <v>26</v>
      </c>
      <c r="M5826">
        <v>307846</v>
      </c>
      <c r="N5826">
        <v>1</v>
      </c>
      <c r="O5826" s="3">
        <v>49991</v>
      </c>
      <c r="P5826" s="3">
        <v>33414</v>
      </c>
      <c r="Q5826" s="5">
        <f t="shared" si="270"/>
        <v>42009.243697478996</v>
      </c>
      <c r="R5826" s="5">
        <f t="shared" si="271"/>
        <v>33414</v>
      </c>
      <c r="S5826" s="5">
        <f t="shared" si="272"/>
        <v>8595.2436974789962</v>
      </c>
    </row>
    <row r="5827" spans="1:19" x14ac:dyDescent="0.3">
      <c r="A5827">
        <v>195</v>
      </c>
      <c r="B5827" t="s">
        <v>6142</v>
      </c>
      <c r="C5827" t="s">
        <v>91</v>
      </c>
      <c r="D5827" s="2" t="s">
        <v>92</v>
      </c>
      <c r="E5827" t="s">
        <v>93</v>
      </c>
      <c r="F5827" t="s">
        <v>20</v>
      </c>
      <c r="G5827" t="s">
        <v>21</v>
      </c>
      <c r="H5827" t="s">
        <v>94</v>
      </c>
      <c r="I5827" t="s">
        <v>23</v>
      </c>
      <c r="J5827" t="s">
        <v>95</v>
      </c>
      <c r="K5827" s="2" t="s">
        <v>2149</v>
      </c>
      <c r="L5827" t="s">
        <v>26</v>
      </c>
      <c r="M5827">
        <v>307846</v>
      </c>
      <c r="N5827">
        <v>-1</v>
      </c>
      <c r="O5827" s="3">
        <v>-49990</v>
      </c>
      <c r="P5827" s="3">
        <v>33414</v>
      </c>
      <c r="Q5827" s="5">
        <f t="shared" si="270"/>
        <v>-42008.403361344543</v>
      </c>
      <c r="R5827" s="5">
        <f t="shared" si="271"/>
        <v>-33414</v>
      </c>
      <c r="S5827" s="5">
        <f t="shared" si="272"/>
        <v>-8594.4033613445426</v>
      </c>
    </row>
    <row r="5828" spans="1:19" x14ac:dyDescent="0.3">
      <c r="A5828">
        <v>195</v>
      </c>
      <c r="B5828" t="s">
        <v>6142</v>
      </c>
      <c r="C5828" t="s">
        <v>6322</v>
      </c>
      <c r="D5828" s="2" t="s">
        <v>6323</v>
      </c>
      <c r="E5828" t="s">
        <v>4796</v>
      </c>
      <c r="F5828" t="s">
        <v>20</v>
      </c>
      <c r="G5828" t="s">
        <v>338</v>
      </c>
      <c r="H5828">
        <v>85411</v>
      </c>
      <c r="I5828" t="s">
        <v>23</v>
      </c>
      <c r="J5828" t="s">
        <v>35</v>
      </c>
      <c r="K5828" s="2" t="s">
        <v>2149</v>
      </c>
      <c r="L5828" t="s">
        <v>26</v>
      </c>
      <c r="M5828">
        <v>307847</v>
      </c>
      <c r="N5828">
        <v>1</v>
      </c>
      <c r="O5828" s="3">
        <v>119950</v>
      </c>
      <c r="P5828" s="3">
        <v>36428</v>
      </c>
      <c r="Q5828" s="5">
        <f t="shared" si="270"/>
        <v>100798.31932773109</v>
      </c>
      <c r="R5828" s="5">
        <f t="shared" si="271"/>
        <v>36428</v>
      </c>
      <c r="S5828" s="5">
        <f t="shared" si="272"/>
        <v>64370.319327731093</v>
      </c>
    </row>
    <row r="5829" spans="1:19" x14ac:dyDescent="0.3">
      <c r="A5829">
        <v>195</v>
      </c>
      <c r="B5829" t="s">
        <v>6142</v>
      </c>
      <c r="C5829" t="s">
        <v>1037</v>
      </c>
      <c r="D5829" s="2" t="s">
        <v>1038</v>
      </c>
      <c r="E5829" t="s">
        <v>1039</v>
      </c>
      <c r="F5829" t="s">
        <v>377</v>
      </c>
      <c r="G5829" t="s">
        <v>21</v>
      </c>
      <c r="H5829" t="s">
        <v>378</v>
      </c>
      <c r="I5829" t="s">
        <v>23</v>
      </c>
      <c r="J5829" t="s">
        <v>379</v>
      </c>
      <c r="K5829" s="2" t="s">
        <v>2149</v>
      </c>
      <c r="L5829" t="s">
        <v>26</v>
      </c>
      <c r="M5829">
        <v>307848</v>
      </c>
      <c r="N5829">
        <v>1</v>
      </c>
      <c r="O5829" s="3">
        <v>5950</v>
      </c>
      <c r="P5829" s="3">
        <v>3257</v>
      </c>
      <c r="Q5829" s="5">
        <f t="shared" si="270"/>
        <v>5000</v>
      </c>
      <c r="R5829" s="5">
        <f t="shared" si="271"/>
        <v>3257</v>
      </c>
      <c r="S5829" s="5">
        <f t="shared" si="272"/>
        <v>1743</v>
      </c>
    </row>
    <row r="5830" spans="1:19" x14ac:dyDescent="0.3">
      <c r="A5830">
        <v>195</v>
      </c>
      <c r="B5830" t="s">
        <v>6142</v>
      </c>
      <c r="C5830" t="s">
        <v>6213</v>
      </c>
      <c r="D5830" s="2" t="s">
        <v>6214</v>
      </c>
      <c r="E5830" t="s">
        <v>6204</v>
      </c>
      <c r="F5830" t="s">
        <v>377</v>
      </c>
      <c r="G5830" t="s">
        <v>21</v>
      </c>
      <c r="H5830" t="s">
        <v>378</v>
      </c>
      <c r="I5830" t="s">
        <v>23</v>
      </c>
      <c r="J5830" t="s">
        <v>2459</v>
      </c>
      <c r="K5830" s="2" t="s">
        <v>2149</v>
      </c>
      <c r="L5830" t="s">
        <v>26</v>
      </c>
      <c r="M5830">
        <v>307848</v>
      </c>
      <c r="N5830">
        <v>-1</v>
      </c>
      <c r="O5830" s="3">
        <v>-5450</v>
      </c>
      <c r="P5830" s="3">
        <v>2249</v>
      </c>
      <c r="Q5830" s="5">
        <f t="shared" ref="Q5830:Q5893" si="273">O5830/1.19</f>
        <v>-4579.8319327731097</v>
      </c>
      <c r="R5830" s="5">
        <f t="shared" ref="R5830:R5893" si="274">N5830*P5830</f>
        <v>-2249</v>
      </c>
      <c r="S5830" s="5">
        <f t="shared" ref="S5830:S5893" si="275">Q5830-R5830</f>
        <v>-2330.8319327731097</v>
      </c>
    </row>
    <row r="5831" spans="1:19" x14ac:dyDescent="0.3">
      <c r="A5831">
        <v>195</v>
      </c>
      <c r="B5831" t="s">
        <v>6142</v>
      </c>
      <c r="C5831" t="s">
        <v>6213</v>
      </c>
      <c r="D5831" s="2" t="s">
        <v>6214</v>
      </c>
      <c r="E5831" t="s">
        <v>6204</v>
      </c>
      <c r="F5831" t="s">
        <v>377</v>
      </c>
      <c r="G5831" t="s">
        <v>21</v>
      </c>
      <c r="H5831" t="s">
        <v>378</v>
      </c>
      <c r="I5831" t="s">
        <v>23</v>
      </c>
      <c r="J5831" t="s">
        <v>2459</v>
      </c>
      <c r="K5831" s="2" t="s">
        <v>2149</v>
      </c>
      <c r="L5831" t="s">
        <v>26</v>
      </c>
      <c r="M5831">
        <v>307849</v>
      </c>
      <c r="N5831">
        <v>1</v>
      </c>
      <c r="O5831" s="3">
        <v>5450</v>
      </c>
      <c r="P5831" s="3">
        <v>2249</v>
      </c>
      <c r="Q5831" s="5">
        <f t="shared" si="273"/>
        <v>4579.8319327731097</v>
      </c>
      <c r="R5831" s="5">
        <f t="shared" si="274"/>
        <v>2249</v>
      </c>
      <c r="S5831" s="5">
        <f t="shared" si="275"/>
        <v>2330.8319327731097</v>
      </c>
    </row>
    <row r="5832" spans="1:19" x14ac:dyDescent="0.3">
      <c r="A5832">
        <v>195</v>
      </c>
      <c r="B5832" t="s">
        <v>6142</v>
      </c>
      <c r="C5832" t="s">
        <v>3321</v>
      </c>
      <c r="D5832" s="2" t="s">
        <v>3322</v>
      </c>
      <c r="E5832" t="s">
        <v>3323</v>
      </c>
      <c r="F5832" t="s">
        <v>20</v>
      </c>
      <c r="G5832" t="s">
        <v>21</v>
      </c>
      <c r="H5832" t="s">
        <v>625</v>
      </c>
      <c r="I5832" t="s">
        <v>23</v>
      </c>
      <c r="J5832" t="s">
        <v>35</v>
      </c>
      <c r="K5832" s="2" t="s">
        <v>2149</v>
      </c>
      <c r="L5832" t="s">
        <v>26</v>
      </c>
      <c r="M5832">
        <v>307850</v>
      </c>
      <c r="N5832">
        <v>1</v>
      </c>
      <c r="O5832" s="3">
        <v>49990</v>
      </c>
      <c r="P5832" s="3">
        <v>24956</v>
      </c>
      <c r="Q5832" s="5">
        <f t="shared" si="273"/>
        <v>42008.403361344543</v>
      </c>
      <c r="R5832" s="5">
        <f t="shared" si="274"/>
        <v>24956</v>
      </c>
      <c r="S5832" s="5">
        <f t="shared" si="275"/>
        <v>17052.403361344543</v>
      </c>
    </row>
    <row r="5833" spans="1:19" x14ac:dyDescent="0.3">
      <c r="A5833">
        <v>195</v>
      </c>
      <c r="B5833" t="s">
        <v>6142</v>
      </c>
      <c r="C5833" t="s">
        <v>952</v>
      </c>
      <c r="D5833" s="2" t="s">
        <v>953</v>
      </c>
      <c r="E5833" t="s">
        <v>954</v>
      </c>
      <c r="F5833" t="s">
        <v>20</v>
      </c>
      <c r="G5833" t="s">
        <v>21</v>
      </c>
      <c r="H5833" t="s">
        <v>557</v>
      </c>
      <c r="I5833" t="s">
        <v>23</v>
      </c>
      <c r="J5833" t="s">
        <v>40</v>
      </c>
      <c r="K5833" s="2" t="s">
        <v>2149</v>
      </c>
      <c r="L5833" t="s">
        <v>26</v>
      </c>
      <c r="M5833">
        <v>307851</v>
      </c>
      <c r="N5833">
        <v>1</v>
      </c>
      <c r="O5833" s="3">
        <v>59960</v>
      </c>
      <c r="P5833" s="3">
        <v>26779</v>
      </c>
      <c r="Q5833" s="5">
        <f t="shared" si="273"/>
        <v>50386.554621848743</v>
      </c>
      <c r="R5833" s="5">
        <f t="shared" si="274"/>
        <v>26779</v>
      </c>
      <c r="S5833" s="5">
        <f t="shared" si="275"/>
        <v>23607.554621848743</v>
      </c>
    </row>
    <row r="5834" spans="1:19" x14ac:dyDescent="0.3">
      <c r="A5834">
        <v>195</v>
      </c>
      <c r="B5834" t="s">
        <v>6142</v>
      </c>
      <c r="C5834" t="s">
        <v>6324</v>
      </c>
      <c r="D5834" s="2" t="s">
        <v>6325</v>
      </c>
      <c r="E5834" t="s">
        <v>3630</v>
      </c>
      <c r="F5834" t="s">
        <v>20</v>
      </c>
      <c r="G5834" t="s">
        <v>21</v>
      </c>
      <c r="H5834" t="s">
        <v>1689</v>
      </c>
      <c r="I5834" t="s">
        <v>23</v>
      </c>
      <c r="J5834" t="s">
        <v>49</v>
      </c>
      <c r="K5834" s="2" t="s">
        <v>2149</v>
      </c>
      <c r="L5834" t="s">
        <v>26</v>
      </c>
      <c r="M5834">
        <v>307851</v>
      </c>
      <c r="N5834">
        <v>1</v>
      </c>
      <c r="O5834" s="3">
        <v>62960</v>
      </c>
      <c r="P5834" s="3">
        <v>39837</v>
      </c>
      <c r="Q5834" s="5">
        <f t="shared" si="273"/>
        <v>52907.563025210089</v>
      </c>
      <c r="R5834" s="5">
        <f t="shared" si="274"/>
        <v>39837</v>
      </c>
      <c r="S5834" s="5">
        <f t="shared" si="275"/>
        <v>13070.563025210089</v>
      </c>
    </row>
    <row r="5835" spans="1:19" x14ac:dyDescent="0.3">
      <c r="A5835">
        <v>195</v>
      </c>
      <c r="B5835" t="s">
        <v>6142</v>
      </c>
      <c r="C5835" t="s">
        <v>4652</v>
      </c>
      <c r="D5835" s="2" t="s">
        <v>4653</v>
      </c>
      <c r="E5835" t="s">
        <v>2787</v>
      </c>
      <c r="F5835" t="s">
        <v>20</v>
      </c>
      <c r="G5835" t="s">
        <v>21</v>
      </c>
      <c r="H5835" t="s">
        <v>1286</v>
      </c>
      <c r="I5835" t="s">
        <v>23</v>
      </c>
      <c r="J5835" t="s">
        <v>40</v>
      </c>
      <c r="K5835" s="2" t="s">
        <v>2149</v>
      </c>
      <c r="L5835" t="s">
        <v>26</v>
      </c>
      <c r="M5835">
        <v>307851</v>
      </c>
      <c r="N5835">
        <v>1</v>
      </c>
      <c r="O5835" s="3">
        <v>48960</v>
      </c>
      <c r="P5835" s="3">
        <v>24783</v>
      </c>
      <c r="Q5835" s="5">
        <f t="shared" si="273"/>
        <v>41142.857142857145</v>
      </c>
      <c r="R5835" s="5">
        <f t="shared" si="274"/>
        <v>24783</v>
      </c>
      <c r="S5835" s="5">
        <f t="shared" si="275"/>
        <v>16359.857142857145</v>
      </c>
    </row>
    <row r="5836" spans="1:19" x14ac:dyDescent="0.3">
      <c r="A5836">
        <v>195</v>
      </c>
      <c r="B5836" t="s">
        <v>6142</v>
      </c>
      <c r="C5836" t="s">
        <v>3343</v>
      </c>
      <c r="D5836" s="2" t="s">
        <v>3344</v>
      </c>
      <c r="E5836" t="s">
        <v>3345</v>
      </c>
      <c r="F5836" t="s">
        <v>20</v>
      </c>
      <c r="G5836" t="s">
        <v>338</v>
      </c>
      <c r="H5836">
        <v>25354</v>
      </c>
      <c r="I5836" t="s">
        <v>23</v>
      </c>
      <c r="J5836" t="s">
        <v>35</v>
      </c>
      <c r="K5836" s="2" t="s">
        <v>2149</v>
      </c>
      <c r="L5836" t="s">
        <v>26</v>
      </c>
      <c r="M5836">
        <v>307852</v>
      </c>
      <c r="N5836">
        <v>1</v>
      </c>
      <c r="O5836" s="3">
        <v>52460</v>
      </c>
      <c r="P5836" s="3">
        <v>21167</v>
      </c>
      <c r="Q5836" s="5">
        <f t="shared" si="273"/>
        <v>44084.033613445383</v>
      </c>
      <c r="R5836" s="5">
        <f t="shared" si="274"/>
        <v>21167</v>
      </c>
      <c r="S5836" s="5">
        <f t="shared" si="275"/>
        <v>22917.033613445383</v>
      </c>
    </row>
    <row r="5837" spans="1:19" x14ac:dyDescent="0.3">
      <c r="A5837">
        <v>195</v>
      </c>
      <c r="B5837" t="s">
        <v>6142</v>
      </c>
      <c r="C5837" t="s">
        <v>3007</v>
      </c>
      <c r="D5837" s="2" t="s">
        <v>3008</v>
      </c>
      <c r="E5837" t="s">
        <v>2986</v>
      </c>
      <c r="F5837" t="s">
        <v>20</v>
      </c>
      <c r="G5837" t="s">
        <v>21</v>
      </c>
      <c r="H5837" t="s">
        <v>267</v>
      </c>
      <c r="I5837" t="s">
        <v>23</v>
      </c>
      <c r="J5837" t="s">
        <v>35</v>
      </c>
      <c r="K5837" s="2" t="s">
        <v>2149</v>
      </c>
      <c r="L5837" t="s">
        <v>26</v>
      </c>
      <c r="M5837">
        <v>307853</v>
      </c>
      <c r="N5837">
        <v>1</v>
      </c>
      <c r="O5837" s="3">
        <v>59990</v>
      </c>
      <c r="P5837" s="3">
        <v>24733</v>
      </c>
      <c r="Q5837" s="5">
        <f t="shared" si="273"/>
        <v>50411.764705882357</v>
      </c>
      <c r="R5837" s="5">
        <f t="shared" si="274"/>
        <v>24733</v>
      </c>
      <c r="S5837" s="5">
        <f t="shared" si="275"/>
        <v>25678.764705882357</v>
      </c>
    </row>
    <row r="5838" spans="1:19" x14ac:dyDescent="0.3">
      <c r="A5838">
        <v>195</v>
      </c>
      <c r="B5838" t="s">
        <v>6142</v>
      </c>
      <c r="C5838" t="s">
        <v>3281</v>
      </c>
      <c r="D5838" s="2" t="s">
        <v>3282</v>
      </c>
      <c r="E5838" t="s">
        <v>3283</v>
      </c>
      <c r="F5838" t="s">
        <v>20</v>
      </c>
      <c r="G5838" t="s">
        <v>21</v>
      </c>
      <c r="H5838" t="s">
        <v>2494</v>
      </c>
      <c r="I5838" t="s">
        <v>23</v>
      </c>
      <c r="J5838" t="s">
        <v>40</v>
      </c>
      <c r="K5838" s="2" t="s">
        <v>2149</v>
      </c>
      <c r="L5838" t="s">
        <v>26</v>
      </c>
      <c r="M5838">
        <v>307853</v>
      </c>
      <c r="N5838">
        <v>1</v>
      </c>
      <c r="O5838" s="3">
        <v>69950</v>
      </c>
      <c r="P5838" s="3">
        <v>23470</v>
      </c>
      <c r="Q5838" s="5">
        <f t="shared" si="273"/>
        <v>58781.512605042022</v>
      </c>
      <c r="R5838" s="5">
        <f t="shared" si="274"/>
        <v>23470</v>
      </c>
      <c r="S5838" s="5">
        <f t="shared" si="275"/>
        <v>35311.512605042022</v>
      </c>
    </row>
    <row r="5839" spans="1:19" x14ac:dyDescent="0.3">
      <c r="A5839">
        <v>195</v>
      </c>
      <c r="B5839" t="s">
        <v>6142</v>
      </c>
      <c r="C5839" t="s">
        <v>3495</v>
      </c>
      <c r="D5839" s="2" t="s">
        <v>3496</v>
      </c>
      <c r="E5839" t="s">
        <v>1336</v>
      </c>
      <c r="F5839" t="s">
        <v>20</v>
      </c>
      <c r="G5839" t="s">
        <v>21</v>
      </c>
      <c r="H5839" t="s">
        <v>1337</v>
      </c>
      <c r="I5839" t="s">
        <v>23</v>
      </c>
      <c r="J5839" t="s">
        <v>49</v>
      </c>
      <c r="K5839" s="2" t="s">
        <v>2149</v>
      </c>
      <c r="L5839" t="s">
        <v>26</v>
      </c>
      <c r="M5839">
        <v>307854</v>
      </c>
      <c r="N5839">
        <v>1</v>
      </c>
      <c r="O5839" s="3">
        <v>59950</v>
      </c>
      <c r="P5839" s="3">
        <v>19169</v>
      </c>
      <c r="Q5839" s="5">
        <f t="shared" si="273"/>
        <v>50378.151260504201</v>
      </c>
      <c r="R5839" s="5">
        <f t="shared" si="274"/>
        <v>19169</v>
      </c>
      <c r="S5839" s="5">
        <f t="shared" si="275"/>
        <v>31209.151260504201</v>
      </c>
    </row>
    <row r="5840" spans="1:19" x14ac:dyDescent="0.3">
      <c r="A5840">
        <v>195</v>
      </c>
      <c r="B5840" t="s">
        <v>6142</v>
      </c>
      <c r="C5840" t="s">
        <v>4158</v>
      </c>
      <c r="D5840" s="2" t="s">
        <v>4159</v>
      </c>
      <c r="E5840" t="s">
        <v>3328</v>
      </c>
      <c r="F5840" t="s">
        <v>20</v>
      </c>
      <c r="G5840" t="s">
        <v>338</v>
      </c>
      <c r="H5840">
        <v>23720</v>
      </c>
      <c r="I5840" t="s">
        <v>23</v>
      </c>
      <c r="J5840" t="s">
        <v>40</v>
      </c>
      <c r="K5840" s="2" t="s">
        <v>2149</v>
      </c>
      <c r="L5840" t="s">
        <v>26</v>
      </c>
      <c r="M5840">
        <v>307855</v>
      </c>
      <c r="N5840">
        <v>1</v>
      </c>
      <c r="O5840" s="3">
        <v>59950</v>
      </c>
      <c r="P5840" s="3">
        <v>19643</v>
      </c>
      <c r="Q5840" s="5">
        <f t="shared" si="273"/>
        <v>50378.151260504201</v>
      </c>
      <c r="R5840" s="5">
        <f t="shared" si="274"/>
        <v>19643</v>
      </c>
      <c r="S5840" s="5">
        <f t="shared" si="275"/>
        <v>30735.151260504201</v>
      </c>
    </row>
    <row r="5841" spans="1:19" x14ac:dyDescent="0.3">
      <c r="A5841">
        <v>195</v>
      </c>
      <c r="B5841" t="s">
        <v>6142</v>
      </c>
      <c r="C5841" t="s">
        <v>6326</v>
      </c>
      <c r="D5841" s="2" t="s">
        <v>6327</v>
      </c>
      <c r="E5841" t="s">
        <v>5205</v>
      </c>
      <c r="F5841" t="s">
        <v>20</v>
      </c>
      <c r="G5841" t="s">
        <v>21</v>
      </c>
      <c r="H5841" t="s">
        <v>5206</v>
      </c>
      <c r="I5841" t="s">
        <v>23</v>
      </c>
      <c r="J5841" t="s">
        <v>35</v>
      </c>
      <c r="K5841" s="2" t="s">
        <v>2149</v>
      </c>
      <c r="L5841" t="s">
        <v>26</v>
      </c>
      <c r="M5841">
        <v>307856</v>
      </c>
      <c r="N5841">
        <v>1</v>
      </c>
      <c r="O5841" s="3">
        <v>89950</v>
      </c>
      <c r="P5841" s="3">
        <v>36227</v>
      </c>
      <c r="Q5841" s="5">
        <f t="shared" si="273"/>
        <v>75588.23529411765</v>
      </c>
      <c r="R5841" s="5">
        <f t="shared" si="274"/>
        <v>36227</v>
      </c>
      <c r="S5841" s="5">
        <f t="shared" si="275"/>
        <v>39361.23529411765</v>
      </c>
    </row>
    <row r="5842" spans="1:19" x14ac:dyDescent="0.3">
      <c r="A5842">
        <v>195</v>
      </c>
      <c r="B5842" t="s">
        <v>6142</v>
      </c>
      <c r="C5842" t="s">
        <v>5307</v>
      </c>
      <c r="D5842" s="2" t="s">
        <v>5308</v>
      </c>
      <c r="E5842" t="s">
        <v>5119</v>
      </c>
      <c r="F5842" t="s">
        <v>20</v>
      </c>
      <c r="G5842" t="s">
        <v>21</v>
      </c>
      <c r="H5842" t="s">
        <v>2782</v>
      </c>
      <c r="I5842" t="s">
        <v>23</v>
      </c>
      <c r="J5842" t="s">
        <v>35</v>
      </c>
      <c r="K5842" s="2" t="s">
        <v>2149</v>
      </c>
      <c r="L5842" t="s">
        <v>26</v>
      </c>
      <c r="M5842">
        <v>307856</v>
      </c>
      <c r="N5842">
        <v>-1</v>
      </c>
      <c r="O5842" s="3">
        <v>-69950</v>
      </c>
      <c r="P5842" s="3">
        <v>24388</v>
      </c>
      <c r="Q5842" s="5">
        <f t="shared" si="273"/>
        <v>-58781.512605042022</v>
      </c>
      <c r="R5842" s="5">
        <f t="shared" si="274"/>
        <v>-24388</v>
      </c>
      <c r="S5842" s="5">
        <f t="shared" si="275"/>
        <v>-34393.512605042022</v>
      </c>
    </row>
    <row r="5843" spans="1:19" x14ac:dyDescent="0.3">
      <c r="A5843">
        <v>195</v>
      </c>
      <c r="B5843" t="s">
        <v>6142</v>
      </c>
      <c r="C5843" t="s">
        <v>3273</v>
      </c>
      <c r="D5843" s="2" t="s">
        <v>3274</v>
      </c>
      <c r="E5843" t="s">
        <v>499</v>
      </c>
      <c r="F5843" t="s">
        <v>20</v>
      </c>
      <c r="G5843" t="s">
        <v>21</v>
      </c>
      <c r="H5843" t="s">
        <v>500</v>
      </c>
      <c r="I5843" t="s">
        <v>23</v>
      </c>
      <c r="J5843" t="s">
        <v>40</v>
      </c>
      <c r="K5843" s="2" t="s">
        <v>2192</v>
      </c>
      <c r="L5843" t="s">
        <v>26</v>
      </c>
      <c r="M5843">
        <v>307857</v>
      </c>
      <c r="N5843">
        <v>1</v>
      </c>
      <c r="O5843" s="3">
        <v>59950</v>
      </c>
      <c r="P5843" s="3">
        <v>17416</v>
      </c>
      <c r="Q5843" s="5">
        <f t="shared" si="273"/>
        <v>50378.151260504201</v>
      </c>
      <c r="R5843" s="5">
        <f t="shared" si="274"/>
        <v>17416</v>
      </c>
      <c r="S5843" s="5">
        <f t="shared" si="275"/>
        <v>32962.151260504201</v>
      </c>
    </row>
    <row r="5844" spans="1:19" x14ac:dyDescent="0.3">
      <c r="A5844">
        <v>195</v>
      </c>
      <c r="B5844" t="s">
        <v>6142</v>
      </c>
      <c r="C5844" t="s">
        <v>6328</v>
      </c>
      <c r="D5844" s="2" t="s">
        <v>6329</v>
      </c>
      <c r="E5844" t="s">
        <v>4132</v>
      </c>
      <c r="F5844" t="s">
        <v>20</v>
      </c>
      <c r="G5844" t="s">
        <v>21</v>
      </c>
      <c r="H5844" t="s">
        <v>1914</v>
      </c>
      <c r="I5844" t="s">
        <v>23</v>
      </c>
      <c r="J5844" t="s">
        <v>49</v>
      </c>
      <c r="K5844" s="2" t="s">
        <v>2192</v>
      </c>
      <c r="L5844" t="s">
        <v>26</v>
      </c>
      <c r="M5844">
        <v>307858</v>
      </c>
      <c r="N5844">
        <v>1</v>
      </c>
      <c r="O5844" s="3">
        <v>74950</v>
      </c>
      <c r="P5844" s="3">
        <v>24732</v>
      </c>
      <c r="Q5844" s="5">
        <f t="shared" si="273"/>
        <v>62983.193277310929</v>
      </c>
      <c r="R5844" s="5">
        <f t="shared" si="274"/>
        <v>24732</v>
      </c>
      <c r="S5844" s="5">
        <f t="shared" si="275"/>
        <v>38251.193277310929</v>
      </c>
    </row>
    <row r="5845" spans="1:19" x14ac:dyDescent="0.3">
      <c r="A5845">
        <v>195</v>
      </c>
      <c r="B5845" t="s">
        <v>6142</v>
      </c>
      <c r="C5845" t="s">
        <v>5858</v>
      </c>
      <c r="D5845" s="2" t="s">
        <v>5859</v>
      </c>
      <c r="E5845" t="s">
        <v>5860</v>
      </c>
      <c r="F5845" t="s">
        <v>377</v>
      </c>
      <c r="G5845" t="s">
        <v>21</v>
      </c>
      <c r="H5845" t="s">
        <v>378</v>
      </c>
      <c r="I5845" t="s">
        <v>23</v>
      </c>
      <c r="J5845" t="s">
        <v>379</v>
      </c>
      <c r="K5845" s="2" t="s">
        <v>2192</v>
      </c>
      <c r="L5845" t="s">
        <v>26</v>
      </c>
      <c r="M5845">
        <v>307859</v>
      </c>
      <c r="N5845">
        <v>1</v>
      </c>
      <c r="O5845" s="3">
        <v>5950</v>
      </c>
      <c r="P5845" s="3">
        <v>2846</v>
      </c>
      <c r="Q5845" s="5">
        <f t="shared" si="273"/>
        <v>5000</v>
      </c>
      <c r="R5845" s="5">
        <f t="shared" si="274"/>
        <v>2846</v>
      </c>
      <c r="S5845" s="5">
        <f t="shared" si="275"/>
        <v>2154</v>
      </c>
    </row>
    <row r="5846" spans="1:19" x14ac:dyDescent="0.3">
      <c r="A5846">
        <v>195</v>
      </c>
      <c r="B5846" t="s">
        <v>6142</v>
      </c>
      <c r="C5846" t="s">
        <v>1037</v>
      </c>
      <c r="D5846" s="2" t="s">
        <v>1038</v>
      </c>
      <c r="E5846" t="s">
        <v>1039</v>
      </c>
      <c r="F5846" t="s">
        <v>377</v>
      </c>
      <c r="G5846" t="s">
        <v>21</v>
      </c>
      <c r="H5846" t="s">
        <v>378</v>
      </c>
      <c r="I5846" t="s">
        <v>23</v>
      </c>
      <c r="J5846" t="s">
        <v>379</v>
      </c>
      <c r="K5846" s="2" t="s">
        <v>2192</v>
      </c>
      <c r="L5846" t="s">
        <v>26</v>
      </c>
      <c r="M5846">
        <v>307859</v>
      </c>
      <c r="N5846">
        <v>1</v>
      </c>
      <c r="O5846" s="3">
        <v>5950</v>
      </c>
      <c r="P5846" s="3">
        <v>3257</v>
      </c>
      <c r="Q5846" s="5">
        <f t="shared" si="273"/>
        <v>5000</v>
      </c>
      <c r="R5846" s="5">
        <f t="shared" si="274"/>
        <v>3257</v>
      </c>
      <c r="S5846" s="5">
        <f t="shared" si="275"/>
        <v>1743</v>
      </c>
    </row>
    <row r="5847" spans="1:19" x14ac:dyDescent="0.3">
      <c r="A5847">
        <v>195</v>
      </c>
      <c r="B5847" t="s">
        <v>6142</v>
      </c>
      <c r="C5847" t="s">
        <v>3547</v>
      </c>
      <c r="D5847" s="2" t="s">
        <v>3548</v>
      </c>
      <c r="E5847" t="s">
        <v>3549</v>
      </c>
      <c r="F5847" t="s">
        <v>377</v>
      </c>
      <c r="G5847" t="s">
        <v>21</v>
      </c>
      <c r="H5847" t="s">
        <v>378</v>
      </c>
      <c r="I5847" t="s">
        <v>23</v>
      </c>
      <c r="J5847" t="s">
        <v>379</v>
      </c>
      <c r="K5847" s="2" t="s">
        <v>2192</v>
      </c>
      <c r="L5847" t="s">
        <v>26</v>
      </c>
      <c r="M5847">
        <v>307859</v>
      </c>
      <c r="N5847">
        <v>1</v>
      </c>
      <c r="O5847" s="3">
        <v>5950</v>
      </c>
      <c r="P5847" s="3">
        <v>3184</v>
      </c>
      <c r="Q5847" s="5">
        <f t="shared" si="273"/>
        <v>5000</v>
      </c>
      <c r="R5847" s="5">
        <f t="shared" si="274"/>
        <v>3184</v>
      </c>
      <c r="S5847" s="5">
        <f t="shared" si="275"/>
        <v>1816</v>
      </c>
    </row>
    <row r="5848" spans="1:19" x14ac:dyDescent="0.3">
      <c r="A5848">
        <v>195</v>
      </c>
      <c r="B5848" t="s">
        <v>6142</v>
      </c>
      <c r="C5848" t="s">
        <v>4805</v>
      </c>
      <c r="D5848" s="2" t="s">
        <v>4806</v>
      </c>
      <c r="E5848" t="s">
        <v>516</v>
      </c>
      <c r="F5848" t="s">
        <v>20</v>
      </c>
      <c r="G5848" t="s">
        <v>338</v>
      </c>
      <c r="H5848">
        <v>23763</v>
      </c>
      <c r="I5848" t="s">
        <v>23</v>
      </c>
      <c r="J5848" t="s">
        <v>40</v>
      </c>
      <c r="K5848" s="2" t="s">
        <v>2192</v>
      </c>
      <c r="L5848" t="s">
        <v>26</v>
      </c>
      <c r="M5848">
        <v>307860</v>
      </c>
      <c r="N5848">
        <v>1</v>
      </c>
      <c r="O5848" s="3">
        <v>59950</v>
      </c>
      <c r="P5848" s="3">
        <v>19813</v>
      </c>
      <c r="Q5848" s="5">
        <f t="shared" si="273"/>
        <v>50378.151260504201</v>
      </c>
      <c r="R5848" s="5">
        <f t="shared" si="274"/>
        <v>19813</v>
      </c>
      <c r="S5848" s="5">
        <f t="shared" si="275"/>
        <v>30565.151260504201</v>
      </c>
    </row>
    <row r="5849" spans="1:19" x14ac:dyDescent="0.3">
      <c r="A5849">
        <v>195</v>
      </c>
      <c r="B5849" t="s">
        <v>6142</v>
      </c>
      <c r="C5849" t="s">
        <v>3294</v>
      </c>
      <c r="D5849" s="2" t="s">
        <v>3295</v>
      </c>
      <c r="E5849" t="s">
        <v>3296</v>
      </c>
      <c r="F5849" t="s">
        <v>377</v>
      </c>
      <c r="G5849" t="s">
        <v>21</v>
      </c>
      <c r="H5849" t="s">
        <v>378</v>
      </c>
      <c r="I5849" t="s">
        <v>23</v>
      </c>
      <c r="J5849" t="s">
        <v>3297</v>
      </c>
      <c r="K5849" s="2" t="s">
        <v>2192</v>
      </c>
      <c r="L5849" t="s">
        <v>26</v>
      </c>
      <c r="M5849">
        <v>307861</v>
      </c>
      <c r="N5849">
        <v>1</v>
      </c>
      <c r="O5849">
        <v>500</v>
      </c>
      <c r="P5849">
        <v>358</v>
      </c>
      <c r="Q5849" s="5">
        <f t="shared" si="273"/>
        <v>420.1680672268908</v>
      </c>
      <c r="R5849" s="5">
        <f t="shared" si="274"/>
        <v>358</v>
      </c>
      <c r="S5849" s="5">
        <f t="shared" si="275"/>
        <v>62.168067226890798</v>
      </c>
    </row>
    <row r="5850" spans="1:19" x14ac:dyDescent="0.3">
      <c r="A5850">
        <v>195</v>
      </c>
      <c r="B5850" t="s">
        <v>6142</v>
      </c>
      <c r="C5850" t="s">
        <v>6226</v>
      </c>
      <c r="D5850" s="2" t="s">
        <v>6227</v>
      </c>
      <c r="E5850" t="s">
        <v>6228</v>
      </c>
      <c r="F5850" t="s">
        <v>377</v>
      </c>
      <c r="G5850" t="s">
        <v>21</v>
      </c>
      <c r="H5850" t="s">
        <v>378</v>
      </c>
      <c r="I5850" t="s">
        <v>23</v>
      </c>
      <c r="J5850" t="s">
        <v>2459</v>
      </c>
      <c r="K5850" s="2" t="s">
        <v>2192</v>
      </c>
      <c r="L5850" t="s">
        <v>26</v>
      </c>
      <c r="M5850">
        <v>307862</v>
      </c>
      <c r="N5850">
        <v>1</v>
      </c>
      <c r="O5850" s="3">
        <v>6950</v>
      </c>
      <c r="P5850" s="3">
        <v>4514</v>
      </c>
      <c r="Q5850" s="5">
        <f t="shared" si="273"/>
        <v>5840.3361344537816</v>
      </c>
      <c r="R5850" s="5">
        <f t="shared" si="274"/>
        <v>4514</v>
      </c>
      <c r="S5850" s="5">
        <f t="shared" si="275"/>
        <v>1326.3361344537816</v>
      </c>
    </row>
    <row r="5851" spans="1:19" x14ac:dyDescent="0.3">
      <c r="A5851">
        <v>195</v>
      </c>
      <c r="B5851" t="s">
        <v>6142</v>
      </c>
      <c r="C5851" t="s">
        <v>2863</v>
      </c>
      <c r="D5851" s="2" t="s">
        <v>2864</v>
      </c>
      <c r="E5851" t="s">
        <v>2865</v>
      </c>
      <c r="F5851" t="s">
        <v>20</v>
      </c>
      <c r="G5851" t="s">
        <v>21</v>
      </c>
      <c r="H5851" t="s">
        <v>57</v>
      </c>
      <c r="I5851" t="s">
        <v>23</v>
      </c>
      <c r="J5851" t="s">
        <v>35</v>
      </c>
      <c r="K5851" s="2" t="s">
        <v>2192</v>
      </c>
      <c r="L5851" t="s">
        <v>26</v>
      </c>
      <c r="M5851">
        <v>307863</v>
      </c>
      <c r="N5851">
        <v>1</v>
      </c>
      <c r="O5851" s="3">
        <v>69990</v>
      </c>
      <c r="P5851" s="3">
        <v>29189</v>
      </c>
      <c r="Q5851" s="5">
        <f t="shared" si="273"/>
        <v>58815.126050420171</v>
      </c>
      <c r="R5851" s="5">
        <f t="shared" si="274"/>
        <v>29189</v>
      </c>
      <c r="S5851" s="5">
        <f t="shared" si="275"/>
        <v>29626.126050420171</v>
      </c>
    </row>
    <row r="5852" spans="1:19" x14ac:dyDescent="0.3">
      <c r="A5852">
        <v>195</v>
      </c>
      <c r="B5852" t="s">
        <v>6142</v>
      </c>
      <c r="C5852" t="s">
        <v>6330</v>
      </c>
      <c r="D5852" s="2" t="s">
        <v>6331</v>
      </c>
      <c r="E5852" t="s">
        <v>3216</v>
      </c>
      <c r="F5852" t="s">
        <v>20</v>
      </c>
      <c r="G5852" t="s">
        <v>338</v>
      </c>
      <c r="H5852">
        <v>85603</v>
      </c>
      <c r="I5852" t="s">
        <v>23</v>
      </c>
      <c r="J5852" t="s">
        <v>31</v>
      </c>
      <c r="K5852" s="2" t="s">
        <v>2192</v>
      </c>
      <c r="L5852" t="s">
        <v>26</v>
      </c>
      <c r="M5852">
        <v>307864</v>
      </c>
      <c r="N5852">
        <v>1</v>
      </c>
      <c r="O5852" s="3">
        <v>119960</v>
      </c>
      <c r="P5852" s="3">
        <v>50145</v>
      </c>
      <c r="Q5852" s="5">
        <f t="shared" si="273"/>
        <v>100806.72268907563</v>
      </c>
      <c r="R5852" s="5">
        <f t="shared" si="274"/>
        <v>50145</v>
      </c>
      <c r="S5852" s="5">
        <f t="shared" si="275"/>
        <v>50661.722689075628</v>
      </c>
    </row>
    <row r="5853" spans="1:19" x14ac:dyDescent="0.3">
      <c r="A5853">
        <v>195</v>
      </c>
      <c r="B5853" t="s">
        <v>6142</v>
      </c>
      <c r="C5853" t="s">
        <v>3468</v>
      </c>
      <c r="D5853" s="2" t="s">
        <v>3469</v>
      </c>
      <c r="E5853" t="s">
        <v>1336</v>
      </c>
      <c r="F5853" t="s">
        <v>20</v>
      </c>
      <c r="G5853" t="s">
        <v>21</v>
      </c>
      <c r="H5853" t="s">
        <v>1337</v>
      </c>
      <c r="I5853" t="s">
        <v>23</v>
      </c>
      <c r="J5853" t="s">
        <v>49</v>
      </c>
      <c r="K5853" s="2" t="s">
        <v>2192</v>
      </c>
      <c r="L5853" t="s">
        <v>26</v>
      </c>
      <c r="M5853">
        <v>307865</v>
      </c>
      <c r="N5853">
        <v>1</v>
      </c>
      <c r="O5853" s="3">
        <v>59950</v>
      </c>
      <c r="P5853" s="3">
        <v>19234</v>
      </c>
      <c r="Q5853" s="5">
        <f t="shared" si="273"/>
        <v>50378.151260504201</v>
      </c>
      <c r="R5853" s="5">
        <f t="shared" si="274"/>
        <v>19234</v>
      </c>
      <c r="S5853" s="5">
        <f t="shared" si="275"/>
        <v>31144.151260504201</v>
      </c>
    </row>
    <row r="5854" spans="1:19" x14ac:dyDescent="0.3">
      <c r="A5854">
        <v>195</v>
      </c>
      <c r="B5854" t="s">
        <v>6142</v>
      </c>
      <c r="C5854" t="s">
        <v>4260</v>
      </c>
      <c r="D5854" s="2" t="s">
        <v>4261</v>
      </c>
      <c r="E5854" t="s">
        <v>2865</v>
      </c>
      <c r="F5854" t="s">
        <v>20</v>
      </c>
      <c r="G5854" t="s">
        <v>21</v>
      </c>
      <c r="H5854" t="s">
        <v>57</v>
      </c>
      <c r="I5854" t="s">
        <v>23</v>
      </c>
      <c r="J5854" t="s">
        <v>35</v>
      </c>
      <c r="K5854" s="2" t="s">
        <v>2192</v>
      </c>
      <c r="L5854" t="s">
        <v>26</v>
      </c>
      <c r="M5854">
        <v>307866</v>
      </c>
      <c r="N5854">
        <v>1</v>
      </c>
      <c r="O5854" s="3">
        <v>79990</v>
      </c>
      <c r="P5854" s="3">
        <v>29189</v>
      </c>
      <c r="Q5854" s="5">
        <f t="shared" si="273"/>
        <v>67218.487394957992</v>
      </c>
      <c r="R5854" s="5">
        <f t="shared" si="274"/>
        <v>29189</v>
      </c>
      <c r="S5854" s="5">
        <f t="shared" si="275"/>
        <v>38029.487394957992</v>
      </c>
    </row>
    <row r="5855" spans="1:19" x14ac:dyDescent="0.3">
      <c r="A5855">
        <v>195</v>
      </c>
      <c r="B5855" t="s">
        <v>6142</v>
      </c>
      <c r="C5855" t="s">
        <v>6332</v>
      </c>
      <c r="D5855" s="2" t="s">
        <v>6333</v>
      </c>
      <c r="E5855" t="s">
        <v>1188</v>
      </c>
      <c r="F5855" t="s">
        <v>20</v>
      </c>
      <c r="G5855" t="s">
        <v>21</v>
      </c>
      <c r="H5855" t="s">
        <v>30</v>
      </c>
      <c r="I5855" t="s">
        <v>23</v>
      </c>
      <c r="J5855" t="s">
        <v>49</v>
      </c>
      <c r="K5855" s="2" t="s">
        <v>2192</v>
      </c>
      <c r="L5855" t="s">
        <v>26</v>
      </c>
      <c r="M5855">
        <v>307867</v>
      </c>
      <c r="N5855">
        <v>1</v>
      </c>
      <c r="O5855" s="3">
        <v>69950</v>
      </c>
      <c r="P5855" s="3">
        <v>24726</v>
      </c>
      <c r="Q5855" s="5">
        <f t="shared" si="273"/>
        <v>58781.512605042022</v>
      </c>
      <c r="R5855" s="5">
        <f t="shared" si="274"/>
        <v>24726</v>
      </c>
      <c r="S5855" s="5">
        <f t="shared" si="275"/>
        <v>34055.512605042022</v>
      </c>
    </row>
    <row r="5856" spans="1:19" x14ac:dyDescent="0.3">
      <c r="A5856">
        <v>195</v>
      </c>
      <c r="B5856" t="s">
        <v>6142</v>
      </c>
      <c r="C5856" t="s">
        <v>3793</v>
      </c>
      <c r="D5856" s="2" t="s">
        <v>3794</v>
      </c>
      <c r="E5856" t="s">
        <v>3795</v>
      </c>
      <c r="F5856" t="s">
        <v>20</v>
      </c>
      <c r="G5856" t="s">
        <v>338</v>
      </c>
      <c r="H5856">
        <v>25529</v>
      </c>
      <c r="I5856" t="s">
        <v>23</v>
      </c>
      <c r="J5856" t="s">
        <v>31</v>
      </c>
      <c r="K5856" s="2" t="s">
        <v>2192</v>
      </c>
      <c r="L5856" t="s">
        <v>26</v>
      </c>
      <c r="M5856">
        <v>307867</v>
      </c>
      <c r="N5856">
        <v>1</v>
      </c>
      <c r="O5856" s="3">
        <v>127450</v>
      </c>
      <c r="P5856" s="3">
        <v>50690</v>
      </c>
      <c r="Q5856" s="5">
        <f t="shared" si="273"/>
        <v>107100.84033613445</v>
      </c>
      <c r="R5856" s="5">
        <f t="shared" si="274"/>
        <v>50690</v>
      </c>
      <c r="S5856" s="5">
        <f t="shared" si="275"/>
        <v>56410.840336134454</v>
      </c>
    </row>
    <row r="5857" spans="1:19" x14ac:dyDescent="0.3">
      <c r="A5857">
        <v>195</v>
      </c>
      <c r="B5857" t="s">
        <v>6142</v>
      </c>
      <c r="C5857" t="s">
        <v>3915</v>
      </c>
      <c r="D5857" s="2" t="s">
        <v>3916</v>
      </c>
      <c r="E5857" t="s">
        <v>2473</v>
      </c>
      <c r="F5857" t="s">
        <v>20</v>
      </c>
      <c r="G5857" t="s">
        <v>21</v>
      </c>
      <c r="H5857" t="s">
        <v>114</v>
      </c>
      <c r="I5857" t="s">
        <v>23</v>
      </c>
      <c r="J5857" t="s">
        <v>49</v>
      </c>
      <c r="K5857" s="2" t="s">
        <v>2192</v>
      </c>
      <c r="L5857" t="s">
        <v>26</v>
      </c>
      <c r="M5857">
        <v>307868</v>
      </c>
      <c r="N5857">
        <v>1</v>
      </c>
      <c r="O5857" s="3">
        <v>49990</v>
      </c>
      <c r="P5857" s="3">
        <v>23514</v>
      </c>
      <c r="Q5857" s="5">
        <f t="shared" si="273"/>
        <v>42008.403361344543</v>
      </c>
      <c r="R5857" s="5">
        <f t="shared" si="274"/>
        <v>23514</v>
      </c>
      <c r="S5857" s="5">
        <f t="shared" si="275"/>
        <v>18494.403361344543</v>
      </c>
    </row>
    <row r="5858" spans="1:19" x14ac:dyDescent="0.3">
      <c r="A5858">
        <v>195</v>
      </c>
      <c r="B5858" t="s">
        <v>6142</v>
      </c>
      <c r="C5858" t="s">
        <v>3294</v>
      </c>
      <c r="D5858" s="2" t="s">
        <v>3295</v>
      </c>
      <c r="E5858" t="s">
        <v>3296</v>
      </c>
      <c r="F5858" t="s">
        <v>377</v>
      </c>
      <c r="G5858" t="s">
        <v>21</v>
      </c>
      <c r="H5858" t="s">
        <v>378</v>
      </c>
      <c r="I5858" t="s">
        <v>23</v>
      </c>
      <c r="J5858" t="s">
        <v>3297</v>
      </c>
      <c r="K5858" s="2" t="s">
        <v>2192</v>
      </c>
      <c r="L5858" t="s">
        <v>26</v>
      </c>
      <c r="M5858">
        <v>307868</v>
      </c>
      <c r="N5858">
        <v>1</v>
      </c>
      <c r="O5858">
        <v>500</v>
      </c>
      <c r="P5858">
        <v>358</v>
      </c>
      <c r="Q5858" s="5">
        <f t="shared" si="273"/>
        <v>420.1680672268908</v>
      </c>
      <c r="R5858" s="5">
        <f t="shared" si="274"/>
        <v>358</v>
      </c>
      <c r="S5858" s="5">
        <f t="shared" si="275"/>
        <v>62.168067226890798</v>
      </c>
    </row>
    <row r="5859" spans="1:19" x14ac:dyDescent="0.3">
      <c r="A5859">
        <v>195</v>
      </c>
      <c r="B5859" t="s">
        <v>6142</v>
      </c>
      <c r="C5859" t="s">
        <v>6334</v>
      </c>
      <c r="D5859" s="2" t="s">
        <v>6335</v>
      </c>
      <c r="E5859" t="s">
        <v>2002</v>
      </c>
      <c r="F5859" t="s">
        <v>20</v>
      </c>
      <c r="G5859" t="s">
        <v>338</v>
      </c>
      <c r="H5859">
        <v>25026</v>
      </c>
      <c r="I5859" t="s">
        <v>23</v>
      </c>
      <c r="J5859" t="s">
        <v>35</v>
      </c>
      <c r="K5859" s="2" t="s">
        <v>2192</v>
      </c>
      <c r="L5859" t="s">
        <v>26</v>
      </c>
      <c r="M5859">
        <v>307869</v>
      </c>
      <c r="N5859">
        <v>1</v>
      </c>
      <c r="O5859" s="3">
        <v>89950</v>
      </c>
      <c r="P5859" s="3">
        <v>28454</v>
      </c>
      <c r="Q5859" s="5">
        <f t="shared" si="273"/>
        <v>75588.23529411765</v>
      </c>
      <c r="R5859" s="5">
        <f t="shared" si="274"/>
        <v>28454</v>
      </c>
      <c r="S5859" s="5">
        <f t="shared" si="275"/>
        <v>47134.23529411765</v>
      </c>
    </row>
    <row r="5860" spans="1:19" x14ac:dyDescent="0.3">
      <c r="A5860">
        <v>195</v>
      </c>
      <c r="B5860" t="s">
        <v>6142</v>
      </c>
      <c r="C5860" t="s">
        <v>3594</v>
      </c>
      <c r="D5860" s="2" t="s">
        <v>3595</v>
      </c>
      <c r="E5860" t="s">
        <v>2473</v>
      </c>
      <c r="F5860" t="s">
        <v>20</v>
      </c>
      <c r="G5860" t="s">
        <v>21</v>
      </c>
      <c r="H5860" t="s">
        <v>114</v>
      </c>
      <c r="I5860" t="s">
        <v>23</v>
      </c>
      <c r="J5860" t="s">
        <v>49</v>
      </c>
      <c r="K5860" s="2" t="s">
        <v>2192</v>
      </c>
      <c r="L5860" t="s">
        <v>26</v>
      </c>
      <c r="M5860">
        <v>307870</v>
      </c>
      <c r="N5860">
        <v>-1</v>
      </c>
      <c r="O5860" s="3">
        <v>-49990</v>
      </c>
      <c r="P5860" s="3">
        <v>23514</v>
      </c>
      <c r="Q5860" s="5">
        <f t="shared" si="273"/>
        <v>-42008.403361344543</v>
      </c>
      <c r="R5860" s="5">
        <f t="shared" si="274"/>
        <v>-23514</v>
      </c>
      <c r="S5860" s="5">
        <f t="shared" si="275"/>
        <v>-18494.403361344543</v>
      </c>
    </row>
    <row r="5861" spans="1:19" x14ac:dyDescent="0.3">
      <c r="A5861">
        <v>195</v>
      </c>
      <c r="B5861" t="s">
        <v>6142</v>
      </c>
      <c r="C5861" t="s">
        <v>3054</v>
      </c>
      <c r="D5861" s="2" t="s">
        <v>3055</v>
      </c>
      <c r="E5861" t="s">
        <v>2870</v>
      </c>
      <c r="F5861" t="s">
        <v>20</v>
      </c>
      <c r="G5861" t="s">
        <v>21</v>
      </c>
      <c r="H5861" t="s">
        <v>30</v>
      </c>
      <c r="I5861" t="s">
        <v>23</v>
      </c>
      <c r="J5861" t="s">
        <v>35</v>
      </c>
      <c r="K5861" s="2" t="s">
        <v>2192</v>
      </c>
      <c r="L5861" t="s">
        <v>26</v>
      </c>
      <c r="M5861">
        <v>307870</v>
      </c>
      <c r="N5861">
        <v>1</v>
      </c>
      <c r="O5861" s="3">
        <v>79950</v>
      </c>
      <c r="P5861" s="3">
        <v>30749</v>
      </c>
      <c r="Q5861" s="5">
        <f t="shared" si="273"/>
        <v>67184.873949579836</v>
      </c>
      <c r="R5861" s="5">
        <f t="shared" si="274"/>
        <v>30749</v>
      </c>
      <c r="S5861" s="5">
        <f t="shared" si="275"/>
        <v>36435.873949579836</v>
      </c>
    </row>
    <row r="5862" spans="1:19" x14ac:dyDescent="0.3">
      <c r="A5862">
        <v>195</v>
      </c>
      <c r="B5862" t="s">
        <v>6142</v>
      </c>
      <c r="C5862" t="s">
        <v>5858</v>
      </c>
      <c r="D5862" s="2" t="s">
        <v>5859</v>
      </c>
      <c r="E5862" t="s">
        <v>5860</v>
      </c>
      <c r="F5862" t="s">
        <v>377</v>
      </c>
      <c r="G5862" t="s">
        <v>21</v>
      </c>
      <c r="H5862" t="s">
        <v>378</v>
      </c>
      <c r="I5862" t="s">
        <v>23</v>
      </c>
      <c r="J5862" t="s">
        <v>379</v>
      </c>
      <c r="K5862" s="2" t="s">
        <v>2192</v>
      </c>
      <c r="L5862" t="s">
        <v>26</v>
      </c>
      <c r="M5862">
        <v>307871</v>
      </c>
      <c r="N5862">
        <v>1</v>
      </c>
      <c r="O5862" s="3">
        <v>5950</v>
      </c>
      <c r="P5862" s="3">
        <v>2846</v>
      </c>
      <c r="Q5862" s="5">
        <f t="shared" si="273"/>
        <v>5000</v>
      </c>
      <c r="R5862" s="5">
        <f t="shared" si="274"/>
        <v>2846</v>
      </c>
      <c r="S5862" s="5">
        <f t="shared" si="275"/>
        <v>2154</v>
      </c>
    </row>
    <row r="5863" spans="1:19" hidden="1" x14ac:dyDescent="0.3">
      <c r="A5863">
        <v>200</v>
      </c>
      <c r="B5863" t="s">
        <v>6336</v>
      </c>
      <c r="C5863" t="s">
        <v>6337</v>
      </c>
      <c r="D5863" s="2" t="s">
        <v>6338</v>
      </c>
      <c r="E5863" t="s">
        <v>5554</v>
      </c>
      <c r="F5863" t="s">
        <v>20</v>
      </c>
      <c r="G5863" t="s">
        <v>21</v>
      </c>
      <c r="H5863" t="s">
        <v>2379</v>
      </c>
      <c r="I5863" t="s">
        <v>23</v>
      </c>
      <c r="J5863" t="s">
        <v>40</v>
      </c>
      <c r="K5863" s="2" t="s">
        <v>25</v>
      </c>
      <c r="L5863" t="s">
        <v>26</v>
      </c>
      <c r="M5863">
        <v>329637</v>
      </c>
      <c r="N5863">
        <v>-1</v>
      </c>
      <c r="O5863" s="3">
        <v>-49950</v>
      </c>
      <c r="P5863" s="3">
        <v>13969</v>
      </c>
      <c r="Q5863" s="5">
        <f t="shared" si="273"/>
        <v>-41974.789915966387</v>
      </c>
      <c r="R5863" s="5">
        <f t="shared" si="274"/>
        <v>-13969</v>
      </c>
      <c r="S5863" s="5">
        <f t="shared" si="275"/>
        <v>-28005.789915966387</v>
      </c>
    </row>
    <row r="5864" spans="1:19" hidden="1" x14ac:dyDescent="0.3">
      <c r="A5864">
        <v>200</v>
      </c>
      <c r="B5864" t="s">
        <v>6336</v>
      </c>
      <c r="C5864" t="s">
        <v>5552</v>
      </c>
      <c r="D5864" s="2" t="s">
        <v>5553</v>
      </c>
      <c r="E5864" t="s">
        <v>5554</v>
      </c>
      <c r="F5864" t="s">
        <v>20</v>
      </c>
      <c r="G5864" t="s">
        <v>21</v>
      </c>
      <c r="H5864" t="s">
        <v>2379</v>
      </c>
      <c r="I5864" t="s">
        <v>23</v>
      </c>
      <c r="J5864" t="s">
        <v>40</v>
      </c>
      <c r="K5864" s="2" t="s">
        <v>25</v>
      </c>
      <c r="L5864" t="s">
        <v>26</v>
      </c>
      <c r="M5864">
        <v>329637</v>
      </c>
      <c r="N5864">
        <v>1</v>
      </c>
      <c r="O5864" s="3">
        <v>49951</v>
      </c>
      <c r="P5864" s="3">
        <v>13523</v>
      </c>
      <c r="Q5864" s="5">
        <f t="shared" si="273"/>
        <v>41975.63025210084</v>
      </c>
      <c r="R5864" s="5">
        <f t="shared" si="274"/>
        <v>13523</v>
      </c>
      <c r="S5864" s="5">
        <f t="shared" si="275"/>
        <v>28452.63025210084</v>
      </c>
    </row>
    <row r="5865" spans="1:19" hidden="1" x14ac:dyDescent="0.3">
      <c r="A5865">
        <v>200</v>
      </c>
      <c r="B5865" t="s">
        <v>6336</v>
      </c>
      <c r="C5865" t="s">
        <v>3273</v>
      </c>
      <c r="D5865" s="2" t="s">
        <v>3274</v>
      </c>
      <c r="E5865" t="s">
        <v>499</v>
      </c>
      <c r="F5865" t="s">
        <v>20</v>
      </c>
      <c r="G5865" t="s">
        <v>21</v>
      </c>
      <c r="H5865" t="s">
        <v>500</v>
      </c>
      <c r="I5865" t="s">
        <v>23</v>
      </c>
      <c r="J5865" t="s">
        <v>40</v>
      </c>
      <c r="K5865" s="2" t="s">
        <v>25</v>
      </c>
      <c r="L5865" t="s">
        <v>26</v>
      </c>
      <c r="M5865">
        <v>329638</v>
      </c>
      <c r="N5865">
        <v>1</v>
      </c>
      <c r="O5865" s="3">
        <v>59950</v>
      </c>
      <c r="P5865" s="3">
        <v>17416</v>
      </c>
      <c r="Q5865" s="5">
        <f t="shared" si="273"/>
        <v>50378.151260504201</v>
      </c>
      <c r="R5865" s="5">
        <f t="shared" si="274"/>
        <v>17416</v>
      </c>
      <c r="S5865" s="5">
        <f t="shared" si="275"/>
        <v>32962.151260504201</v>
      </c>
    </row>
    <row r="5866" spans="1:19" hidden="1" x14ac:dyDescent="0.3">
      <c r="A5866">
        <v>200</v>
      </c>
      <c r="B5866" t="s">
        <v>6336</v>
      </c>
      <c r="C5866" t="s">
        <v>2485</v>
      </c>
      <c r="D5866" s="2" t="s">
        <v>2486</v>
      </c>
      <c r="E5866" t="s">
        <v>2487</v>
      </c>
      <c r="F5866" t="s">
        <v>377</v>
      </c>
      <c r="G5866" t="s">
        <v>21</v>
      </c>
      <c r="H5866" t="s">
        <v>378</v>
      </c>
      <c r="I5866" t="s">
        <v>23</v>
      </c>
      <c r="J5866" t="s">
        <v>379</v>
      </c>
      <c r="K5866" s="2" t="s">
        <v>25</v>
      </c>
      <c r="L5866" t="s">
        <v>26</v>
      </c>
      <c r="M5866">
        <v>329638</v>
      </c>
      <c r="N5866">
        <v>1</v>
      </c>
      <c r="O5866" s="3">
        <v>5950</v>
      </c>
      <c r="P5866" s="3">
        <v>2243</v>
      </c>
      <c r="Q5866" s="5">
        <f t="shared" si="273"/>
        <v>5000</v>
      </c>
      <c r="R5866" s="5">
        <f t="shared" si="274"/>
        <v>2243</v>
      </c>
      <c r="S5866" s="5">
        <f t="shared" si="275"/>
        <v>2757</v>
      </c>
    </row>
    <row r="5867" spans="1:19" hidden="1" x14ac:dyDescent="0.3">
      <c r="A5867">
        <v>200</v>
      </c>
      <c r="B5867" t="s">
        <v>6336</v>
      </c>
      <c r="C5867" t="s">
        <v>6339</v>
      </c>
      <c r="D5867" s="2" t="s">
        <v>6340</v>
      </c>
      <c r="E5867" t="s">
        <v>3593</v>
      </c>
      <c r="F5867" t="s">
        <v>20</v>
      </c>
      <c r="G5867" t="s">
        <v>21</v>
      </c>
      <c r="H5867" t="s">
        <v>839</v>
      </c>
      <c r="I5867" t="s">
        <v>23</v>
      </c>
      <c r="J5867" t="s">
        <v>40</v>
      </c>
      <c r="K5867" s="2" t="s">
        <v>25</v>
      </c>
      <c r="L5867" t="s">
        <v>26</v>
      </c>
      <c r="M5867">
        <v>329639</v>
      </c>
      <c r="N5867">
        <v>1</v>
      </c>
      <c r="O5867" s="3">
        <v>39990</v>
      </c>
      <c r="P5867" s="3">
        <v>16210</v>
      </c>
      <c r="Q5867" s="5">
        <f t="shared" si="273"/>
        <v>33605.042016806721</v>
      </c>
      <c r="R5867" s="5">
        <f t="shared" si="274"/>
        <v>16210</v>
      </c>
      <c r="S5867" s="5">
        <f t="shared" si="275"/>
        <v>17395.042016806721</v>
      </c>
    </row>
    <row r="5868" spans="1:19" hidden="1" x14ac:dyDescent="0.3">
      <c r="A5868">
        <v>200</v>
      </c>
      <c r="B5868" t="s">
        <v>6336</v>
      </c>
      <c r="C5868" t="s">
        <v>2485</v>
      </c>
      <c r="D5868" s="2" t="s">
        <v>2486</v>
      </c>
      <c r="E5868" t="s">
        <v>2487</v>
      </c>
      <c r="F5868" t="s">
        <v>377</v>
      </c>
      <c r="G5868" t="s">
        <v>21</v>
      </c>
      <c r="H5868" t="s">
        <v>378</v>
      </c>
      <c r="I5868" t="s">
        <v>23</v>
      </c>
      <c r="J5868" t="s">
        <v>379</v>
      </c>
      <c r="K5868" s="2" t="s">
        <v>25</v>
      </c>
      <c r="L5868" t="s">
        <v>26</v>
      </c>
      <c r="M5868">
        <v>329639</v>
      </c>
      <c r="N5868">
        <v>1</v>
      </c>
      <c r="O5868" s="3">
        <v>5950</v>
      </c>
      <c r="P5868" s="3">
        <v>2243</v>
      </c>
      <c r="Q5868" s="5">
        <f t="shared" si="273"/>
        <v>5000</v>
      </c>
      <c r="R5868" s="5">
        <f t="shared" si="274"/>
        <v>2243</v>
      </c>
      <c r="S5868" s="5">
        <f t="shared" si="275"/>
        <v>2757</v>
      </c>
    </row>
    <row r="5869" spans="1:19" hidden="1" x14ac:dyDescent="0.3">
      <c r="A5869">
        <v>200</v>
      </c>
      <c r="B5869" t="s">
        <v>6336</v>
      </c>
      <c r="C5869" t="s">
        <v>4378</v>
      </c>
      <c r="D5869" s="2" t="s">
        <v>4379</v>
      </c>
      <c r="E5869" t="s">
        <v>4380</v>
      </c>
      <c r="F5869" t="s">
        <v>20</v>
      </c>
      <c r="G5869" t="s">
        <v>21</v>
      </c>
      <c r="H5869" t="s">
        <v>1286</v>
      </c>
      <c r="I5869" t="s">
        <v>23</v>
      </c>
      <c r="J5869" t="s">
        <v>40</v>
      </c>
      <c r="K5869" s="2" t="s">
        <v>25</v>
      </c>
      <c r="L5869" t="s">
        <v>26</v>
      </c>
      <c r="M5869">
        <v>329640</v>
      </c>
      <c r="N5869">
        <v>1</v>
      </c>
      <c r="O5869" s="3">
        <v>49990</v>
      </c>
      <c r="P5869" s="3">
        <v>24783</v>
      </c>
      <c r="Q5869" s="5">
        <f t="shared" si="273"/>
        <v>42008.403361344543</v>
      </c>
      <c r="R5869" s="5">
        <f t="shared" si="274"/>
        <v>24783</v>
      </c>
      <c r="S5869" s="5">
        <f t="shared" si="275"/>
        <v>17225.403361344543</v>
      </c>
    </row>
    <row r="5870" spans="1:19" hidden="1" x14ac:dyDescent="0.3">
      <c r="A5870">
        <v>200</v>
      </c>
      <c r="B5870" t="s">
        <v>6336</v>
      </c>
      <c r="C5870" t="s">
        <v>3133</v>
      </c>
      <c r="D5870" s="2" t="s">
        <v>3134</v>
      </c>
      <c r="E5870" t="s">
        <v>3135</v>
      </c>
      <c r="F5870" t="s">
        <v>377</v>
      </c>
      <c r="G5870" t="s">
        <v>21</v>
      </c>
      <c r="H5870" t="s">
        <v>378</v>
      </c>
      <c r="I5870" t="s">
        <v>23</v>
      </c>
      <c r="J5870" t="s">
        <v>2638</v>
      </c>
      <c r="K5870" s="2" t="s">
        <v>25</v>
      </c>
      <c r="L5870" t="s">
        <v>26</v>
      </c>
      <c r="M5870">
        <v>329641</v>
      </c>
      <c r="N5870">
        <v>1</v>
      </c>
      <c r="O5870" s="3">
        <v>3450</v>
      </c>
      <c r="P5870" s="3">
        <v>1410</v>
      </c>
      <c r="Q5870" s="5">
        <f t="shared" si="273"/>
        <v>2899.1596638655465</v>
      </c>
      <c r="R5870" s="5">
        <f t="shared" si="274"/>
        <v>1410</v>
      </c>
      <c r="S5870" s="5">
        <f t="shared" si="275"/>
        <v>1489.1596638655465</v>
      </c>
    </row>
    <row r="5871" spans="1:19" hidden="1" x14ac:dyDescent="0.3">
      <c r="A5871">
        <v>200</v>
      </c>
      <c r="B5871" t="s">
        <v>6336</v>
      </c>
      <c r="C5871" t="s">
        <v>2955</v>
      </c>
      <c r="D5871" s="2" t="s">
        <v>2956</v>
      </c>
      <c r="E5871" t="s">
        <v>1758</v>
      </c>
      <c r="F5871" t="s">
        <v>20</v>
      </c>
      <c r="G5871" t="s">
        <v>338</v>
      </c>
      <c r="H5871">
        <v>25133</v>
      </c>
      <c r="I5871" t="s">
        <v>23</v>
      </c>
      <c r="J5871" t="s">
        <v>35</v>
      </c>
      <c r="K5871" s="2" t="s">
        <v>25</v>
      </c>
      <c r="L5871" t="s">
        <v>26</v>
      </c>
      <c r="M5871">
        <v>329642</v>
      </c>
      <c r="N5871">
        <v>1</v>
      </c>
      <c r="O5871" s="3">
        <v>74950</v>
      </c>
      <c r="P5871" s="3">
        <v>21167</v>
      </c>
      <c r="Q5871" s="5">
        <f t="shared" si="273"/>
        <v>62983.193277310929</v>
      </c>
      <c r="R5871" s="5">
        <f t="shared" si="274"/>
        <v>21167</v>
      </c>
      <c r="S5871" s="5">
        <f t="shared" si="275"/>
        <v>41816.193277310929</v>
      </c>
    </row>
    <row r="5872" spans="1:19" hidden="1" x14ac:dyDescent="0.3">
      <c r="A5872">
        <v>200</v>
      </c>
      <c r="B5872" t="s">
        <v>6336</v>
      </c>
      <c r="C5872" t="s">
        <v>2525</v>
      </c>
      <c r="D5872" s="2" t="s">
        <v>2526</v>
      </c>
      <c r="E5872" t="s">
        <v>2527</v>
      </c>
      <c r="F5872" t="s">
        <v>377</v>
      </c>
      <c r="G5872" t="s">
        <v>21</v>
      </c>
      <c r="H5872" t="s">
        <v>378</v>
      </c>
      <c r="I5872" t="s">
        <v>23</v>
      </c>
      <c r="J5872" t="s">
        <v>2459</v>
      </c>
      <c r="K5872" s="2" t="s">
        <v>25</v>
      </c>
      <c r="L5872" t="s">
        <v>26</v>
      </c>
      <c r="M5872">
        <v>329642</v>
      </c>
      <c r="N5872">
        <v>1</v>
      </c>
      <c r="O5872" s="3">
        <v>6950</v>
      </c>
      <c r="P5872" s="3">
        <v>2964</v>
      </c>
      <c r="Q5872" s="5">
        <f t="shared" si="273"/>
        <v>5840.3361344537816</v>
      </c>
      <c r="R5872" s="5">
        <f t="shared" si="274"/>
        <v>2964</v>
      </c>
      <c r="S5872" s="5">
        <f t="shared" si="275"/>
        <v>2876.3361344537816</v>
      </c>
    </row>
    <row r="5873" spans="1:19" hidden="1" x14ac:dyDescent="0.3">
      <c r="A5873">
        <v>200</v>
      </c>
      <c r="B5873" t="s">
        <v>6336</v>
      </c>
      <c r="C5873" t="s">
        <v>1811</v>
      </c>
      <c r="D5873" s="2" t="s">
        <v>1812</v>
      </c>
      <c r="E5873" t="s">
        <v>1813</v>
      </c>
      <c r="F5873" t="s">
        <v>20</v>
      </c>
      <c r="G5873" t="s">
        <v>21</v>
      </c>
      <c r="H5873" t="s">
        <v>557</v>
      </c>
      <c r="I5873" t="s">
        <v>23</v>
      </c>
      <c r="J5873" t="s">
        <v>40</v>
      </c>
      <c r="K5873" s="2" t="s">
        <v>25</v>
      </c>
      <c r="L5873" t="s">
        <v>26</v>
      </c>
      <c r="M5873">
        <v>329643</v>
      </c>
      <c r="N5873">
        <v>1</v>
      </c>
      <c r="O5873" s="3">
        <v>49990</v>
      </c>
      <c r="P5873" s="3">
        <v>28049</v>
      </c>
      <c r="Q5873" s="5">
        <f t="shared" si="273"/>
        <v>42008.403361344543</v>
      </c>
      <c r="R5873" s="5">
        <f t="shared" si="274"/>
        <v>28049</v>
      </c>
      <c r="S5873" s="5">
        <f t="shared" si="275"/>
        <v>13959.403361344543</v>
      </c>
    </row>
    <row r="5874" spans="1:19" hidden="1" x14ac:dyDescent="0.3">
      <c r="A5874">
        <v>200</v>
      </c>
      <c r="B5874" t="s">
        <v>6336</v>
      </c>
      <c r="C5874" t="s">
        <v>700</v>
      </c>
      <c r="D5874" s="2" t="s">
        <v>701</v>
      </c>
      <c r="E5874" t="s">
        <v>702</v>
      </c>
      <c r="F5874" t="s">
        <v>377</v>
      </c>
      <c r="G5874" t="s">
        <v>21</v>
      </c>
      <c r="H5874" t="s">
        <v>378</v>
      </c>
      <c r="I5874" t="s">
        <v>23</v>
      </c>
      <c r="J5874" t="s">
        <v>379</v>
      </c>
      <c r="K5874" s="2" t="s">
        <v>25</v>
      </c>
      <c r="L5874" t="s">
        <v>26</v>
      </c>
      <c r="M5874">
        <v>329644</v>
      </c>
      <c r="N5874">
        <v>1</v>
      </c>
      <c r="O5874" s="3">
        <v>4950</v>
      </c>
      <c r="P5874" s="3">
        <v>2529</v>
      </c>
      <c r="Q5874" s="5">
        <f t="shared" si="273"/>
        <v>4159.6638655462184</v>
      </c>
      <c r="R5874" s="5">
        <f t="shared" si="274"/>
        <v>2529</v>
      </c>
      <c r="S5874" s="5">
        <f t="shared" si="275"/>
        <v>1630.6638655462184</v>
      </c>
    </row>
    <row r="5875" spans="1:19" hidden="1" x14ac:dyDescent="0.3">
      <c r="A5875">
        <v>200</v>
      </c>
      <c r="B5875" t="s">
        <v>6336</v>
      </c>
      <c r="C5875" t="s">
        <v>2525</v>
      </c>
      <c r="D5875" s="2" t="s">
        <v>2526</v>
      </c>
      <c r="E5875" t="s">
        <v>2527</v>
      </c>
      <c r="F5875" t="s">
        <v>377</v>
      </c>
      <c r="G5875" t="s">
        <v>21</v>
      </c>
      <c r="H5875" t="s">
        <v>378</v>
      </c>
      <c r="I5875" t="s">
        <v>23</v>
      </c>
      <c r="J5875" t="s">
        <v>2459</v>
      </c>
      <c r="K5875" s="2" t="s">
        <v>25</v>
      </c>
      <c r="L5875" t="s">
        <v>26</v>
      </c>
      <c r="M5875">
        <v>329644</v>
      </c>
      <c r="N5875">
        <v>1</v>
      </c>
      <c r="O5875" s="3">
        <v>6950</v>
      </c>
      <c r="P5875" s="3">
        <v>2964</v>
      </c>
      <c r="Q5875" s="5">
        <f t="shared" si="273"/>
        <v>5840.3361344537816</v>
      </c>
      <c r="R5875" s="5">
        <f t="shared" si="274"/>
        <v>2964</v>
      </c>
      <c r="S5875" s="5">
        <f t="shared" si="275"/>
        <v>2876.3361344537816</v>
      </c>
    </row>
    <row r="5876" spans="1:19" hidden="1" x14ac:dyDescent="0.3">
      <c r="A5876">
        <v>200</v>
      </c>
      <c r="B5876" t="s">
        <v>6336</v>
      </c>
      <c r="C5876" t="s">
        <v>2525</v>
      </c>
      <c r="D5876" s="2" t="s">
        <v>2526</v>
      </c>
      <c r="E5876" t="s">
        <v>2527</v>
      </c>
      <c r="F5876" t="s">
        <v>377</v>
      </c>
      <c r="G5876" t="s">
        <v>21</v>
      </c>
      <c r="H5876" t="s">
        <v>378</v>
      </c>
      <c r="I5876" t="s">
        <v>23</v>
      </c>
      <c r="J5876" t="s">
        <v>2459</v>
      </c>
      <c r="K5876" s="2" t="s">
        <v>25</v>
      </c>
      <c r="L5876" t="s">
        <v>26</v>
      </c>
      <c r="M5876">
        <v>329645</v>
      </c>
      <c r="N5876">
        <v>1</v>
      </c>
      <c r="O5876" s="3">
        <v>6950</v>
      </c>
      <c r="P5876" s="3">
        <v>2964</v>
      </c>
      <c r="Q5876" s="5">
        <f t="shared" si="273"/>
        <v>5840.3361344537816</v>
      </c>
      <c r="R5876" s="5">
        <f t="shared" si="274"/>
        <v>2964</v>
      </c>
      <c r="S5876" s="5">
        <f t="shared" si="275"/>
        <v>2876.3361344537816</v>
      </c>
    </row>
    <row r="5877" spans="1:19" hidden="1" x14ac:dyDescent="0.3">
      <c r="A5877">
        <v>200</v>
      </c>
      <c r="B5877" t="s">
        <v>6336</v>
      </c>
      <c r="C5877" t="s">
        <v>3507</v>
      </c>
      <c r="D5877" s="2" t="s">
        <v>3508</v>
      </c>
      <c r="E5877" t="s">
        <v>2323</v>
      </c>
      <c r="F5877" t="s">
        <v>20</v>
      </c>
      <c r="G5877" t="s">
        <v>21</v>
      </c>
      <c r="H5877" t="s">
        <v>1887</v>
      </c>
      <c r="I5877" t="s">
        <v>23</v>
      </c>
      <c r="J5877" t="s">
        <v>40</v>
      </c>
      <c r="K5877" s="2" t="s">
        <v>25</v>
      </c>
      <c r="L5877" t="s">
        <v>26</v>
      </c>
      <c r="M5877">
        <v>329646</v>
      </c>
      <c r="N5877">
        <v>1</v>
      </c>
      <c r="O5877" s="3">
        <v>69950</v>
      </c>
      <c r="P5877" s="3">
        <v>21623</v>
      </c>
      <c r="Q5877" s="5">
        <f t="shared" si="273"/>
        <v>58781.512605042022</v>
      </c>
      <c r="R5877" s="5">
        <f t="shared" si="274"/>
        <v>21623</v>
      </c>
      <c r="S5877" s="5">
        <f t="shared" si="275"/>
        <v>37158.512605042022</v>
      </c>
    </row>
    <row r="5878" spans="1:19" hidden="1" x14ac:dyDescent="0.3">
      <c r="A5878">
        <v>200</v>
      </c>
      <c r="B5878" t="s">
        <v>6336</v>
      </c>
      <c r="C5878">
        <v>1687976791</v>
      </c>
      <c r="D5878" s="2" t="s">
        <v>200</v>
      </c>
      <c r="E5878" t="s">
        <v>201</v>
      </c>
      <c r="F5878" t="s">
        <v>201</v>
      </c>
      <c r="G5878" t="s">
        <v>202</v>
      </c>
      <c r="H5878" t="s">
        <v>202</v>
      </c>
      <c r="I5878" t="s">
        <v>23</v>
      </c>
      <c r="J5878" t="s">
        <v>202</v>
      </c>
      <c r="K5878" s="2" t="s">
        <v>268</v>
      </c>
      <c r="L5878" t="s">
        <v>26</v>
      </c>
      <c r="M5878">
        <v>329647</v>
      </c>
      <c r="N5878">
        <v>1</v>
      </c>
      <c r="O5878" s="3">
        <v>3200</v>
      </c>
      <c r="P5878">
        <v>1</v>
      </c>
      <c r="Q5878" s="5">
        <f t="shared" si="273"/>
        <v>2689.0756302521008</v>
      </c>
      <c r="R5878" s="5">
        <f t="shared" si="274"/>
        <v>1</v>
      </c>
      <c r="S5878" s="5">
        <f t="shared" si="275"/>
        <v>2688.0756302521008</v>
      </c>
    </row>
    <row r="5879" spans="1:19" hidden="1" x14ac:dyDescent="0.3">
      <c r="A5879">
        <v>200</v>
      </c>
      <c r="B5879" t="s">
        <v>6336</v>
      </c>
      <c r="C5879" t="s">
        <v>5047</v>
      </c>
      <c r="D5879" s="2" t="s">
        <v>5048</v>
      </c>
      <c r="E5879" t="s">
        <v>1494</v>
      </c>
      <c r="F5879" t="s">
        <v>20</v>
      </c>
      <c r="G5879" t="s">
        <v>338</v>
      </c>
      <c r="H5879">
        <v>23763</v>
      </c>
      <c r="I5879" t="s">
        <v>23</v>
      </c>
      <c r="J5879" t="s">
        <v>40</v>
      </c>
      <c r="K5879" s="2" t="s">
        <v>268</v>
      </c>
      <c r="L5879" t="s">
        <v>26</v>
      </c>
      <c r="M5879">
        <v>329647</v>
      </c>
      <c r="N5879">
        <v>1</v>
      </c>
      <c r="O5879" s="3">
        <v>59950</v>
      </c>
      <c r="P5879" s="3">
        <v>19813</v>
      </c>
      <c r="Q5879" s="5">
        <f t="shared" si="273"/>
        <v>50378.151260504201</v>
      </c>
      <c r="R5879" s="5">
        <f t="shared" si="274"/>
        <v>19813</v>
      </c>
      <c r="S5879" s="5">
        <f t="shared" si="275"/>
        <v>30565.151260504201</v>
      </c>
    </row>
    <row r="5880" spans="1:19" hidden="1" x14ac:dyDescent="0.3">
      <c r="A5880">
        <v>200</v>
      </c>
      <c r="B5880" t="s">
        <v>6336</v>
      </c>
      <c r="C5880" t="s">
        <v>1037</v>
      </c>
      <c r="D5880" s="2" t="s">
        <v>1038</v>
      </c>
      <c r="E5880" t="s">
        <v>1039</v>
      </c>
      <c r="F5880" t="s">
        <v>377</v>
      </c>
      <c r="G5880" t="s">
        <v>21</v>
      </c>
      <c r="H5880" t="s">
        <v>378</v>
      </c>
      <c r="I5880" t="s">
        <v>23</v>
      </c>
      <c r="J5880" t="s">
        <v>379</v>
      </c>
      <c r="K5880" s="2" t="s">
        <v>268</v>
      </c>
      <c r="L5880" t="s">
        <v>26</v>
      </c>
      <c r="M5880">
        <v>329648</v>
      </c>
      <c r="N5880">
        <v>1</v>
      </c>
      <c r="O5880" s="3">
        <v>5950</v>
      </c>
      <c r="P5880" s="3">
        <v>3257</v>
      </c>
      <c r="Q5880" s="5">
        <f t="shared" si="273"/>
        <v>5000</v>
      </c>
      <c r="R5880" s="5">
        <f t="shared" si="274"/>
        <v>3257</v>
      </c>
      <c r="S5880" s="5">
        <f t="shared" si="275"/>
        <v>1743</v>
      </c>
    </row>
    <row r="5881" spans="1:19" hidden="1" x14ac:dyDescent="0.3">
      <c r="A5881">
        <v>200</v>
      </c>
      <c r="B5881" t="s">
        <v>6336</v>
      </c>
      <c r="C5881" t="s">
        <v>6341</v>
      </c>
      <c r="D5881" s="2" t="s">
        <v>6342</v>
      </c>
      <c r="E5881" t="s">
        <v>6343</v>
      </c>
      <c r="F5881" t="s">
        <v>377</v>
      </c>
      <c r="G5881" t="s">
        <v>21</v>
      </c>
      <c r="H5881" t="s">
        <v>378</v>
      </c>
      <c r="I5881" t="s">
        <v>23</v>
      </c>
      <c r="J5881" t="s">
        <v>379</v>
      </c>
      <c r="K5881" s="2" t="s">
        <v>268</v>
      </c>
      <c r="L5881" t="s">
        <v>26</v>
      </c>
      <c r="M5881">
        <v>329648</v>
      </c>
      <c r="N5881">
        <v>1</v>
      </c>
      <c r="O5881" s="3">
        <v>6950</v>
      </c>
      <c r="P5881" s="3">
        <v>3701</v>
      </c>
      <c r="Q5881" s="5">
        <f t="shared" si="273"/>
        <v>5840.3361344537816</v>
      </c>
      <c r="R5881" s="5">
        <f t="shared" si="274"/>
        <v>3701</v>
      </c>
      <c r="S5881" s="5">
        <f t="shared" si="275"/>
        <v>2139.3361344537816</v>
      </c>
    </row>
    <row r="5882" spans="1:19" hidden="1" x14ac:dyDescent="0.3">
      <c r="A5882">
        <v>200</v>
      </c>
      <c r="B5882" t="s">
        <v>6336</v>
      </c>
      <c r="C5882" t="s">
        <v>2525</v>
      </c>
      <c r="D5882" s="2" t="s">
        <v>2526</v>
      </c>
      <c r="E5882" t="s">
        <v>2527</v>
      </c>
      <c r="F5882" t="s">
        <v>377</v>
      </c>
      <c r="G5882" t="s">
        <v>21</v>
      </c>
      <c r="H5882" t="s">
        <v>378</v>
      </c>
      <c r="I5882" t="s">
        <v>23</v>
      </c>
      <c r="J5882" t="s">
        <v>2459</v>
      </c>
      <c r="K5882" s="2" t="s">
        <v>268</v>
      </c>
      <c r="L5882" t="s">
        <v>26</v>
      </c>
      <c r="M5882">
        <v>329648</v>
      </c>
      <c r="N5882">
        <v>1</v>
      </c>
      <c r="O5882" s="3">
        <v>6950</v>
      </c>
      <c r="P5882" s="3">
        <v>2964</v>
      </c>
      <c r="Q5882" s="5">
        <f t="shared" si="273"/>
        <v>5840.3361344537816</v>
      </c>
      <c r="R5882" s="5">
        <f t="shared" si="274"/>
        <v>2964</v>
      </c>
      <c r="S5882" s="5">
        <f t="shared" si="275"/>
        <v>2876.3361344537816</v>
      </c>
    </row>
    <row r="5883" spans="1:19" hidden="1" x14ac:dyDescent="0.3">
      <c r="A5883">
        <v>200</v>
      </c>
      <c r="B5883" t="s">
        <v>6336</v>
      </c>
      <c r="C5883" t="s">
        <v>5613</v>
      </c>
      <c r="D5883" s="2" t="s">
        <v>5614</v>
      </c>
      <c r="E5883" t="s">
        <v>2160</v>
      </c>
      <c r="F5883" t="s">
        <v>20</v>
      </c>
      <c r="G5883" t="s">
        <v>21</v>
      </c>
      <c r="H5883" t="s">
        <v>970</v>
      </c>
      <c r="I5883" t="s">
        <v>23</v>
      </c>
      <c r="J5883" t="s">
        <v>40</v>
      </c>
      <c r="K5883" s="2" t="s">
        <v>268</v>
      </c>
      <c r="L5883" t="s">
        <v>26</v>
      </c>
      <c r="M5883">
        <v>329649</v>
      </c>
      <c r="N5883">
        <v>1</v>
      </c>
      <c r="O5883" s="3">
        <v>49990</v>
      </c>
      <c r="P5883" s="3">
        <v>18259</v>
      </c>
      <c r="Q5883" s="5">
        <f t="shared" si="273"/>
        <v>42008.403361344543</v>
      </c>
      <c r="R5883" s="5">
        <f t="shared" si="274"/>
        <v>18259</v>
      </c>
      <c r="S5883" s="5">
        <f t="shared" si="275"/>
        <v>23749.403361344543</v>
      </c>
    </row>
    <row r="5884" spans="1:19" hidden="1" x14ac:dyDescent="0.3">
      <c r="A5884">
        <v>200</v>
      </c>
      <c r="B5884" t="s">
        <v>6336</v>
      </c>
      <c r="C5884" t="s">
        <v>6344</v>
      </c>
      <c r="D5884" s="2" t="s">
        <v>6345</v>
      </c>
      <c r="E5884" t="s">
        <v>6346</v>
      </c>
      <c r="F5884" t="s">
        <v>20</v>
      </c>
      <c r="G5884" t="s">
        <v>338</v>
      </c>
      <c r="H5884">
        <v>28204</v>
      </c>
      <c r="I5884" t="s">
        <v>23</v>
      </c>
      <c r="J5884" t="s">
        <v>207</v>
      </c>
      <c r="K5884" s="2" t="s">
        <v>268</v>
      </c>
      <c r="L5884" t="s">
        <v>26</v>
      </c>
      <c r="M5884">
        <v>329650</v>
      </c>
      <c r="N5884">
        <v>1</v>
      </c>
      <c r="O5884" s="3">
        <v>39990</v>
      </c>
      <c r="P5884" s="3">
        <v>20434</v>
      </c>
      <c r="Q5884" s="5">
        <f t="shared" si="273"/>
        <v>33605.042016806721</v>
      </c>
      <c r="R5884" s="5">
        <f t="shared" si="274"/>
        <v>20434</v>
      </c>
      <c r="S5884" s="5">
        <f t="shared" si="275"/>
        <v>13171.042016806721</v>
      </c>
    </row>
    <row r="5885" spans="1:19" hidden="1" x14ac:dyDescent="0.3">
      <c r="A5885">
        <v>200</v>
      </c>
      <c r="B5885" t="s">
        <v>6336</v>
      </c>
      <c r="C5885" t="s">
        <v>3692</v>
      </c>
      <c r="D5885" s="2" t="s">
        <v>3693</v>
      </c>
      <c r="E5885" t="s">
        <v>1758</v>
      </c>
      <c r="F5885" t="s">
        <v>20</v>
      </c>
      <c r="G5885" t="s">
        <v>338</v>
      </c>
      <c r="H5885">
        <v>25133</v>
      </c>
      <c r="I5885" t="s">
        <v>23</v>
      </c>
      <c r="J5885" t="s">
        <v>35</v>
      </c>
      <c r="K5885" s="2" t="s">
        <v>268</v>
      </c>
      <c r="L5885" t="s">
        <v>26</v>
      </c>
      <c r="M5885">
        <v>329651</v>
      </c>
      <c r="N5885">
        <v>1</v>
      </c>
      <c r="O5885" s="3">
        <v>74950</v>
      </c>
      <c r="P5885" s="3">
        <v>21167</v>
      </c>
      <c r="Q5885" s="5">
        <f t="shared" si="273"/>
        <v>62983.193277310929</v>
      </c>
      <c r="R5885" s="5">
        <f t="shared" si="274"/>
        <v>21167</v>
      </c>
      <c r="S5885" s="5">
        <f t="shared" si="275"/>
        <v>41816.193277310929</v>
      </c>
    </row>
    <row r="5886" spans="1:19" hidden="1" x14ac:dyDescent="0.3">
      <c r="A5886">
        <v>200</v>
      </c>
      <c r="B5886" t="s">
        <v>6336</v>
      </c>
      <c r="C5886" t="s">
        <v>4617</v>
      </c>
      <c r="D5886" s="2" t="s">
        <v>4618</v>
      </c>
      <c r="E5886" t="s">
        <v>2870</v>
      </c>
      <c r="F5886" t="s">
        <v>20</v>
      </c>
      <c r="G5886" t="s">
        <v>21</v>
      </c>
      <c r="H5886" t="s">
        <v>30</v>
      </c>
      <c r="I5886" t="s">
        <v>23</v>
      </c>
      <c r="J5886" t="s">
        <v>35</v>
      </c>
      <c r="K5886" s="2" t="s">
        <v>268</v>
      </c>
      <c r="L5886" t="s">
        <v>26</v>
      </c>
      <c r="M5886">
        <v>329652</v>
      </c>
      <c r="N5886">
        <v>1</v>
      </c>
      <c r="O5886" s="3">
        <v>79950</v>
      </c>
      <c r="P5886" s="3">
        <v>30749</v>
      </c>
      <c r="Q5886" s="5">
        <f t="shared" si="273"/>
        <v>67184.873949579836</v>
      </c>
      <c r="R5886" s="5">
        <f t="shared" si="274"/>
        <v>30749</v>
      </c>
      <c r="S5886" s="5">
        <f t="shared" si="275"/>
        <v>36435.873949579836</v>
      </c>
    </row>
    <row r="5887" spans="1:19" hidden="1" x14ac:dyDescent="0.3">
      <c r="A5887">
        <v>200</v>
      </c>
      <c r="B5887" t="s">
        <v>6336</v>
      </c>
      <c r="C5887" t="s">
        <v>3341</v>
      </c>
      <c r="D5887" s="2" t="s">
        <v>3342</v>
      </c>
      <c r="E5887" t="s">
        <v>2661</v>
      </c>
      <c r="F5887" t="s">
        <v>20</v>
      </c>
      <c r="G5887" t="s">
        <v>21</v>
      </c>
      <c r="H5887" t="s">
        <v>317</v>
      </c>
      <c r="I5887" t="s">
        <v>23</v>
      </c>
      <c r="J5887" t="s">
        <v>35</v>
      </c>
      <c r="K5887" s="2" t="s">
        <v>268</v>
      </c>
      <c r="L5887" t="s">
        <v>26</v>
      </c>
      <c r="M5887">
        <v>329653</v>
      </c>
      <c r="N5887">
        <v>1</v>
      </c>
      <c r="O5887" s="3">
        <v>69950</v>
      </c>
      <c r="P5887" s="3">
        <v>25924</v>
      </c>
      <c r="Q5887" s="5">
        <f t="shared" si="273"/>
        <v>58781.512605042022</v>
      </c>
      <c r="R5887" s="5">
        <f t="shared" si="274"/>
        <v>25924</v>
      </c>
      <c r="S5887" s="5">
        <f t="shared" si="275"/>
        <v>32857.512605042022</v>
      </c>
    </row>
    <row r="5888" spans="1:19" hidden="1" x14ac:dyDescent="0.3">
      <c r="A5888">
        <v>200</v>
      </c>
      <c r="B5888" t="s">
        <v>6336</v>
      </c>
      <c r="C5888" t="s">
        <v>1037</v>
      </c>
      <c r="D5888" s="2" t="s">
        <v>1038</v>
      </c>
      <c r="E5888" t="s">
        <v>1039</v>
      </c>
      <c r="F5888" t="s">
        <v>377</v>
      </c>
      <c r="G5888" t="s">
        <v>21</v>
      </c>
      <c r="H5888" t="s">
        <v>378</v>
      </c>
      <c r="I5888" t="s">
        <v>23</v>
      </c>
      <c r="J5888" t="s">
        <v>379</v>
      </c>
      <c r="K5888" s="2" t="s">
        <v>268</v>
      </c>
      <c r="L5888" t="s">
        <v>26</v>
      </c>
      <c r="M5888">
        <v>329653</v>
      </c>
      <c r="N5888">
        <v>1</v>
      </c>
      <c r="O5888" s="3">
        <v>5950</v>
      </c>
      <c r="P5888" s="3">
        <v>3257</v>
      </c>
      <c r="Q5888" s="5">
        <f t="shared" si="273"/>
        <v>5000</v>
      </c>
      <c r="R5888" s="5">
        <f t="shared" si="274"/>
        <v>3257</v>
      </c>
      <c r="S5888" s="5">
        <f t="shared" si="275"/>
        <v>1743</v>
      </c>
    </row>
    <row r="5889" spans="1:19" hidden="1" x14ac:dyDescent="0.3">
      <c r="A5889">
        <v>200</v>
      </c>
      <c r="B5889" t="s">
        <v>6336</v>
      </c>
      <c r="C5889" t="s">
        <v>4202</v>
      </c>
      <c r="D5889" s="2" t="s">
        <v>4203</v>
      </c>
      <c r="E5889" t="s">
        <v>485</v>
      </c>
      <c r="F5889" t="s">
        <v>20</v>
      </c>
      <c r="G5889" t="s">
        <v>21</v>
      </c>
      <c r="H5889" t="s">
        <v>247</v>
      </c>
      <c r="I5889" t="s">
        <v>23</v>
      </c>
      <c r="J5889" t="s">
        <v>40</v>
      </c>
      <c r="K5889" s="2" t="s">
        <v>268</v>
      </c>
      <c r="L5889" t="s">
        <v>26</v>
      </c>
      <c r="M5889">
        <v>329654</v>
      </c>
      <c r="N5889">
        <v>1</v>
      </c>
      <c r="O5889" s="3">
        <v>34990</v>
      </c>
      <c r="P5889" s="3">
        <v>17194</v>
      </c>
      <c r="Q5889" s="5">
        <f t="shared" si="273"/>
        <v>29403.361344537818</v>
      </c>
      <c r="R5889" s="5">
        <f t="shared" si="274"/>
        <v>17194</v>
      </c>
      <c r="S5889" s="5">
        <f t="shared" si="275"/>
        <v>12209.361344537818</v>
      </c>
    </row>
    <row r="5890" spans="1:19" hidden="1" x14ac:dyDescent="0.3">
      <c r="A5890">
        <v>200</v>
      </c>
      <c r="B5890" t="s">
        <v>6336</v>
      </c>
      <c r="C5890" t="s">
        <v>1615</v>
      </c>
      <c r="D5890" s="2" t="s">
        <v>1616</v>
      </c>
      <c r="E5890" t="s">
        <v>1617</v>
      </c>
      <c r="F5890" t="s">
        <v>20</v>
      </c>
      <c r="G5890" t="s">
        <v>21</v>
      </c>
      <c r="H5890" t="s">
        <v>48</v>
      </c>
      <c r="I5890" t="s">
        <v>23</v>
      </c>
      <c r="J5890" t="s">
        <v>49</v>
      </c>
      <c r="K5890" s="2" t="s">
        <v>2344</v>
      </c>
      <c r="L5890" t="s">
        <v>26</v>
      </c>
      <c r="M5890">
        <v>329655</v>
      </c>
      <c r="N5890">
        <v>1</v>
      </c>
      <c r="O5890" s="3">
        <v>39990</v>
      </c>
      <c r="P5890" s="3">
        <v>24322</v>
      </c>
      <c r="Q5890" s="5">
        <f t="shared" si="273"/>
        <v>33605.042016806721</v>
      </c>
      <c r="R5890" s="5">
        <f t="shared" si="274"/>
        <v>24322</v>
      </c>
      <c r="S5890" s="5">
        <f t="shared" si="275"/>
        <v>9283.0420168067212</v>
      </c>
    </row>
    <row r="5891" spans="1:19" hidden="1" x14ac:dyDescent="0.3">
      <c r="A5891">
        <v>200</v>
      </c>
      <c r="B5891" t="s">
        <v>6336</v>
      </c>
      <c r="C5891">
        <v>1687976791</v>
      </c>
      <c r="D5891" s="2" t="s">
        <v>200</v>
      </c>
      <c r="E5891" t="s">
        <v>201</v>
      </c>
      <c r="F5891" t="s">
        <v>201</v>
      </c>
      <c r="G5891" t="s">
        <v>202</v>
      </c>
      <c r="H5891" t="s">
        <v>202</v>
      </c>
      <c r="I5891" t="s">
        <v>23</v>
      </c>
      <c r="J5891" t="s">
        <v>202</v>
      </c>
      <c r="K5891" s="2" t="s">
        <v>2344</v>
      </c>
      <c r="L5891" t="s">
        <v>26</v>
      </c>
      <c r="M5891">
        <v>329655</v>
      </c>
      <c r="N5891">
        <v>1</v>
      </c>
      <c r="O5891" s="3">
        <v>7097</v>
      </c>
      <c r="P5891">
        <v>1</v>
      </c>
      <c r="Q5891" s="5">
        <f t="shared" si="273"/>
        <v>5963.8655462184879</v>
      </c>
      <c r="R5891" s="5">
        <f t="shared" si="274"/>
        <v>1</v>
      </c>
      <c r="S5891" s="5">
        <f t="shared" si="275"/>
        <v>5962.8655462184879</v>
      </c>
    </row>
    <row r="5892" spans="1:19" hidden="1" x14ac:dyDescent="0.3">
      <c r="A5892">
        <v>200</v>
      </c>
      <c r="B5892" t="s">
        <v>6336</v>
      </c>
      <c r="C5892" t="s">
        <v>3255</v>
      </c>
      <c r="D5892" s="2" t="s">
        <v>3256</v>
      </c>
      <c r="E5892" t="s">
        <v>2653</v>
      </c>
      <c r="F5892" t="s">
        <v>20</v>
      </c>
      <c r="G5892" t="s">
        <v>21</v>
      </c>
      <c r="H5892" t="s">
        <v>2315</v>
      </c>
      <c r="I5892" t="s">
        <v>23</v>
      </c>
      <c r="J5892" t="s">
        <v>35</v>
      </c>
      <c r="K5892" s="2" t="s">
        <v>2344</v>
      </c>
      <c r="L5892" t="s">
        <v>26</v>
      </c>
      <c r="M5892">
        <v>329656</v>
      </c>
      <c r="N5892">
        <v>1</v>
      </c>
      <c r="O5892" s="3">
        <v>89950</v>
      </c>
      <c r="P5892" s="3">
        <v>30749</v>
      </c>
      <c r="Q5892" s="5">
        <f t="shared" si="273"/>
        <v>75588.23529411765</v>
      </c>
      <c r="R5892" s="5">
        <f t="shared" si="274"/>
        <v>30749</v>
      </c>
      <c r="S5892" s="5">
        <f t="shared" si="275"/>
        <v>44839.23529411765</v>
      </c>
    </row>
    <row r="5893" spans="1:19" hidden="1" x14ac:dyDescent="0.3">
      <c r="A5893">
        <v>200</v>
      </c>
      <c r="B5893" t="s">
        <v>6336</v>
      </c>
      <c r="C5893" t="s">
        <v>1767</v>
      </c>
      <c r="D5893" s="2" t="s">
        <v>1768</v>
      </c>
      <c r="E5893" t="s">
        <v>1769</v>
      </c>
      <c r="F5893" t="s">
        <v>20</v>
      </c>
      <c r="G5893" t="s">
        <v>21</v>
      </c>
      <c r="H5893" t="s">
        <v>65</v>
      </c>
      <c r="I5893" t="s">
        <v>23</v>
      </c>
      <c r="J5893" t="s">
        <v>49</v>
      </c>
      <c r="K5893" s="2" t="s">
        <v>2344</v>
      </c>
      <c r="L5893" t="s">
        <v>26</v>
      </c>
      <c r="M5893">
        <v>329657</v>
      </c>
      <c r="N5893">
        <v>1</v>
      </c>
      <c r="O5893" s="3">
        <v>39990</v>
      </c>
      <c r="P5893" s="3">
        <v>21029</v>
      </c>
      <c r="Q5893" s="5">
        <f t="shared" si="273"/>
        <v>33605.042016806721</v>
      </c>
      <c r="R5893" s="5">
        <f t="shared" si="274"/>
        <v>21029</v>
      </c>
      <c r="S5893" s="5">
        <f t="shared" si="275"/>
        <v>12576.042016806721</v>
      </c>
    </row>
    <row r="5894" spans="1:19" hidden="1" x14ac:dyDescent="0.3">
      <c r="A5894">
        <v>200</v>
      </c>
      <c r="B5894" t="s">
        <v>6336</v>
      </c>
      <c r="C5894" t="s">
        <v>2485</v>
      </c>
      <c r="D5894" s="2" t="s">
        <v>2486</v>
      </c>
      <c r="E5894" t="s">
        <v>2487</v>
      </c>
      <c r="F5894" t="s">
        <v>377</v>
      </c>
      <c r="G5894" t="s">
        <v>21</v>
      </c>
      <c r="H5894" t="s">
        <v>378</v>
      </c>
      <c r="I5894" t="s">
        <v>23</v>
      </c>
      <c r="J5894" t="s">
        <v>379</v>
      </c>
      <c r="K5894" s="2" t="s">
        <v>2344</v>
      </c>
      <c r="L5894" t="s">
        <v>26</v>
      </c>
      <c r="M5894">
        <v>329658</v>
      </c>
      <c r="N5894">
        <v>1</v>
      </c>
      <c r="O5894" s="3">
        <v>5950</v>
      </c>
      <c r="P5894" s="3">
        <v>2243</v>
      </c>
      <c r="Q5894" s="5">
        <f t="shared" ref="Q5894:Q5957" si="276">O5894/1.19</f>
        <v>5000</v>
      </c>
      <c r="R5894" s="5">
        <f t="shared" ref="R5894:R5957" si="277">N5894*P5894</f>
        <v>2243</v>
      </c>
      <c r="S5894" s="5">
        <f t="shared" ref="S5894:S5957" si="278">Q5894-R5894</f>
        <v>2757</v>
      </c>
    </row>
    <row r="5895" spans="1:19" hidden="1" x14ac:dyDescent="0.3">
      <c r="A5895">
        <v>200</v>
      </c>
      <c r="B5895" t="s">
        <v>6336</v>
      </c>
      <c r="C5895" t="s">
        <v>2806</v>
      </c>
      <c r="D5895" s="2" t="s">
        <v>2807</v>
      </c>
      <c r="E5895" t="s">
        <v>1754</v>
      </c>
      <c r="F5895" t="s">
        <v>20</v>
      </c>
      <c r="G5895" t="s">
        <v>21</v>
      </c>
      <c r="H5895" t="s">
        <v>1755</v>
      </c>
      <c r="I5895" t="s">
        <v>23</v>
      </c>
      <c r="J5895" t="s">
        <v>40</v>
      </c>
      <c r="K5895" s="2" t="s">
        <v>2344</v>
      </c>
      <c r="L5895" t="s">
        <v>26</v>
      </c>
      <c r="M5895">
        <v>329659</v>
      </c>
      <c r="N5895">
        <v>1</v>
      </c>
      <c r="O5895" s="3">
        <v>39990</v>
      </c>
      <c r="P5895" s="3">
        <v>28528</v>
      </c>
      <c r="Q5895" s="5">
        <f t="shared" si="276"/>
        <v>33605.042016806721</v>
      </c>
      <c r="R5895" s="5">
        <f t="shared" si="277"/>
        <v>28528</v>
      </c>
      <c r="S5895" s="5">
        <f t="shared" si="278"/>
        <v>5077.0420168067212</v>
      </c>
    </row>
    <row r="5896" spans="1:19" hidden="1" x14ac:dyDescent="0.3">
      <c r="A5896">
        <v>200</v>
      </c>
      <c r="B5896" t="s">
        <v>6336</v>
      </c>
      <c r="C5896" t="s">
        <v>6347</v>
      </c>
      <c r="D5896" s="2" t="s">
        <v>6348</v>
      </c>
      <c r="E5896" t="s">
        <v>3308</v>
      </c>
      <c r="F5896" t="s">
        <v>20</v>
      </c>
      <c r="G5896" t="s">
        <v>21</v>
      </c>
      <c r="H5896" t="s">
        <v>3309</v>
      </c>
      <c r="I5896" t="s">
        <v>23</v>
      </c>
      <c r="J5896" t="s">
        <v>40</v>
      </c>
      <c r="K5896" s="2" t="s">
        <v>2344</v>
      </c>
      <c r="L5896" t="s">
        <v>26</v>
      </c>
      <c r="M5896">
        <v>329660</v>
      </c>
      <c r="N5896">
        <v>1</v>
      </c>
      <c r="O5896" s="3">
        <v>64950</v>
      </c>
      <c r="P5896" s="3">
        <v>21130</v>
      </c>
      <c r="Q5896" s="5">
        <f t="shared" si="276"/>
        <v>54579.831932773115</v>
      </c>
      <c r="R5896" s="5">
        <f t="shared" si="277"/>
        <v>21130</v>
      </c>
      <c r="S5896" s="5">
        <f t="shared" si="278"/>
        <v>33449.831932773115</v>
      </c>
    </row>
    <row r="5897" spans="1:19" hidden="1" x14ac:dyDescent="0.3">
      <c r="A5897">
        <v>200</v>
      </c>
      <c r="B5897" t="s">
        <v>6336</v>
      </c>
      <c r="C5897" t="s">
        <v>2485</v>
      </c>
      <c r="D5897" s="2" t="s">
        <v>2486</v>
      </c>
      <c r="E5897" t="s">
        <v>2487</v>
      </c>
      <c r="F5897" t="s">
        <v>377</v>
      </c>
      <c r="G5897" t="s">
        <v>21</v>
      </c>
      <c r="H5897" t="s">
        <v>378</v>
      </c>
      <c r="I5897" t="s">
        <v>23</v>
      </c>
      <c r="J5897" t="s">
        <v>379</v>
      </c>
      <c r="K5897" s="2" t="s">
        <v>2344</v>
      </c>
      <c r="L5897" t="s">
        <v>26</v>
      </c>
      <c r="M5897">
        <v>329660</v>
      </c>
      <c r="N5897">
        <v>1</v>
      </c>
      <c r="O5897" s="3">
        <v>5950</v>
      </c>
      <c r="P5897" s="3">
        <v>2243</v>
      </c>
      <c r="Q5897" s="5">
        <f t="shared" si="276"/>
        <v>5000</v>
      </c>
      <c r="R5897" s="5">
        <f t="shared" si="277"/>
        <v>2243</v>
      </c>
      <c r="S5897" s="5">
        <f t="shared" si="278"/>
        <v>2757</v>
      </c>
    </row>
    <row r="5898" spans="1:19" hidden="1" x14ac:dyDescent="0.3">
      <c r="A5898">
        <v>200</v>
      </c>
      <c r="B5898" t="s">
        <v>6336</v>
      </c>
      <c r="C5898" t="s">
        <v>3497</v>
      </c>
      <c r="D5898" s="2" t="s">
        <v>3498</v>
      </c>
      <c r="E5898" t="s">
        <v>2549</v>
      </c>
      <c r="F5898" t="s">
        <v>20</v>
      </c>
      <c r="G5898" t="s">
        <v>338</v>
      </c>
      <c r="H5898">
        <v>23755</v>
      </c>
      <c r="I5898" t="s">
        <v>23</v>
      </c>
      <c r="J5898" t="s">
        <v>40</v>
      </c>
      <c r="K5898" s="2" t="s">
        <v>2344</v>
      </c>
      <c r="L5898" t="s">
        <v>26</v>
      </c>
      <c r="M5898">
        <v>329661</v>
      </c>
      <c r="N5898">
        <v>1</v>
      </c>
      <c r="O5898" s="3">
        <v>74950</v>
      </c>
      <c r="P5898" s="3">
        <v>24718</v>
      </c>
      <c r="Q5898" s="5">
        <f t="shared" si="276"/>
        <v>62983.193277310929</v>
      </c>
      <c r="R5898" s="5">
        <f t="shared" si="277"/>
        <v>24718</v>
      </c>
      <c r="S5898" s="5">
        <f t="shared" si="278"/>
        <v>38265.193277310929</v>
      </c>
    </row>
    <row r="5899" spans="1:19" hidden="1" x14ac:dyDescent="0.3">
      <c r="A5899">
        <v>200</v>
      </c>
      <c r="B5899" t="s">
        <v>6336</v>
      </c>
      <c r="C5899" t="s">
        <v>6349</v>
      </c>
      <c r="D5899" s="2" t="s">
        <v>6350</v>
      </c>
      <c r="E5899" t="s">
        <v>954</v>
      </c>
      <c r="F5899" t="s">
        <v>20</v>
      </c>
      <c r="G5899" t="s">
        <v>21</v>
      </c>
      <c r="H5899" t="s">
        <v>557</v>
      </c>
      <c r="I5899" t="s">
        <v>23</v>
      </c>
      <c r="J5899" t="s">
        <v>40</v>
      </c>
      <c r="K5899" s="2" t="s">
        <v>2344</v>
      </c>
      <c r="L5899" t="s">
        <v>26</v>
      </c>
      <c r="M5899">
        <v>329662</v>
      </c>
      <c r="N5899">
        <v>1</v>
      </c>
      <c r="O5899" s="3">
        <v>79950</v>
      </c>
      <c r="P5899" s="3">
        <v>26779</v>
      </c>
      <c r="Q5899" s="5">
        <f t="shared" si="276"/>
        <v>67184.873949579836</v>
      </c>
      <c r="R5899" s="5">
        <f t="shared" si="277"/>
        <v>26779</v>
      </c>
      <c r="S5899" s="5">
        <f t="shared" si="278"/>
        <v>40405.873949579836</v>
      </c>
    </row>
    <row r="5900" spans="1:19" hidden="1" x14ac:dyDescent="0.3">
      <c r="A5900">
        <v>200</v>
      </c>
      <c r="B5900" t="s">
        <v>6336</v>
      </c>
      <c r="C5900" t="s">
        <v>2365</v>
      </c>
      <c r="D5900" s="2" t="s">
        <v>2366</v>
      </c>
      <c r="E5900" t="s">
        <v>2367</v>
      </c>
      <c r="F5900" t="s">
        <v>377</v>
      </c>
      <c r="G5900" t="s">
        <v>21</v>
      </c>
      <c r="H5900" t="s">
        <v>378</v>
      </c>
      <c r="I5900" t="s">
        <v>23</v>
      </c>
      <c r="J5900" t="s">
        <v>379</v>
      </c>
      <c r="K5900" s="2" t="s">
        <v>2344</v>
      </c>
      <c r="L5900" t="s">
        <v>26</v>
      </c>
      <c r="M5900">
        <v>329662</v>
      </c>
      <c r="N5900">
        <v>1</v>
      </c>
      <c r="O5900" s="3">
        <v>6950</v>
      </c>
      <c r="P5900" s="3">
        <v>3759</v>
      </c>
      <c r="Q5900" s="5">
        <f t="shared" si="276"/>
        <v>5840.3361344537816</v>
      </c>
      <c r="R5900" s="5">
        <f t="shared" si="277"/>
        <v>3759</v>
      </c>
      <c r="S5900" s="5">
        <f t="shared" si="278"/>
        <v>2081.3361344537816</v>
      </c>
    </row>
    <row r="5901" spans="1:19" hidden="1" x14ac:dyDescent="0.3">
      <c r="A5901">
        <v>200</v>
      </c>
      <c r="B5901" t="s">
        <v>6336</v>
      </c>
      <c r="C5901" t="s">
        <v>4946</v>
      </c>
      <c r="D5901" s="2" t="s">
        <v>4947</v>
      </c>
      <c r="E5901" t="s">
        <v>2629</v>
      </c>
      <c r="F5901" t="s">
        <v>20</v>
      </c>
      <c r="G5901" t="s">
        <v>21</v>
      </c>
      <c r="H5901" t="s">
        <v>1987</v>
      </c>
      <c r="I5901" t="s">
        <v>23</v>
      </c>
      <c r="J5901" t="s">
        <v>49</v>
      </c>
      <c r="K5901" s="2" t="s">
        <v>2344</v>
      </c>
      <c r="L5901" t="s">
        <v>26</v>
      </c>
      <c r="M5901">
        <v>329663</v>
      </c>
      <c r="N5901">
        <v>1</v>
      </c>
      <c r="O5901" s="3">
        <v>74950</v>
      </c>
      <c r="P5901" s="3">
        <v>23391</v>
      </c>
      <c r="Q5901" s="5">
        <f t="shared" si="276"/>
        <v>62983.193277310929</v>
      </c>
      <c r="R5901" s="5">
        <f t="shared" si="277"/>
        <v>23391</v>
      </c>
      <c r="S5901" s="5">
        <f t="shared" si="278"/>
        <v>39592.193277310929</v>
      </c>
    </row>
    <row r="5902" spans="1:19" hidden="1" x14ac:dyDescent="0.3">
      <c r="A5902">
        <v>200</v>
      </c>
      <c r="B5902" t="s">
        <v>6336</v>
      </c>
      <c r="C5902" t="s">
        <v>2525</v>
      </c>
      <c r="D5902" s="2" t="s">
        <v>2526</v>
      </c>
      <c r="E5902" t="s">
        <v>2527</v>
      </c>
      <c r="F5902" t="s">
        <v>377</v>
      </c>
      <c r="G5902" t="s">
        <v>21</v>
      </c>
      <c r="H5902" t="s">
        <v>378</v>
      </c>
      <c r="I5902" t="s">
        <v>23</v>
      </c>
      <c r="J5902" t="s">
        <v>2459</v>
      </c>
      <c r="K5902" s="2" t="s">
        <v>2344</v>
      </c>
      <c r="L5902" t="s">
        <v>26</v>
      </c>
      <c r="M5902">
        <v>329663</v>
      </c>
      <c r="N5902">
        <v>1</v>
      </c>
      <c r="O5902" s="3">
        <v>6950</v>
      </c>
      <c r="P5902" s="3">
        <v>2964</v>
      </c>
      <c r="Q5902" s="5">
        <f t="shared" si="276"/>
        <v>5840.3361344537816</v>
      </c>
      <c r="R5902" s="5">
        <f t="shared" si="277"/>
        <v>2964</v>
      </c>
      <c r="S5902" s="5">
        <f t="shared" si="278"/>
        <v>2876.3361344537816</v>
      </c>
    </row>
    <row r="5903" spans="1:19" hidden="1" x14ac:dyDescent="0.3">
      <c r="A5903">
        <v>200</v>
      </c>
      <c r="B5903" t="s">
        <v>6336</v>
      </c>
      <c r="C5903" t="s">
        <v>6351</v>
      </c>
      <c r="D5903" s="2" t="s">
        <v>6352</v>
      </c>
      <c r="E5903" t="s">
        <v>4411</v>
      </c>
      <c r="F5903" t="s">
        <v>20</v>
      </c>
      <c r="G5903" t="s">
        <v>21</v>
      </c>
      <c r="H5903" t="s">
        <v>614</v>
      </c>
      <c r="I5903" t="s">
        <v>23</v>
      </c>
      <c r="J5903" t="s">
        <v>40</v>
      </c>
      <c r="K5903" s="2" t="s">
        <v>2344</v>
      </c>
      <c r="L5903" t="s">
        <v>26</v>
      </c>
      <c r="M5903">
        <v>329664</v>
      </c>
      <c r="N5903">
        <v>1</v>
      </c>
      <c r="O5903" s="3">
        <v>39990</v>
      </c>
      <c r="P5903" s="3">
        <v>15179</v>
      </c>
      <c r="Q5903" s="5">
        <f t="shared" si="276"/>
        <v>33605.042016806721</v>
      </c>
      <c r="R5903" s="5">
        <f t="shared" si="277"/>
        <v>15179</v>
      </c>
      <c r="S5903" s="5">
        <f t="shared" si="278"/>
        <v>18426.042016806721</v>
      </c>
    </row>
    <row r="5904" spans="1:19" hidden="1" x14ac:dyDescent="0.3">
      <c r="A5904">
        <v>200</v>
      </c>
      <c r="B5904" t="s">
        <v>6336</v>
      </c>
      <c r="C5904" t="s">
        <v>4437</v>
      </c>
      <c r="D5904" s="2" t="s">
        <v>4438</v>
      </c>
      <c r="E5904" t="s">
        <v>4411</v>
      </c>
      <c r="F5904" t="s">
        <v>20</v>
      </c>
      <c r="G5904" t="s">
        <v>21</v>
      </c>
      <c r="H5904" t="s">
        <v>614</v>
      </c>
      <c r="I5904" t="s">
        <v>23</v>
      </c>
      <c r="J5904" t="s">
        <v>40</v>
      </c>
      <c r="K5904" s="2" t="s">
        <v>2344</v>
      </c>
      <c r="L5904" t="s">
        <v>26</v>
      </c>
      <c r="M5904">
        <v>329665</v>
      </c>
      <c r="N5904">
        <v>1</v>
      </c>
      <c r="O5904" s="3">
        <v>39990</v>
      </c>
      <c r="P5904" s="3">
        <v>14604</v>
      </c>
      <c r="Q5904" s="5">
        <f t="shared" si="276"/>
        <v>33605.042016806721</v>
      </c>
      <c r="R5904" s="5">
        <f t="shared" si="277"/>
        <v>14604</v>
      </c>
      <c r="S5904" s="5">
        <f t="shared" si="278"/>
        <v>19001.042016806721</v>
      </c>
    </row>
    <row r="5905" spans="1:19" hidden="1" x14ac:dyDescent="0.3">
      <c r="A5905">
        <v>200</v>
      </c>
      <c r="B5905" t="s">
        <v>6336</v>
      </c>
      <c r="C5905" t="s">
        <v>6353</v>
      </c>
      <c r="D5905" s="2" t="s">
        <v>6354</v>
      </c>
      <c r="E5905" t="s">
        <v>6355</v>
      </c>
      <c r="F5905" t="s">
        <v>20</v>
      </c>
      <c r="G5905" t="s">
        <v>21</v>
      </c>
      <c r="H5905" t="s">
        <v>44</v>
      </c>
      <c r="I5905" t="s">
        <v>23</v>
      </c>
      <c r="J5905" t="s">
        <v>40</v>
      </c>
      <c r="K5905" s="2" t="s">
        <v>2344</v>
      </c>
      <c r="L5905" t="s">
        <v>26</v>
      </c>
      <c r="M5905">
        <v>329665</v>
      </c>
      <c r="N5905">
        <v>1</v>
      </c>
      <c r="O5905" s="3">
        <v>39990</v>
      </c>
      <c r="P5905" s="3">
        <v>15368</v>
      </c>
      <c r="Q5905" s="5">
        <f t="shared" si="276"/>
        <v>33605.042016806721</v>
      </c>
      <c r="R5905" s="5">
        <f t="shared" si="277"/>
        <v>15368</v>
      </c>
      <c r="S5905" s="5">
        <f t="shared" si="278"/>
        <v>18237.042016806721</v>
      </c>
    </row>
    <row r="5906" spans="1:19" hidden="1" x14ac:dyDescent="0.3">
      <c r="A5906">
        <v>200</v>
      </c>
      <c r="B5906" t="s">
        <v>6336</v>
      </c>
      <c r="C5906" t="s">
        <v>5677</v>
      </c>
      <c r="D5906" s="2" t="s">
        <v>5678</v>
      </c>
      <c r="E5906" t="s">
        <v>2718</v>
      </c>
      <c r="F5906" t="s">
        <v>20</v>
      </c>
      <c r="G5906" t="s">
        <v>21</v>
      </c>
      <c r="H5906" t="s">
        <v>1887</v>
      </c>
      <c r="I5906" t="s">
        <v>23</v>
      </c>
      <c r="J5906" t="s">
        <v>40</v>
      </c>
      <c r="K5906" s="2" t="s">
        <v>2386</v>
      </c>
      <c r="L5906" t="s">
        <v>26</v>
      </c>
      <c r="M5906">
        <v>329666</v>
      </c>
      <c r="N5906">
        <v>1</v>
      </c>
      <c r="O5906" s="3">
        <v>59450</v>
      </c>
      <c r="P5906" s="3">
        <v>22018</v>
      </c>
      <c r="Q5906" s="5">
        <f t="shared" si="276"/>
        <v>49957.983193277316</v>
      </c>
      <c r="R5906" s="5">
        <f t="shared" si="277"/>
        <v>22018</v>
      </c>
      <c r="S5906" s="5">
        <f t="shared" si="278"/>
        <v>27939.983193277316</v>
      </c>
    </row>
    <row r="5907" spans="1:19" hidden="1" x14ac:dyDescent="0.3">
      <c r="A5907">
        <v>200</v>
      </c>
      <c r="B5907" t="s">
        <v>6336</v>
      </c>
      <c r="C5907" t="s">
        <v>4008</v>
      </c>
      <c r="D5907" s="2" t="s">
        <v>4009</v>
      </c>
      <c r="E5907" t="s">
        <v>3016</v>
      </c>
      <c r="F5907" t="s">
        <v>20</v>
      </c>
      <c r="G5907" t="s">
        <v>338</v>
      </c>
      <c r="H5907">
        <v>25301</v>
      </c>
      <c r="I5907" t="s">
        <v>23</v>
      </c>
      <c r="J5907" t="s">
        <v>35</v>
      </c>
      <c r="K5907" s="2" t="s">
        <v>2386</v>
      </c>
      <c r="L5907" t="s">
        <v>26</v>
      </c>
      <c r="M5907">
        <v>329666</v>
      </c>
      <c r="N5907">
        <v>-1</v>
      </c>
      <c r="O5907" s="3">
        <v>-99950</v>
      </c>
      <c r="P5907" s="3">
        <v>34679</v>
      </c>
      <c r="Q5907" s="5">
        <f t="shared" si="276"/>
        <v>-83991.596638655465</v>
      </c>
      <c r="R5907" s="5">
        <f t="shared" si="277"/>
        <v>-34679</v>
      </c>
      <c r="S5907" s="5">
        <f t="shared" si="278"/>
        <v>-49312.596638655465</v>
      </c>
    </row>
    <row r="5908" spans="1:19" hidden="1" x14ac:dyDescent="0.3">
      <c r="A5908">
        <v>200</v>
      </c>
      <c r="B5908" t="s">
        <v>6336</v>
      </c>
      <c r="C5908" t="s">
        <v>3447</v>
      </c>
      <c r="D5908" s="2" t="s">
        <v>3448</v>
      </c>
      <c r="E5908" t="s">
        <v>3449</v>
      </c>
      <c r="F5908" t="s">
        <v>20</v>
      </c>
      <c r="G5908" t="s">
        <v>338</v>
      </c>
      <c r="H5908">
        <v>25366</v>
      </c>
      <c r="I5908" t="s">
        <v>23</v>
      </c>
      <c r="J5908" t="s">
        <v>35</v>
      </c>
      <c r="K5908" s="2" t="s">
        <v>2386</v>
      </c>
      <c r="L5908" t="s">
        <v>26</v>
      </c>
      <c r="M5908">
        <v>329666</v>
      </c>
      <c r="N5908">
        <v>1</v>
      </c>
      <c r="O5908" s="3">
        <v>99950</v>
      </c>
      <c r="P5908" s="3">
        <v>33157</v>
      </c>
      <c r="Q5908" s="5">
        <f t="shared" si="276"/>
        <v>83991.596638655465</v>
      </c>
      <c r="R5908" s="5">
        <f t="shared" si="277"/>
        <v>33157</v>
      </c>
      <c r="S5908" s="5">
        <f t="shared" si="278"/>
        <v>50834.596638655465</v>
      </c>
    </row>
    <row r="5909" spans="1:19" hidden="1" x14ac:dyDescent="0.3">
      <c r="A5909">
        <v>200</v>
      </c>
      <c r="B5909" t="s">
        <v>6336</v>
      </c>
      <c r="C5909" t="s">
        <v>5199</v>
      </c>
      <c r="D5909" s="2" t="s">
        <v>5200</v>
      </c>
      <c r="E5909" t="s">
        <v>4109</v>
      </c>
      <c r="F5909" t="s">
        <v>20</v>
      </c>
      <c r="G5909" t="s">
        <v>21</v>
      </c>
      <c r="H5909" t="s">
        <v>818</v>
      </c>
      <c r="I5909" t="s">
        <v>23</v>
      </c>
      <c r="J5909" t="s">
        <v>35</v>
      </c>
      <c r="K5909" s="2" t="s">
        <v>2386</v>
      </c>
      <c r="L5909" t="s">
        <v>26</v>
      </c>
      <c r="M5909">
        <v>329667</v>
      </c>
      <c r="N5909">
        <v>1</v>
      </c>
      <c r="O5909" s="3">
        <v>76450</v>
      </c>
      <c r="P5909" s="3">
        <v>32745</v>
      </c>
      <c r="Q5909" s="5">
        <f t="shared" si="276"/>
        <v>64243.697478991598</v>
      </c>
      <c r="R5909" s="5">
        <f t="shared" si="277"/>
        <v>32745</v>
      </c>
      <c r="S5909" s="5">
        <f t="shared" si="278"/>
        <v>31498.697478991598</v>
      </c>
    </row>
    <row r="5910" spans="1:19" hidden="1" x14ac:dyDescent="0.3">
      <c r="A5910">
        <v>200</v>
      </c>
      <c r="B5910" t="s">
        <v>6336</v>
      </c>
      <c r="C5910" t="s">
        <v>3603</v>
      </c>
      <c r="D5910" s="2" t="s">
        <v>3604</v>
      </c>
      <c r="E5910" t="s">
        <v>428</v>
      </c>
      <c r="F5910" t="s">
        <v>20</v>
      </c>
      <c r="G5910" t="s">
        <v>21</v>
      </c>
      <c r="H5910" t="s">
        <v>429</v>
      </c>
      <c r="I5910" t="s">
        <v>23</v>
      </c>
      <c r="J5910" t="s">
        <v>49</v>
      </c>
      <c r="K5910" s="2" t="s">
        <v>2386</v>
      </c>
      <c r="L5910" t="s">
        <v>26</v>
      </c>
      <c r="M5910">
        <v>329667</v>
      </c>
      <c r="N5910">
        <v>1</v>
      </c>
      <c r="O5910" s="3">
        <v>59990</v>
      </c>
      <c r="P5910" s="3">
        <v>28718</v>
      </c>
      <c r="Q5910" s="5">
        <f t="shared" si="276"/>
        <v>50411.764705882357</v>
      </c>
      <c r="R5910" s="5">
        <f t="shared" si="277"/>
        <v>28718</v>
      </c>
      <c r="S5910" s="5">
        <f t="shared" si="278"/>
        <v>21693.764705882357</v>
      </c>
    </row>
    <row r="5911" spans="1:19" hidden="1" x14ac:dyDescent="0.3">
      <c r="A5911">
        <v>200</v>
      </c>
      <c r="B5911" t="s">
        <v>6336</v>
      </c>
      <c r="C5911" t="s">
        <v>1761</v>
      </c>
      <c r="D5911" s="2" t="s">
        <v>1762</v>
      </c>
      <c r="E5911" t="s">
        <v>1763</v>
      </c>
      <c r="F5911" t="s">
        <v>377</v>
      </c>
      <c r="G5911" t="s">
        <v>21</v>
      </c>
      <c r="H5911" t="s">
        <v>378</v>
      </c>
      <c r="I5911" t="s">
        <v>23</v>
      </c>
      <c r="J5911" t="s">
        <v>379</v>
      </c>
      <c r="K5911" s="2" t="s">
        <v>2386</v>
      </c>
      <c r="L5911" t="s">
        <v>26</v>
      </c>
      <c r="M5911">
        <v>329667</v>
      </c>
      <c r="N5911">
        <v>1</v>
      </c>
      <c r="O5911" s="3">
        <v>5950</v>
      </c>
      <c r="P5911" s="3">
        <v>3279</v>
      </c>
      <c r="Q5911" s="5">
        <f t="shared" si="276"/>
        <v>5000</v>
      </c>
      <c r="R5911" s="5">
        <f t="shared" si="277"/>
        <v>3279</v>
      </c>
      <c r="S5911" s="5">
        <f t="shared" si="278"/>
        <v>1721</v>
      </c>
    </row>
    <row r="5912" spans="1:19" hidden="1" x14ac:dyDescent="0.3">
      <c r="A5912">
        <v>200</v>
      </c>
      <c r="B5912" t="s">
        <v>6336</v>
      </c>
      <c r="C5912" t="s">
        <v>6356</v>
      </c>
      <c r="D5912" s="2" t="s">
        <v>6357</v>
      </c>
      <c r="E5912" t="s">
        <v>2952</v>
      </c>
      <c r="F5912" t="s">
        <v>20</v>
      </c>
      <c r="G5912" t="s">
        <v>21</v>
      </c>
      <c r="H5912" t="s">
        <v>2484</v>
      </c>
      <c r="I5912" t="s">
        <v>23</v>
      </c>
      <c r="J5912" t="s">
        <v>40</v>
      </c>
      <c r="K5912" s="2" t="s">
        <v>2386</v>
      </c>
      <c r="L5912" t="s">
        <v>26</v>
      </c>
      <c r="M5912">
        <v>329668</v>
      </c>
      <c r="N5912">
        <v>1</v>
      </c>
      <c r="O5912" s="3">
        <v>59950</v>
      </c>
      <c r="P5912" s="3">
        <v>18378</v>
      </c>
      <c r="Q5912" s="5">
        <f t="shared" si="276"/>
        <v>50378.151260504201</v>
      </c>
      <c r="R5912" s="5">
        <f t="shared" si="277"/>
        <v>18378</v>
      </c>
      <c r="S5912" s="5">
        <f t="shared" si="278"/>
        <v>32000.151260504201</v>
      </c>
    </row>
    <row r="5913" spans="1:19" hidden="1" x14ac:dyDescent="0.3">
      <c r="A5913">
        <v>200</v>
      </c>
      <c r="B5913" t="s">
        <v>6336</v>
      </c>
      <c r="C5913" t="s">
        <v>2525</v>
      </c>
      <c r="D5913" s="2" t="s">
        <v>2526</v>
      </c>
      <c r="E5913" t="s">
        <v>2527</v>
      </c>
      <c r="F5913" t="s">
        <v>377</v>
      </c>
      <c r="G5913" t="s">
        <v>21</v>
      </c>
      <c r="H5913" t="s">
        <v>378</v>
      </c>
      <c r="I5913" t="s">
        <v>23</v>
      </c>
      <c r="J5913" t="s">
        <v>2459</v>
      </c>
      <c r="K5913" s="2" t="s">
        <v>2386</v>
      </c>
      <c r="L5913" t="s">
        <v>26</v>
      </c>
      <c r="M5913">
        <v>329668</v>
      </c>
      <c r="N5913">
        <v>1</v>
      </c>
      <c r="O5913" s="3">
        <v>6950</v>
      </c>
      <c r="P5913" s="3">
        <v>2964</v>
      </c>
      <c r="Q5913" s="5">
        <f t="shared" si="276"/>
        <v>5840.3361344537816</v>
      </c>
      <c r="R5913" s="5">
        <f t="shared" si="277"/>
        <v>2964</v>
      </c>
      <c r="S5913" s="5">
        <f t="shared" si="278"/>
        <v>2876.3361344537816</v>
      </c>
    </row>
    <row r="5914" spans="1:19" hidden="1" x14ac:dyDescent="0.3">
      <c r="A5914">
        <v>200</v>
      </c>
      <c r="B5914" t="s">
        <v>6336</v>
      </c>
      <c r="C5914" t="s">
        <v>3741</v>
      </c>
      <c r="D5914" s="2" t="s">
        <v>3742</v>
      </c>
      <c r="E5914" t="s">
        <v>3148</v>
      </c>
      <c r="F5914" t="s">
        <v>20</v>
      </c>
      <c r="G5914" t="s">
        <v>338</v>
      </c>
      <c r="H5914">
        <v>23313</v>
      </c>
      <c r="I5914" t="s">
        <v>23</v>
      </c>
      <c r="J5914" t="s">
        <v>40</v>
      </c>
      <c r="K5914" s="2" t="s">
        <v>2386</v>
      </c>
      <c r="L5914" t="s">
        <v>26</v>
      </c>
      <c r="M5914">
        <v>329669</v>
      </c>
      <c r="N5914">
        <v>1</v>
      </c>
      <c r="O5914" s="3">
        <v>49990</v>
      </c>
      <c r="P5914" s="3">
        <v>23474</v>
      </c>
      <c r="Q5914" s="5">
        <f t="shared" si="276"/>
        <v>42008.403361344543</v>
      </c>
      <c r="R5914" s="5">
        <f t="shared" si="277"/>
        <v>23474</v>
      </c>
      <c r="S5914" s="5">
        <f t="shared" si="278"/>
        <v>18534.403361344543</v>
      </c>
    </row>
    <row r="5915" spans="1:19" hidden="1" x14ac:dyDescent="0.3">
      <c r="A5915">
        <v>200</v>
      </c>
      <c r="B5915" t="s">
        <v>6336</v>
      </c>
      <c r="C5915" t="s">
        <v>5215</v>
      </c>
      <c r="D5915" s="2" t="s">
        <v>5216</v>
      </c>
      <c r="E5915" t="s">
        <v>2455</v>
      </c>
      <c r="F5915" t="s">
        <v>20</v>
      </c>
      <c r="G5915" t="s">
        <v>21</v>
      </c>
      <c r="H5915" t="s">
        <v>742</v>
      </c>
      <c r="I5915" t="s">
        <v>23</v>
      </c>
      <c r="J5915" t="s">
        <v>40</v>
      </c>
      <c r="K5915" s="2" t="s">
        <v>2386</v>
      </c>
      <c r="L5915" t="s">
        <v>26</v>
      </c>
      <c r="M5915">
        <v>329670</v>
      </c>
      <c r="N5915">
        <v>1</v>
      </c>
      <c r="O5915" s="3">
        <v>79950</v>
      </c>
      <c r="P5915" s="3">
        <v>28515</v>
      </c>
      <c r="Q5915" s="5">
        <f t="shared" si="276"/>
        <v>67184.873949579836</v>
      </c>
      <c r="R5915" s="5">
        <f t="shared" si="277"/>
        <v>28515</v>
      </c>
      <c r="S5915" s="5">
        <f t="shared" si="278"/>
        <v>38669.873949579836</v>
      </c>
    </row>
    <row r="5916" spans="1:19" hidden="1" x14ac:dyDescent="0.3">
      <c r="A5916">
        <v>200</v>
      </c>
      <c r="B5916" t="s">
        <v>6336</v>
      </c>
      <c r="C5916" t="s">
        <v>3615</v>
      </c>
      <c r="D5916" s="2" t="s">
        <v>3616</v>
      </c>
      <c r="E5916" t="s">
        <v>938</v>
      </c>
      <c r="F5916" t="s">
        <v>20</v>
      </c>
      <c r="G5916" t="s">
        <v>21</v>
      </c>
      <c r="H5916" t="s">
        <v>317</v>
      </c>
      <c r="I5916" t="s">
        <v>23</v>
      </c>
      <c r="J5916" t="s">
        <v>35</v>
      </c>
      <c r="K5916" s="2" t="s">
        <v>2386</v>
      </c>
      <c r="L5916" t="s">
        <v>26</v>
      </c>
      <c r="M5916">
        <v>329671</v>
      </c>
      <c r="N5916">
        <v>1</v>
      </c>
      <c r="O5916" s="3">
        <v>69950</v>
      </c>
      <c r="P5916" s="3">
        <v>27213</v>
      </c>
      <c r="Q5916" s="5">
        <f t="shared" si="276"/>
        <v>58781.512605042022</v>
      </c>
      <c r="R5916" s="5">
        <f t="shared" si="277"/>
        <v>27213</v>
      </c>
      <c r="S5916" s="5">
        <f t="shared" si="278"/>
        <v>31568.512605042022</v>
      </c>
    </row>
    <row r="5917" spans="1:19" hidden="1" x14ac:dyDescent="0.3">
      <c r="A5917">
        <v>200</v>
      </c>
      <c r="B5917" t="s">
        <v>6336</v>
      </c>
      <c r="C5917" t="s">
        <v>2316</v>
      </c>
      <c r="D5917" s="2" t="s">
        <v>2317</v>
      </c>
      <c r="E5917" t="s">
        <v>2318</v>
      </c>
      <c r="F5917" t="s">
        <v>20</v>
      </c>
      <c r="G5917" t="s">
        <v>21</v>
      </c>
      <c r="H5917" t="s">
        <v>573</v>
      </c>
      <c r="I5917" t="s">
        <v>23</v>
      </c>
      <c r="J5917" t="s">
        <v>49</v>
      </c>
      <c r="K5917" s="2" t="s">
        <v>2386</v>
      </c>
      <c r="L5917" t="s">
        <v>26</v>
      </c>
      <c r="M5917">
        <v>329672</v>
      </c>
      <c r="N5917">
        <v>1</v>
      </c>
      <c r="O5917" s="3">
        <v>44990</v>
      </c>
      <c r="P5917" s="3">
        <v>21384</v>
      </c>
      <c r="Q5917" s="5">
        <f t="shared" si="276"/>
        <v>37806.722689075636</v>
      </c>
      <c r="R5917" s="5">
        <f t="shared" si="277"/>
        <v>21384</v>
      </c>
      <c r="S5917" s="5">
        <f t="shared" si="278"/>
        <v>16422.722689075636</v>
      </c>
    </row>
    <row r="5918" spans="1:19" hidden="1" x14ac:dyDescent="0.3">
      <c r="A5918">
        <v>200</v>
      </c>
      <c r="B5918" t="s">
        <v>6336</v>
      </c>
      <c r="C5918" t="s">
        <v>5283</v>
      </c>
      <c r="D5918" s="2" t="s">
        <v>5284</v>
      </c>
      <c r="E5918" t="s">
        <v>2462</v>
      </c>
      <c r="F5918" t="s">
        <v>20</v>
      </c>
      <c r="G5918" t="s">
        <v>21</v>
      </c>
      <c r="H5918" t="s">
        <v>65</v>
      </c>
      <c r="I5918" t="s">
        <v>23</v>
      </c>
      <c r="J5918" t="s">
        <v>49</v>
      </c>
      <c r="K5918" s="2" t="s">
        <v>2386</v>
      </c>
      <c r="L5918" t="s">
        <v>26</v>
      </c>
      <c r="M5918">
        <v>329673</v>
      </c>
      <c r="N5918">
        <v>1</v>
      </c>
      <c r="O5918" s="3">
        <v>64950</v>
      </c>
      <c r="P5918" s="3">
        <v>20381</v>
      </c>
      <c r="Q5918" s="5">
        <f t="shared" si="276"/>
        <v>54579.831932773115</v>
      </c>
      <c r="R5918" s="5">
        <f t="shared" si="277"/>
        <v>20381</v>
      </c>
      <c r="S5918" s="5">
        <f t="shared" si="278"/>
        <v>34198.831932773115</v>
      </c>
    </row>
    <row r="5919" spans="1:19" hidden="1" x14ac:dyDescent="0.3">
      <c r="A5919">
        <v>200</v>
      </c>
      <c r="B5919" t="s">
        <v>6336</v>
      </c>
      <c r="C5919" t="s">
        <v>6358</v>
      </c>
      <c r="D5919" s="2" t="s">
        <v>6359</v>
      </c>
      <c r="E5919" t="s">
        <v>1188</v>
      </c>
      <c r="F5919" t="s">
        <v>20</v>
      </c>
      <c r="G5919" t="s">
        <v>21</v>
      </c>
      <c r="H5919" t="s">
        <v>30</v>
      </c>
      <c r="I5919" t="s">
        <v>23</v>
      </c>
      <c r="J5919" t="s">
        <v>49</v>
      </c>
      <c r="K5919" s="2" t="s">
        <v>2386</v>
      </c>
      <c r="L5919" t="s">
        <v>26</v>
      </c>
      <c r="M5919">
        <v>329673</v>
      </c>
      <c r="N5919">
        <v>1</v>
      </c>
      <c r="O5919" s="3">
        <v>59450</v>
      </c>
      <c r="P5919" s="3">
        <v>24676</v>
      </c>
      <c r="Q5919" s="5">
        <f t="shared" si="276"/>
        <v>49957.983193277316</v>
      </c>
      <c r="R5919" s="5">
        <f t="shared" si="277"/>
        <v>24676</v>
      </c>
      <c r="S5919" s="5">
        <f t="shared" si="278"/>
        <v>25281.983193277316</v>
      </c>
    </row>
    <row r="5920" spans="1:19" hidden="1" x14ac:dyDescent="0.3">
      <c r="A5920">
        <v>200</v>
      </c>
      <c r="B5920" t="s">
        <v>6336</v>
      </c>
      <c r="C5920" t="s">
        <v>5873</v>
      </c>
      <c r="D5920" s="2" t="s">
        <v>5874</v>
      </c>
      <c r="E5920" t="s">
        <v>453</v>
      </c>
      <c r="F5920" t="s">
        <v>20</v>
      </c>
      <c r="G5920" t="s">
        <v>21</v>
      </c>
      <c r="H5920" t="s">
        <v>454</v>
      </c>
      <c r="I5920" t="s">
        <v>23</v>
      </c>
      <c r="J5920" t="s">
        <v>407</v>
      </c>
      <c r="K5920" s="2" t="s">
        <v>2386</v>
      </c>
      <c r="L5920" t="s">
        <v>26</v>
      </c>
      <c r="M5920">
        <v>329674</v>
      </c>
      <c r="N5920">
        <v>1</v>
      </c>
      <c r="O5920" s="3">
        <v>39990</v>
      </c>
      <c r="P5920" s="3">
        <v>21038</v>
      </c>
      <c r="Q5920" s="5">
        <f t="shared" si="276"/>
        <v>33605.042016806721</v>
      </c>
      <c r="R5920" s="5">
        <f t="shared" si="277"/>
        <v>21038</v>
      </c>
      <c r="S5920" s="5">
        <f t="shared" si="278"/>
        <v>12567.042016806721</v>
      </c>
    </row>
    <row r="5921" spans="1:19" hidden="1" x14ac:dyDescent="0.3">
      <c r="A5921">
        <v>200</v>
      </c>
      <c r="B5921" t="s">
        <v>6336</v>
      </c>
      <c r="C5921" t="s">
        <v>6360</v>
      </c>
      <c r="D5921" s="2" t="s">
        <v>6361</v>
      </c>
      <c r="E5921" t="s">
        <v>537</v>
      </c>
      <c r="F5921" t="s">
        <v>20</v>
      </c>
      <c r="G5921" t="s">
        <v>21</v>
      </c>
      <c r="H5921" t="s">
        <v>368</v>
      </c>
      <c r="I5921" t="s">
        <v>23</v>
      </c>
      <c r="J5921" t="s">
        <v>40</v>
      </c>
      <c r="K5921" s="2" t="s">
        <v>2386</v>
      </c>
      <c r="L5921" t="s">
        <v>26</v>
      </c>
      <c r="M5921">
        <v>329675</v>
      </c>
      <c r="N5921">
        <v>-1</v>
      </c>
      <c r="O5921" s="3">
        <v>-34990</v>
      </c>
      <c r="P5921" s="3">
        <v>21015</v>
      </c>
      <c r="Q5921" s="5">
        <f t="shared" si="276"/>
        <v>-29403.361344537818</v>
      </c>
      <c r="R5921" s="5">
        <f t="shared" si="277"/>
        <v>-21015</v>
      </c>
      <c r="S5921" s="5">
        <f t="shared" si="278"/>
        <v>-8388.3613445378178</v>
      </c>
    </row>
    <row r="5922" spans="1:19" hidden="1" x14ac:dyDescent="0.3">
      <c r="A5922">
        <v>200</v>
      </c>
      <c r="B5922" t="s">
        <v>6336</v>
      </c>
      <c r="C5922" t="s">
        <v>6362</v>
      </c>
      <c r="D5922" s="2" t="s">
        <v>6363</v>
      </c>
      <c r="E5922" t="s">
        <v>1155</v>
      </c>
      <c r="F5922" t="s">
        <v>20</v>
      </c>
      <c r="G5922" t="s">
        <v>21</v>
      </c>
      <c r="H5922" t="s">
        <v>1156</v>
      </c>
      <c r="I5922" t="s">
        <v>23</v>
      </c>
      <c r="J5922" t="s">
        <v>40</v>
      </c>
      <c r="K5922" s="2" t="s">
        <v>2386</v>
      </c>
      <c r="L5922" t="s">
        <v>26</v>
      </c>
      <c r="M5922">
        <v>329675</v>
      </c>
      <c r="N5922">
        <v>1</v>
      </c>
      <c r="O5922" s="3">
        <v>39990</v>
      </c>
      <c r="P5922" s="3">
        <v>27234</v>
      </c>
      <c r="Q5922" s="5">
        <f t="shared" si="276"/>
        <v>33605.042016806721</v>
      </c>
      <c r="R5922" s="5">
        <f t="shared" si="277"/>
        <v>27234</v>
      </c>
      <c r="S5922" s="5">
        <f t="shared" si="278"/>
        <v>6371.0420168067212</v>
      </c>
    </row>
    <row r="5923" spans="1:19" hidden="1" x14ac:dyDescent="0.3">
      <c r="A5923">
        <v>200</v>
      </c>
      <c r="B5923" t="s">
        <v>6336</v>
      </c>
      <c r="C5923" t="s">
        <v>6183</v>
      </c>
      <c r="D5923" s="2" t="s">
        <v>6184</v>
      </c>
      <c r="E5923" t="s">
        <v>3290</v>
      </c>
      <c r="F5923" t="s">
        <v>20</v>
      </c>
      <c r="G5923" t="s">
        <v>21</v>
      </c>
      <c r="H5923" t="s">
        <v>247</v>
      </c>
      <c r="I5923" t="s">
        <v>23</v>
      </c>
      <c r="J5923" t="s">
        <v>40</v>
      </c>
      <c r="K5923" s="2" t="s">
        <v>2386</v>
      </c>
      <c r="L5923" t="s">
        <v>26</v>
      </c>
      <c r="M5923">
        <v>329676</v>
      </c>
      <c r="N5923">
        <v>1</v>
      </c>
      <c r="O5923" s="3">
        <v>34990</v>
      </c>
      <c r="P5923" s="3">
        <v>18016</v>
      </c>
      <c r="Q5923" s="5">
        <f t="shared" si="276"/>
        <v>29403.361344537818</v>
      </c>
      <c r="R5923" s="5">
        <f t="shared" si="277"/>
        <v>18016</v>
      </c>
      <c r="S5923" s="5">
        <f t="shared" si="278"/>
        <v>11387.361344537818</v>
      </c>
    </row>
    <row r="5924" spans="1:19" hidden="1" x14ac:dyDescent="0.3">
      <c r="A5924">
        <v>200</v>
      </c>
      <c r="B5924" t="s">
        <v>6336</v>
      </c>
      <c r="C5924" t="s">
        <v>6364</v>
      </c>
      <c r="D5924" s="2" t="s">
        <v>6365</v>
      </c>
      <c r="E5924" t="s">
        <v>1333</v>
      </c>
      <c r="F5924" t="s">
        <v>20</v>
      </c>
      <c r="G5924" t="s">
        <v>21</v>
      </c>
      <c r="H5924" t="s">
        <v>114</v>
      </c>
      <c r="I5924" t="s">
        <v>23</v>
      </c>
      <c r="J5924" t="s">
        <v>49</v>
      </c>
      <c r="K5924" s="2" t="s">
        <v>2386</v>
      </c>
      <c r="L5924" t="s">
        <v>26</v>
      </c>
      <c r="M5924">
        <v>329677</v>
      </c>
      <c r="N5924">
        <v>1</v>
      </c>
      <c r="O5924" s="3">
        <v>49990</v>
      </c>
      <c r="P5924" s="3">
        <v>24447</v>
      </c>
      <c r="Q5924" s="5">
        <f t="shared" si="276"/>
        <v>42008.403361344543</v>
      </c>
      <c r="R5924" s="5">
        <f t="shared" si="277"/>
        <v>24447</v>
      </c>
      <c r="S5924" s="5">
        <f t="shared" si="278"/>
        <v>17561.403361344543</v>
      </c>
    </row>
    <row r="5925" spans="1:19" hidden="1" x14ac:dyDescent="0.3">
      <c r="A5925">
        <v>200</v>
      </c>
      <c r="B5925" t="s">
        <v>6336</v>
      </c>
      <c r="C5925" t="s">
        <v>4888</v>
      </c>
      <c r="D5925" s="2" t="s">
        <v>4889</v>
      </c>
      <c r="E5925" t="s">
        <v>4890</v>
      </c>
      <c r="F5925" t="s">
        <v>20</v>
      </c>
      <c r="G5925" t="s">
        <v>21</v>
      </c>
      <c r="H5925" t="s">
        <v>44</v>
      </c>
      <c r="I5925" t="s">
        <v>23</v>
      </c>
      <c r="J5925" t="s">
        <v>40</v>
      </c>
      <c r="K5925" s="2" t="s">
        <v>2386</v>
      </c>
      <c r="L5925" t="s">
        <v>26</v>
      </c>
      <c r="M5925">
        <v>329678</v>
      </c>
      <c r="N5925">
        <v>1</v>
      </c>
      <c r="O5925" s="3">
        <v>39990</v>
      </c>
      <c r="P5925" s="3">
        <v>15368</v>
      </c>
      <c r="Q5925" s="5">
        <f t="shared" si="276"/>
        <v>33605.042016806721</v>
      </c>
      <c r="R5925" s="5">
        <f t="shared" si="277"/>
        <v>15368</v>
      </c>
      <c r="S5925" s="5">
        <f t="shared" si="278"/>
        <v>18237.042016806721</v>
      </c>
    </row>
    <row r="5926" spans="1:19" hidden="1" x14ac:dyDescent="0.3">
      <c r="A5926">
        <v>200</v>
      </c>
      <c r="B5926" t="s">
        <v>6336</v>
      </c>
      <c r="C5926" t="s">
        <v>3313</v>
      </c>
      <c r="D5926" s="2" t="s">
        <v>3314</v>
      </c>
      <c r="E5926" t="s">
        <v>789</v>
      </c>
      <c r="F5926" t="s">
        <v>20</v>
      </c>
      <c r="G5926" t="s">
        <v>21</v>
      </c>
      <c r="H5926" t="s">
        <v>790</v>
      </c>
      <c r="I5926" t="s">
        <v>23</v>
      </c>
      <c r="J5926" t="s">
        <v>40</v>
      </c>
      <c r="K5926" s="2" t="s">
        <v>2386</v>
      </c>
      <c r="L5926" t="s">
        <v>26</v>
      </c>
      <c r="M5926">
        <v>329679</v>
      </c>
      <c r="N5926">
        <v>1</v>
      </c>
      <c r="O5926" s="3">
        <v>67950</v>
      </c>
      <c r="P5926" s="3">
        <v>30692</v>
      </c>
      <c r="Q5926" s="5">
        <f t="shared" si="276"/>
        <v>57100.840336134454</v>
      </c>
      <c r="R5926" s="5">
        <f t="shared" si="277"/>
        <v>30692</v>
      </c>
      <c r="S5926" s="5">
        <f t="shared" si="278"/>
        <v>26408.840336134454</v>
      </c>
    </row>
    <row r="5927" spans="1:19" hidden="1" x14ac:dyDescent="0.3">
      <c r="A5927">
        <v>200</v>
      </c>
      <c r="B5927" t="s">
        <v>6336</v>
      </c>
      <c r="C5927" t="s">
        <v>2547</v>
      </c>
      <c r="D5927" s="2" t="s">
        <v>2548</v>
      </c>
      <c r="E5927" t="s">
        <v>2549</v>
      </c>
      <c r="F5927" t="s">
        <v>20</v>
      </c>
      <c r="G5927" t="s">
        <v>338</v>
      </c>
      <c r="H5927">
        <v>23755</v>
      </c>
      <c r="I5927" t="s">
        <v>23</v>
      </c>
      <c r="J5927" t="s">
        <v>40</v>
      </c>
      <c r="K5927" s="2" t="s">
        <v>2386</v>
      </c>
      <c r="L5927" t="s">
        <v>26</v>
      </c>
      <c r="M5927">
        <v>329679</v>
      </c>
      <c r="N5927">
        <v>1</v>
      </c>
      <c r="O5927" s="3">
        <v>74950</v>
      </c>
      <c r="P5927" s="3">
        <v>24718</v>
      </c>
      <c r="Q5927" s="5">
        <f t="shared" si="276"/>
        <v>62983.193277310929</v>
      </c>
      <c r="R5927" s="5">
        <f t="shared" si="277"/>
        <v>24718</v>
      </c>
      <c r="S5927" s="5">
        <f t="shared" si="278"/>
        <v>38265.193277310929</v>
      </c>
    </row>
    <row r="5928" spans="1:19" hidden="1" x14ac:dyDescent="0.3">
      <c r="A5928">
        <v>200</v>
      </c>
      <c r="B5928" t="s">
        <v>6336</v>
      </c>
      <c r="C5928" t="s">
        <v>1549</v>
      </c>
      <c r="D5928" s="2" t="s">
        <v>1550</v>
      </c>
      <c r="E5928" t="s">
        <v>1551</v>
      </c>
      <c r="F5928" t="s">
        <v>377</v>
      </c>
      <c r="G5928" t="s">
        <v>21</v>
      </c>
      <c r="H5928" t="s">
        <v>378</v>
      </c>
      <c r="I5928" t="s">
        <v>23</v>
      </c>
      <c r="J5928" t="s">
        <v>379</v>
      </c>
      <c r="K5928" s="2" t="s">
        <v>2386</v>
      </c>
      <c r="L5928" t="s">
        <v>26</v>
      </c>
      <c r="M5928">
        <v>329679</v>
      </c>
      <c r="N5928">
        <v>1</v>
      </c>
      <c r="O5928" s="3">
        <v>5950</v>
      </c>
      <c r="P5928" s="3">
        <v>1908</v>
      </c>
      <c r="Q5928" s="5">
        <f t="shared" si="276"/>
        <v>5000</v>
      </c>
      <c r="R5928" s="5">
        <f t="shared" si="277"/>
        <v>1908</v>
      </c>
      <c r="S5928" s="5">
        <f t="shared" si="278"/>
        <v>3092</v>
      </c>
    </row>
    <row r="5929" spans="1:19" hidden="1" x14ac:dyDescent="0.3">
      <c r="A5929">
        <v>200</v>
      </c>
      <c r="B5929" t="s">
        <v>6336</v>
      </c>
      <c r="C5929" t="s">
        <v>3286</v>
      </c>
      <c r="D5929" s="2" t="s">
        <v>3287</v>
      </c>
      <c r="E5929" t="s">
        <v>2226</v>
      </c>
      <c r="F5929" t="s">
        <v>20</v>
      </c>
      <c r="G5929" t="s">
        <v>21</v>
      </c>
      <c r="H5929" t="s">
        <v>53</v>
      </c>
      <c r="I5929" t="s">
        <v>23</v>
      </c>
      <c r="J5929" t="s">
        <v>49</v>
      </c>
      <c r="K5929" s="2" t="s">
        <v>2470</v>
      </c>
      <c r="L5929" t="s">
        <v>26</v>
      </c>
      <c r="M5929">
        <v>329680</v>
      </c>
      <c r="N5929">
        <v>1</v>
      </c>
      <c r="O5929" s="3">
        <v>69950</v>
      </c>
      <c r="P5929" s="3">
        <v>20849</v>
      </c>
      <c r="Q5929" s="5">
        <f t="shared" si="276"/>
        <v>58781.512605042022</v>
      </c>
      <c r="R5929" s="5">
        <f t="shared" si="277"/>
        <v>20849</v>
      </c>
      <c r="S5929" s="5">
        <f t="shared" si="278"/>
        <v>37932.512605042022</v>
      </c>
    </row>
    <row r="5930" spans="1:19" hidden="1" x14ac:dyDescent="0.3">
      <c r="A5930">
        <v>200</v>
      </c>
      <c r="B5930" t="s">
        <v>6336</v>
      </c>
      <c r="C5930" t="s">
        <v>3466</v>
      </c>
      <c r="D5930" s="2" t="s">
        <v>3467</v>
      </c>
      <c r="E5930" t="s">
        <v>316</v>
      </c>
      <c r="F5930" t="s">
        <v>20</v>
      </c>
      <c r="G5930" t="s">
        <v>21</v>
      </c>
      <c r="H5930" t="s">
        <v>317</v>
      </c>
      <c r="I5930" t="s">
        <v>23</v>
      </c>
      <c r="J5930" t="s">
        <v>35</v>
      </c>
      <c r="K5930" s="2" t="s">
        <v>2470</v>
      </c>
      <c r="L5930" t="s">
        <v>26</v>
      </c>
      <c r="M5930">
        <v>329681</v>
      </c>
      <c r="N5930">
        <v>1</v>
      </c>
      <c r="O5930" s="3">
        <v>69950</v>
      </c>
      <c r="P5930" s="3">
        <v>24552</v>
      </c>
      <c r="Q5930" s="5">
        <f t="shared" si="276"/>
        <v>58781.512605042022</v>
      </c>
      <c r="R5930" s="5">
        <f t="shared" si="277"/>
        <v>24552</v>
      </c>
      <c r="S5930" s="5">
        <f t="shared" si="278"/>
        <v>34229.512605042022</v>
      </c>
    </row>
    <row r="5931" spans="1:19" hidden="1" x14ac:dyDescent="0.3">
      <c r="A5931">
        <v>200</v>
      </c>
      <c r="B5931" t="s">
        <v>6336</v>
      </c>
      <c r="C5931" t="s">
        <v>1761</v>
      </c>
      <c r="D5931" s="2" t="s">
        <v>1762</v>
      </c>
      <c r="E5931" t="s">
        <v>1763</v>
      </c>
      <c r="F5931" t="s">
        <v>377</v>
      </c>
      <c r="G5931" t="s">
        <v>21</v>
      </c>
      <c r="H5931" t="s">
        <v>378</v>
      </c>
      <c r="I5931" t="s">
        <v>23</v>
      </c>
      <c r="J5931" t="s">
        <v>379</v>
      </c>
      <c r="K5931" s="2" t="s">
        <v>2470</v>
      </c>
      <c r="L5931" t="s">
        <v>26</v>
      </c>
      <c r="M5931">
        <v>329682</v>
      </c>
      <c r="N5931">
        <v>1</v>
      </c>
      <c r="O5931" s="3">
        <v>5950</v>
      </c>
      <c r="P5931" s="3">
        <v>3279</v>
      </c>
      <c r="Q5931" s="5">
        <f t="shared" si="276"/>
        <v>5000</v>
      </c>
      <c r="R5931" s="5">
        <f t="shared" si="277"/>
        <v>3279</v>
      </c>
      <c r="S5931" s="5">
        <f t="shared" si="278"/>
        <v>1721</v>
      </c>
    </row>
    <row r="5932" spans="1:19" hidden="1" x14ac:dyDescent="0.3">
      <c r="A5932">
        <v>200</v>
      </c>
      <c r="B5932" t="s">
        <v>6336</v>
      </c>
      <c r="C5932" t="s">
        <v>6366</v>
      </c>
      <c r="D5932" s="2" t="s">
        <v>6367</v>
      </c>
      <c r="E5932" t="s">
        <v>2601</v>
      </c>
      <c r="F5932" t="s">
        <v>20</v>
      </c>
      <c r="G5932" t="s">
        <v>21</v>
      </c>
      <c r="H5932" t="s">
        <v>783</v>
      </c>
      <c r="I5932" t="s">
        <v>23</v>
      </c>
      <c r="J5932" t="s">
        <v>40</v>
      </c>
      <c r="K5932" s="2" t="s">
        <v>2470</v>
      </c>
      <c r="L5932" t="s">
        <v>26</v>
      </c>
      <c r="M5932">
        <v>329683</v>
      </c>
      <c r="N5932">
        <v>1</v>
      </c>
      <c r="O5932" s="3">
        <v>54950</v>
      </c>
      <c r="P5932" s="3">
        <v>19451</v>
      </c>
      <c r="Q5932" s="5">
        <f t="shared" si="276"/>
        <v>46176.470588235294</v>
      </c>
      <c r="R5932" s="5">
        <f t="shared" si="277"/>
        <v>19451</v>
      </c>
      <c r="S5932" s="5">
        <f t="shared" si="278"/>
        <v>26725.470588235294</v>
      </c>
    </row>
    <row r="5933" spans="1:19" hidden="1" x14ac:dyDescent="0.3">
      <c r="A5933">
        <v>200</v>
      </c>
      <c r="B5933" t="s">
        <v>6336</v>
      </c>
      <c r="C5933" t="s">
        <v>4541</v>
      </c>
      <c r="D5933" s="2" t="s">
        <v>4542</v>
      </c>
      <c r="E5933" t="s">
        <v>3048</v>
      </c>
      <c r="F5933" t="s">
        <v>20</v>
      </c>
      <c r="G5933" t="s">
        <v>21</v>
      </c>
      <c r="H5933" t="s">
        <v>2484</v>
      </c>
      <c r="I5933" t="s">
        <v>23</v>
      </c>
      <c r="J5933" t="s">
        <v>40</v>
      </c>
      <c r="K5933" s="2" t="s">
        <v>2470</v>
      </c>
      <c r="L5933" t="s">
        <v>26</v>
      </c>
      <c r="M5933">
        <v>329684</v>
      </c>
      <c r="N5933">
        <v>1</v>
      </c>
      <c r="O5933" s="3">
        <v>59950</v>
      </c>
      <c r="P5933" s="3">
        <v>17503</v>
      </c>
      <c r="Q5933" s="5">
        <f t="shared" si="276"/>
        <v>50378.151260504201</v>
      </c>
      <c r="R5933" s="5">
        <f t="shared" si="277"/>
        <v>17503</v>
      </c>
      <c r="S5933" s="5">
        <f t="shared" si="278"/>
        <v>32875.151260504201</v>
      </c>
    </row>
    <row r="5934" spans="1:19" hidden="1" x14ac:dyDescent="0.3">
      <c r="A5934">
        <v>200</v>
      </c>
      <c r="B5934" t="s">
        <v>6336</v>
      </c>
      <c r="C5934" t="s">
        <v>6046</v>
      </c>
      <c r="D5934" s="2" t="s">
        <v>6047</v>
      </c>
      <c r="E5934" t="s">
        <v>4820</v>
      </c>
      <c r="F5934" t="s">
        <v>20</v>
      </c>
      <c r="G5934" t="s">
        <v>21</v>
      </c>
      <c r="H5934" t="s">
        <v>61</v>
      </c>
      <c r="I5934" t="s">
        <v>23</v>
      </c>
      <c r="J5934" t="s">
        <v>40</v>
      </c>
      <c r="K5934" s="2" t="s">
        <v>2470</v>
      </c>
      <c r="L5934" t="s">
        <v>26</v>
      </c>
      <c r="M5934">
        <v>329685</v>
      </c>
      <c r="N5934">
        <v>1</v>
      </c>
      <c r="O5934" s="3">
        <v>39990</v>
      </c>
      <c r="P5934" s="3">
        <v>23828</v>
      </c>
      <c r="Q5934" s="5">
        <f t="shared" si="276"/>
        <v>33605.042016806721</v>
      </c>
      <c r="R5934" s="5">
        <f t="shared" si="277"/>
        <v>23828</v>
      </c>
      <c r="S5934" s="5">
        <f t="shared" si="278"/>
        <v>9777.0420168067212</v>
      </c>
    </row>
    <row r="5935" spans="1:19" hidden="1" x14ac:dyDescent="0.3">
      <c r="A5935">
        <v>200</v>
      </c>
      <c r="B5935" t="s">
        <v>6336</v>
      </c>
      <c r="C5935" t="s">
        <v>6368</v>
      </c>
      <c r="D5935" s="2" t="s">
        <v>6369</v>
      </c>
      <c r="E5935" t="s">
        <v>3676</v>
      </c>
      <c r="F5935" t="s">
        <v>20</v>
      </c>
      <c r="G5935" t="s">
        <v>21</v>
      </c>
      <c r="H5935" t="s">
        <v>1703</v>
      </c>
      <c r="I5935" t="s">
        <v>23</v>
      </c>
      <c r="J5935" t="s">
        <v>49</v>
      </c>
      <c r="K5935" s="2" t="s">
        <v>2470</v>
      </c>
      <c r="L5935" t="s">
        <v>26</v>
      </c>
      <c r="M5935">
        <v>329686</v>
      </c>
      <c r="N5935">
        <v>1</v>
      </c>
      <c r="O5935" s="3">
        <v>59990</v>
      </c>
      <c r="P5935" s="3">
        <v>22847</v>
      </c>
      <c r="Q5935" s="5">
        <f t="shared" si="276"/>
        <v>50411.764705882357</v>
      </c>
      <c r="R5935" s="5">
        <f t="shared" si="277"/>
        <v>22847</v>
      </c>
      <c r="S5935" s="5">
        <f t="shared" si="278"/>
        <v>27564.764705882357</v>
      </c>
    </row>
    <row r="5936" spans="1:19" hidden="1" x14ac:dyDescent="0.3">
      <c r="A5936">
        <v>200</v>
      </c>
      <c r="B5936" t="s">
        <v>6336</v>
      </c>
      <c r="C5936" t="s">
        <v>426</v>
      </c>
      <c r="D5936" s="2" t="s">
        <v>427</v>
      </c>
      <c r="E5936" t="s">
        <v>428</v>
      </c>
      <c r="F5936" t="s">
        <v>20</v>
      </c>
      <c r="G5936" t="s">
        <v>21</v>
      </c>
      <c r="H5936" t="s">
        <v>429</v>
      </c>
      <c r="I5936" t="s">
        <v>23</v>
      </c>
      <c r="J5936" t="s">
        <v>49</v>
      </c>
      <c r="K5936" s="2" t="s">
        <v>2470</v>
      </c>
      <c r="L5936" t="s">
        <v>26</v>
      </c>
      <c r="M5936">
        <v>329687</v>
      </c>
      <c r="N5936">
        <v>1</v>
      </c>
      <c r="O5936" s="3">
        <v>59990</v>
      </c>
      <c r="P5936" s="3">
        <v>28897</v>
      </c>
      <c r="Q5936" s="5">
        <f t="shared" si="276"/>
        <v>50411.764705882357</v>
      </c>
      <c r="R5936" s="5">
        <f t="shared" si="277"/>
        <v>28897</v>
      </c>
      <c r="S5936" s="5">
        <f t="shared" si="278"/>
        <v>21514.764705882357</v>
      </c>
    </row>
    <row r="5937" spans="1:19" hidden="1" x14ac:dyDescent="0.3">
      <c r="A5937">
        <v>200</v>
      </c>
      <c r="B5937" t="s">
        <v>6336</v>
      </c>
      <c r="C5937" t="s">
        <v>2097</v>
      </c>
      <c r="D5937" s="2" t="s">
        <v>2098</v>
      </c>
      <c r="E5937" t="s">
        <v>494</v>
      </c>
      <c r="F5937" t="s">
        <v>20</v>
      </c>
      <c r="G5937" t="s">
        <v>21</v>
      </c>
      <c r="H5937" t="s">
        <v>317</v>
      </c>
      <c r="I5937" t="s">
        <v>23</v>
      </c>
      <c r="J5937" t="s">
        <v>35</v>
      </c>
      <c r="K5937" s="2" t="s">
        <v>2470</v>
      </c>
      <c r="L5937" t="s">
        <v>26</v>
      </c>
      <c r="M5937">
        <v>329688</v>
      </c>
      <c r="N5937">
        <v>1</v>
      </c>
      <c r="O5937" s="3">
        <v>69950</v>
      </c>
      <c r="P5937" s="3">
        <v>23619</v>
      </c>
      <c r="Q5937" s="5">
        <f t="shared" si="276"/>
        <v>58781.512605042022</v>
      </c>
      <c r="R5937" s="5">
        <f t="shared" si="277"/>
        <v>23619</v>
      </c>
      <c r="S5937" s="5">
        <f t="shared" si="278"/>
        <v>35162.512605042022</v>
      </c>
    </row>
    <row r="5938" spans="1:19" hidden="1" x14ac:dyDescent="0.3">
      <c r="A5938">
        <v>200</v>
      </c>
      <c r="B5938" t="s">
        <v>6336</v>
      </c>
      <c r="C5938" t="s">
        <v>3324</v>
      </c>
      <c r="D5938" s="2" t="s">
        <v>3325</v>
      </c>
      <c r="E5938" t="s">
        <v>2349</v>
      </c>
      <c r="F5938" t="s">
        <v>20</v>
      </c>
      <c r="G5938" t="s">
        <v>338</v>
      </c>
      <c r="H5938">
        <v>23709</v>
      </c>
      <c r="I5938" t="s">
        <v>23</v>
      </c>
      <c r="J5938" t="s">
        <v>40</v>
      </c>
      <c r="K5938" s="2" t="s">
        <v>2470</v>
      </c>
      <c r="L5938" t="s">
        <v>26</v>
      </c>
      <c r="M5938">
        <v>329689</v>
      </c>
      <c r="N5938">
        <v>1</v>
      </c>
      <c r="O5938" s="3">
        <v>79950</v>
      </c>
      <c r="P5938" s="3">
        <v>27728</v>
      </c>
      <c r="Q5938" s="5">
        <f t="shared" si="276"/>
        <v>67184.873949579836</v>
      </c>
      <c r="R5938" s="5">
        <f t="shared" si="277"/>
        <v>27728</v>
      </c>
      <c r="S5938" s="5">
        <f t="shared" si="278"/>
        <v>39456.873949579836</v>
      </c>
    </row>
    <row r="5939" spans="1:19" hidden="1" x14ac:dyDescent="0.3">
      <c r="A5939">
        <v>200</v>
      </c>
      <c r="B5939" t="s">
        <v>6336</v>
      </c>
      <c r="C5939" t="s">
        <v>3615</v>
      </c>
      <c r="D5939" s="2" t="s">
        <v>3616</v>
      </c>
      <c r="E5939" t="s">
        <v>938</v>
      </c>
      <c r="F5939" t="s">
        <v>20</v>
      </c>
      <c r="G5939" t="s">
        <v>21</v>
      </c>
      <c r="H5939" t="s">
        <v>317</v>
      </c>
      <c r="I5939" t="s">
        <v>23</v>
      </c>
      <c r="J5939" t="s">
        <v>35</v>
      </c>
      <c r="K5939" s="2" t="s">
        <v>2470</v>
      </c>
      <c r="L5939" t="s">
        <v>26</v>
      </c>
      <c r="M5939">
        <v>329690</v>
      </c>
      <c r="N5939">
        <v>1</v>
      </c>
      <c r="O5939" s="3">
        <v>69950</v>
      </c>
      <c r="P5939" s="3">
        <v>27213</v>
      </c>
      <c r="Q5939" s="5">
        <f t="shared" si="276"/>
        <v>58781.512605042022</v>
      </c>
      <c r="R5939" s="5">
        <f t="shared" si="277"/>
        <v>27213</v>
      </c>
      <c r="S5939" s="5">
        <f t="shared" si="278"/>
        <v>31568.512605042022</v>
      </c>
    </row>
    <row r="5940" spans="1:19" hidden="1" x14ac:dyDescent="0.3">
      <c r="A5940">
        <v>200</v>
      </c>
      <c r="B5940" t="s">
        <v>6336</v>
      </c>
      <c r="C5940" t="s">
        <v>6370</v>
      </c>
      <c r="D5940" s="2" t="s">
        <v>6371</v>
      </c>
      <c r="E5940" t="s">
        <v>589</v>
      </c>
      <c r="F5940" t="s">
        <v>20</v>
      </c>
      <c r="G5940" t="s">
        <v>21</v>
      </c>
      <c r="H5940" t="s">
        <v>590</v>
      </c>
      <c r="I5940" t="s">
        <v>23</v>
      </c>
      <c r="J5940" t="s">
        <v>40</v>
      </c>
      <c r="K5940" s="2" t="s">
        <v>2470</v>
      </c>
      <c r="L5940" t="s">
        <v>26</v>
      </c>
      <c r="M5940">
        <v>329691</v>
      </c>
      <c r="N5940">
        <v>1</v>
      </c>
      <c r="O5940" s="3">
        <v>39990</v>
      </c>
      <c r="P5940" s="3">
        <v>21850</v>
      </c>
      <c r="Q5940" s="5">
        <f t="shared" si="276"/>
        <v>33605.042016806721</v>
      </c>
      <c r="R5940" s="5">
        <f t="shared" si="277"/>
        <v>21850</v>
      </c>
      <c r="S5940" s="5">
        <f t="shared" si="278"/>
        <v>11755.042016806721</v>
      </c>
    </row>
    <row r="5941" spans="1:19" hidden="1" x14ac:dyDescent="0.3">
      <c r="A5941">
        <v>200</v>
      </c>
      <c r="B5941" t="s">
        <v>6336</v>
      </c>
      <c r="C5941" t="s">
        <v>4423</v>
      </c>
      <c r="D5941" s="2" t="s">
        <v>4424</v>
      </c>
      <c r="E5941" t="s">
        <v>4358</v>
      </c>
      <c r="F5941" t="s">
        <v>20</v>
      </c>
      <c r="G5941" t="s">
        <v>21</v>
      </c>
      <c r="H5941" t="s">
        <v>346</v>
      </c>
      <c r="I5941" t="s">
        <v>23</v>
      </c>
      <c r="J5941" t="s">
        <v>49</v>
      </c>
      <c r="K5941" s="2" t="s">
        <v>2470</v>
      </c>
      <c r="L5941" t="s">
        <v>26</v>
      </c>
      <c r="M5941">
        <v>329691</v>
      </c>
      <c r="N5941">
        <v>1</v>
      </c>
      <c r="O5941" s="3">
        <v>49990</v>
      </c>
      <c r="P5941" s="3">
        <v>23224</v>
      </c>
      <c r="Q5941" s="5">
        <f t="shared" si="276"/>
        <v>42008.403361344543</v>
      </c>
      <c r="R5941" s="5">
        <f t="shared" si="277"/>
        <v>23224</v>
      </c>
      <c r="S5941" s="5">
        <f t="shared" si="278"/>
        <v>18784.403361344543</v>
      </c>
    </row>
    <row r="5942" spans="1:19" hidden="1" x14ac:dyDescent="0.3">
      <c r="A5942">
        <v>200</v>
      </c>
      <c r="B5942" t="s">
        <v>6336</v>
      </c>
      <c r="C5942" t="s">
        <v>4545</v>
      </c>
      <c r="D5942" s="2" t="s">
        <v>4546</v>
      </c>
      <c r="E5942" t="s">
        <v>4547</v>
      </c>
      <c r="F5942" t="s">
        <v>20</v>
      </c>
      <c r="G5942" t="s">
        <v>21</v>
      </c>
      <c r="H5942" t="s">
        <v>285</v>
      </c>
      <c r="I5942" t="s">
        <v>23</v>
      </c>
      <c r="J5942" t="s">
        <v>49</v>
      </c>
      <c r="K5942" s="2" t="s">
        <v>422</v>
      </c>
      <c r="L5942" t="s">
        <v>26</v>
      </c>
      <c r="M5942">
        <v>329692</v>
      </c>
      <c r="N5942">
        <v>1</v>
      </c>
      <c r="O5942" s="3">
        <v>59990</v>
      </c>
      <c r="P5942" s="3">
        <v>29464</v>
      </c>
      <c r="Q5942" s="5">
        <f t="shared" si="276"/>
        <v>50411.764705882357</v>
      </c>
      <c r="R5942" s="5">
        <f t="shared" si="277"/>
        <v>29464</v>
      </c>
      <c r="S5942" s="5">
        <f t="shared" si="278"/>
        <v>20947.764705882357</v>
      </c>
    </row>
    <row r="5943" spans="1:19" hidden="1" x14ac:dyDescent="0.3">
      <c r="A5943">
        <v>200</v>
      </c>
      <c r="B5943" t="s">
        <v>6336</v>
      </c>
      <c r="C5943">
        <v>1687976791</v>
      </c>
      <c r="D5943" s="2" t="s">
        <v>200</v>
      </c>
      <c r="E5943" t="s">
        <v>201</v>
      </c>
      <c r="F5943" t="s">
        <v>201</v>
      </c>
      <c r="G5943" t="s">
        <v>202</v>
      </c>
      <c r="H5943" t="s">
        <v>202</v>
      </c>
      <c r="I5943" t="s">
        <v>23</v>
      </c>
      <c r="J5943" t="s">
        <v>202</v>
      </c>
      <c r="K5943" s="2" t="s">
        <v>422</v>
      </c>
      <c r="L5943" t="s">
        <v>26</v>
      </c>
      <c r="M5943">
        <v>329692</v>
      </c>
      <c r="N5943">
        <v>1</v>
      </c>
      <c r="O5943" s="3">
        <v>4501</v>
      </c>
      <c r="P5943">
        <v>1</v>
      </c>
      <c r="Q5943" s="5">
        <f t="shared" si="276"/>
        <v>3782.3529411764707</v>
      </c>
      <c r="R5943" s="5">
        <f t="shared" si="277"/>
        <v>1</v>
      </c>
      <c r="S5943" s="5">
        <f t="shared" si="278"/>
        <v>3781.3529411764707</v>
      </c>
    </row>
    <row r="5944" spans="1:19" hidden="1" x14ac:dyDescent="0.3">
      <c r="A5944">
        <v>200</v>
      </c>
      <c r="B5944" t="s">
        <v>6336</v>
      </c>
      <c r="C5944" t="s">
        <v>1690</v>
      </c>
      <c r="D5944" s="2" t="s">
        <v>1691</v>
      </c>
      <c r="E5944" t="s">
        <v>664</v>
      </c>
      <c r="F5944" t="s">
        <v>20</v>
      </c>
      <c r="G5944" t="s">
        <v>21</v>
      </c>
      <c r="H5944" t="s">
        <v>557</v>
      </c>
      <c r="I5944" t="s">
        <v>23</v>
      </c>
      <c r="J5944" t="s">
        <v>40</v>
      </c>
      <c r="K5944" s="2" t="s">
        <v>422</v>
      </c>
      <c r="L5944" t="s">
        <v>26</v>
      </c>
      <c r="M5944">
        <v>329693</v>
      </c>
      <c r="N5944">
        <v>1</v>
      </c>
      <c r="O5944" s="3">
        <v>49990</v>
      </c>
      <c r="P5944" s="3">
        <v>28049</v>
      </c>
      <c r="Q5944" s="5">
        <f t="shared" si="276"/>
        <v>42008.403361344543</v>
      </c>
      <c r="R5944" s="5">
        <f t="shared" si="277"/>
        <v>28049</v>
      </c>
      <c r="S5944" s="5">
        <f t="shared" si="278"/>
        <v>13959.403361344543</v>
      </c>
    </row>
    <row r="5945" spans="1:19" hidden="1" x14ac:dyDescent="0.3">
      <c r="A5945">
        <v>200</v>
      </c>
      <c r="B5945" t="s">
        <v>6336</v>
      </c>
      <c r="C5945" t="s">
        <v>3784</v>
      </c>
      <c r="D5945" s="2" t="s">
        <v>3785</v>
      </c>
      <c r="E5945" t="s">
        <v>3786</v>
      </c>
      <c r="F5945" t="s">
        <v>20</v>
      </c>
      <c r="G5945" t="s">
        <v>21</v>
      </c>
      <c r="H5945" t="s">
        <v>1405</v>
      </c>
      <c r="I5945" t="s">
        <v>23</v>
      </c>
      <c r="J5945" t="s">
        <v>40</v>
      </c>
      <c r="K5945" s="2" t="s">
        <v>422</v>
      </c>
      <c r="L5945" t="s">
        <v>26</v>
      </c>
      <c r="M5945">
        <v>329694</v>
      </c>
      <c r="N5945">
        <v>1</v>
      </c>
      <c r="O5945" s="3">
        <v>49950</v>
      </c>
      <c r="P5945" s="3">
        <v>13302</v>
      </c>
      <c r="Q5945" s="5">
        <f t="shared" si="276"/>
        <v>41974.789915966387</v>
      </c>
      <c r="R5945" s="5">
        <f t="shared" si="277"/>
        <v>13302</v>
      </c>
      <c r="S5945" s="5">
        <f t="shared" si="278"/>
        <v>28672.789915966387</v>
      </c>
    </row>
    <row r="5946" spans="1:19" hidden="1" x14ac:dyDescent="0.3">
      <c r="A5946">
        <v>200</v>
      </c>
      <c r="B5946" t="s">
        <v>6336</v>
      </c>
      <c r="C5946" t="s">
        <v>6372</v>
      </c>
      <c r="D5946" s="2" t="s">
        <v>6373</v>
      </c>
      <c r="E5946" t="s">
        <v>2333</v>
      </c>
      <c r="F5946" t="s">
        <v>20</v>
      </c>
      <c r="G5946" t="s">
        <v>21</v>
      </c>
      <c r="H5946" t="s">
        <v>1282</v>
      </c>
      <c r="I5946" t="s">
        <v>23</v>
      </c>
      <c r="J5946" t="s">
        <v>40</v>
      </c>
      <c r="K5946" s="2" t="s">
        <v>422</v>
      </c>
      <c r="L5946" t="s">
        <v>26</v>
      </c>
      <c r="M5946">
        <v>329695</v>
      </c>
      <c r="N5946">
        <v>1</v>
      </c>
      <c r="O5946" s="3">
        <v>49951</v>
      </c>
      <c r="P5946" s="3">
        <v>13922</v>
      </c>
      <c r="Q5946" s="5">
        <f t="shared" si="276"/>
        <v>41975.63025210084</v>
      </c>
      <c r="R5946" s="5">
        <f t="shared" si="277"/>
        <v>13922</v>
      </c>
      <c r="S5946" s="5">
        <f t="shared" si="278"/>
        <v>28053.63025210084</v>
      </c>
    </row>
    <row r="5947" spans="1:19" hidden="1" x14ac:dyDescent="0.3">
      <c r="A5947">
        <v>200</v>
      </c>
      <c r="B5947" t="s">
        <v>6336</v>
      </c>
      <c r="C5947" t="s">
        <v>3784</v>
      </c>
      <c r="D5947" s="2" t="s">
        <v>3785</v>
      </c>
      <c r="E5947" t="s">
        <v>3786</v>
      </c>
      <c r="F5947" t="s">
        <v>20</v>
      </c>
      <c r="G5947" t="s">
        <v>21</v>
      </c>
      <c r="H5947" t="s">
        <v>1405</v>
      </c>
      <c r="I5947" t="s">
        <v>23</v>
      </c>
      <c r="J5947" t="s">
        <v>40</v>
      </c>
      <c r="K5947" s="2" t="s">
        <v>422</v>
      </c>
      <c r="L5947" t="s">
        <v>26</v>
      </c>
      <c r="M5947">
        <v>329695</v>
      </c>
      <c r="N5947">
        <v>-1</v>
      </c>
      <c r="O5947" s="3">
        <v>-49950</v>
      </c>
      <c r="P5947" s="3">
        <v>13302</v>
      </c>
      <c r="Q5947" s="5">
        <f t="shared" si="276"/>
        <v>-41974.789915966387</v>
      </c>
      <c r="R5947" s="5">
        <f t="shared" si="277"/>
        <v>-13302</v>
      </c>
      <c r="S5947" s="5">
        <f t="shared" si="278"/>
        <v>-28672.789915966387</v>
      </c>
    </row>
    <row r="5948" spans="1:19" hidden="1" x14ac:dyDescent="0.3">
      <c r="A5948">
        <v>200</v>
      </c>
      <c r="B5948" t="s">
        <v>6336</v>
      </c>
      <c r="C5948" t="s">
        <v>3146</v>
      </c>
      <c r="D5948" s="2" t="s">
        <v>3147</v>
      </c>
      <c r="E5948" t="s">
        <v>3148</v>
      </c>
      <c r="F5948" t="s">
        <v>20</v>
      </c>
      <c r="G5948" t="s">
        <v>338</v>
      </c>
      <c r="H5948">
        <v>23313</v>
      </c>
      <c r="I5948" t="s">
        <v>23</v>
      </c>
      <c r="J5948" t="s">
        <v>40</v>
      </c>
      <c r="K5948" s="2" t="s">
        <v>422</v>
      </c>
      <c r="L5948" t="s">
        <v>26</v>
      </c>
      <c r="M5948">
        <v>329696</v>
      </c>
      <c r="N5948">
        <v>1</v>
      </c>
      <c r="O5948" s="3">
        <v>49990</v>
      </c>
      <c r="P5948" s="3">
        <v>23476</v>
      </c>
      <c r="Q5948" s="5">
        <f t="shared" si="276"/>
        <v>42008.403361344543</v>
      </c>
      <c r="R5948" s="5">
        <f t="shared" si="277"/>
        <v>23476</v>
      </c>
      <c r="S5948" s="5">
        <f t="shared" si="278"/>
        <v>18532.403361344543</v>
      </c>
    </row>
    <row r="5949" spans="1:19" hidden="1" x14ac:dyDescent="0.3">
      <c r="A5949">
        <v>200</v>
      </c>
      <c r="B5949" t="s">
        <v>6336</v>
      </c>
      <c r="C5949" t="s">
        <v>2485</v>
      </c>
      <c r="D5949" s="2" t="s">
        <v>2486</v>
      </c>
      <c r="E5949" t="s">
        <v>2487</v>
      </c>
      <c r="F5949" t="s">
        <v>377</v>
      </c>
      <c r="G5949" t="s">
        <v>21</v>
      </c>
      <c r="H5949" t="s">
        <v>378</v>
      </c>
      <c r="I5949" t="s">
        <v>23</v>
      </c>
      <c r="J5949" t="s">
        <v>379</v>
      </c>
      <c r="K5949" s="2" t="s">
        <v>422</v>
      </c>
      <c r="L5949" t="s">
        <v>26</v>
      </c>
      <c r="M5949">
        <v>329696</v>
      </c>
      <c r="N5949">
        <v>1</v>
      </c>
      <c r="O5949" s="3">
        <v>5950</v>
      </c>
      <c r="P5949" s="3">
        <v>2243</v>
      </c>
      <c r="Q5949" s="5">
        <f t="shared" si="276"/>
        <v>5000</v>
      </c>
      <c r="R5949" s="5">
        <f t="shared" si="277"/>
        <v>2243</v>
      </c>
      <c r="S5949" s="5">
        <f t="shared" si="278"/>
        <v>2757</v>
      </c>
    </row>
    <row r="5950" spans="1:19" hidden="1" x14ac:dyDescent="0.3">
      <c r="A5950">
        <v>200</v>
      </c>
      <c r="B5950" t="s">
        <v>6336</v>
      </c>
      <c r="C5950" t="s">
        <v>6374</v>
      </c>
      <c r="D5950" s="2" t="s">
        <v>6375</v>
      </c>
      <c r="E5950" t="s">
        <v>2778</v>
      </c>
      <c r="F5950" t="s">
        <v>20</v>
      </c>
      <c r="G5950" t="s">
        <v>21</v>
      </c>
      <c r="H5950" t="s">
        <v>1296</v>
      </c>
      <c r="I5950" t="s">
        <v>23</v>
      </c>
      <c r="J5950" t="s">
        <v>35</v>
      </c>
      <c r="K5950" s="2" t="s">
        <v>422</v>
      </c>
      <c r="L5950" t="s">
        <v>26</v>
      </c>
      <c r="M5950">
        <v>329697</v>
      </c>
      <c r="N5950">
        <v>1</v>
      </c>
      <c r="O5950" s="3">
        <v>99950</v>
      </c>
      <c r="P5950" s="3">
        <v>34091</v>
      </c>
      <c r="Q5950" s="5">
        <f t="shared" si="276"/>
        <v>83991.596638655465</v>
      </c>
      <c r="R5950" s="5">
        <f t="shared" si="277"/>
        <v>34091</v>
      </c>
      <c r="S5950" s="5">
        <f t="shared" si="278"/>
        <v>49900.596638655465</v>
      </c>
    </row>
    <row r="5951" spans="1:19" hidden="1" x14ac:dyDescent="0.3">
      <c r="A5951">
        <v>200</v>
      </c>
      <c r="B5951" t="s">
        <v>6336</v>
      </c>
      <c r="C5951" t="s">
        <v>6138</v>
      </c>
      <c r="D5951" s="2" t="s">
        <v>6139</v>
      </c>
      <c r="E5951" t="s">
        <v>6097</v>
      </c>
      <c r="F5951" t="s">
        <v>20</v>
      </c>
      <c r="G5951" t="s">
        <v>21</v>
      </c>
      <c r="H5951" t="s">
        <v>3811</v>
      </c>
      <c r="I5951" t="s">
        <v>23</v>
      </c>
      <c r="J5951" t="s">
        <v>40</v>
      </c>
      <c r="K5951" s="2" t="s">
        <v>422</v>
      </c>
      <c r="L5951" t="s">
        <v>26</v>
      </c>
      <c r="M5951">
        <v>329698</v>
      </c>
      <c r="N5951">
        <v>1</v>
      </c>
      <c r="O5951" s="3">
        <v>49990</v>
      </c>
      <c r="P5951" s="3">
        <v>21722</v>
      </c>
      <c r="Q5951" s="5">
        <f t="shared" si="276"/>
        <v>42008.403361344543</v>
      </c>
      <c r="R5951" s="5">
        <f t="shared" si="277"/>
        <v>21722</v>
      </c>
      <c r="S5951" s="5">
        <f t="shared" si="278"/>
        <v>20286.403361344543</v>
      </c>
    </row>
    <row r="5952" spans="1:19" hidden="1" x14ac:dyDescent="0.3">
      <c r="A5952">
        <v>200</v>
      </c>
      <c r="B5952" t="s">
        <v>6336</v>
      </c>
      <c r="C5952" t="s">
        <v>6376</v>
      </c>
      <c r="D5952" s="2" t="s">
        <v>6377</v>
      </c>
      <c r="E5952" t="s">
        <v>2281</v>
      </c>
      <c r="F5952" t="s">
        <v>20</v>
      </c>
      <c r="G5952" t="s">
        <v>21</v>
      </c>
      <c r="H5952" t="s">
        <v>247</v>
      </c>
      <c r="I5952" t="s">
        <v>23</v>
      </c>
      <c r="J5952" t="s">
        <v>40</v>
      </c>
      <c r="K5952" s="2" t="s">
        <v>422</v>
      </c>
      <c r="L5952" t="s">
        <v>26</v>
      </c>
      <c r="M5952">
        <v>329699</v>
      </c>
      <c r="N5952">
        <v>1</v>
      </c>
      <c r="O5952" s="3">
        <v>34990</v>
      </c>
      <c r="P5952" s="3">
        <v>18016</v>
      </c>
      <c r="Q5952" s="5">
        <f t="shared" si="276"/>
        <v>29403.361344537818</v>
      </c>
      <c r="R5952" s="5">
        <f t="shared" si="277"/>
        <v>18016</v>
      </c>
      <c r="S5952" s="5">
        <f t="shared" si="278"/>
        <v>11387.361344537818</v>
      </c>
    </row>
    <row r="5953" spans="1:19" hidden="1" x14ac:dyDescent="0.3">
      <c r="A5953">
        <v>200</v>
      </c>
      <c r="B5953" t="s">
        <v>6336</v>
      </c>
      <c r="C5953" t="s">
        <v>3188</v>
      </c>
      <c r="D5953" s="2" t="s">
        <v>3189</v>
      </c>
      <c r="E5953" t="s">
        <v>3190</v>
      </c>
      <c r="F5953" t="s">
        <v>20</v>
      </c>
      <c r="G5953" t="s">
        <v>21</v>
      </c>
      <c r="H5953" t="s">
        <v>1440</v>
      </c>
      <c r="I5953" t="s">
        <v>23</v>
      </c>
      <c r="J5953" t="s">
        <v>40</v>
      </c>
      <c r="K5953" s="2" t="s">
        <v>422</v>
      </c>
      <c r="L5953" t="s">
        <v>26</v>
      </c>
      <c r="M5953">
        <v>329699</v>
      </c>
      <c r="N5953">
        <v>-1</v>
      </c>
      <c r="O5953" s="3">
        <v>-64950</v>
      </c>
      <c r="P5953" s="3">
        <v>17328</v>
      </c>
      <c r="Q5953" s="5">
        <f t="shared" si="276"/>
        <v>-54579.831932773115</v>
      </c>
      <c r="R5953" s="5">
        <f t="shared" si="277"/>
        <v>-17328</v>
      </c>
      <c r="S5953" s="5">
        <f t="shared" si="278"/>
        <v>-37251.831932773115</v>
      </c>
    </row>
    <row r="5954" spans="1:19" hidden="1" x14ac:dyDescent="0.3">
      <c r="A5954">
        <v>200</v>
      </c>
      <c r="B5954" t="s">
        <v>6336</v>
      </c>
      <c r="C5954" t="s">
        <v>492</v>
      </c>
      <c r="D5954" s="2" t="s">
        <v>493</v>
      </c>
      <c r="E5954" t="s">
        <v>494</v>
      </c>
      <c r="F5954" t="s">
        <v>20</v>
      </c>
      <c r="G5954" t="s">
        <v>21</v>
      </c>
      <c r="H5954" t="s">
        <v>317</v>
      </c>
      <c r="I5954" t="s">
        <v>23</v>
      </c>
      <c r="J5954" t="s">
        <v>35</v>
      </c>
      <c r="K5954" s="2" t="s">
        <v>422</v>
      </c>
      <c r="L5954" t="s">
        <v>26</v>
      </c>
      <c r="M5954">
        <v>329699</v>
      </c>
      <c r="N5954">
        <v>1</v>
      </c>
      <c r="O5954" s="3">
        <v>59450</v>
      </c>
      <c r="P5954" s="3">
        <v>23619</v>
      </c>
      <c r="Q5954" s="5">
        <f t="shared" si="276"/>
        <v>49957.983193277316</v>
      </c>
      <c r="R5954" s="5">
        <f t="shared" si="277"/>
        <v>23619</v>
      </c>
      <c r="S5954" s="5">
        <f t="shared" si="278"/>
        <v>26338.983193277316</v>
      </c>
    </row>
    <row r="5955" spans="1:19" hidden="1" x14ac:dyDescent="0.3">
      <c r="A5955">
        <v>200</v>
      </c>
      <c r="B5955" t="s">
        <v>6336</v>
      </c>
      <c r="C5955" t="s">
        <v>2900</v>
      </c>
      <c r="D5955" s="2" t="s">
        <v>2901</v>
      </c>
      <c r="E5955" t="s">
        <v>2902</v>
      </c>
      <c r="F5955" t="s">
        <v>20</v>
      </c>
      <c r="G5955" t="s">
        <v>21</v>
      </c>
      <c r="H5955" t="s">
        <v>267</v>
      </c>
      <c r="I5955" t="s">
        <v>23</v>
      </c>
      <c r="J5955" t="s">
        <v>49</v>
      </c>
      <c r="K5955" s="2" t="s">
        <v>422</v>
      </c>
      <c r="L5955" t="s">
        <v>26</v>
      </c>
      <c r="M5955">
        <v>329700</v>
      </c>
      <c r="N5955">
        <v>1</v>
      </c>
      <c r="O5955" s="3">
        <v>64950</v>
      </c>
      <c r="P5955" s="3">
        <v>24504</v>
      </c>
      <c r="Q5955" s="5">
        <f t="shared" si="276"/>
        <v>54579.831932773115</v>
      </c>
      <c r="R5955" s="5">
        <f t="shared" si="277"/>
        <v>24504</v>
      </c>
      <c r="S5955" s="5">
        <f t="shared" si="278"/>
        <v>30075.831932773115</v>
      </c>
    </row>
    <row r="5956" spans="1:19" hidden="1" x14ac:dyDescent="0.3">
      <c r="A5956">
        <v>200</v>
      </c>
      <c r="B5956" t="s">
        <v>6336</v>
      </c>
      <c r="C5956" t="s">
        <v>2097</v>
      </c>
      <c r="D5956" s="2" t="s">
        <v>2098</v>
      </c>
      <c r="E5956" t="s">
        <v>494</v>
      </c>
      <c r="F5956" t="s">
        <v>20</v>
      </c>
      <c r="G5956" t="s">
        <v>21</v>
      </c>
      <c r="H5956" t="s">
        <v>317</v>
      </c>
      <c r="I5956" t="s">
        <v>23</v>
      </c>
      <c r="J5956" t="s">
        <v>35</v>
      </c>
      <c r="K5956" s="2" t="s">
        <v>422</v>
      </c>
      <c r="L5956" t="s">
        <v>26</v>
      </c>
      <c r="M5956">
        <v>329700</v>
      </c>
      <c r="N5956">
        <v>1</v>
      </c>
      <c r="O5956" s="3">
        <v>59450</v>
      </c>
      <c r="P5956" s="3">
        <v>23619</v>
      </c>
      <c r="Q5956" s="5">
        <f t="shared" si="276"/>
        <v>49957.983193277316</v>
      </c>
      <c r="R5956" s="5">
        <f t="shared" si="277"/>
        <v>23619</v>
      </c>
      <c r="S5956" s="5">
        <f t="shared" si="278"/>
        <v>26338.983193277316</v>
      </c>
    </row>
    <row r="5957" spans="1:19" hidden="1" x14ac:dyDescent="0.3">
      <c r="A5957">
        <v>200</v>
      </c>
      <c r="B5957" t="s">
        <v>6336</v>
      </c>
      <c r="C5957" t="s">
        <v>4139</v>
      </c>
      <c r="D5957" s="2" t="s">
        <v>4140</v>
      </c>
      <c r="E5957" t="s">
        <v>3656</v>
      </c>
      <c r="F5957" t="s">
        <v>20</v>
      </c>
      <c r="G5957" t="s">
        <v>21</v>
      </c>
      <c r="H5957" t="s">
        <v>614</v>
      </c>
      <c r="I5957" t="s">
        <v>23</v>
      </c>
      <c r="J5957" t="s">
        <v>40</v>
      </c>
      <c r="K5957" s="2" t="s">
        <v>422</v>
      </c>
      <c r="L5957" t="s">
        <v>26</v>
      </c>
      <c r="M5957">
        <v>329701</v>
      </c>
      <c r="N5957">
        <v>1</v>
      </c>
      <c r="O5957" s="3">
        <v>54950</v>
      </c>
      <c r="P5957" s="3">
        <v>14265</v>
      </c>
      <c r="Q5957" s="5">
        <f t="shared" si="276"/>
        <v>46176.470588235294</v>
      </c>
      <c r="R5957" s="5">
        <f t="shared" si="277"/>
        <v>14265</v>
      </c>
      <c r="S5957" s="5">
        <f t="shared" si="278"/>
        <v>31911.470588235294</v>
      </c>
    </row>
    <row r="5958" spans="1:19" hidden="1" x14ac:dyDescent="0.3">
      <c r="A5958">
        <v>200</v>
      </c>
      <c r="B5958" t="s">
        <v>6336</v>
      </c>
      <c r="C5958" t="s">
        <v>6185</v>
      </c>
      <c r="D5958" s="2" t="s">
        <v>6186</v>
      </c>
      <c r="E5958" t="s">
        <v>3180</v>
      </c>
      <c r="F5958" t="s">
        <v>20</v>
      </c>
      <c r="G5958" t="s">
        <v>338</v>
      </c>
      <c r="H5958">
        <v>23313</v>
      </c>
      <c r="I5958" t="s">
        <v>23</v>
      </c>
      <c r="J5958" t="s">
        <v>40</v>
      </c>
      <c r="K5958" s="2" t="s">
        <v>422</v>
      </c>
      <c r="L5958" t="s">
        <v>26</v>
      </c>
      <c r="M5958">
        <v>329701</v>
      </c>
      <c r="N5958">
        <v>-1</v>
      </c>
      <c r="O5958" s="3">
        <v>-69950</v>
      </c>
      <c r="P5958" s="3">
        <v>23365</v>
      </c>
      <c r="Q5958" s="5">
        <f t="shared" ref="Q5958:Q6021" si="279">O5958/1.19</f>
        <v>-58781.512605042022</v>
      </c>
      <c r="R5958" s="5">
        <f t="shared" ref="R5958:R6021" si="280">N5958*P5958</f>
        <v>-23365</v>
      </c>
      <c r="S5958" s="5">
        <f t="shared" ref="S5958:S6021" si="281">Q5958-R5958</f>
        <v>-35416.512605042022</v>
      </c>
    </row>
    <row r="5959" spans="1:19" hidden="1" x14ac:dyDescent="0.3">
      <c r="A5959">
        <v>200</v>
      </c>
      <c r="B5959" t="s">
        <v>6336</v>
      </c>
      <c r="C5959" t="s">
        <v>6378</v>
      </c>
      <c r="D5959" s="2" t="s">
        <v>6379</v>
      </c>
      <c r="E5959" t="s">
        <v>6380</v>
      </c>
      <c r="F5959" t="s">
        <v>377</v>
      </c>
      <c r="G5959" t="s">
        <v>21</v>
      </c>
      <c r="H5959" t="s">
        <v>378</v>
      </c>
      <c r="I5959" t="s">
        <v>23</v>
      </c>
      <c r="J5959" t="s">
        <v>2620</v>
      </c>
      <c r="K5959" s="2" t="s">
        <v>422</v>
      </c>
      <c r="L5959" t="s">
        <v>26</v>
      </c>
      <c r="M5959">
        <v>329701</v>
      </c>
      <c r="N5959">
        <v>1</v>
      </c>
      <c r="O5959" s="3">
        <v>19950</v>
      </c>
      <c r="P5959" s="3">
        <v>6890</v>
      </c>
      <c r="Q5959" s="5">
        <f t="shared" si="279"/>
        <v>16764.705882352941</v>
      </c>
      <c r="R5959" s="5">
        <f t="shared" si="280"/>
        <v>6890</v>
      </c>
      <c r="S5959" s="5">
        <f t="shared" si="281"/>
        <v>9874.7058823529405</v>
      </c>
    </row>
    <row r="5960" spans="1:19" hidden="1" x14ac:dyDescent="0.3">
      <c r="A5960">
        <v>200</v>
      </c>
      <c r="B5960" t="s">
        <v>6336</v>
      </c>
      <c r="C5960" t="s">
        <v>4266</v>
      </c>
      <c r="D5960" s="2" t="s">
        <v>4267</v>
      </c>
      <c r="E5960" t="s">
        <v>2252</v>
      </c>
      <c r="F5960" t="s">
        <v>20</v>
      </c>
      <c r="G5960" t="s">
        <v>21</v>
      </c>
      <c r="H5960" t="s">
        <v>970</v>
      </c>
      <c r="I5960" t="s">
        <v>23</v>
      </c>
      <c r="J5960" t="s">
        <v>40</v>
      </c>
      <c r="K5960" s="2" t="s">
        <v>422</v>
      </c>
      <c r="L5960" t="s">
        <v>26</v>
      </c>
      <c r="M5960">
        <v>329702</v>
      </c>
      <c r="N5960">
        <v>1</v>
      </c>
      <c r="O5960" s="3">
        <v>59950</v>
      </c>
      <c r="P5960" s="3">
        <v>15928</v>
      </c>
      <c r="Q5960" s="5">
        <f t="shared" si="279"/>
        <v>50378.151260504201</v>
      </c>
      <c r="R5960" s="5">
        <f t="shared" si="280"/>
        <v>15928</v>
      </c>
      <c r="S5960" s="5">
        <f t="shared" si="281"/>
        <v>34450.151260504201</v>
      </c>
    </row>
    <row r="5961" spans="1:19" hidden="1" x14ac:dyDescent="0.3">
      <c r="A5961">
        <v>200</v>
      </c>
      <c r="B5961" t="s">
        <v>6336</v>
      </c>
      <c r="C5961" t="s">
        <v>5734</v>
      </c>
      <c r="D5961" s="2" t="s">
        <v>5735</v>
      </c>
      <c r="E5961" t="s">
        <v>1075</v>
      </c>
      <c r="F5961" t="s">
        <v>20</v>
      </c>
      <c r="G5961" t="s">
        <v>338</v>
      </c>
      <c r="H5961">
        <v>25097</v>
      </c>
      <c r="I5961" t="s">
        <v>23</v>
      </c>
      <c r="J5961" t="s">
        <v>24</v>
      </c>
      <c r="K5961" s="2" t="s">
        <v>422</v>
      </c>
      <c r="L5961" t="s">
        <v>26</v>
      </c>
      <c r="M5961">
        <v>329702</v>
      </c>
      <c r="N5961">
        <v>1</v>
      </c>
      <c r="O5961" s="3">
        <v>63700</v>
      </c>
      <c r="P5961" s="3">
        <v>23242</v>
      </c>
      <c r="Q5961" s="5">
        <f t="shared" si="279"/>
        <v>53529.411764705888</v>
      </c>
      <c r="R5961" s="5">
        <f t="shared" si="280"/>
        <v>23242</v>
      </c>
      <c r="S5961" s="5">
        <f t="shared" si="281"/>
        <v>30287.411764705888</v>
      </c>
    </row>
    <row r="5962" spans="1:19" hidden="1" x14ac:dyDescent="0.3">
      <c r="A5962">
        <v>200</v>
      </c>
      <c r="B5962" t="s">
        <v>6336</v>
      </c>
      <c r="C5962" t="s">
        <v>2485</v>
      </c>
      <c r="D5962" s="2" t="s">
        <v>2486</v>
      </c>
      <c r="E5962" t="s">
        <v>2487</v>
      </c>
      <c r="F5962" t="s">
        <v>377</v>
      </c>
      <c r="G5962" t="s">
        <v>21</v>
      </c>
      <c r="H5962" t="s">
        <v>378</v>
      </c>
      <c r="I5962" t="s">
        <v>23</v>
      </c>
      <c r="J5962" t="s">
        <v>379</v>
      </c>
      <c r="K5962" s="2" t="s">
        <v>422</v>
      </c>
      <c r="L5962" t="s">
        <v>26</v>
      </c>
      <c r="M5962">
        <v>329702</v>
      </c>
      <c r="N5962">
        <v>1</v>
      </c>
      <c r="O5962" s="3">
        <v>5950</v>
      </c>
      <c r="P5962" s="3">
        <v>2243</v>
      </c>
      <c r="Q5962" s="5">
        <f t="shared" si="279"/>
        <v>5000</v>
      </c>
      <c r="R5962" s="5">
        <f t="shared" si="280"/>
        <v>2243</v>
      </c>
      <c r="S5962" s="5">
        <f t="shared" si="281"/>
        <v>2757</v>
      </c>
    </row>
    <row r="5963" spans="1:19" hidden="1" x14ac:dyDescent="0.3">
      <c r="A5963">
        <v>200</v>
      </c>
      <c r="B5963" t="s">
        <v>6336</v>
      </c>
      <c r="C5963" t="s">
        <v>6381</v>
      </c>
      <c r="D5963" s="2" t="s">
        <v>6382</v>
      </c>
      <c r="E5963" t="s">
        <v>1769</v>
      </c>
      <c r="F5963" t="s">
        <v>20</v>
      </c>
      <c r="G5963" t="s">
        <v>21</v>
      </c>
      <c r="H5963" t="s">
        <v>65</v>
      </c>
      <c r="I5963" t="s">
        <v>23</v>
      </c>
      <c r="J5963" t="s">
        <v>49</v>
      </c>
      <c r="K5963" s="2" t="s">
        <v>814</v>
      </c>
      <c r="L5963" t="s">
        <v>26</v>
      </c>
      <c r="M5963">
        <v>329703</v>
      </c>
      <c r="N5963">
        <v>1</v>
      </c>
      <c r="O5963" s="3">
        <v>39990</v>
      </c>
      <c r="P5963" s="3">
        <v>21067</v>
      </c>
      <c r="Q5963" s="5">
        <f t="shared" si="279"/>
        <v>33605.042016806721</v>
      </c>
      <c r="R5963" s="5">
        <f t="shared" si="280"/>
        <v>21067</v>
      </c>
      <c r="S5963" s="5">
        <f t="shared" si="281"/>
        <v>12538.042016806721</v>
      </c>
    </row>
    <row r="5964" spans="1:19" hidden="1" x14ac:dyDescent="0.3">
      <c r="A5964">
        <v>200</v>
      </c>
      <c r="B5964" t="s">
        <v>6336</v>
      </c>
      <c r="C5964" t="s">
        <v>1186</v>
      </c>
      <c r="D5964" s="2" t="s">
        <v>1187</v>
      </c>
      <c r="E5964" t="s">
        <v>1188</v>
      </c>
      <c r="F5964" t="s">
        <v>20</v>
      </c>
      <c r="G5964" t="s">
        <v>21</v>
      </c>
      <c r="H5964" t="s">
        <v>30</v>
      </c>
      <c r="I5964" t="s">
        <v>23</v>
      </c>
      <c r="J5964" t="s">
        <v>49</v>
      </c>
      <c r="K5964" s="2" t="s">
        <v>814</v>
      </c>
      <c r="L5964" t="s">
        <v>26</v>
      </c>
      <c r="M5964">
        <v>329704</v>
      </c>
      <c r="N5964">
        <v>1</v>
      </c>
      <c r="O5964" s="3">
        <v>69950</v>
      </c>
      <c r="P5964" s="3">
        <v>24821</v>
      </c>
      <c r="Q5964" s="5">
        <f t="shared" si="279"/>
        <v>58781.512605042022</v>
      </c>
      <c r="R5964" s="5">
        <f t="shared" si="280"/>
        <v>24821</v>
      </c>
      <c r="S5964" s="5">
        <f t="shared" si="281"/>
        <v>33960.512605042022</v>
      </c>
    </row>
    <row r="5965" spans="1:19" hidden="1" x14ac:dyDescent="0.3">
      <c r="A5965">
        <v>200</v>
      </c>
      <c r="B5965" t="s">
        <v>6336</v>
      </c>
      <c r="C5965" t="s">
        <v>6383</v>
      </c>
      <c r="D5965" s="2" t="s">
        <v>6384</v>
      </c>
      <c r="E5965" t="s">
        <v>4547</v>
      </c>
      <c r="F5965" t="s">
        <v>20</v>
      </c>
      <c r="G5965" t="s">
        <v>21</v>
      </c>
      <c r="H5965" t="s">
        <v>285</v>
      </c>
      <c r="I5965" t="s">
        <v>23</v>
      </c>
      <c r="J5965" t="s">
        <v>49</v>
      </c>
      <c r="K5965" s="2" t="s">
        <v>814</v>
      </c>
      <c r="L5965" t="s">
        <v>26</v>
      </c>
      <c r="M5965">
        <v>329705</v>
      </c>
      <c r="N5965">
        <v>1</v>
      </c>
      <c r="O5965" s="3">
        <v>59990</v>
      </c>
      <c r="P5965" s="3">
        <v>28600</v>
      </c>
      <c r="Q5965" s="5">
        <f t="shared" si="279"/>
        <v>50411.764705882357</v>
      </c>
      <c r="R5965" s="5">
        <f t="shared" si="280"/>
        <v>28600</v>
      </c>
      <c r="S5965" s="5">
        <f t="shared" si="281"/>
        <v>21811.764705882357</v>
      </c>
    </row>
    <row r="5966" spans="1:19" hidden="1" x14ac:dyDescent="0.3">
      <c r="A5966">
        <v>200</v>
      </c>
      <c r="B5966" t="s">
        <v>6336</v>
      </c>
      <c r="C5966">
        <v>1687976791</v>
      </c>
      <c r="D5966" s="2" t="s">
        <v>200</v>
      </c>
      <c r="E5966" t="s">
        <v>201</v>
      </c>
      <c r="F5966" t="s">
        <v>201</v>
      </c>
      <c r="G5966" t="s">
        <v>202</v>
      </c>
      <c r="H5966" t="s">
        <v>202</v>
      </c>
      <c r="I5966" t="s">
        <v>23</v>
      </c>
      <c r="J5966" t="s">
        <v>202</v>
      </c>
      <c r="K5966" s="2" t="s">
        <v>814</v>
      </c>
      <c r="L5966" t="s">
        <v>26</v>
      </c>
      <c r="M5966">
        <v>329705</v>
      </c>
      <c r="N5966">
        <v>1</v>
      </c>
      <c r="O5966" s="3">
        <v>3200</v>
      </c>
      <c r="P5966">
        <v>1</v>
      </c>
      <c r="Q5966" s="5">
        <f t="shared" si="279"/>
        <v>2689.0756302521008</v>
      </c>
      <c r="R5966" s="5">
        <f t="shared" si="280"/>
        <v>1</v>
      </c>
      <c r="S5966" s="5">
        <f t="shared" si="281"/>
        <v>2688.0756302521008</v>
      </c>
    </row>
    <row r="5967" spans="1:19" hidden="1" x14ac:dyDescent="0.3">
      <c r="A5967">
        <v>200</v>
      </c>
      <c r="B5967" t="s">
        <v>6336</v>
      </c>
      <c r="C5967" t="s">
        <v>4880</v>
      </c>
      <c r="D5967" s="2" t="s">
        <v>4881</v>
      </c>
      <c r="E5967" t="s">
        <v>2899</v>
      </c>
      <c r="F5967" t="s">
        <v>20</v>
      </c>
      <c r="G5967" t="s">
        <v>21</v>
      </c>
      <c r="H5967" t="s">
        <v>295</v>
      </c>
      <c r="I5967" t="s">
        <v>23</v>
      </c>
      <c r="J5967" t="s">
        <v>40</v>
      </c>
      <c r="K5967" s="2" t="s">
        <v>814</v>
      </c>
      <c r="L5967" t="s">
        <v>26</v>
      </c>
      <c r="M5967">
        <v>329706</v>
      </c>
      <c r="N5967">
        <v>1</v>
      </c>
      <c r="O5967" s="3">
        <v>79950</v>
      </c>
      <c r="P5967" s="3">
        <v>26951</v>
      </c>
      <c r="Q5967" s="5">
        <f t="shared" si="279"/>
        <v>67184.873949579836</v>
      </c>
      <c r="R5967" s="5">
        <f t="shared" si="280"/>
        <v>26951</v>
      </c>
      <c r="S5967" s="5">
        <f t="shared" si="281"/>
        <v>40233.873949579836</v>
      </c>
    </row>
    <row r="5968" spans="1:19" hidden="1" x14ac:dyDescent="0.3">
      <c r="A5968">
        <v>200</v>
      </c>
      <c r="B5968" t="s">
        <v>6336</v>
      </c>
      <c r="C5968" t="s">
        <v>4677</v>
      </c>
      <c r="D5968" s="2" t="s">
        <v>4678</v>
      </c>
      <c r="E5968" t="s">
        <v>266</v>
      </c>
      <c r="F5968" t="s">
        <v>20</v>
      </c>
      <c r="G5968" t="s">
        <v>21</v>
      </c>
      <c r="H5968" t="s">
        <v>267</v>
      </c>
      <c r="I5968" t="s">
        <v>23</v>
      </c>
      <c r="J5968" t="s">
        <v>49</v>
      </c>
      <c r="K5968" s="2" t="s">
        <v>814</v>
      </c>
      <c r="L5968" t="s">
        <v>26</v>
      </c>
      <c r="M5968">
        <v>329707</v>
      </c>
      <c r="N5968">
        <v>1</v>
      </c>
      <c r="O5968" s="3">
        <v>64950</v>
      </c>
      <c r="P5968" s="3">
        <v>24504</v>
      </c>
      <c r="Q5968" s="5">
        <f t="shared" si="279"/>
        <v>54579.831932773115</v>
      </c>
      <c r="R5968" s="5">
        <f t="shared" si="280"/>
        <v>24504</v>
      </c>
      <c r="S5968" s="5">
        <f t="shared" si="281"/>
        <v>30075.831932773115</v>
      </c>
    </row>
    <row r="5969" spans="1:19" hidden="1" x14ac:dyDescent="0.3">
      <c r="A5969">
        <v>200</v>
      </c>
      <c r="B5969" t="s">
        <v>6336</v>
      </c>
      <c r="C5969" t="s">
        <v>2884</v>
      </c>
      <c r="D5969" s="2" t="s">
        <v>2885</v>
      </c>
      <c r="E5969" t="s">
        <v>1330</v>
      </c>
      <c r="F5969" t="s">
        <v>20</v>
      </c>
      <c r="G5969" t="s">
        <v>338</v>
      </c>
      <c r="H5969">
        <v>25133</v>
      </c>
      <c r="I5969" t="s">
        <v>23</v>
      </c>
      <c r="J5969" t="s">
        <v>35</v>
      </c>
      <c r="K5969" s="2" t="s">
        <v>814</v>
      </c>
      <c r="L5969" t="s">
        <v>26</v>
      </c>
      <c r="M5969">
        <v>329707</v>
      </c>
      <c r="N5969">
        <v>1</v>
      </c>
      <c r="O5969" s="3">
        <v>74950</v>
      </c>
      <c r="P5969" s="3">
        <v>21167</v>
      </c>
      <c r="Q5969" s="5">
        <f t="shared" si="279"/>
        <v>62983.193277310929</v>
      </c>
      <c r="R5969" s="5">
        <f t="shared" si="280"/>
        <v>21167</v>
      </c>
      <c r="S5969" s="5">
        <f t="shared" si="281"/>
        <v>41816.193277310929</v>
      </c>
    </row>
    <row r="5970" spans="1:19" hidden="1" x14ac:dyDescent="0.3">
      <c r="A5970">
        <v>200</v>
      </c>
      <c r="B5970" t="s">
        <v>6336</v>
      </c>
      <c r="C5970" t="s">
        <v>6385</v>
      </c>
      <c r="D5970" s="2" t="s">
        <v>6386</v>
      </c>
      <c r="E5970" t="s">
        <v>2392</v>
      </c>
      <c r="F5970" t="s">
        <v>20</v>
      </c>
      <c r="G5970" t="s">
        <v>21</v>
      </c>
      <c r="H5970" t="s">
        <v>573</v>
      </c>
      <c r="I5970" t="s">
        <v>23</v>
      </c>
      <c r="J5970" t="s">
        <v>49</v>
      </c>
      <c r="K5970" s="2" t="s">
        <v>814</v>
      </c>
      <c r="L5970" t="s">
        <v>26</v>
      </c>
      <c r="M5970">
        <v>329708</v>
      </c>
      <c r="N5970">
        <v>1</v>
      </c>
      <c r="O5970" s="3">
        <v>44990</v>
      </c>
      <c r="P5970" s="3">
        <v>22646</v>
      </c>
      <c r="Q5970" s="5">
        <f t="shared" si="279"/>
        <v>37806.722689075636</v>
      </c>
      <c r="R5970" s="5">
        <f t="shared" si="280"/>
        <v>22646</v>
      </c>
      <c r="S5970" s="5">
        <f t="shared" si="281"/>
        <v>15160.722689075636</v>
      </c>
    </row>
    <row r="5971" spans="1:19" hidden="1" x14ac:dyDescent="0.3">
      <c r="A5971">
        <v>200</v>
      </c>
      <c r="B5971" t="s">
        <v>6336</v>
      </c>
      <c r="C5971">
        <v>1687976791</v>
      </c>
      <c r="D5971" s="2" t="s">
        <v>200</v>
      </c>
      <c r="E5971" t="s">
        <v>201</v>
      </c>
      <c r="F5971" t="s">
        <v>201</v>
      </c>
      <c r="G5971" t="s">
        <v>202</v>
      </c>
      <c r="H5971" t="s">
        <v>202</v>
      </c>
      <c r="I5971" t="s">
        <v>23</v>
      </c>
      <c r="J5971" t="s">
        <v>202</v>
      </c>
      <c r="K5971" s="2" t="s">
        <v>814</v>
      </c>
      <c r="L5971" t="s">
        <v>26</v>
      </c>
      <c r="M5971">
        <v>329708</v>
      </c>
      <c r="N5971">
        <v>1</v>
      </c>
      <c r="O5971">
        <v>1</v>
      </c>
      <c r="P5971">
        <v>1</v>
      </c>
      <c r="Q5971" s="5">
        <f t="shared" si="279"/>
        <v>0.84033613445378152</v>
      </c>
      <c r="R5971" s="5">
        <f t="shared" si="280"/>
        <v>1</v>
      </c>
      <c r="S5971" s="5">
        <f t="shared" si="281"/>
        <v>-0.15966386554621848</v>
      </c>
    </row>
    <row r="5972" spans="1:19" hidden="1" x14ac:dyDescent="0.3">
      <c r="A5972">
        <v>200</v>
      </c>
      <c r="B5972" t="s">
        <v>6336</v>
      </c>
      <c r="C5972" t="s">
        <v>6387</v>
      </c>
      <c r="D5972" s="2" t="s">
        <v>6388</v>
      </c>
      <c r="E5972" t="s">
        <v>1714</v>
      </c>
      <c r="F5972" t="s">
        <v>20</v>
      </c>
      <c r="G5972" t="s">
        <v>338</v>
      </c>
      <c r="H5972">
        <v>23727</v>
      </c>
      <c r="I5972" t="s">
        <v>23</v>
      </c>
      <c r="J5972" t="s">
        <v>40</v>
      </c>
      <c r="K5972" s="2" t="s">
        <v>814</v>
      </c>
      <c r="L5972" t="s">
        <v>26</v>
      </c>
      <c r="M5972">
        <v>329709</v>
      </c>
      <c r="N5972">
        <v>1</v>
      </c>
      <c r="O5972" s="3">
        <v>49990</v>
      </c>
      <c r="P5972" s="3">
        <v>26539</v>
      </c>
      <c r="Q5972" s="5">
        <f t="shared" si="279"/>
        <v>42008.403361344543</v>
      </c>
      <c r="R5972" s="5">
        <f t="shared" si="280"/>
        <v>26539</v>
      </c>
      <c r="S5972" s="5">
        <f t="shared" si="281"/>
        <v>15469.403361344543</v>
      </c>
    </row>
    <row r="5973" spans="1:19" hidden="1" x14ac:dyDescent="0.3">
      <c r="A5973">
        <v>200</v>
      </c>
      <c r="B5973" t="s">
        <v>6336</v>
      </c>
      <c r="C5973" t="s">
        <v>6389</v>
      </c>
      <c r="D5973" s="2" t="s">
        <v>6390</v>
      </c>
      <c r="E5973" t="s">
        <v>2813</v>
      </c>
      <c r="F5973" t="s">
        <v>20</v>
      </c>
      <c r="G5973" t="s">
        <v>21</v>
      </c>
      <c r="H5973" t="s">
        <v>171</v>
      </c>
      <c r="I5973" t="s">
        <v>23</v>
      </c>
      <c r="J5973" t="s">
        <v>40</v>
      </c>
      <c r="K5973" s="2" t="s">
        <v>814</v>
      </c>
      <c r="L5973" t="s">
        <v>26</v>
      </c>
      <c r="M5973">
        <v>329710</v>
      </c>
      <c r="N5973">
        <v>-1</v>
      </c>
      <c r="O5973" s="3">
        <v>-59990</v>
      </c>
      <c r="P5973" s="3">
        <v>29949</v>
      </c>
      <c r="Q5973" s="5">
        <f t="shared" si="279"/>
        <v>-50411.764705882357</v>
      </c>
      <c r="R5973" s="5">
        <f t="shared" si="280"/>
        <v>-29949</v>
      </c>
      <c r="S5973" s="5">
        <f t="shared" si="281"/>
        <v>-20462.764705882357</v>
      </c>
    </row>
    <row r="5974" spans="1:19" hidden="1" x14ac:dyDescent="0.3">
      <c r="A5974">
        <v>200</v>
      </c>
      <c r="B5974" t="s">
        <v>6336</v>
      </c>
      <c r="C5974" t="s">
        <v>6132</v>
      </c>
      <c r="D5974" s="2" t="s">
        <v>6133</v>
      </c>
      <c r="E5974" t="s">
        <v>294</v>
      </c>
      <c r="F5974" t="s">
        <v>20</v>
      </c>
      <c r="G5974" t="s">
        <v>21</v>
      </c>
      <c r="H5974" t="s">
        <v>295</v>
      </c>
      <c r="I5974" t="s">
        <v>23</v>
      </c>
      <c r="J5974" t="s">
        <v>40</v>
      </c>
      <c r="K5974" s="2" t="s">
        <v>814</v>
      </c>
      <c r="L5974" t="s">
        <v>26</v>
      </c>
      <c r="M5974">
        <v>329710</v>
      </c>
      <c r="N5974">
        <v>1</v>
      </c>
      <c r="O5974" s="3">
        <v>79950</v>
      </c>
      <c r="P5974" s="3">
        <v>26951</v>
      </c>
      <c r="Q5974" s="5">
        <f t="shared" si="279"/>
        <v>67184.873949579836</v>
      </c>
      <c r="R5974" s="5">
        <f t="shared" si="280"/>
        <v>26951</v>
      </c>
      <c r="S5974" s="5">
        <f t="shared" si="281"/>
        <v>40233.873949579836</v>
      </c>
    </row>
    <row r="5975" spans="1:19" hidden="1" x14ac:dyDescent="0.3">
      <c r="A5975">
        <v>200</v>
      </c>
      <c r="B5975" t="s">
        <v>6336</v>
      </c>
      <c r="C5975" t="s">
        <v>6391</v>
      </c>
      <c r="D5975" s="2" t="s">
        <v>6392</v>
      </c>
      <c r="E5975" t="s">
        <v>6097</v>
      </c>
      <c r="F5975" t="s">
        <v>20</v>
      </c>
      <c r="G5975" t="s">
        <v>21</v>
      </c>
      <c r="H5975" t="s">
        <v>3811</v>
      </c>
      <c r="I5975" t="s">
        <v>23</v>
      </c>
      <c r="J5975" t="s">
        <v>40</v>
      </c>
      <c r="K5975" s="2" t="s">
        <v>902</v>
      </c>
      <c r="L5975" t="s">
        <v>26</v>
      </c>
      <c r="M5975">
        <v>329711</v>
      </c>
      <c r="N5975">
        <v>1</v>
      </c>
      <c r="O5975" s="3">
        <v>49990</v>
      </c>
      <c r="P5975" s="3">
        <v>21722</v>
      </c>
      <c r="Q5975" s="5">
        <f t="shared" si="279"/>
        <v>42008.403361344543</v>
      </c>
      <c r="R5975" s="5">
        <f t="shared" si="280"/>
        <v>21722</v>
      </c>
      <c r="S5975" s="5">
        <f t="shared" si="281"/>
        <v>20286.403361344543</v>
      </c>
    </row>
    <row r="5976" spans="1:19" hidden="1" x14ac:dyDescent="0.3">
      <c r="A5976">
        <v>200</v>
      </c>
      <c r="B5976" t="s">
        <v>6336</v>
      </c>
      <c r="C5976" t="s">
        <v>5903</v>
      </c>
      <c r="D5976" s="2" t="s">
        <v>5904</v>
      </c>
      <c r="E5976" t="s">
        <v>4380</v>
      </c>
      <c r="F5976" t="s">
        <v>20</v>
      </c>
      <c r="G5976" t="s">
        <v>21</v>
      </c>
      <c r="H5976" t="s">
        <v>1286</v>
      </c>
      <c r="I5976" t="s">
        <v>23</v>
      </c>
      <c r="J5976" t="s">
        <v>40</v>
      </c>
      <c r="K5976" s="2" t="s">
        <v>902</v>
      </c>
      <c r="L5976" t="s">
        <v>26</v>
      </c>
      <c r="M5976">
        <v>329711</v>
      </c>
      <c r="N5976">
        <v>1</v>
      </c>
      <c r="O5976" s="3">
        <v>49990</v>
      </c>
      <c r="P5976" s="3">
        <v>24783</v>
      </c>
      <c r="Q5976" s="5">
        <f t="shared" si="279"/>
        <v>42008.403361344543</v>
      </c>
      <c r="R5976" s="5">
        <f t="shared" si="280"/>
        <v>24783</v>
      </c>
      <c r="S5976" s="5">
        <f t="shared" si="281"/>
        <v>17225.403361344543</v>
      </c>
    </row>
    <row r="5977" spans="1:19" hidden="1" x14ac:dyDescent="0.3">
      <c r="A5977">
        <v>200</v>
      </c>
      <c r="B5977" t="s">
        <v>6336</v>
      </c>
      <c r="C5977" t="s">
        <v>2434</v>
      </c>
      <c r="D5977" s="2" t="s">
        <v>2435</v>
      </c>
      <c r="E5977" t="s">
        <v>2436</v>
      </c>
      <c r="F5977" t="s">
        <v>20</v>
      </c>
      <c r="G5977" t="s">
        <v>338</v>
      </c>
      <c r="H5977">
        <v>22318</v>
      </c>
      <c r="I5977" t="s">
        <v>23</v>
      </c>
      <c r="J5977" t="s">
        <v>49</v>
      </c>
      <c r="K5977" s="2" t="s">
        <v>902</v>
      </c>
      <c r="L5977" t="s">
        <v>26</v>
      </c>
      <c r="M5977">
        <v>329712</v>
      </c>
      <c r="N5977">
        <v>1</v>
      </c>
      <c r="O5977" s="3">
        <v>74950</v>
      </c>
      <c r="P5977" s="3">
        <v>23473</v>
      </c>
      <c r="Q5977" s="5">
        <f t="shared" si="279"/>
        <v>62983.193277310929</v>
      </c>
      <c r="R5977" s="5">
        <f t="shared" si="280"/>
        <v>23473</v>
      </c>
      <c r="S5977" s="5">
        <f t="shared" si="281"/>
        <v>39510.193277310929</v>
      </c>
    </row>
    <row r="5978" spans="1:19" hidden="1" x14ac:dyDescent="0.3">
      <c r="A5978">
        <v>200</v>
      </c>
      <c r="B5978" t="s">
        <v>6336</v>
      </c>
      <c r="C5978" t="s">
        <v>492</v>
      </c>
      <c r="D5978" s="2" t="s">
        <v>493</v>
      </c>
      <c r="E5978" t="s">
        <v>494</v>
      </c>
      <c r="F5978" t="s">
        <v>20</v>
      </c>
      <c r="G5978" t="s">
        <v>21</v>
      </c>
      <c r="H5978" t="s">
        <v>317</v>
      </c>
      <c r="I5978" t="s">
        <v>23</v>
      </c>
      <c r="J5978" t="s">
        <v>35</v>
      </c>
      <c r="K5978" s="2" t="s">
        <v>902</v>
      </c>
      <c r="L5978" t="s">
        <v>26</v>
      </c>
      <c r="M5978">
        <v>329713</v>
      </c>
      <c r="N5978">
        <v>1</v>
      </c>
      <c r="O5978" s="3">
        <v>69950</v>
      </c>
      <c r="P5978" s="3">
        <v>23619</v>
      </c>
      <c r="Q5978" s="5">
        <f t="shared" si="279"/>
        <v>58781.512605042022</v>
      </c>
      <c r="R5978" s="5">
        <f t="shared" si="280"/>
        <v>23619</v>
      </c>
      <c r="S5978" s="5">
        <f t="shared" si="281"/>
        <v>35162.512605042022</v>
      </c>
    </row>
    <row r="5979" spans="1:19" hidden="1" x14ac:dyDescent="0.3">
      <c r="A5979">
        <v>200</v>
      </c>
      <c r="B5979" t="s">
        <v>6336</v>
      </c>
      <c r="C5979" t="s">
        <v>6393</v>
      </c>
      <c r="D5979" s="2" t="s">
        <v>6394</v>
      </c>
      <c r="E5979" t="s">
        <v>2462</v>
      </c>
      <c r="F5979" t="s">
        <v>20</v>
      </c>
      <c r="G5979" t="s">
        <v>21</v>
      </c>
      <c r="H5979" t="s">
        <v>65</v>
      </c>
      <c r="I5979" t="s">
        <v>23</v>
      </c>
      <c r="J5979" t="s">
        <v>49</v>
      </c>
      <c r="K5979" s="2" t="s">
        <v>902</v>
      </c>
      <c r="L5979" t="s">
        <v>26</v>
      </c>
      <c r="M5979">
        <v>329714</v>
      </c>
      <c r="N5979">
        <v>1</v>
      </c>
      <c r="O5979" s="3">
        <v>64950</v>
      </c>
      <c r="P5979" s="3">
        <v>21629</v>
      </c>
      <c r="Q5979" s="5">
        <f t="shared" si="279"/>
        <v>54579.831932773115</v>
      </c>
      <c r="R5979" s="5">
        <f t="shared" si="280"/>
        <v>21629</v>
      </c>
      <c r="S5979" s="5">
        <f t="shared" si="281"/>
        <v>32950.831932773115</v>
      </c>
    </row>
    <row r="5980" spans="1:19" hidden="1" x14ac:dyDescent="0.3">
      <c r="A5980">
        <v>200</v>
      </c>
      <c r="B5980" t="s">
        <v>6336</v>
      </c>
      <c r="C5980" t="s">
        <v>5283</v>
      </c>
      <c r="D5980" s="2" t="s">
        <v>5284</v>
      </c>
      <c r="E5980" t="s">
        <v>2462</v>
      </c>
      <c r="F5980" t="s">
        <v>20</v>
      </c>
      <c r="G5980" t="s">
        <v>21</v>
      </c>
      <c r="H5980" t="s">
        <v>65</v>
      </c>
      <c r="I5980" t="s">
        <v>23</v>
      </c>
      <c r="J5980" t="s">
        <v>49</v>
      </c>
      <c r="K5980" s="2" t="s">
        <v>902</v>
      </c>
      <c r="L5980" t="s">
        <v>26</v>
      </c>
      <c r="M5980">
        <v>329714</v>
      </c>
      <c r="N5980">
        <v>-1</v>
      </c>
      <c r="O5980" s="3">
        <v>-64950</v>
      </c>
      <c r="P5980" s="3">
        <v>20381</v>
      </c>
      <c r="Q5980" s="5">
        <f t="shared" si="279"/>
        <v>-54579.831932773115</v>
      </c>
      <c r="R5980" s="5">
        <f t="shared" si="280"/>
        <v>-20381</v>
      </c>
      <c r="S5980" s="5">
        <f t="shared" si="281"/>
        <v>-34198.831932773115</v>
      </c>
    </row>
    <row r="5981" spans="1:19" hidden="1" x14ac:dyDescent="0.3">
      <c r="A5981">
        <v>200</v>
      </c>
      <c r="B5981" t="s">
        <v>6336</v>
      </c>
      <c r="C5981" t="s">
        <v>6358</v>
      </c>
      <c r="D5981" s="2" t="s">
        <v>6359</v>
      </c>
      <c r="E5981" t="s">
        <v>1188</v>
      </c>
      <c r="F5981" t="s">
        <v>20</v>
      </c>
      <c r="G5981" t="s">
        <v>21</v>
      </c>
      <c r="H5981" t="s">
        <v>30</v>
      </c>
      <c r="I5981" t="s">
        <v>23</v>
      </c>
      <c r="J5981" t="s">
        <v>49</v>
      </c>
      <c r="K5981" s="2" t="s">
        <v>902</v>
      </c>
      <c r="L5981" t="s">
        <v>26</v>
      </c>
      <c r="M5981">
        <v>329714</v>
      </c>
      <c r="N5981">
        <v>-1</v>
      </c>
      <c r="O5981" s="3">
        <v>-59450</v>
      </c>
      <c r="P5981" s="3">
        <v>24676</v>
      </c>
      <c r="Q5981" s="5">
        <f t="shared" si="279"/>
        <v>-49957.983193277316</v>
      </c>
      <c r="R5981" s="5">
        <f t="shared" si="280"/>
        <v>-24676</v>
      </c>
      <c r="S5981" s="5">
        <f t="shared" si="281"/>
        <v>-25281.983193277316</v>
      </c>
    </row>
    <row r="5982" spans="1:19" hidden="1" x14ac:dyDescent="0.3">
      <c r="A5982">
        <v>200</v>
      </c>
      <c r="B5982" t="s">
        <v>6336</v>
      </c>
      <c r="C5982" t="s">
        <v>2977</v>
      </c>
      <c r="D5982" s="2" t="s">
        <v>2978</v>
      </c>
      <c r="E5982" t="s">
        <v>2468</v>
      </c>
      <c r="F5982" t="s">
        <v>20</v>
      </c>
      <c r="G5982" t="s">
        <v>21</v>
      </c>
      <c r="H5982" t="s">
        <v>2469</v>
      </c>
      <c r="I5982" t="s">
        <v>23</v>
      </c>
      <c r="J5982" t="s">
        <v>49</v>
      </c>
      <c r="K5982" s="2" t="s">
        <v>902</v>
      </c>
      <c r="L5982" t="s">
        <v>26</v>
      </c>
      <c r="M5982">
        <v>329714</v>
      </c>
      <c r="N5982">
        <v>1</v>
      </c>
      <c r="O5982" s="3">
        <v>55200</v>
      </c>
      <c r="P5982" s="3">
        <v>19034</v>
      </c>
      <c r="Q5982" s="5">
        <f t="shared" si="279"/>
        <v>46386.554621848743</v>
      </c>
      <c r="R5982" s="5">
        <f t="shared" si="280"/>
        <v>19034</v>
      </c>
      <c r="S5982" s="5">
        <f t="shared" si="281"/>
        <v>27352.554621848743</v>
      </c>
    </row>
    <row r="5983" spans="1:19" hidden="1" x14ac:dyDescent="0.3">
      <c r="A5983">
        <v>200</v>
      </c>
      <c r="B5983" t="s">
        <v>6336</v>
      </c>
      <c r="C5983" t="s">
        <v>4671</v>
      </c>
      <c r="D5983" s="2" t="s">
        <v>4672</v>
      </c>
      <c r="E5983" t="s">
        <v>4673</v>
      </c>
      <c r="F5983" t="s">
        <v>377</v>
      </c>
      <c r="G5983" t="s">
        <v>21</v>
      </c>
      <c r="H5983" t="s">
        <v>378</v>
      </c>
      <c r="I5983" t="s">
        <v>23</v>
      </c>
      <c r="J5983" t="s">
        <v>379</v>
      </c>
      <c r="K5983" s="2" t="s">
        <v>902</v>
      </c>
      <c r="L5983" t="s">
        <v>26</v>
      </c>
      <c r="M5983">
        <v>329714</v>
      </c>
      <c r="N5983">
        <v>1</v>
      </c>
      <c r="O5983" s="3">
        <v>6950</v>
      </c>
      <c r="P5983" s="3">
        <v>3551</v>
      </c>
      <c r="Q5983" s="5">
        <f t="shared" si="279"/>
        <v>5840.3361344537816</v>
      </c>
      <c r="R5983" s="5">
        <f t="shared" si="280"/>
        <v>3551</v>
      </c>
      <c r="S5983" s="5">
        <f t="shared" si="281"/>
        <v>2289.3361344537816</v>
      </c>
    </row>
    <row r="5984" spans="1:19" hidden="1" x14ac:dyDescent="0.3">
      <c r="A5984">
        <v>200</v>
      </c>
      <c r="B5984" t="s">
        <v>6336</v>
      </c>
      <c r="C5984" t="s">
        <v>6395</v>
      </c>
      <c r="D5984" s="2" t="s">
        <v>6396</v>
      </c>
      <c r="E5984" t="s">
        <v>1333</v>
      </c>
      <c r="F5984" t="s">
        <v>20</v>
      </c>
      <c r="G5984" t="s">
        <v>21</v>
      </c>
      <c r="H5984" t="s">
        <v>114</v>
      </c>
      <c r="I5984" t="s">
        <v>23</v>
      </c>
      <c r="J5984" t="s">
        <v>49</v>
      </c>
      <c r="K5984" s="2" t="s">
        <v>902</v>
      </c>
      <c r="L5984" t="s">
        <v>26</v>
      </c>
      <c r="M5984">
        <v>329715</v>
      </c>
      <c r="N5984">
        <v>1</v>
      </c>
      <c r="O5984" s="3">
        <v>49990</v>
      </c>
      <c r="P5984" s="3">
        <v>25000</v>
      </c>
      <c r="Q5984" s="5">
        <f t="shared" si="279"/>
        <v>42008.403361344543</v>
      </c>
      <c r="R5984" s="5">
        <f t="shared" si="280"/>
        <v>25000</v>
      </c>
      <c r="S5984" s="5">
        <f t="shared" si="281"/>
        <v>17008.403361344543</v>
      </c>
    </row>
    <row r="5985" spans="1:19" hidden="1" x14ac:dyDescent="0.3">
      <c r="A5985">
        <v>200</v>
      </c>
      <c r="B5985" t="s">
        <v>6336</v>
      </c>
      <c r="C5985" t="s">
        <v>4287</v>
      </c>
      <c r="D5985" s="2" t="s">
        <v>4288</v>
      </c>
      <c r="E5985" t="s">
        <v>1185</v>
      </c>
      <c r="F5985" t="s">
        <v>20</v>
      </c>
      <c r="G5985" t="s">
        <v>21</v>
      </c>
      <c r="H5985" t="s">
        <v>285</v>
      </c>
      <c r="I5985" t="s">
        <v>23</v>
      </c>
      <c r="J5985" t="s">
        <v>49</v>
      </c>
      <c r="K5985" s="2" t="s">
        <v>902</v>
      </c>
      <c r="L5985" t="s">
        <v>26</v>
      </c>
      <c r="M5985">
        <v>329716</v>
      </c>
      <c r="N5985">
        <v>1</v>
      </c>
      <c r="O5985" s="3">
        <v>49990</v>
      </c>
      <c r="P5985" s="3">
        <v>29760</v>
      </c>
      <c r="Q5985" s="5">
        <f t="shared" si="279"/>
        <v>42008.403361344543</v>
      </c>
      <c r="R5985" s="5">
        <f t="shared" si="280"/>
        <v>29760</v>
      </c>
      <c r="S5985" s="5">
        <f t="shared" si="281"/>
        <v>12248.403361344543</v>
      </c>
    </row>
    <row r="5986" spans="1:19" hidden="1" x14ac:dyDescent="0.3">
      <c r="A5986">
        <v>200</v>
      </c>
      <c r="B5986" t="s">
        <v>6336</v>
      </c>
      <c r="C5986" t="s">
        <v>6397</v>
      </c>
      <c r="D5986" s="2" t="s">
        <v>6398</v>
      </c>
      <c r="E5986" t="s">
        <v>3462</v>
      </c>
      <c r="F5986" t="s">
        <v>20</v>
      </c>
      <c r="G5986" t="s">
        <v>21</v>
      </c>
      <c r="H5986" t="s">
        <v>1282</v>
      </c>
      <c r="I5986" t="s">
        <v>23</v>
      </c>
      <c r="J5986" t="s">
        <v>40</v>
      </c>
      <c r="K5986" s="2" t="s">
        <v>999</v>
      </c>
      <c r="L5986" t="s">
        <v>26</v>
      </c>
      <c r="M5986">
        <v>329717</v>
      </c>
      <c r="N5986">
        <v>1</v>
      </c>
      <c r="O5986" s="3">
        <v>49950</v>
      </c>
      <c r="P5986" s="3">
        <v>12627</v>
      </c>
      <c r="Q5986" s="5">
        <f t="shared" si="279"/>
        <v>41974.789915966387</v>
      </c>
      <c r="R5986" s="5">
        <f t="shared" si="280"/>
        <v>12627</v>
      </c>
      <c r="S5986" s="5">
        <f t="shared" si="281"/>
        <v>29347.789915966387</v>
      </c>
    </row>
    <row r="5987" spans="1:19" hidden="1" x14ac:dyDescent="0.3">
      <c r="A5987">
        <v>200</v>
      </c>
      <c r="B5987" t="s">
        <v>6336</v>
      </c>
      <c r="C5987" t="s">
        <v>4851</v>
      </c>
      <c r="D5987" s="2" t="s">
        <v>4852</v>
      </c>
      <c r="E5987" t="s">
        <v>1428</v>
      </c>
      <c r="F5987" t="s">
        <v>20</v>
      </c>
      <c r="G5987" t="s">
        <v>21</v>
      </c>
      <c r="H5987" t="s">
        <v>57</v>
      </c>
      <c r="I5987" t="s">
        <v>23</v>
      </c>
      <c r="J5987" t="s">
        <v>35</v>
      </c>
      <c r="K5987" s="2" t="s">
        <v>999</v>
      </c>
      <c r="L5987" t="s">
        <v>26</v>
      </c>
      <c r="M5987">
        <v>329717</v>
      </c>
      <c r="N5987">
        <v>1</v>
      </c>
      <c r="O5987" s="3">
        <v>76450</v>
      </c>
      <c r="P5987" s="3">
        <v>31879</v>
      </c>
      <c r="Q5987" s="5">
        <f t="shared" si="279"/>
        <v>64243.697478991598</v>
      </c>
      <c r="R5987" s="5">
        <f t="shared" si="280"/>
        <v>31879</v>
      </c>
      <c r="S5987" s="5">
        <f t="shared" si="281"/>
        <v>32364.697478991598</v>
      </c>
    </row>
    <row r="5988" spans="1:19" hidden="1" x14ac:dyDescent="0.3">
      <c r="A5988">
        <v>200</v>
      </c>
      <c r="B5988" t="s">
        <v>6336</v>
      </c>
      <c r="C5988" t="s">
        <v>6399</v>
      </c>
      <c r="D5988" s="2" t="s">
        <v>6400</v>
      </c>
      <c r="E5988" t="s">
        <v>2813</v>
      </c>
      <c r="F5988" t="s">
        <v>20</v>
      </c>
      <c r="G5988" t="s">
        <v>21</v>
      </c>
      <c r="H5988" t="s">
        <v>171</v>
      </c>
      <c r="I5988" t="s">
        <v>23</v>
      </c>
      <c r="J5988" t="s">
        <v>40</v>
      </c>
      <c r="K5988" s="2" t="s">
        <v>999</v>
      </c>
      <c r="L5988" t="s">
        <v>26</v>
      </c>
      <c r="M5988">
        <v>329718</v>
      </c>
      <c r="N5988">
        <v>1</v>
      </c>
      <c r="O5988" s="3">
        <v>59990</v>
      </c>
      <c r="P5988" s="3">
        <v>29949</v>
      </c>
      <c r="Q5988" s="5">
        <f t="shared" si="279"/>
        <v>50411.764705882357</v>
      </c>
      <c r="R5988" s="5">
        <f t="shared" si="280"/>
        <v>29949</v>
      </c>
      <c r="S5988" s="5">
        <f t="shared" si="281"/>
        <v>20462.764705882357</v>
      </c>
    </row>
    <row r="5989" spans="1:19" hidden="1" x14ac:dyDescent="0.3">
      <c r="A5989">
        <v>200</v>
      </c>
      <c r="B5989" t="s">
        <v>6336</v>
      </c>
      <c r="C5989" t="s">
        <v>6401</v>
      </c>
      <c r="D5989" s="2" t="s">
        <v>6402</v>
      </c>
      <c r="E5989" t="s">
        <v>2092</v>
      </c>
      <c r="F5989" t="s">
        <v>20</v>
      </c>
      <c r="G5989" t="s">
        <v>21</v>
      </c>
      <c r="H5989" t="s">
        <v>1755</v>
      </c>
      <c r="I5989" t="s">
        <v>23</v>
      </c>
      <c r="J5989" t="s">
        <v>40</v>
      </c>
      <c r="K5989" s="2" t="s">
        <v>999</v>
      </c>
      <c r="L5989" t="s">
        <v>26</v>
      </c>
      <c r="M5989">
        <v>329718</v>
      </c>
      <c r="N5989">
        <v>1</v>
      </c>
      <c r="O5989" s="3">
        <v>59990</v>
      </c>
      <c r="P5989" s="3">
        <v>32843</v>
      </c>
      <c r="Q5989" s="5">
        <f t="shared" si="279"/>
        <v>50411.764705882357</v>
      </c>
      <c r="R5989" s="5">
        <f t="shared" si="280"/>
        <v>32843</v>
      </c>
      <c r="S5989" s="5">
        <f t="shared" si="281"/>
        <v>17568.764705882357</v>
      </c>
    </row>
    <row r="5990" spans="1:19" hidden="1" x14ac:dyDescent="0.3">
      <c r="A5990">
        <v>200</v>
      </c>
      <c r="B5990" t="s">
        <v>6336</v>
      </c>
      <c r="C5990" t="s">
        <v>3401</v>
      </c>
      <c r="D5990" s="2" t="s">
        <v>3402</v>
      </c>
      <c r="E5990" t="s">
        <v>3403</v>
      </c>
      <c r="F5990" t="s">
        <v>377</v>
      </c>
      <c r="G5990" t="s">
        <v>21</v>
      </c>
      <c r="H5990" t="s">
        <v>378</v>
      </c>
      <c r="I5990" t="s">
        <v>23</v>
      </c>
      <c r="J5990" t="s">
        <v>3297</v>
      </c>
      <c r="K5990" s="2" t="s">
        <v>999</v>
      </c>
      <c r="L5990" t="s">
        <v>26</v>
      </c>
      <c r="M5990">
        <v>329718</v>
      </c>
      <c r="N5990">
        <v>1</v>
      </c>
      <c r="O5990">
        <v>500</v>
      </c>
      <c r="P5990">
        <v>418</v>
      </c>
      <c r="Q5990" s="5">
        <f t="shared" si="279"/>
        <v>420.1680672268908</v>
      </c>
      <c r="R5990" s="5">
        <f t="shared" si="280"/>
        <v>418</v>
      </c>
      <c r="S5990" s="5">
        <f t="shared" si="281"/>
        <v>2.1680672268907983</v>
      </c>
    </row>
    <row r="5991" spans="1:19" hidden="1" x14ac:dyDescent="0.3">
      <c r="A5991">
        <v>200</v>
      </c>
      <c r="B5991" t="s">
        <v>6336</v>
      </c>
      <c r="C5991" t="s">
        <v>6245</v>
      </c>
      <c r="D5991" s="2" t="s">
        <v>6246</v>
      </c>
      <c r="E5991" t="s">
        <v>3148</v>
      </c>
      <c r="F5991" t="s">
        <v>20</v>
      </c>
      <c r="G5991" t="s">
        <v>338</v>
      </c>
      <c r="H5991">
        <v>23313</v>
      </c>
      <c r="I5991" t="s">
        <v>23</v>
      </c>
      <c r="J5991" t="s">
        <v>40</v>
      </c>
      <c r="K5991" s="2" t="s">
        <v>999</v>
      </c>
      <c r="L5991" t="s">
        <v>26</v>
      </c>
      <c r="M5991">
        <v>329719</v>
      </c>
      <c r="N5991">
        <v>1</v>
      </c>
      <c r="O5991" s="3">
        <v>49990</v>
      </c>
      <c r="P5991" s="3">
        <v>23466</v>
      </c>
      <c r="Q5991" s="5">
        <f t="shared" si="279"/>
        <v>42008.403361344543</v>
      </c>
      <c r="R5991" s="5">
        <f t="shared" si="280"/>
        <v>23466</v>
      </c>
      <c r="S5991" s="5">
        <f t="shared" si="281"/>
        <v>18542.403361344543</v>
      </c>
    </row>
    <row r="5992" spans="1:19" hidden="1" x14ac:dyDescent="0.3">
      <c r="A5992">
        <v>200</v>
      </c>
      <c r="B5992" t="s">
        <v>6336</v>
      </c>
      <c r="C5992" t="s">
        <v>3401</v>
      </c>
      <c r="D5992" s="2" t="s">
        <v>3402</v>
      </c>
      <c r="E5992" t="s">
        <v>3403</v>
      </c>
      <c r="F5992" t="s">
        <v>377</v>
      </c>
      <c r="G5992" t="s">
        <v>21</v>
      </c>
      <c r="H5992" t="s">
        <v>378</v>
      </c>
      <c r="I5992" t="s">
        <v>23</v>
      </c>
      <c r="J5992" t="s">
        <v>3297</v>
      </c>
      <c r="K5992" s="2" t="s">
        <v>999</v>
      </c>
      <c r="L5992" t="s">
        <v>26</v>
      </c>
      <c r="M5992">
        <v>329719</v>
      </c>
      <c r="N5992">
        <v>1</v>
      </c>
      <c r="O5992">
        <v>500</v>
      </c>
      <c r="P5992">
        <v>418</v>
      </c>
      <c r="Q5992" s="5">
        <f t="shared" si="279"/>
        <v>420.1680672268908</v>
      </c>
      <c r="R5992" s="5">
        <f t="shared" si="280"/>
        <v>418</v>
      </c>
      <c r="S5992" s="5">
        <f t="shared" si="281"/>
        <v>2.1680672268907983</v>
      </c>
    </row>
    <row r="5993" spans="1:19" hidden="1" x14ac:dyDescent="0.3">
      <c r="A5993">
        <v>200</v>
      </c>
      <c r="B5993" t="s">
        <v>6336</v>
      </c>
      <c r="C5993" t="s">
        <v>3687</v>
      </c>
      <c r="D5993" s="2" t="s">
        <v>3688</v>
      </c>
      <c r="E5993" t="s">
        <v>2902</v>
      </c>
      <c r="F5993" t="s">
        <v>20</v>
      </c>
      <c r="G5993" t="s">
        <v>21</v>
      </c>
      <c r="H5993" t="s">
        <v>267</v>
      </c>
      <c r="I5993" t="s">
        <v>23</v>
      </c>
      <c r="J5993" t="s">
        <v>49</v>
      </c>
      <c r="K5993" s="2" t="s">
        <v>999</v>
      </c>
      <c r="L5993" t="s">
        <v>26</v>
      </c>
      <c r="M5993">
        <v>329720</v>
      </c>
      <c r="N5993">
        <v>-1</v>
      </c>
      <c r="O5993" s="3">
        <v>-64950</v>
      </c>
      <c r="P5993" s="3">
        <v>24504</v>
      </c>
      <c r="Q5993" s="5">
        <f t="shared" si="279"/>
        <v>-54579.831932773115</v>
      </c>
      <c r="R5993" s="5">
        <f t="shared" si="280"/>
        <v>-24504</v>
      </c>
      <c r="S5993" s="5">
        <f t="shared" si="281"/>
        <v>-30075.831932773115</v>
      </c>
    </row>
    <row r="5994" spans="1:19" hidden="1" x14ac:dyDescent="0.3">
      <c r="A5994">
        <v>200</v>
      </c>
      <c r="B5994" t="s">
        <v>6336</v>
      </c>
      <c r="C5994" t="s">
        <v>4216</v>
      </c>
      <c r="D5994" s="2" t="s">
        <v>4217</v>
      </c>
      <c r="E5994" t="s">
        <v>3531</v>
      </c>
      <c r="F5994" t="s">
        <v>20</v>
      </c>
      <c r="G5994" t="s">
        <v>338</v>
      </c>
      <c r="H5994">
        <v>84316</v>
      </c>
      <c r="I5994" t="s">
        <v>23</v>
      </c>
      <c r="J5994" t="s">
        <v>49</v>
      </c>
      <c r="K5994" s="2" t="s">
        <v>999</v>
      </c>
      <c r="L5994" t="s">
        <v>26</v>
      </c>
      <c r="M5994">
        <v>329720</v>
      </c>
      <c r="N5994">
        <v>1</v>
      </c>
      <c r="O5994" s="3">
        <v>89950</v>
      </c>
      <c r="P5994" s="3">
        <v>31128</v>
      </c>
      <c r="Q5994" s="5">
        <f t="shared" si="279"/>
        <v>75588.23529411765</v>
      </c>
      <c r="R5994" s="5">
        <f t="shared" si="280"/>
        <v>31128</v>
      </c>
      <c r="S5994" s="5">
        <f t="shared" si="281"/>
        <v>44460.23529411765</v>
      </c>
    </row>
    <row r="5995" spans="1:19" hidden="1" x14ac:dyDescent="0.3">
      <c r="A5995">
        <v>200</v>
      </c>
      <c r="B5995" t="s">
        <v>6336</v>
      </c>
      <c r="C5995" t="s">
        <v>1464</v>
      </c>
      <c r="D5995" s="2" t="s">
        <v>1465</v>
      </c>
      <c r="E5995" t="s">
        <v>1466</v>
      </c>
      <c r="F5995" t="s">
        <v>20</v>
      </c>
      <c r="G5995" t="s">
        <v>21</v>
      </c>
      <c r="H5995" t="s">
        <v>65</v>
      </c>
      <c r="I5995" t="s">
        <v>23</v>
      </c>
      <c r="J5995" t="s">
        <v>49</v>
      </c>
      <c r="K5995" s="2" t="s">
        <v>999</v>
      </c>
      <c r="L5995" t="s">
        <v>26</v>
      </c>
      <c r="M5995">
        <v>329721</v>
      </c>
      <c r="N5995">
        <v>1</v>
      </c>
      <c r="O5995" s="3">
        <v>64950</v>
      </c>
      <c r="P5995" s="3">
        <v>18663</v>
      </c>
      <c r="Q5995" s="5">
        <f t="shared" si="279"/>
        <v>54579.831932773115</v>
      </c>
      <c r="R5995" s="5">
        <f t="shared" si="280"/>
        <v>18663</v>
      </c>
      <c r="S5995" s="5">
        <f t="shared" si="281"/>
        <v>35916.831932773115</v>
      </c>
    </row>
    <row r="5996" spans="1:19" hidden="1" x14ac:dyDescent="0.3">
      <c r="A5996">
        <v>200</v>
      </c>
      <c r="B5996" t="s">
        <v>6336</v>
      </c>
      <c r="C5996" t="s">
        <v>6167</v>
      </c>
      <c r="D5996" s="2" t="s">
        <v>6168</v>
      </c>
      <c r="E5996" t="s">
        <v>2744</v>
      </c>
      <c r="F5996" t="s">
        <v>20</v>
      </c>
      <c r="G5996" t="s">
        <v>21</v>
      </c>
      <c r="H5996" t="s">
        <v>2745</v>
      </c>
      <c r="I5996" t="s">
        <v>23</v>
      </c>
      <c r="J5996" t="s">
        <v>35</v>
      </c>
      <c r="K5996" s="2" t="s">
        <v>999</v>
      </c>
      <c r="L5996" t="s">
        <v>26</v>
      </c>
      <c r="M5996">
        <v>329722</v>
      </c>
      <c r="N5996">
        <v>1</v>
      </c>
      <c r="O5996" s="3">
        <v>99950</v>
      </c>
      <c r="P5996" s="3">
        <v>33200</v>
      </c>
      <c r="Q5996" s="5">
        <f t="shared" si="279"/>
        <v>83991.596638655465</v>
      </c>
      <c r="R5996" s="5">
        <f t="shared" si="280"/>
        <v>33200</v>
      </c>
      <c r="S5996" s="5">
        <f t="shared" si="281"/>
        <v>50791.596638655465</v>
      </c>
    </row>
    <row r="5997" spans="1:19" hidden="1" x14ac:dyDescent="0.3">
      <c r="A5997">
        <v>200</v>
      </c>
      <c r="B5997" t="s">
        <v>6336</v>
      </c>
      <c r="C5997" t="s">
        <v>6403</v>
      </c>
      <c r="D5997" s="2" t="s">
        <v>6404</v>
      </c>
      <c r="E5997" t="s">
        <v>6405</v>
      </c>
      <c r="F5997" t="s">
        <v>20</v>
      </c>
      <c r="G5997" t="s">
        <v>21</v>
      </c>
      <c r="H5997" t="s">
        <v>835</v>
      </c>
      <c r="I5997" t="s">
        <v>23</v>
      </c>
      <c r="J5997" t="s">
        <v>40</v>
      </c>
      <c r="K5997" s="2" t="s">
        <v>1072</v>
      </c>
      <c r="L5997" t="s">
        <v>26</v>
      </c>
      <c r="M5997">
        <v>329723</v>
      </c>
      <c r="N5997">
        <v>1</v>
      </c>
      <c r="O5997" s="3">
        <v>39990</v>
      </c>
      <c r="P5997" s="3">
        <v>26476</v>
      </c>
      <c r="Q5997" s="5">
        <f t="shared" si="279"/>
        <v>33605.042016806721</v>
      </c>
      <c r="R5997" s="5">
        <f t="shared" si="280"/>
        <v>26476</v>
      </c>
      <c r="S5997" s="5">
        <f t="shared" si="281"/>
        <v>7129.0420168067212</v>
      </c>
    </row>
    <row r="5998" spans="1:19" hidden="1" x14ac:dyDescent="0.3">
      <c r="A5998">
        <v>200</v>
      </c>
      <c r="B5998" t="s">
        <v>6336</v>
      </c>
      <c r="C5998" t="s">
        <v>6366</v>
      </c>
      <c r="D5998" s="2" t="s">
        <v>6367</v>
      </c>
      <c r="E5998" t="s">
        <v>2601</v>
      </c>
      <c r="F5998" t="s">
        <v>20</v>
      </c>
      <c r="G5998" t="s">
        <v>21</v>
      </c>
      <c r="H5998" t="s">
        <v>783</v>
      </c>
      <c r="I5998" t="s">
        <v>23</v>
      </c>
      <c r="J5998" t="s">
        <v>40</v>
      </c>
      <c r="K5998" s="2" t="s">
        <v>1072</v>
      </c>
      <c r="L5998" t="s">
        <v>26</v>
      </c>
      <c r="M5998">
        <v>329724</v>
      </c>
      <c r="N5998">
        <v>1</v>
      </c>
      <c r="O5998" s="3">
        <v>54950</v>
      </c>
      <c r="P5998" s="3">
        <v>19451</v>
      </c>
      <c r="Q5998" s="5">
        <f t="shared" si="279"/>
        <v>46176.470588235294</v>
      </c>
      <c r="R5998" s="5">
        <f t="shared" si="280"/>
        <v>19451</v>
      </c>
      <c r="S5998" s="5">
        <f t="shared" si="281"/>
        <v>26725.470588235294</v>
      </c>
    </row>
    <row r="5999" spans="1:19" hidden="1" x14ac:dyDescent="0.3">
      <c r="A5999">
        <v>200</v>
      </c>
      <c r="B5999" t="s">
        <v>6336</v>
      </c>
      <c r="C5999" t="s">
        <v>2921</v>
      </c>
      <c r="D5999" s="2" t="s">
        <v>2922</v>
      </c>
      <c r="E5999" t="s">
        <v>2923</v>
      </c>
      <c r="F5999" t="s">
        <v>20</v>
      </c>
      <c r="G5999" t="s">
        <v>21</v>
      </c>
      <c r="H5999" t="s">
        <v>818</v>
      </c>
      <c r="I5999" t="s">
        <v>23</v>
      </c>
      <c r="J5999" t="s">
        <v>35</v>
      </c>
      <c r="K5999" s="2" t="s">
        <v>1072</v>
      </c>
      <c r="L5999" t="s">
        <v>26</v>
      </c>
      <c r="M5999">
        <v>329725</v>
      </c>
      <c r="N5999">
        <v>1</v>
      </c>
      <c r="O5999" s="3">
        <v>76450</v>
      </c>
      <c r="P5999" s="3">
        <v>33421</v>
      </c>
      <c r="Q5999" s="5">
        <f t="shared" si="279"/>
        <v>64243.697478991598</v>
      </c>
      <c r="R5999" s="5">
        <f t="shared" si="280"/>
        <v>33421</v>
      </c>
      <c r="S5999" s="5">
        <f t="shared" si="281"/>
        <v>30822.697478991598</v>
      </c>
    </row>
    <row r="6000" spans="1:19" hidden="1" x14ac:dyDescent="0.3">
      <c r="A6000">
        <v>200</v>
      </c>
      <c r="B6000" t="s">
        <v>6336</v>
      </c>
      <c r="C6000" t="s">
        <v>2900</v>
      </c>
      <c r="D6000" s="2" t="s">
        <v>2901</v>
      </c>
      <c r="E6000" t="s">
        <v>2902</v>
      </c>
      <c r="F6000" t="s">
        <v>20</v>
      </c>
      <c r="G6000" t="s">
        <v>21</v>
      </c>
      <c r="H6000" t="s">
        <v>267</v>
      </c>
      <c r="I6000" t="s">
        <v>23</v>
      </c>
      <c r="J6000" t="s">
        <v>49</v>
      </c>
      <c r="K6000" s="2" t="s">
        <v>1072</v>
      </c>
      <c r="L6000" t="s">
        <v>26</v>
      </c>
      <c r="M6000">
        <v>329725</v>
      </c>
      <c r="N6000">
        <v>1</v>
      </c>
      <c r="O6000" s="3">
        <v>64950</v>
      </c>
      <c r="P6000" s="3">
        <v>24504</v>
      </c>
      <c r="Q6000" s="5">
        <f t="shared" si="279"/>
        <v>54579.831932773115</v>
      </c>
      <c r="R6000" s="5">
        <f t="shared" si="280"/>
        <v>24504</v>
      </c>
      <c r="S6000" s="5">
        <f t="shared" si="281"/>
        <v>30075.831932773115</v>
      </c>
    </row>
    <row r="6001" spans="1:19" hidden="1" x14ac:dyDescent="0.3">
      <c r="A6001">
        <v>200</v>
      </c>
      <c r="B6001" t="s">
        <v>6336</v>
      </c>
      <c r="C6001" t="s">
        <v>264</v>
      </c>
      <c r="D6001" s="2" t="s">
        <v>265</v>
      </c>
      <c r="E6001" t="s">
        <v>266</v>
      </c>
      <c r="F6001" t="s">
        <v>20</v>
      </c>
      <c r="G6001" t="s">
        <v>21</v>
      </c>
      <c r="H6001" t="s">
        <v>267</v>
      </c>
      <c r="I6001" t="s">
        <v>23</v>
      </c>
      <c r="J6001" t="s">
        <v>49</v>
      </c>
      <c r="K6001" s="2" t="s">
        <v>1072</v>
      </c>
      <c r="L6001" t="s">
        <v>26</v>
      </c>
      <c r="M6001">
        <v>329726</v>
      </c>
      <c r="N6001">
        <v>1</v>
      </c>
      <c r="O6001" s="3">
        <v>64950</v>
      </c>
      <c r="P6001" s="3">
        <v>24504</v>
      </c>
      <c r="Q6001" s="5">
        <f t="shared" si="279"/>
        <v>54579.831932773115</v>
      </c>
      <c r="R6001" s="5">
        <f t="shared" si="280"/>
        <v>24504</v>
      </c>
      <c r="S6001" s="5">
        <f t="shared" si="281"/>
        <v>30075.831932773115</v>
      </c>
    </row>
    <row r="6002" spans="1:19" hidden="1" x14ac:dyDescent="0.3">
      <c r="A6002">
        <v>200</v>
      </c>
      <c r="B6002" t="s">
        <v>6336</v>
      </c>
      <c r="C6002" t="s">
        <v>3793</v>
      </c>
      <c r="D6002" s="2" t="s">
        <v>3794</v>
      </c>
      <c r="E6002" t="s">
        <v>3795</v>
      </c>
      <c r="F6002" t="s">
        <v>20</v>
      </c>
      <c r="G6002" t="s">
        <v>338</v>
      </c>
      <c r="H6002">
        <v>25529</v>
      </c>
      <c r="I6002" t="s">
        <v>23</v>
      </c>
      <c r="J6002" t="s">
        <v>31</v>
      </c>
      <c r="K6002" s="2" t="s">
        <v>1072</v>
      </c>
      <c r="L6002" t="s">
        <v>26</v>
      </c>
      <c r="M6002">
        <v>329727</v>
      </c>
      <c r="N6002">
        <v>1</v>
      </c>
      <c r="O6002" s="3">
        <v>149950</v>
      </c>
      <c r="P6002" s="3">
        <v>50690</v>
      </c>
      <c r="Q6002" s="5">
        <f t="shared" si="279"/>
        <v>126008.40336134455</v>
      </c>
      <c r="R6002" s="5">
        <f t="shared" si="280"/>
        <v>50690</v>
      </c>
      <c r="S6002" s="5">
        <f t="shared" si="281"/>
        <v>75318.40336134455</v>
      </c>
    </row>
    <row r="6003" spans="1:19" hidden="1" x14ac:dyDescent="0.3">
      <c r="A6003">
        <v>200</v>
      </c>
      <c r="B6003" t="s">
        <v>6336</v>
      </c>
      <c r="C6003" t="s">
        <v>6406</v>
      </c>
      <c r="D6003" s="2" t="s">
        <v>6407</v>
      </c>
      <c r="E6003" t="s">
        <v>6251</v>
      </c>
      <c r="F6003" t="s">
        <v>20</v>
      </c>
      <c r="G6003" t="s">
        <v>21</v>
      </c>
      <c r="H6003" t="s">
        <v>152</v>
      </c>
      <c r="I6003" t="s">
        <v>23</v>
      </c>
      <c r="J6003" t="s">
        <v>40</v>
      </c>
      <c r="K6003" s="2" t="s">
        <v>1072</v>
      </c>
      <c r="L6003" t="s">
        <v>26</v>
      </c>
      <c r="M6003">
        <v>329728</v>
      </c>
      <c r="N6003">
        <v>1</v>
      </c>
      <c r="O6003" s="3">
        <v>34990</v>
      </c>
      <c r="P6003" s="3">
        <v>18485</v>
      </c>
      <c r="Q6003" s="5">
        <f t="shared" si="279"/>
        <v>29403.361344537818</v>
      </c>
      <c r="R6003" s="5">
        <f t="shared" si="280"/>
        <v>18485</v>
      </c>
      <c r="S6003" s="5">
        <f t="shared" si="281"/>
        <v>10918.361344537818</v>
      </c>
    </row>
    <row r="6004" spans="1:19" hidden="1" x14ac:dyDescent="0.3">
      <c r="A6004">
        <v>200</v>
      </c>
      <c r="B6004" t="s">
        <v>6336</v>
      </c>
      <c r="C6004" t="s">
        <v>2948</v>
      </c>
      <c r="D6004" s="2" t="s">
        <v>2949</v>
      </c>
      <c r="E6004" t="s">
        <v>2226</v>
      </c>
      <c r="F6004" t="s">
        <v>20</v>
      </c>
      <c r="G6004" t="s">
        <v>21</v>
      </c>
      <c r="H6004" t="s">
        <v>53</v>
      </c>
      <c r="I6004" t="s">
        <v>23</v>
      </c>
      <c r="J6004" t="s">
        <v>49</v>
      </c>
      <c r="K6004" s="2" t="s">
        <v>1072</v>
      </c>
      <c r="L6004" t="s">
        <v>26</v>
      </c>
      <c r="M6004">
        <v>329729</v>
      </c>
      <c r="N6004">
        <v>1</v>
      </c>
      <c r="O6004" s="3">
        <v>69950</v>
      </c>
      <c r="P6004" s="3">
        <v>21044</v>
      </c>
      <c r="Q6004" s="5">
        <f t="shared" si="279"/>
        <v>58781.512605042022</v>
      </c>
      <c r="R6004" s="5">
        <f t="shared" si="280"/>
        <v>21044</v>
      </c>
      <c r="S6004" s="5">
        <f t="shared" si="281"/>
        <v>37737.512605042022</v>
      </c>
    </row>
    <row r="6005" spans="1:19" hidden="1" x14ac:dyDescent="0.3">
      <c r="A6005">
        <v>200</v>
      </c>
      <c r="B6005" t="s">
        <v>6336</v>
      </c>
      <c r="C6005" t="s">
        <v>3401</v>
      </c>
      <c r="D6005" s="2" t="s">
        <v>3402</v>
      </c>
      <c r="E6005" t="s">
        <v>3403</v>
      </c>
      <c r="F6005" t="s">
        <v>377</v>
      </c>
      <c r="G6005" t="s">
        <v>21</v>
      </c>
      <c r="H6005" t="s">
        <v>378</v>
      </c>
      <c r="I6005" t="s">
        <v>23</v>
      </c>
      <c r="J6005" t="s">
        <v>3297</v>
      </c>
      <c r="K6005" s="2" t="s">
        <v>1072</v>
      </c>
      <c r="L6005" t="s">
        <v>26</v>
      </c>
      <c r="M6005">
        <v>329729</v>
      </c>
      <c r="N6005">
        <v>1</v>
      </c>
      <c r="O6005">
        <v>500</v>
      </c>
      <c r="P6005">
        <v>418</v>
      </c>
      <c r="Q6005" s="5">
        <f t="shared" si="279"/>
        <v>420.1680672268908</v>
      </c>
      <c r="R6005" s="5">
        <f t="shared" si="280"/>
        <v>418</v>
      </c>
      <c r="S6005" s="5">
        <f t="shared" si="281"/>
        <v>2.1680672268907983</v>
      </c>
    </row>
    <row r="6006" spans="1:19" hidden="1" x14ac:dyDescent="0.3">
      <c r="A6006">
        <v>200</v>
      </c>
      <c r="B6006" t="s">
        <v>6336</v>
      </c>
      <c r="C6006" t="s">
        <v>264</v>
      </c>
      <c r="D6006" s="2" t="s">
        <v>265</v>
      </c>
      <c r="E6006" t="s">
        <v>266</v>
      </c>
      <c r="F6006" t="s">
        <v>20</v>
      </c>
      <c r="G6006" t="s">
        <v>21</v>
      </c>
      <c r="H6006" t="s">
        <v>267</v>
      </c>
      <c r="I6006" t="s">
        <v>23</v>
      </c>
      <c r="J6006" t="s">
        <v>49</v>
      </c>
      <c r="K6006" s="2" t="s">
        <v>1072</v>
      </c>
      <c r="L6006" t="s">
        <v>26</v>
      </c>
      <c r="M6006">
        <v>329730</v>
      </c>
      <c r="N6006">
        <v>1</v>
      </c>
      <c r="O6006" s="3">
        <v>64950</v>
      </c>
      <c r="P6006" s="3">
        <v>24504</v>
      </c>
      <c r="Q6006" s="5">
        <f t="shared" si="279"/>
        <v>54579.831932773115</v>
      </c>
      <c r="R6006" s="5">
        <f t="shared" si="280"/>
        <v>24504</v>
      </c>
      <c r="S6006" s="5">
        <f t="shared" si="281"/>
        <v>30075.831932773115</v>
      </c>
    </row>
    <row r="6007" spans="1:19" hidden="1" x14ac:dyDescent="0.3">
      <c r="A6007">
        <v>200</v>
      </c>
      <c r="B6007" t="s">
        <v>6336</v>
      </c>
      <c r="C6007" t="s">
        <v>3401</v>
      </c>
      <c r="D6007" s="2" t="s">
        <v>3402</v>
      </c>
      <c r="E6007" t="s">
        <v>3403</v>
      </c>
      <c r="F6007" t="s">
        <v>377</v>
      </c>
      <c r="G6007" t="s">
        <v>21</v>
      </c>
      <c r="H6007" t="s">
        <v>378</v>
      </c>
      <c r="I6007" t="s">
        <v>23</v>
      </c>
      <c r="J6007" t="s">
        <v>3297</v>
      </c>
      <c r="K6007" s="2" t="s">
        <v>1072</v>
      </c>
      <c r="L6007" t="s">
        <v>26</v>
      </c>
      <c r="M6007">
        <v>329730</v>
      </c>
      <c r="N6007">
        <v>1</v>
      </c>
      <c r="O6007">
        <v>500</v>
      </c>
      <c r="P6007">
        <v>418</v>
      </c>
      <c r="Q6007" s="5">
        <f t="shared" si="279"/>
        <v>420.1680672268908</v>
      </c>
      <c r="R6007" s="5">
        <f t="shared" si="280"/>
        <v>418</v>
      </c>
      <c r="S6007" s="5">
        <f t="shared" si="281"/>
        <v>2.1680672268907983</v>
      </c>
    </row>
    <row r="6008" spans="1:19" hidden="1" x14ac:dyDescent="0.3">
      <c r="A6008">
        <v>200</v>
      </c>
      <c r="B6008" t="s">
        <v>6336</v>
      </c>
      <c r="C6008" t="s">
        <v>2158</v>
      </c>
      <c r="D6008" s="2" t="s">
        <v>2159</v>
      </c>
      <c r="E6008" t="s">
        <v>2160</v>
      </c>
      <c r="F6008" t="s">
        <v>20</v>
      </c>
      <c r="G6008" t="s">
        <v>21</v>
      </c>
      <c r="H6008" t="s">
        <v>970</v>
      </c>
      <c r="I6008" t="s">
        <v>23</v>
      </c>
      <c r="J6008" t="s">
        <v>40</v>
      </c>
      <c r="K6008" s="2" t="s">
        <v>1072</v>
      </c>
      <c r="L6008" t="s">
        <v>26</v>
      </c>
      <c r="M6008">
        <v>329731</v>
      </c>
      <c r="N6008">
        <v>1</v>
      </c>
      <c r="O6008" s="3">
        <v>49990</v>
      </c>
      <c r="P6008" s="3">
        <v>18264</v>
      </c>
      <c r="Q6008" s="5">
        <f t="shared" si="279"/>
        <v>42008.403361344543</v>
      </c>
      <c r="R6008" s="5">
        <f t="shared" si="280"/>
        <v>18264</v>
      </c>
      <c r="S6008" s="5">
        <f t="shared" si="281"/>
        <v>23744.403361344543</v>
      </c>
    </row>
    <row r="6009" spans="1:19" hidden="1" x14ac:dyDescent="0.3">
      <c r="A6009">
        <v>200</v>
      </c>
      <c r="B6009" t="s">
        <v>6336</v>
      </c>
      <c r="C6009" t="s">
        <v>4745</v>
      </c>
      <c r="D6009" s="2" t="s">
        <v>4746</v>
      </c>
      <c r="E6009" t="s">
        <v>3091</v>
      </c>
      <c r="F6009" t="s">
        <v>20</v>
      </c>
      <c r="G6009" t="s">
        <v>338</v>
      </c>
      <c r="H6009">
        <v>26266</v>
      </c>
      <c r="I6009" t="s">
        <v>23</v>
      </c>
      <c r="J6009" t="s">
        <v>35</v>
      </c>
      <c r="K6009" s="2" t="s">
        <v>1072</v>
      </c>
      <c r="L6009" t="s">
        <v>26</v>
      </c>
      <c r="M6009">
        <v>329732</v>
      </c>
      <c r="N6009">
        <v>1</v>
      </c>
      <c r="O6009" s="3">
        <v>79950</v>
      </c>
      <c r="P6009" s="3">
        <v>25300</v>
      </c>
      <c r="Q6009" s="5">
        <f t="shared" si="279"/>
        <v>67184.873949579836</v>
      </c>
      <c r="R6009" s="5">
        <f t="shared" si="280"/>
        <v>25300</v>
      </c>
      <c r="S6009" s="5">
        <f t="shared" si="281"/>
        <v>41884.873949579836</v>
      </c>
    </row>
    <row r="6010" spans="1:19" hidden="1" x14ac:dyDescent="0.3">
      <c r="A6010">
        <v>200</v>
      </c>
      <c r="B6010" t="s">
        <v>6336</v>
      </c>
      <c r="C6010" t="s">
        <v>2682</v>
      </c>
      <c r="D6010" s="2" t="s">
        <v>2683</v>
      </c>
      <c r="E6010" t="s">
        <v>1439</v>
      </c>
      <c r="F6010" t="s">
        <v>20</v>
      </c>
      <c r="G6010" t="s">
        <v>21</v>
      </c>
      <c r="H6010" t="s">
        <v>1440</v>
      </c>
      <c r="I6010" t="s">
        <v>23</v>
      </c>
      <c r="J6010" t="s">
        <v>40</v>
      </c>
      <c r="K6010" s="2" t="s">
        <v>1072</v>
      </c>
      <c r="L6010" t="s">
        <v>26</v>
      </c>
      <c r="M6010">
        <v>329733</v>
      </c>
      <c r="N6010">
        <v>1</v>
      </c>
      <c r="O6010" s="3">
        <v>64950</v>
      </c>
      <c r="P6010" s="3">
        <v>17328</v>
      </c>
      <c r="Q6010" s="5">
        <f t="shared" si="279"/>
        <v>54579.831932773115</v>
      </c>
      <c r="R6010" s="5">
        <f t="shared" si="280"/>
        <v>17328</v>
      </c>
      <c r="S6010" s="5">
        <f t="shared" si="281"/>
        <v>37251.831932773115</v>
      </c>
    </row>
    <row r="6011" spans="1:19" hidden="1" x14ac:dyDescent="0.3">
      <c r="A6011">
        <v>200</v>
      </c>
      <c r="B6011" t="s">
        <v>6336</v>
      </c>
      <c r="C6011" t="s">
        <v>3401</v>
      </c>
      <c r="D6011" s="2" t="s">
        <v>3402</v>
      </c>
      <c r="E6011" t="s">
        <v>3403</v>
      </c>
      <c r="F6011" t="s">
        <v>377</v>
      </c>
      <c r="G6011" t="s">
        <v>21</v>
      </c>
      <c r="H6011" t="s">
        <v>378</v>
      </c>
      <c r="I6011" t="s">
        <v>23</v>
      </c>
      <c r="J6011" t="s">
        <v>3297</v>
      </c>
      <c r="K6011" s="2" t="s">
        <v>1072</v>
      </c>
      <c r="L6011" t="s">
        <v>26</v>
      </c>
      <c r="M6011">
        <v>329733</v>
      </c>
      <c r="N6011">
        <v>1</v>
      </c>
      <c r="O6011">
        <v>500</v>
      </c>
      <c r="P6011">
        <v>418</v>
      </c>
      <c r="Q6011" s="5">
        <f t="shared" si="279"/>
        <v>420.1680672268908</v>
      </c>
      <c r="R6011" s="5">
        <f t="shared" si="280"/>
        <v>418</v>
      </c>
      <c r="S6011" s="5">
        <f t="shared" si="281"/>
        <v>2.1680672268907983</v>
      </c>
    </row>
    <row r="6012" spans="1:19" hidden="1" x14ac:dyDescent="0.3">
      <c r="A6012">
        <v>200</v>
      </c>
      <c r="B6012" t="s">
        <v>6336</v>
      </c>
      <c r="C6012" t="s">
        <v>5660</v>
      </c>
      <c r="D6012" s="2" t="s">
        <v>5661</v>
      </c>
      <c r="E6012" t="s">
        <v>2810</v>
      </c>
      <c r="F6012" t="s">
        <v>20</v>
      </c>
      <c r="G6012" t="s">
        <v>21</v>
      </c>
      <c r="H6012" t="s">
        <v>1987</v>
      </c>
      <c r="I6012" t="s">
        <v>23</v>
      </c>
      <c r="J6012" t="s">
        <v>35</v>
      </c>
      <c r="K6012" s="2" t="s">
        <v>1072</v>
      </c>
      <c r="L6012" t="s">
        <v>26</v>
      </c>
      <c r="M6012">
        <v>329734</v>
      </c>
      <c r="N6012">
        <v>1</v>
      </c>
      <c r="O6012" s="3">
        <v>89950</v>
      </c>
      <c r="P6012" s="3">
        <v>29858</v>
      </c>
      <c r="Q6012" s="5">
        <f t="shared" si="279"/>
        <v>75588.23529411765</v>
      </c>
      <c r="R6012" s="5">
        <f t="shared" si="280"/>
        <v>29858</v>
      </c>
      <c r="S6012" s="5">
        <f t="shared" si="281"/>
        <v>45730.23529411765</v>
      </c>
    </row>
    <row r="6013" spans="1:19" hidden="1" x14ac:dyDescent="0.3">
      <c r="A6013">
        <v>200</v>
      </c>
      <c r="B6013" t="s">
        <v>6336</v>
      </c>
      <c r="C6013" t="s">
        <v>3401</v>
      </c>
      <c r="D6013" s="2" t="s">
        <v>3402</v>
      </c>
      <c r="E6013" t="s">
        <v>3403</v>
      </c>
      <c r="F6013" t="s">
        <v>377</v>
      </c>
      <c r="G6013" t="s">
        <v>21</v>
      </c>
      <c r="H6013" t="s">
        <v>378</v>
      </c>
      <c r="I6013" t="s">
        <v>23</v>
      </c>
      <c r="J6013" t="s">
        <v>3297</v>
      </c>
      <c r="K6013" s="2" t="s">
        <v>1072</v>
      </c>
      <c r="L6013" t="s">
        <v>26</v>
      </c>
      <c r="M6013">
        <v>329734</v>
      </c>
      <c r="N6013">
        <v>1</v>
      </c>
      <c r="O6013">
        <v>500</v>
      </c>
      <c r="P6013">
        <v>418</v>
      </c>
      <c r="Q6013" s="5">
        <f t="shared" si="279"/>
        <v>420.1680672268908</v>
      </c>
      <c r="R6013" s="5">
        <f t="shared" si="280"/>
        <v>418</v>
      </c>
      <c r="S6013" s="5">
        <f t="shared" si="281"/>
        <v>2.1680672268907983</v>
      </c>
    </row>
    <row r="6014" spans="1:19" hidden="1" x14ac:dyDescent="0.3">
      <c r="A6014">
        <v>200</v>
      </c>
      <c r="B6014" t="s">
        <v>6336</v>
      </c>
      <c r="C6014" t="s">
        <v>5055</v>
      </c>
      <c r="D6014" s="2" t="s">
        <v>5056</v>
      </c>
      <c r="E6014" t="s">
        <v>3328</v>
      </c>
      <c r="F6014" t="s">
        <v>20</v>
      </c>
      <c r="G6014" t="s">
        <v>338</v>
      </c>
      <c r="H6014">
        <v>23720</v>
      </c>
      <c r="I6014" t="s">
        <v>23</v>
      </c>
      <c r="J6014" t="s">
        <v>40</v>
      </c>
      <c r="K6014" s="2" t="s">
        <v>1072</v>
      </c>
      <c r="L6014" t="s">
        <v>26</v>
      </c>
      <c r="M6014">
        <v>329735</v>
      </c>
      <c r="N6014">
        <v>1</v>
      </c>
      <c r="O6014" s="3">
        <v>59950</v>
      </c>
      <c r="P6014" s="3">
        <v>19579</v>
      </c>
      <c r="Q6014" s="5">
        <f t="shared" si="279"/>
        <v>50378.151260504201</v>
      </c>
      <c r="R6014" s="5">
        <f t="shared" si="280"/>
        <v>19579</v>
      </c>
      <c r="S6014" s="5">
        <f t="shared" si="281"/>
        <v>30799.151260504201</v>
      </c>
    </row>
    <row r="6015" spans="1:19" hidden="1" x14ac:dyDescent="0.3">
      <c r="A6015">
        <v>200</v>
      </c>
      <c r="B6015" t="s">
        <v>6336</v>
      </c>
      <c r="C6015" t="s">
        <v>3401</v>
      </c>
      <c r="D6015" s="2" t="s">
        <v>3402</v>
      </c>
      <c r="E6015" t="s">
        <v>3403</v>
      </c>
      <c r="F6015" t="s">
        <v>377</v>
      </c>
      <c r="G6015" t="s">
        <v>21</v>
      </c>
      <c r="H6015" t="s">
        <v>378</v>
      </c>
      <c r="I6015" t="s">
        <v>23</v>
      </c>
      <c r="J6015" t="s">
        <v>3297</v>
      </c>
      <c r="K6015" s="2" t="s">
        <v>1072</v>
      </c>
      <c r="L6015" t="s">
        <v>26</v>
      </c>
      <c r="M6015">
        <v>329735</v>
      </c>
      <c r="N6015">
        <v>1</v>
      </c>
      <c r="O6015">
        <v>500</v>
      </c>
      <c r="P6015">
        <v>418</v>
      </c>
      <c r="Q6015" s="5">
        <f t="shared" si="279"/>
        <v>420.1680672268908</v>
      </c>
      <c r="R6015" s="5">
        <f t="shared" si="280"/>
        <v>418</v>
      </c>
      <c r="S6015" s="5">
        <f t="shared" si="281"/>
        <v>2.1680672268907983</v>
      </c>
    </row>
    <row r="6016" spans="1:19" hidden="1" x14ac:dyDescent="0.3">
      <c r="A6016">
        <v>200</v>
      </c>
      <c r="B6016" t="s">
        <v>6336</v>
      </c>
      <c r="C6016" t="s">
        <v>4385</v>
      </c>
      <c r="D6016" s="2" t="s">
        <v>4386</v>
      </c>
      <c r="E6016" t="s">
        <v>609</v>
      </c>
      <c r="F6016" t="s">
        <v>20</v>
      </c>
      <c r="G6016" t="s">
        <v>21</v>
      </c>
      <c r="H6016" t="s">
        <v>610</v>
      </c>
      <c r="I6016" t="s">
        <v>23</v>
      </c>
      <c r="J6016" t="s">
        <v>40</v>
      </c>
      <c r="K6016" s="2" t="s">
        <v>2693</v>
      </c>
      <c r="L6016" t="s">
        <v>26</v>
      </c>
      <c r="M6016">
        <v>329736</v>
      </c>
      <c r="N6016">
        <v>1</v>
      </c>
      <c r="O6016" s="3">
        <v>34990</v>
      </c>
      <c r="P6016" s="3">
        <v>14680</v>
      </c>
      <c r="Q6016" s="5">
        <f t="shared" si="279"/>
        <v>29403.361344537818</v>
      </c>
      <c r="R6016" s="5">
        <f t="shared" si="280"/>
        <v>14680</v>
      </c>
      <c r="S6016" s="5">
        <f t="shared" si="281"/>
        <v>14723.361344537818</v>
      </c>
    </row>
    <row r="6017" spans="1:19" hidden="1" x14ac:dyDescent="0.3">
      <c r="A6017">
        <v>200</v>
      </c>
      <c r="B6017" t="s">
        <v>6336</v>
      </c>
      <c r="C6017">
        <v>1687976791</v>
      </c>
      <c r="D6017" s="2" t="s">
        <v>200</v>
      </c>
      <c r="E6017" t="s">
        <v>201</v>
      </c>
      <c r="F6017" t="s">
        <v>201</v>
      </c>
      <c r="G6017" t="s">
        <v>202</v>
      </c>
      <c r="H6017" t="s">
        <v>202</v>
      </c>
      <c r="I6017" t="s">
        <v>23</v>
      </c>
      <c r="J6017" t="s">
        <v>202</v>
      </c>
      <c r="K6017" s="2" t="s">
        <v>2693</v>
      </c>
      <c r="L6017" t="s">
        <v>26</v>
      </c>
      <c r="M6017">
        <v>329736</v>
      </c>
      <c r="N6017">
        <v>1</v>
      </c>
      <c r="O6017" s="3">
        <v>3200</v>
      </c>
      <c r="P6017">
        <v>1</v>
      </c>
      <c r="Q6017" s="5">
        <f t="shared" si="279"/>
        <v>2689.0756302521008</v>
      </c>
      <c r="R6017" s="5">
        <f t="shared" si="280"/>
        <v>1</v>
      </c>
      <c r="S6017" s="5">
        <f t="shared" si="281"/>
        <v>2688.0756302521008</v>
      </c>
    </row>
    <row r="6018" spans="1:19" hidden="1" x14ac:dyDescent="0.3">
      <c r="A6018">
        <v>200</v>
      </c>
      <c r="B6018" t="s">
        <v>6336</v>
      </c>
      <c r="C6018" t="s">
        <v>3288</v>
      </c>
      <c r="D6018" s="2" t="s">
        <v>3289</v>
      </c>
      <c r="E6018" t="s">
        <v>3290</v>
      </c>
      <c r="F6018" t="s">
        <v>20</v>
      </c>
      <c r="G6018" t="s">
        <v>21</v>
      </c>
      <c r="H6018" t="s">
        <v>247</v>
      </c>
      <c r="I6018" t="s">
        <v>23</v>
      </c>
      <c r="J6018" t="s">
        <v>40</v>
      </c>
      <c r="K6018" s="2" t="s">
        <v>2693</v>
      </c>
      <c r="L6018" t="s">
        <v>26</v>
      </c>
      <c r="M6018">
        <v>329737</v>
      </c>
      <c r="N6018">
        <v>-1</v>
      </c>
      <c r="O6018" s="3">
        <v>-34990</v>
      </c>
      <c r="P6018" s="3">
        <v>18016</v>
      </c>
      <c r="Q6018" s="5">
        <f t="shared" si="279"/>
        <v>-29403.361344537818</v>
      </c>
      <c r="R6018" s="5">
        <f t="shared" si="280"/>
        <v>-18016</v>
      </c>
      <c r="S6018" s="5">
        <f t="shared" si="281"/>
        <v>-11387.361344537818</v>
      </c>
    </row>
    <row r="6019" spans="1:19" hidden="1" x14ac:dyDescent="0.3">
      <c r="A6019">
        <v>200</v>
      </c>
      <c r="B6019" t="s">
        <v>6336</v>
      </c>
      <c r="C6019" t="s">
        <v>3543</v>
      </c>
      <c r="D6019" s="2" t="s">
        <v>3544</v>
      </c>
      <c r="E6019" t="s">
        <v>3183</v>
      </c>
      <c r="F6019" t="s">
        <v>20</v>
      </c>
      <c r="G6019" t="s">
        <v>21</v>
      </c>
      <c r="H6019" t="s">
        <v>614</v>
      </c>
      <c r="I6019" t="s">
        <v>23</v>
      </c>
      <c r="J6019" t="s">
        <v>40</v>
      </c>
      <c r="K6019" s="2" t="s">
        <v>2693</v>
      </c>
      <c r="L6019" t="s">
        <v>26</v>
      </c>
      <c r="M6019">
        <v>329737</v>
      </c>
      <c r="N6019">
        <v>1</v>
      </c>
      <c r="O6019" s="3">
        <v>39990</v>
      </c>
      <c r="P6019" s="3">
        <v>17378</v>
      </c>
      <c r="Q6019" s="5">
        <f t="shared" si="279"/>
        <v>33605.042016806721</v>
      </c>
      <c r="R6019" s="5">
        <f t="shared" si="280"/>
        <v>17378</v>
      </c>
      <c r="S6019" s="5">
        <f t="shared" si="281"/>
        <v>16227.042016806721</v>
      </c>
    </row>
    <row r="6020" spans="1:19" hidden="1" x14ac:dyDescent="0.3">
      <c r="A6020">
        <v>200</v>
      </c>
      <c r="B6020" t="s">
        <v>6336</v>
      </c>
      <c r="C6020" t="s">
        <v>4891</v>
      </c>
      <c r="D6020" s="2" t="s">
        <v>4892</v>
      </c>
      <c r="E6020" t="s">
        <v>2493</v>
      </c>
      <c r="F6020" t="s">
        <v>20</v>
      </c>
      <c r="G6020" t="s">
        <v>21</v>
      </c>
      <c r="H6020" t="s">
        <v>2494</v>
      </c>
      <c r="I6020" t="s">
        <v>23</v>
      </c>
      <c r="J6020" t="s">
        <v>40</v>
      </c>
      <c r="K6020" s="2" t="s">
        <v>2693</v>
      </c>
      <c r="L6020" t="s">
        <v>26</v>
      </c>
      <c r="M6020">
        <v>329738</v>
      </c>
      <c r="N6020">
        <v>1</v>
      </c>
      <c r="O6020" s="3">
        <v>69950</v>
      </c>
      <c r="P6020" s="3">
        <v>22206</v>
      </c>
      <c r="Q6020" s="5">
        <f t="shared" si="279"/>
        <v>58781.512605042022</v>
      </c>
      <c r="R6020" s="5">
        <f t="shared" si="280"/>
        <v>22206</v>
      </c>
      <c r="S6020" s="5">
        <f t="shared" si="281"/>
        <v>36575.512605042022</v>
      </c>
    </row>
    <row r="6021" spans="1:19" hidden="1" x14ac:dyDescent="0.3">
      <c r="A6021">
        <v>200</v>
      </c>
      <c r="B6021" t="s">
        <v>6336</v>
      </c>
      <c r="C6021" t="s">
        <v>3401</v>
      </c>
      <c r="D6021" s="2" t="s">
        <v>3402</v>
      </c>
      <c r="E6021" t="s">
        <v>3403</v>
      </c>
      <c r="F6021" t="s">
        <v>377</v>
      </c>
      <c r="G6021" t="s">
        <v>21</v>
      </c>
      <c r="H6021" t="s">
        <v>378</v>
      </c>
      <c r="I6021" t="s">
        <v>23</v>
      </c>
      <c r="J6021" t="s">
        <v>3297</v>
      </c>
      <c r="K6021" s="2" t="s">
        <v>2693</v>
      </c>
      <c r="L6021" t="s">
        <v>26</v>
      </c>
      <c r="M6021">
        <v>329738</v>
      </c>
      <c r="N6021">
        <v>1</v>
      </c>
      <c r="O6021">
        <v>500</v>
      </c>
      <c r="P6021">
        <v>418</v>
      </c>
      <c r="Q6021" s="5">
        <f t="shared" si="279"/>
        <v>420.1680672268908</v>
      </c>
      <c r="R6021" s="5">
        <f t="shared" si="280"/>
        <v>418</v>
      </c>
      <c r="S6021" s="5">
        <f t="shared" si="281"/>
        <v>2.1680672268907983</v>
      </c>
    </row>
    <row r="6022" spans="1:19" hidden="1" x14ac:dyDescent="0.3">
      <c r="A6022">
        <v>200</v>
      </c>
      <c r="B6022" t="s">
        <v>6336</v>
      </c>
      <c r="C6022" t="s">
        <v>1242</v>
      </c>
      <c r="D6022" s="2" t="s">
        <v>1243</v>
      </c>
      <c r="E6022" t="s">
        <v>1244</v>
      </c>
      <c r="F6022" t="s">
        <v>20</v>
      </c>
      <c r="G6022" t="s">
        <v>338</v>
      </c>
      <c r="H6022">
        <v>83707</v>
      </c>
      <c r="I6022" t="s">
        <v>23</v>
      </c>
      <c r="J6022" t="s">
        <v>40</v>
      </c>
      <c r="K6022" s="2" t="s">
        <v>2693</v>
      </c>
      <c r="L6022" t="s">
        <v>26</v>
      </c>
      <c r="M6022">
        <v>329739</v>
      </c>
      <c r="N6022">
        <v>1</v>
      </c>
      <c r="O6022" s="3">
        <v>69990</v>
      </c>
      <c r="P6022" s="3">
        <v>30263</v>
      </c>
      <c r="Q6022" s="5">
        <f t="shared" ref="Q6022:Q6085" si="282">O6022/1.19</f>
        <v>58815.126050420171</v>
      </c>
      <c r="R6022" s="5">
        <f t="shared" ref="R6022:R6085" si="283">N6022*P6022</f>
        <v>30263</v>
      </c>
      <c r="S6022" s="5">
        <f t="shared" ref="S6022:S6085" si="284">Q6022-R6022</f>
        <v>28552.126050420171</v>
      </c>
    </row>
    <row r="6023" spans="1:19" hidden="1" x14ac:dyDescent="0.3">
      <c r="A6023">
        <v>200</v>
      </c>
      <c r="B6023" t="s">
        <v>6336</v>
      </c>
      <c r="C6023" t="s">
        <v>3401</v>
      </c>
      <c r="D6023" s="2" t="s">
        <v>3402</v>
      </c>
      <c r="E6023" t="s">
        <v>3403</v>
      </c>
      <c r="F6023" t="s">
        <v>377</v>
      </c>
      <c r="G6023" t="s">
        <v>21</v>
      </c>
      <c r="H6023" t="s">
        <v>378</v>
      </c>
      <c r="I6023" t="s">
        <v>23</v>
      </c>
      <c r="J6023" t="s">
        <v>3297</v>
      </c>
      <c r="K6023" s="2" t="s">
        <v>2693</v>
      </c>
      <c r="L6023" t="s">
        <v>26</v>
      </c>
      <c r="M6023">
        <v>329739</v>
      </c>
      <c r="N6023">
        <v>1</v>
      </c>
      <c r="O6023">
        <v>500</v>
      </c>
      <c r="P6023">
        <v>418</v>
      </c>
      <c r="Q6023" s="5">
        <f t="shared" si="282"/>
        <v>420.1680672268908</v>
      </c>
      <c r="R6023" s="5">
        <f t="shared" si="283"/>
        <v>418</v>
      </c>
      <c r="S6023" s="5">
        <f t="shared" si="284"/>
        <v>2.1680672268907983</v>
      </c>
    </row>
    <row r="6024" spans="1:19" hidden="1" x14ac:dyDescent="0.3">
      <c r="A6024">
        <v>200</v>
      </c>
      <c r="B6024" t="s">
        <v>6336</v>
      </c>
      <c r="C6024" t="s">
        <v>6408</v>
      </c>
      <c r="D6024" s="2" t="s">
        <v>6409</v>
      </c>
      <c r="E6024" t="s">
        <v>3472</v>
      </c>
      <c r="F6024" t="s">
        <v>20</v>
      </c>
      <c r="G6024" t="s">
        <v>338</v>
      </c>
      <c r="H6024">
        <v>25336</v>
      </c>
      <c r="I6024" t="s">
        <v>23</v>
      </c>
      <c r="J6024" t="s">
        <v>35</v>
      </c>
      <c r="K6024" s="2" t="s">
        <v>2693</v>
      </c>
      <c r="L6024" t="s">
        <v>26</v>
      </c>
      <c r="M6024">
        <v>329740</v>
      </c>
      <c r="N6024">
        <v>1</v>
      </c>
      <c r="O6024" s="3">
        <v>99950</v>
      </c>
      <c r="P6024" s="3">
        <v>31886</v>
      </c>
      <c r="Q6024" s="5">
        <f t="shared" si="282"/>
        <v>83991.596638655465</v>
      </c>
      <c r="R6024" s="5">
        <f t="shared" si="283"/>
        <v>31886</v>
      </c>
      <c r="S6024" s="5">
        <f t="shared" si="284"/>
        <v>52105.596638655465</v>
      </c>
    </row>
    <row r="6025" spans="1:19" hidden="1" x14ac:dyDescent="0.3">
      <c r="A6025">
        <v>200</v>
      </c>
      <c r="B6025" t="s">
        <v>6336</v>
      </c>
      <c r="C6025" t="s">
        <v>3401</v>
      </c>
      <c r="D6025" s="2" t="s">
        <v>3402</v>
      </c>
      <c r="E6025" t="s">
        <v>3403</v>
      </c>
      <c r="F6025" t="s">
        <v>377</v>
      </c>
      <c r="G6025" t="s">
        <v>21</v>
      </c>
      <c r="H6025" t="s">
        <v>378</v>
      </c>
      <c r="I6025" t="s">
        <v>23</v>
      </c>
      <c r="J6025" t="s">
        <v>3297</v>
      </c>
      <c r="K6025" s="2" t="s">
        <v>2693</v>
      </c>
      <c r="L6025" t="s">
        <v>26</v>
      </c>
      <c r="M6025">
        <v>329740</v>
      </c>
      <c r="N6025">
        <v>1</v>
      </c>
      <c r="O6025">
        <v>500</v>
      </c>
      <c r="P6025">
        <v>418</v>
      </c>
      <c r="Q6025" s="5">
        <f t="shared" si="282"/>
        <v>420.1680672268908</v>
      </c>
      <c r="R6025" s="5">
        <f t="shared" si="283"/>
        <v>418</v>
      </c>
      <c r="S6025" s="5">
        <f t="shared" si="284"/>
        <v>2.1680672268907983</v>
      </c>
    </row>
    <row r="6026" spans="1:19" hidden="1" x14ac:dyDescent="0.3">
      <c r="A6026">
        <v>200</v>
      </c>
      <c r="B6026" t="s">
        <v>6336</v>
      </c>
      <c r="C6026" t="s">
        <v>5107</v>
      </c>
      <c r="D6026" s="2" t="s">
        <v>5108</v>
      </c>
      <c r="E6026" t="s">
        <v>4331</v>
      </c>
      <c r="F6026" t="s">
        <v>20</v>
      </c>
      <c r="G6026" t="s">
        <v>338</v>
      </c>
      <c r="H6026">
        <v>25357</v>
      </c>
      <c r="I6026" t="s">
        <v>23</v>
      </c>
      <c r="J6026" t="s">
        <v>35</v>
      </c>
      <c r="K6026" s="2" t="s">
        <v>2693</v>
      </c>
      <c r="L6026" t="s">
        <v>26</v>
      </c>
      <c r="M6026">
        <v>329741</v>
      </c>
      <c r="N6026">
        <v>1</v>
      </c>
      <c r="O6026" s="3">
        <v>79950</v>
      </c>
      <c r="P6026" s="3">
        <v>24482</v>
      </c>
      <c r="Q6026" s="5">
        <f t="shared" si="282"/>
        <v>67184.873949579836</v>
      </c>
      <c r="R6026" s="5">
        <f t="shared" si="283"/>
        <v>24482</v>
      </c>
      <c r="S6026" s="5">
        <f t="shared" si="284"/>
        <v>42702.873949579836</v>
      </c>
    </row>
    <row r="6027" spans="1:19" hidden="1" x14ac:dyDescent="0.3">
      <c r="A6027">
        <v>200</v>
      </c>
      <c r="B6027" t="s">
        <v>6336</v>
      </c>
      <c r="C6027" t="s">
        <v>3401</v>
      </c>
      <c r="D6027" s="2" t="s">
        <v>3402</v>
      </c>
      <c r="E6027" t="s">
        <v>3403</v>
      </c>
      <c r="F6027" t="s">
        <v>377</v>
      </c>
      <c r="G6027" t="s">
        <v>21</v>
      </c>
      <c r="H6027" t="s">
        <v>378</v>
      </c>
      <c r="I6027" t="s">
        <v>23</v>
      </c>
      <c r="J6027" t="s">
        <v>3297</v>
      </c>
      <c r="K6027" s="2" t="s">
        <v>2693</v>
      </c>
      <c r="L6027" t="s">
        <v>26</v>
      </c>
      <c r="M6027">
        <v>329741</v>
      </c>
      <c r="N6027">
        <v>1</v>
      </c>
      <c r="O6027">
        <v>500</v>
      </c>
      <c r="P6027">
        <v>418</v>
      </c>
      <c r="Q6027" s="5">
        <f t="shared" si="282"/>
        <v>420.1680672268908</v>
      </c>
      <c r="R6027" s="5">
        <f t="shared" si="283"/>
        <v>418</v>
      </c>
      <c r="S6027" s="5">
        <f t="shared" si="284"/>
        <v>2.1680672268907983</v>
      </c>
    </row>
    <row r="6028" spans="1:19" hidden="1" x14ac:dyDescent="0.3">
      <c r="A6028">
        <v>200</v>
      </c>
      <c r="B6028" t="s">
        <v>6336</v>
      </c>
      <c r="C6028" t="s">
        <v>3687</v>
      </c>
      <c r="D6028" s="2" t="s">
        <v>3688</v>
      </c>
      <c r="E6028" t="s">
        <v>2902</v>
      </c>
      <c r="F6028" t="s">
        <v>20</v>
      </c>
      <c r="G6028" t="s">
        <v>21</v>
      </c>
      <c r="H6028" t="s">
        <v>267</v>
      </c>
      <c r="I6028" t="s">
        <v>23</v>
      </c>
      <c r="J6028" t="s">
        <v>49</v>
      </c>
      <c r="K6028" s="2" t="s">
        <v>2693</v>
      </c>
      <c r="L6028" t="s">
        <v>26</v>
      </c>
      <c r="M6028">
        <v>329742</v>
      </c>
      <c r="N6028">
        <v>1</v>
      </c>
      <c r="O6028" s="3">
        <v>64950</v>
      </c>
      <c r="P6028" s="3">
        <v>24504</v>
      </c>
      <c r="Q6028" s="5">
        <f t="shared" si="282"/>
        <v>54579.831932773115</v>
      </c>
      <c r="R6028" s="5">
        <f t="shared" si="283"/>
        <v>24504</v>
      </c>
      <c r="S6028" s="5">
        <f t="shared" si="284"/>
        <v>30075.831932773115</v>
      </c>
    </row>
    <row r="6029" spans="1:19" hidden="1" x14ac:dyDescent="0.3">
      <c r="A6029">
        <v>200</v>
      </c>
      <c r="B6029" t="s">
        <v>6336</v>
      </c>
      <c r="C6029" t="s">
        <v>3311</v>
      </c>
      <c r="D6029" s="2" t="s">
        <v>3312</v>
      </c>
      <c r="E6029" t="s">
        <v>494</v>
      </c>
      <c r="F6029" t="s">
        <v>20</v>
      </c>
      <c r="G6029" t="s">
        <v>21</v>
      </c>
      <c r="H6029" t="s">
        <v>317</v>
      </c>
      <c r="I6029" t="s">
        <v>23</v>
      </c>
      <c r="J6029" t="s">
        <v>35</v>
      </c>
      <c r="K6029" s="2" t="s">
        <v>2693</v>
      </c>
      <c r="L6029" t="s">
        <v>26</v>
      </c>
      <c r="M6029">
        <v>329742</v>
      </c>
      <c r="N6029">
        <v>1</v>
      </c>
      <c r="O6029" s="3">
        <v>52460</v>
      </c>
      <c r="P6029" s="3">
        <v>23619</v>
      </c>
      <c r="Q6029" s="5">
        <f t="shared" si="282"/>
        <v>44084.033613445383</v>
      </c>
      <c r="R6029" s="5">
        <f t="shared" si="283"/>
        <v>23619</v>
      </c>
      <c r="S6029" s="5">
        <f t="shared" si="284"/>
        <v>20465.033613445383</v>
      </c>
    </row>
    <row r="6030" spans="1:19" hidden="1" x14ac:dyDescent="0.3">
      <c r="A6030">
        <v>200</v>
      </c>
      <c r="B6030" t="s">
        <v>6336</v>
      </c>
      <c r="C6030" t="s">
        <v>4532</v>
      </c>
      <c r="D6030" s="2" t="s">
        <v>4533</v>
      </c>
      <c r="E6030" t="s">
        <v>4534</v>
      </c>
      <c r="F6030" t="s">
        <v>20</v>
      </c>
      <c r="G6030" t="s">
        <v>21</v>
      </c>
      <c r="H6030" t="s">
        <v>247</v>
      </c>
      <c r="I6030" t="s">
        <v>23</v>
      </c>
      <c r="J6030" t="s">
        <v>40</v>
      </c>
      <c r="K6030" s="2" t="s">
        <v>2693</v>
      </c>
      <c r="L6030" t="s">
        <v>26</v>
      </c>
      <c r="M6030">
        <v>329743</v>
      </c>
      <c r="N6030">
        <v>1</v>
      </c>
      <c r="O6030" s="3">
        <v>34990</v>
      </c>
      <c r="P6030" s="3">
        <v>18016</v>
      </c>
      <c r="Q6030" s="5">
        <f t="shared" si="282"/>
        <v>29403.361344537818</v>
      </c>
      <c r="R6030" s="5">
        <f t="shared" si="283"/>
        <v>18016</v>
      </c>
      <c r="S6030" s="5">
        <f t="shared" si="284"/>
        <v>11387.361344537818</v>
      </c>
    </row>
    <row r="6031" spans="1:19" hidden="1" x14ac:dyDescent="0.3">
      <c r="A6031">
        <v>200</v>
      </c>
      <c r="B6031" t="s">
        <v>6336</v>
      </c>
      <c r="C6031">
        <v>1687976791</v>
      </c>
      <c r="D6031" s="2" t="s">
        <v>200</v>
      </c>
      <c r="E6031" t="s">
        <v>201</v>
      </c>
      <c r="F6031" t="s">
        <v>201</v>
      </c>
      <c r="G6031" t="s">
        <v>202</v>
      </c>
      <c r="H6031" t="s">
        <v>202</v>
      </c>
      <c r="I6031" t="s">
        <v>23</v>
      </c>
      <c r="J6031" t="s">
        <v>202</v>
      </c>
      <c r="K6031" s="2" t="s">
        <v>2693</v>
      </c>
      <c r="L6031" t="s">
        <v>26</v>
      </c>
      <c r="M6031">
        <v>329743</v>
      </c>
      <c r="N6031">
        <v>1</v>
      </c>
      <c r="O6031" s="3">
        <v>6000</v>
      </c>
      <c r="P6031">
        <v>1</v>
      </c>
      <c r="Q6031" s="5">
        <f t="shared" si="282"/>
        <v>5042.0168067226896</v>
      </c>
      <c r="R6031" s="5">
        <f t="shared" si="283"/>
        <v>1</v>
      </c>
      <c r="S6031" s="5">
        <f t="shared" si="284"/>
        <v>5041.0168067226896</v>
      </c>
    </row>
    <row r="6032" spans="1:19" hidden="1" x14ac:dyDescent="0.3">
      <c r="A6032">
        <v>200</v>
      </c>
      <c r="B6032" t="s">
        <v>6336</v>
      </c>
      <c r="C6032" t="s">
        <v>5471</v>
      </c>
      <c r="D6032" s="2" t="s">
        <v>5472</v>
      </c>
      <c r="E6032" t="s">
        <v>4331</v>
      </c>
      <c r="F6032" t="s">
        <v>20</v>
      </c>
      <c r="G6032" t="s">
        <v>338</v>
      </c>
      <c r="H6032">
        <v>25357</v>
      </c>
      <c r="I6032" t="s">
        <v>23</v>
      </c>
      <c r="J6032" t="s">
        <v>35</v>
      </c>
      <c r="K6032" s="2" t="s">
        <v>2693</v>
      </c>
      <c r="L6032" t="s">
        <v>26</v>
      </c>
      <c r="M6032">
        <v>329744</v>
      </c>
      <c r="N6032">
        <v>1</v>
      </c>
      <c r="O6032" s="3">
        <v>79950</v>
      </c>
      <c r="P6032" s="3">
        <v>24482</v>
      </c>
      <c r="Q6032" s="5">
        <f t="shared" si="282"/>
        <v>67184.873949579836</v>
      </c>
      <c r="R6032" s="5">
        <f t="shared" si="283"/>
        <v>24482</v>
      </c>
      <c r="S6032" s="5">
        <f t="shared" si="284"/>
        <v>42702.873949579836</v>
      </c>
    </row>
    <row r="6033" spans="1:19" hidden="1" x14ac:dyDescent="0.3">
      <c r="A6033">
        <v>200</v>
      </c>
      <c r="B6033" t="s">
        <v>6336</v>
      </c>
      <c r="C6033" t="s">
        <v>3401</v>
      </c>
      <c r="D6033" s="2" t="s">
        <v>3402</v>
      </c>
      <c r="E6033" t="s">
        <v>3403</v>
      </c>
      <c r="F6033" t="s">
        <v>377</v>
      </c>
      <c r="G6033" t="s">
        <v>21</v>
      </c>
      <c r="H6033" t="s">
        <v>378</v>
      </c>
      <c r="I6033" t="s">
        <v>23</v>
      </c>
      <c r="J6033" t="s">
        <v>3297</v>
      </c>
      <c r="K6033" s="2" t="s">
        <v>2693</v>
      </c>
      <c r="L6033" t="s">
        <v>26</v>
      </c>
      <c r="M6033">
        <v>329744</v>
      </c>
      <c r="N6033">
        <v>1</v>
      </c>
      <c r="O6033">
        <v>500</v>
      </c>
      <c r="P6033">
        <v>418</v>
      </c>
      <c r="Q6033" s="5">
        <f t="shared" si="282"/>
        <v>420.1680672268908</v>
      </c>
      <c r="R6033" s="5">
        <f t="shared" si="283"/>
        <v>418</v>
      </c>
      <c r="S6033" s="5">
        <f t="shared" si="284"/>
        <v>2.1680672268907983</v>
      </c>
    </row>
    <row r="6034" spans="1:19" hidden="1" x14ac:dyDescent="0.3">
      <c r="A6034">
        <v>200</v>
      </c>
      <c r="B6034" t="s">
        <v>6336</v>
      </c>
      <c r="C6034" t="s">
        <v>5664</v>
      </c>
      <c r="D6034" s="2" t="s">
        <v>5665</v>
      </c>
      <c r="E6034" t="s">
        <v>3656</v>
      </c>
      <c r="F6034" t="s">
        <v>20</v>
      </c>
      <c r="G6034" t="s">
        <v>21</v>
      </c>
      <c r="H6034" t="s">
        <v>614</v>
      </c>
      <c r="I6034" t="s">
        <v>23</v>
      </c>
      <c r="J6034" t="s">
        <v>40</v>
      </c>
      <c r="K6034" s="2" t="s">
        <v>2693</v>
      </c>
      <c r="L6034" t="s">
        <v>26</v>
      </c>
      <c r="M6034">
        <v>329745</v>
      </c>
      <c r="N6034">
        <v>1</v>
      </c>
      <c r="O6034" s="3">
        <v>54950</v>
      </c>
      <c r="P6034" s="3">
        <v>14265</v>
      </c>
      <c r="Q6034" s="5">
        <f t="shared" si="282"/>
        <v>46176.470588235294</v>
      </c>
      <c r="R6034" s="5">
        <f t="shared" si="283"/>
        <v>14265</v>
      </c>
      <c r="S6034" s="5">
        <f t="shared" si="284"/>
        <v>31911.470588235294</v>
      </c>
    </row>
    <row r="6035" spans="1:19" hidden="1" x14ac:dyDescent="0.3">
      <c r="A6035">
        <v>200</v>
      </c>
      <c r="B6035" t="s">
        <v>6336</v>
      </c>
      <c r="C6035" t="s">
        <v>5326</v>
      </c>
      <c r="D6035" s="2" t="s">
        <v>5327</v>
      </c>
      <c r="E6035" t="s">
        <v>3531</v>
      </c>
      <c r="F6035" t="s">
        <v>20</v>
      </c>
      <c r="G6035" t="s">
        <v>338</v>
      </c>
      <c r="H6035">
        <v>84316</v>
      </c>
      <c r="I6035" t="s">
        <v>23</v>
      </c>
      <c r="J6035" t="s">
        <v>49</v>
      </c>
      <c r="K6035" s="2" t="s">
        <v>2693</v>
      </c>
      <c r="L6035" t="s">
        <v>26</v>
      </c>
      <c r="M6035">
        <v>329746</v>
      </c>
      <c r="N6035">
        <v>1</v>
      </c>
      <c r="O6035" s="3">
        <v>89950</v>
      </c>
      <c r="P6035" s="3">
        <v>31128</v>
      </c>
      <c r="Q6035" s="5">
        <f t="shared" si="282"/>
        <v>75588.23529411765</v>
      </c>
      <c r="R6035" s="5">
        <f t="shared" si="283"/>
        <v>31128</v>
      </c>
      <c r="S6035" s="5">
        <f t="shared" si="284"/>
        <v>44460.23529411765</v>
      </c>
    </row>
    <row r="6036" spans="1:19" hidden="1" x14ac:dyDescent="0.3">
      <c r="A6036">
        <v>200</v>
      </c>
      <c r="B6036" t="s">
        <v>6336</v>
      </c>
      <c r="C6036" t="s">
        <v>1037</v>
      </c>
      <c r="D6036" s="2" t="s">
        <v>1038</v>
      </c>
      <c r="E6036" t="s">
        <v>1039</v>
      </c>
      <c r="F6036" t="s">
        <v>377</v>
      </c>
      <c r="G6036" t="s">
        <v>21</v>
      </c>
      <c r="H6036" t="s">
        <v>378</v>
      </c>
      <c r="I6036" t="s">
        <v>23</v>
      </c>
      <c r="J6036" t="s">
        <v>379</v>
      </c>
      <c r="K6036" s="2" t="s">
        <v>2693</v>
      </c>
      <c r="L6036" t="s">
        <v>26</v>
      </c>
      <c r="M6036">
        <v>329746</v>
      </c>
      <c r="N6036">
        <v>1</v>
      </c>
      <c r="O6036" s="3">
        <v>5950</v>
      </c>
      <c r="P6036" s="3">
        <v>3257</v>
      </c>
      <c r="Q6036" s="5">
        <f t="shared" si="282"/>
        <v>5000</v>
      </c>
      <c r="R6036" s="5">
        <f t="shared" si="283"/>
        <v>3257</v>
      </c>
      <c r="S6036" s="5">
        <f t="shared" si="284"/>
        <v>1743</v>
      </c>
    </row>
    <row r="6037" spans="1:19" hidden="1" x14ac:dyDescent="0.3">
      <c r="A6037">
        <v>200</v>
      </c>
      <c r="B6037" t="s">
        <v>6336</v>
      </c>
      <c r="C6037" t="s">
        <v>1761</v>
      </c>
      <c r="D6037" s="2" t="s">
        <v>1762</v>
      </c>
      <c r="E6037" t="s">
        <v>1763</v>
      </c>
      <c r="F6037" t="s">
        <v>377</v>
      </c>
      <c r="G6037" t="s">
        <v>21</v>
      </c>
      <c r="H6037" t="s">
        <v>378</v>
      </c>
      <c r="I6037" t="s">
        <v>23</v>
      </c>
      <c r="J6037" t="s">
        <v>379</v>
      </c>
      <c r="K6037" s="2" t="s">
        <v>2693</v>
      </c>
      <c r="L6037" t="s">
        <v>26</v>
      </c>
      <c r="M6037">
        <v>329746</v>
      </c>
      <c r="N6037">
        <v>1</v>
      </c>
      <c r="O6037" s="3">
        <v>5950</v>
      </c>
      <c r="P6037" s="3">
        <v>3279</v>
      </c>
      <c r="Q6037" s="5">
        <f t="shared" si="282"/>
        <v>5000</v>
      </c>
      <c r="R6037" s="5">
        <f t="shared" si="283"/>
        <v>3279</v>
      </c>
      <c r="S6037" s="5">
        <f t="shared" si="284"/>
        <v>1721</v>
      </c>
    </row>
    <row r="6038" spans="1:19" hidden="1" x14ac:dyDescent="0.3">
      <c r="A6038">
        <v>200</v>
      </c>
      <c r="B6038" t="s">
        <v>6336</v>
      </c>
      <c r="C6038" t="s">
        <v>2537</v>
      </c>
      <c r="D6038" s="2" t="s">
        <v>2538</v>
      </c>
      <c r="E6038" t="s">
        <v>2539</v>
      </c>
      <c r="F6038" t="s">
        <v>20</v>
      </c>
      <c r="G6038" t="s">
        <v>21</v>
      </c>
      <c r="H6038" t="s">
        <v>966</v>
      </c>
      <c r="I6038" t="s">
        <v>23</v>
      </c>
      <c r="J6038" t="s">
        <v>35</v>
      </c>
      <c r="K6038" s="2" t="s">
        <v>2693</v>
      </c>
      <c r="L6038" t="s">
        <v>26</v>
      </c>
      <c r="M6038">
        <v>329747</v>
      </c>
      <c r="N6038">
        <v>1</v>
      </c>
      <c r="O6038" s="3">
        <v>74950</v>
      </c>
      <c r="P6038" s="3">
        <v>27299</v>
      </c>
      <c r="Q6038" s="5">
        <f t="shared" si="282"/>
        <v>62983.193277310929</v>
      </c>
      <c r="R6038" s="5">
        <f t="shared" si="283"/>
        <v>27299</v>
      </c>
      <c r="S6038" s="5">
        <f t="shared" si="284"/>
        <v>35684.193277310929</v>
      </c>
    </row>
    <row r="6039" spans="1:19" hidden="1" x14ac:dyDescent="0.3">
      <c r="A6039">
        <v>200</v>
      </c>
      <c r="B6039" t="s">
        <v>6336</v>
      </c>
      <c r="C6039" t="s">
        <v>3281</v>
      </c>
      <c r="D6039" s="2" t="s">
        <v>3282</v>
      </c>
      <c r="E6039" t="s">
        <v>3283</v>
      </c>
      <c r="F6039" t="s">
        <v>20</v>
      </c>
      <c r="G6039" t="s">
        <v>21</v>
      </c>
      <c r="H6039" t="s">
        <v>2494</v>
      </c>
      <c r="I6039" t="s">
        <v>23</v>
      </c>
      <c r="J6039" t="s">
        <v>40</v>
      </c>
      <c r="K6039" s="2" t="s">
        <v>2693</v>
      </c>
      <c r="L6039" t="s">
        <v>26</v>
      </c>
      <c r="M6039">
        <v>329748</v>
      </c>
      <c r="N6039">
        <v>1</v>
      </c>
      <c r="O6039" s="3">
        <v>69950</v>
      </c>
      <c r="P6039" s="3">
        <v>23470</v>
      </c>
      <c r="Q6039" s="5">
        <f t="shared" si="282"/>
        <v>58781.512605042022</v>
      </c>
      <c r="R6039" s="5">
        <f t="shared" si="283"/>
        <v>23470</v>
      </c>
      <c r="S6039" s="5">
        <f t="shared" si="284"/>
        <v>35311.512605042022</v>
      </c>
    </row>
    <row r="6040" spans="1:19" hidden="1" x14ac:dyDescent="0.3">
      <c r="A6040">
        <v>200</v>
      </c>
      <c r="B6040" t="s">
        <v>6336</v>
      </c>
      <c r="C6040" t="s">
        <v>3401</v>
      </c>
      <c r="D6040" s="2" t="s">
        <v>3402</v>
      </c>
      <c r="E6040" t="s">
        <v>3403</v>
      </c>
      <c r="F6040" t="s">
        <v>377</v>
      </c>
      <c r="G6040" t="s">
        <v>21</v>
      </c>
      <c r="H6040" t="s">
        <v>378</v>
      </c>
      <c r="I6040" t="s">
        <v>23</v>
      </c>
      <c r="J6040" t="s">
        <v>3297</v>
      </c>
      <c r="K6040" s="2" t="s">
        <v>2693</v>
      </c>
      <c r="L6040" t="s">
        <v>26</v>
      </c>
      <c r="M6040">
        <v>329748</v>
      </c>
      <c r="N6040">
        <v>1</v>
      </c>
      <c r="O6040">
        <v>500</v>
      </c>
      <c r="P6040">
        <v>418</v>
      </c>
      <c r="Q6040" s="5">
        <f t="shared" si="282"/>
        <v>420.1680672268908</v>
      </c>
      <c r="R6040" s="5">
        <f t="shared" si="283"/>
        <v>418</v>
      </c>
      <c r="S6040" s="5">
        <f t="shared" si="284"/>
        <v>2.1680672268907983</v>
      </c>
    </row>
    <row r="6041" spans="1:19" hidden="1" x14ac:dyDescent="0.3">
      <c r="A6041">
        <v>200</v>
      </c>
      <c r="B6041" t="s">
        <v>6336</v>
      </c>
      <c r="C6041" t="s">
        <v>4010</v>
      </c>
      <c r="D6041" s="2" t="s">
        <v>4011</v>
      </c>
      <c r="E6041" t="s">
        <v>1428</v>
      </c>
      <c r="F6041" t="s">
        <v>20</v>
      </c>
      <c r="G6041" t="s">
        <v>21</v>
      </c>
      <c r="H6041" t="s">
        <v>57</v>
      </c>
      <c r="I6041" t="s">
        <v>23</v>
      </c>
      <c r="J6041" t="s">
        <v>35</v>
      </c>
      <c r="K6041" s="2" t="s">
        <v>2693</v>
      </c>
      <c r="L6041" t="s">
        <v>26</v>
      </c>
      <c r="M6041">
        <v>329749</v>
      </c>
      <c r="N6041">
        <v>1</v>
      </c>
      <c r="O6041" s="3">
        <v>76450</v>
      </c>
      <c r="P6041" s="3">
        <v>31700</v>
      </c>
      <c r="Q6041" s="5">
        <f t="shared" si="282"/>
        <v>64243.697478991598</v>
      </c>
      <c r="R6041" s="5">
        <f t="shared" si="283"/>
        <v>31700</v>
      </c>
      <c r="S6041" s="5">
        <f t="shared" si="284"/>
        <v>32543.697478991598</v>
      </c>
    </row>
    <row r="6042" spans="1:19" hidden="1" x14ac:dyDescent="0.3">
      <c r="A6042">
        <v>200</v>
      </c>
      <c r="B6042" t="s">
        <v>6336</v>
      </c>
      <c r="C6042" t="s">
        <v>3487</v>
      </c>
      <c r="D6042" s="2" t="s">
        <v>3488</v>
      </c>
      <c r="E6042" t="s">
        <v>2795</v>
      </c>
      <c r="F6042" t="s">
        <v>20</v>
      </c>
      <c r="G6042" t="s">
        <v>21</v>
      </c>
      <c r="H6042" t="s">
        <v>57</v>
      </c>
      <c r="I6042" t="s">
        <v>23</v>
      </c>
      <c r="J6042" t="s">
        <v>35</v>
      </c>
      <c r="K6042" s="2" t="s">
        <v>2693</v>
      </c>
      <c r="L6042" t="s">
        <v>26</v>
      </c>
      <c r="M6042">
        <v>329749</v>
      </c>
      <c r="N6042">
        <v>1</v>
      </c>
      <c r="O6042" s="3">
        <v>89950</v>
      </c>
      <c r="P6042" s="3">
        <v>31783</v>
      </c>
      <c r="Q6042" s="5">
        <f t="shared" si="282"/>
        <v>75588.23529411765</v>
      </c>
      <c r="R6042" s="5">
        <f t="shared" si="283"/>
        <v>31783</v>
      </c>
      <c r="S6042" s="5">
        <f t="shared" si="284"/>
        <v>43805.23529411765</v>
      </c>
    </row>
    <row r="6043" spans="1:19" hidden="1" x14ac:dyDescent="0.3">
      <c r="A6043">
        <v>200</v>
      </c>
      <c r="B6043" t="s">
        <v>6336</v>
      </c>
      <c r="C6043" t="s">
        <v>6410</v>
      </c>
      <c r="D6043" s="2" t="s">
        <v>6411</v>
      </c>
      <c r="E6043" t="s">
        <v>6412</v>
      </c>
      <c r="F6043" t="s">
        <v>20</v>
      </c>
      <c r="G6043" t="s">
        <v>21</v>
      </c>
      <c r="H6043" t="s">
        <v>1282</v>
      </c>
      <c r="I6043" t="s">
        <v>23</v>
      </c>
      <c r="J6043" t="s">
        <v>40</v>
      </c>
      <c r="K6043" s="2" t="s">
        <v>2693</v>
      </c>
      <c r="L6043" t="s">
        <v>26</v>
      </c>
      <c r="M6043">
        <v>329750</v>
      </c>
      <c r="N6043">
        <v>1</v>
      </c>
      <c r="O6043" s="3">
        <v>29990</v>
      </c>
      <c r="P6043" s="3">
        <v>13161</v>
      </c>
      <c r="Q6043" s="5">
        <f t="shared" si="282"/>
        <v>25201.680672268907</v>
      </c>
      <c r="R6043" s="5">
        <f t="shared" si="283"/>
        <v>13161</v>
      </c>
      <c r="S6043" s="5">
        <f t="shared" si="284"/>
        <v>12040.680672268907</v>
      </c>
    </row>
    <row r="6044" spans="1:19" hidden="1" x14ac:dyDescent="0.3">
      <c r="A6044">
        <v>200</v>
      </c>
      <c r="B6044" t="s">
        <v>6336</v>
      </c>
      <c r="C6044" t="s">
        <v>4886</v>
      </c>
      <c r="D6044" s="2" t="s">
        <v>4887</v>
      </c>
      <c r="E6044" t="s">
        <v>4060</v>
      </c>
      <c r="F6044" t="s">
        <v>20</v>
      </c>
      <c r="G6044" t="s">
        <v>338</v>
      </c>
      <c r="H6044">
        <v>23726</v>
      </c>
      <c r="I6044" t="s">
        <v>23</v>
      </c>
      <c r="J6044" t="s">
        <v>40</v>
      </c>
      <c r="K6044" s="2" t="s">
        <v>2693</v>
      </c>
      <c r="L6044" t="s">
        <v>26</v>
      </c>
      <c r="M6044">
        <v>329751</v>
      </c>
      <c r="N6044">
        <v>1</v>
      </c>
      <c r="O6044" s="3">
        <v>89950</v>
      </c>
      <c r="P6044" s="3">
        <v>29798</v>
      </c>
      <c r="Q6044" s="5">
        <f t="shared" si="282"/>
        <v>75588.23529411765</v>
      </c>
      <c r="R6044" s="5">
        <f t="shared" si="283"/>
        <v>29798</v>
      </c>
      <c r="S6044" s="5">
        <f t="shared" si="284"/>
        <v>45790.23529411765</v>
      </c>
    </row>
    <row r="6045" spans="1:19" hidden="1" x14ac:dyDescent="0.3">
      <c r="A6045">
        <v>200</v>
      </c>
      <c r="B6045" t="s">
        <v>6336</v>
      </c>
      <c r="C6045" t="s">
        <v>4262</v>
      </c>
      <c r="D6045" s="2" t="s">
        <v>4263</v>
      </c>
      <c r="E6045" t="s">
        <v>3757</v>
      </c>
      <c r="F6045" t="s">
        <v>20</v>
      </c>
      <c r="G6045" t="s">
        <v>338</v>
      </c>
      <c r="H6045">
        <v>23732</v>
      </c>
      <c r="I6045" t="s">
        <v>23</v>
      </c>
      <c r="J6045" t="s">
        <v>40</v>
      </c>
      <c r="K6045" s="2" t="s">
        <v>2693</v>
      </c>
      <c r="L6045" t="s">
        <v>26</v>
      </c>
      <c r="M6045">
        <v>329751</v>
      </c>
      <c r="N6045">
        <v>1</v>
      </c>
      <c r="O6045" s="3">
        <v>79950</v>
      </c>
      <c r="P6045" s="3">
        <v>26539</v>
      </c>
      <c r="Q6045" s="5">
        <f t="shared" si="282"/>
        <v>67184.873949579836</v>
      </c>
      <c r="R6045" s="5">
        <f t="shared" si="283"/>
        <v>26539</v>
      </c>
      <c r="S6045" s="5">
        <f t="shared" si="284"/>
        <v>40645.873949579836</v>
      </c>
    </row>
    <row r="6046" spans="1:19" hidden="1" x14ac:dyDescent="0.3">
      <c r="A6046">
        <v>200</v>
      </c>
      <c r="B6046" t="s">
        <v>6336</v>
      </c>
      <c r="C6046" t="s">
        <v>3401</v>
      </c>
      <c r="D6046" s="2" t="s">
        <v>3402</v>
      </c>
      <c r="E6046" t="s">
        <v>3403</v>
      </c>
      <c r="F6046" t="s">
        <v>377</v>
      </c>
      <c r="G6046" t="s">
        <v>21</v>
      </c>
      <c r="H6046" t="s">
        <v>378</v>
      </c>
      <c r="I6046" t="s">
        <v>23</v>
      </c>
      <c r="J6046" t="s">
        <v>3297</v>
      </c>
      <c r="K6046" s="2" t="s">
        <v>2693</v>
      </c>
      <c r="L6046" t="s">
        <v>26</v>
      </c>
      <c r="M6046">
        <v>329751</v>
      </c>
      <c r="N6046">
        <v>1</v>
      </c>
      <c r="O6046">
        <v>500</v>
      </c>
      <c r="P6046">
        <v>418</v>
      </c>
      <c r="Q6046" s="5">
        <f t="shared" si="282"/>
        <v>420.1680672268908</v>
      </c>
      <c r="R6046" s="5">
        <f t="shared" si="283"/>
        <v>418</v>
      </c>
      <c r="S6046" s="5">
        <f t="shared" si="284"/>
        <v>2.1680672268907983</v>
      </c>
    </row>
    <row r="6047" spans="1:19" hidden="1" x14ac:dyDescent="0.3">
      <c r="A6047">
        <v>200</v>
      </c>
      <c r="B6047" t="s">
        <v>6336</v>
      </c>
      <c r="C6047" t="s">
        <v>2806</v>
      </c>
      <c r="D6047" s="2" t="s">
        <v>2807</v>
      </c>
      <c r="E6047" t="s">
        <v>1754</v>
      </c>
      <c r="F6047" t="s">
        <v>20</v>
      </c>
      <c r="G6047" t="s">
        <v>21</v>
      </c>
      <c r="H6047" t="s">
        <v>1755</v>
      </c>
      <c r="I6047" t="s">
        <v>23</v>
      </c>
      <c r="J6047" t="s">
        <v>40</v>
      </c>
      <c r="K6047" s="2" t="s">
        <v>2693</v>
      </c>
      <c r="L6047" t="s">
        <v>26</v>
      </c>
      <c r="M6047">
        <v>329752</v>
      </c>
      <c r="N6047">
        <v>1</v>
      </c>
      <c r="O6047" s="3">
        <v>39990</v>
      </c>
      <c r="P6047" s="3">
        <v>28528</v>
      </c>
      <c r="Q6047" s="5">
        <f t="shared" si="282"/>
        <v>33605.042016806721</v>
      </c>
      <c r="R6047" s="5">
        <f t="shared" si="283"/>
        <v>28528</v>
      </c>
      <c r="S6047" s="5">
        <f t="shared" si="284"/>
        <v>5077.0420168067212</v>
      </c>
    </row>
    <row r="6048" spans="1:19" hidden="1" x14ac:dyDescent="0.3">
      <c r="A6048">
        <v>200</v>
      </c>
      <c r="B6048" t="s">
        <v>6336</v>
      </c>
      <c r="C6048" t="s">
        <v>2774</v>
      </c>
      <c r="D6048" s="2" t="s">
        <v>2775</v>
      </c>
      <c r="E6048" t="s">
        <v>266</v>
      </c>
      <c r="F6048" t="s">
        <v>20</v>
      </c>
      <c r="G6048" t="s">
        <v>21</v>
      </c>
      <c r="H6048" t="s">
        <v>267</v>
      </c>
      <c r="I6048" t="s">
        <v>23</v>
      </c>
      <c r="J6048" t="s">
        <v>49</v>
      </c>
      <c r="K6048" s="2" t="s">
        <v>2693</v>
      </c>
      <c r="L6048" t="s">
        <v>26</v>
      </c>
      <c r="M6048">
        <v>329752</v>
      </c>
      <c r="N6048">
        <v>1</v>
      </c>
      <c r="O6048" s="3">
        <v>64950</v>
      </c>
      <c r="P6048" s="3">
        <v>24504</v>
      </c>
      <c r="Q6048" s="5">
        <f t="shared" si="282"/>
        <v>54579.831932773115</v>
      </c>
      <c r="R6048" s="5">
        <f t="shared" si="283"/>
        <v>24504</v>
      </c>
      <c r="S6048" s="5">
        <f t="shared" si="284"/>
        <v>30075.831932773115</v>
      </c>
    </row>
    <row r="6049" spans="1:19" hidden="1" x14ac:dyDescent="0.3">
      <c r="A6049">
        <v>200</v>
      </c>
      <c r="B6049" t="s">
        <v>6336</v>
      </c>
      <c r="C6049" t="s">
        <v>3273</v>
      </c>
      <c r="D6049" s="2" t="s">
        <v>3274</v>
      </c>
      <c r="E6049" t="s">
        <v>499</v>
      </c>
      <c r="F6049" t="s">
        <v>20</v>
      </c>
      <c r="G6049" t="s">
        <v>21</v>
      </c>
      <c r="H6049" t="s">
        <v>500</v>
      </c>
      <c r="I6049" t="s">
        <v>23</v>
      </c>
      <c r="J6049" t="s">
        <v>40</v>
      </c>
      <c r="K6049" s="2" t="s">
        <v>2693</v>
      </c>
      <c r="L6049" t="s">
        <v>26</v>
      </c>
      <c r="M6049">
        <v>329752</v>
      </c>
      <c r="N6049">
        <v>1</v>
      </c>
      <c r="O6049" s="3">
        <v>59950</v>
      </c>
      <c r="P6049" s="3">
        <v>17416</v>
      </c>
      <c r="Q6049" s="5">
        <f t="shared" si="282"/>
        <v>50378.151260504201</v>
      </c>
      <c r="R6049" s="5">
        <f t="shared" si="283"/>
        <v>17416</v>
      </c>
      <c r="S6049" s="5">
        <f t="shared" si="284"/>
        <v>32962.151260504201</v>
      </c>
    </row>
    <row r="6050" spans="1:19" hidden="1" x14ac:dyDescent="0.3">
      <c r="A6050">
        <v>200</v>
      </c>
      <c r="B6050" t="s">
        <v>6336</v>
      </c>
      <c r="C6050" t="s">
        <v>5754</v>
      </c>
      <c r="D6050" s="2" t="s">
        <v>5755</v>
      </c>
      <c r="E6050" t="s">
        <v>2490</v>
      </c>
      <c r="F6050" t="s">
        <v>20</v>
      </c>
      <c r="G6050" t="s">
        <v>21</v>
      </c>
      <c r="H6050" t="s">
        <v>44</v>
      </c>
      <c r="I6050" t="s">
        <v>23</v>
      </c>
      <c r="J6050" t="s">
        <v>40</v>
      </c>
      <c r="K6050" s="2" t="s">
        <v>2693</v>
      </c>
      <c r="L6050" t="s">
        <v>26</v>
      </c>
      <c r="M6050">
        <v>329752</v>
      </c>
      <c r="N6050">
        <v>1</v>
      </c>
      <c r="O6050" s="3">
        <v>39990</v>
      </c>
      <c r="P6050" s="3">
        <v>15254</v>
      </c>
      <c r="Q6050" s="5">
        <f t="shared" si="282"/>
        <v>33605.042016806721</v>
      </c>
      <c r="R6050" s="5">
        <f t="shared" si="283"/>
        <v>15254</v>
      </c>
      <c r="S6050" s="5">
        <f t="shared" si="284"/>
        <v>18351.042016806721</v>
      </c>
    </row>
    <row r="6051" spans="1:19" hidden="1" x14ac:dyDescent="0.3">
      <c r="A6051">
        <v>200</v>
      </c>
      <c r="B6051" t="s">
        <v>6336</v>
      </c>
      <c r="C6051" t="s">
        <v>6413</v>
      </c>
      <c r="D6051" s="2" t="s">
        <v>6414</v>
      </c>
      <c r="E6051" t="s">
        <v>6415</v>
      </c>
      <c r="F6051" t="s">
        <v>377</v>
      </c>
      <c r="G6051" t="s">
        <v>21</v>
      </c>
      <c r="H6051" t="s">
        <v>378</v>
      </c>
      <c r="I6051" t="s">
        <v>23</v>
      </c>
      <c r="J6051" t="s">
        <v>5704</v>
      </c>
      <c r="K6051" s="2" t="s">
        <v>2693</v>
      </c>
      <c r="L6051" t="s">
        <v>26</v>
      </c>
      <c r="M6051">
        <v>329752</v>
      </c>
      <c r="N6051">
        <v>1</v>
      </c>
      <c r="O6051" s="3">
        <v>4450</v>
      </c>
      <c r="P6051" s="3">
        <v>2017</v>
      </c>
      <c r="Q6051" s="5">
        <f t="shared" si="282"/>
        <v>3739.4957983193281</v>
      </c>
      <c r="R6051" s="5">
        <f t="shared" si="283"/>
        <v>2017</v>
      </c>
      <c r="S6051" s="5">
        <f t="shared" si="284"/>
        <v>1722.4957983193281</v>
      </c>
    </row>
    <row r="6052" spans="1:19" hidden="1" x14ac:dyDescent="0.3">
      <c r="A6052">
        <v>200</v>
      </c>
      <c r="B6052" t="s">
        <v>6336</v>
      </c>
      <c r="C6052" t="s">
        <v>6416</v>
      </c>
      <c r="D6052" s="2" t="s">
        <v>6417</v>
      </c>
      <c r="E6052" t="s">
        <v>6418</v>
      </c>
      <c r="F6052" t="s">
        <v>377</v>
      </c>
      <c r="G6052" t="s">
        <v>21</v>
      </c>
      <c r="H6052" t="s">
        <v>378</v>
      </c>
      <c r="I6052" t="s">
        <v>23</v>
      </c>
      <c r="J6052" t="s">
        <v>5704</v>
      </c>
      <c r="K6052" s="2" t="s">
        <v>2693</v>
      </c>
      <c r="L6052" t="s">
        <v>26</v>
      </c>
      <c r="M6052">
        <v>329752</v>
      </c>
      <c r="N6052">
        <v>1</v>
      </c>
      <c r="O6052" s="3">
        <v>4450</v>
      </c>
      <c r="P6052" s="3">
        <v>2017</v>
      </c>
      <c r="Q6052" s="5">
        <f t="shared" si="282"/>
        <v>3739.4957983193281</v>
      </c>
      <c r="R6052" s="5">
        <f t="shared" si="283"/>
        <v>2017</v>
      </c>
      <c r="S6052" s="5">
        <f t="shared" si="284"/>
        <v>1722.4957983193281</v>
      </c>
    </row>
    <row r="6053" spans="1:19" hidden="1" x14ac:dyDescent="0.3">
      <c r="A6053">
        <v>200</v>
      </c>
      <c r="B6053" t="s">
        <v>6336</v>
      </c>
      <c r="C6053" t="s">
        <v>6419</v>
      </c>
      <c r="D6053" s="2" t="s">
        <v>6420</v>
      </c>
      <c r="E6053" t="s">
        <v>664</v>
      </c>
      <c r="F6053" t="s">
        <v>20</v>
      </c>
      <c r="G6053" t="s">
        <v>21</v>
      </c>
      <c r="H6053" t="s">
        <v>557</v>
      </c>
      <c r="I6053" t="s">
        <v>23</v>
      </c>
      <c r="J6053" t="s">
        <v>40</v>
      </c>
      <c r="K6053" s="2" t="s">
        <v>2693</v>
      </c>
      <c r="L6053" t="s">
        <v>26</v>
      </c>
      <c r="M6053">
        <v>329753</v>
      </c>
      <c r="N6053">
        <v>1</v>
      </c>
      <c r="O6053" s="3">
        <v>49990</v>
      </c>
      <c r="P6053" s="3">
        <v>28049</v>
      </c>
      <c r="Q6053" s="5">
        <f t="shared" si="282"/>
        <v>42008.403361344543</v>
      </c>
      <c r="R6053" s="5">
        <f t="shared" si="283"/>
        <v>28049</v>
      </c>
      <c r="S6053" s="5">
        <f t="shared" si="284"/>
        <v>13959.403361344543</v>
      </c>
    </row>
    <row r="6054" spans="1:19" hidden="1" x14ac:dyDescent="0.3">
      <c r="A6054">
        <v>200</v>
      </c>
      <c r="B6054" t="s">
        <v>6336</v>
      </c>
      <c r="C6054" t="s">
        <v>3266</v>
      </c>
      <c r="D6054" s="2" t="s">
        <v>3267</v>
      </c>
      <c r="E6054" t="s">
        <v>3268</v>
      </c>
      <c r="F6054" t="s">
        <v>20</v>
      </c>
      <c r="G6054" t="s">
        <v>21</v>
      </c>
      <c r="H6054" t="s">
        <v>2189</v>
      </c>
      <c r="I6054" t="s">
        <v>23</v>
      </c>
      <c r="J6054" t="s">
        <v>40</v>
      </c>
      <c r="K6054" s="2" t="s">
        <v>2693</v>
      </c>
      <c r="L6054" t="s">
        <v>26</v>
      </c>
      <c r="M6054">
        <v>329753</v>
      </c>
      <c r="N6054">
        <v>1</v>
      </c>
      <c r="O6054" s="3">
        <v>74950</v>
      </c>
      <c r="P6054" s="3">
        <v>27729</v>
      </c>
      <c r="Q6054" s="5">
        <f t="shared" si="282"/>
        <v>62983.193277310929</v>
      </c>
      <c r="R6054" s="5">
        <f t="shared" si="283"/>
        <v>27729</v>
      </c>
      <c r="S6054" s="5">
        <f t="shared" si="284"/>
        <v>35254.193277310929</v>
      </c>
    </row>
    <row r="6055" spans="1:19" hidden="1" x14ac:dyDescent="0.3">
      <c r="A6055">
        <v>200</v>
      </c>
      <c r="B6055" t="s">
        <v>6336</v>
      </c>
      <c r="C6055" t="s">
        <v>2818</v>
      </c>
      <c r="D6055" s="2" t="s">
        <v>2819</v>
      </c>
      <c r="E6055" t="s">
        <v>2820</v>
      </c>
      <c r="F6055" t="s">
        <v>20</v>
      </c>
      <c r="G6055" t="s">
        <v>21</v>
      </c>
      <c r="H6055" t="s">
        <v>2821</v>
      </c>
      <c r="I6055" t="s">
        <v>23</v>
      </c>
      <c r="J6055" t="s">
        <v>40</v>
      </c>
      <c r="K6055" s="2" t="s">
        <v>2693</v>
      </c>
      <c r="L6055" t="s">
        <v>26</v>
      </c>
      <c r="M6055">
        <v>329754</v>
      </c>
      <c r="N6055">
        <v>1</v>
      </c>
      <c r="O6055" s="3">
        <v>79950</v>
      </c>
      <c r="P6055" s="3">
        <v>32843</v>
      </c>
      <c r="Q6055" s="5">
        <f t="shared" si="282"/>
        <v>67184.873949579836</v>
      </c>
      <c r="R6055" s="5">
        <f t="shared" si="283"/>
        <v>32843</v>
      </c>
      <c r="S6055" s="5">
        <f t="shared" si="284"/>
        <v>34341.873949579836</v>
      </c>
    </row>
    <row r="6056" spans="1:19" hidden="1" x14ac:dyDescent="0.3">
      <c r="A6056">
        <v>200</v>
      </c>
      <c r="B6056" t="s">
        <v>6336</v>
      </c>
      <c r="C6056" t="s">
        <v>6421</v>
      </c>
      <c r="D6056" s="2" t="s">
        <v>6422</v>
      </c>
      <c r="E6056" t="s">
        <v>4537</v>
      </c>
      <c r="F6056" t="s">
        <v>20</v>
      </c>
      <c r="G6056" t="s">
        <v>21</v>
      </c>
      <c r="H6056" t="s">
        <v>2759</v>
      </c>
      <c r="I6056" t="s">
        <v>23</v>
      </c>
      <c r="J6056" t="s">
        <v>49</v>
      </c>
      <c r="K6056" s="2" t="s">
        <v>2693</v>
      </c>
      <c r="L6056" t="s">
        <v>26</v>
      </c>
      <c r="M6056">
        <v>329755</v>
      </c>
      <c r="N6056">
        <v>1</v>
      </c>
      <c r="O6056" s="3">
        <v>79950</v>
      </c>
      <c r="P6056" s="3">
        <v>33694</v>
      </c>
      <c r="Q6056" s="5">
        <f t="shared" si="282"/>
        <v>67184.873949579836</v>
      </c>
      <c r="R6056" s="5">
        <f t="shared" si="283"/>
        <v>33694</v>
      </c>
      <c r="S6056" s="5">
        <f t="shared" si="284"/>
        <v>33490.873949579836</v>
      </c>
    </row>
    <row r="6057" spans="1:19" hidden="1" x14ac:dyDescent="0.3">
      <c r="A6057">
        <v>200</v>
      </c>
      <c r="B6057" t="s">
        <v>6336</v>
      </c>
      <c r="C6057" t="s">
        <v>3401</v>
      </c>
      <c r="D6057" s="2" t="s">
        <v>3402</v>
      </c>
      <c r="E6057" t="s">
        <v>3403</v>
      </c>
      <c r="F6057" t="s">
        <v>377</v>
      </c>
      <c r="G6057" t="s">
        <v>21</v>
      </c>
      <c r="H6057" t="s">
        <v>378</v>
      </c>
      <c r="I6057" t="s">
        <v>23</v>
      </c>
      <c r="J6057" t="s">
        <v>3297</v>
      </c>
      <c r="K6057" s="2" t="s">
        <v>2693</v>
      </c>
      <c r="L6057" t="s">
        <v>26</v>
      </c>
      <c r="M6057">
        <v>329755</v>
      </c>
      <c r="N6057">
        <v>1</v>
      </c>
      <c r="O6057">
        <v>500</v>
      </c>
      <c r="P6057">
        <v>418</v>
      </c>
      <c r="Q6057" s="5">
        <f t="shared" si="282"/>
        <v>420.1680672268908</v>
      </c>
      <c r="R6057" s="5">
        <f t="shared" si="283"/>
        <v>418</v>
      </c>
      <c r="S6057" s="5">
        <f t="shared" si="284"/>
        <v>2.1680672268907983</v>
      </c>
    </row>
    <row r="6058" spans="1:19" hidden="1" x14ac:dyDescent="0.3">
      <c r="A6058">
        <v>200</v>
      </c>
      <c r="B6058" t="s">
        <v>6336</v>
      </c>
      <c r="C6058" t="s">
        <v>426</v>
      </c>
      <c r="D6058" s="2" t="s">
        <v>427</v>
      </c>
      <c r="E6058" t="s">
        <v>428</v>
      </c>
      <c r="F6058" t="s">
        <v>20</v>
      </c>
      <c r="G6058" t="s">
        <v>21</v>
      </c>
      <c r="H6058" t="s">
        <v>429</v>
      </c>
      <c r="I6058" t="s">
        <v>23</v>
      </c>
      <c r="J6058" t="s">
        <v>49</v>
      </c>
      <c r="K6058" s="2" t="s">
        <v>2693</v>
      </c>
      <c r="L6058" t="s">
        <v>26</v>
      </c>
      <c r="M6058">
        <v>329756</v>
      </c>
      <c r="N6058">
        <v>1</v>
      </c>
      <c r="O6058" s="3">
        <v>59990</v>
      </c>
      <c r="P6058" s="3">
        <v>28897</v>
      </c>
      <c r="Q6058" s="5">
        <f t="shared" si="282"/>
        <v>50411.764705882357</v>
      </c>
      <c r="R6058" s="5">
        <f t="shared" si="283"/>
        <v>28897</v>
      </c>
      <c r="S6058" s="5">
        <f t="shared" si="284"/>
        <v>21514.764705882357</v>
      </c>
    </row>
    <row r="6059" spans="1:19" hidden="1" x14ac:dyDescent="0.3">
      <c r="A6059">
        <v>200</v>
      </c>
      <c r="B6059" t="s">
        <v>6336</v>
      </c>
      <c r="C6059" t="s">
        <v>3343</v>
      </c>
      <c r="D6059" s="2" t="s">
        <v>3344</v>
      </c>
      <c r="E6059" t="s">
        <v>3345</v>
      </c>
      <c r="F6059" t="s">
        <v>20</v>
      </c>
      <c r="G6059" t="s">
        <v>338</v>
      </c>
      <c r="H6059">
        <v>25354</v>
      </c>
      <c r="I6059" t="s">
        <v>23</v>
      </c>
      <c r="J6059" t="s">
        <v>35</v>
      </c>
      <c r="K6059" s="2" t="s">
        <v>2693</v>
      </c>
      <c r="L6059" t="s">
        <v>26</v>
      </c>
      <c r="M6059">
        <v>329757</v>
      </c>
      <c r="N6059">
        <v>1</v>
      </c>
      <c r="O6059" s="3">
        <v>69950</v>
      </c>
      <c r="P6059" s="3">
        <v>21167</v>
      </c>
      <c r="Q6059" s="5">
        <f t="shared" si="282"/>
        <v>58781.512605042022</v>
      </c>
      <c r="R6059" s="5">
        <f t="shared" si="283"/>
        <v>21167</v>
      </c>
      <c r="S6059" s="5">
        <f t="shared" si="284"/>
        <v>37614.512605042022</v>
      </c>
    </row>
    <row r="6060" spans="1:19" hidden="1" x14ac:dyDescent="0.3">
      <c r="A6060">
        <v>200</v>
      </c>
      <c r="B6060" t="s">
        <v>6336</v>
      </c>
      <c r="C6060" t="s">
        <v>6423</v>
      </c>
      <c r="D6060" s="2" t="s">
        <v>6424</v>
      </c>
      <c r="E6060" t="s">
        <v>2877</v>
      </c>
      <c r="F6060" t="s">
        <v>20</v>
      </c>
      <c r="G6060" t="s">
        <v>21</v>
      </c>
      <c r="H6060" t="s">
        <v>30</v>
      </c>
      <c r="I6060" t="s">
        <v>23</v>
      </c>
      <c r="J6060" t="s">
        <v>49</v>
      </c>
      <c r="K6060" s="2" t="s">
        <v>2751</v>
      </c>
      <c r="L6060" t="s">
        <v>26</v>
      </c>
      <c r="M6060">
        <v>329758</v>
      </c>
      <c r="N6060">
        <v>-1</v>
      </c>
      <c r="O6060" s="3">
        <v>-69950</v>
      </c>
      <c r="P6060" s="3">
        <v>26131</v>
      </c>
      <c r="Q6060" s="5">
        <f t="shared" si="282"/>
        <v>-58781.512605042022</v>
      </c>
      <c r="R6060" s="5">
        <f t="shared" si="283"/>
        <v>-26131</v>
      </c>
      <c r="S6060" s="5">
        <f t="shared" si="284"/>
        <v>-32650.512605042022</v>
      </c>
    </row>
    <row r="6061" spans="1:19" hidden="1" x14ac:dyDescent="0.3">
      <c r="A6061">
        <v>200</v>
      </c>
      <c r="B6061" t="s">
        <v>6336</v>
      </c>
      <c r="C6061" t="s">
        <v>3852</v>
      </c>
      <c r="D6061" s="2" t="s">
        <v>3853</v>
      </c>
      <c r="E6061" t="s">
        <v>990</v>
      </c>
      <c r="F6061" t="s">
        <v>20</v>
      </c>
      <c r="G6061" t="s">
        <v>21</v>
      </c>
      <c r="H6061" t="s">
        <v>991</v>
      </c>
      <c r="I6061" t="s">
        <v>23</v>
      </c>
      <c r="J6061" t="s">
        <v>49</v>
      </c>
      <c r="K6061" s="2" t="s">
        <v>2751</v>
      </c>
      <c r="L6061" t="s">
        <v>26</v>
      </c>
      <c r="M6061">
        <v>329758</v>
      </c>
      <c r="N6061">
        <v>1</v>
      </c>
      <c r="O6061" s="3">
        <v>69951</v>
      </c>
      <c r="P6061" s="3">
        <v>22162</v>
      </c>
      <c r="Q6061" s="5">
        <f t="shared" si="282"/>
        <v>58782.352941176476</v>
      </c>
      <c r="R6061" s="5">
        <f t="shared" si="283"/>
        <v>22162</v>
      </c>
      <c r="S6061" s="5">
        <f t="shared" si="284"/>
        <v>36620.352941176476</v>
      </c>
    </row>
    <row r="6062" spans="1:19" hidden="1" x14ac:dyDescent="0.3">
      <c r="A6062">
        <v>200</v>
      </c>
      <c r="B6062" t="s">
        <v>6336</v>
      </c>
      <c r="C6062" t="s">
        <v>3603</v>
      </c>
      <c r="D6062" s="2" t="s">
        <v>3604</v>
      </c>
      <c r="E6062" t="s">
        <v>428</v>
      </c>
      <c r="F6062" t="s">
        <v>20</v>
      </c>
      <c r="G6062" t="s">
        <v>21</v>
      </c>
      <c r="H6062" t="s">
        <v>429</v>
      </c>
      <c r="I6062" t="s">
        <v>23</v>
      </c>
      <c r="J6062" t="s">
        <v>49</v>
      </c>
      <c r="K6062" s="2" t="s">
        <v>2751</v>
      </c>
      <c r="L6062" t="s">
        <v>26</v>
      </c>
      <c r="M6062">
        <v>329759</v>
      </c>
      <c r="N6062">
        <v>1</v>
      </c>
      <c r="O6062" s="3">
        <v>59990</v>
      </c>
      <c r="P6062" s="3">
        <v>28718</v>
      </c>
      <c r="Q6062" s="5">
        <f t="shared" si="282"/>
        <v>50411.764705882357</v>
      </c>
      <c r="R6062" s="5">
        <f t="shared" si="283"/>
        <v>28718</v>
      </c>
      <c r="S6062" s="5">
        <f t="shared" si="284"/>
        <v>21693.764705882357</v>
      </c>
    </row>
    <row r="6063" spans="1:19" hidden="1" x14ac:dyDescent="0.3">
      <c r="A6063">
        <v>200</v>
      </c>
      <c r="B6063" t="s">
        <v>6336</v>
      </c>
      <c r="C6063" t="s">
        <v>700</v>
      </c>
      <c r="D6063" s="2" t="s">
        <v>701</v>
      </c>
      <c r="E6063" t="s">
        <v>702</v>
      </c>
      <c r="F6063" t="s">
        <v>377</v>
      </c>
      <c r="G6063" t="s">
        <v>21</v>
      </c>
      <c r="H6063" t="s">
        <v>378</v>
      </c>
      <c r="I6063" t="s">
        <v>23</v>
      </c>
      <c r="J6063" t="s">
        <v>379</v>
      </c>
      <c r="K6063" s="2" t="s">
        <v>2751</v>
      </c>
      <c r="L6063" t="s">
        <v>26</v>
      </c>
      <c r="M6063">
        <v>329760</v>
      </c>
      <c r="N6063">
        <v>1</v>
      </c>
      <c r="O6063" s="3">
        <v>4950</v>
      </c>
      <c r="P6063" s="3">
        <v>2529</v>
      </c>
      <c r="Q6063" s="5">
        <f t="shared" si="282"/>
        <v>4159.6638655462184</v>
      </c>
      <c r="R6063" s="5">
        <f t="shared" si="283"/>
        <v>2529</v>
      </c>
      <c r="S6063" s="5">
        <f t="shared" si="284"/>
        <v>1630.6638655462184</v>
      </c>
    </row>
    <row r="6064" spans="1:19" hidden="1" x14ac:dyDescent="0.3">
      <c r="A6064">
        <v>200</v>
      </c>
      <c r="B6064" t="s">
        <v>6336</v>
      </c>
      <c r="C6064" t="s">
        <v>2319</v>
      </c>
      <c r="D6064" s="2" t="s">
        <v>2320</v>
      </c>
      <c r="E6064" t="s">
        <v>954</v>
      </c>
      <c r="F6064" t="s">
        <v>20</v>
      </c>
      <c r="G6064" t="s">
        <v>21</v>
      </c>
      <c r="H6064" t="s">
        <v>557</v>
      </c>
      <c r="I6064" t="s">
        <v>23</v>
      </c>
      <c r="J6064" t="s">
        <v>40</v>
      </c>
      <c r="K6064" s="2" t="s">
        <v>2751</v>
      </c>
      <c r="L6064" t="s">
        <v>26</v>
      </c>
      <c r="M6064">
        <v>329761</v>
      </c>
      <c r="N6064">
        <v>1</v>
      </c>
      <c r="O6064" s="3">
        <v>79950</v>
      </c>
      <c r="P6064" s="3">
        <v>26791</v>
      </c>
      <c r="Q6064" s="5">
        <f t="shared" si="282"/>
        <v>67184.873949579836</v>
      </c>
      <c r="R6064" s="5">
        <f t="shared" si="283"/>
        <v>26791</v>
      </c>
      <c r="S6064" s="5">
        <f t="shared" si="284"/>
        <v>40393.873949579836</v>
      </c>
    </row>
    <row r="6065" spans="1:19" hidden="1" x14ac:dyDescent="0.3">
      <c r="A6065">
        <v>200</v>
      </c>
      <c r="B6065" t="s">
        <v>6336</v>
      </c>
      <c r="C6065" t="s">
        <v>5837</v>
      </c>
      <c r="D6065" s="2" t="s">
        <v>5838</v>
      </c>
      <c r="E6065" t="s">
        <v>2795</v>
      </c>
      <c r="F6065" t="s">
        <v>20</v>
      </c>
      <c r="G6065" t="s">
        <v>21</v>
      </c>
      <c r="H6065" t="s">
        <v>57</v>
      </c>
      <c r="I6065" t="s">
        <v>23</v>
      </c>
      <c r="J6065" t="s">
        <v>35</v>
      </c>
      <c r="K6065" s="2" t="s">
        <v>2751</v>
      </c>
      <c r="L6065" t="s">
        <v>26</v>
      </c>
      <c r="M6065">
        <v>329761</v>
      </c>
      <c r="N6065">
        <v>1</v>
      </c>
      <c r="O6065" s="3">
        <v>76450</v>
      </c>
      <c r="P6065" s="3">
        <v>31740</v>
      </c>
      <c r="Q6065" s="5">
        <f t="shared" si="282"/>
        <v>64243.697478991598</v>
      </c>
      <c r="R6065" s="5">
        <f t="shared" si="283"/>
        <v>31740</v>
      </c>
      <c r="S6065" s="5">
        <f t="shared" si="284"/>
        <v>32503.697478991598</v>
      </c>
    </row>
    <row r="6066" spans="1:19" hidden="1" x14ac:dyDescent="0.3">
      <c r="A6066">
        <v>200</v>
      </c>
      <c r="B6066" t="s">
        <v>6336</v>
      </c>
      <c r="C6066" t="s">
        <v>2258</v>
      </c>
      <c r="D6066" s="2" t="s">
        <v>2259</v>
      </c>
      <c r="E6066" t="s">
        <v>2252</v>
      </c>
      <c r="F6066" t="s">
        <v>20</v>
      </c>
      <c r="G6066" t="s">
        <v>21</v>
      </c>
      <c r="H6066" t="s">
        <v>970</v>
      </c>
      <c r="I6066" t="s">
        <v>23</v>
      </c>
      <c r="J6066" t="s">
        <v>40</v>
      </c>
      <c r="K6066" s="2" t="s">
        <v>2751</v>
      </c>
      <c r="L6066" t="s">
        <v>26</v>
      </c>
      <c r="M6066">
        <v>329762</v>
      </c>
      <c r="N6066">
        <v>1</v>
      </c>
      <c r="O6066" s="3">
        <v>59950</v>
      </c>
      <c r="P6066" s="3">
        <v>15928</v>
      </c>
      <c r="Q6066" s="5">
        <f t="shared" si="282"/>
        <v>50378.151260504201</v>
      </c>
      <c r="R6066" s="5">
        <f t="shared" si="283"/>
        <v>15928</v>
      </c>
      <c r="S6066" s="5">
        <f t="shared" si="284"/>
        <v>34450.151260504201</v>
      </c>
    </row>
    <row r="6067" spans="1:19" hidden="1" x14ac:dyDescent="0.3">
      <c r="A6067">
        <v>200</v>
      </c>
      <c r="B6067" t="s">
        <v>6336</v>
      </c>
      <c r="C6067" t="s">
        <v>6425</v>
      </c>
      <c r="D6067" s="2" t="s">
        <v>6426</v>
      </c>
      <c r="E6067" t="s">
        <v>3691</v>
      </c>
      <c r="F6067" t="s">
        <v>20</v>
      </c>
      <c r="G6067" t="s">
        <v>338</v>
      </c>
      <c r="H6067">
        <v>23727</v>
      </c>
      <c r="I6067" t="s">
        <v>23</v>
      </c>
      <c r="J6067" t="s">
        <v>40</v>
      </c>
      <c r="K6067" s="2" t="s">
        <v>2751</v>
      </c>
      <c r="L6067" t="s">
        <v>26</v>
      </c>
      <c r="M6067">
        <v>329763</v>
      </c>
      <c r="N6067">
        <v>1</v>
      </c>
      <c r="O6067" s="3">
        <v>49990</v>
      </c>
      <c r="P6067" s="3">
        <v>26539</v>
      </c>
      <c r="Q6067" s="5">
        <f t="shared" si="282"/>
        <v>42008.403361344543</v>
      </c>
      <c r="R6067" s="5">
        <f t="shared" si="283"/>
        <v>26539</v>
      </c>
      <c r="S6067" s="5">
        <f t="shared" si="284"/>
        <v>15469.403361344543</v>
      </c>
    </row>
    <row r="6068" spans="1:19" hidden="1" x14ac:dyDescent="0.3">
      <c r="A6068">
        <v>200</v>
      </c>
      <c r="B6068" t="s">
        <v>6336</v>
      </c>
      <c r="C6068" t="s">
        <v>4158</v>
      </c>
      <c r="D6068" s="2" t="s">
        <v>4159</v>
      </c>
      <c r="E6068" t="s">
        <v>3328</v>
      </c>
      <c r="F6068" t="s">
        <v>20</v>
      </c>
      <c r="G6068" t="s">
        <v>338</v>
      </c>
      <c r="H6068">
        <v>23720</v>
      </c>
      <c r="I6068" t="s">
        <v>23</v>
      </c>
      <c r="J6068" t="s">
        <v>40</v>
      </c>
      <c r="K6068" s="2" t="s">
        <v>2751</v>
      </c>
      <c r="L6068" t="s">
        <v>26</v>
      </c>
      <c r="M6068">
        <v>329764</v>
      </c>
      <c r="N6068">
        <v>1</v>
      </c>
      <c r="O6068" s="3">
        <v>59950</v>
      </c>
      <c r="P6068" s="3">
        <v>19643</v>
      </c>
      <c r="Q6068" s="5">
        <f t="shared" si="282"/>
        <v>50378.151260504201</v>
      </c>
      <c r="R6068" s="5">
        <f t="shared" si="283"/>
        <v>19643</v>
      </c>
      <c r="S6068" s="5">
        <f t="shared" si="284"/>
        <v>30735.151260504201</v>
      </c>
    </row>
    <row r="6069" spans="1:19" hidden="1" x14ac:dyDescent="0.3">
      <c r="A6069">
        <v>200</v>
      </c>
      <c r="B6069" t="s">
        <v>6336</v>
      </c>
      <c r="C6069" t="s">
        <v>3951</v>
      </c>
      <c r="D6069" s="2" t="s">
        <v>3952</v>
      </c>
      <c r="E6069" t="s">
        <v>2741</v>
      </c>
      <c r="F6069" t="s">
        <v>20</v>
      </c>
      <c r="G6069" t="s">
        <v>21</v>
      </c>
      <c r="H6069" t="s">
        <v>2494</v>
      </c>
      <c r="I6069" t="s">
        <v>23</v>
      </c>
      <c r="J6069" t="s">
        <v>40</v>
      </c>
      <c r="K6069" s="2" t="s">
        <v>2751</v>
      </c>
      <c r="L6069" t="s">
        <v>26</v>
      </c>
      <c r="M6069">
        <v>329765</v>
      </c>
      <c r="N6069">
        <v>1</v>
      </c>
      <c r="O6069" s="3">
        <v>69950</v>
      </c>
      <c r="P6069" s="3">
        <v>23470</v>
      </c>
      <c r="Q6069" s="5">
        <f t="shared" si="282"/>
        <v>58781.512605042022</v>
      </c>
      <c r="R6069" s="5">
        <f t="shared" si="283"/>
        <v>23470</v>
      </c>
      <c r="S6069" s="5">
        <f t="shared" si="284"/>
        <v>35311.512605042022</v>
      </c>
    </row>
    <row r="6070" spans="1:19" hidden="1" x14ac:dyDescent="0.3">
      <c r="A6070">
        <v>200</v>
      </c>
      <c r="B6070" t="s">
        <v>6336</v>
      </c>
      <c r="C6070" t="s">
        <v>3230</v>
      </c>
      <c r="D6070" s="2" t="s">
        <v>3231</v>
      </c>
      <c r="E6070" t="s">
        <v>3183</v>
      </c>
      <c r="F6070" t="s">
        <v>20</v>
      </c>
      <c r="G6070" t="s">
        <v>21</v>
      </c>
      <c r="H6070" t="s">
        <v>614</v>
      </c>
      <c r="I6070" t="s">
        <v>23</v>
      </c>
      <c r="J6070" t="s">
        <v>40</v>
      </c>
      <c r="K6070" s="2" t="s">
        <v>2751</v>
      </c>
      <c r="L6070" t="s">
        <v>26</v>
      </c>
      <c r="M6070">
        <v>329766</v>
      </c>
      <c r="N6070">
        <v>1</v>
      </c>
      <c r="O6070" s="3">
        <v>39990</v>
      </c>
      <c r="P6070" s="3">
        <v>17378</v>
      </c>
      <c r="Q6070" s="5">
        <f t="shared" si="282"/>
        <v>33605.042016806721</v>
      </c>
      <c r="R6070" s="5">
        <f t="shared" si="283"/>
        <v>17378</v>
      </c>
      <c r="S6070" s="5">
        <f t="shared" si="284"/>
        <v>16227.042016806721</v>
      </c>
    </row>
    <row r="6071" spans="1:19" hidden="1" x14ac:dyDescent="0.3">
      <c r="A6071">
        <v>200</v>
      </c>
      <c r="B6071" t="s">
        <v>6336</v>
      </c>
      <c r="C6071" t="s">
        <v>6427</v>
      </c>
      <c r="D6071" s="2" t="s">
        <v>6428</v>
      </c>
      <c r="E6071" t="s">
        <v>6355</v>
      </c>
      <c r="F6071" t="s">
        <v>20</v>
      </c>
      <c r="G6071" t="s">
        <v>21</v>
      </c>
      <c r="H6071" t="s">
        <v>44</v>
      </c>
      <c r="I6071" t="s">
        <v>23</v>
      </c>
      <c r="J6071" t="s">
        <v>40</v>
      </c>
      <c r="K6071" s="2" t="s">
        <v>2751</v>
      </c>
      <c r="L6071" t="s">
        <v>26</v>
      </c>
      <c r="M6071">
        <v>329766</v>
      </c>
      <c r="N6071">
        <v>1</v>
      </c>
      <c r="O6071" s="3">
        <v>39990</v>
      </c>
      <c r="P6071" s="3">
        <v>15368</v>
      </c>
      <c r="Q6071" s="5">
        <f t="shared" si="282"/>
        <v>33605.042016806721</v>
      </c>
      <c r="R6071" s="5">
        <f t="shared" si="283"/>
        <v>15368</v>
      </c>
      <c r="S6071" s="5">
        <f t="shared" si="284"/>
        <v>18237.042016806721</v>
      </c>
    </row>
    <row r="6072" spans="1:19" hidden="1" x14ac:dyDescent="0.3">
      <c r="A6072">
        <v>200</v>
      </c>
      <c r="B6072" t="s">
        <v>6336</v>
      </c>
      <c r="C6072" t="s">
        <v>3835</v>
      </c>
      <c r="D6072" s="2" t="s">
        <v>3836</v>
      </c>
      <c r="E6072" t="s">
        <v>3837</v>
      </c>
      <c r="F6072" t="s">
        <v>20</v>
      </c>
      <c r="G6072" t="s">
        <v>21</v>
      </c>
      <c r="H6072" t="s">
        <v>1457</v>
      </c>
      <c r="I6072" t="s">
        <v>23</v>
      </c>
      <c r="J6072" t="s">
        <v>40</v>
      </c>
      <c r="K6072" s="2" t="s">
        <v>2751</v>
      </c>
      <c r="L6072" t="s">
        <v>26</v>
      </c>
      <c r="M6072">
        <v>329766</v>
      </c>
      <c r="N6072">
        <v>1</v>
      </c>
      <c r="O6072" s="3">
        <v>55200</v>
      </c>
      <c r="P6072" s="3">
        <v>18239</v>
      </c>
      <c r="Q6072" s="5">
        <f t="shared" si="282"/>
        <v>46386.554621848743</v>
      </c>
      <c r="R6072" s="5">
        <f t="shared" si="283"/>
        <v>18239</v>
      </c>
      <c r="S6072" s="5">
        <f t="shared" si="284"/>
        <v>28147.554621848743</v>
      </c>
    </row>
    <row r="6073" spans="1:19" hidden="1" x14ac:dyDescent="0.3">
      <c r="A6073">
        <v>200</v>
      </c>
      <c r="B6073" t="s">
        <v>6336</v>
      </c>
      <c r="C6073" t="s">
        <v>2273</v>
      </c>
      <c r="D6073" s="2" t="s">
        <v>2274</v>
      </c>
      <c r="E6073" t="s">
        <v>2275</v>
      </c>
      <c r="F6073" t="s">
        <v>20</v>
      </c>
      <c r="G6073" t="s">
        <v>21</v>
      </c>
      <c r="H6073" t="s">
        <v>783</v>
      </c>
      <c r="I6073" t="s">
        <v>23</v>
      </c>
      <c r="J6073" t="s">
        <v>40</v>
      </c>
      <c r="K6073" s="2" t="s">
        <v>2751</v>
      </c>
      <c r="L6073" t="s">
        <v>26</v>
      </c>
      <c r="M6073">
        <v>329767</v>
      </c>
      <c r="N6073">
        <v>1</v>
      </c>
      <c r="O6073" s="3">
        <v>34990</v>
      </c>
      <c r="P6073" s="3">
        <v>17194</v>
      </c>
      <c r="Q6073" s="5">
        <f t="shared" si="282"/>
        <v>29403.361344537818</v>
      </c>
      <c r="R6073" s="5">
        <f t="shared" si="283"/>
        <v>17194</v>
      </c>
      <c r="S6073" s="5">
        <f t="shared" si="284"/>
        <v>12209.361344537818</v>
      </c>
    </row>
    <row r="6074" spans="1:19" hidden="1" x14ac:dyDescent="0.3">
      <c r="A6074">
        <v>200</v>
      </c>
      <c r="B6074" t="s">
        <v>6336</v>
      </c>
      <c r="C6074" t="s">
        <v>6429</v>
      </c>
      <c r="D6074" s="2" t="s">
        <v>6430</v>
      </c>
      <c r="E6074" t="s">
        <v>6431</v>
      </c>
      <c r="F6074" t="s">
        <v>20</v>
      </c>
      <c r="G6074" t="s">
        <v>21</v>
      </c>
      <c r="H6074" t="s">
        <v>970</v>
      </c>
      <c r="I6074" t="s">
        <v>23</v>
      </c>
      <c r="J6074" t="s">
        <v>40</v>
      </c>
      <c r="K6074" s="2" t="s">
        <v>1152</v>
      </c>
      <c r="L6074" t="s">
        <v>26</v>
      </c>
      <c r="M6074">
        <v>329768</v>
      </c>
      <c r="N6074">
        <v>1</v>
      </c>
      <c r="O6074" s="3">
        <v>34990</v>
      </c>
      <c r="P6074" s="3">
        <v>18607</v>
      </c>
      <c r="Q6074" s="5">
        <f t="shared" si="282"/>
        <v>29403.361344537818</v>
      </c>
      <c r="R6074" s="5">
        <f t="shared" si="283"/>
        <v>18607</v>
      </c>
      <c r="S6074" s="5">
        <f t="shared" si="284"/>
        <v>10796.361344537818</v>
      </c>
    </row>
    <row r="6075" spans="1:19" hidden="1" x14ac:dyDescent="0.3">
      <c r="A6075">
        <v>200</v>
      </c>
      <c r="B6075" t="s">
        <v>6336</v>
      </c>
      <c r="C6075">
        <v>1687976791</v>
      </c>
      <c r="D6075" s="2" t="s">
        <v>200</v>
      </c>
      <c r="E6075" t="s">
        <v>201</v>
      </c>
      <c r="F6075" t="s">
        <v>201</v>
      </c>
      <c r="G6075" t="s">
        <v>202</v>
      </c>
      <c r="H6075" t="s">
        <v>202</v>
      </c>
      <c r="I6075" t="s">
        <v>23</v>
      </c>
      <c r="J6075" t="s">
        <v>202</v>
      </c>
      <c r="K6075" s="2" t="s">
        <v>1152</v>
      </c>
      <c r="L6075" t="s">
        <v>26</v>
      </c>
      <c r="M6075">
        <v>329768</v>
      </c>
      <c r="N6075">
        <v>1</v>
      </c>
      <c r="O6075" s="3">
        <v>3200</v>
      </c>
      <c r="P6075">
        <v>1</v>
      </c>
      <c r="Q6075" s="5">
        <f t="shared" si="282"/>
        <v>2689.0756302521008</v>
      </c>
      <c r="R6075" s="5">
        <f t="shared" si="283"/>
        <v>1</v>
      </c>
      <c r="S6075" s="5">
        <f t="shared" si="284"/>
        <v>2688.0756302521008</v>
      </c>
    </row>
    <row r="6076" spans="1:19" hidden="1" x14ac:dyDescent="0.3">
      <c r="A6076">
        <v>200</v>
      </c>
      <c r="B6076" t="s">
        <v>6336</v>
      </c>
      <c r="C6076" t="s">
        <v>4237</v>
      </c>
      <c r="D6076" s="2" t="s">
        <v>4238</v>
      </c>
      <c r="E6076" t="s">
        <v>494</v>
      </c>
      <c r="F6076" t="s">
        <v>20</v>
      </c>
      <c r="G6076" t="s">
        <v>21</v>
      </c>
      <c r="H6076" t="s">
        <v>317</v>
      </c>
      <c r="I6076" t="s">
        <v>23</v>
      </c>
      <c r="J6076" t="s">
        <v>35</v>
      </c>
      <c r="K6076" s="2" t="s">
        <v>1152</v>
      </c>
      <c r="L6076" t="s">
        <v>26</v>
      </c>
      <c r="M6076">
        <v>329769</v>
      </c>
      <c r="N6076">
        <v>1</v>
      </c>
      <c r="O6076" s="3">
        <v>69950</v>
      </c>
      <c r="P6076" s="3">
        <v>23619</v>
      </c>
      <c r="Q6076" s="5">
        <f t="shared" si="282"/>
        <v>58781.512605042022</v>
      </c>
      <c r="R6076" s="5">
        <f t="shared" si="283"/>
        <v>23619</v>
      </c>
      <c r="S6076" s="5">
        <f t="shared" si="284"/>
        <v>35162.512605042022</v>
      </c>
    </row>
    <row r="6077" spans="1:19" hidden="1" x14ac:dyDescent="0.3">
      <c r="A6077">
        <v>200</v>
      </c>
      <c r="B6077" t="s">
        <v>6336</v>
      </c>
      <c r="C6077" t="s">
        <v>3466</v>
      </c>
      <c r="D6077" s="2" t="s">
        <v>3467</v>
      </c>
      <c r="E6077" t="s">
        <v>316</v>
      </c>
      <c r="F6077" t="s">
        <v>20</v>
      </c>
      <c r="G6077" t="s">
        <v>21</v>
      </c>
      <c r="H6077" t="s">
        <v>317</v>
      </c>
      <c r="I6077" t="s">
        <v>23</v>
      </c>
      <c r="J6077" t="s">
        <v>35</v>
      </c>
      <c r="K6077" s="2" t="s">
        <v>1152</v>
      </c>
      <c r="L6077" t="s">
        <v>26</v>
      </c>
      <c r="M6077">
        <v>329770</v>
      </c>
      <c r="N6077">
        <v>1</v>
      </c>
      <c r="O6077" s="3">
        <v>69950</v>
      </c>
      <c r="P6077" s="3">
        <v>24552</v>
      </c>
      <c r="Q6077" s="5">
        <f t="shared" si="282"/>
        <v>58781.512605042022</v>
      </c>
      <c r="R6077" s="5">
        <f t="shared" si="283"/>
        <v>24552</v>
      </c>
      <c r="S6077" s="5">
        <f t="shared" si="284"/>
        <v>34229.512605042022</v>
      </c>
    </row>
    <row r="6078" spans="1:19" hidden="1" x14ac:dyDescent="0.3">
      <c r="A6078">
        <v>200</v>
      </c>
      <c r="B6078" t="s">
        <v>6336</v>
      </c>
      <c r="C6078" t="s">
        <v>6432</v>
      </c>
      <c r="D6078" s="2" t="s">
        <v>6433</v>
      </c>
      <c r="E6078" t="s">
        <v>6434</v>
      </c>
      <c r="F6078" t="s">
        <v>20</v>
      </c>
      <c r="G6078" t="s">
        <v>21</v>
      </c>
      <c r="H6078" t="s">
        <v>5468</v>
      </c>
      <c r="I6078" t="s">
        <v>23</v>
      </c>
      <c r="J6078" t="s">
        <v>207</v>
      </c>
      <c r="K6078" s="2" t="s">
        <v>1152</v>
      </c>
      <c r="L6078" t="s">
        <v>26</v>
      </c>
      <c r="M6078">
        <v>329771</v>
      </c>
      <c r="N6078">
        <v>1</v>
      </c>
      <c r="O6078" s="3">
        <v>39990</v>
      </c>
      <c r="P6078" s="3">
        <v>31220</v>
      </c>
      <c r="Q6078" s="5">
        <f t="shared" si="282"/>
        <v>33605.042016806721</v>
      </c>
      <c r="R6078" s="5">
        <f t="shared" si="283"/>
        <v>31220</v>
      </c>
      <c r="S6078" s="5">
        <f t="shared" si="284"/>
        <v>2385.0420168067212</v>
      </c>
    </row>
    <row r="6079" spans="1:19" hidden="1" x14ac:dyDescent="0.3">
      <c r="A6079">
        <v>200</v>
      </c>
      <c r="B6079" t="s">
        <v>6336</v>
      </c>
      <c r="C6079" t="s">
        <v>2273</v>
      </c>
      <c r="D6079" s="2" t="s">
        <v>2274</v>
      </c>
      <c r="E6079" t="s">
        <v>2275</v>
      </c>
      <c r="F6079" t="s">
        <v>20</v>
      </c>
      <c r="G6079" t="s">
        <v>21</v>
      </c>
      <c r="H6079" t="s">
        <v>783</v>
      </c>
      <c r="I6079" t="s">
        <v>23</v>
      </c>
      <c r="J6079" t="s">
        <v>40</v>
      </c>
      <c r="K6079" s="2" t="s">
        <v>1152</v>
      </c>
      <c r="L6079" t="s">
        <v>26</v>
      </c>
      <c r="M6079">
        <v>329772</v>
      </c>
      <c r="N6079">
        <v>1</v>
      </c>
      <c r="O6079" s="3">
        <v>34990</v>
      </c>
      <c r="P6079" s="3">
        <v>17194</v>
      </c>
      <c r="Q6079" s="5">
        <f t="shared" si="282"/>
        <v>29403.361344537818</v>
      </c>
      <c r="R6079" s="5">
        <f t="shared" si="283"/>
        <v>17194</v>
      </c>
      <c r="S6079" s="5">
        <f t="shared" si="284"/>
        <v>12209.361344537818</v>
      </c>
    </row>
    <row r="6080" spans="1:19" hidden="1" x14ac:dyDescent="0.3">
      <c r="A6080">
        <v>200</v>
      </c>
      <c r="B6080" t="s">
        <v>6336</v>
      </c>
      <c r="C6080" t="s">
        <v>3852</v>
      </c>
      <c r="D6080" s="2" t="s">
        <v>3853</v>
      </c>
      <c r="E6080" t="s">
        <v>990</v>
      </c>
      <c r="F6080" t="s">
        <v>20</v>
      </c>
      <c r="G6080" t="s">
        <v>21</v>
      </c>
      <c r="H6080" t="s">
        <v>991</v>
      </c>
      <c r="I6080" t="s">
        <v>23</v>
      </c>
      <c r="J6080" t="s">
        <v>49</v>
      </c>
      <c r="K6080" s="2" t="s">
        <v>1152</v>
      </c>
      <c r="L6080" t="s">
        <v>26</v>
      </c>
      <c r="M6080">
        <v>329773</v>
      </c>
      <c r="N6080">
        <v>1</v>
      </c>
      <c r="O6080" s="3">
        <v>69950</v>
      </c>
      <c r="P6080" s="3">
        <v>22162</v>
      </c>
      <c r="Q6080" s="5">
        <f t="shared" si="282"/>
        <v>58781.512605042022</v>
      </c>
      <c r="R6080" s="5">
        <f t="shared" si="283"/>
        <v>22162</v>
      </c>
      <c r="S6080" s="5">
        <f t="shared" si="284"/>
        <v>36619.512605042022</v>
      </c>
    </row>
    <row r="6081" spans="1:19" hidden="1" x14ac:dyDescent="0.3">
      <c r="A6081">
        <v>200</v>
      </c>
      <c r="B6081" t="s">
        <v>6336</v>
      </c>
      <c r="C6081" t="s">
        <v>4239</v>
      </c>
      <c r="D6081" s="2" t="s">
        <v>4240</v>
      </c>
      <c r="E6081" t="s">
        <v>2539</v>
      </c>
      <c r="F6081" t="s">
        <v>20</v>
      </c>
      <c r="G6081" t="s">
        <v>21</v>
      </c>
      <c r="H6081" t="s">
        <v>966</v>
      </c>
      <c r="I6081" t="s">
        <v>23</v>
      </c>
      <c r="J6081" t="s">
        <v>35</v>
      </c>
      <c r="K6081" s="2" t="s">
        <v>1152</v>
      </c>
      <c r="L6081" t="s">
        <v>26</v>
      </c>
      <c r="M6081">
        <v>329774</v>
      </c>
      <c r="N6081">
        <v>1</v>
      </c>
      <c r="O6081" s="3">
        <v>74950</v>
      </c>
      <c r="P6081" s="3">
        <v>26729</v>
      </c>
      <c r="Q6081" s="5">
        <f t="shared" si="282"/>
        <v>62983.193277310929</v>
      </c>
      <c r="R6081" s="5">
        <f t="shared" si="283"/>
        <v>26729</v>
      </c>
      <c r="S6081" s="5">
        <f t="shared" si="284"/>
        <v>36254.193277310929</v>
      </c>
    </row>
    <row r="6082" spans="1:19" hidden="1" x14ac:dyDescent="0.3">
      <c r="A6082">
        <v>200</v>
      </c>
      <c r="B6082" t="s">
        <v>6336</v>
      </c>
      <c r="C6082" t="s">
        <v>4882</v>
      </c>
      <c r="D6082" s="2" t="s">
        <v>4883</v>
      </c>
      <c r="E6082" t="s">
        <v>3764</v>
      </c>
      <c r="F6082" t="s">
        <v>20</v>
      </c>
      <c r="G6082" t="s">
        <v>21</v>
      </c>
      <c r="H6082" t="s">
        <v>1282</v>
      </c>
      <c r="I6082" t="s">
        <v>23</v>
      </c>
      <c r="J6082" t="s">
        <v>40</v>
      </c>
      <c r="K6082" s="2" t="s">
        <v>1152</v>
      </c>
      <c r="L6082" t="s">
        <v>26</v>
      </c>
      <c r="M6082">
        <v>329774</v>
      </c>
      <c r="N6082">
        <v>1</v>
      </c>
      <c r="O6082" s="3">
        <v>49950</v>
      </c>
      <c r="P6082" s="3">
        <v>13922</v>
      </c>
      <c r="Q6082" s="5">
        <f t="shared" si="282"/>
        <v>41974.789915966387</v>
      </c>
      <c r="R6082" s="5">
        <f t="shared" si="283"/>
        <v>13922</v>
      </c>
      <c r="S6082" s="5">
        <f t="shared" si="284"/>
        <v>28052.789915966387</v>
      </c>
    </row>
    <row r="6083" spans="1:19" hidden="1" x14ac:dyDescent="0.3">
      <c r="A6083">
        <v>200</v>
      </c>
      <c r="B6083" t="s">
        <v>6336</v>
      </c>
      <c r="C6083" t="s">
        <v>3346</v>
      </c>
      <c r="D6083" s="2" t="s">
        <v>3347</v>
      </c>
      <c r="E6083" t="s">
        <v>2468</v>
      </c>
      <c r="F6083" t="s">
        <v>20</v>
      </c>
      <c r="G6083" t="s">
        <v>21</v>
      </c>
      <c r="H6083" t="s">
        <v>2469</v>
      </c>
      <c r="I6083" t="s">
        <v>23</v>
      </c>
      <c r="J6083" t="s">
        <v>49</v>
      </c>
      <c r="K6083" s="2" t="s">
        <v>1152</v>
      </c>
      <c r="L6083" t="s">
        <v>26</v>
      </c>
      <c r="M6083">
        <v>329774</v>
      </c>
      <c r="N6083">
        <v>1</v>
      </c>
      <c r="O6083" s="3">
        <v>64950</v>
      </c>
      <c r="P6083" s="3">
        <v>19047</v>
      </c>
      <c r="Q6083" s="5">
        <f t="shared" si="282"/>
        <v>54579.831932773115</v>
      </c>
      <c r="R6083" s="5">
        <f t="shared" si="283"/>
        <v>19047</v>
      </c>
      <c r="S6083" s="5">
        <f t="shared" si="284"/>
        <v>35532.831932773115</v>
      </c>
    </row>
    <row r="6084" spans="1:19" hidden="1" x14ac:dyDescent="0.3">
      <c r="A6084">
        <v>200</v>
      </c>
      <c r="B6084" t="s">
        <v>6336</v>
      </c>
      <c r="C6084" t="s">
        <v>6389</v>
      </c>
      <c r="D6084" s="2" t="s">
        <v>6390</v>
      </c>
      <c r="E6084" t="s">
        <v>2813</v>
      </c>
      <c r="F6084" t="s">
        <v>20</v>
      </c>
      <c r="G6084" t="s">
        <v>21</v>
      </c>
      <c r="H6084" t="s">
        <v>171</v>
      </c>
      <c r="I6084" t="s">
        <v>23</v>
      </c>
      <c r="J6084" t="s">
        <v>40</v>
      </c>
      <c r="K6084" s="2" t="s">
        <v>1309</v>
      </c>
      <c r="L6084" t="s">
        <v>4085</v>
      </c>
      <c r="M6084">
        <v>778</v>
      </c>
      <c r="N6084">
        <v>1</v>
      </c>
      <c r="O6084" s="3">
        <v>59990</v>
      </c>
      <c r="P6084" s="3">
        <v>29949</v>
      </c>
      <c r="Q6084" s="5">
        <f t="shared" si="282"/>
        <v>50411.764705882357</v>
      </c>
      <c r="R6084" s="5">
        <f t="shared" si="283"/>
        <v>29949</v>
      </c>
      <c r="S6084" s="5">
        <f t="shared" si="284"/>
        <v>20462.764705882357</v>
      </c>
    </row>
    <row r="6085" spans="1:19" hidden="1" x14ac:dyDescent="0.3">
      <c r="A6085">
        <v>200</v>
      </c>
      <c r="B6085" t="s">
        <v>6336</v>
      </c>
      <c r="C6085" t="s">
        <v>2960</v>
      </c>
      <c r="D6085" s="2" t="s">
        <v>2961</v>
      </c>
      <c r="E6085" t="s">
        <v>2539</v>
      </c>
      <c r="F6085" t="s">
        <v>20</v>
      </c>
      <c r="G6085" t="s">
        <v>21</v>
      </c>
      <c r="H6085" t="s">
        <v>966</v>
      </c>
      <c r="I6085" t="s">
        <v>23</v>
      </c>
      <c r="J6085" t="s">
        <v>35</v>
      </c>
      <c r="K6085" s="2" t="s">
        <v>1309</v>
      </c>
      <c r="L6085" t="s">
        <v>26</v>
      </c>
      <c r="M6085">
        <v>329775</v>
      </c>
      <c r="N6085">
        <v>1</v>
      </c>
      <c r="O6085" s="3">
        <v>74950</v>
      </c>
      <c r="P6085" s="3">
        <v>27380</v>
      </c>
      <c r="Q6085" s="5">
        <f t="shared" si="282"/>
        <v>62983.193277310929</v>
      </c>
      <c r="R6085" s="5">
        <f t="shared" si="283"/>
        <v>27380</v>
      </c>
      <c r="S6085" s="5">
        <f t="shared" si="284"/>
        <v>35603.193277310929</v>
      </c>
    </row>
    <row r="6086" spans="1:19" hidden="1" x14ac:dyDescent="0.3">
      <c r="A6086">
        <v>200</v>
      </c>
      <c r="B6086" t="s">
        <v>6336</v>
      </c>
      <c r="C6086" t="s">
        <v>1684</v>
      </c>
      <c r="D6086" s="2" t="s">
        <v>1685</v>
      </c>
      <c r="E6086" t="s">
        <v>316</v>
      </c>
      <c r="F6086" t="s">
        <v>20</v>
      </c>
      <c r="G6086" t="s">
        <v>21</v>
      </c>
      <c r="H6086" t="s">
        <v>317</v>
      </c>
      <c r="I6086" t="s">
        <v>23</v>
      </c>
      <c r="J6086" t="s">
        <v>35</v>
      </c>
      <c r="K6086" s="2" t="s">
        <v>1309</v>
      </c>
      <c r="L6086" t="s">
        <v>26</v>
      </c>
      <c r="M6086">
        <v>329776</v>
      </c>
      <c r="N6086">
        <v>1</v>
      </c>
      <c r="O6086" s="3">
        <v>69950</v>
      </c>
      <c r="P6086" s="3">
        <v>23738</v>
      </c>
      <c r="Q6086" s="5">
        <f t="shared" ref="Q6086:Q6149" si="285">O6086/1.19</f>
        <v>58781.512605042022</v>
      </c>
      <c r="R6086" s="5">
        <f t="shared" ref="R6086:R6149" si="286">N6086*P6086</f>
        <v>23738</v>
      </c>
      <c r="S6086" s="5">
        <f t="shared" ref="S6086:S6149" si="287">Q6086-R6086</f>
        <v>35043.512605042022</v>
      </c>
    </row>
    <row r="6087" spans="1:19" hidden="1" x14ac:dyDescent="0.3">
      <c r="A6087">
        <v>200</v>
      </c>
      <c r="B6087" t="s">
        <v>6336</v>
      </c>
      <c r="C6087" t="s">
        <v>6435</v>
      </c>
      <c r="D6087" s="2" t="s">
        <v>6436</v>
      </c>
      <c r="E6087" t="s">
        <v>1802</v>
      </c>
      <c r="F6087" t="s">
        <v>20</v>
      </c>
      <c r="G6087" t="s">
        <v>21</v>
      </c>
      <c r="H6087" t="s">
        <v>693</v>
      </c>
      <c r="I6087" t="s">
        <v>23</v>
      </c>
      <c r="J6087" t="s">
        <v>40</v>
      </c>
      <c r="K6087" s="2" t="s">
        <v>1309</v>
      </c>
      <c r="L6087" t="s">
        <v>26</v>
      </c>
      <c r="M6087">
        <v>329777</v>
      </c>
      <c r="N6087">
        <v>1</v>
      </c>
      <c r="O6087" s="3">
        <v>39990</v>
      </c>
      <c r="P6087" s="3">
        <v>24569</v>
      </c>
      <c r="Q6087" s="5">
        <f t="shared" si="285"/>
        <v>33605.042016806721</v>
      </c>
      <c r="R6087" s="5">
        <f t="shared" si="286"/>
        <v>24569</v>
      </c>
      <c r="S6087" s="5">
        <f t="shared" si="287"/>
        <v>9036.0420168067212</v>
      </c>
    </row>
    <row r="6088" spans="1:19" hidden="1" x14ac:dyDescent="0.3">
      <c r="A6088">
        <v>200</v>
      </c>
      <c r="B6088" t="s">
        <v>6336</v>
      </c>
      <c r="C6088" t="s">
        <v>6437</v>
      </c>
      <c r="D6088" s="2" t="s">
        <v>6438</v>
      </c>
      <c r="E6088" t="s">
        <v>3290</v>
      </c>
      <c r="F6088" t="s">
        <v>20</v>
      </c>
      <c r="G6088" t="s">
        <v>21</v>
      </c>
      <c r="H6088" t="s">
        <v>247</v>
      </c>
      <c r="I6088" t="s">
        <v>23</v>
      </c>
      <c r="J6088" t="s">
        <v>40</v>
      </c>
      <c r="K6088" s="2" t="s">
        <v>1309</v>
      </c>
      <c r="L6088" t="s">
        <v>26</v>
      </c>
      <c r="M6088">
        <v>329778</v>
      </c>
      <c r="N6088">
        <v>1</v>
      </c>
      <c r="O6088" s="3">
        <v>34990</v>
      </c>
      <c r="P6088" s="3">
        <v>18016</v>
      </c>
      <c r="Q6088" s="5">
        <f t="shared" si="285"/>
        <v>29403.361344537818</v>
      </c>
      <c r="R6088" s="5">
        <f t="shared" si="286"/>
        <v>18016</v>
      </c>
      <c r="S6088" s="5">
        <f t="shared" si="287"/>
        <v>11387.361344537818</v>
      </c>
    </row>
    <row r="6089" spans="1:19" hidden="1" x14ac:dyDescent="0.3">
      <c r="A6089">
        <v>200</v>
      </c>
      <c r="B6089" t="s">
        <v>6336</v>
      </c>
      <c r="C6089" t="s">
        <v>3049</v>
      </c>
      <c r="D6089" s="2" t="s">
        <v>3050</v>
      </c>
      <c r="E6089" t="s">
        <v>3051</v>
      </c>
      <c r="F6089" t="s">
        <v>20</v>
      </c>
      <c r="G6089" t="s">
        <v>21</v>
      </c>
      <c r="H6089" t="s">
        <v>1440</v>
      </c>
      <c r="I6089" t="s">
        <v>23</v>
      </c>
      <c r="J6089" t="s">
        <v>40</v>
      </c>
      <c r="K6089" s="2" t="s">
        <v>1309</v>
      </c>
      <c r="L6089" t="s">
        <v>26</v>
      </c>
      <c r="M6089">
        <v>329778</v>
      </c>
      <c r="N6089">
        <v>1</v>
      </c>
      <c r="O6089" s="3">
        <v>55200</v>
      </c>
      <c r="P6089" s="3">
        <v>17328</v>
      </c>
      <c r="Q6089" s="5">
        <f t="shared" si="285"/>
        <v>46386.554621848743</v>
      </c>
      <c r="R6089" s="5">
        <f t="shared" si="286"/>
        <v>17328</v>
      </c>
      <c r="S6089" s="5">
        <f t="shared" si="287"/>
        <v>29058.554621848743</v>
      </c>
    </row>
    <row r="6090" spans="1:19" hidden="1" x14ac:dyDescent="0.3">
      <c r="A6090">
        <v>200</v>
      </c>
      <c r="B6090" t="s">
        <v>6336</v>
      </c>
      <c r="C6090" t="s">
        <v>2491</v>
      </c>
      <c r="D6090" s="2" t="s">
        <v>2492</v>
      </c>
      <c r="E6090" t="s">
        <v>2493</v>
      </c>
      <c r="F6090" t="s">
        <v>20</v>
      </c>
      <c r="G6090" t="s">
        <v>21</v>
      </c>
      <c r="H6090" t="s">
        <v>2494</v>
      </c>
      <c r="I6090" t="s">
        <v>23</v>
      </c>
      <c r="J6090" t="s">
        <v>40</v>
      </c>
      <c r="K6090" s="2" t="s">
        <v>1309</v>
      </c>
      <c r="L6090" t="s">
        <v>26</v>
      </c>
      <c r="M6090">
        <v>329779</v>
      </c>
      <c r="N6090">
        <v>1</v>
      </c>
      <c r="O6090" s="3">
        <v>69950</v>
      </c>
      <c r="P6090" s="3">
        <v>22206</v>
      </c>
      <c r="Q6090" s="5">
        <f t="shared" si="285"/>
        <v>58781.512605042022</v>
      </c>
      <c r="R6090" s="5">
        <f t="shared" si="286"/>
        <v>22206</v>
      </c>
      <c r="S6090" s="5">
        <f t="shared" si="287"/>
        <v>36575.512605042022</v>
      </c>
    </row>
    <row r="6091" spans="1:19" hidden="1" x14ac:dyDescent="0.3">
      <c r="A6091">
        <v>200</v>
      </c>
      <c r="B6091" t="s">
        <v>6336</v>
      </c>
      <c r="C6091" t="s">
        <v>3401</v>
      </c>
      <c r="D6091" s="2" t="s">
        <v>3402</v>
      </c>
      <c r="E6091" t="s">
        <v>3403</v>
      </c>
      <c r="F6091" t="s">
        <v>377</v>
      </c>
      <c r="G6091" t="s">
        <v>21</v>
      </c>
      <c r="H6091" t="s">
        <v>378</v>
      </c>
      <c r="I6091" t="s">
        <v>23</v>
      </c>
      <c r="J6091" t="s">
        <v>3297</v>
      </c>
      <c r="K6091" s="2" t="s">
        <v>1309</v>
      </c>
      <c r="L6091" t="s">
        <v>26</v>
      </c>
      <c r="M6091">
        <v>329779</v>
      </c>
      <c r="N6091">
        <v>1</v>
      </c>
      <c r="O6091">
        <v>500</v>
      </c>
      <c r="P6091">
        <v>418</v>
      </c>
      <c r="Q6091" s="5">
        <f t="shared" si="285"/>
        <v>420.1680672268908</v>
      </c>
      <c r="R6091" s="5">
        <f t="shared" si="286"/>
        <v>418</v>
      </c>
      <c r="S6091" s="5">
        <f t="shared" si="287"/>
        <v>2.1680672268907983</v>
      </c>
    </row>
    <row r="6092" spans="1:19" hidden="1" x14ac:dyDescent="0.3">
      <c r="A6092">
        <v>200</v>
      </c>
      <c r="B6092" t="s">
        <v>6336</v>
      </c>
      <c r="C6092" t="s">
        <v>6439</v>
      </c>
      <c r="D6092" s="2" t="s">
        <v>6440</v>
      </c>
      <c r="E6092" t="s">
        <v>2993</v>
      </c>
      <c r="F6092" t="s">
        <v>20</v>
      </c>
      <c r="G6092" t="s">
        <v>21</v>
      </c>
      <c r="H6092" t="s">
        <v>1887</v>
      </c>
      <c r="I6092" t="s">
        <v>23</v>
      </c>
      <c r="J6092" t="s">
        <v>40</v>
      </c>
      <c r="K6092" s="2" t="s">
        <v>1309</v>
      </c>
      <c r="L6092" t="s">
        <v>26</v>
      </c>
      <c r="M6092">
        <v>329780</v>
      </c>
      <c r="N6092">
        <v>1</v>
      </c>
      <c r="O6092" s="3">
        <v>69950</v>
      </c>
      <c r="P6092" s="3">
        <v>22018</v>
      </c>
      <c r="Q6092" s="5">
        <f t="shared" si="285"/>
        <v>58781.512605042022</v>
      </c>
      <c r="R6092" s="5">
        <f t="shared" si="286"/>
        <v>22018</v>
      </c>
      <c r="S6092" s="5">
        <f t="shared" si="287"/>
        <v>36763.512605042022</v>
      </c>
    </row>
    <row r="6093" spans="1:19" hidden="1" x14ac:dyDescent="0.3">
      <c r="A6093">
        <v>200</v>
      </c>
      <c r="B6093" t="s">
        <v>6336</v>
      </c>
      <c r="C6093" t="s">
        <v>3401</v>
      </c>
      <c r="D6093" s="2" t="s">
        <v>3402</v>
      </c>
      <c r="E6093" t="s">
        <v>3403</v>
      </c>
      <c r="F6093" t="s">
        <v>377</v>
      </c>
      <c r="G6093" t="s">
        <v>21</v>
      </c>
      <c r="H6093" t="s">
        <v>378</v>
      </c>
      <c r="I6093" t="s">
        <v>23</v>
      </c>
      <c r="J6093" t="s">
        <v>3297</v>
      </c>
      <c r="K6093" s="2" t="s">
        <v>1309</v>
      </c>
      <c r="L6093" t="s">
        <v>26</v>
      </c>
      <c r="M6093">
        <v>329780</v>
      </c>
      <c r="N6093">
        <v>1</v>
      </c>
      <c r="O6093">
        <v>500</v>
      </c>
      <c r="P6093">
        <v>418</v>
      </c>
      <c r="Q6093" s="5">
        <f t="shared" si="285"/>
        <v>420.1680672268908</v>
      </c>
      <c r="R6093" s="5">
        <f t="shared" si="286"/>
        <v>418</v>
      </c>
      <c r="S6093" s="5">
        <f t="shared" si="287"/>
        <v>2.1680672268907983</v>
      </c>
    </row>
    <row r="6094" spans="1:19" hidden="1" x14ac:dyDescent="0.3">
      <c r="A6094">
        <v>200</v>
      </c>
      <c r="B6094" t="s">
        <v>6336</v>
      </c>
      <c r="C6094" t="s">
        <v>662</v>
      </c>
      <c r="D6094" s="2" t="s">
        <v>663</v>
      </c>
      <c r="E6094" t="s">
        <v>664</v>
      </c>
      <c r="F6094" t="s">
        <v>20</v>
      </c>
      <c r="G6094" t="s">
        <v>21</v>
      </c>
      <c r="H6094" t="s">
        <v>557</v>
      </c>
      <c r="I6094" t="s">
        <v>23</v>
      </c>
      <c r="J6094" t="s">
        <v>40</v>
      </c>
      <c r="K6094" s="2" t="s">
        <v>1365</v>
      </c>
      <c r="L6094" t="s">
        <v>26</v>
      </c>
      <c r="M6094">
        <v>329781</v>
      </c>
      <c r="N6094">
        <v>1</v>
      </c>
      <c r="O6094" s="3">
        <v>49990</v>
      </c>
      <c r="P6094" s="3">
        <v>28049</v>
      </c>
      <c r="Q6094" s="5">
        <f t="shared" si="285"/>
        <v>42008.403361344543</v>
      </c>
      <c r="R6094" s="5">
        <f t="shared" si="286"/>
        <v>28049</v>
      </c>
      <c r="S6094" s="5">
        <f t="shared" si="287"/>
        <v>13959.403361344543</v>
      </c>
    </row>
    <row r="6095" spans="1:19" hidden="1" x14ac:dyDescent="0.3">
      <c r="A6095">
        <v>200</v>
      </c>
      <c r="B6095" t="s">
        <v>6336</v>
      </c>
      <c r="C6095">
        <v>1687976791</v>
      </c>
      <c r="D6095" s="2" t="s">
        <v>200</v>
      </c>
      <c r="E6095" t="s">
        <v>201</v>
      </c>
      <c r="F6095" t="s">
        <v>201</v>
      </c>
      <c r="G6095" t="s">
        <v>202</v>
      </c>
      <c r="H6095" t="s">
        <v>202</v>
      </c>
      <c r="I6095" t="s">
        <v>23</v>
      </c>
      <c r="J6095" t="s">
        <v>202</v>
      </c>
      <c r="K6095" s="2" t="s">
        <v>1365</v>
      </c>
      <c r="L6095" t="s">
        <v>26</v>
      </c>
      <c r="M6095">
        <v>329781</v>
      </c>
      <c r="N6095">
        <v>1</v>
      </c>
      <c r="O6095" s="3">
        <v>8056</v>
      </c>
      <c r="P6095">
        <v>1</v>
      </c>
      <c r="Q6095" s="5">
        <f t="shared" si="285"/>
        <v>6769.7478991596645</v>
      </c>
      <c r="R6095" s="5">
        <f t="shared" si="286"/>
        <v>1</v>
      </c>
      <c r="S6095" s="5">
        <f t="shared" si="287"/>
        <v>6768.7478991596645</v>
      </c>
    </row>
    <row r="6096" spans="1:19" hidden="1" x14ac:dyDescent="0.3">
      <c r="A6096">
        <v>200</v>
      </c>
      <c r="B6096" t="s">
        <v>6336</v>
      </c>
      <c r="C6096" t="s">
        <v>6441</v>
      </c>
      <c r="D6096" s="2" t="s">
        <v>6442</v>
      </c>
      <c r="E6096" t="s">
        <v>6270</v>
      </c>
      <c r="F6096" t="s">
        <v>20</v>
      </c>
      <c r="G6096" t="s">
        <v>21</v>
      </c>
      <c r="H6096" t="s">
        <v>1282</v>
      </c>
      <c r="I6096" t="s">
        <v>23</v>
      </c>
      <c r="J6096" t="s">
        <v>40</v>
      </c>
      <c r="K6096" s="2" t="s">
        <v>1365</v>
      </c>
      <c r="L6096" t="s">
        <v>26</v>
      </c>
      <c r="M6096">
        <v>329782</v>
      </c>
      <c r="N6096">
        <v>1</v>
      </c>
      <c r="O6096" s="3">
        <v>29990</v>
      </c>
      <c r="P6096" s="3">
        <v>13161</v>
      </c>
      <c r="Q6096" s="5">
        <f t="shared" si="285"/>
        <v>25201.680672268907</v>
      </c>
      <c r="R6096" s="5">
        <f t="shared" si="286"/>
        <v>13161</v>
      </c>
      <c r="S6096" s="5">
        <f t="shared" si="287"/>
        <v>12040.680672268907</v>
      </c>
    </row>
    <row r="6097" spans="1:19" hidden="1" x14ac:dyDescent="0.3">
      <c r="A6097">
        <v>200</v>
      </c>
      <c r="B6097" t="s">
        <v>6336</v>
      </c>
      <c r="C6097">
        <v>1687976791</v>
      </c>
      <c r="D6097" s="2" t="s">
        <v>200</v>
      </c>
      <c r="E6097" t="s">
        <v>201</v>
      </c>
      <c r="F6097" t="s">
        <v>201</v>
      </c>
      <c r="G6097" t="s">
        <v>202</v>
      </c>
      <c r="H6097" t="s">
        <v>202</v>
      </c>
      <c r="I6097" t="s">
        <v>23</v>
      </c>
      <c r="J6097" t="s">
        <v>202</v>
      </c>
      <c r="K6097" s="2" t="s">
        <v>1365</v>
      </c>
      <c r="L6097" t="s">
        <v>26</v>
      </c>
      <c r="M6097">
        <v>329782</v>
      </c>
      <c r="N6097">
        <v>1</v>
      </c>
      <c r="O6097" s="3">
        <v>7438</v>
      </c>
      <c r="P6097">
        <v>1</v>
      </c>
      <c r="Q6097" s="5">
        <f t="shared" si="285"/>
        <v>6250.4201680672268</v>
      </c>
      <c r="R6097" s="5">
        <f t="shared" si="286"/>
        <v>1</v>
      </c>
      <c r="S6097" s="5">
        <f t="shared" si="287"/>
        <v>6249.4201680672268</v>
      </c>
    </row>
    <row r="6098" spans="1:19" hidden="1" x14ac:dyDescent="0.3">
      <c r="A6098">
        <v>200</v>
      </c>
      <c r="B6098" t="s">
        <v>6336</v>
      </c>
      <c r="C6098" t="s">
        <v>5165</v>
      </c>
      <c r="D6098" s="2" t="s">
        <v>5166</v>
      </c>
      <c r="E6098" t="s">
        <v>2671</v>
      </c>
      <c r="F6098" t="s">
        <v>20</v>
      </c>
      <c r="G6098" t="s">
        <v>21</v>
      </c>
      <c r="H6098" t="s">
        <v>874</v>
      </c>
      <c r="I6098" t="s">
        <v>23</v>
      </c>
      <c r="J6098" t="s">
        <v>95</v>
      </c>
      <c r="K6098" s="2" t="s">
        <v>1365</v>
      </c>
      <c r="L6098" t="s">
        <v>26</v>
      </c>
      <c r="M6098">
        <v>329783</v>
      </c>
      <c r="N6098">
        <v>1</v>
      </c>
      <c r="O6098" s="3">
        <v>39990</v>
      </c>
      <c r="P6098" s="3">
        <v>20699</v>
      </c>
      <c r="Q6098" s="5">
        <f t="shared" si="285"/>
        <v>33605.042016806721</v>
      </c>
      <c r="R6098" s="5">
        <f t="shared" si="286"/>
        <v>20699</v>
      </c>
      <c r="S6098" s="5">
        <f t="shared" si="287"/>
        <v>12906.042016806721</v>
      </c>
    </row>
    <row r="6099" spans="1:19" hidden="1" x14ac:dyDescent="0.3">
      <c r="A6099">
        <v>200</v>
      </c>
      <c r="B6099" t="s">
        <v>6336</v>
      </c>
      <c r="C6099" t="s">
        <v>3188</v>
      </c>
      <c r="D6099" s="2" t="s">
        <v>3189</v>
      </c>
      <c r="E6099" t="s">
        <v>3190</v>
      </c>
      <c r="F6099" t="s">
        <v>20</v>
      </c>
      <c r="G6099" t="s">
        <v>21</v>
      </c>
      <c r="H6099" t="s">
        <v>1440</v>
      </c>
      <c r="I6099" t="s">
        <v>23</v>
      </c>
      <c r="J6099" t="s">
        <v>40</v>
      </c>
      <c r="K6099" s="2" t="s">
        <v>1365</v>
      </c>
      <c r="L6099" t="s">
        <v>26</v>
      </c>
      <c r="M6099">
        <v>329784</v>
      </c>
      <c r="N6099">
        <v>1</v>
      </c>
      <c r="O6099" s="3">
        <v>64950</v>
      </c>
      <c r="P6099" s="3">
        <v>17328</v>
      </c>
      <c r="Q6099" s="5">
        <f t="shared" si="285"/>
        <v>54579.831932773115</v>
      </c>
      <c r="R6099" s="5">
        <f t="shared" si="286"/>
        <v>17328</v>
      </c>
      <c r="S6099" s="5">
        <f t="shared" si="287"/>
        <v>37251.831932773115</v>
      </c>
    </row>
    <row r="6100" spans="1:19" hidden="1" x14ac:dyDescent="0.3">
      <c r="A6100">
        <v>200</v>
      </c>
      <c r="B6100" t="s">
        <v>6336</v>
      </c>
      <c r="C6100" t="s">
        <v>3401</v>
      </c>
      <c r="D6100" s="2" t="s">
        <v>3402</v>
      </c>
      <c r="E6100" t="s">
        <v>3403</v>
      </c>
      <c r="F6100" t="s">
        <v>377</v>
      </c>
      <c r="G6100" t="s">
        <v>21</v>
      </c>
      <c r="H6100" t="s">
        <v>378</v>
      </c>
      <c r="I6100" t="s">
        <v>23</v>
      </c>
      <c r="J6100" t="s">
        <v>3297</v>
      </c>
      <c r="K6100" s="2" t="s">
        <v>1365</v>
      </c>
      <c r="L6100" t="s">
        <v>26</v>
      </c>
      <c r="M6100">
        <v>329784</v>
      </c>
      <c r="N6100">
        <v>1</v>
      </c>
      <c r="O6100">
        <v>500</v>
      </c>
      <c r="P6100">
        <v>418</v>
      </c>
      <c r="Q6100" s="5">
        <f t="shared" si="285"/>
        <v>420.1680672268908</v>
      </c>
      <c r="R6100" s="5">
        <f t="shared" si="286"/>
        <v>418</v>
      </c>
      <c r="S6100" s="5">
        <f t="shared" si="287"/>
        <v>2.1680672268907983</v>
      </c>
    </row>
    <row r="6101" spans="1:19" hidden="1" x14ac:dyDescent="0.3">
      <c r="A6101">
        <v>200</v>
      </c>
      <c r="B6101" t="s">
        <v>6336</v>
      </c>
      <c r="C6101" t="s">
        <v>3953</v>
      </c>
      <c r="D6101" s="2" t="s">
        <v>3954</v>
      </c>
      <c r="E6101" t="s">
        <v>2455</v>
      </c>
      <c r="F6101" t="s">
        <v>20</v>
      </c>
      <c r="G6101" t="s">
        <v>21</v>
      </c>
      <c r="H6101" t="s">
        <v>742</v>
      </c>
      <c r="I6101" t="s">
        <v>23</v>
      </c>
      <c r="J6101" t="s">
        <v>40</v>
      </c>
      <c r="K6101" s="2" t="s">
        <v>1365</v>
      </c>
      <c r="L6101" t="s">
        <v>26</v>
      </c>
      <c r="M6101">
        <v>329785</v>
      </c>
      <c r="N6101">
        <v>0</v>
      </c>
      <c r="O6101">
        <v>1</v>
      </c>
      <c r="P6101" s="3">
        <v>28572</v>
      </c>
      <c r="Q6101" s="5">
        <f t="shared" si="285"/>
        <v>0.84033613445378152</v>
      </c>
      <c r="R6101" s="5">
        <f t="shared" si="286"/>
        <v>0</v>
      </c>
      <c r="S6101" s="5">
        <f t="shared" si="287"/>
        <v>0.84033613445378152</v>
      </c>
    </row>
    <row r="6102" spans="1:19" hidden="1" x14ac:dyDescent="0.3">
      <c r="A6102">
        <v>200</v>
      </c>
      <c r="B6102" t="s">
        <v>6336</v>
      </c>
      <c r="C6102" t="s">
        <v>1968</v>
      </c>
      <c r="D6102" s="2" t="s">
        <v>1969</v>
      </c>
      <c r="E6102" t="s">
        <v>631</v>
      </c>
      <c r="F6102" t="s">
        <v>20</v>
      </c>
      <c r="G6102" t="s">
        <v>21</v>
      </c>
      <c r="H6102" t="s">
        <v>632</v>
      </c>
      <c r="I6102" t="s">
        <v>23</v>
      </c>
      <c r="J6102" t="s">
        <v>40</v>
      </c>
      <c r="K6102" s="2" t="s">
        <v>1365</v>
      </c>
      <c r="L6102" t="s">
        <v>26</v>
      </c>
      <c r="M6102">
        <v>329786</v>
      </c>
      <c r="N6102">
        <v>1</v>
      </c>
      <c r="O6102" s="3">
        <v>49950</v>
      </c>
      <c r="P6102" s="3">
        <v>19155</v>
      </c>
      <c r="Q6102" s="5">
        <f t="shared" si="285"/>
        <v>41974.789915966387</v>
      </c>
      <c r="R6102" s="5">
        <f t="shared" si="286"/>
        <v>19155</v>
      </c>
      <c r="S6102" s="5">
        <f t="shared" si="287"/>
        <v>22819.789915966387</v>
      </c>
    </row>
    <row r="6103" spans="1:19" hidden="1" x14ac:dyDescent="0.3">
      <c r="A6103">
        <v>200</v>
      </c>
      <c r="B6103" t="s">
        <v>6336</v>
      </c>
      <c r="C6103" t="s">
        <v>3401</v>
      </c>
      <c r="D6103" s="2" t="s">
        <v>3402</v>
      </c>
      <c r="E6103" t="s">
        <v>3403</v>
      </c>
      <c r="F6103" t="s">
        <v>377</v>
      </c>
      <c r="G6103" t="s">
        <v>21</v>
      </c>
      <c r="H6103" t="s">
        <v>378</v>
      </c>
      <c r="I6103" t="s">
        <v>23</v>
      </c>
      <c r="J6103" t="s">
        <v>3297</v>
      </c>
      <c r="K6103" s="2" t="s">
        <v>1365</v>
      </c>
      <c r="L6103" t="s">
        <v>26</v>
      </c>
      <c r="M6103">
        <v>329786</v>
      </c>
      <c r="N6103">
        <v>1</v>
      </c>
      <c r="O6103">
        <v>500</v>
      </c>
      <c r="P6103">
        <v>418</v>
      </c>
      <c r="Q6103" s="5">
        <f t="shared" si="285"/>
        <v>420.1680672268908</v>
      </c>
      <c r="R6103" s="5">
        <f t="shared" si="286"/>
        <v>418</v>
      </c>
      <c r="S6103" s="5">
        <f t="shared" si="287"/>
        <v>2.1680672268907983</v>
      </c>
    </row>
    <row r="6104" spans="1:19" hidden="1" x14ac:dyDescent="0.3">
      <c r="A6104">
        <v>200</v>
      </c>
      <c r="B6104" t="s">
        <v>6336</v>
      </c>
      <c r="C6104" t="s">
        <v>2049</v>
      </c>
      <c r="D6104" s="2" t="s">
        <v>2050</v>
      </c>
      <c r="E6104" t="s">
        <v>1913</v>
      </c>
      <c r="F6104" t="s">
        <v>20</v>
      </c>
      <c r="G6104" t="s">
        <v>21</v>
      </c>
      <c r="H6104" t="s">
        <v>1914</v>
      </c>
      <c r="I6104" t="s">
        <v>23</v>
      </c>
      <c r="J6104" t="s">
        <v>35</v>
      </c>
      <c r="K6104" s="2" t="s">
        <v>1365</v>
      </c>
      <c r="L6104" t="s">
        <v>26</v>
      </c>
      <c r="M6104">
        <v>329787</v>
      </c>
      <c r="N6104">
        <v>1</v>
      </c>
      <c r="O6104" s="3">
        <v>89950</v>
      </c>
      <c r="P6104" s="3">
        <v>28298</v>
      </c>
      <c r="Q6104" s="5">
        <f t="shared" si="285"/>
        <v>75588.23529411765</v>
      </c>
      <c r="R6104" s="5">
        <f t="shared" si="286"/>
        <v>28298</v>
      </c>
      <c r="S6104" s="5">
        <f t="shared" si="287"/>
        <v>47290.23529411765</v>
      </c>
    </row>
    <row r="6105" spans="1:19" hidden="1" x14ac:dyDescent="0.3">
      <c r="A6105">
        <v>200</v>
      </c>
      <c r="B6105" t="s">
        <v>6336</v>
      </c>
      <c r="C6105" t="s">
        <v>3401</v>
      </c>
      <c r="D6105" s="2" t="s">
        <v>3402</v>
      </c>
      <c r="E6105" t="s">
        <v>3403</v>
      </c>
      <c r="F6105" t="s">
        <v>377</v>
      </c>
      <c r="G6105" t="s">
        <v>21</v>
      </c>
      <c r="H6105" t="s">
        <v>378</v>
      </c>
      <c r="I6105" t="s">
        <v>23</v>
      </c>
      <c r="J6105" t="s">
        <v>3297</v>
      </c>
      <c r="K6105" s="2" t="s">
        <v>1365</v>
      </c>
      <c r="L6105" t="s">
        <v>26</v>
      </c>
      <c r="M6105">
        <v>329787</v>
      </c>
      <c r="N6105">
        <v>1</v>
      </c>
      <c r="O6105">
        <v>500</v>
      </c>
      <c r="P6105">
        <v>418</v>
      </c>
      <c r="Q6105" s="5">
        <f t="shared" si="285"/>
        <v>420.1680672268908</v>
      </c>
      <c r="R6105" s="5">
        <f t="shared" si="286"/>
        <v>418</v>
      </c>
      <c r="S6105" s="5">
        <f t="shared" si="287"/>
        <v>2.1680672268907983</v>
      </c>
    </row>
    <row r="6106" spans="1:19" hidden="1" x14ac:dyDescent="0.3">
      <c r="A6106">
        <v>200</v>
      </c>
      <c r="B6106" t="s">
        <v>6336</v>
      </c>
      <c r="C6106" t="s">
        <v>492</v>
      </c>
      <c r="D6106" s="2" t="s">
        <v>493</v>
      </c>
      <c r="E6106" t="s">
        <v>494</v>
      </c>
      <c r="F6106" t="s">
        <v>20</v>
      </c>
      <c r="G6106" t="s">
        <v>21</v>
      </c>
      <c r="H6106" t="s">
        <v>317</v>
      </c>
      <c r="I6106" t="s">
        <v>23</v>
      </c>
      <c r="J6106" t="s">
        <v>35</v>
      </c>
      <c r="K6106" s="2" t="s">
        <v>1365</v>
      </c>
      <c r="L6106" t="s">
        <v>26</v>
      </c>
      <c r="M6106">
        <v>329788</v>
      </c>
      <c r="N6106">
        <v>1</v>
      </c>
      <c r="O6106" s="3">
        <v>69950</v>
      </c>
      <c r="P6106" s="3">
        <v>23619</v>
      </c>
      <c r="Q6106" s="5">
        <f t="shared" si="285"/>
        <v>58781.512605042022</v>
      </c>
      <c r="R6106" s="5">
        <f t="shared" si="286"/>
        <v>23619</v>
      </c>
      <c r="S6106" s="5">
        <f t="shared" si="287"/>
        <v>35162.512605042022</v>
      </c>
    </row>
    <row r="6107" spans="1:19" hidden="1" x14ac:dyDescent="0.3">
      <c r="A6107">
        <v>200</v>
      </c>
      <c r="B6107" t="s">
        <v>6336</v>
      </c>
      <c r="C6107" t="s">
        <v>3401</v>
      </c>
      <c r="D6107" s="2" t="s">
        <v>3402</v>
      </c>
      <c r="E6107" t="s">
        <v>3403</v>
      </c>
      <c r="F6107" t="s">
        <v>377</v>
      </c>
      <c r="G6107" t="s">
        <v>21</v>
      </c>
      <c r="H6107" t="s">
        <v>378</v>
      </c>
      <c r="I6107" t="s">
        <v>23</v>
      </c>
      <c r="J6107" t="s">
        <v>3297</v>
      </c>
      <c r="K6107" s="2" t="s">
        <v>1365</v>
      </c>
      <c r="L6107" t="s">
        <v>26</v>
      </c>
      <c r="M6107">
        <v>329788</v>
      </c>
      <c r="N6107">
        <v>1</v>
      </c>
      <c r="O6107">
        <v>500</v>
      </c>
      <c r="P6107">
        <v>418</v>
      </c>
      <c r="Q6107" s="5">
        <f t="shared" si="285"/>
        <v>420.1680672268908</v>
      </c>
      <c r="R6107" s="5">
        <f t="shared" si="286"/>
        <v>418</v>
      </c>
      <c r="S6107" s="5">
        <f t="shared" si="287"/>
        <v>2.1680672268907983</v>
      </c>
    </row>
    <row r="6108" spans="1:19" hidden="1" x14ac:dyDescent="0.3">
      <c r="A6108">
        <v>200</v>
      </c>
      <c r="B6108" t="s">
        <v>6336</v>
      </c>
      <c r="C6108" t="s">
        <v>6443</v>
      </c>
      <c r="D6108" s="2" t="s">
        <v>6444</v>
      </c>
      <c r="E6108" t="s">
        <v>3340</v>
      </c>
      <c r="F6108" t="s">
        <v>20</v>
      </c>
      <c r="G6108" t="s">
        <v>338</v>
      </c>
      <c r="H6108">
        <v>25097</v>
      </c>
      <c r="I6108" t="s">
        <v>23</v>
      </c>
      <c r="J6108" t="s">
        <v>24</v>
      </c>
      <c r="K6108" s="2" t="s">
        <v>1365</v>
      </c>
      <c r="L6108" t="s">
        <v>26</v>
      </c>
      <c r="M6108">
        <v>329789</v>
      </c>
      <c r="N6108">
        <v>1</v>
      </c>
      <c r="O6108" s="3">
        <v>74950</v>
      </c>
      <c r="P6108" s="3">
        <v>23242</v>
      </c>
      <c r="Q6108" s="5">
        <f t="shared" si="285"/>
        <v>62983.193277310929</v>
      </c>
      <c r="R6108" s="5">
        <f t="shared" si="286"/>
        <v>23242</v>
      </c>
      <c r="S6108" s="5">
        <f t="shared" si="287"/>
        <v>39741.193277310929</v>
      </c>
    </row>
    <row r="6109" spans="1:19" hidden="1" x14ac:dyDescent="0.3">
      <c r="A6109">
        <v>200</v>
      </c>
      <c r="B6109" t="s">
        <v>6336</v>
      </c>
      <c r="C6109" t="s">
        <v>6044</v>
      </c>
      <c r="D6109" s="2" t="s">
        <v>6045</v>
      </c>
      <c r="E6109" t="s">
        <v>3472</v>
      </c>
      <c r="F6109" t="s">
        <v>20</v>
      </c>
      <c r="G6109" t="s">
        <v>338</v>
      </c>
      <c r="H6109">
        <v>25336</v>
      </c>
      <c r="I6109" t="s">
        <v>23</v>
      </c>
      <c r="J6109" t="s">
        <v>35</v>
      </c>
      <c r="K6109" s="2" t="s">
        <v>1365</v>
      </c>
      <c r="L6109" t="s">
        <v>26</v>
      </c>
      <c r="M6109">
        <v>329789</v>
      </c>
      <c r="N6109">
        <v>1</v>
      </c>
      <c r="O6109" s="3">
        <v>99950</v>
      </c>
      <c r="P6109" s="3">
        <v>31886</v>
      </c>
      <c r="Q6109" s="5">
        <f t="shared" si="285"/>
        <v>83991.596638655465</v>
      </c>
      <c r="R6109" s="5">
        <f t="shared" si="286"/>
        <v>31886</v>
      </c>
      <c r="S6109" s="5">
        <f t="shared" si="287"/>
        <v>52105.596638655465</v>
      </c>
    </row>
    <row r="6110" spans="1:19" hidden="1" x14ac:dyDescent="0.3">
      <c r="A6110">
        <v>200</v>
      </c>
      <c r="B6110" t="s">
        <v>6336</v>
      </c>
      <c r="C6110" t="s">
        <v>1761</v>
      </c>
      <c r="D6110" s="2" t="s">
        <v>1762</v>
      </c>
      <c r="E6110" t="s">
        <v>1763</v>
      </c>
      <c r="F6110" t="s">
        <v>377</v>
      </c>
      <c r="G6110" t="s">
        <v>21</v>
      </c>
      <c r="H6110" t="s">
        <v>378</v>
      </c>
      <c r="I6110" t="s">
        <v>23</v>
      </c>
      <c r="J6110" t="s">
        <v>379</v>
      </c>
      <c r="K6110" s="2" t="s">
        <v>1365</v>
      </c>
      <c r="L6110" t="s">
        <v>26</v>
      </c>
      <c r="M6110">
        <v>329789</v>
      </c>
      <c r="N6110">
        <v>2</v>
      </c>
      <c r="O6110" s="3">
        <v>11900</v>
      </c>
      <c r="P6110" s="3">
        <v>3279</v>
      </c>
      <c r="Q6110" s="5">
        <f t="shared" si="285"/>
        <v>10000</v>
      </c>
      <c r="R6110" s="5">
        <f t="shared" si="286"/>
        <v>6558</v>
      </c>
      <c r="S6110" s="5">
        <f t="shared" si="287"/>
        <v>3442</v>
      </c>
    </row>
    <row r="6111" spans="1:19" hidden="1" x14ac:dyDescent="0.3">
      <c r="A6111">
        <v>200</v>
      </c>
      <c r="B6111" t="s">
        <v>6336</v>
      </c>
      <c r="C6111" t="s">
        <v>4532</v>
      </c>
      <c r="D6111" s="2" t="s">
        <v>4533</v>
      </c>
      <c r="E6111" t="s">
        <v>4534</v>
      </c>
      <c r="F6111" t="s">
        <v>20</v>
      </c>
      <c r="G6111" t="s">
        <v>21</v>
      </c>
      <c r="H6111" t="s">
        <v>247</v>
      </c>
      <c r="I6111" t="s">
        <v>23</v>
      </c>
      <c r="J6111" t="s">
        <v>40</v>
      </c>
      <c r="K6111" s="2" t="s">
        <v>1450</v>
      </c>
      <c r="L6111" t="s">
        <v>2249</v>
      </c>
      <c r="M6111">
        <v>25232</v>
      </c>
      <c r="N6111">
        <v>-1</v>
      </c>
      <c r="O6111" s="3">
        <v>-34990</v>
      </c>
      <c r="P6111" s="3">
        <v>18016</v>
      </c>
      <c r="Q6111" s="5">
        <f t="shared" si="285"/>
        <v>-29403.361344537818</v>
      </c>
      <c r="R6111" s="5">
        <f t="shared" si="286"/>
        <v>-18016</v>
      </c>
      <c r="S6111" s="5">
        <f t="shared" si="287"/>
        <v>-11387.361344537818</v>
      </c>
    </row>
    <row r="6112" spans="1:19" hidden="1" x14ac:dyDescent="0.3">
      <c r="A6112">
        <v>200</v>
      </c>
      <c r="B6112" t="s">
        <v>6336</v>
      </c>
      <c r="C6112">
        <v>1687976791</v>
      </c>
      <c r="D6112" s="2" t="s">
        <v>200</v>
      </c>
      <c r="E6112" t="s">
        <v>201</v>
      </c>
      <c r="F6112" t="s">
        <v>201</v>
      </c>
      <c r="G6112" t="s">
        <v>202</v>
      </c>
      <c r="H6112" t="s">
        <v>202</v>
      </c>
      <c r="I6112" t="s">
        <v>23</v>
      </c>
      <c r="J6112" t="s">
        <v>202</v>
      </c>
      <c r="K6112" s="2" t="s">
        <v>1450</v>
      </c>
      <c r="L6112" t="s">
        <v>2249</v>
      </c>
      <c r="M6112">
        <v>25232</v>
      </c>
      <c r="N6112">
        <v>-1</v>
      </c>
      <c r="O6112" s="3">
        <v>-6000</v>
      </c>
      <c r="P6112">
        <v>1</v>
      </c>
      <c r="Q6112" s="5">
        <f t="shared" si="285"/>
        <v>-5042.0168067226896</v>
      </c>
      <c r="R6112" s="5">
        <f t="shared" si="286"/>
        <v>-1</v>
      </c>
      <c r="S6112" s="5">
        <f t="shared" si="287"/>
        <v>-5041.0168067226896</v>
      </c>
    </row>
    <row r="6113" spans="1:19" hidden="1" x14ac:dyDescent="0.3">
      <c r="A6113">
        <v>200</v>
      </c>
      <c r="B6113" t="s">
        <v>6336</v>
      </c>
      <c r="C6113" t="s">
        <v>4338</v>
      </c>
      <c r="D6113" s="2" t="s">
        <v>4339</v>
      </c>
      <c r="E6113" t="s">
        <v>2666</v>
      </c>
      <c r="F6113" t="s">
        <v>20</v>
      </c>
      <c r="G6113" t="s">
        <v>21</v>
      </c>
      <c r="H6113" t="s">
        <v>65</v>
      </c>
      <c r="I6113" t="s">
        <v>23</v>
      </c>
      <c r="J6113" t="s">
        <v>49</v>
      </c>
      <c r="K6113" s="2" t="s">
        <v>1450</v>
      </c>
      <c r="L6113" t="s">
        <v>26</v>
      </c>
      <c r="M6113">
        <v>329790</v>
      </c>
      <c r="N6113">
        <v>1</v>
      </c>
      <c r="O6113" s="3">
        <v>64950</v>
      </c>
      <c r="P6113" s="3">
        <v>22797</v>
      </c>
      <c r="Q6113" s="5">
        <f t="shared" si="285"/>
        <v>54579.831932773115</v>
      </c>
      <c r="R6113" s="5">
        <f t="shared" si="286"/>
        <v>22797</v>
      </c>
      <c r="S6113" s="5">
        <f t="shared" si="287"/>
        <v>31782.831932773115</v>
      </c>
    </row>
    <row r="6114" spans="1:19" hidden="1" x14ac:dyDescent="0.3">
      <c r="A6114">
        <v>200</v>
      </c>
      <c r="B6114" t="s">
        <v>6336</v>
      </c>
      <c r="C6114" t="s">
        <v>3401</v>
      </c>
      <c r="D6114" s="2" t="s">
        <v>3402</v>
      </c>
      <c r="E6114" t="s">
        <v>3403</v>
      </c>
      <c r="F6114" t="s">
        <v>377</v>
      </c>
      <c r="G6114" t="s">
        <v>21</v>
      </c>
      <c r="H6114" t="s">
        <v>378</v>
      </c>
      <c r="I6114" t="s">
        <v>23</v>
      </c>
      <c r="J6114" t="s">
        <v>3297</v>
      </c>
      <c r="K6114" s="2" t="s">
        <v>1450</v>
      </c>
      <c r="L6114" t="s">
        <v>26</v>
      </c>
      <c r="M6114">
        <v>329790</v>
      </c>
      <c r="N6114">
        <v>1</v>
      </c>
      <c r="O6114">
        <v>500</v>
      </c>
      <c r="P6114">
        <v>418</v>
      </c>
      <c r="Q6114" s="5">
        <f t="shared" si="285"/>
        <v>420.1680672268908</v>
      </c>
      <c r="R6114" s="5">
        <f t="shared" si="286"/>
        <v>418</v>
      </c>
      <c r="S6114" s="5">
        <f t="shared" si="287"/>
        <v>2.1680672268907983</v>
      </c>
    </row>
    <row r="6115" spans="1:19" hidden="1" x14ac:dyDescent="0.3">
      <c r="A6115">
        <v>200</v>
      </c>
      <c r="B6115" t="s">
        <v>6336</v>
      </c>
      <c r="C6115" t="s">
        <v>4061</v>
      </c>
      <c r="D6115" s="2" t="s">
        <v>4062</v>
      </c>
      <c r="E6115" t="s">
        <v>2208</v>
      </c>
      <c r="F6115" t="s">
        <v>20</v>
      </c>
      <c r="G6115" t="s">
        <v>338</v>
      </c>
      <c r="H6115">
        <v>25823</v>
      </c>
      <c r="I6115" t="s">
        <v>23</v>
      </c>
      <c r="J6115" t="s">
        <v>35</v>
      </c>
      <c r="K6115" s="2" t="s">
        <v>1450</v>
      </c>
      <c r="L6115" t="s">
        <v>26</v>
      </c>
      <c r="M6115">
        <v>329791</v>
      </c>
      <c r="N6115">
        <v>1</v>
      </c>
      <c r="O6115" s="3">
        <v>99950</v>
      </c>
      <c r="P6115" s="3">
        <v>33748</v>
      </c>
      <c r="Q6115" s="5">
        <f t="shared" si="285"/>
        <v>83991.596638655465</v>
      </c>
      <c r="R6115" s="5">
        <f t="shared" si="286"/>
        <v>33748</v>
      </c>
      <c r="S6115" s="5">
        <f t="shared" si="287"/>
        <v>50243.596638655465</v>
      </c>
    </row>
    <row r="6116" spans="1:19" hidden="1" x14ac:dyDescent="0.3">
      <c r="A6116">
        <v>200</v>
      </c>
      <c r="B6116" t="s">
        <v>6336</v>
      </c>
      <c r="C6116" t="s">
        <v>4506</v>
      </c>
      <c r="D6116" s="2" t="s">
        <v>4507</v>
      </c>
      <c r="E6116" t="s">
        <v>3048</v>
      </c>
      <c r="F6116" t="s">
        <v>20</v>
      </c>
      <c r="G6116" t="s">
        <v>21</v>
      </c>
      <c r="H6116" t="s">
        <v>2484</v>
      </c>
      <c r="I6116" t="s">
        <v>23</v>
      </c>
      <c r="J6116" t="s">
        <v>40</v>
      </c>
      <c r="K6116" s="2" t="s">
        <v>1450</v>
      </c>
      <c r="L6116" t="s">
        <v>26</v>
      </c>
      <c r="M6116">
        <v>329792</v>
      </c>
      <c r="N6116">
        <v>-1</v>
      </c>
      <c r="O6116" s="3">
        <v>-59950</v>
      </c>
      <c r="P6116" s="3">
        <v>17503</v>
      </c>
      <c r="Q6116" s="5">
        <f t="shared" si="285"/>
        <v>-50378.151260504201</v>
      </c>
      <c r="R6116" s="5">
        <f t="shared" si="286"/>
        <v>-17503</v>
      </c>
      <c r="S6116" s="5">
        <f t="shared" si="287"/>
        <v>-32875.151260504201</v>
      </c>
    </row>
    <row r="6117" spans="1:19" hidden="1" x14ac:dyDescent="0.3">
      <c r="A6117">
        <v>200</v>
      </c>
      <c r="B6117" t="s">
        <v>6336</v>
      </c>
      <c r="C6117" t="s">
        <v>5089</v>
      </c>
      <c r="D6117" s="2" t="s">
        <v>5090</v>
      </c>
      <c r="E6117" t="s">
        <v>3345</v>
      </c>
      <c r="F6117" t="s">
        <v>20</v>
      </c>
      <c r="G6117" t="s">
        <v>338</v>
      </c>
      <c r="H6117">
        <v>25354</v>
      </c>
      <c r="I6117" t="s">
        <v>23</v>
      </c>
      <c r="J6117" t="s">
        <v>35</v>
      </c>
      <c r="K6117" s="2" t="s">
        <v>1450</v>
      </c>
      <c r="L6117" t="s">
        <v>26</v>
      </c>
      <c r="M6117">
        <v>329792</v>
      </c>
      <c r="N6117">
        <v>1</v>
      </c>
      <c r="O6117" s="3">
        <v>69950</v>
      </c>
      <c r="P6117" s="3">
        <v>21167</v>
      </c>
      <c r="Q6117" s="5">
        <f t="shared" si="285"/>
        <v>58781.512605042022</v>
      </c>
      <c r="R6117" s="5">
        <f t="shared" si="286"/>
        <v>21167</v>
      </c>
      <c r="S6117" s="5">
        <f t="shared" si="287"/>
        <v>37614.512605042022</v>
      </c>
    </row>
    <row r="6118" spans="1:19" hidden="1" x14ac:dyDescent="0.3">
      <c r="A6118">
        <v>200</v>
      </c>
      <c r="B6118" t="s">
        <v>6336</v>
      </c>
      <c r="C6118" t="s">
        <v>1175</v>
      </c>
      <c r="D6118" s="2" t="s">
        <v>1176</v>
      </c>
      <c r="E6118" t="s">
        <v>1177</v>
      </c>
      <c r="F6118" t="s">
        <v>20</v>
      </c>
      <c r="G6118" t="s">
        <v>338</v>
      </c>
      <c r="H6118">
        <v>23724</v>
      </c>
      <c r="I6118" t="s">
        <v>23</v>
      </c>
      <c r="J6118" t="s">
        <v>40</v>
      </c>
      <c r="K6118" s="2" t="s">
        <v>1450</v>
      </c>
      <c r="L6118" t="s">
        <v>26</v>
      </c>
      <c r="M6118">
        <v>329793</v>
      </c>
      <c r="N6118">
        <v>1</v>
      </c>
      <c r="O6118" s="3">
        <v>79950</v>
      </c>
      <c r="P6118" s="3">
        <v>26165</v>
      </c>
      <c r="Q6118" s="5">
        <f t="shared" si="285"/>
        <v>67184.873949579836</v>
      </c>
      <c r="R6118" s="5">
        <f t="shared" si="286"/>
        <v>26165</v>
      </c>
      <c r="S6118" s="5">
        <f t="shared" si="287"/>
        <v>41019.873949579836</v>
      </c>
    </row>
    <row r="6119" spans="1:19" hidden="1" x14ac:dyDescent="0.3">
      <c r="A6119">
        <v>200</v>
      </c>
      <c r="B6119" t="s">
        <v>6336</v>
      </c>
      <c r="C6119" t="s">
        <v>3401</v>
      </c>
      <c r="D6119" s="2" t="s">
        <v>3402</v>
      </c>
      <c r="E6119" t="s">
        <v>3403</v>
      </c>
      <c r="F6119" t="s">
        <v>377</v>
      </c>
      <c r="G6119" t="s">
        <v>21</v>
      </c>
      <c r="H6119" t="s">
        <v>378</v>
      </c>
      <c r="I6119" t="s">
        <v>23</v>
      </c>
      <c r="J6119" t="s">
        <v>3297</v>
      </c>
      <c r="K6119" s="2" t="s">
        <v>1450</v>
      </c>
      <c r="L6119" t="s">
        <v>26</v>
      </c>
      <c r="M6119">
        <v>329793</v>
      </c>
      <c r="N6119">
        <v>1</v>
      </c>
      <c r="O6119">
        <v>500</v>
      </c>
      <c r="P6119">
        <v>418</v>
      </c>
      <c r="Q6119" s="5">
        <f t="shared" si="285"/>
        <v>420.1680672268908</v>
      </c>
      <c r="R6119" s="5">
        <f t="shared" si="286"/>
        <v>418</v>
      </c>
      <c r="S6119" s="5">
        <f t="shared" si="287"/>
        <v>2.1680672268907983</v>
      </c>
    </row>
    <row r="6120" spans="1:19" hidden="1" x14ac:dyDescent="0.3">
      <c r="A6120">
        <v>200</v>
      </c>
      <c r="B6120" t="s">
        <v>6336</v>
      </c>
      <c r="C6120" t="s">
        <v>5679</v>
      </c>
      <c r="D6120" s="2" t="s">
        <v>5680</v>
      </c>
      <c r="E6120" t="s">
        <v>1177</v>
      </c>
      <c r="F6120" t="s">
        <v>20</v>
      </c>
      <c r="G6120" t="s">
        <v>338</v>
      </c>
      <c r="H6120">
        <v>23724</v>
      </c>
      <c r="I6120" t="s">
        <v>23</v>
      </c>
      <c r="J6120" t="s">
        <v>40</v>
      </c>
      <c r="K6120" s="2" t="s">
        <v>1450</v>
      </c>
      <c r="L6120" t="s">
        <v>26</v>
      </c>
      <c r="M6120">
        <v>329794</v>
      </c>
      <c r="N6120">
        <v>1</v>
      </c>
      <c r="O6120" s="3">
        <v>79950</v>
      </c>
      <c r="P6120" s="3">
        <v>26332</v>
      </c>
      <c r="Q6120" s="5">
        <f t="shared" si="285"/>
        <v>67184.873949579836</v>
      </c>
      <c r="R6120" s="5">
        <f t="shared" si="286"/>
        <v>26332</v>
      </c>
      <c r="S6120" s="5">
        <f t="shared" si="287"/>
        <v>40852.873949579836</v>
      </c>
    </row>
    <row r="6121" spans="1:19" hidden="1" x14ac:dyDescent="0.3">
      <c r="A6121">
        <v>200</v>
      </c>
      <c r="B6121" t="s">
        <v>6336</v>
      </c>
      <c r="C6121" t="s">
        <v>1034</v>
      </c>
      <c r="D6121" s="2" t="s">
        <v>1035</v>
      </c>
      <c r="E6121" t="s">
        <v>1036</v>
      </c>
      <c r="F6121" t="s">
        <v>377</v>
      </c>
      <c r="G6121" t="s">
        <v>21</v>
      </c>
      <c r="H6121" t="s">
        <v>378</v>
      </c>
      <c r="I6121" t="s">
        <v>23</v>
      </c>
      <c r="J6121" t="s">
        <v>379</v>
      </c>
      <c r="K6121" s="2" t="s">
        <v>1525</v>
      </c>
      <c r="L6121" t="s">
        <v>26</v>
      </c>
      <c r="M6121">
        <v>329795</v>
      </c>
      <c r="N6121">
        <v>1</v>
      </c>
      <c r="O6121" s="3">
        <v>5950</v>
      </c>
      <c r="P6121" s="3">
        <v>2832</v>
      </c>
      <c r="Q6121" s="5">
        <f t="shared" si="285"/>
        <v>5000</v>
      </c>
      <c r="R6121" s="5">
        <f t="shared" si="286"/>
        <v>2832</v>
      </c>
      <c r="S6121" s="5">
        <f t="shared" si="287"/>
        <v>2168</v>
      </c>
    </row>
    <row r="6122" spans="1:19" hidden="1" x14ac:dyDescent="0.3">
      <c r="A6122">
        <v>200</v>
      </c>
      <c r="B6122" t="s">
        <v>6336</v>
      </c>
      <c r="C6122" t="s">
        <v>374</v>
      </c>
      <c r="D6122" s="2" t="s">
        <v>375</v>
      </c>
      <c r="E6122" t="s">
        <v>376</v>
      </c>
      <c r="F6122" t="s">
        <v>377</v>
      </c>
      <c r="G6122" t="s">
        <v>21</v>
      </c>
      <c r="H6122" t="s">
        <v>378</v>
      </c>
      <c r="I6122" t="s">
        <v>23</v>
      </c>
      <c r="J6122" t="s">
        <v>379</v>
      </c>
      <c r="K6122" s="2" t="s">
        <v>1525</v>
      </c>
      <c r="L6122" t="s">
        <v>26</v>
      </c>
      <c r="M6122">
        <v>329795</v>
      </c>
      <c r="N6122">
        <v>1</v>
      </c>
      <c r="O6122" s="3">
        <v>3950</v>
      </c>
      <c r="P6122" s="3">
        <v>1041</v>
      </c>
      <c r="Q6122" s="5">
        <f t="shared" si="285"/>
        <v>3319.3277310924373</v>
      </c>
      <c r="R6122" s="5">
        <f t="shared" si="286"/>
        <v>1041</v>
      </c>
      <c r="S6122" s="5">
        <f t="shared" si="287"/>
        <v>2278.3277310924373</v>
      </c>
    </row>
    <row r="6123" spans="1:19" hidden="1" x14ac:dyDescent="0.3">
      <c r="A6123">
        <v>200</v>
      </c>
      <c r="B6123" t="s">
        <v>6336</v>
      </c>
      <c r="C6123" t="s">
        <v>6439</v>
      </c>
      <c r="D6123" s="2" t="s">
        <v>6440</v>
      </c>
      <c r="E6123" t="s">
        <v>2993</v>
      </c>
      <c r="F6123" t="s">
        <v>20</v>
      </c>
      <c r="G6123" t="s">
        <v>21</v>
      </c>
      <c r="H6123" t="s">
        <v>1887</v>
      </c>
      <c r="I6123" t="s">
        <v>23</v>
      </c>
      <c r="J6123" t="s">
        <v>40</v>
      </c>
      <c r="K6123" s="2" t="s">
        <v>1525</v>
      </c>
      <c r="L6123" t="s">
        <v>26</v>
      </c>
      <c r="M6123">
        <v>329796</v>
      </c>
      <c r="N6123">
        <v>0</v>
      </c>
      <c r="O6123">
        <v>1</v>
      </c>
      <c r="P6123" s="3">
        <v>22018</v>
      </c>
      <c r="Q6123" s="5">
        <f t="shared" si="285"/>
        <v>0.84033613445378152</v>
      </c>
      <c r="R6123" s="5">
        <f t="shared" si="286"/>
        <v>0</v>
      </c>
      <c r="S6123" s="5">
        <f t="shared" si="287"/>
        <v>0.84033613445378152</v>
      </c>
    </row>
    <row r="6124" spans="1:19" hidden="1" x14ac:dyDescent="0.3">
      <c r="A6124">
        <v>200</v>
      </c>
      <c r="B6124" t="s">
        <v>6336</v>
      </c>
      <c r="C6124" t="s">
        <v>3037</v>
      </c>
      <c r="D6124" s="2" t="s">
        <v>3038</v>
      </c>
      <c r="E6124" t="s">
        <v>1404</v>
      </c>
      <c r="F6124" t="s">
        <v>20</v>
      </c>
      <c r="G6124" t="s">
        <v>21</v>
      </c>
      <c r="H6124" t="s">
        <v>1405</v>
      </c>
      <c r="I6124" t="s">
        <v>23</v>
      </c>
      <c r="J6124" t="s">
        <v>40</v>
      </c>
      <c r="K6124" s="2" t="s">
        <v>1525</v>
      </c>
      <c r="L6124" t="s">
        <v>26</v>
      </c>
      <c r="M6124">
        <v>329797</v>
      </c>
      <c r="N6124">
        <v>1</v>
      </c>
      <c r="O6124" s="3">
        <v>49950</v>
      </c>
      <c r="P6124" s="3">
        <v>13302</v>
      </c>
      <c r="Q6124" s="5">
        <f t="shared" si="285"/>
        <v>41974.789915966387</v>
      </c>
      <c r="R6124" s="5">
        <f t="shared" si="286"/>
        <v>13302</v>
      </c>
      <c r="S6124" s="5">
        <f t="shared" si="287"/>
        <v>28672.789915966387</v>
      </c>
    </row>
    <row r="6125" spans="1:19" hidden="1" x14ac:dyDescent="0.3">
      <c r="A6125">
        <v>200</v>
      </c>
      <c r="B6125" t="s">
        <v>6336</v>
      </c>
      <c r="C6125" t="s">
        <v>6038</v>
      </c>
      <c r="D6125" s="2" t="s">
        <v>6039</v>
      </c>
      <c r="E6125" t="s">
        <v>2771</v>
      </c>
      <c r="F6125" t="s">
        <v>20</v>
      </c>
      <c r="G6125" t="s">
        <v>21</v>
      </c>
      <c r="H6125" t="s">
        <v>57</v>
      </c>
      <c r="I6125" t="s">
        <v>23</v>
      </c>
      <c r="J6125" t="s">
        <v>35</v>
      </c>
      <c r="K6125" s="2" t="s">
        <v>1525</v>
      </c>
      <c r="L6125" t="s">
        <v>26</v>
      </c>
      <c r="M6125">
        <v>329797</v>
      </c>
      <c r="N6125">
        <v>1</v>
      </c>
      <c r="O6125" s="3">
        <v>76450</v>
      </c>
      <c r="P6125" s="3">
        <v>29189</v>
      </c>
      <c r="Q6125" s="5">
        <f t="shared" si="285"/>
        <v>64243.697478991598</v>
      </c>
      <c r="R6125" s="5">
        <f t="shared" si="286"/>
        <v>29189</v>
      </c>
      <c r="S6125" s="5">
        <f t="shared" si="287"/>
        <v>35054.697478991598</v>
      </c>
    </row>
    <row r="6126" spans="1:19" hidden="1" x14ac:dyDescent="0.3">
      <c r="A6126">
        <v>200</v>
      </c>
      <c r="B6126" t="s">
        <v>6336</v>
      </c>
      <c r="C6126" t="s">
        <v>4329</v>
      </c>
      <c r="D6126" s="2" t="s">
        <v>4330</v>
      </c>
      <c r="E6126" t="s">
        <v>4331</v>
      </c>
      <c r="F6126" t="s">
        <v>20</v>
      </c>
      <c r="G6126" t="s">
        <v>338</v>
      </c>
      <c r="H6126">
        <v>25357</v>
      </c>
      <c r="I6126" t="s">
        <v>23</v>
      </c>
      <c r="J6126" t="s">
        <v>35</v>
      </c>
      <c r="K6126" s="2" t="s">
        <v>1525</v>
      </c>
      <c r="L6126" t="s">
        <v>26</v>
      </c>
      <c r="M6126">
        <v>329798</v>
      </c>
      <c r="N6126">
        <v>1</v>
      </c>
      <c r="O6126" s="3">
        <v>59960</v>
      </c>
      <c r="P6126" s="3">
        <v>24482</v>
      </c>
      <c r="Q6126" s="5">
        <f t="shared" si="285"/>
        <v>50386.554621848743</v>
      </c>
      <c r="R6126" s="5">
        <f t="shared" si="286"/>
        <v>24482</v>
      </c>
      <c r="S6126" s="5">
        <f t="shared" si="287"/>
        <v>25904.554621848743</v>
      </c>
    </row>
    <row r="6127" spans="1:19" hidden="1" x14ac:dyDescent="0.3">
      <c r="A6127">
        <v>200</v>
      </c>
      <c r="B6127" t="s">
        <v>6336</v>
      </c>
      <c r="C6127" t="s">
        <v>4745</v>
      </c>
      <c r="D6127" s="2" t="s">
        <v>4746</v>
      </c>
      <c r="E6127" t="s">
        <v>3091</v>
      </c>
      <c r="F6127" t="s">
        <v>20</v>
      </c>
      <c r="G6127" t="s">
        <v>338</v>
      </c>
      <c r="H6127">
        <v>26266</v>
      </c>
      <c r="I6127" t="s">
        <v>23</v>
      </c>
      <c r="J6127" t="s">
        <v>35</v>
      </c>
      <c r="K6127" s="2" t="s">
        <v>1525</v>
      </c>
      <c r="L6127" t="s">
        <v>26</v>
      </c>
      <c r="M6127">
        <v>329799</v>
      </c>
      <c r="N6127">
        <v>1</v>
      </c>
      <c r="O6127" s="3">
        <v>79950</v>
      </c>
      <c r="P6127" s="3">
        <v>25300</v>
      </c>
      <c r="Q6127" s="5">
        <f t="shared" si="285"/>
        <v>67184.873949579836</v>
      </c>
      <c r="R6127" s="5">
        <f t="shared" si="286"/>
        <v>25300</v>
      </c>
      <c r="S6127" s="5">
        <f t="shared" si="287"/>
        <v>41884.873949579836</v>
      </c>
    </row>
    <row r="6128" spans="1:19" hidden="1" x14ac:dyDescent="0.3">
      <c r="A6128">
        <v>200</v>
      </c>
      <c r="B6128" t="s">
        <v>6336</v>
      </c>
      <c r="C6128" t="s">
        <v>3356</v>
      </c>
      <c r="D6128" s="2" t="s">
        <v>3357</v>
      </c>
      <c r="E6128" t="s">
        <v>345</v>
      </c>
      <c r="F6128" t="s">
        <v>20</v>
      </c>
      <c r="G6128" t="s">
        <v>21</v>
      </c>
      <c r="H6128" t="s">
        <v>346</v>
      </c>
      <c r="I6128" t="s">
        <v>23</v>
      </c>
      <c r="J6128" t="s">
        <v>49</v>
      </c>
      <c r="K6128" s="2" t="s">
        <v>1525</v>
      </c>
      <c r="L6128" t="s">
        <v>26</v>
      </c>
      <c r="M6128">
        <v>329800</v>
      </c>
      <c r="N6128">
        <v>1</v>
      </c>
      <c r="O6128" s="3">
        <v>49990</v>
      </c>
      <c r="P6128" s="3">
        <v>21039</v>
      </c>
      <c r="Q6128" s="5">
        <f t="shared" si="285"/>
        <v>42008.403361344543</v>
      </c>
      <c r="R6128" s="5">
        <f t="shared" si="286"/>
        <v>21039</v>
      </c>
      <c r="S6128" s="5">
        <f t="shared" si="287"/>
        <v>20969.403361344543</v>
      </c>
    </row>
    <row r="6129" spans="1:19" hidden="1" x14ac:dyDescent="0.3">
      <c r="A6129">
        <v>200</v>
      </c>
      <c r="B6129" t="s">
        <v>6336</v>
      </c>
      <c r="C6129" t="s">
        <v>3401</v>
      </c>
      <c r="D6129" s="2" t="s">
        <v>3402</v>
      </c>
      <c r="E6129" t="s">
        <v>3403</v>
      </c>
      <c r="F6129" t="s">
        <v>377</v>
      </c>
      <c r="G6129" t="s">
        <v>21</v>
      </c>
      <c r="H6129" t="s">
        <v>378</v>
      </c>
      <c r="I6129" t="s">
        <v>23</v>
      </c>
      <c r="J6129" t="s">
        <v>3297</v>
      </c>
      <c r="K6129" s="2" t="s">
        <v>1525</v>
      </c>
      <c r="L6129" t="s">
        <v>26</v>
      </c>
      <c r="M6129">
        <v>329800</v>
      </c>
      <c r="N6129">
        <v>1</v>
      </c>
      <c r="O6129">
        <v>500</v>
      </c>
      <c r="P6129">
        <v>418</v>
      </c>
      <c r="Q6129" s="5">
        <f t="shared" si="285"/>
        <v>420.1680672268908</v>
      </c>
      <c r="R6129" s="5">
        <f t="shared" si="286"/>
        <v>418</v>
      </c>
      <c r="S6129" s="5">
        <f t="shared" si="287"/>
        <v>2.1680672268907983</v>
      </c>
    </row>
    <row r="6130" spans="1:19" hidden="1" x14ac:dyDescent="0.3">
      <c r="A6130">
        <v>200</v>
      </c>
      <c r="B6130" t="s">
        <v>6336</v>
      </c>
      <c r="C6130" t="s">
        <v>4991</v>
      </c>
      <c r="D6130" s="2" t="s">
        <v>4992</v>
      </c>
      <c r="E6130" t="s">
        <v>3350</v>
      </c>
      <c r="F6130" t="s">
        <v>20</v>
      </c>
      <c r="G6130" t="s">
        <v>21</v>
      </c>
      <c r="H6130" t="s">
        <v>3351</v>
      </c>
      <c r="I6130" t="s">
        <v>23</v>
      </c>
      <c r="J6130" t="s">
        <v>40</v>
      </c>
      <c r="K6130" s="2" t="s">
        <v>1525</v>
      </c>
      <c r="L6130" t="s">
        <v>26</v>
      </c>
      <c r="M6130">
        <v>329801</v>
      </c>
      <c r="N6130">
        <v>1</v>
      </c>
      <c r="O6130" s="3">
        <v>79950</v>
      </c>
      <c r="P6130" s="3">
        <v>28869</v>
      </c>
      <c r="Q6130" s="5">
        <f t="shared" si="285"/>
        <v>67184.873949579836</v>
      </c>
      <c r="R6130" s="5">
        <f t="shared" si="286"/>
        <v>28869</v>
      </c>
      <c r="S6130" s="5">
        <f t="shared" si="287"/>
        <v>38315.873949579836</v>
      </c>
    </row>
    <row r="6131" spans="1:19" hidden="1" x14ac:dyDescent="0.3">
      <c r="A6131">
        <v>200</v>
      </c>
      <c r="B6131" t="s">
        <v>6336</v>
      </c>
      <c r="C6131" t="s">
        <v>4381</v>
      </c>
      <c r="D6131" s="2" t="s">
        <v>4382</v>
      </c>
      <c r="E6131" t="s">
        <v>2758</v>
      </c>
      <c r="F6131" t="s">
        <v>20</v>
      </c>
      <c r="G6131" t="s">
        <v>21</v>
      </c>
      <c r="H6131" t="s">
        <v>2759</v>
      </c>
      <c r="I6131" t="s">
        <v>23</v>
      </c>
      <c r="J6131" t="s">
        <v>49</v>
      </c>
      <c r="K6131" s="2" t="s">
        <v>1525</v>
      </c>
      <c r="L6131" t="s">
        <v>26</v>
      </c>
      <c r="M6131">
        <v>329802</v>
      </c>
      <c r="N6131">
        <v>1</v>
      </c>
      <c r="O6131" s="3">
        <v>79950</v>
      </c>
      <c r="P6131" s="3">
        <v>33450</v>
      </c>
      <c r="Q6131" s="5">
        <f t="shared" si="285"/>
        <v>67184.873949579836</v>
      </c>
      <c r="R6131" s="5">
        <f t="shared" si="286"/>
        <v>33450</v>
      </c>
      <c r="S6131" s="5">
        <f t="shared" si="287"/>
        <v>33734.873949579836</v>
      </c>
    </row>
    <row r="6132" spans="1:19" hidden="1" x14ac:dyDescent="0.3">
      <c r="A6132">
        <v>200</v>
      </c>
      <c r="B6132" t="s">
        <v>6336</v>
      </c>
      <c r="C6132" t="s">
        <v>6445</v>
      </c>
      <c r="D6132" s="2" t="s">
        <v>6446</v>
      </c>
      <c r="E6132" t="s">
        <v>3449</v>
      </c>
      <c r="F6132" t="s">
        <v>20</v>
      </c>
      <c r="G6132" t="s">
        <v>338</v>
      </c>
      <c r="H6132">
        <v>25366</v>
      </c>
      <c r="I6132" t="s">
        <v>23</v>
      </c>
      <c r="J6132" t="s">
        <v>35</v>
      </c>
      <c r="K6132" s="2" t="s">
        <v>1525</v>
      </c>
      <c r="L6132" t="s">
        <v>26</v>
      </c>
      <c r="M6132">
        <v>329803</v>
      </c>
      <c r="N6132">
        <v>1</v>
      </c>
      <c r="O6132" s="3">
        <v>99950</v>
      </c>
      <c r="P6132" s="3">
        <v>33157</v>
      </c>
      <c r="Q6132" s="5">
        <f t="shared" si="285"/>
        <v>83991.596638655465</v>
      </c>
      <c r="R6132" s="5">
        <f t="shared" si="286"/>
        <v>33157</v>
      </c>
      <c r="S6132" s="5">
        <f t="shared" si="287"/>
        <v>50834.596638655465</v>
      </c>
    </row>
    <row r="6133" spans="1:19" hidden="1" x14ac:dyDescent="0.3">
      <c r="A6133">
        <v>200</v>
      </c>
      <c r="B6133" t="s">
        <v>6336</v>
      </c>
      <c r="C6133" t="s">
        <v>5082</v>
      </c>
      <c r="D6133" s="2" t="s">
        <v>5083</v>
      </c>
      <c r="E6133" t="s">
        <v>2208</v>
      </c>
      <c r="F6133" t="s">
        <v>20</v>
      </c>
      <c r="G6133" t="s">
        <v>338</v>
      </c>
      <c r="H6133">
        <v>25823</v>
      </c>
      <c r="I6133" t="s">
        <v>23</v>
      </c>
      <c r="J6133" t="s">
        <v>35</v>
      </c>
      <c r="K6133" s="2" t="s">
        <v>1525</v>
      </c>
      <c r="L6133" t="s">
        <v>26</v>
      </c>
      <c r="M6133">
        <v>329804</v>
      </c>
      <c r="N6133">
        <v>1</v>
      </c>
      <c r="O6133" s="3">
        <v>99950</v>
      </c>
      <c r="P6133" s="3">
        <v>33748</v>
      </c>
      <c r="Q6133" s="5">
        <f t="shared" si="285"/>
        <v>83991.596638655465</v>
      </c>
      <c r="R6133" s="5">
        <f t="shared" si="286"/>
        <v>33748</v>
      </c>
      <c r="S6133" s="5">
        <f t="shared" si="287"/>
        <v>50243.596638655465</v>
      </c>
    </row>
    <row r="6134" spans="1:19" hidden="1" x14ac:dyDescent="0.3">
      <c r="A6134">
        <v>200</v>
      </c>
      <c r="B6134" t="s">
        <v>6336</v>
      </c>
      <c r="C6134" t="s">
        <v>5992</v>
      </c>
      <c r="D6134" s="2" t="s">
        <v>5993</v>
      </c>
      <c r="E6134" t="s">
        <v>3168</v>
      </c>
      <c r="F6134" t="s">
        <v>20</v>
      </c>
      <c r="G6134" t="s">
        <v>338</v>
      </c>
      <c r="H6134">
        <v>23731</v>
      </c>
      <c r="I6134" t="s">
        <v>23</v>
      </c>
      <c r="J6134" t="s">
        <v>40</v>
      </c>
      <c r="K6134" s="2" t="s">
        <v>1525</v>
      </c>
      <c r="L6134" t="s">
        <v>26</v>
      </c>
      <c r="M6134">
        <v>329805</v>
      </c>
      <c r="N6134">
        <v>1</v>
      </c>
      <c r="O6134" s="3">
        <v>69950</v>
      </c>
      <c r="P6134" s="3">
        <v>23119</v>
      </c>
      <c r="Q6134" s="5">
        <f t="shared" si="285"/>
        <v>58781.512605042022</v>
      </c>
      <c r="R6134" s="5">
        <f t="shared" si="286"/>
        <v>23119</v>
      </c>
      <c r="S6134" s="5">
        <f t="shared" si="287"/>
        <v>35662.512605042022</v>
      </c>
    </row>
    <row r="6135" spans="1:19" hidden="1" x14ac:dyDescent="0.3">
      <c r="A6135">
        <v>200</v>
      </c>
      <c r="B6135" t="s">
        <v>6336</v>
      </c>
      <c r="C6135" t="s">
        <v>4623</v>
      </c>
      <c r="D6135" s="2" t="s">
        <v>4624</v>
      </c>
      <c r="E6135" t="s">
        <v>3810</v>
      </c>
      <c r="F6135" t="s">
        <v>20</v>
      </c>
      <c r="G6135" t="s">
        <v>21</v>
      </c>
      <c r="H6135" t="s">
        <v>3811</v>
      </c>
      <c r="I6135" t="s">
        <v>23</v>
      </c>
      <c r="J6135" t="s">
        <v>40</v>
      </c>
      <c r="K6135" s="2" t="s">
        <v>2983</v>
      </c>
      <c r="L6135" t="s">
        <v>26</v>
      </c>
      <c r="M6135">
        <v>329806</v>
      </c>
      <c r="N6135">
        <v>1</v>
      </c>
      <c r="O6135" s="3">
        <v>49990</v>
      </c>
      <c r="P6135" s="3">
        <v>21722</v>
      </c>
      <c r="Q6135" s="5">
        <f t="shared" si="285"/>
        <v>42008.403361344543</v>
      </c>
      <c r="R6135" s="5">
        <f t="shared" si="286"/>
        <v>21722</v>
      </c>
      <c r="S6135" s="5">
        <f t="shared" si="287"/>
        <v>20286.403361344543</v>
      </c>
    </row>
    <row r="6136" spans="1:19" hidden="1" x14ac:dyDescent="0.3">
      <c r="A6136">
        <v>200</v>
      </c>
      <c r="B6136" t="s">
        <v>6336</v>
      </c>
      <c r="C6136" t="s">
        <v>6435</v>
      </c>
      <c r="D6136" s="2" t="s">
        <v>6436</v>
      </c>
      <c r="E6136" t="s">
        <v>1802</v>
      </c>
      <c r="F6136" t="s">
        <v>20</v>
      </c>
      <c r="G6136" t="s">
        <v>21</v>
      </c>
      <c r="H6136" t="s">
        <v>693</v>
      </c>
      <c r="I6136" t="s">
        <v>23</v>
      </c>
      <c r="J6136" t="s">
        <v>40</v>
      </c>
      <c r="K6136" s="2" t="s">
        <v>2983</v>
      </c>
      <c r="L6136" t="s">
        <v>26</v>
      </c>
      <c r="M6136">
        <v>329807</v>
      </c>
      <c r="N6136">
        <v>-1</v>
      </c>
      <c r="O6136" s="3">
        <v>-39990</v>
      </c>
      <c r="P6136" s="3">
        <v>24569</v>
      </c>
      <c r="Q6136" s="5">
        <f t="shared" si="285"/>
        <v>-33605.042016806721</v>
      </c>
      <c r="R6136" s="5">
        <f t="shared" si="286"/>
        <v>-24569</v>
      </c>
      <c r="S6136" s="5">
        <f t="shared" si="287"/>
        <v>-9036.0420168067212</v>
      </c>
    </row>
    <row r="6137" spans="1:19" hidden="1" x14ac:dyDescent="0.3">
      <c r="A6137">
        <v>200</v>
      </c>
      <c r="B6137" t="s">
        <v>6336</v>
      </c>
      <c r="C6137" t="s">
        <v>4940</v>
      </c>
      <c r="D6137" s="2" t="s">
        <v>4941</v>
      </c>
      <c r="E6137" t="s">
        <v>2611</v>
      </c>
      <c r="F6137" t="s">
        <v>20</v>
      </c>
      <c r="G6137" t="s">
        <v>338</v>
      </c>
      <c r="H6137">
        <v>25312</v>
      </c>
      <c r="I6137" t="s">
        <v>23</v>
      </c>
      <c r="J6137" t="s">
        <v>35</v>
      </c>
      <c r="K6137" s="2" t="s">
        <v>2983</v>
      </c>
      <c r="L6137" t="s">
        <v>26</v>
      </c>
      <c r="M6137">
        <v>329807</v>
      </c>
      <c r="N6137">
        <v>1</v>
      </c>
      <c r="O6137" s="3">
        <v>52460</v>
      </c>
      <c r="P6137" s="3">
        <v>21167</v>
      </c>
      <c r="Q6137" s="5">
        <f t="shared" si="285"/>
        <v>44084.033613445383</v>
      </c>
      <c r="R6137" s="5">
        <f t="shared" si="286"/>
        <v>21167</v>
      </c>
      <c r="S6137" s="5">
        <f t="shared" si="287"/>
        <v>22917.033613445383</v>
      </c>
    </row>
    <row r="6138" spans="1:19" hidden="1" x14ac:dyDescent="0.3">
      <c r="A6138">
        <v>200</v>
      </c>
      <c r="B6138" t="s">
        <v>6336</v>
      </c>
      <c r="C6138" t="s">
        <v>3727</v>
      </c>
      <c r="D6138" s="2" t="s">
        <v>3728</v>
      </c>
      <c r="E6138" t="s">
        <v>3729</v>
      </c>
      <c r="F6138" t="s">
        <v>20</v>
      </c>
      <c r="G6138" t="s">
        <v>21</v>
      </c>
      <c r="H6138" t="s">
        <v>272</v>
      </c>
      <c r="I6138" t="s">
        <v>23</v>
      </c>
      <c r="J6138" t="s">
        <v>35</v>
      </c>
      <c r="K6138" s="2" t="s">
        <v>2983</v>
      </c>
      <c r="L6138" t="s">
        <v>26</v>
      </c>
      <c r="M6138">
        <v>329808</v>
      </c>
      <c r="N6138">
        <v>1</v>
      </c>
      <c r="O6138" s="3">
        <v>79950</v>
      </c>
      <c r="P6138" s="3">
        <v>28172</v>
      </c>
      <c r="Q6138" s="5">
        <f t="shared" si="285"/>
        <v>67184.873949579836</v>
      </c>
      <c r="R6138" s="5">
        <f t="shared" si="286"/>
        <v>28172</v>
      </c>
      <c r="S6138" s="5">
        <f t="shared" si="287"/>
        <v>39012.873949579836</v>
      </c>
    </row>
    <row r="6139" spans="1:19" hidden="1" x14ac:dyDescent="0.3">
      <c r="A6139">
        <v>200</v>
      </c>
      <c r="B6139" t="s">
        <v>6336</v>
      </c>
      <c r="C6139" t="s">
        <v>4403</v>
      </c>
      <c r="D6139" s="2" t="s">
        <v>4404</v>
      </c>
      <c r="E6139" t="s">
        <v>2771</v>
      </c>
      <c r="F6139" t="s">
        <v>20</v>
      </c>
      <c r="G6139" t="s">
        <v>21</v>
      </c>
      <c r="H6139" t="s">
        <v>57</v>
      </c>
      <c r="I6139" t="s">
        <v>23</v>
      </c>
      <c r="J6139" t="s">
        <v>35</v>
      </c>
      <c r="K6139" s="2" t="s">
        <v>2983</v>
      </c>
      <c r="L6139" t="s">
        <v>26</v>
      </c>
      <c r="M6139">
        <v>329808</v>
      </c>
      <c r="N6139">
        <v>1</v>
      </c>
      <c r="O6139" s="3">
        <v>79990</v>
      </c>
      <c r="P6139" s="3">
        <v>29189</v>
      </c>
      <c r="Q6139" s="5">
        <f t="shared" si="285"/>
        <v>67218.487394957992</v>
      </c>
      <c r="R6139" s="5">
        <f t="shared" si="286"/>
        <v>29189</v>
      </c>
      <c r="S6139" s="5">
        <f t="shared" si="287"/>
        <v>38029.487394957992</v>
      </c>
    </row>
    <row r="6140" spans="1:19" hidden="1" x14ac:dyDescent="0.3">
      <c r="A6140">
        <v>200</v>
      </c>
      <c r="B6140" t="s">
        <v>6336</v>
      </c>
      <c r="C6140" t="s">
        <v>4141</v>
      </c>
      <c r="D6140" s="2" t="s">
        <v>4142</v>
      </c>
      <c r="E6140" t="s">
        <v>428</v>
      </c>
      <c r="F6140" t="s">
        <v>20</v>
      </c>
      <c r="G6140" t="s">
        <v>21</v>
      </c>
      <c r="H6140" t="s">
        <v>429</v>
      </c>
      <c r="I6140" t="s">
        <v>23</v>
      </c>
      <c r="J6140" t="s">
        <v>49</v>
      </c>
      <c r="K6140" s="2" t="s">
        <v>2983</v>
      </c>
      <c r="L6140" t="s">
        <v>26</v>
      </c>
      <c r="M6140">
        <v>329809</v>
      </c>
      <c r="N6140">
        <v>1</v>
      </c>
      <c r="O6140" s="3">
        <v>59990</v>
      </c>
      <c r="P6140" s="3">
        <v>27959</v>
      </c>
      <c r="Q6140" s="5">
        <f t="shared" si="285"/>
        <v>50411.764705882357</v>
      </c>
      <c r="R6140" s="5">
        <f t="shared" si="286"/>
        <v>27959</v>
      </c>
      <c r="S6140" s="5">
        <f t="shared" si="287"/>
        <v>22452.764705882357</v>
      </c>
    </row>
    <row r="6141" spans="1:19" hidden="1" x14ac:dyDescent="0.3">
      <c r="A6141">
        <v>200</v>
      </c>
      <c r="B6141" t="s">
        <v>6336</v>
      </c>
      <c r="C6141" t="s">
        <v>4143</v>
      </c>
      <c r="D6141" s="2" t="s">
        <v>4144</v>
      </c>
      <c r="E6141" t="s">
        <v>4145</v>
      </c>
      <c r="F6141" t="s">
        <v>20</v>
      </c>
      <c r="G6141" t="s">
        <v>21</v>
      </c>
      <c r="H6141" t="s">
        <v>429</v>
      </c>
      <c r="I6141" t="s">
        <v>23</v>
      </c>
      <c r="J6141" t="s">
        <v>49</v>
      </c>
      <c r="K6141" s="2" t="s">
        <v>2983</v>
      </c>
      <c r="L6141" t="s">
        <v>26</v>
      </c>
      <c r="M6141">
        <v>329809</v>
      </c>
      <c r="N6141">
        <v>1</v>
      </c>
      <c r="O6141" s="3">
        <v>49990</v>
      </c>
      <c r="P6141" s="3">
        <v>27866</v>
      </c>
      <c r="Q6141" s="5">
        <f t="shared" si="285"/>
        <v>42008.403361344543</v>
      </c>
      <c r="R6141" s="5">
        <f t="shared" si="286"/>
        <v>27866</v>
      </c>
      <c r="S6141" s="5">
        <f t="shared" si="287"/>
        <v>14142.403361344543</v>
      </c>
    </row>
    <row r="6142" spans="1:19" hidden="1" x14ac:dyDescent="0.3">
      <c r="A6142">
        <v>200</v>
      </c>
      <c r="B6142" t="s">
        <v>6336</v>
      </c>
      <c r="C6142" t="s">
        <v>3641</v>
      </c>
      <c r="D6142" s="2" t="s">
        <v>3642</v>
      </c>
      <c r="E6142" t="s">
        <v>2905</v>
      </c>
      <c r="F6142" t="s">
        <v>20</v>
      </c>
      <c r="G6142" t="s">
        <v>21</v>
      </c>
      <c r="H6142" t="s">
        <v>272</v>
      </c>
      <c r="I6142" t="s">
        <v>23</v>
      </c>
      <c r="J6142" t="s">
        <v>35</v>
      </c>
      <c r="K6142" s="2" t="s">
        <v>2983</v>
      </c>
      <c r="L6142" t="s">
        <v>26</v>
      </c>
      <c r="M6142">
        <v>329810</v>
      </c>
      <c r="N6142">
        <v>1</v>
      </c>
      <c r="O6142" s="3">
        <v>79950</v>
      </c>
      <c r="P6142" s="3">
        <v>27834</v>
      </c>
      <c r="Q6142" s="5">
        <f t="shared" si="285"/>
        <v>67184.873949579836</v>
      </c>
      <c r="R6142" s="5">
        <f t="shared" si="286"/>
        <v>27834</v>
      </c>
      <c r="S6142" s="5">
        <f t="shared" si="287"/>
        <v>39350.873949579836</v>
      </c>
    </row>
    <row r="6143" spans="1:19" hidden="1" x14ac:dyDescent="0.3">
      <c r="A6143">
        <v>200</v>
      </c>
      <c r="B6143" t="s">
        <v>6336</v>
      </c>
      <c r="C6143" t="s">
        <v>3487</v>
      </c>
      <c r="D6143" s="2" t="s">
        <v>3488</v>
      </c>
      <c r="E6143" t="s">
        <v>2795</v>
      </c>
      <c r="F6143" t="s">
        <v>20</v>
      </c>
      <c r="G6143" t="s">
        <v>21</v>
      </c>
      <c r="H6143" t="s">
        <v>57</v>
      </c>
      <c r="I6143" t="s">
        <v>23</v>
      </c>
      <c r="J6143" t="s">
        <v>35</v>
      </c>
      <c r="K6143" s="2" t="s">
        <v>2983</v>
      </c>
      <c r="L6143" t="s">
        <v>26</v>
      </c>
      <c r="M6143">
        <v>329811</v>
      </c>
      <c r="N6143">
        <v>1</v>
      </c>
      <c r="O6143" s="3">
        <v>89950</v>
      </c>
      <c r="P6143" s="3">
        <v>31783</v>
      </c>
      <c r="Q6143" s="5">
        <f t="shared" si="285"/>
        <v>75588.23529411765</v>
      </c>
      <c r="R6143" s="5">
        <f t="shared" si="286"/>
        <v>31783</v>
      </c>
      <c r="S6143" s="5">
        <f t="shared" si="287"/>
        <v>43805.23529411765</v>
      </c>
    </row>
    <row r="6144" spans="1:19" hidden="1" x14ac:dyDescent="0.3">
      <c r="A6144">
        <v>200</v>
      </c>
      <c r="B6144" t="s">
        <v>6336</v>
      </c>
      <c r="C6144" t="s">
        <v>1037</v>
      </c>
      <c r="D6144" s="2" t="s">
        <v>1038</v>
      </c>
      <c r="E6144" t="s">
        <v>1039</v>
      </c>
      <c r="F6144" t="s">
        <v>377</v>
      </c>
      <c r="G6144" t="s">
        <v>21</v>
      </c>
      <c r="H6144" t="s">
        <v>378</v>
      </c>
      <c r="I6144" t="s">
        <v>23</v>
      </c>
      <c r="J6144" t="s">
        <v>379</v>
      </c>
      <c r="K6144" s="2" t="s">
        <v>2983</v>
      </c>
      <c r="L6144" t="s">
        <v>26</v>
      </c>
      <c r="M6144">
        <v>329811</v>
      </c>
      <c r="N6144">
        <v>1</v>
      </c>
      <c r="O6144" s="3">
        <v>5950</v>
      </c>
      <c r="P6144" s="3">
        <v>3257</v>
      </c>
      <c r="Q6144" s="5">
        <f t="shared" si="285"/>
        <v>5000</v>
      </c>
      <c r="R6144" s="5">
        <f t="shared" si="286"/>
        <v>3257</v>
      </c>
      <c r="S6144" s="5">
        <f t="shared" si="287"/>
        <v>1743</v>
      </c>
    </row>
    <row r="6145" spans="1:19" hidden="1" x14ac:dyDescent="0.3">
      <c r="A6145">
        <v>200</v>
      </c>
      <c r="B6145" t="s">
        <v>6336</v>
      </c>
      <c r="C6145" t="s">
        <v>4762</v>
      </c>
      <c r="D6145" s="2" t="s">
        <v>4763</v>
      </c>
      <c r="E6145" t="s">
        <v>1330</v>
      </c>
      <c r="F6145" t="s">
        <v>20</v>
      </c>
      <c r="G6145" t="s">
        <v>338</v>
      </c>
      <c r="H6145">
        <v>25133</v>
      </c>
      <c r="I6145" t="s">
        <v>23</v>
      </c>
      <c r="J6145" t="s">
        <v>35</v>
      </c>
      <c r="K6145" s="2" t="s">
        <v>2983</v>
      </c>
      <c r="L6145" t="s">
        <v>26</v>
      </c>
      <c r="M6145">
        <v>329812</v>
      </c>
      <c r="N6145">
        <v>1</v>
      </c>
      <c r="O6145" s="3">
        <v>74950</v>
      </c>
      <c r="P6145" s="3">
        <v>21167</v>
      </c>
      <c r="Q6145" s="5">
        <f t="shared" si="285"/>
        <v>62983.193277310929</v>
      </c>
      <c r="R6145" s="5">
        <f t="shared" si="286"/>
        <v>21167</v>
      </c>
      <c r="S6145" s="5">
        <f t="shared" si="287"/>
        <v>41816.193277310929</v>
      </c>
    </row>
    <row r="6146" spans="1:19" hidden="1" x14ac:dyDescent="0.3">
      <c r="A6146">
        <v>200</v>
      </c>
      <c r="B6146" t="s">
        <v>6336</v>
      </c>
      <c r="C6146" t="s">
        <v>3401</v>
      </c>
      <c r="D6146" s="2" t="s">
        <v>3402</v>
      </c>
      <c r="E6146" t="s">
        <v>3403</v>
      </c>
      <c r="F6146" t="s">
        <v>377</v>
      </c>
      <c r="G6146" t="s">
        <v>21</v>
      </c>
      <c r="H6146" t="s">
        <v>378</v>
      </c>
      <c r="I6146" t="s">
        <v>23</v>
      </c>
      <c r="J6146" t="s">
        <v>3297</v>
      </c>
      <c r="K6146" s="2" t="s">
        <v>2983</v>
      </c>
      <c r="L6146" t="s">
        <v>26</v>
      </c>
      <c r="M6146">
        <v>329812</v>
      </c>
      <c r="N6146">
        <v>1</v>
      </c>
      <c r="O6146">
        <v>500</v>
      </c>
      <c r="P6146">
        <v>418</v>
      </c>
      <c r="Q6146" s="5">
        <f t="shared" si="285"/>
        <v>420.1680672268908</v>
      </c>
      <c r="R6146" s="5">
        <f t="shared" si="286"/>
        <v>418</v>
      </c>
      <c r="S6146" s="5">
        <f t="shared" si="287"/>
        <v>2.1680672268907983</v>
      </c>
    </row>
    <row r="6147" spans="1:19" hidden="1" x14ac:dyDescent="0.3">
      <c r="A6147">
        <v>200</v>
      </c>
      <c r="B6147" t="s">
        <v>6336</v>
      </c>
      <c r="C6147" t="s">
        <v>6447</v>
      </c>
      <c r="D6147" s="2" t="s">
        <v>6448</v>
      </c>
      <c r="E6147" t="s">
        <v>4839</v>
      </c>
      <c r="F6147" t="s">
        <v>20</v>
      </c>
      <c r="G6147" t="s">
        <v>21</v>
      </c>
      <c r="H6147" t="s">
        <v>1282</v>
      </c>
      <c r="I6147" t="s">
        <v>23</v>
      </c>
      <c r="J6147" t="s">
        <v>40</v>
      </c>
      <c r="K6147" s="2" t="s">
        <v>2983</v>
      </c>
      <c r="L6147" t="s">
        <v>26</v>
      </c>
      <c r="M6147">
        <v>329813</v>
      </c>
      <c r="N6147">
        <v>-1</v>
      </c>
      <c r="O6147" s="3">
        <v>-29990</v>
      </c>
      <c r="P6147" s="3">
        <v>10981</v>
      </c>
      <c r="Q6147" s="5">
        <f t="shared" si="285"/>
        <v>-25201.680672268907</v>
      </c>
      <c r="R6147" s="5">
        <f t="shared" si="286"/>
        <v>-10981</v>
      </c>
      <c r="S6147" s="5">
        <f t="shared" si="287"/>
        <v>-14220.680672268907</v>
      </c>
    </row>
    <row r="6148" spans="1:19" hidden="1" x14ac:dyDescent="0.3">
      <c r="A6148">
        <v>200</v>
      </c>
      <c r="B6148" t="s">
        <v>6336</v>
      </c>
      <c r="C6148" t="s">
        <v>3116</v>
      </c>
      <c r="D6148" s="2" t="s">
        <v>3117</v>
      </c>
      <c r="E6148" t="s">
        <v>2185</v>
      </c>
      <c r="F6148" t="s">
        <v>20</v>
      </c>
      <c r="G6148" t="s">
        <v>21</v>
      </c>
      <c r="H6148" t="s">
        <v>614</v>
      </c>
      <c r="I6148" t="s">
        <v>23</v>
      </c>
      <c r="J6148" t="s">
        <v>40</v>
      </c>
      <c r="K6148" s="2" t="s">
        <v>2983</v>
      </c>
      <c r="L6148" t="s">
        <v>26</v>
      </c>
      <c r="M6148">
        <v>329813</v>
      </c>
      <c r="N6148">
        <v>1</v>
      </c>
      <c r="O6148" s="3">
        <v>44990</v>
      </c>
      <c r="P6148" s="3">
        <v>17389</v>
      </c>
      <c r="Q6148" s="5">
        <f t="shared" si="285"/>
        <v>37806.722689075636</v>
      </c>
      <c r="R6148" s="5">
        <f t="shared" si="286"/>
        <v>17389</v>
      </c>
      <c r="S6148" s="5">
        <f t="shared" si="287"/>
        <v>20417.722689075636</v>
      </c>
    </row>
    <row r="6149" spans="1:19" hidden="1" x14ac:dyDescent="0.3">
      <c r="A6149">
        <v>200</v>
      </c>
      <c r="B6149" t="s">
        <v>6336</v>
      </c>
      <c r="C6149" t="s">
        <v>6449</v>
      </c>
      <c r="D6149" s="2" t="s">
        <v>6450</v>
      </c>
      <c r="E6149" t="s">
        <v>975</v>
      </c>
      <c r="F6149" t="s">
        <v>20</v>
      </c>
      <c r="G6149" t="s">
        <v>338</v>
      </c>
      <c r="H6149">
        <v>28204</v>
      </c>
      <c r="I6149" t="s">
        <v>23</v>
      </c>
      <c r="J6149" t="s">
        <v>207</v>
      </c>
      <c r="K6149" s="2" t="s">
        <v>2983</v>
      </c>
      <c r="L6149" t="s">
        <v>26</v>
      </c>
      <c r="M6149">
        <v>329814</v>
      </c>
      <c r="N6149">
        <v>1</v>
      </c>
      <c r="O6149" s="3">
        <v>39990</v>
      </c>
      <c r="P6149" s="3">
        <v>20434</v>
      </c>
      <c r="Q6149" s="5">
        <f t="shared" si="285"/>
        <v>33605.042016806721</v>
      </c>
      <c r="R6149" s="5">
        <f t="shared" si="286"/>
        <v>20434</v>
      </c>
      <c r="S6149" s="5">
        <f t="shared" si="287"/>
        <v>13171.042016806721</v>
      </c>
    </row>
    <row r="6150" spans="1:19" hidden="1" x14ac:dyDescent="0.3">
      <c r="A6150">
        <v>200</v>
      </c>
      <c r="B6150" t="s">
        <v>6336</v>
      </c>
      <c r="C6150" t="s">
        <v>5535</v>
      </c>
      <c r="D6150" s="2" t="s">
        <v>5536</v>
      </c>
      <c r="E6150" t="s">
        <v>4226</v>
      </c>
      <c r="F6150" t="s">
        <v>20</v>
      </c>
      <c r="G6150" t="s">
        <v>21</v>
      </c>
      <c r="H6150" t="s">
        <v>2189</v>
      </c>
      <c r="I6150" t="s">
        <v>23</v>
      </c>
      <c r="J6150" t="s">
        <v>40</v>
      </c>
      <c r="K6150" s="2" t="s">
        <v>2983</v>
      </c>
      <c r="L6150" t="s">
        <v>26</v>
      </c>
      <c r="M6150">
        <v>329815</v>
      </c>
      <c r="N6150">
        <v>1</v>
      </c>
      <c r="O6150" s="3">
        <v>74950</v>
      </c>
      <c r="P6150" s="3">
        <v>27730</v>
      </c>
      <c r="Q6150" s="5">
        <f t="shared" ref="Q6150:Q6213" si="288">O6150/1.19</f>
        <v>62983.193277310929</v>
      </c>
      <c r="R6150" s="5">
        <f t="shared" ref="R6150:R6213" si="289">N6150*P6150</f>
        <v>27730</v>
      </c>
      <c r="S6150" s="5">
        <f t="shared" ref="S6150:S6213" si="290">Q6150-R6150</f>
        <v>35253.193277310929</v>
      </c>
    </row>
    <row r="6151" spans="1:19" hidden="1" x14ac:dyDescent="0.3">
      <c r="A6151">
        <v>200</v>
      </c>
      <c r="B6151" t="s">
        <v>6336</v>
      </c>
      <c r="C6151" t="s">
        <v>1410</v>
      </c>
      <c r="D6151" s="2" t="s">
        <v>1411</v>
      </c>
      <c r="E6151" t="s">
        <v>1412</v>
      </c>
      <c r="F6151" t="s">
        <v>20</v>
      </c>
      <c r="G6151" t="s">
        <v>338</v>
      </c>
      <c r="H6151">
        <v>23603</v>
      </c>
      <c r="I6151" t="s">
        <v>23</v>
      </c>
      <c r="J6151" t="s">
        <v>40</v>
      </c>
      <c r="K6151" s="2" t="s">
        <v>2983</v>
      </c>
      <c r="L6151" t="s">
        <v>26</v>
      </c>
      <c r="M6151">
        <v>329815</v>
      </c>
      <c r="N6151">
        <v>-1</v>
      </c>
      <c r="O6151" s="3">
        <v>-49990</v>
      </c>
      <c r="P6151" s="3">
        <v>22607</v>
      </c>
      <c r="Q6151" s="5">
        <f t="shared" si="288"/>
        <v>-42008.403361344543</v>
      </c>
      <c r="R6151" s="5">
        <f t="shared" si="289"/>
        <v>-22607</v>
      </c>
      <c r="S6151" s="5">
        <f t="shared" si="290"/>
        <v>-19401.403361344543</v>
      </c>
    </row>
    <row r="6152" spans="1:19" hidden="1" x14ac:dyDescent="0.3">
      <c r="A6152">
        <v>200</v>
      </c>
      <c r="B6152" t="s">
        <v>6336</v>
      </c>
      <c r="C6152" t="s">
        <v>2908</v>
      </c>
      <c r="D6152" s="2" t="s">
        <v>2909</v>
      </c>
      <c r="E6152" t="s">
        <v>2910</v>
      </c>
      <c r="F6152" t="s">
        <v>20</v>
      </c>
      <c r="G6152" t="s">
        <v>338</v>
      </c>
      <c r="H6152">
        <v>25212</v>
      </c>
      <c r="I6152" t="s">
        <v>23</v>
      </c>
      <c r="J6152" t="s">
        <v>35</v>
      </c>
      <c r="K6152" s="2" t="s">
        <v>2983</v>
      </c>
      <c r="L6152" t="s">
        <v>26</v>
      </c>
      <c r="M6152">
        <v>329816</v>
      </c>
      <c r="N6152">
        <v>1</v>
      </c>
      <c r="O6152" s="3">
        <v>82460</v>
      </c>
      <c r="P6152" s="3">
        <v>34157</v>
      </c>
      <c r="Q6152" s="5">
        <f t="shared" si="288"/>
        <v>69294.117647058825</v>
      </c>
      <c r="R6152" s="5">
        <f t="shared" si="289"/>
        <v>34157</v>
      </c>
      <c r="S6152" s="5">
        <f t="shared" si="290"/>
        <v>35137.117647058825</v>
      </c>
    </row>
    <row r="6153" spans="1:19" hidden="1" x14ac:dyDescent="0.3">
      <c r="A6153">
        <v>200</v>
      </c>
      <c r="B6153" t="s">
        <v>6336</v>
      </c>
      <c r="C6153" t="s">
        <v>3401</v>
      </c>
      <c r="D6153" s="2" t="s">
        <v>3402</v>
      </c>
      <c r="E6153" t="s">
        <v>3403</v>
      </c>
      <c r="F6153" t="s">
        <v>377</v>
      </c>
      <c r="G6153" t="s">
        <v>21</v>
      </c>
      <c r="H6153" t="s">
        <v>378</v>
      </c>
      <c r="I6153" t="s">
        <v>23</v>
      </c>
      <c r="J6153" t="s">
        <v>3297</v>
      </c>
      <c r="K6153" s="2" t="s">
        <v>2983</v>
      </c>
      <c r="L6153" t="s">
        <v>26</v>
      </c>
      <c r="M6153">
        <v>329817</v>
      </c>
      <c r="N6153">
        <v>1</v>
      </c>
      <c r="O6153">
        <v>500</v>
      </c>
      <c r="P6153">
        <v>418</v>
      </c>
      <c r="Q6153" s="5">
        <f t="shared" si="288"/>
        <v>420.1680672268908</v>
      </c>
      <c r="R6153" s="5">
        <f t="shared" si="289"/>
        <v>418</v>
      </c>
      <c r="S6153" s="5">
        <f t="shared" si="290"/>
        <v>2.1680672268907983</v>
      </c>
    </row>
    <row r="6154" spans="1:19" hidden="1" x14ac:dyDescent="0.3">
      <c r="A6154">
        <v>200</v>
      </c>
      <c r="B6154" t="s">
        <v>6336</v>
      </c>
      <c r="C6154" t="s">
        <v>4067</v>
      </c>
      <c r="D6154" s="2" t="s">
        <v>4068</v>
      </c>
      <c r="E6154" t="s">
        <v>3323</v>
      </c>
      <c r="F6154" t="s">
        <v>20</v>
      </c>
      <c r="G6154" t="s">
        <v>21</v>
      </c>
      <c r="H6154" t="s">
        <v>625</v>
      </c>
      <c r="I6154" t="s">
        <v>23</v>
      </c>
      <c r="J6154" t="s">
        <v>35</v>
      </c>
      <c r="K6154" s="2" t="s">
        <v>3074</v>
      </c>
      <c r="L6154" t="s">
        <v>26</v>
      </c>
      <c r="M6154">
        <v>329818</v>
      </c>
      <c r="N6154">
        <v>1</v>
      </c>
      <c r="O6154" s="3">
        <v>49990</v>
      </c>
      <c r="P6154" s="3">
        <v>24956</v>
      </c>
      <c r="Q6154" s="5">
        <f t="shared" si="288"/>
        <v>42008.403361344543</v>
      </c>
      <c r="R6154" s="5">
        <f t="shared" si="289"/>
        <v>24956</v>
      </c>
      <c r="S6154" s="5">
        <f t="shared" si="290"/>
        <v>17052.403361344543</v>
      </c>
    </row>
    <row r="6155" spans="1:19" hidden="1" x14ac:dyDescent="0.3">
      <c r="A6155">
        <v>200</v>
      </c>
      <c r="B6155" t="s">
        <v>6336</v>
      </c>
      <c r="C6155" t="s">
        <v>3401</v>
      </c>
      <c r="D6155" s="2" t="s">
        <v>3402</v>
      </c>
      <c r="E6155" t="s">
        <v>3403</v>
      </c>
      <c r="F6155" t="s">
        <v>377</v>
      </c>
      <c r="G6155" t="s">
        <v>21</v>
      </c>
      <c r="H6155" t="s">
        <v>378</v>
      </c>
      <c r="I6155" t="s">
        <v>23</v>
      </c>
      <c r="J6155" t="s">
        <v>3297</v>
      </c>
      <c r="K6155" s="2" t="s">
        <v>3074</v>
      </c>
      <c r="L6155" t="s">
        <v>26</v>
      </c>
      <c r="M6155">
        <v>329818</v>
      </c>
      <c r="N6155">
        <v>1</v>
      </c>
      <c r="O6155">
        <v>500</v>
      </c>
      <c r="P6155">
        <v>418</v>
      </c>
      <c r="Q6155" s="5">
        <f t="shared" si="288"/>
        <v>420.1680672268908</v>
      </c>
      <c r="R6155" s="5">
        <f t="shared" si="289"/>
        <v>418</v>
      </c>
      <c r="S6155" s="5">
        <f t="shared" si="290"/>
        <v>2.1680672268907983</v>
      </c>
    </row>
    <row r="6156" spans="1:19" hidden="1" x14ac:dyDescent="0.3">
      <c r="A6156">
        <v>200</v>
      </c>
      <c r="B6156" t="s">
        <v>6336</v>
      </c>
      <c r="C6156" t="s">
        <v>5607</v>
      </c>
      <c r="D6156" s="2" t="s">
        <v>5608</v>
      </c>
      <c r="E6156" t="s">
        <v>5609</v>
      </c>
      <c r="F6156" t="s">
        <v>20</v>
      </c>
      <c r="G6156" t="s">
        <v>21</v>
      </c>
      <c r="H6156" t="s">
        <v>790</v>
      </c>
      <c r="I6156" t="s">
        <v>23</v>
      </c>
      <c r="J6156" t="s">
        <v>40</v>
      </c>
      <c r="K6156" s="2" t="s">
        <v>3074</v>
      </c>
      <c r="L6156" t="s">
        <v>26</v>
      </c>
      <c r="M6156">
        <v>329819</v>
      </c>
      <c r="N6156">
        <v>-1</v>
      </c>
      <c r="O6156" s="3">
        <v>-79950</v>
      </c>
      <c r="P6156" s="3">
        <v>30692</v>
      </c>
      <c r="Q6156" s="5">
        <f t="shared" si="288"/>
        <v>-67184.873949579836</v>
      </c>
      <c r="R6156" s="5">
        <f t="shared" si="289"/>
        <v>-30692</v>
      </c>
      <c r="S6156" s="5">
        <f t="shared" si="290"/>
        <v>-36492.873949579836</v>
      </c>
    </row>
    <row r="6157" spans="1:19" hidden="1" x14ac:dyDescent="0.3">
      <c r="A6157">
        <v>200</v>
      </c>
      <c r="B6157" t="s">
        <v>6336</v>
      </c>
      <c r="C6157" t="s">
        <v>6451</v>
      </c>
      <c r="D6157" s="2" t="s">
        <v>6452</v>
      </c>
      <c r="E6157" t="s">
        <v>5544</v>
      </c>
      <c r="F6157" t="s">
        <v>20</v>
      </c>
      <c r="G6157" t="s">
        <v>338</v>
      </c>
      <c r="H6157">
        <v>86422</v>
      </c>
      <c r="I6157" t="s">
        <v>23</v>
      </c>
      <c r="J6157" t="s">
        <v>35</v>
      </c>
      <c r="K6157" s="2" t="s">
        <v>3074</v>
      </c>
      <c r="L6157" t="s">
        <v>26</v>
      </c>
      <c r="M6157">
        <v>329819</v>
      </c>
      <c r="N6157">
        <v>1</v>
      </c>
      <c r="O6157" s="3">
        <v>109950</v>
      </c>
      <c r="P6157" s="3">
        <v>33793</v>
      </c>
      <c r="Q6157" s="5">
        <f t="shared" si="288"/>
        <v>92394.957983193279</v>
      </c>
      <c r="R6157" s="5">
        <f t="shared" si="289"/>
        <v>33793</v>
      </c>
      <c r="S6157" s="5">
        <f t="shared" si="290"/>
        <v>58601.957983193279</v>
      </c>
    </row>
    <row r="6158" spans="1:19" hidden="1" x14ac:dyDescent="0.3">
      <c r="A6158">
        <v>200</v>
      </c>
      <c r="B6158" t="s">
        <v>6336</v>
      </c>
      <c r="C6158" t="s">
        <v>4283</v>
      </c>
      <c r="D6158" s="2" t="s">
        <v>4284</v>
      </c>
      <c r="E6158" t="s">
        <v>3449</v>
      </c>
      <c r="F6158" t="s">
        <v>20</v>
      </c>
      <c r="G6158" t="s">
        <v>338</v>
      </c>
      <c r="H6158">
        <v>25366</v>
      </c>
      <c r="I6158" t="s">
        <v>23</v>
      </c>
      <c r="J6158" t="s">
        <v>35</v>
      </c>
      <c r="K6158" s="2" t="s">
        <v>3074</v>
      </c>
      <c r="L6158" t="s">
        <v>26</v>
      </c>
      <c r="M6158">
        <v>329820</v>
      </c>
      <c r="N6158">
        <v>1</v>
      </c>
      <c r="O6158" s="3">
        <v>99950</v>
      </c>
      <c r="P6158" s="3">
        <v>33157</v>
      </c>
      <c r="Q6158" s="5">
        <f t="shared" si="288"/>
        <v>83991.596638655465</v>
      </c>
      <c r="R6158" s="5">
        <f t="shared" si="289"/>
        <v>33157</v>
      </c>
      <c r="S6158" s="5">
        <f t="shared" si="290"/>
        <v>50834.596638655465</v>
      </c>
    </row>
    <row r="6159" spans="1:19" hidden="1" x14ac:dyDescent="0.3">
      <c r="A6159">
        <v>200</v>
      </c>
      <c r="B6159" t="s">
        <v>6336</v>
      </c>
      <c r="C6159" t="s">
        <v>4245</v>
      </c>
      <c r="D6159" s="2" t="s">
        <v>4246</v>
      </c>
      <c r="E6159" t="s">
        <v>3113</v>
      </c>
      <c r="F6159" t="s">
        <v>20</v>
      </c>
      <c r="G6159" t="s">
        <v>338</v>
      </c>
      <c r="H6159">
        <v>25702</v>
      </c>
      <c r="I6159" t="s">
        <v>23</v>
      </c>
      <c r="J6159" t="s">
        <v>35</v>
      </c>
      <c r="K6159" s="2" t="s">
        <v>3074</v>
      </c>
      <c r="L6159" t="s">
        <v>26</v>
      </c>
      <c r="M6159">
        <v>329820</v>
      </c>
      <c r="N6159">
        <v>1</v>
      </c>
      <c r="O6159" s="3">
        <v>93450</v>
      </c>
      <c r="P6159" s="3">
        <v>34974</v>
      </c>
      <c r="Q6159" s="5">
        <f t="shared" si="288"/>
        <v>78529.411764705888</v>
      </c>
      <c r="R6159" s="5">
        <f t="shared" si="289"/>
        <v>34974</v>
      </c>
      <c r="S6159" s="5">
        <f t="shared" si="290"/>
        <v>43555.411764705888</v>
      </c>
    </row>
    <row r="6160" spans="1:19" hidden="1" x14ac:dyDescent="0.3">
      <c r="A6160">
        <v>200</v>
      </c>
      <c r="B6160" t="s">
        <v>6336</v>
      </c>
      <c r="C6160" t="s">
        <v>6453</v>
      </c>
      <c r="D6160" s="2" t="s">
        <v>6454</v>
      </c>
      <c r="E6160" t="s">
        <v>2744</v>
      </c>
      <c r="F6160" t="s">
        <v>20</v>
      </c>
      <c r="G6160" t="s">
        <v>21</v>
      </c>
      <c r="H6160" t="s">
        <v>2745</v>
      </c>
      <c r="I6160" t="s">
        <v>23</v>
      </c>
      <c r="J6160" t="s">
        <v>35</v>
      </c>
      <c r="K6160" s="2" t="s">
        <v>3074</v>
      </c>
      <c r="L6160" t="s">
        <v>26</v>
      </c>
      <c r="M6160">
        <v>329821</v>
      </c>
      <c r="N6160">
        <v>1</v>
      </c>
      <c r="O6160" s="3">
        <v>99950</v>
      </c>
      <c r="P6160" s="3">
        <v>33200</v>
      </c>
      <c r="Q6160" s="5">
        <f t="shared" si="288"/>
        <v>83991.596638655465</v>
      </c>
      <c r="R6160" s="5">
        <f t="shared" si="289"/>
        <v>33200</v>
      </c>
      <c r="S6160" s="5">
        <f t="shared" si="290"/>
        <v>50791.596638655465</v>
      </c>
    </row>
    <row r="6161" spans="1:19" hidden="1" x14ac:dyDescent="0.3">
      <c r="A6161">
        <v>200</v>
      </c>
      <c r="B6161" t="s">
        <v>6336</v>
      </c>
      <c r="C6161" t="s">
        <v>2955</v>
      </c>
      <c r="D6161" s="2" t="s">
        <v>2956</v>
      </c>
      <c r="E6161" t="s">
        <v>1758</v>
      </c>
      <c r="F6161" t="s">
        <v>20</v>
      </c>
      <c r="G6161" t="s">
        <v>338</v>
      </c>
      <c r="H6161">
        <v>25133</v>
      </c>
      <c r="I6161" t="s">
        <v>23</v>
      </c>
      <c r="J6161" t="s">
        <v>35</v>
      </c>
      <c r="K6161" s="2" t="s">
        <v>3074</v>
      </c>
      <c r="L6161" t="s">
        <v>26</v>
      </c>
      <c r="M6161">
        <v>329822</v>
      </c>
      <c r="N6161">
        <v>1</v>
      </c>
      <c r="O6161" s="3">
        <v>74950</v>
      </c>
      <c r="P6161" s="3">
        <v>21167</v>
      </c>
      <c r="Q6161" s="5">
        <f t="shared" si="288"/>
        <v>62983.193277310929</v>
      </c>
      <c r="R6161" s="5">
        <f t="shared" si="289"/>
        <v>21167</v>
      </c>
      <c r="S6161" s="5">
        <f t="shared" si="290"/>
        <v>41816.193277310929</v>
      </c>
    </row>
    <row r="6162" spans="1:19" hidden="1" x14ac:dyDescent="0.3">
      <c r="A6162">
        <v>200</v>
      </c>
      <c r="B6162" t="s">
        <v>6336</v>
      </c>
      <c r="C6162" t="s">
        <v>6455</v>
      </c>
      <c r="D6162" s="2" t="s">
        <v>6456</v>
      </c>
      <c r="E6162" t="s">
        <v>2813</v>
      </c>
      <c r="F6162" t="s">
        <v>20</v>
      </c>
      <c r="G6162" t="s">
        <v>21</v>
      </c>
      <c r="H6162" t="s">
        <v>171</v>
      </c>
      <c r="I6162" t="s">
        <v>23</v>
      </c>
      <c r="J6162" t="s">
        <v>40</v>
      </c>
      <c r="K6162" s="2" t="s">
        <v>3074</v>
      </c>
      <c r="L6162" t="s">
        <v>26</v>
      </c>
      <c r="M6162">
        <v>329823</v>
      </c>
      <c r="N6162">
        <v>1</v>
      </c>
      <c r="O6162" s="3">
        <v>59990</v>
      </c>
      <c r="P6162" s="3">
        <v>29949</v>
      </c>
      <c r="Q6162" s="5">
        <f t="shared" si="288"/>
        <v>50411.764705882357</v>
      </c>
      <c r="R6162" s="5">
        <f t="shared" si="289"/>
        <v>29949</v>
      </c>
      <c r="S6162" s="5">
        <f t="shared" si="290"/>
        <v>20462.764705882357</v>
      </c>
    </row>
    <row r="6163" spans="1:19" hidden="1" x14ac:dyDescent="0.3">
      <c r="A6163">
        <v>200</v>
      </c>
      <c r="B6163" t="s">
        <v>6336</v>
      </c>
      <c r="C6163" t="s">
        <v>3401</v>
      </c>
      <c r="D6163" s="2" t="s">
        <v>3402</v>
      </c>
      <c r="E6163" t="s">
        <v>3403</v>
      </c>
      <c r="F6163" t="s">
        <v>377</v>
      </c>
      <c r="G6163" t="s">
        <v>21</v>
      </c>
      <c r="H6163" t="s">
        <v>378</v>
      </c>
      <c r="I6163" t="s">
        <v>23</v>
      </c>
      <c r="J6163" t="s">
        <v>3297</v>
      </c>
      <c r="K6163" s="2" t="s">
        <v>3074</v>
      </c>
      <c r="L6163" t="s">
        <v>26</v>
      </c>
      <c r="M6163">
        <v>329823</v>
      </c>
      <c r="N6163">
        <v>1</v>
      </c>
      <c r="O6163">
        <v>500</v>
      </c>
      <c r="P6163">
        <v>418</v>
      </c>
      <c r="Q6163" s="5">
        <f t="shared" si="288"/>
        <v>420.1680672268908</v>
      </c>
      <c r="R6163" s="5">
        <f t="shared" si="289"/>
        <v>418</v>
      </c>
      <c r="S6163" s="5">
        <f t="shared" si="290"/>
        <v>2.1680672268907983</v>
      </c>
    </row>
    <row r="6164" spans="1:19" hidden="1" x14ac:dyDescent="0.3">
      <c r="A6164">
        <v>200</v>
      </c>
      <c r="B6164" t="s">
        <v>6336</v>
      </c>
      <c r="C6164" t="s">
        <v>4061</v>
      </c>
      <c r="D6164" s="2" t="s">
        <v>4062</v>
      </c>
      <c r="E6164" t="s">
        <v>2208</v>
      </c>
      <c r="F6164" t="s">
        <v>20</v>
      </c>
      <c r="G6164" t="s">
        <v>338</v>
      </c>
      <c r="H6164">
        <v>25823</v>
      </c>
      <c r="I6164" t="s">
        <v>23</v>
      </c>
      <c r="J6164" t="s">
        <v>35</v>
      </c>
      <c r="K6164" s="2" t="s">
        <v>3074</v>
      </c>
      <c r="L6164" t="s">
        <v>26</v>
      </c>
      <c r="M6164">
        <v>329824</v>
      </c>
      <c r="N6164">
        <v>1</v>
      </c>
      <c r="O6164" s="3">
        <v>84950</v>
      </c>
      <c r="P6164" s="3">
        <v>33748</v>
      </c>
      <c r="Q6164" s="5">
        <f t="shared" si="288"/>
        <v>71386.554621848743</v>
      </c>
      <c r="R6164" s="5">
        <f t="shared" si="289"/>
        <v>33748</v>
      </c>
      <c r="S6164" s="5">
        <f t="shared" si="290"/>
        <v>37638.554621848743</v>
      </c>
    </row>
    <row r="6165" spans="1:19" hidden="1" x14ac:dyDescent="0.3">
      <c r="A6165">
        <v>200</v>
      </c>
      <c r="B6165" t="s">
        <v>6336</v>
      </c>
      <c r="C6165" t="s">
        <v>2746</v>
      </c>
      <c r="D6165" s="2" t="s">
        <v>2747</v>
      </c>
      <c r="E6165" t="s">
        <v>2748</v>
      </c>
      <c r="F6165" t="s">
        <v>20</v>
      </c>
      <c r="G6165" t="s">
        <v>338</v>
      </c>
      <c r="H6165">
        <v>26266</v>
      </c>
      <c r="I6165" t="s">
        <v>23</v>
      </c>
      <c r="J6165" t="s">
        <v>35</v>
      </c>
      <c r="K6165" s="2" t="s">
        <v>3074</v>
      </c>
      <c r="L6165" t="s">
        <v>26</v>
      </c>
      <c r="M6165">
        <v>329824</v>
      </c>
      <c r="N6165">
        <v>1</v>
      </c>
      <c r="O6165" s="3">
        <v>79950</v>
      </c>
      <c r="P6165" s="3">
        <v>25300</v>
      </c>
      <c r="Q6165" s="5">
        <f t="shared" si="288"/>
        <v>67184.873949579836</v>
      </c>
      <c r="R6165" s="5">
        <f t="shared" si="289"/>
        <v>25300</v>
      </c>
      <c r="S6165" s="5">
        <f t="shared" si="290"/>
        <v>41884.873949579836</v>
      </c>
    </row>
    <row r="6166" spans="1:19" hidden="1" x14ac:dyDescent="0.3">
      <c r="A6166">
        <v>200</v>
      </c>
      <c r="B6166" t="s">
        <v>6336</v>
      </c>
      <c r="C6166" t="s">
        <v>1761</v>
      </c>
      <c r="D6166" s="2" t="s">
        <v>1762</v>
      </c>
      <c r="E6166" t="s">
        <v>1763</v>
      </c>
      <c r="F6166" t="s">
        <v>377</v>
      </c>
      <c r="G6166" t="s">
        <v>21</v>
      </c>
      <c r="H6166" t="s">
        <v>378</v>
      </c>
      <c r="I6166" t="s">
        <v>23</v>
      </c>
      <c r="J6166" t="s">
        <v>379</v>
      </c>
      <c r="K6166" s="2" t="s">
        <v>3074</v>
      </c>
      <c r="L6166" t="s">
        <v>26</v>
      </c>
      <c r="M6166">
        <v>329825</v>
      </c>
      <c r="N6166">
        <v>1</v>
      </c>
      <c r="O6166" s="3">
        <v>5950</v>
      </c>
      <c r="P6166" s="3">
        <v>3279</v>
      </c>
      <c r="Q6166" s="5">
        <f t="shared" si="288"/>
        <v>5000</v>
      </c>
      <c r="R6166" s="5">
        <f t="shared" si="289"/>
        <v>3279</v>
      </c>
      <c r="S6166" s="5">
        <f t="shared" si="290"/>
        <v>1721</v>
      </c>
    </row>
    <row r="6167" spans="1:19" hidden="1" x14ac:dyDescent="0.3">
      <c r="A6167">
        <v>200</v>
      </c>
      <c r="B6167" t="s">
        <v>6336</v>
      </c>
      <c r="C6167" t="s">
        <v>6457</v>
      </c>
      <c r="D6167" s="2" t="s">
        <v>6458</v>
      </c>
      <c r="E6167" t="s">
        <v>5030</v>
      </c>
      <c r="F6167" t="s">
        <v>20</v>
      </c>
      <c r="G6167" t="s">
        <v>21</v>
      </c>
      <c r="H6167" t="s">
        <v>2305</v>
      </c>
      <c r="I6167" t="s">
        <v>23</v>
      </c>
      <c r="J6167" t="s">
        <v>207</v>
      </c>
      <c r="K6167" s="2" t="s">
        <v>3074</v>
      </c>
      <c r="L6167" t="s">
        <v>26</v>
      </c>
      <c r="M6167">
        <v>329826</v>
      </c>
      <c r="N6167">
        <v>1</v>
      </c>
      <c r="O6167" s="3">
        <v>39990</v>
      </c>
      <c r="P6167" s="3">
        <v>22880</v>
      </c>
      <c r="Q6167" s="5">
        <f t="shared" si="288"/>
        <v>33605.042016806721</v>
      </c>
      <c r="R6167" s="5">
        <f t="shared" si="289"/>
        <v>22880</v>
      </c>
      <c r="S6167" s="5">
        <f t="shared" si="290"/>
        <v>10725.042016806721</v>
      </c>
    </row>
    <row r="6168" spans="1:19" hidden="1" x14ac:dyDescent="0.3">
      <c r="A6168">
        <v>200</v>
      </c>
      <c r="B6168" t="s">
        <v>6336</v>
      </c>
      <c r="C6168" t="s">
        <v>6013</v>
      </c>
      <c r="D6168" s="2" t="s">
        <v>6014</v>
      </c>
      <c r="E6168" t="s">
        <v>4084</v>
      </c>
      <c r="F6168" t="s">
        <v>20</v>
      </c>
      <c r="G6168" t="s">
        <v>21</v>
      </c>
      <c r="H6168" t="s">
        <v>3272</v>
      </c>
      <c r="I6168" t="s">
        <v>23</v>
      </c>
      <c r="J6168" t="s">
        <v>40</v>
      </c>
      <c r="K6168" s="2" t="s">
        <v>3074</v>
      </c>
      <c r="L6168" t="s">
        <v>26</v>
      </c>
      <c r="M6168">
        <v>329827</v>
      </c>
      <c r="N6168">
        <v>1</v>
      </c>
      <c r="O6168" s="3">
        <v>59950</v>
      </c>
      <c r="P6168" s="3">
        <v>23104</v>
      </c>
      <c r="Q6168" s="5">
        <f t="shared" si="288"/>
        <v>50378.151260504201</v>
      </c>
      <c r="R6168" s="5">
        <f t="shared" si="289"/>
        <v>23104</v>
      </c>
      <c r="S6168" s="5">
        <f t="shared" si="290"/>
        <v>27274.151260504201</v>
      </c>
    </row>
    <row r="6169" spans="1:19" hidden="1" x14ac:dyDescent="0.3">
      <c r="A6169">
        <v>200</v>
      </c>
      <c r="B6169" t="s">
        <v>6336</v>
      </c>
      <c r="C6169" t="s">
        <v>4338</v>
      </c>
      <c r="D6169" s="2" t="s">
        <v>4339</v>
      </c>
      <c r="E6169" t="s">
        <v>2666</v>
      </c>
      <c r="F6169" t="s">
        <v>20</v>
      </c>
      <c r="G6169" t="s">
        <v>21</v>
      </c>
      <c r="H6169" t="s">
        <v>65</v>
      </c>
      <c r="I6169" t="s">
        <v>23</v>
      </c>
      <c r="J6169" t="s">
        <v>49</v>
      </c>
      <c r="K6169" s="2" t="s">
        <v>3074</v>
      </c>
      <c r="L6169" t="s">
        <v>26</v>
      </c>
      <c r="M6169">
        <v>329828</v>
      </c>
      <c r="N6169">
        <v>1</v>
      </c>
      <c r="O6169" s="3">
        <v>64950</v>
      </c>
      <c r="P6169" s="3">
        <v>22797</v>
      </c>
      <c r="Q6169" s="5">
        <f t="shared" si="288"/>
        <v>54579.831932773115</v>
      </c>
      <c r="R6169" s="5">
        <f t="shared" si="289"/>
        <v>22797</v>
      </c>
      <c r="S6169" s="5">
        <f t="shared" si="290"/>
        <v>31782.831932773115</v>
      </c>
    </row>
    <row r="6170" spans="1:19" hidden="1" x14ac:dyDescent="0.3">
      <c r="A6170">
        <v>200</v>
      </c>
      <c r="B6170" t="s">
        <v>6336</v>
      </c>
      <c r="C6170" t="s">
        <v>3176</v>
      </c>
      <c r="D6170" s="2" t="s">
        <v>3177</v>
      </c>
      <c r="E6170" t="s">
        <v>2539</v>
      </c>
      <c r="F6170" t="s">
        <v>20</v>
      </c>
      <c r="G6170" t="s">
        <v>21</v>
      </c>
      <c r="H6170" t="s">
        <v>966</v>
      </c>
      <c r="I6170" t="s">
        <v>23</v>
      </c>
      <c r="J6170" t="s">
        <v>35</v>
      </c>
      <c r="K6170" s="2" t="s">
        <v>3074</v>
      </c>
      <c r="L6170" t="s">
        <v>26</v>
      </c>
      <c r="M6170">
        <v>329829</v>
      </c>
      <c r="N6170">
        <v>1</v>
      </c>
      <c r="O6170" s="3">
        <v>74950</v>
      </c>
      <c r="P6170" s="3">
        <v>27328</v>
      </c>
      <c r="Q6170" s="5">
        <f t="shared" si="288"/>
        <v>62983.193277310929</v>
      </c>
      <c r="R6170" s="5">
        <f t="shared" si="289"/>
        <v>27328</v>
      </c>
      <c r="S6170" s="5">
        <f t="shared" si="290"/>
        <v>35655.193277310929</v>
      </c>
    </row>
    <row r="6171" spans="1:19" hidden="1" x14ac:dyDescent="0.3">
      <c r="A6171">
        <v>200</v>
      </c>
      <c r="B6171" t="s">
        <v>6336</v>
      </c>
      <c r="C6171" t="s">
        <v>2649</v>
      </c>
      <c r="D6171" s="2" t="s">
        <v>2650</v>
      </c>
      <c r="E6171" t="s">
        <v>266</v>
      </c>
      <c r="F6171" t="s">
        <v>20</v>
      </c>
      <c r="G6171" t="s">
        <v>21</v>
      </c>
      <c r="H6171" t="s">
        <v>267</v>
      </c>
      <c r="I6171" t="s">
        <v>23</v>
      </c>
      <c r="J6171" t="s">
        <v>49</v>
      </c>
      <c r="K6171" s="2" t="s">
        <v>3074</v>
      </c>
      <c r="L6171" t="s">
        <v>26</v>
      </c>
      <c r="M6171">
        <v>329829</v>
      </c>
      <c r="N6171">
        <v>1</v>
      </c>
      <c r="O6171" s="3">
        <v>64950</v>
      </c>
      <c r="P6171" s="3">
        <v>24504</v>
      </c>
      <c r="Q6171" s="5">
        <f t="shared" si="288"/>
        <v>54579.831932773115</v>
      </c>
      <c r="R6171" s="5">
        <f t="shared" si="289"/>
        <v>24504</v>
      </c>
      <c r="S6171" s="5">
        <f t="shared" si="290"/>
        <v>30075.831932773115</v>
      </c>
    </row>
    <row r="6172" spans="1:19" hidden="1" x14ac:dyDescent="0.3">
      <c r="A6172">
        <v>200</v>
      </c>
      <c r="B6172" t="s">
        <v>6336</v>
      </c>
      <c r="C6172" t="s">
        <v>6459</v>
      </c>
      <c r="D6172" s="2" t="s">
        <v>6460</v>
      </c>
      <c r="E6172" t="s">
        <v>6461</v>
      </c>
      <c r="F6172" t="s">
        <v>20</v>
      </c>
      <c r="G6172" t="s">
        <v>21</v>
      </c>
      <c r="H6172" t="s">
        <v>614</v>
      </c>
      <c r="I6172" t="s">
        <v>23</v>
      </c>
      <c r="J6172" t="s">
        <v>40</v>
      </c>
      <c r="K6172" s="2" t="s">
        <v>3074</v>
      </c>
      <c r="L6172" t="s">
        <v>26</v>
      </c>
      <c r="M6172">
        <v>329830</v>
      </c>
      <c r="N6172">
        <v>1</v>
      </c>
      <c r="O6172" s="3">
        <v>29990</v>
      </c>
      <c r="P6172" s="3">
        <v>14717</v>
      </c>
      <c r="Q6172" s="5">
        <f t="shared" si="288"/>
        <v>25201.680672268907</v>
      </c>
      <c r="R6172" s="5">
        <f t="shared" si="289"/>
        <v>14717</v>
      </c>
      <c r="S6172" s="5">
        <f t="shared" si="290"/>
        <v>10484.680672268907</v>
      </c>
    </row>
    <row r="6173" spans="1:19" hidden="1" x14ac:dyDescent="0.3">
      <c r="A6173">
        <v>200</v>
      </c>
      <c r="B6173" t="s">
        <v>6336</v>
      </c>
      <c r="C6173">
        <v>1687976791</v>
      </c>
      <c r="D6173" s="2" t="s">
        <v>200</v>
      </c>
      <c r="E6173" t="s">
        <v>201</v>
      </c>
      <c r="F6173" t="s">
        <v>201</v>
      </c>
      <c r="G6173" t="s">
        <v>202</v>
      </c>
      <c r="H6173" t="s">
        <v>202</v>
      </c>
      <c r="I6173" t="s">
        <v>23</v>
      </c>
      <c r="J6173" t="s">
        <v>202</v>
      </c>
      <c r="K6173" s="2" t="s">
        <v>3074</v>
      </c>
      <c r="L6173" t="s">
        <v>26</v>
      </c>
      <c r="M6173">
        <v>329830</v>
      </c>
      <c r="N6173">
        <v>1</v>
      </c>
      <c r="O6173">
        <v>1</v>
      </c>
      <c r="P6173">
        <v>1</v>
      </c>
      <c r="Q6173" s="5">
        <f t="shared" si="288"/>
        <v>0.84033613445378152</v>
      </c>
      <c r="R6173" s="5">
        <f t="shared" si="289"/>
        <v>1</v>
      </c>
      <c r="S6173" s="5">
        <f t="shared" si="290"/>
        <v>-0.15966386554621848</v>
      </c>
    </row>
    <row r="6174" spans="1:19" hidden="1" x14ac:dyDescent="0.3">
      <c r="A6174">
        <v>200</v>
      </c>
      <c r="B6174" t="s">
        <v>6336</v>
      </c>
      <c r="C6174" t="s">
        <v>4611</v>
      </c>
      <c r="D6174" s="2" t="s">
        <v>4612</v>
      </c>
      <c r="E6174" t="s">
        <v>4088</v>
      </c>
      <c r="F6174" t="s">
        <v>20</v>
      </c>
      <c r="G6174" t="s">
        <v>21</v>
      </c>
      <c r="H6174" t="s">
        <v>3272</v>
      </c>
      <c r="I6174" t="s">
        <v>23</v>
      </c>
      <c r="J6174" t="s">
        <v>40</v>
      </c>
      <c r="K6174" s="2" t="s">
        <v>3074</v>
      </c>
      <c r="L6174" t="s">
        <v>26</v>
      </c>
      <c r="M6174">
        <v>329831</v>
      </c>
      <c r="N6174">
        <v>1</v>
      </c>
      <c r="O6174" s="3">
        <v>59950</v>
      </c>
      <c r="P6174" s="3">
        <v>23104</v>
      </c>
      <c r="Q6174" s="5">
        <f t="shared" si="288"/>
        <v>50378.151260504201</v>
      </c>
      <c r="R6174" s="5">
        <f t="shared" si="289"/>
        <v>23104</v>
      </c>
      <c r="S6174" s="5">
        <f t="shared" si="290"/>
        <v>27274.151260504201</v>
      </c>
    </row>
    <row r="6175" spans="1:19" hidden="1" x14ac:dyDescent="0.3">
      <c r="A6175">
        <v>200</v>
      </c>
      <c r="B6175" t="s">
        <v>6336</v>
      </c>
      <c r="C6175" t="s">
        <v>5126</v>
      </c>
      <c r="D6175" s="2" t="s">
        <v>5127</v>
      </c>
      <c r="E6175" t="s">
        <v>2781</v>
      </c>
      <c r="F6175" t="s">
        <v>20</v>
      </c>
      <c r="G6175" t="s">
        <v>21</v>
      </c>
      <c r="H6175" t="s">
        <v>2782</v>
      </c>
      <c r="I6175" t="s">
        <v>23</v>
      </c>
      <c r="J6175" t="s">
        <v>35</v>
      </c>
      <c r="K6175" s="2" t="s">
        <v>3074</v>
      </c>
      <c r="L6175" t="s">
        <v>26</v>
      </c>
      <c r="M6175">
        <v>329831</v>
      </c>
      <c r="N6175">
        <v>1</v>
      </c>
      <c r="O6175" s="3">
        <v>63700</v>
      </c>
      <c r="P6175" s="3">
        <v>24388</v>
      </c>
      <c r="Q6175" s="5">
        <f t="shared" si="288"/>
        <v>53529.411764705888</v>
      </c>
      <c r="R6175" s="5">
        <f t="shared" si="289"/>
        <v>24388</v>
      </c>
      <c r="S6175" s="5">
        <f t="shared" si="290"/>
        <v>29141.411764705888</v>
      </c>
    </row>
    <row r="6176" spans="1:19" hidden="1" x14ac:dyDescent="0.3">
      <c r="A6176">
        <v>200</v>
      </c>
      <c r="B6176" t="s">
        <v>6336</v>
      </c>
      <c r="C6176" t="s">
        <v>6462</v>
      </c>
      <c r="D6176" s="2" t="s">
        <v>6463</v>
      </c>
      <c r="E6176" t="s">
        <v>2504</v>
      </c>
      <c r="F6176" t="s">
        <v>20</v>
      </c>
      <c r="G6176" t="s">
        <v>21</v>
      </c>
      <c r="H6176" t="s">
        <v>2501</v>
      </c>
      <c r="I6176" t="s">
        <v>23</v>
      </c>
      <c r="J6176" t="s">
        <v>40</v>
      </c>
      <c r="K6176" s="2" t="s">
        <v>1569</v>
      </c>
      <c r="L6176" t="s">
        <v>26</v>
      </c>
      <c r="M6176">
        <v>329832</v>
      </c>
      <c r="N6176">
        <v>1</v>
      </c>
      <c r="O6176" s="3">
        <v>84950</v>
      </c>
      <c r="P6176" s="3">
        <v>31649</v>
      </c>
      <c r="Q6176" s="5">
        <f t="shared" si="288"/>
        <v>71386.554621848743</v>
      </c>
      <c r="R6176" s="5">
        <f t="shared" si="289"/>
        <v>31649</v>
      </c>
      <c r="S6176" s="5">
        <f t="shared" si="290"/>
        <v>39737.554621848743</v>
      </c>
    </row>
    <row r="6177" spans="1:19" hidden="1" x14ac:dyDescent="0.3">
      <c r="A6177">
        <v>200</v>
      </c>
      <c r="B6177" t="s">
        <v>6336</v>
      </c>
      <c r="C6177" t="s">
        <v>6464</v>
      </c>
      <c r="D6177" s="2" t="s">
        <v>6465</v>
      </c>
      <c r="E6177" t="s">
        <v>4537</v>
      </c>
      <c r="F6177" t="s">
        <v>20</v>
      </c>
      <c r="G6177" t="s">
        <v>21</v>
      </c>
      <c r="H6177" t="s">
        <v>2759</v>
      </c>
      <c r="I6177" t="s">
        <v>23</v>
      </c>
      <c r="J6177" t="s">
        <v>49</v>
      </c>
      <c r="K6177" s="2" t="s">
        <v>1569</v>
      </c>
      <c r="L6177" t="s">
        <v>26</v>
      </c>
      <c r="M6177">
        <v>329833</v>
      </c>
      <c r="N6177">
        <v>1</v>
      </c>
      <c r="O6177" s="3">
        <v>79950</v>
      </c>
      <c r="P6177" s="3">
        <v>33536</v>
      </c>
      <c r="Q6177" s="5">
        <f t="shared" si="288"/>
        <v>67184.873949579836</v>
      </c>
      <c r="R6177" s="5">
        <f t="shared" si="289"/>
        <v>33536</v>
      </c>
      <c r="S6177" s="5">
        <f t="shared" si="290"/>
        <v>33648.873949579836</v>
      </c>
    </row>
    <row r="6178" spans="1:19" hidden="1" x14ac:dyDescent="0.3">
      <c r="A6178">
        <v>200</v>
      </c>
      <c r="B6178" t="s">
        <v>6336</v>
      </c>
      <c r="C6178" t="s">
        <v>6462</v>
      </c>
      <c r="D6178" s="2" t="s">
        <v>6463</v>
      </c>
      <c r="E6178" t="s">
        <v>2504</v>
      </c>
      <c r="F6178" t="s">
        <v>20</v>
      </c>
      <c r="G6178" t="s">
        <v>21</v>
      </c>
      <c r="H6178" t="s">
        <v>2501</v>
      </c>
      <c r="I6178" t="s">
        <v>23</v>
      </c>
      <c r="J6178" t="s">
        <v>40</v>
      </c>
      <c r="K6178" s="2" t="s">
        <v>1569</v>
      </c>
      <c r="L6178" t="s">
        <v>26</v>
      </c>
      <c r="M6178">
        <v>329833</v>
      </c>
      <c r="N6178">
        <v>-1</v>
      </c>
      <c r="O6178" s="3">
        <v>-84950</v>
      </c>
      <c r="P6178" s="3">
        <v>31649</v>
      </c>
      <c r="Q6178" s="5">
        <f t="shared" si="288"/>
        <v>-71386.554621848743</v>
      </c>
      <c r="R6178" s="5">
        <f t="shared" si="289"/>
        <v>-31649</v>
      </c>
      <c r="S6178" s="5">
        <f t="shared" si="290"/>
        <v>-39737.554621848743</v>
      </c>
    </row>
    <row r="6179" spans="1:19" hidden="1" x14ac:dyDescent="0.3">
      <c r="A6179">
        <v>200</v>
      </c>
      <c r="B6179" t="s">
        <v>6336</v>
      </c>
      <c r="C6179" t="s">
        <v>1761</v>
      </c>
      <c r="D6179" s="2" t="s">
        <v>1762</v>
      </c>
      <c r="E6179" t="s">
        <v>1763</v>
      </c>
      <c r="F6179" t="s">
        <v>377</v>
      </c>
      <c r="G6179" t="s">
        <v>21</v>
      </c>
      <c r="H6179" t="s">
        <v>378</v>
      </c>
      <c r="I6179" t="s">
        <v>23</v>
      </c>
      <c r="J6179" t="s">
        <v>379</v>
      </c>
      <c r="K6179" s="2" t="s">
        <v>1569</v>
      </c>
      <c r="L6179" t="s">
        <v>26</v>
      </c>
      <c r="M6179">
        <v>329833</v>
      </c>
      <c r="N6179">
        <v>1</v>
      </c>
      <c r="O6179" s="3">
        <v>5950</v>
      </c>
      <c r="P6179" s="3">
        <v>3279</v>
      </c>
      <c r="Q6179" s="5">
        <f t="shared" si="288"/>
        <v>5000</v>
      </c>
      <c r="R6179" s="5">
        <f t="shared" si="289"/>
        <v>3279</v>
      </c>
      <c r="S6179" s="5">
        <f t="shared" si="290"/>
        <v>1721</v>
      </c>
    </row>
    <row r="6180" spans="1:19" hidden="1" x14ac:dyDescent="0.3">
      <c r="A6180">
        <v>200</v>
      </c>
      <c r="B6180" t="s">
        <v>6336</v>
      </c>
      <c r="C6180" t="s">
        <v>2623</v>
      </c>
      <c r="D6180" s="2" t="s">
        <v>2624</v>
      </c>
      <c r="E6180" t="s">
        <v>2278</v>
      </c>
      <c r="F6180" t="s">
        <v>20</v>
      </c>
      <c r="G6180" t="s">
        <v>21</v>
      </c>
      <c r="H6180" t="s">
        <v>346</v>
      </c>
      <c r="I6180" t="s">
        <v>23</v>
      </c>
      <c r="J6180" t="s">
        <v>49</v>
      </c>
      <c r="K6180" s="2" t="s">
        <v>1569</v>
      </c>
      <c r="L6180" t="s">
        <v>26</v>
      </c>
      <c r="M6180">
        <v>329834</v>
      </c>
      <c r="N6180">
        <v>1</v>
      </c>
      <c r="O6180" s="3">
        <v>49990</v>
      </c>
      <c r="P6180" s="3">
        <v>23234</v>
      </c>
      <c r="Q6180" s="5">
        <f t="shared" si="288"/>
        <v>42008.403361344543</v>
      </c>
      <c r="R6180" s="5">
        <f t="shared" si="289"/>
        <v>23234</v>
      </c>
      <c r="S6180" s="5">
        <f t="shared" si="290"/>
        <v>18774.403361344543</v>
      </c>
    </row>
    <row r="6181" spans="1:19" hidden="1" x14ac:dyDescent="0.3">
      <c r="A6181">
        <v>200</v>
      </c>
      <c r="B6181" t="s">
        <v>6336</v>
      </c>
      <c r="C6181">
        <v>1687976791</v>
      </c>
      <c r="D6181" s="2" t="s">
        <v>200</v>
      </c>
      <c r="E6181" t="s">
        <v>201</v>
      </c>
      <c r="F6181" t="s">
        <v>201</v>
      </c>
      <c r="G6181" t="s">
        <v>202</v>
      </c>
      <c r="H6181" t="s">
        <v>202</v>
      </c>
      <c r="I6181" t="s">
        <v>23</v>
      </c>
      <c r="J6181" t="s">
        <v>202</v>
      </c>
      <c r="K6181" s="2" t="s">
        <v>1569</v>
      </c>
      <c r="L6181" t="s">
        <v>26</v>
      </c>
      <c r="M6181">
        <v>329834</v>
      </c>
      <c r="N6181">
        <v>1</v>
      </c>
      <c r="O6181" s="3">
        <v>10493</v>
      </c>
      <c r="P6181">
        <v>1</v>
      </c>
      <c r="Q6181" s="5">
        <f t="shared" si="288"/>
        <v>8817.6470588235297</v>
      </c>
      <c r="R6181" s="5">
        <f t="shared" si="289"/>
        <v>1</v>
      </c>
      <c r="S6181" s="5">
        <f t="shared" si="290"/>
        <v>8816.6470588235297</v>
      </c>
    </row>
    <row r="6182" spans="1:19" hidden="1" x14ac:dyDescent="0.3">
      <c r="A6182">
        <v>200</v>
      </c>
      <c r="B6182" t="s">
        <v>6336</v>
      </c>
      <c r="C6182" t="s">
        <v>4893</v>
      </c>
      <c r="D6182" s="2" t="s">
        <v>4894</v>
      </c>
      <c r="E6182" t="s">
        <v>4895</v>
      </c>
      <c r="F6182" t="s">
        <v>20</v>
      </c>
      <c r="G6182" t="s">
        <v>21</v>
      </c>
      <c r="H6182" t="s">
        <v>970</v>
      </c>
      <c r="I6182" t="s">
        <v>23</v>
      </c>
      <c r="J6182" t="s">
        <v>40</v>
      </c>
      <c r="K6182" s="2" t="s">
        <v>1569</v>
      </c>
      <c r="L6182" t="s">
        <v>26</v>
      </c>
      <c r="M6182">
        <v>329835</v>
      </c>
      <c r="N6182">
        <v>1</v>
      </c>
      <c r="O6182" s="3">
        <v>34990</v>
      </c>
      <c r="P6182" s="3">
        <v>18897</v>
      </c>
      <c r="Q6182" s="5">
        <f t="shared" si="288"/>
        <v>29403.361344537818</v>
      </c>
      <c r="R6182" s="5">
        <f t="shared" si="289"/>
        <v>18897</v>
      </c>
      <c r="S6182" s="5">
        <f t="shared" si="290"/>
        <v>10506.361344537818</v>
      </c>
    </row>
    <row r="6183" spans="1:19" hidden="1" x14ac:dyDescent="0.3">
      <c r="A6183">
        <v>200</v>
      </c>
      <c r="B6183" t="s">
        <v>6336</v>
      </c>
      <c r="C6183">
        <v>1687976791</v>
      </c>
      <c r="D6183" s="2" t="s">
        <v>200</v>
      </c>
      <c r="E6183" t="s">
        <v>201</v>
      </c>
      <c r="F6183" t="s">
        <v>201</v>
      </c>
      <c r="G6183" t="s">
        <v>202</v>
      </c>
      <c r="H6183" t="s">
        <v>202</v>
      </c>
      <c r="I6183" t="s">
        <v>23</v>
      </c>
      <c r="J6183" t="s">
        <v>202</v>
      </c>
      <c r="K6183" s="2" t="s">
        <v>1569</v>
      </c>
      <c r="L6183" t="s">
        <v>26</v>
      </c>
      <c r="M6183">
        <v>329835</v>
      </c>
      <c r="N6183">
        <v>1</v>
      </c>
      <c r="O6183" s="3">
        <v>6302</v>
      </c>
      <c r="P6183">
        <v>1</v>
      </c>
      <c r="Q6183" s="5">
        <f t="shared" si="288"/>
        <v>5295.7983193277314</v>
      </c>
      <c r="R6183" s="5">
        <f t="shared" si="289"/>
        <v>1</v>
      </c>
      <c r="S6183" s="5">
        <f t="shared" si="290"/>
        <v>5294.7983193277314</v>
      </c>
    </row>
    <row r="6184" spans="1:19" hidden="1" x14ac:dyDescent="0.3">
      <c r="A6184">
        <v>200</v>
      </c>
      <c r="B6184" t="s">
        <v>6336</v>
      </c>
      <c r="C6184" t="s">
        <v>5471</v>
      </c>
      <c r="D6184" s="2" t="s">
        <v>5472</v>
      </c>
      <c r="E6184" t="s">
        <v>4331</v>
      </c>
      <c r="F6184" t="s">
        <v>20</v>
      </c>
      <c r="G6184" t="s">
        <v>338</v>
      </c>
      <c r="H6184">
        <v>25357</v>
      </c>
      <c r="I6184" t="s">
        <v>23</v>
      </c>
      <c r="J6184" t="s">
        <v>35</v>
      </c>
      <c r="K6184" s="2" t="s">
        <v>1569</v>
      </c>
      <c r="L6184" t="s">
        <v>26</v>
      </c>
      <c r="M6184">
        <v>329836</v>
      </c>
      <c r="N6184">
        <v>1</v>
      </c>
      <c r="O6184" s="3">
        <v>79950</v>
      </c>
      <c r="P6184" s="3">
        <v>24482</v>
      </c>
      <c r="Q6184" s="5">
        <f t="shared" si="288"/>
        <v>67184.873949579836</v>
      </c>
      <c r="R6184" s="5">
        <f t="shared" si="289"/>
        <v>24482</v>
      </c>
      <c r="S6184" s="5">
        <f t="shared" si="290"/>
        <v>42702.873949579836</v>
      </c>
    </row>
    <row r="6185" spans="1:19" hidden="1" x14ac:dyDescent="0.3">
      <c r="A6185">
        <v>200</v>
      </c>
      <c r="B6185" t="s">
        <v>6336</v>
      </c>
      <c r="C6185" t="s">
        <v>6466</v>
      </c>
      <c r="D6185" s="2" t="s">
        <v>6467</v>
      </c>
      <c r="E6185" t="s">
        <v>4049</v>
      </c>
      <c r="F6185" t="s">
        <v>20</v>
      </c>
      <c r="G6185" t="s">
        <v>21</v>
      </c>
      <c r="H6185" t="s">
        <v>3351</v>
      </c>
      <c r="I6185" t="s">
        <v>23</v>
      </c>
      <c r="J6185" t="s">
        <v>40</v>
      </c>
      <c r="K6185" s="2" t="s">
        <v>1569</v>
      </c>
      <c r="L6185" t="s">
        <v>26</v>
      </c>
      <c r="M6185">
        <v>329837</v>
      </c>
      <c r="N6185">
        <v>1</v>
      </c>
      <c r="O6185" s="3">
        <v>79950</v>
      </c>
      <c r="P6185" s="3">
        <v>30166</v>
      </c>
      <c r="Q6185" s="5">
        <f t="shared" si="288"/>
        <v>67184.873949579836</v>
      </c>
      <c r="R6185" s="5">
        <f t="shared" si="289"/>
        <v>30166</v>
      </c>
      <c r="S6185" s="5">
        <f t="shared" si="290"/>
        <v>37018.873949579836</v>
      </c>
    </row>
    <row r="6186" spans="1:19" hidden="1" x14ac:dyDescent="0.3">
      <c r="A6186">
        <v>200</v>
      </c>
      <c r="B6186" t="s">
        <v>6336</v>
      </c>
      <c r="C6186" t="s">
        <v>3401</v>
      </c>
      <c r="D6186" s="2" t="s">
        <v>3402</v>
      </c>
      <c r="E6186" t="s">
        <v>3403</v>
      </c>
      <c r="F6186" t="s">
        <v>377</v>
      </c>
      <c r="G6186" t="s">
        <v>21</v>
      </c>
      <c r="H6186" t="s">
        <v>378</v>
      </c>
      <c r="I6186" t="s">
        <v>23</v>
      </c>
      <c r="J6186" t="s">
        <v>3297</v>
      </c>
      <c r="K6186" s="2" t="s">
        <v>1569</v>
      </c>
      <c r="L6186" t="s">
        <v>26</v>
      </c>
      <c r="M6186">
        <v>329837</v>
      </c>
      <c r="N6186">
        <v>1</v>
      </c>
      <c r="O6186">
        <v>500</v>
      </c>
      <c r="P6186">
        <v>418</v>
      </c>
      <c r="Q6186" s="5">
        <f t="shared" si="288"/>
        <v>420.1680672268908</v>
      </c>
      <c r="R6186" s="5">
        <f t="shared" si="289"/>
        <v>418</v>
      </c>
      <c r="S6186" s="5">
        <f t="shared" si="290"/>
        <v>2.1680672268907983</v>
      </c>
    </row>
    <row r="6187" spans="1:19" hidden="1" x14ac:dyDescent="0.3">
      <c r="A6187">
        <v>200</v>
      </c>
      <c r="B6187" t="s">
        <v>6336</v>
      </c>
      <c r="C6187" t="s">
        <v>1037</v>
      </c>
      <c r="D6187" s="2" t="s">
        <v>1038</v>
      </c>
      <c r="E6187" t="s">
        <v>1039</v>
      </c>
      <c r="F6187" t="s">
        <v>377</v>
      </c>
      <c r="G6187" t="s">
        <v>21</v>
      </c>
      <c r="H6187" t="s">
        <v>378</v>
      </c>
      <c r="I6187" t="s">
        <v>23</v>
      </c>
      <c r="J6187" t="s">
        <v>379</v>
      </c>
      <c r="K6187" s="2" t="s">
        <v>1744</v>
      </c>
      <c r="L6187" t="s">
        <v>26</v>
      </c>
      <c r="M6187">
        <v>329838</v>
      </c>
      <c r="N6187">
        <v>1</v>
      </c>
      <c r="O6187" s="3">
        <v>5950</v>
      </c>
      <c r="P6187" s="3">
        <v>3257</v>
      </c>
      <c r="Q6187" s="5">
        <f t="shared" si="288"/>
        <v>5000</v>
      </c>
      <c r="R6187" s="5">
        <f t="shared" si="289"/>
        <v>3257</v>
      </c>
      <c r="S6187" s="5">
        <f t="shared" si="290"/>
        <v>1743</v>
      </c>
    </row>
    <row r="6188" spans="1:19" hidden="1" x14ac:dyDescent="0.3">
      <c r="A6188">
        <v>200</v>
      </c>
      <c r="B6188" t="s">
        <v>6336</v>
      </c>
      <c r="C6188" t="s">
        <v>549</v>
      </c>
      <c r="D6188" s="2" t="s">
        <v>550</v>
      </c>
      <c r="E6188" t="s">
        <v>271</v>
      </c>
      <c r="F6188" t="s">
        <v>20</v>
      </c>
      <c r="G6188" t="s">
        <v>21</v>
      </c>
      <c r="H6188" t="s">
        <v>272</v>
      </c>
      <c r="I6188" t="s">
        <v>23</v>
      </c>
      <c r="J6188" t="s">
        <v>35</v>
      </c>
      <c r="K6188" s="2" t="s">
        <v>1744</v>
      </c>
      <c r="L6188" t="s">
        <v>26</v>
      </c>
      <c r="M6188">
        <v>329839</v>
      </c>
      <c r="N6188">
        <v>-1</v>
      </c>
      <c r="O6188" s="3">
        <v>-49990</v>
      </c>
      <c r="P6188" s="3">
        <v>28184</v>
      </c>
      <c r="Q6188" s="5">
        <f t="shared" si="288"/>
        <v>-42008.403361344543</v>
      </c>
      <c r="R6188" s="5">
        <f t="shared" si="289"/>
        <v>-28184</v>
      </c>
      <c r="S6188" s="5">
        <f t="shared" si="290"/>
        <v>-13824.403361344543</v>
      </c>
    </row>
    <row r="6189" spans="1:19" hidden="1" x14ac:dyDescent="0.3">
      <c r="A6189">
        <v>200</v>
      </c>
      <c r="B6189" t="s">
        <v>6336</v>
      </c>
      <c r="C6189" t="s">
        <v>2903</v>
      </c>
      <c r="D6189" s="2" t="s">
        <v>2904</v>
      </c>
      <c r="E6189" t="s">
        <v>2905</v>
      </c>
      <c r="F6189" t="s">
        <v>20</v>
      </c>
      <c r="G6189" t="s">
        <v>21</v>
      </c>
      <c r="H6189" t="s">
        <v>272</v>
      </c>
      <c r="I6189" t="s">
        <v>23</v>
      </c>
      <c r="J6189" t="s">
        <v>35</v>
      </c>
      <c r="K6189" s="2" t="s">
        <v>1744</v>
      </c>
      <c r="L6189" t="s">
        <v>26</v>
      </c>
      <c r="M6189">
        <v>329839</v>
      </c>
      <c r="N6189">
        <v>1</v>
      </c>
      <c r="O6189" s="3">
        <v>79950</v>
      </c>
      <c r="P6189" s="3">
        <v>27771</v>
      </c>
      <c r="Q6189" s="5">
        <f t="shared" si="288"/>
        <v>67184.873949579836</v>
      </c>
      <c r="R6189" s="5">
        <f t="shared" si="289"/>
        <v>27771</v>
      </c>
      <c r="S6189" s="5">
        <f t="shared" si="290"/>
        <v>39413.873949579836</v>
      </c>
    </row>
    <row r="6190" spans="1:19" hidden="1" x14ac:dyDescent="0.3">
      <c r="A6190">
        <v>200</v>
      </c>
      <c r="B6190" t="s">
        <v>6336</v>
      </c>
      <c r="C6190" t="s">
        <v>4350</v>
      </c>
      <c r="D6190" s="2" t="s">
        <v>4351</v>
      </c>
      <c r="E6190" t="s">
        <v>3406</v>
      </c>
      <c r="F6190" t="s">
        <v>20</v>
      </c>
      <c r="G6190" t="s">
        <v>338</v>
      </c>
      <c r="H6190">
        <v>26825</v>
      </c>
      <c r="I6190" t="s">
        <v>23</v>
      </c>
      <c r="J6190" t="s">
        <v>35</v>
      </c>
      <c r="K6190" s="2" t="s">
        <v>1744</v>
      </c>
      <c r="L6190" t="s">
        <v>26</v>
      </c>
      <c r="M6190">
        <v>329840</v>
      </c>
      <c r="N6190">
        <v>1</v>
      </c>
      <c r="O6190" s="3">
        <v>79950</v>
      </c>
      <c r="P6190" s="3">
        <v>23119</v>
      </c>
      <c r="Q6190" s="5">
        <f t="shared" si="288"/>
        <v>67184.873949579836</v>
      </c>
      <c r="R6190" s="5">
        <f t="shared" si="289"/>
        <v>23119</v>
      </c>
      <c r="S6190" s="5">
        <f t="shared" si="290"/>
        <v>44065.873949579836</v>
      </c>
    </row>
    <row r="6191" spans="1:19" hidden="1" x14ac:dyDescent="0.3">
      <c r="A6191">
        <v>200</v>
      </c>
      <c r="B6191" t="s">
        <v>6336</v>
      </c>
      <c r="C6191" t="s">
        <v>3401</v>
      </c>
      <c r="D6191" s="2" t="s">
        <v>3402</v>
      </c>
      <c r="E6191" t="s">
        <v>3403</v>
      </c>
      <c r="F6191" t="s">
        <v>377</v>
      </c>
      <c r="G6191" t="s">
        <v>21</v>
      </c>
      <c r="H6191" t="s">
        <v>378</v>
      </c>
      <c r="I6191" t="s">
        <v>23</v>
      </c>
      <c r="J6191" t="s">
        <v>3297</v>
      </c>
      <c r="K6191" s="2" t="s">
        <v>1744</v>
      </c>
      <c r="L6191" t="s">
        <v>26</v>
      </c>
      <c r="M6191">
        <v>329840</v>
      </c>
      <c r="N6191">
        <v>1</v>
      </c>
      <c r="O6191">
        <v>500</v>
      </c>
      <c r="P6191">
        <v>418</v>
      </c>
      <c r="Q6191" s="5">
        <f t="shared" si="288"/>
        <v>420.1680672268908</v>
      </c>
      <c r="R6191" s="5">
        <f t="shared" si="289"/>
        <v>418</v>
      </c>
      <c r="S6191" s="5">
        <f t="shared" si="290"/>
        <v>2.1680672268907983</v>
      </c>
    </row>
    <row r="6192" spans="1:19" hidden="1" x14ac:dyDescent="0.3">
      <c r="A6192">
        <v>200</v>
      </c>
      <c r="B6192" t="s">
        <v>6336</v>
      </c>
      <c r="C6192" t="s">
        <v>6453</v>
      </c>
      <c r="D6192" s="2" t="s">
        <v>6454</v>
      </c>
      <c r="E6192" t="s">
        <v>2744</v>
      </c>
      <c r="F6192" t="s">
        <v>20</v>
      </c>
      <c r="G6192" t="s">
        <v>21</v>
      </c>
      <c r="H6192" t="s">
        <v>2745</v>
      </c>
      <c r="I6192" t="s">
        <v>23</v>
      </c>
      <c r="J6192" t="s">
        <v>35</v>
      </c>
      <c r="K6192" s="2" t="s">
        <v>1744</v>
      </c>
      <c r="L6192" t="s">
        <v>26</v>
      </c>
      <c r="M6192">
        <v>329841</v>
      </c>
      <c r="N6192">
        <v>-1</v>
      </c>
      <c r="O6192" s="3">
        <v>-99950</v>
      </c>
      <c r="P6192" s="3">
        <v>33200</v>
      </c>
      <c r="Q6192" s="5">
        <f t="shared" si="288"/>
        <v>-83991.596638655465</v>
      </c>
      <c r="R6192" s="5">
        <f t="shared" si="289"/>
        <v>-33200</v>
      </c>
      <c r="S6192" s="5">
        <f t="shared" si="290"/>
        <v>-50791.596638655465</v>
      </c>
    </row>
    <row r="6193" spans="1:19" hidden="1" x14ac:dyDescent="0.3">
      <c r="A6193">
        <v>200</v>
      </c>
      <c r="B6193" t="s">
        <v>6336</v>
      </c>
      <c r="C6193" t="s">
        <v>6167</v>
      </c>
      <c r="D6193" s="2" t="s">
        <v>6168</v>
      </c>
      <c r="E6193" t="s">
        <v>2744</v>
      </c>
      <c r="F6193" t="s">
        <v>20</v>
      </c>
      <c r="G6193" t="s">
        <v>21</v>
      </c>
      <c r="H6193" t="s">
        <v>2745</v>
      </c>
      <c r="I6193" t="s">
        <v>23</v>
      </c>
      <c r="J6193" t="s">
        <v>35</v>
      </c>
      <c r="K6193" s="2" t="s">
        <v>1744</v>
      </c>
      <c r="L6193" t="s">
        <v>26</v>
      </c>
      <c r="M6193">
        <v>329841</v>
      </c>
      <c r="N6193">
        <v>1</v>
      </c>
      <c r="O6193" s="3">
        <v>99951</v>
      </c>
      <c r="P6193" s="3">
        <v>33200</v>
      </c>
      <c r="Q6193" s="5">
        <f t="shared" si="288"/>
        <v>83992.436974789918</v>
      </c>
      <c r="R6193" s="5">
        <f t="shared" si="289"/>
        <v>33200</v>
      </c>
      <c r="S6193" s="5">
        <f t="shared" si="290"/>
        <v>50792.436974789918</v>
      </c>
    </row>
    <row r="6194" spans="1:19" hidden="1" x14ac:dyDescent="0.3">
      <c r="A6194">
        <v>200</v>
      </c>
      <c r="B6194" t="s">
        <v>6336</v>
      </c>
      <c r="C6194" t="s">
        <v>2365</v>
      </c>
      <c r="D6194" s="2" t="s">
        <v>2366</v>
      </c>
      <c r="E6194" t="s">
        <v>2367</v>
      </c>
      <c r="F6194" t="s">
        <v>377</v>
      </c>
      <c r="G6194" t="s">
        <v>21</v>
      </c>
      <c r="H6194" t="s">
        <v>378</v>
      </c>
      <c r="I6194" t="s">
        <v>23</v>
      </c>
      <c r="J6194" t="s">
        <v>379</v>
      </c>
      <c r="K6194" s="2" t="s">
        <v>1744</v>
      </c>
      <c r="L6194" t="s">
        <v>26</v>
      </c>
      <c r="M6194">
        <v>329842</v>
      </c>
      <c r="N6194">
        <v>1</v>
      </c>
      <c r="O6194" s="3">
        <v>6950</v>
      </c>
      <c r="P6194" s="3">
        <v>3759</v>
      </c>
      <c r="Q6194" s="5">
        <f t="shared" si="288"/>
        <v>5840.3361344537816</v>
      </c>
      <c r="R6194" s="5">
        <f t="shared" si="289"/>
        <v>3759</v>
      </c>
      <c r="S6194" s="5">
        <f t="shared" si="290"/>
        <v>2081.3361344537816</v>
      </c>
    </row>
    <row r="6195" spans="1:19" hidden="1" x14ac:dyDescent="0.3">
      <c r="A6195">
        <v>200</v>
      </c>
      <c r="B6195" t="s">
        <v>6336</v>
      </c>
      <c r="C6195" t="s">
        <v>2762</v>
      </c>
      <c r="D6195" s="2" t="s">
        <v>2763</v>
      </c>
      <c r="E6195" t="s">
        <v>2764</v>
      </c>
      <c r="F6195" t="s">
        <v>20</v>
      </c>
      <c r="G6195" t="s">
        <v>21</v>
      </c>
      <c r="H6195" t="s">
        <v>742</v>
      </c>
      <c r="I6195" t="s">
        <v>23</v>
      </c>
      <c r="J6195" t="s">
        <v>40</v>
      </c>
      <c r="K6195" s="2" t="s">
        <v>1744</v>
      </c>
      <c r="L6195" t="s">
        <v>26</v>
      </c>
      <c r="M6195">
        <v>329843</v>
      </c>
      <c r="N6195">
        <v>1</v>
      </c>
      <c r="O6195" s="3">
        <v>74950</v>
      </c>
      <c r="P6195" s="3">
        <v>22440</v>
      </c>
      <c r="Q6195" s="5">
        <f t="shared" si="288"/>
        <v>62983.193277310929</v>
      </c>
      <c r="R6195" s="5">
        <f t="shared" si="289"/>
        <v>22440</v>
      </c>
      <c r="S6195" s="5">
        <f t="shared" si="290"/>
        <v>40543.193277310929</v>
      </c>
    </row>
    <row r="6196" spans="1:19" hidden="1" x14ac:dyDescent="0.3">
      <c r="A6196">
        <v>200</v>
      </c>
      <c r="B6196" t="s">
        <v>6336</v>
      </c>
      <c r="C6196" t="s">
        <v>5140</v>
      </c>
      <c r="D6196" s="2" t="s">
        <v>5141</v>
      </c>
      <c r="E6196" t="s">
        <v>3438</v>
      </c>
      <c r="F6196" t="s">
        <v>20</v>
      </c>
      <c r="G6196" t="s">
        <v>338</v>
      </c>
      <c r="H6196">
        <v>83707</v>
      </c>
      <c r="I6196" t="s">
        <v>23</v>
      </c>
      <c r="J6196" t="s">
        <v>40</v>
      </c>
      <c r="K6196" s="2" t="s">
        <v>1744</v>
      </c>
      <c r="L6196" t="s">
        <v>26</v>
      </c>
      <c r="M6196">
        <v>329843</v>
      </c>
      <c r="N6196">
        <v>-1</v>
      </c>
      <c r="O6196" s="3">
        <v>-76450</v>
      </c>
      <c r="P6196" s="3">
        <v>30263</v>
      </c>
      <c r="Q6196" s="5">
        <f t="shared" si="288"/>
        <v>-64243.697478991598</v>
      </c>
      <c r="R6196" s="5">
        <f t="shared" si="289"/>
        <v>-30263</v>
      </c>
      <c r="S6196" s="5">
        <f t="shared" si="290"/>
        <v>-33980.697478991598</v>
      </c>
    </row>
    <row r="6197" spans="1:19" hidden="1" x14ac:dyDescent="0.3">
      <c r="A6197">
        <v>200</v>
      </c>
      <c r="B6197" t="s">
        <v>6336</v>
      </c>
      <c r="C6197" t="s">
        <v>1037</v>
      </c>
      <c r="D6197" s="2" t="s">
        <v>1038</v>
      </c>
      <c r="E6197" t="s">
        <v>1039</v>
      </c>
      <c r="F6197" t="s">
        <v>377</v>
      </c>
      <c r="G6197" t="s">
        <v>21</v>
      </c>
      <c r="H6197" t="s">
        <v>378</v>
      </c>
      <c r="I6197" t="s">
        <v>23</v>
      </c>
      <c r="J6197" t="s">
        <v>379</v>
      </c>
      <c r="K6197" s="2" t="s">
        <v>1744</v>
      </c>
      <c r="L6197" t="s">
        <v>26</v>
      </c>
      <c r="M6197">
        <v>329843</v>
      </c>
      <c r="N6197">
        <v>1</v>
      </c>
      <c r="O6197" s="3">
        <v>5950</v>
      </c>
      <c r="P6197" s="3">
        <v>3257</v>
      </c>
      <c r="Q6197" s="5">
        <f t="shared" si="288"/>
        <v>5000</v>
      </c>
      <c r="R6197" s="5">
        <f t="shared" si="289"/>
        <v>3257</v>
      </c>
      <c r="S6197" s="5">
        <f t="shared" si="290"/>
        <v>1743</v>
      </c>
    </row>
    <row r="6198" spans="1:19" hidden="1" x14ac:dyDescent="0.3">
      <c r="A6198">
        <v>200</v>
      </c>
      <c r="B6198" t="s">
        <v>6336</v>
      </c>
      <c r="C6198" t="s">
        <v>2903</v>
      </c>
      <c r="D6198" s="2" t="s">
        <v>2904</v>
      </c>
      <c r="E6198" t="s">
        <v>2905</v>
      </c>
      <c r="F6198" t="s">
        <v>20</v>
      </c>
      <c r="G6198" t="s">
        <v>21</v>
      </c>
      <c r="H6198" t="s">
        <v>272</v>
      </c>
      <c r="I6198" t="s">
        <v>23</v>
      </c>
      <c r="J6198" t="s">
        <v>35</v>
      </c>
      <c r="K6198" s="2" t="s">
        <v>1797</v>
      </c>
      <c r="L6198" t="s">
        <v>26</v>
      </c>
      <c r="M6198">
        <v>329844</v>
      </c>
      <c r="N6198">
        <v>-1</v>
      </c>
      <c r="O6198" s="3">
        <v>-79950</v>
      </c>
      <c r="P6198" s="3">
        <v>27771</v>
      </c>
      <c r="Q6198" s="5">
        <f t="shared" si="288"/>
        <v>-67184.873949579836</v>
      </c>
      <c r="R6198" s="5">
        <f t="shared" si="289"/>
        <v>-27771</v>
      </c>
      <c r="S6198" s="5">
        <f t="shared" si="290"/>
        <v>-39413.873949579836</v>
      </c>
    </row>
    <row r="6199" spans="1:19" hidden="1" x14ac:dyDescent="0.3">
      <c r="A6199">
        <v>200</v>
      </c>
      <c r="B6199" t="s">
        <v>6336</v>
      </c>
      <c r="C6199" t="s">
        <v>3419</v>
      </c>
      <c r="D6199" s="2" t="s">
        <v>3420</v>
      </c>
      <c r="E6199" t="s">
        <v>3421</v>
      </c>
      <c r="F6199" t="s">
        <v>20</v>
      </c>
      <c r="G6199" t="s">
        <v>21</v>
      </c>
      <c r="H6199" t="s">
        <v>1755</v>
      </c>
      <c r="I6199" t="s">
        <v>23</v>
      </c>
      <c r="J6199" t="s">
        <v>35</v>
      </c>
      <c r="K6199" s="2" t="s">
        <v>1797</v>
      </c>
      <c r="L6199" t="s">
        <v>26</v>
      </c>
      <c r="M6199">
        <v>329844</v>
      </c>
      <c r="N6199">
        <v>1</v>
      </c>
      <c r="O6199" s="3">
        <v>59990</v>
      </c>
      <c r="P6199" s="3">
        <v>28298</v>
      </c>
      <c r="Q6199" s="5">
        <f t="shared" si="288"/>
        <v>50411.764705882357</v>
      </c>
      <c r="R6199" s="5">
        <f t="shared" si="289"/>
        <v>28298</v>
      </c>
      <c r="S6199" s="5">
        <f t="shared" si="290"/>
        <v>22113.764705882357</v>
      </c>
    </row>
    <row r="6200" spans="1:19" hidden="1" x14ac:dyDescent="0.3">
      <c r="A6200">
        <v>200</v>
      </c>
      <c r="B6200" t="s">
        <v>6336</v>
      </c>
      <c r="C6200" t="s">
        <v>6468</v>
      </c>
      <c r="D6200" s="2" t="s">
        <v>6469</v>
      </c>
      <c r="E6200" t="s">
        <v>2417</v>
      </c>
      <c r="F6200" t="s">
        <v>20</v>
      </c>
      <c r="G6200" t="s">
        <v>21</v>
      </c>
      <c r="H6200" t="s">
        <v>1457</v>
      </c>
      <c r="I6200" t="s">
        <v>23</v>
      </c>
      <c r="J6200" t="s">
        <v>40</v>
      </c>
      <c r="K6200" s="2" t="s">
        <v>1797</v>
      </c>
      <c r="L6200" t="s">
        <v>26</v>
      </c>
      <c r="M6200">
        <v>329844</v>
      </c>
      <c r="N6200">
        <v>1</v>
      </c>
      <c r="O6200" s="3">
        <v>34990</v>
      </c>
      <c r="P6200" s="3">
        <v>19019</v>
      </c>
      <c r="Q6200" s="5">
        <f t="shared" si="288"/>
        <v>29403.361344537818</v>
      </c>
      <c r="R6200" s="5">
        <f t="shared" si="289"/>
        <v>19019</v>
      </c>
      <c r="S6200" s="5">
        <f t="shared" si="290"/>
        <v>10384.361344537818</v>
      </c>
    </row>
    <row r="6201" spans="1:19" hidden="1" x14ac:dyDescent="0.3">
      <c r="A6201">
        <v>200</v>
      </c>
      <c r="B6201" t="s">
        <v>6336</v>
      </c>
      <c r="C6201" t="s">
        <v>2644</v>
      </c>
      <c r="D6201" s="2" t="s">
        <v>2645</v>
      </c>
      <c r="E6201" t="s">
        <v>428</v>
      </c>
      <c r="F6201" t="s">
        <v>20</v>
      </c>
      <c r="G6201" t="s">
        <v>21</v>
      </c>
      <c r="H6201" t="s">
        <v>429</v>
      </c>
      <c r="I6201" t="s">
        <v>23</v>
      </c>
      <c r="J6201" t="s">
        <v>49</v>
      </c>
      <c r="K6201" s="2" t="s">
        <v>1797</v>
      </c>
      <c r="L6201" t="s">
        <v>26</v>
      </c>
      <c r="M6201">
        <v>329845</v>
      </c>
      <c r="N6201">
        <v>1</v>
      </c>
      <c r="O6201" s="3">
        <v>59990</v>
      </c>
      <c r="P6201" s="3">
        <v>28864</v>
      </c>
      <c r="Q6201" s="5">
        <f t="shared" si="288"/>
        <v>50411.764705882357</v>
      </c>
      <c r="R6201" s="5">
        <f t="shared" si="289"/>
        <v>28864</v>
      </c>
      <c r="S6201" s="5">
        <f t="shared" si="290"/>
        <v>21547.764705882357</v>
      </c>
    </row>
    <row r="6202" spans="1:19" hidden="1" x14ac:dyDescent="0.3">
      <c r="A6202">
        <v>200</v>
      </c>
      <c r="B6202" t="s">
        <v>6336</v>
      </c>
      <c r="C6202" t="s">
        <v>5718</v>
      </c>
      <c r="D6202" s="2" t="s">
        <v>5719</v>
      </c>
      <c r="E6202" t="s">
        <v>5505</v>
      </c>
      <c r="F6202" t="s">
        <v>20</v>
      </c>
      <c r="G6202" t="s">
        <v>338</v>
      </c>
      <c r="H6202">
        <v>86422</v>
      </c>
      <c r="I6202" t="s">
        <v>23</v>
      </c>
      <c r="J6202" t="s">
        <v>35</v>
      </c>
      <c r="K6202" s="2" t="s">
        <v>1797</v>
      </c>
      <c r="L6202" t="s">
        <v>26</v>
      </c>
      <c r="M6202">
        <v>329846</v>
      </c>
      <c r="N6202">
        <v>1</v>
      </c>
      <c r="O6202" s="3">
        <v>109950</v>
      </c>
      <c r="P6202" s="3">
        <v>33793</v>
      </c>
      <c r="Q6202" s="5">
        <f t="shared" si="288"/>
        <v>92394.957983193279</v>
      </c>
      <c r="R6202" s="5">
        <f t="shared" si="289"/>
        <v>33793</v>
      </c>
      <c r="S6202" s="5">
        <f t="shared" si="290"/>
        <v>58601.957983193279</v>
      </c>
    </row>
    <row r="6203" spans="1:19" hidden="1" x14ac:dyDescent="0.3">
      <c r="A6203">
        <v>200</v>
      </c>
      <c r="B6203" t="s">
        <v>6336</v>
      </c>
      <c r="C6203" t="s">
        <v>4150</v>
      </c>
      <c r="D6203" s="2" t="s">
        <v>4151</v>
      </c>
      <c r="E6203" t="s">
        <v>4038</v>
      </c>
      <c r="F6203" t="s">
        <v>20</v>
      </c>
      <c r="G6203" t="s">
        <v>21</v>
      </c>
      <c r="H6203" t="s">
        <v>2469</v>
      </c>
      <c r="I6203" t="s">
        <v>23</v>
      </c>
      <c r="J6203" t="s">
        <v>35</v>
      </c>
      <c r="K6203" s="2" t="s">
        <v>1797</v>
      </c>
      <c r="L6203" t="s">
        <v>26</v>
      </c>
      <c r="M6203">
        <v>329847</v>
      </c>
      <c r="N6203">
        <v>1</v>
      </c>
      <c r="O6203" s="3">
        <v>69990</v>
      </c>
      <c r="P6203" s="3">
        <v>29635</v>
      </c>
      <c r="Q6203" s="5">
        <f t="shared" si="288"/>
        <v>58815.126050420171</v>
      </c>
      <c r="R6203" s="5">
        <f t="shared" si="289"/>
        <v>29635</v>
      </c>
      <c r="S6203" s="5">
        <f t="shared" si="290"/>
        <v>29180.126050420171</v>
      </c>
    </row>
    <row r="6204" spans="1:19" hidden="1" x14ac:dyDescent="0.3">
      <c r="A6204">
        <v>200</v>
      </c>
      <c r="B6204" t="s">
        <v>6336</v>
      </c>
      <c r="C6204" t="s">
        <v>5299</v>
      </c>
      <c r="D6204" s="2" t="s">
        <v>5300</v>
      </c>
      <c r="E6204" t="s">
        <v>2781</v>
      </c>
      <c r="F6204" t="s">
        <v>20</v>
      </c>
      <c r="G6204" t="s">
        <v>21</v>
      </c>
      <c r="H6204" t="s">
        <v>2782</v>
      </c>
      <c r="I6204" t="s">
        <v>23</v>
      </c>
      <c r="J6204" t="s">
        <v>35</v>
      </c>
      <c r="K6204" s="2" t="s">
        <v>1797</v>
      </c>
      <c r="L6204" t="s">
        <v>26</v>
      </c>
      <c r="M6204">
        <v>329848</v>
      </c>
      <c r="N6204">
        <v>1</v>
      </c>
      <c r="O6204" s="3">
        <v>74950</v>
      </c>
      <c r="P6204" s="3">
        <v>24388</v>
      </c>
      <c r="Q6204" s="5">
        <f t="shared" si="288"/>
        <v>62983.193277310929</v>
      </c>
      <c r="R6204" s="5">
        <f t="shared" si="289"/>
        <v>24388</v>
      </c>
      <c r="S6204" s="5">
        <f t="shared" si="290"/>
        <v>38595.193277310929</v>
      </c>
    </row>
    <row r="6205" spans="1:19" hidden="1" x14ac:dyDescent="0.3">
      <c r="A6205">
        <v>200</v>
      </c>
      <c r="B6205" t="s">
        <v>6336</v>
      </c>
      <c r="C6205" t="s">
        <v>3401</v>
      </c>
      <c r="D6205" s="2" t="s">
        <v>3402</v>
      </c>
      <c r="E6205" t="s">
        <v>3403</v>
      </c>
      <c r="F6205" t="s">
        <v>377</v>
      </c>
      <c r="G6205" t="s">
        <v>21</v>
      </c>
      <c r="H6205" t="s">
        <v>378</v>
      </c>
      <c r="I6205" t="s">
        <v>23</v>
      </c>
      <c r="J6205" t="s">
        <v>3297</v>
      </c>
      <c r="K6205" s="2" t="s">
        <v>1797</v>
      </c>
      <c r="L6205" t="s">
        <v>26</v>
      </c>
      <c r="M6205">
        <v>329848</v>
      </c>
      <c r="N6205">
        <v>1</v>
      </c>
      <c r="O6205">
        <v>500</v>
      </c>
      <c r="P6205">
        <v>418</v>
      </c>
      <c r="Q6205" s="5">
        <f t="shared" si="288"/>
        <v>420.1680672268908</v>
      </c>
      <c r="R6205" s="5">
        <f t="shared" si="289"/>
        <v>418</v>
      </c>
      <c r="S6205" s="5">
        <f t="shared" si="290"/>
        <v>2.1680672268907983</v>
      </c>
    </row>
    <row r="6206" spans="1:19" hidden="1" x14ac:dyDescent="0.3">
      <c r="A6206">
        <v>200</v>
      </c>
      <c r="B6206" t="s">
        <v>6336</v>
      </c>
      <c r="C6206" t="s">
        <v>6470</v>
      </c>
      <c r="D6206" s="2" t="s">
        <v>6471</v>
      </c>
      <c r="E6206" t="s">
        <v>3957</v>
      </c>
      <c r="F6206" t="s">
        <v>20</v>
      </c>
      <c r="G6206" t="s">
        <v>21</v>
      </c>
      <c r="H6206" t="s">
        <v>2782</v>
      </c>
      <c r="I6206" t="s">
        <v>23</v>
      </c>
      <c r="J6206" t="s">
        <v>40</v>
      </c>
      <c r="K6206" s="2" t="s">
        <v>1797</v>
      </c>
      <c r="L6206" t="s">
        <v>26</v>
      </c>
      <c r="M6206">
        <v>329849</v>
      </c>
      <c r="N6206">
        <v>1</v>
      </c>
      <c r="O6206" s="3">
        <v>69950</v>
      </c>
      <c r="P6206" s="3">
        <v>23697</v>
      </c>
      <c r="Q6206" s="5">
        <f t="shared" si="288"/>
        <v>58781.512605042022</v>
      </c>
      <c r="R6206" s="5">
        <f t="shared" si="289"/>
        <v>23697</v>
      </c>
      <c r="S6206" s="5">
        <f t="shared" si="290"/>
        <v>35084.512605042022</v>
      </c>
    </row>
    <row r="6207" spans="1:19" hidden="1" x14ac:dyDescent="0.3">
      <c r="A6207">
        <v>200</v>
      </c>
      <c r="B6207" t="s">
        <v>6336</v>
      </c>
      <c r="C6207" t="s">
        <v>6472</v>
      </c>
      <c r="D6207" s="2" t="s">
        <v>6473</v>
      </c>
      <c r="E6207" t="s">
        <v>2278</v>
      </c>
      <c r="F6207" t="s">
        <v>20</v>
      </c>
      <c r="G6207" t="s">
        <v>21</v>
      </c>
      <c r="H6207" t="s">
        <v>346</v>
      </c>
      <c r="I6207" t="s">
        <v>23</v>
      </c>
      <c r="J6207" t="s">
        <v>49</v>
      </c>
      <c r="K6207" s="2" t="s">
        <v>1797</v>
      </c>
      <c r="L6207" t="s">
        <v>26</v>
      </c>
      <c r="M6207">
        <v>329850</v>
      </c>
      <c r="N6207">
        <v>1</v>
      </c>
      <c r="O6207" s="3">
        <v>49990</v>
      </c>
      <c r="P6207" s="3">
        <v>23232</v>
      </c>
      <c r="Q6207" s="5">
        <f t="shared" si="288"/>
        <v>42008.403361344543</v>
      </c>
      <c r="R6207" s="5">
        <f t="shared" si="289"/>
        <v>23232</v>
      </c>
      <c r="S6207" s="5">
        <f t="shared" si="290"/>
        <v>18776.403361344543</v>
      </c>
    </row>
    <row r="6208" spans="1:19" hidden="1" x14ac:dyDescent="0.3">
      <c r="A6208">
        <v>200</v>
      </c>
      <c r="B6208" t="s">
        <v>6336</v>
      </c>
      <c r="C6208" t="s">
        <v>2276</v>
      </c>
      <c r="D6208" s="2" t="s">
        <v>2277</v>
      </c>
      <c r="E6208" t="s">
        <v>2278</v>
      </c>
      <c r="F6208" t="s">
        <v>20</v>
      </c>
      <c r="G6208" t="s">
        <v>21</v>
      </c>
      <c r="H6208" t="s">
        <v>346</v>
      </c>
      <c r="I6208" t="s">
        <v>23</v>
      </c>
      <c r="J6208" t="s">
        <v>49</v>
      </c>
      <c r="K6208" s="2" t="s">
        <v>1797</v>
      </c>
      <c r="L6208" t="s">
        <v>26</v>
      </c>
      <c r="M6208">
        <v>329851</v>
      </c>
      <c r="N6208">
        <v>1</v>
      </c>
      <c r="O6208" s="3">
        <v>49990</v>
      </c>
      <c r="P6208" s="3">
        <v>23224</v>
      </c>
      <c r="Q6208" s="5">
        <f t="shared" si="288"/>
        <v>42008.403361344543</v>
      </c>
      <c r="R6208" s="5">
        <f t="shared" si="289"/>
        <v>23224</v>
      </c>
      <c r="S6208" s="5">
        <f t="shared" si="290"/>
        <v>18784.403361344543</v>
      </c>
    </row>
    <row r="6209" spans="1:19" hidden="1" x14ac:dyDescent="0.3">
      <c r="A6209">
        <v>200</v>
      </c>
      <c r="B6209" t="s">
        <v>6336</v>
      </c>
      <c r="C6209" t="s">
        <v>6474</v>
      </c>
      <c r="D6209" s="2" t="s">
        <v>6475</v>
      </c>
      <c r="E6209" t="s">
        <v>6476</v>
      </c>
      <c r="F6209" t="s">
        <v>20</v>
      </c>
      <c r="G6209" t="s">
        <v>21</v>
      </c>
      <c r="H6209" t="s">
        <v>1282</v>
      </c>
      <c r="I6209" t="s">
        <v>23</v>
      </c>
      <c r="J6209" t="s">
        <v>40</v>
      </c>
      <c r="K6209" s="2" t="s">
        <v>1853</v>
      </c>
      <c r="L6209" t="s">
        <v>2249</v>
      </c>
      <c r="M6209">
        <v>25440</v>
      </c>
      <c r="N6209">
        <v>-1</v>
      </c>
      <c r="O6209" s="3">
        <v>-4990</v>
      </c>
      <c r="P6209" s="3">
        <v>13476</v>
      </c>
      <c r="Q6209" s="5">
        <f t="shared" si="288"/>
        <v>-4193.2773109243699</v>
      </c>
      <c r="R6209" s="5">
        <f t="shared" si="289"/>
        <v>-13476</v>
      </c>
      <c r="S6209" s="5">
        <f t="shared" si="290"/>
        <v>9282.7226890756301</v>
      </c>
    </row>
    <row r="6210" spans="1:19" hidden="1" x14ac:dyDescent="0.3">
      <c r="A6210">
        <v>200</v>
      </c>
      <c r="B6210" t="s">
        <v>6336</v>
      </c>
      <c r="C6210" t="s">
        <v>6474</v>
      </c>
      <c r="D6210" s="2" t="s">
        <v>6475</v>
      </c>
      <c r="E6210" t="s">
        <v>6476</v>
      </c>
      <c r="F6210" t="s">
        <v>20</v>
      </c>
      <c r="G6210" t="s">
        <v>21</v>
      </c>
      <c r="H6210" t="s">
        <v>1282</v>
      </c>
      <c r="I6210" t="s">
        <v>23</v>
      </c>
      <c r="J6210" t="s">
        <v>40</v>
      </c>
      <c r="K6210" s="2" t="s">
        <v>1853</v>
      </c>
      <c r="L6210" t="s">
        <v>26</v>
      </c>
      <c r="M6210">
        <v>329852</v>
      </c>
      <c r="N6210">
        <v>1</v>
      </c>
      <c r="O6210" s="3">
        <v>4990</v>
      </c>
      <c r="P6210" s="3">
        <v>13476</v>
      </c>
      <c r="Q6210" s="5">
        <f t="shared" si="288"/>
        <v>4193.2773109243699</v>
      </c>
      <c r="R6210" s="5">
        <f t="shared" si="289"/>
        <v>13476</v>
      </c>
      <c r="S6210" s="5">
        <f t="shared" si="290"/>
        <v>-9282.7226890756301</v>
      </c>
    </row>
    <row r="6211" spans="1:19" hidden="1" x14ac:dyDescent="0.3">
      <c r="A6211">
        <v>200</v>
      </c>
      <c r="B6211" t="s">
        <v>6336</v>
      </c>
      <c r="C6211" t="s">
        <v>4216</v>
      </c>
      <c r="D6211" s="2" t="s">
        <v>4217</v>
      </c>
      <c r="E6211" t="s">
        <v>3531</v>
      </c>
      <c r="F6211" t="s">
        <v>20</v>
      </c>
      <c r="G6211" t="s">
        <v>338</v>
      </c>
      <c r="H6211">
        <v>84316</v>
      </c>
      <c r="I6211" t="s">
        <v>23</v>
      </c>
      <c r="J6211" t="s">
        <v>49</v>
      </c>
      <c r="K6211" s="2" t="s">
        <v>1853</v>
      </c>
      <c r="L6211" t="s">
        <v>26</v>
      </c>
      <c r="M6211">
        <v>329853</v>
      </c>
      <c r="N6211">
        <v>-1</v>
      </c>
      <c r="O6211" s="3">
        <v>-89950</v>
      </c>
      <c r="P6211" s="3">
        <v>31128</v>
      </c>
      <c r="Q6211" s="5">
        <f t="shared" si="288"/>
        <v>-75588.23529411765</v>
      </c>
      <c r="R6211" s="5">
        <f t="shared" si="289"/>
        <v>-31128</v>
      </c>
      <c r="S6211" s="5">
        <f t="shared" si="290"/>
        <v>-44460.23529411765</v>
      </c>
    </row>
    <row r="6212" spans="1:19" hidden="1" x14ac:dyDescent="0.3">
      <c r="A6212">
        <v>200</v>
      </c>
      <c r="B6212" t="s">
        <v>6336</v>
      </c>
      <c r="C6212" t="s">
        <v>5326</v>
      </c>
      <c r="D6212" s="2" t="s">
        <v>5327</v>
      </c>
      <c r="E6212" t="s">
        <v>3531</v>
      </c>
      <c r="F6212" t="s">
        <v>20</v>
      </c>
      <c r="G6212" t="s">
        <v>338</v>
      </c>
      <c r="H6212">
        <v>84316</v>
      </c>
      <c r="I6212" t="s">
        <v>23</v>
      </c>
      <c r="J6212" t="s">
        <v>49</v>
      </c>
      <c r="K6212" s="2" t="s">
        <v>1853</v>
      </c>
      <c r="L6212" t="s">
        <v>26</v>
      </c>
      <c r="M6212">
        <v>329853</v>
      </c>
      <c r="N6212">
        <v>1</v>
      </c>
      <c r="O6212" s="3">
        <v>89951</v>
      </c>
      <c r="P6212" s="3">
        <v>31128</v>
      </c>
      <c r="Q6212" s="5">
        <f t="shared" si="288"/>
        <v>75589.075630252104</v>
      </c>
      <c r="R6212" s="5">
        <f t="shared" si="289"/>
        <v>31128</v>
      </c>
      <c r="S6212" s="5">
        <f t="shared" si="290"/>
        <v>44461.075630252104</v>
      </c>
    </row>
    <row r="6213" spans="1:19" hidden="1" x14ac:dyDescent="0.3">
      <c r="A6213">
        <v>200</v>
      </c>
      <c r="B6213" t="s">
        <v>6336</v>
      </c>
      <c r="C6213" t="s">
        <v>4677</v>
      </c>
      <c r="D6213" s="2" t="s">
        <v>4678</v>
      </c>
      <c r="E6213" t="s">
        <v>266</v>
      </c>
      <c r="F6213" t="s">
        <v>20</v>
      </c>
      <c r="G6213" t="s">
        <v>21</v>
      </c>
      <c r="H6213" t="s">
        <v>267</v>
      </c>
      <c r="I6213" t="s">
        <v>23</v>
      </c>
      <c r="J6213" t="s">
        <v>49</v>
      </c>
      <c r="K6213" s="2" t="s">
        <v>1853</v>
      </c>
      <c r="L6213" t="s">
        <v>26</v>
      </c>
      <c r="M6213">
        <v>329854</v>
      </c>
      <c r="N6213">
        <v>1</v>
      </c>
      <c r="O6213" s="3">
        <v>64950</v>
      </c>
      <c r="P6213" s="3">
        <v>24504</v>
      </c>
      <c r="Q6213" s="5">
        <f t="shared" si="288"/>
        <v>54579.831932773115</v>
      </c>
      <c r="R6213" s="5">
        <f t="shared" si="289"/>
        <v>24504</v>
      </c>
      <c r="S6213" s="5">
        <f t="shared" si="290"/>
        <v>30075.831932773115</v>
      </c>
    </row>
    <row r="6214" spans="1:19" hidden="1" x14ac:dyDescent="0.3">
      <c r="A6214">
        <v>200</v>
      </c>
      <c r="B6214" t="s">
        <v>6336</v>
      </c>
      <c r="C6214" t="s">
        <v>2097</v>
      </c>
      <c r="D6214" s="2" t="s">
        <v>2098</v>
      </c>
      <c r="E6214" t="s">
        <v>494</v>
      </c>
      <c r="F6214" t="s">
        <v>20</v>
      </c>
      <c r="G6214" t="s">
        <v>21</v>
      </c>
      <c r="H6214" t="s">
        <v>317</v>
      </c>
      <c r="I6214" t="s">
        <v>23</v>
      </c>
      <c r="J6214" t="s">
        <v>35</v>
      </c>
      <c r="K6214" s="2" t="s">
        <v>1853</v>
      </c>
      <c r="L6214" t="s">
        <v>26</v>
      </c>
      <c r="M6214">
        <v>329854</v>
      </c>
      <c r="N6214">
        <v>-1</v>
      </c>
      <c r="O6214" s="3">
        <v>-69950</v>
      </c>
      <c r="P6214" s="3">
        <v>23619</v>
      </c>
      <c r="Q6214" s="5">
        <f t="shared" ref="Q6214:Q6277" si="291">O6214/1.19</f>
        <v>-58781.512605042022</v>
      </c>
      <c r="R6214" s="5">
        <f t="shared" ref="R6214:R6277" si="292">N6214*P6214</f>
        <v>-23619</v>
      </c>
      <c r="S6214" s="5">
        <f t="shared" ref="S6214:S6277" si="293">Q6214-R6214</f>
        <v>-35162.512605042022</v>
      </c>
    </row>
    <row r="6215" spans="1:19" hidden="1" x14ac:dyDescent="0.3">
      <c r="A6215">
        <v>200</v>
      </c>
      <c r="B6215" t="s">
        <v>6336</v>
      </c>
      <c r="C6215" t="s">
        <v>1037</v>
      </c>
      <c r="D6215" s="2" t="s">
        <v>1038</v>
      </c>
      <c r="E6215" t="s">
        <v>1039</v>
      </c>
      <c r="F6215" t="s">
        <v>377</v>
      </c>
      <c r="G6215" t="s">
        <v>21</v>
      </c>
      <c r="H6215" t="s">
        <v>378</v>
      </c>
      <c r="I6215" t="s">
        <v>23</v>
      </c>
      <c r="J6215" t="s">
        <v>379</v>
      </c>
      <c r="K6215" s="2" t="s">
        <v>1853</v>
      </c>
      <c r="L6215" t="s">
        <v>26</v>
      </c>
      <c r="M6215">
        <v>329854</v>
      </c>
      <c r="N6215">
        <v>1</v>
      </c>
      <c r="O6215" s="3">
        <v>5950</v>
      </c>
      <c r="P6215" s="3">
        <v>3257</v>
      </c>
      <c r="Q6215" s="5">
        <f t="shared" si="291"/>
        <v>5000</v>
      </c>
      <c r="R6215" s="5">
        <f t="shared" si="292"/>
        <v>3257</v>
      </c>
      <c r="S6215" s="5">
        <f t="shared" si="293"/>
        <v>1743</v>
      </c>
    </row>
    <row r="6216" spans="1:19" hidden="1" x14ac:dyDescent="0.3">
      <c r="A6216">
        <v>200</v>
      </c>
      <c r="B6216" t="s">
        <v>6336</v>
      </c>
      <c r="C6216" t="s">
        <v>5177</v>
      </c>
      <c r="D6216" s="2" t="s">
        <v>5178</v>
      </c>
      <c r="E6216" t="s">
        <v>3406</v>
      </c>
      <c r="F6216" t="s">
        <v>20</v>
      </c>
      <c r="G6216" t="s">
        <v>338</v>
      </c>
      <c r="H6216">
        <v>26825</v>
      </c>
      <c r="I6216" t="s">
        <v>23</v>
      </c>
      <c r="J6216" t="s">
        <v>35</v>
      </c>
      <c r="K6216" s="2" t="s">
        <v>1853</v>
      </c>
      <c r="L6216" t="s">
        <v>26</v>
      </c>
      <c r="M6216">
        <v>329855</v>
      </c>
      <c r="N6216">
        <v>1</v>
      </c>
      <c r="O6216" s="3">
        <v>79950</v>
      </c>
      <c r="P6216" s="3">
        <v>23119</v>
      </c>
      <c r="Q6216" s="5">
        <f t="shared" si="291"/>
        <v>67184.873949579836</v>
      </c>
      <c r="R6216" s="5">
        <f t="shared" si="292"/>
        <v>23119</v>
      </c>
      <c r="S6216" s="5">
        <f t="shared" si="293"/>
        <v>44065.873949579836</v>
      </c>
    </row>
    <row r="6217" spans="1:19" hidden="1" x14ac:dyDescent="0.3">
      <c r="A6217">
        <v>200</v>
      </c>
      <c r="B6217" t="s">
        <v>6336</v>
      </c>
      <c r="C6217" t="s">
        <v>2830</v>
      </c>
      <c r="D6217" s="2" t="s">
        <v>2831</v>
      </c>
      <c r="E6217" t="s">
        <v>1330</v>
      </c>
      <c r="F6217" t="s">
        <v>20</v>
      </c>
      <c r="G6217" t="s">
        <v>338</v>
      </c>
      <c r="H6217">
        <v>25133</v>
      </c>
      <c r="I6217" t="s">
        <v>23</v>
      </c>
      <c r="J6217" t="s">
        <v>35</v>
      </c>
      <c r="K6217" s="2" t="s">
        <v>1853</v>
      </c>
      <c r="L6217" t="s">
        <v>26</v>
      </c>
      <c r="M6217">
        <v>329856</v>
      </c>
      <c r="N6217">
        <v>1</v>
      </c>
      <c r="O6217" s="3">
        <v>74950</v>
      </c>
      <c r="P6217" s="3">
        <v>21167</v>
      </c>
      <c r="Q6217" s="5">
        <f t="shared" si="291"/>
        <v>62983.193277310929</v>
      </c>
      <c r="R6217" s="5">
        <f t="shared" si="292"/>
        <v>21167</v>
      </c>
      <c r="S6217" s="5">
        <f t="shared" si="293"/>
        <v>41816.193277310929</v>
      </c>
    </row>
    <row r="6218" spans="1:19" hidden="1" x14ac:dyDescent="0.3">
      <c r="A6218">
        <v>200</v>
      </c>
      <c r="B6218" t="s">
        <v>6336</v>
      </c>
      <c r="C6218" t="s">
        <v>2746</v>
      </c>
      <c r="D6218" s="2" t="s">
        <v>2747</v>
      </c>
      <c r="E6218" t="s">
        <v>2748</v>
      </c>
      <c r="F6218" t="s">
        <v>20</v>
      </c>
      <c r="G6218" t="s">
        <v>338</v>
      </c>
      <c r="H6218">
        <v>26266</v>
      </c>
      <c r="I6218" t="s">
        <v>23</v>
      </c>
      <c r="J6218" t="s">
        <v>35</v>
      </c>
      <c r="K6218" s="2" t="s">
        <v>1853</v>
      </c>
      <c r="L6218" t="s">
        <v>26</v>
      </c>
      <c r="M6218">
        <v>329857</v>
      </c>
      <c r="N6218">
        <v>1</v>
      </c>
      <c r="O6218" s="3">
        <v>79950</v>
      </c>
      <c r="P6218" s="3">
        <v>25300</v>
      </c>
      <c r="Q6218" s="5">
        <f t="shared" si="291"/>
        <v>67184.873949579836</v>
      </c>
      <c r="R6218" s="5">
        <f t="shared" si="292"/>
        <v>25300</v>
      </c>
      <c r="S6218" s="5">
        <f t="shared" si="293"/>
        <v>41884.873949579836</v>
      </c>
    </row>
    <row r="6219" spans="1:19" hidden="1" x14ac:dyDescent="0.3">
      <c r="A6219">
        <v>200</v>
      </c>
      <c r="B6219" t="s">
        <v>6336</v>
      </c>
      <c r="C6219" t="s">
        <v>6477</v>
      </c>
      <c r="D6219" s="2" t="s">
        <v>6478</v>
      </c>
      <c r="E6219" t="s">
        <v>4166</v>
      </c>
      <c r="F6219" t="s">
        <v>20</v>
      </c>
      <c r="G6219" t="s">
        <v>338</v>
      </c>
      <c r="H6219">
        <v>25918</v>
      </c>
      <c r="I6219" t="s">
        <v>23</v>
      </c>
      <c r="J6219" t="s">
        <v>35</v>
      </c>
      <c r="K6219" s="2" t="s">
        <v>1853</v>
      </c>
      <c r="L6219" t="s">
        <v>26</v>
      </c>
      <c r="M6219">
        <v>329858</v>
      </c>
      <c r="N6219">
        <v>1</v>
      </c>
      <c r="O6219" s="3">
        <v>89950</v>
      </c>
      <c r="P6219" s="3">
        <v>27207</v>
      </c>
      <c r="Q6219" s="5">
        <f t="shared" si="291"/>
        <v>75588.23529411765</v>
      </c>
      <c r="R6219" s="5">
        <f t="shared" si="292"/>
        <v>27207</v>
      </c>
      <c r="S6219" s="5">
        <f t="shared" si="293"/>
        <v>48381.23529411765</v>
      </c>
    </row>
    <row r="6220" spans="1:19" hidden="1" x14ac:dyDescent="0.3">
      <c r="A6220">
        <v>200</v>
      </c>
      <c r="B6220" t="s">
        <v>6336</v>
      </c>
      <c r="C6220" t="s">
        <v>5754</v>
      </c>
      <c r="D6220" s="2" t="s">
        <v>5755</v>
      </c>
      <c r="E6220" t="s">
        <v>2490</v>
      </c>
      <c r="F6220" t="s">
        <v>20</v>
      </c>
      <c r="G6220" t="s">
        <v>21</v>
      </c>
      <c r="H6220" t="s">
        <v>44</v>
      </c>
      <c r="I6220" t="s">
        <v>23</v>
      </c>
      <c r="J6220" t="s">
        <v>40</v>
      </c>
      <c r="K6220" s="2" t="s">
        <v>1853</v>
      </c>
      <c r="L6220" t="s">
        <v>26</v>
      </c>
      <c r="M6220">
        <v>329859</v>
      </c>
      <c r="N6220">
        <v>1</v>
      </c>
      <c r="O6220" s="3">
        <v>39990</v>
      </c>
      <c r="P6220" s="3">
        <v>15254</v>
      </c>
      <c r="Q6220" s="5">
        <f t="shared" si="291"/>
        <v>33605.042016806721</v>
      </c>
      <c r="R6220" s="5">
        <f t="shared" si="292"/>
        <v>15254</v>
      </c>
      <c r="S6220" s="5">
        <f t="shared" si="293"/>
        <v>18351.042016806721</v>
      </c>
    </row>
    <row r="6221" spans="1:19" hidden="1" x14ac:dyDescent="0.3">
      <c r="A6221">
        <v>200</v>
      </c>
      <c r="B6221" t="s">
        <v>6336</v>
      </c>
      <c r="C6221" t="s">
        <v>5231</v>
      </c>
      <c r="D6221" s="2" t="s">
        <v>5232</v>
      </c>
      <c r="E6221" t="s">
        <v>506</v>
      </c>
      <c r="F6221" t="s">
        <v>20</v>
      </c>
      <c r="G6221" t="s">
        <v>21</v>
      </c>
      <c r="H6221" t="s">
        <v>357</v>
      </c>
      <c r="I6221" t="s">
        <v>23</v>
      </c>
      <c r="J6221" t="s">
        <v>49</v>
      </c>
      <c r="K6221" s="2" t="s">
        <v>1853</v>
      </c>
      <c r="L6221" t="s">
        <v>26</v>
      </c>
      <c r="M6221">
        <v>329860</v>
      </c>
      <c r="N6221">
        <v>-1</v>
      </c>
      <c r="O6221" s="3">
        <v>-44990</v>
      </c>
      <c r="P6221" s="3">
        <v>26637</v>
      </c>
      <c r="Q6221" s="5">
        <f t="shared" si="291"/>
        <v>-37806.722689075636</v>
      </c>
      <c r="R6221" s="5">
        <f t="shared" si="292"/>
        <v>-26637</v>
      </c>
      <c r="S6221" s="5">
        <f t="shared" si="293"/>
        <v>-11169.722689075636</v>
      </c>
    </row>
    <row r="6222" spans="1:19" hidden="1" x14ac:dyDescent="0.3">
      <c r="A6222">
        <v>200</v>
      </c>
      <c r="B6222" t="s">
        <v>6336</v>
      </c>
      <c r="C6222" t="s">
        <v>3064</v>
      </c>
      <c r="D6222" s="2" t="s">
        <v>3065</v>
      </c>
      <c r="E6222" t="s">
        <v>3031</v>
      </c>
      <c r="F6222" t="s">
        <v>20</v>
      </c>
      <c r="G6222" t="s">
        <v>21</v>
      </c>
      <c r="H6222" t="s">
        <v>2315</v>
      </c>
      <c r="I6222" t="s">
        <v>23</v>
      </c>
      <c r="J6222" t="s">
        <v>49</v>
      </c>
      <c r="K6222" s="2" t="s">
        <v>1853</v>
      </c>
      <c r="L6222" t="s">
        <v>26</v>
      </c>
      <c r="M6222">
        <v>329860</v>
      </c>
      <c r="N6222">
        <v>1</v>
      </c>
      <c r="O6222" s="3">
        <v>74950</v>
      </c>
      <c r="P6222" s="3">
        <v>24255</v>
      </c>
      <c r="Q6222" s="5">
        <f t="shared" si="291"/>
        <v>62983.193277310929</v>
      </c>
      <c r="R6222" s="5">
        <f t="shared" si="292"/>
        <v>24255</v>
      </c>
      <c r="S6222" s="5">
        <f t="shared" si="293"/>
        <v>38728.193277310929</v>
      </c>
    </row>
    <row r="6223" spans="1:19" hidden="1" x14ac:dyDescent="0.3">
      <c r="A6223">
        <v>200</v>
      </c>
      <c r="B6223" t="s">
        <v>6336</v>
      </c>
      <c r="C6223" t="s">
        <v>1684</v>
      </c>
      <c r="D6223" s="2" t="s">
        <v>1685</v>
      </c>
      <c r="E6223" t="s">
        <v>316</v>
      </c>
      <c r="F6223" t="s">
        <v>20</v>
      </c>
      <c r="G6223" t="s">
        <v>21</v>
      </c>
      <c r="H6223" t="s">
        <v>317</v>
      </c>
      <c r="I6223" t="s">
        <v>23</v>
      </c>
      <c r="J6223" t="s">
        <v>35</v>
      </c>
      <c r="K6223" s="2" t="s">
        <v>1853</v>
      </c>
      <c r="L6223" t="s">
        <v>26</v>
      </c>
      <c r="M6223">
        <v>329861</v>
      </c>
      <c r="N6223">
        <v>1</v>
      </c>
      <c r="O6223" s="3">
        <v>69950</v>
      </c>
      <c r="P6223" s="3">
        <v>23738</v>
      </c>
      <c r="Q6223" s="5">
        <f t="shared" si="291"/>
        <v>58781.512605042022</v>
      </c>
      <c r="R6223" s="5">
        <f t="shared" si="292"/>
        <v>23738</v>
      </c>
      <c r="S6223" s="5">
        <f t="shared" si="293"/>
        <v>35043.512605042022</v>
      </c>
    </row>
    <row r="6224" spans="1:19" hidden="1" x14ac:dyDescent="0.3">
      <c r="A6224">
        <v>200</v>
      </c>
      <c r="B6224" t="s">
        <v>6336</v>
      </c>
      <c r="C6224" t="s">
        <v>6479</v>
      </c>
      <c r="D6224" s="2" t="s">
        <v>6480</v>
      </c>
      <c r="E6224" t="s">
        <v>2910</v>
      </c>
      <c r="F6224" t="s">
        <v>20</v>
      </c>
      <c r="G6224" t="s">
        <v>338</v>
      </c>
      <c r="H6224">
        <v>25212</v>
      </c>
      <c r="I6224" t="s">
        <v>23</v>
      </c>
      <c r="J6224" t="s">
        <v>35</v>
      </c>
      <c r="K6224" s="2" t="s">
        <v>1853</v>
      </c>
      <c r="L6224" t="s">
        <v>26</v>
      </c>
      <c r="M6224">
        <v>329862</v>
      </c>
      <c r="N6224">
        <v>1</v>
      </c>
      <c r="O6224" s="3">
        <v>109950</v>
      </c>
      <c r="P6224" s="3">
        <v>34157</v>
      </c>
      <c r="Q6224" s="5">
        <f t="shared" si="291"/>
        <v>92394.957983193279</v>
      </c>
      <c r="R6224" s="5">
        <f t="shared" si="292"/>
        <v>34157</v>
      </c>
      <c r="S6224" s="5">
        <f t="shared" si="293"/>
        <v>58237.957983193279</v>
      </c>
    </row>
    <row r="6225" spans="1:19" hidden="1" x14ac:dyDescent="0.3">
      <c r="A6225">
        <v>200</v>
      </c>
      <c r="B6225" t="s">
        <v>6336</v>
      </c>
      <c r="C6225" t="s">
        <v>6481</v>
      </c>
      <c r="D6225" s="2" t="s">
        <v>6482</v>
      </c>
      <c r="E6225" t="s">
        <v>337</v>
      </c>
      <c r="F6225" t="s">
        <v>20</v>
      </c>
      <c r="G6225" t="s">
        <v>338</v>
      </c>
      <c r="H6225">
        <v>23746</v>
      </c>
      <c r="I6225" t="s">
        <v>23</v>
      </c>
      <c r="J6225" t="s">
        <v>40</v>
      </c>
      <c r="K6225" s="2" t="s">
        <v>1910</v>
      </c>
      <c r="L6225" t="s">
        <v>26</v>
      </c>
      <c r="M6225">
        <v>329863</v>
      </c>
      <c r="N6225">
        <v>1</v>
      </c>
      <c r="O6225" s="3">
        <v>79950</v>
      </c>
      <c r="P6225" s="3">
        <v>27470</v>
      </c>
      <c r="Q6225" s="5">
        <f t="shared" si="291"/>
        <v>67184.873949579836</v>
      </c>
      <c r="R6225" s="5">
        <f t="shared" si="292"/>
        <v>27470</v>
      </c>
      <c r="S6225" s="5">
        <f t="shared" si="293"/>
        <v>39714.873949579836</v>
      </c>
    </row>
    <row r="6226" spans="1:19" hidden="1" x14ac:dyDescent="0.3">
      <c r="A6226">
        <v>200</v>
      </c>
      <c r="B6226" t="s">
        <v>6336</v>
      </c>
      <c r="C6226" t="s">
        <v>4152</v>
      </c>
      <c r="D6226" s="2" t="s">
        <v>4153</v>
      </c>
      <c r="E6226" t="s">
        <v>3491</v>
      </c>
      <c r="F6226" t="s">
        <v>20</v>
      </c>
      <c r="G6226" t="s">
        <v>338</v>
      </c>
      <c r="H6226">
        <v>85200</v>
      </c>
      <c r="I6226" t="s">
        <v>23</v>
      </c>
      <c r="J6226" t="s">
        <v>35</v>
      </c>
      <c r="K6226" s="2" t="s">
        <v>1910</v>
      </c>
      <c r="L6226" t="s">
        <v>26</v>
      </c>
      <c r="M6226">
        <v>329864</v>
      </c>
      <c r="N6226">
        <v>1</v>
      </c>
      <c r="O6226" s="3">
        <v>89950</v>
      </c>
      <c r="P6226" s="3">
        <v>27253</v>
      </c>
      <c r="Q6226" s="5">
        <f t="shared" si="291"/>
        <v>75588.23529411765</v>
      </c>
      <c r="R6226" s="5">
        <f t="shared" si="292"/>
        <v>27253</v>
      </c>
      <c r="S6226" s="5">
        <f t="shared" si="293"/>
        <v>48335.23529411765</v>
      </c>
    </row>
    <row r="6227" spans="1:19" hidden="1" x14ac:dyDescent="0.3">
      <c r="A6227">
        <v>200</v>
      </c>
      <c r="B6227" t="s">
        <v>6336</v>
      </c>
      <c r="C6227" t="s">
        <v>1499</v>
      </c>
      <c r="D6227" s="2" t="s">
        <v>1500</v>
      </c>
      <c r="E6227" t="s">
        <v>1501</v>
      </c>
      <c r="F6227" t="s">
        <v>20</v>
      </c>
      <c r="G6227" t="s">
        <v>21</v>
      </c>
      <c r="H6227" t="s">
        <v>742</v>
      </c>
      <c r="I6227" t="s">
        <v>23</v>
      </c>
      <c r="J6227" t="s">
        <v>40</v>
      </c>
      <c r="K6227" s="2" t="s">
        <v>1910</v>
      </c>
      <c r="L6227" t="s">
        <v>26</v>
      </c>
      <c r="M6227">
        <v>329865</v>
      </c>
      <c r="N6227">
        <v>1</v>
      </c>
      <c r="O6227" s="3">
        <v>69990</v>
      </c>
      <c r="P6227" s="3">
        <v>28727</v>
      </c>
      <c r="Q6227" s="5">
        <f t="shared" si="291"/>
        <v>58815.126050420171</v>
      </c>
      <c r="R6227" s="5">
        <f t="shared" si="292"/>
        <v>28727</v>
      </c>
      <c r="S6227" s="5">
        <f t="shared" si="293"/>
        <v>30088.126050420171</v>
      </c>
    </row>
    <row r="6228" spans="1:19" hidden="1" x14ac:dyDescent="0.3">
      <c r="A6228">
        <v>200</v>
      </c>
      <c r="B6228" t="s">
        <v>6336</v>
      </c>
      <c r="C6228" t="s">
        <v>3401</v>
      </c>
      <c r="D6228" s="2" t="s">
        <v>3402</v>
      </c>
      <c r="E6228" t="s">
        <v>3403</v>
      </c>
      <c r="F6228" t="s">
        <v>377</v>
      </c>
      <c r="G6228" t="s">
        <v>21</v>
      </c>
      <c r="H6228" t="s">
        <v>378</v>
      </c>
      <c r="I6228" t="s">
        <v>23</v>
      </c>
      <c r="J6228" t="s">
        <v>3297</v>
      </c>
      <c r="K6228" s="2" t="s">
        <v>1910</v>
      </c>
      <c r="L6228" t="s">
        <v>26</v>
      </c>
      <c r="M6228">
        <v>329865</v>
      </c>
      <c r="N6228">
        <v>1</v>
      </c>
      <c r="O6228">
        <v>500</v>
      </c>
      <c r="P6228">
        <v>418</v>
      </c>
      <c r="Q6228" s="5">
        <f t="shared" si="291"/>
        <v>420.1680672268908</v>
      </c>
      <c r="R6228" s="5">
        <f t="shared" si="292"/>
        <v>418</v>
      </c>
      <c r="S6228" s="5">
        <f t="shared" si="293"/>
        <v>2.1680672268907983</v>
      </c>
    </row>
    <row r="6229" spans="1:19" hidden="1" x14ac:dyDescent="0.3">
      <c r="A6229">
        <v>200</v>
      </c>
      <c r="B6229" t="s">
        <v>6336</v>
      </c>
      <c r="C6229" t="s">
        <v>6483</v>
      </c>
      <c r="D6229" s="2" t="s">
        <v>6484</v>
      </c>
      <c r="E6229" t="s">
        <v>2552</v>
      </c>
      <c r="F6229" t="s">
        <v>20</v>
      </c>
      <c r="G6229" t="s">
        <v>21</v>
      </c>
      <c r="H6229" t="s">
        <v>2353</v>
      </c>
      <c r="I6229" t="s">
        <v>23</v>
      </c>
      <c r="J6229" t="s">
        <v>40</v>
      </c>
      <c r="K6229" s="2" t="s">
        <v>1910</v>
      </c>
      <c r="L6229" t="s">
        <v>26</v>
      </c>
      <c r="M6229">
        <v>329866</v>
      </c>
      <c r="N6229">
        <v>1</v>
      </c>
      <c r="O6229" s="3">
        <v>69990</v>
      </c>
      <c r="P6229" s="3">
        <v>31434</v>
      </c>
      <c r="Q6229" s="5">
        <f t="shared" si="291"/>
        <v>58815.126050420171</v>
      </c>
      <c r="R6229" s="5">
        <f t="shared" si="292"/>
        <v>31434</v>
      </c>
      <c r="S6229" s="5">
        <f t="shared" si="293"/>
        <v>27381.126050420171</v>
      </c>
    </row>
    <row r="6230" spans="1:19" hidden="1" x14ac:dyDescent="0.3">
      <c r="A6230">
        <v>200</v>
      </c>
      <c r="B6230" t="s">
        <v>6336</v>
      </c>
      <c r="C6230" t="s">
        <v>3294</v>
      </c>
      <c r="D6230" s="2" t="s">
        <v>3295</v>
      </c>
      <c r="E6230" t="s">
        <v>3296</v>
      </c>
      <c r="F6230" t="s">
        <v>377</v>
      </c>
      <c r="G6230" t="s">
        <v>21</v>
      </c>
      <c r="H6230" t="s">
        <v>378</v>
      </c>
      <c r="I6230" t="s">
        <v>23</v>
      </c>
      <c r="J6230" t="s">
        <v>3297</v>
      </c>
      <c r="K6230" s="2" t="s">
        <v>1910</v>
      </c>
      <c r="L6230" t="s">
        <v>26</v>
      </c>
      <c r="M6230">
        <v>329866</v>
      </c>
      <c r="N6230">
        <v>1</v>
      </c>
      <c r="O6230">
        <v>500</v>
      </c>
      <c r="P6230">
        <v>358</v>
      </c>
      <c r="Q6230" s="5">
        <f t="shared" si="291"/>
        <v>420.1680672268908</v>
      </c>
      <c r="R6230" s="5">
        <f t="shared" si="292"/>
        <v>358</v>
      </c>
      <c r="S6230" s="5">
        <f t="shared" si="293"/>
        <v>62.168067226890798</v>
      </c>
    </row>
    <row r="6231" spans="1:19" hidden="1" x14ac:dyDescent="0.3">
      <c r="A6231">
        <v>200</v>
      </c>
      <c r="B6231" t="s">
        <v>6336</v>
      </c>
      <c r="C6231" t="s">
        <v>4373</v>
      </c>
      <c r="D6231" s="2" t="s">
        <v>4374</v>
      </c>
      <c r="E6231" t="s">
        <v>2629</v>
      </c>
      <c r="F6231" t="s">
        <v>20</v>
      </c>
      <c r="G6231" t="s">
        <v>21</v>
      </c>
      <c r="H6231" t="s">
        <v>1987</v>
      </c>
      <c r="I6231" t="s">
        <v>23</v>
      </c>
      <c r="J6231" t="s">
        <v>49</v>
      </c>
      <c r="K6231" s="2" t="s">
        <v>1910</v>
      </c>
      <c r="L6231" t="s">
        <v>26</v>
      </c>
      <c r="M6231">
        <v>329867</v>
      </c>
      <c r="N6231">
        <v>1</v>
      </c>
      <c r="O6231" s="3">
        <v>74950</v>
      </c>
      <c r="P6231" s="3">
        <v>23391</v>
      </c>
      <c r="Q6231" s="5">
        <f t="shared" si="291"/>
        <v>62983.193277310929</v>
      </c>
      <c r="R6231" s="5">
        <f t="shared" si="292"/>
        <v>23391</v>
      </c>
      <c r="S6231" s="5">
        <f t="shared" si="293"/>
        <v>39592.193277310929</v>
      </c>
    </row>
    <row r="6232" spans="1:19" hidden="1" x14ac:dyDescent="0.3">
      <c r="A6232">
        <v>200</v>
      </c>
      <c r="B6232" t="s">
        <v>6336</v>
      </c>
      <c r="C6232" t="s">
        <v>1037</v>
      </c>
      <c r="D6232" s="2" t="s">
        <v>1038</v>
      </c>
      <c r="E6232" t="s">
        <v>1039</v>
      </c>
      <c r="F6232" t="s">
        <v>377</v>
      </c>
      <c r="G6232" t="s">
        <v>21</v>
      </c>
      <c r="H6232" t="s">
        <v>378</v>
      </c>
      <c r="I6232" t="s">
        <v>23</v>
      </c>
      <c r="J6232" t="s">
        <v>379</v>
      </c>
      <c r="K6232" s="2" t="s">
        <v>1910</v>
      </c>
      <c r="L6232" t="s">
        <v>26</v>
      </c>
      <c r="M6232">
        <v>329868</v>
      </c>
      <c r="N6232">
        <v>1</v>
      </c>
      <c r="O6232" s="3">
        <v>5950</v>
      </c>
      <c r="P6232" s="3">
        <v>3257</v>
      </c>
      <c r="Q6232" s="5">
        <f t="shared" si="291"/>
        <v>5000</v>
      </c>
      <c r="R6232" s="5">
        <f t="shared" si="292"/>
        <v>3257</v>
      </c>
      <c r="S6232" s="5">
        <f t="shared" si="293"/>
        <v>1743</v>
      </c>
    </row>
    <row r="6233" spans="1:19" hidden="1" x14ac:dyDescent="0.3">
      <c r="A6233">
        <v>200</v>
      </c>
      <c r="B6233" t="s">
        <v>6336</v>
      </c>
      <c r="C6233" t="s">
        <v>1761</v>
      </c>
      <c r="D6233" s="2" t="s">
        <v>1762</v>
      </c>
      <c r="E6233" t="s">
        <v>1763</v>
      </c>
      <c r="F6233" t="s">
        <v>377</v>
      </c>
      <c r="G6233" t="s">
        <v>21</v>
      </c>
      <c r="H6233" t="s">
        <v>378</v>
      </c>
      <c r="I6233" t="s">
        <v>23</v>
      </c>
      <c r="J6233" t="s">
        <v>379</v>
      </c>
      <c r="K6233" s="2" t="s">
        <v>1910</v>
      </c>
      <c r="L6233" t="s">
        <v>26</v>
      </c>
      <c r="M6233">
        <v>329868</v>
      </c>
      <c r="N6233">
        <v>1</v>
      </c>
      <c r="O6233" s="3">
        <v>5950</v>
      </c>
      <c r="P6233" s="3">
        <v>3279</v>
      </c>
      <c r="Q6233" s="5">
        <f t="shared" si="291"/>
        <v>5000</v>
      </c>
      <c r="R6233" s="5">
        <f t="shared" si="292"/>
        <v>3279</v>
      </c>
      <c r="S6233" s="5">
        <f t="shared" si="293"/>
        <v>1721</v>
      </c>
    </row>
    <row r="6234" spans="1:19" hidden="1" x14ac:dyDescent="0.3">
      <c r="A6234">
        <v>200</v>
      </c>
      <c r="B6234" t="s">
        <v>6336</v>
      </c>
      <c r="C6234" t="s">
        <v>4010</v>
      </c>
      <c r="D6234" s="2" t="s">
        <v>4011</v>
      </c>
      <c r="E6234" t="s">
        <v>1428</v>
      </c>
      <c r="F6234" t="s">
        <v>20</v>
      </c>
      <c r="G6234" t="s">
        <v>21</v>
      </c>
      <c r="H6234" t="s">
        <v>57</v>
      </c>
      <c r="I6234" t="s">
        <v>23</v>
      </c>
      <c r="J6234" t="s">
        <v>35</v>
      </c>
      <c r="K6234" s="2" t="s">
        <v>1910</v>
      </c>
      <c r="L6234" t="s">
        <v>26</v>
      </c>
      <c r="M6234">
        <v>329869</v>
      </c>
      <c r="N6234">
        <v>1</v>
      </c>
      <c r="O6234" s="3">
        <v>89950</v>
      </c>
      <c r="P6234" s="3">
        <v>31700</v>
      </c>
      <c r="Q6234" s="5">
        <f t="shared" si="291"/>
        <v>75588.23529411765</v>
      </c>
      <c r="R6234" s="5">
        <f t="shared" si="292"/>
        <v>31700</v>
      </c>
      <c r="S6234" s="5">
        <f t="shared" si="293"/>
        <v>43888.23529411765</v>
      </c>
    </row>
    <row r="6235" spans="1:19" hidden="1" x14ac:dyDescent="0.3">
      <c r="A6235">
        <v>200</v>
      </c>
      <c r="B6235" t="s">
        <v>6336</v>
      </c>
      <c r="C6235" t="s">
        <v>1789</v>
      </c>
      <c r="D6235" s="2" t="s">
        <v>1790</v>
      </c>
      <c r="E6235" t="s">
        <v>1791</v>
      </c>
      <c r="F6235" t="s">
        <v>20</v>
      </c>
      <c r="G6235" t="s">
        <v>21</v>
      </c>
      <c r="H6235" t="s">
        <v>742</v>
      </c>
      <c r="I6235" t="s">
        <v>23</v>
      </c>
      <c r="J6235" t="s">
        <v>40</v>
      </c>
      <c r="K6235" s="2" t="s">
        <v>1910</v>
      </c>
      <c r="L6235" t="s">
        <v>26</v>
      </c>
      <c r="M6235">
        <v>329870</v>
      </c>
      <c r="N6235">
        <v>1</v>
      </c>
      <c r="O6235" s="3">
        <v>69990</v>
      </c>
      <c r="P6235" s="3">
        <v>26517</v>
      </c>
      <c r="Q6235" s="5">
        <f t="shared" si="291"/>
        <v>58815.126050420171</v>
      </c>
      <c r="R6235" s="5">
        <f t="shared" si="292"/>
        <v>26517</v>
      </c>
      <c r="S6235" s="5">
        <f t="shared" si="293"/>
        <v>32298.126050420171</v>
      </c>
    </row>
    <row r="6236" spans="1:19" hidden="1" x14ac:dyDescent="0.3">
      <c r="A6236">
        <v>200</v>
      </c>
      <c r="B6236" t="s">
        <v>6336</v>
      </c>
      <c r="C6236" t="s">
        <v>2868</v>
      </c>
      <c r="D6236" s="2" t="s">
        <v>2869</v>
      </c>
      <c r="E6236" t="s">
        <v>2870</v>
      </c>
      <c r="F6236" t="s">
        <v>20</v>
      </c>
      <c r="G6236" t="s">
        <v>21</v>
      </c>
      <c r="H6236" t="s">
        <v>30</v>
      </c>
      <c r="I6236" t="s">
        <v>23</v>
      </c>
      <c r="J6236" t="s">
        <v>35</v>
      </c>
      <c r="K6236" s="2" t="s">
        <v>1910</v>
      </c>
      <c r="L6236" t="s">
        <v>26</v>
      </c>
      <c r="M6236">
        <v>329871</v>
      </c>
      <c r="N6236">
        <v>1</v>
      </c>
      <c r="O6236" s="3">
        <v>79950</v>
      </c>
      <c r="P6236" s="3">
        <v>30749</v>
      </c>
      <c r="Q6236" s="5">
        <f t="shared" si="291"/>
        <v>67184.873949579836</v>
      </c>
      <c r="R6236" s="5">
        <f t="shared" si="292"/>
        <v>30749</v>
      </c>
      <c r="S6236" s="5">
        <f t="shared" si="293"/>
        <v>36435.873949579836</v>
      </c>
    </row>
    <row r="6237" spans="1:19" hidden="1" x14ac:dyDescent="0.3">
      <c r="A6237">
        <v>200</v>
      </c>
      <c r="B6237" t="s">
        <v>6336</v>
      </c>
      <c r="C6237" t="s">
        <v>3294</v>
      </c>
      <c r="D6237" s="2" t="s">
        <v>3295</v>
      </c>
      <c r="E6237" t="s">
        <v>3296</v>
      </c>
      <c r="F6237" t="s">
        <v>377</v>
      </c>
      <c r="G6237" t="s">
        <v>21</v>
      </c>
      <c r="H6237" t="s">
        <v>378</v>
      </c>
      <c r="I6237" t="s">
        <v>23</v>
      </c>
      <c r="J6237" t="s">
        <v>3297</v>
      </c>
      <c r="K6237" s="2" t="s">
        <v>1910</v>
      </c>
      <c r="L6237" t="s">
        <v>26</v>
      </c>
      <c r="M6237">
        <v>329871</v>
      </c>
      <c r="N6237">
        <v>1</v>
      </c>
      <c r="O6237">
        <v>500</v>
      </c>
      <c r="P6237">
        <v>358</v>
      </c>
      <c r="Q6237" s="5">
        <f t="shared" si="291"/>
        <v>420.1680672268908</v>
      </c>
      <c r="R6237" s="5">
        <f t="shared" si="292"/>
        <v>358</v>
      </c>
      <c r="S6237" s="5">
        <f t="shared" si="293"/>
        <v>62.168067226890798</v>
      </c>
    </row>
    <row r="6238" spans="1:19" hidden="1" x14ac:dyDescent="0.3">
      <c r="A6238">
        <v>200</v>
      </c>
      <c r="B6238" t="s">
        <v>6336</v>
      </c>
      <c r="C6238" t="s">
        <v>6485</v>
      </c>
      <c r="D6238" s="2" t="s">
        <v>6486</v>
      </c>
      <c r="E6238" t="s">
        <v>6296</v>
      </c>
      <c r="F6238" t="s">
        <v>20</v>
      </c>
      <c r="G6238" t="s">
        <v>338</v>
      </c>
      <c r="H6238">
        <v>85200</v>
      </c>
      <c r="I6238" t="s">
        <v>23</v>
      </c>
      <c r="J6238" t="s">
        <v>35</v>
      </c>
      <c r="K6238" s="2" t="s">
        <v>3310</v>
      </c>
      <c r="L6238" t="s">
        <v>26</v>
      </c>
      <c r="M6238">
        <v>329872</v>
      </c>
      <c r="N6238">
        <v>1</v>
      </c>
      <c r="O6238" s="3">
        <v>76450</v>
      </c>
      <c r="P6238" s="3">
        <v>27253</v>
      </c>
      <c r="Q6238" s="5">
        <f t="shared" si="291"/>
        <v>64243.697478991598</v>
      </c>
      <c r="R6238" s="5">
        <f t="shared" si="292"/>
        <v>27253</v>
      </c>
      <c r="S6238" s="5">
        <f t="shared" si="293"/>
        <v>36990.697478991598</v>
      </c>
    </row>
    <row r="6239" spans="1:19" hidden="1" x14ac:dyDescent="0.3">
      <c r="A6239">
        <v>200</v>
      </c>
      <c r="B6239" t="s">
        <v>6336</v>
      </c>
      <c r="C6239" t="s">
        <v>5473</v>
      </c>
      <c r="D6239" s="2" t="s">
        <v>5474</v>
      </c>
      <c r="E6239" t="s">
        <v>3491</v>
      </c>
      <c r="F6239" t="s">
        <v>20</v>
      </c>
      <c r="G6239" t="s">
        <v>338</v>
      </c>
      <c r="H6239">
        <v>85200</v>
      </c>
      <c r="I6239" t="s">
        <v>23</v>
      </c>
      <c r="J6239" t="s">
        <v>35</v>
      </c>
      <c r="K6239" s="2" t="s">
        <v>3310</v>
      </c>
      <c r="L6239" t="s">
        <v>26</v>
      </c>
      <c r="M6239">
        <v>329872</v>
      </c>
      <c r="N6239">
        <v>1</v>
      </c>
      <c r="O6239" s="3">
        <v>89950</v>
      </c>
      <c r="P6239" s="3">
        <v>27253</v>
      </c>
      <c r="Q6239" s="5">
        <f t="shared" si="291"/>
        <v>75588.23529411765</v>
      </c>
      <c r="R6239" s="5">
        <f t="shared" si="292"/>
        <v>27253</v>
      </c>
      <c r="S6239" s="5">
        <f t="shared" si="293"/>
        <v>48335.23529411765</v>
      </c>
    </row>
    <row r="6240" spans="1:19" hidden="1" x14ac:dyDescent="0.3">
      <c r="A6240">
        <v>200</v>
      </c>
      <c r="B6240" t="s">
        <v>6336</v>
      </c>
      <c r="C6240" t="s">
        <v>3294</v>
      </c>
      <c r="D6240" s="2" t="s">
        <v>3295</v>
      </c>
      <c r="E6240" t="s">
        <v>3296</v>
      </c>
      <c r="F6240" t="s">
        <v>377</v>
      </c>
      <c r="G6240" t="s">
        <v>21</v>
      </c>
      <c r="H6240" t="s">
        <v>378</v>
      </c>
      <c r="I6240" t="s">
        <v>23</v>
      </c>
      <c r="J6240" t="s">
        <v>3297</v>
      </c>
      <c r="K6240" s="2" t="s">
        <v>3310</v>
      </c>
      <c r="L6240" t="s">
        <v>26</v>
      </c>
      <c r="M6240">
        <v>329872</v>
      </c>
      <c r="N6240">
        <v>2</v>
      </c>
      <c r="O6240" s="3">
        <v>1000</v>
      </c>
      <c r="P6240">
        <v>358</v>
      </c>
      <c r="Q6240" s="5">
        <f t="shared" si="291"/>
        <v>840.3361344537816</v>
      </c>
      <c r="R6240" s="5">
        <f t="shared" si="292"/>
        <v>716</v>
      </c>
      <c r="S6240" s="5">
        <f t="shared" si="293"/>
        <v>124.3361344537816</v>
      </c>
    </row>
    <row r="6241" spans="1:19" hidden="1" x14ac:dyDescent="0.3">
      <c r="A6241">
        <v>200</v>
      </c>
      <c r="B6241" t="s">
        <v>6336</v>
      </c>
      <c r="C6241" t="s">
        <v>3007</v>
      </c>
      <c r="D6241" s="2" t="s">
        <v>3008</v>
      </c>
      <c r="E6241" t="s">
        <v>2986</v>
      </c>
      <c r="F6241" t="s">
        <v>20</v>
      </c>
      <c r="G6241" t="s">
        <v>21</v>
      </c>
      <c r="H6241" t="s">
        <v>267</v>
      </c>
      <c r="I6241" t="s">
        <v>23</v>
      </c>
      <c r="J6241" t="s">
        <v>35</v>
      </c>
      <c r="K6241" s="2" t="s">
        <v>3310</v>
      </c>
      <c r="L6241" t="s">
        <v>26</v>
      </c>
      <c r="M6241">
        <v>329873</v>
      </c>
      <c r="N6241">
        <v>1</v>
      </c>
      <c r="O6241" s="3">
        <v>59990</v>
      </c>
      <c r="P6241" s="3">
        <v>24733</v>
      </c>
      <c r="Q6241" s="5">
        <f t="shared" si="291"/>
        <v>50411.764705882357</v>
      </c>
      <c r="R6241" s="5">
        <f t="shared" si="292"/>
        <v>24733</v>
      </c>
      <c r="S6241" s="5">
        <f t="shared" si="293"/>
        <v>25678.764705882357</v>
      </c>
    </row>
    <row r="6242" spans="1:19" hidden="1" x14ac:dyDescent="0.3">
      <c r="A6242">
        <v>200</v>
      </c>
      <c r="B6242" t="s">
        <v>6336</v>
      </c>
      <c r="C6242" t="s">
        <v>2456</v>
      </c>
      <c r="D6242" s="2" t="s">
        <v>2457</v>
      </c>
      <c r="E6242" t="s">
        <v>2458</v>
      </c>
      <c r="F6242" t="s">
        <v>377</v>
      </c>
      <c r="G6242" t="s">
        <v>21</v>
      </c>
      <c r="H6242" t="s">
        <v>378</v>
      </c>
      <c r="I6242" t="s">
        <v>23</v>
      </c>
      <c r="J6242" t="s">
        <v>2459</v>
      </c>
      <c r="K6242" s="2" t="s">
        <v>3310</v>
      </c>
      <c r="L6242" t="s">
        <v>26</v>
      </c>
      <c r="M6242">
        <v>329874</v>
      </c>
      <c r="N6242">
        <v>1</v>
      </c>
      <c r="O6242" s="3">
        <v>6950</v>
      </c>
      <c r="P6242" s="3">
        <v>3421</v>
      </c>
      <c r="Q6242" s="5">
        <f t="shared" si="291"/>
        <v>5840.3361344537816</v>
      </c>
      <c r="R6242" s="5">
        <f t="shared" si="292"/>
        <v>3421</v>
      </c>
      <c r="S6242" s="5">
        <f t="shared" si="293"/>
        <v>2419.3361344537816</v>
      </c>
    </row>
    <row r="6243" spans="1:19" hidden="1" x14ac:dyDescent="0.3">
      <c r="A6243">
        <v>200</v>
      </c>
      <c r="B6243" t="s">
        <v>6336</v>
      </c>
      <c r="C6243" t="s">
        <v>2903</v>
      </c>
      <c r="D6243" s="2" t="s">
        <v>2904</v>
      </c>
      <c r="E6243" t="s">
        <v>2905</v>
      </c>
      <c r="F6243" t="s">
        <v>20</v>
      </c>
      <c r="G6243" t="s">
        <v>21</v>
      </c>
      <c r="H6243" t="s">
        <v>272</v>
      </c>
      <c r="I6243" t="s">
        <v>23</v>
      </c>
      <c r="J6243" t="s">
        <v>35</v>
      </c>
      <c r="K6243" s="2" t="s">
        <v>3310</v>
      </c>
      <c r="L6243" t="s">
        <v>26</v>
      </c>
      <c r="M6243">
        <v>329875</v>
      </c>
      <c r="N6243">
        <v>1</v>
      </c>
      <c r="O6243" s="3">
        <v>79950</v>
      </c>
      <c r="P6243" s="3">
        <v>27771</v>
      </c>
      <c r="Q6243" s="5">
        <f t="shared" si="291"/>
        <v>67184.873949579836</v>
      </c>
      <c r="R6243" s="5">
        <f t="shared" si="292"/>
        <v>27771</v>
      </c>
      <c r="S6243" s="5">
        <f t="shared" si="293"/>
        <v>39413.873949579836</v>
      </c>
    </row>
    <row r="6244" spans="1:19" hidden="1" x14ac:dyDescent="0.3">
      <c r="A6244">
        <v>200</v>
      </c>
      <c r="B6244" t="s">
        <v>6336</v>
      </c>
      <c r="C6244" t="s">
        <v>3294</v>
      </c>
      <c r="D6244" s="2" t="s">
        <v>3295</v>
      </c>
      <c r="E6244" t="s">
        <v>3296</v>
      </c>
      <c r="F6244" t="s">
        <v>377</v>
      </c>
      <c r="G6244" t="s">
        <v>21</v>
      </c>
      <c r="H6244" t="s">
        <v>378</v>
      </c>
      <c r="I6244" t="s">
        <v>23</v>
      </c>
      <c r="J6244" t="s">
        <v>3297</v>
      </c>
      <c r="K6244" s="2" t="s">
        <v>3310</v>
      </c>
      <c r="L6244" t="s">
        <v>26</v>
      </c>
      <c r="M6244">
        <v>329875</v>
      </c>
      <c r="N6244">
        <v>1</v>
      </c>
      <c r="O6244">
        <v>500</v>
      </c>
      <c r="P6244">
        <v>358</v>
      </c>
      <c r="Q6244" s="5">
        <f t="shared" si="291"/>
        <v>420.1680672268908</v>
      </c>
      <c r="R6244" s="5">
        <f t="shared" si="292"/>
        <v>358</v>
      </c>
      <c r="S6244" s="5">
        <f t="shared" si="293"/>
        <v>62.168067226890798</v>
      </c>
    </row>
    <row r="6245" spans="1:19" hidden="1" x14ac:dyDescent="0.3">
      <c r="A6245">
        <v>200</v>
      </c>
      <c r="B6245" t="s">
        <v>6336</v>
      </c>
      <c r="C6245" t="s">
        <v>6487</v>
      </c>
      <c r="D6245" s="2" t="s">
        <v>6488</v>
      </c>
      <c r="E6245" t="s">
        <v>6489</v>
      </c>
      <c r="F6245" t="s">
        <v>20</v>
      </c>
      <c r="G6245" t="s">
        <v>21</v>
      </c>
      <c r="H6245" t="s">
        <v>1608</v>
      </c>
      <c r="I6245" t="s">
        <v>23</v>
      </c>
      <c r="J6245" t="s">
        <v>207</v>
      </c>
      <c r="K6245" s="2" t="s">
        <v>3310</v>
      </c>
      <c r="L6245" t="s">
        <v>26</v>
      </c>
      <c r="M6245">
        <v>329876</v>
      </c>
      <c r="N6245">
        <v>-1</v>
      </c>
      <c r="O6245" s="3">
        <v>-49990</v>
      </c>
      <c r="P6245" s="3">
        <v>28596</v>
      </c>
      <c r="Q6245" s="5">
        <f t="shared" si="291"/>
        <v>-42008.403361344543</v>
      </c>
      <c r="R6245" s="5">
        <f t="shared" si="292"/>
        <v>-28596</v>
      </c>
      <c r="S6245" s="5">
        <f t="shared" si="293"/>
        <v>-13412.403361344543</v>
      </c>
    </row>
    <row r="6246" spans="1:19" hidden="1" x14ac:dyDescent="0.3">
      <c r="A6246">
        <v>200</v>
      </c>
      <c r="B6246" t="s">
        <v>6336</v>
      </c>
      <c r="C6246" t="s">
        <v>1328</v>
      </c>
      <c r="D6246" s="2" t="s">
        <v>1329</v>
      </c>
      <c r="E6246" t="s">
        <v>1330</v>
      </c>
      <c r="F6246" t="s">
        <v>20</v>
      </c>
      <c r="G6246" t="s">
        <v>338</v>
      </c>
      <c r="H6246">
        <v>25133</v>
      </c>
      <c r="I6246" t="s">
        <v>23</v>
      </c>
      <c r="J6246" t="s">
        <v>35</v>
      </c>
      <c r="K6246" s="2" t="s">
        <v>3310</v>
      </c>
      <c r="L6246" t="s">
        <v>26</v>
      </c>
      <c r="M6246">
        <v>329876</v>
      </c>
      <c r="N6246">
        <v>1</v>
      </c>
      <c r="O6246" s="3">
        <v>74950</v>
      </c>
      <c r="P6246" s="3">
        <v>21167</v>
      </c>
      <c r="Q6246" s="5">
        <f t="shared" si="291"/>
        <v>62983.193277310929</v>
      </c>
      <c r="R6246" s="5">
        <f t="shared" si="292"/>
        <v>21167</v>
      </c>
      <c r="S6246" s="5">
        <f t="shared" si="293"/>
        <v>41816.193277310929</v>
      </c>
    </row>
    <row r="6247" spans="1:19" hidden="1" x14ac:dyDescent="0.3">
      <c r="A6247">
        <v>200</v>
      </c>
      <c r="B6247" t="s">
        <v>6336</v>
      </c>
      <c r="C6247" t="s">
        <v>5519</v>
      </c>
      <c r="D6247" s="2" t="s">
        <v>5520</v>
      </c>
      <c r="E6247" t="s">
        <v>3219</v>
      </c>
      <c r="F6247" t="s">
        <v>20</v>
      </c>
      <c r="G6247" t="s">
        <v>21</v>
      </c>
      <c r="H6247" t="s">
        <v>1296</v>
      </c>
      <c r="I6247" t="s">
        <v>23</v>
      </c>
      <c r="J6247" t="s">
        <v>35</v>
      </c>
      <c r="K6247" s="2" t="s">
        <v>3310</v>
      </c>
      <c r="L6247" t="s">
        <v>26</v>
      </c>
      <c r="M6247">
        <v>329877</v>
      </c>
      <c r="N6247">
        <v>1</v>
      </c>
      <c r="O6247" s="3">
        <v>69990</v>
      </c>
      <c r="P6247" s="3">
        <v>34091</v>
      </c>
      <c r="Q6247" s="5">
        <f t="shared" si="291"/>
        <v>58815.126050420171</v>
      </c>
      <c r="R6247" s="5">
        <f t="shared" si="292"/>
        <v>34091</v>
      </c>
      <c r="S6247" s="5">
        <f t="shared" si="293"/>
        <v>24724.126050420171</v>
      </c>
    </row>
    <row r="6248" spans="1:19" hidden="1" x14ac:dyDescent="0.3">
      <c r="A6248">
        <v>200</v>
      </c>
      <c r="B6248" t="s">
        <v>6336</v>
      </c>
      <c r="C6248" t="s">
        <v>2957</v>
      </c>
      <c r="D6248" s="2" t="s">
        <v>2958</v>
      </c>
      <c r="E6248" t="s">
        <v>2959</v>
      </c>
      <c r="F6248" t="s">
        <v>20</v>
      </c>
      <c r="G6248" t="s">
        <v>338</v>
      </c>
      <c r="H6248">
        <v>25529</v>
      </c>
      <c r="I6248" t="s">
        <v>23</v>
      </c>
      <c r="J6248" t="s">
        <v>31</v>
      </c>
      <c r="K6248" s="2" t="s">
        <v>3310</v>
      </c>
      <c r="L6248" t="s">
        <v>26</v>
      </c>
      <c r="M6248">
        <v>329878</v>
      </c>
      <c r="N6248">
        <v>1</v>
      </c>
      <c r="O6248" s="3">
        <v>149950</v>
      </c>
      <c r="P6248" s="3">
        <v>50690</v>
      </c>
      <c r="Q6248" s="5">
        <f t="shared" si="291"/>
        <v>126008.40336134455</v>
      </c>
      <c r="R6248" s="5">
        <f t="shared" si="292"/>
        <v>50690</v>
      </c>
      <c r="S6248" s="5">
        <f t="shared" si="293"/>
        <v>75318.40336134455</v>
      </c>
    </row>
    <row r="6249" spans="1:19" hidden="1" x14ac:dyDescent="0.3">
      <c r="A6249">
        <v>200</v>
      </c>
      <c r="B6249" t="s">
        <v>6336</v>
      </c>
      <c r="C6249" t="s">
        <v>2900</v>
      </c>
      <c r="D6249" s="2" t="s">
        <v>2901</v>
      </c>
      <c r="E6249" t="s">
        <v>2902</v>
      </c>
      <c r="F6249" t="s">
        <v>20</v>
      </c>
      <c r="G6249" t="s">
        <v>21</v>
      </c>
      <c r="H6249" t="s">
        <v>267</v>
      </c>
      <c r="I6249" t="s">
        <v>23</v>
      </c>
      <c r="J6249" t="s">
        <v>49</v>
      </c>
      <c r="K6249" s="2" t="s">
        <v>3310</v>
      </c>
      <c r="L6249" t="s">
        <v>26</v>
      </c>
      <c r="M6249">
        <v>329879</v>
      </c>
      <c r="N6249">
        <v>1</v>
      </c>
      <c r="O6249" s="3">
        <v>64950</v>
      </c>
      <c r="P6249" s="3">
        <v>24504</v>
      </c>
      <c r="Q6249" s="5">
        <f t="shared" si="291"/>
        <v>54579.831932773115</v>
      </c>
      <c r="R6249" s="5">
        <f t="shared" si="292"/>
        <v>24504</v>
      </c>
      <c r="S6249" s="5">
        <f t="shared" si="293"/>
        <v>30075.831932773115</v>
      </c>
    </row>
    <row r="6250" spans="1:19" hidden="1" x14ac:dyDescent="0.3">
      <c r="A6250">
        <v>200</v>
      </c>
      <c r="B6250" t="s">
        <v>6336</v>
      </c>
      <c r="C6250" t="s">
        <v>4045</v>
      </c>
      <c r="D6250" s="2" t="s">
        <v>4046</v>
      </c>
      <c r="E6250" t="s">
        <v>3523</v>
      </c>
      <c r="F6250" t="s">
        <v>20</v>
      </c>
      <c r="G6250" t="s">
        <v>21</v>
      </c>
      <c r="H6250" t="s">
        <v>2070</v>
      </c>
      <c r="I6250" t="s">
        <v>23</v>
      </c>
      <c r="J6250" t="s">
        <v>24</v>
      </c>
      <c r="K6250" s="2" t="s">
        <v>3310</v>
      </c>
      <c r="L6250" t="s">
        <v>26</v>
      </c>
      <c r="M6250">
        <v>329880</v>
      </c>
      <c r="N6250">
        <v>1</v>
      </c>
      <c r="O6250" s="3">
        <v>84950</v>
      </c>
      <c r="P6250" s="3">
        <v>27535</v>
      </c>
      <c r="Q6250" s="5">
        <f t="shared" si="291"/>
        <v>71386.554621848743</v>
      </c>
      <c r="R6250" s="5">
        <f t="shared" si="292"/>
        <v>27535</v>
      </c>
      <c r="S6250" s="5">
        <f t="shared" si="293"/>
        <v>43851.554621848743</v>
      </c>
    </row>
    <row r="6251" spans="1:19" hidden="1" x14ac:dyDescent="0.3">
      <c r="A6251">
        <v>200</v>
      </c>
      <c r="B6251" t="s">
        <v>6336</v>
      </c>
      <c r="C6251" t="s">
        <v>3294</v>
      </c>
      <c r="D6251" s="2" t="s">
        <v>3295</v>
      </c>
      <c r="E6251" t="s">
        <v>3296</v>
      </c>
      <c r="F6251" t="s">
        <v>377</v>
      </c>
      <c r="G6251" t="s">
        <v>21</v>
      </c>
      <c r="H6251" t="s">
        <v>378</v>
      </c>
      <c r="I6251" t="s">
        <v>23</v>
      </c>
      <c r="J6251" t="s">
        <v>3297</v>
      </c>
      <c r="K6251" s="2" t="s">
        <v>3310</v>
      </c>
      <c r="L6251" t="s">
        <v>26</v>
      </c>
      <c r="M6251">
        <v>329880</v>
      </c>
      <c r="N6251">
        <v>1</v>
      </c>
      <c r="O6251">
        <v>500</v>
      </c>
      <c r="P6251">
        <v>358</v>
      </c>
      <c r="Q6251" s="5">
        <f t="shared" si="291"/>
        <v>420.1680672268908</v>
      </c>
      <c r="R6251" s="5">
        <f t="shared" si="292"/>
        <v>358</v>
      </c>
      <c r="S6251" s="5">
        <f t="shared" si="293"/>
        <v>62.168067226890798</v>
      </c>
    </row>
    <row r="6252" spans="1:19" hidden="1" x14ac:dyDescent="0.3">
      <c r="A6252">
        <v>200</v>
      </c>
      <c r="B6252" t="s">
        <v>6336</v>
      </c>
      <c r="C6252" t="s">
        <v>6279</v>
      </c>
      <c r="D6252" s="2" t="s">
        <v>6280</v>
      </c>
      <c r="E6252" t="s">
        <v>2905</v>
      </c>
      <c r="F6252" t="s">
        <v>20</v>
      </c>
      <c r="G6252" t="s">
        <v>21</v>
      </c>
      <c r="H6252" t="s">
        <v>272</v>
      </c>
      <c r="I6252" t="s">
        <v>23</v>
      </c>
      <c r="J6252" t="s">
        <v>35</v>
      </c>
      <c r="K6252" s="2" t="s">
        <v>3310</v>
      </c>
      <c r="L6252" t="s">
        <v>26</v>
      </c>
      <c r="M6252">
        <v>329881</v>
      </c>
      <c r="N6252">
        <v>1</v>
      </c>
      <c r="O6252" s="3">
        <v>79950</v>
      </c>
      <c r="P6252" s="3">
        <v>28035</v>
      </c>
      <c r="Q6252" s="5">
        <f t="shared" si="291"/>
        <v>67184.873949579836</v>
      </c>
      <c r="R6252" s="5">
        <f t="shared" si="292"/>
        <v>28035</v>
      </c>
      <c r="S6252" s="5">
        <f t="shared" si="293"/>
        <v>39149.873949579836</v>
      </c>
    </row>
    <row r="6253" spans="1:19" hidden="1" x14ac:dyDescent="0.3">
      <c r="A6253">
        <v>200</v>
      </c>
      <c r="B6253" t="s">
        <v>6336</v>
      </c>
      <c r="C6253" t="s">
        <v>6490</v>
      </c>
      <c r="D6253" s="2" t="s">
        <v>6491</v>
      </c>
      <c r="E6253" t="s">
        <v>2902</v>
      </c>
      <c r="F6253" t="s">
        <v>20</v>
      </c>
      <c r="G6253" t="s">
        <v>21</v>
      </c>
      <c r="H6253" t="s">
        <v>267</v>
      </c>
      <c r="I6253" t="s">
        <v>23</v>
      </c>
      <c r="J6253" t="s">
        <v>49</v>
      </c>
      <c r="K6253" s="2" t="s">
        <v>3310</v>
      </c>
      <c r="L6253" t="s">
        <v>26</v>
      </c>
      <c r="M6253">
        <v>329882</v>
      </c>
      <c r="N6253">
        <v>1</v>
      </c>
      <c r="O6253" s="3">
        <v>64950</v>
      </c>
      <c r="P6253" s="3">
        <v>24504</v>
      </c>
      <c r="Q6253" s="5">
        <f t="shared" si="291"/>
        <v>54579.831932773115</v>
      </c>
      <c r="R6253" s="5">
        <f t="shared" si="292"/>
        <v>24504</v>
      </c>
      <c r="S6253" s="5">
        <f t="shared" si="293"/>
        <v>30075.831932773115</v>
      </c>
    </row>
    <row r="6254" spans="1:19" hidden="1" x14ac:dyDescent="0.3">
      <c r="A6254">
        <v>200</v>
      </c>
      <c r="B6254" t="s">
        <v>6336</v>
      </c>
      <c r="C6254" t="s">
        <v>3401</v>
      </c>
      <c r="D6254" s="2" t="s">
        <v>3402</v>
      </c>
      <c r="E6254" t="s">
        <v>3403</v>
      </c>
      <c r="F6254" t="s">
        <v>377</v>
      </c>
      <c r="G6254" t="s">
        <v>21</v>
      </c>
      <c r="H6254" t="s">
        <v>378</v>
      </c>
      <c r="I6254" t="s">
        <v>23</v>
      </c>
      <c r="J6254" t="s">
        <v>3297</v>
      </c>
      <c r="K6254" s="2" t="s">
        <v>3310</v>
      </c>
      <c r="L6254" t="s">
        <v>26</v>
      </c>
      <c r="M6254">
        <v>329882</v>
      </c>
      <c r="N6254">
        <v>1</v>
      </c>
      <c r="O6254">
        <v>500</v>
      </c>
      <c r="P6254">
        <v>418</v>
      </c>
      <c r="Q6254" s="5">
        <f t="shared" si="291"/>
        <v>420.1680672268908</v>
      </c>
      <c r="R6254" s="5">
        <f t="shared" si="292"/>
        <v>418</v>
      </c>
      <c r="S6254" s="5">
        <f t="shared" si="293"/>
        <v>2.1680672268907983</v>
      </c>
    </row>
    <row r="6255" spans="1:19" hidden="1" x14ac:dyDescent="0.3">
      <c r="A6255">
        <v>200</v>
      </c>
      <c r="B6255" t="s">
        <v>6336</v>
      </c>
      <c r="C6255" t="s">
        <v>1037</v>
      </c>
      <c r="D6255" s="2" t="s">
        <v>1038</v>
      </c>
      <c r="E6255" t="s">
        <v>1039</v>
      </c>
      <c r="F6255" t="s">
        <v>377</v>
      </c>
      <c r="G6255" t="s">
        <v>21</v>
      </c>
      <c r="H6255" t="s">
        <v>378</v>
      </c>
      <c r="I6255" t="s">
        <v>23</v>
      </c>
      <c r="J6255" t="s">
        <v>379</v>
      </c>
      <c r="K6255" s="2" t="s">
        <v>3310</v>
      </c>
      <c r="L6255" t="s">
        <v>26</v>
      </c>
      <c r="M6255">
        <v>329883</v>
      </c>
      <c r="N6255">
        <v>1</v>
      </c>
      <c r="O6255" s="3">
        <v>5950</v>
      </c>
      <c r="P6255" s="3">
        <v>3257</v>
      </c>
      <c r="Q6255" s="5">
        <f t="shared" si="291"/>
        <v>5000</v>
      </c>
      <c r="R6255" s="5">
        <f t="shared" si="292"/>
        <v>3257</v>
      </c>
      <c r="S6255" s="5">
        <f t="shared" si="293"/>
        <v>1743</v>
      </c>
    </row>
    <row r="6256" spans="1:19" hidden="1" x14ac:dyDescent="0.3">
      <c r="A6256">
        <v>200</v>
      </c>
      <c r="B6256" t="s">
        <v>6336</v>
      </c>
      <c r="C6256" t="s">
        <v>3613</v>
      </c>
      <c r="D6256" s="2" t="s">
        <v>3614</v>
      </c>
      <c r="E6256" t="s">
        <v>2185</v>
      </c>
      <c r="F6256" t="s">
        <v>20</v>
      </c>
      <c r="G6256" t="s">
        <v>21</v>
      </c>
      <c r="H6256" t="s">
        <v>614</v>
      </c>
      <c r="I6256" t="s">
        <v>23</v>
      </c>
      <c r="J6256" t="s">
        <v>40</v>
      </c>
      <c r="K6256" s="2" t="s">
        <v>3310</v>
      </c>
      <c r="L6256" t="s">
        <v>26</v>
      </c>
      <c r="M6256">
        <v>329884</v>
      </c>
      <c r="N6256">
        <v>1</v>
      </c>
      <c r="O6256" s="3">
        <v>44990</v>
      </c>
      <c r="P6256" s="3">
        <v>17498</v>
      </c>
      <c r="Q6256" s="5">
        <f t="shared" si="291"/>
        <v>37806.722689075636</v>
      </c>
      <c r="R6256" s="5">
        <f t="shared" si="292"/>
        <v>17498</v>
      </c>
      <c r="S6256" s="5">
        <f t="shared" si="293"/>
        <v>20308.722689075636</v>
      </c>
    </row>
    <row r="6257" spans="1:19" hidden="1" x14ac:dyDescent="0.3">
      <c r="A6257">
        <v>200</v>
      </c>
      <c r="B6257" t="s">
        <v>6336</v>
      </c>
      <c r="C6257" t="s">
        <v>1073</v>
      </c>
      <c r="D6257" s="2" t="s">
        <v>1074</v>
      </c>
      <c r="E6257" t="s">
        <v>1075</v>
      </c>
      <c r="F6257" t="s">
        <v>20</v>
      </c>
      <c r="G6257" t="s">
        <v>338</v>
      </c>
      <c r="H6257">
        <v>25097</v>
      </c>
      <c r="I6257" t="s">
        <v>23</v>
      </c>
      <c r="J6257" t="s">
        <v>24</v>
      </c>
      <c r="K6257" s="2" t="s">
        <v>3310</v>
      </c>
      <c r="L6257" t="s">
        <v>26</v>
      </c>
      <c r="M6257">
        <v>329885</v>
      </c>
      <c r="N6257">
        <v>1</v>
      </c>
      <c r="O6257" s="3">
        <v>59990</v>
      </c>
      <c r="P6257" s="3">
        <v>23242</v>
      </c>
      <c r="Q6257" s="5">
        <f t="shared" si="291"/>
        <v>50411.764705882357</v>
      </c>
      <c r="R6257" s="5">
        <f t="shared" si="292"/>
        <v>23242</v>
      </c>
      <c r="S6257" s="5">
        <f t="shared" si="293"/>
        <v>27169.764705882357</v>
      </c>
    </row>
    <row r="6258" spans="1:19" hidden="1" x14ac:dyDescent="0.3">
      <c r="A6258">
        <v>200</v>
      </c>
      <c r="B6258" t="s">
        <v>6336</v>
      </c>
      <c r="C6258" t="s">
        <v>3294</v>
      </c>
      <c r="D6258" s="2" t="s">
        <v>3295</v>
      </c>
      <c r="E6258" t="s">
        <v>3296</v>
      </c>
      <c r="F6258" t="s">
        <v>377</v>
      </c>
      <c r="G6258" t="s">
        <v>21</v>
      </c>
      <c r="H6258" t="s">
        <v>378</v>
      </c>
      <c r="I6258" t="s">
        <v>23</v>
      </c>
      <c r="J6258" t="s">
        <v>3297</v>
      </c>
      <c r="K6258" s="2" t="s">
        <v>3310</v>
      </c>
      <c r="L6258" t="s">
        <v>26</v>
      </c>
      <c r="M6258">
        <v>329885</v>
      </c>
      <c r="N6258">
        <v>1</v>
      </c>
      <c r="O6258">
        <v>500</v>
      </c>
      <c r="P6258">
        <v>358</v>
      </c>
      <c r="Q6258" s="5">
        <f t="shared" si="291"/>
        <v>420.1680672268908</v>
      </c>
      <c r="R6258" s="5">
        <f t="shared" si="292"/>
        <v>358</v>
      </c>
      <c r="S6258" s="5">
        <f t="shared" si="293"/>
        <v>62.168067226890798</v>
      </c>
    </row>
    <row r="6259" spans="1:19" hidden="1" x14ac:dyDescent="0.3">
      <c r="A6259">
        <v>200</v>
      </c>
      <c r="B6259" t="s">
        <v>6336</v>
      </c>
      <c r="C6259" t="s">
        <v>2485</v>
      </c>
      <c r="D6259" s="2" t="s">
        <v>2486</v>
      </c>
      <c r="E6259" t="s">
        <v>2487</v>
      </c>
      <c r="F6259" t="s">
        <v>377</v>
      </c>
      <c r="G6259" t="s">
        <v>21</v>
      </c>
      <c r="H6259" t="s">
        <v>378</v>
      </c>
      <c r="I6259" t="s">
        <v>23</v>
      </c>
      <c r="J6259" t="s">
        <v>379</v>
      </c>
      <c r="K6259" s="2" t="s">
        <v>3310</v>
      </c>
      <c r="L6259" t="s">
        <v>26</v>
      </c>
      <c r="M6259">
        <v>329885</v>
      </c>
      <c r="N6259">
        <v>1</v>
      </c>
      <c r="O6259" s="3">
        <v>5950</v>
      </c>
      <c r="P6259" s="3">
        <v>2243</v>
      </c>
      <c r="Q6259" s="5">
        <f t="shared" si="291"/>
        <v>5000</v>
      </c>
      <c r="R6259" s="5">
        <f t="shared" si="292"/>
        <v>2243</v>
      </c>
      <c r="S6259" s="5">
        <f t="shared" si="293"/>
        <v>2757</v>
      </c>
    </row>
    <row r="6260" spans="1:19" hidden="1" x14ac:dyDescent="0.3">
      <c r="A6260">
        <v>200</v>
      </c>
      <c r="B6260" t="s">
        <v>6336</v>
      </c>
      <c r="C6260" t="s">
        <v>2584</v>
      </c>
      <c r="D6260" s="2" t="s">
        <v>2585</v>
      </c>
      <c r="E6260" t="s">
        <v>2586</v>
      </c>
      <c r="F6260" t="s">
        <v>20</v>
      </c>
      <c r="G6260" t="s">
        <v>21</v>
      </c>
      <c r="H6260" t="s">
        <v>600</v>
      </c>
      <c r="I6260" t="s">
        <v>23</v>
      </c>
      <c r="J6260" t="s">
        <v>40</v>
      </c>
      <c r="K6260" s="2" t="s">
        <v>3310</v>
      </c>
      <c r="L6260" t="s">
        <v>26</v>
      </c>
      <c r="M6260">
        <v>329886</v>
      </c>
      <c r="N6260">
        <v>1</v>
      </c>
      <c r="O6260" s="3">
        <v>49990</v>
      </c>
      <c r="P6260" s="3">
        <v>21327</v>
      </c>
      <c r="Q6260" s="5">
        <f t="shared" si="291"/>
        <v>42008.403361344543</v>
      </c>
      <c r="R6260" s="5">
        <f t="shared" si="292"/>
        <v>21327</v>
      </c>
      <c r="S6260" s="5">
        <f t="shared" si="293"/>
        <v>20681.403361344543</v>
      </c>
    </row>
    <row r="6261" spans="1:19" hidden="1" x14ac:dyDescent="0.3">
      <c r="A6261">
        <v>200</v>
      </c>
      <c r="B6261" t="s">
        <v>6336</v>
      </c>
      <c r="C6261" t="s">
        <v>3401</v>
      </c>
      <c r="D6261" s="2" t="s">
        <v>3402</v>
      </c>
      <c r="E6261" t="s">
        <v>3403</v>
      </c>
      <c r="F6261" t="s">
        <v>377</v>
      </c>
      <c r="G6261" t="s">
        <v>21</v>
      </c>
      <c r="H6261" t="s">
        <v>378</v>
      </c>
      <c r="I6261" t="s">
        <v>23</v>
      </c>
      <c r="J6261" t="s">
        <v>3297</v>
      </c>
      <c r="K6261" s="2" t="s">
        <v>3310</v>
      </c>
      <c r="L6261" t="s">
        <v>26</v>
      </c>
      <c r="M6261">
        <v>329886</v>
      </c>
      <c r="N6261">
        <v>1</v>
      </c>
      <c r="O6261">
        <v>500</v>
      </c>
      <c r="P6261">
        <v>418</v>
      </c>
      <c r="Q6261" s="5">
        <f t="shared" si="291"/>
        <v>420.1680672268908</v>
      </c>
      <c r="R6261" s="5">
        <f t="shared" si="292"/>
        <v>418</v>
      </c>
      <c r="S6261" s="5">
        <f t="shared" si="293"/>
        <v>2.1680672268907983</v>
      </c>
    </row>
    <row r="6262" spans="1:19" hidden="1" x14ac:dyDescent="0.3">
      <c r="A6262">
        <v>200</v>
      </c>
      <c r="B6262" t="s">
        <v>6336</v>
      </c>
      <c r="C6262" t="s">
        <v>6332</v>
      </c>
      <c r="D6262" s="2" t="s">
        <v>6333</v>
      </c>
      <c r="E6262" t="s">
        <v>1188</v>
      </c>
      <c r="F6262" t="s">
        <v>20</v>
      </c>
      <c r="G6262" t="s">
        <v>21</v>
      </c>
      <c r="H6262" t="s">
        <v>30</v>
      </c>
      <c r="I6262" t="s">
        <v>23</v>
      </c>
      <c r="J6262" t="s">
        <v>49</v>
      </c>
      <c r="K6262" s="2" t="s">
        <v>3310</v>
      </c>
      <c r="L6262" t="s">
        <v>26</v>
      </c>
      <c r="M6262">
        <v>329887</v>
      </c>
      <c r="N6262">
        <v>1</v>
      </c>
      <c r="O6262" s="3">
        <v>69950</v>
      </c>
      <c r="P6262" s="3">
        <v>24726</v>
      </c>
      <c r="Q6262" s="5">
        <f t="shared" si="291"/>
        <v>58781.512605042022</v>
      </c>
      <c r="R6262" s="5">
        <f t="shared" si="292"/>
        <v>24726</v>
      </c>
      <c r="S6262" s="5">
        <f t="shared" si="293"/>
        <v>34055.512605042022</v>
      </c>
    </row>
    <row r="6263" spans="1:19" hidden="1" x14ac:dyDescent="0.3">
      <c r="A6263">
        <v>200</v>
      </c>
      <c r="B6263" t="s">
        <v>6336</v>
      </c>
      <c r="C6263" t="s">
        <v>3401</v>
      </c>
      <c r="D6263" s="2" t="s">
        <v>3402</v>
      </c>
      <c r="E6263" t="s">
        <v>3403</v>
      </c>
      <c r="F6263" t="s">
        <v>377</v>
      </c>
      <c r="G6263" t="s">
        <v>21</v>
      </c>
      <c r="H6263" t="s">
        <v>378</v>
      </c>
      <c r="I6263" t="s">
        <v>23</v>
      </c>
      <c r="J6263" t="s">
        <v>3297</v>
      </c>
      <c r="K6263" s="2" t="s">
        <v>3310</v>
      </c>
      <c r="L6263" t="s">
        <v>26</v>
      </c>
      <c r="M6263">
        <v>329887</v>
      </c>
      <c r="N6263">
        <v>1</v>
      </c>
      <c r="O6263">
        <v>500</v>
      </c>
      <c r="P6263">
        <v>418</v>
      </c>
      <c r="Q6263" s="5">
        <f t="shared" si="291"/>
        <v>420.1680672268908</v>
      </c>
      <c r="R6263" s="5">
        <f t="shared" si="292"/>
        <v>418</v>
      </c>
      <c r="S6263" s="5">
        <f t="shared" si="293"/>
        <v>2.1680672268907983</v>
      </c>
    </row>
    <row r="6264" spans="1:19" hidden="1" x14ac:dyDescent="0.3">
      <c r="A6264">
        <v>200</v>
      </c>
      <c r="B6264" t="s">
        <v>6336</v>
      </c>
      <c r="C6264" t="s">
        <v>5473</v>
      </c>
      <c r="D6264" s="2" t="s">
        <v>5474</v>
      </c>
      <c r="E6264" t="s">
        <v>3491</v>
      </c>
      <c r="F6264" t="s">
        <v>20</v>
      </c>
      <c r="G6264" t="s">
        <v>338</v>
      </c>
      <c r="H6264">
        <v>85200</v>
      </c>
      <c r="I6264" t="s">
        <v>23</v>
      </c>
      <c r="J6264" t="s">
        <v>35</v>
      </c>
      <c r="K6264" s="2" t="s">
        <v>3310</v>
      </c>
      <c r="L6264" t="s">
        <v>26</v>
      </c>
      <c r="M6264">
        <v>329888</v>
      </c>
      <c r="N6264">
        <v>1</v>
      </c>
      <c r="O6264" s="3">
        <v>89950</v>
      </c>
      <c r="P6264" s="3">
        <v>27253</v>
      </c>
      <c r="Q6264" s="5">
        <f t="shared" si="291"/>
        <v>75588.23529411765</v>
      </c>
      <c r="R6264" s="5">
        <f t="shared" si="292"/>
        <v>27253</v>
      </c>
      <c r="S6264" s="5">
        <f t="shared" si="293"/>
        <v>48335.23529411765</v>
      </c>
    </row>
    <row r="6265" spans="1:19" hidden="1" x14ac:dyDescent="0.3">
      <c r="A6265">
        <v>200</v>
      </c>
      <c r="B6265" t="s">
        <v>6336</v>
      </c>
      <c r="C6265" t="s">
        <v>3294</v>
      </c>
      <c r="D6265" s="2" t="s">
        <v>3295</v>
      </c>
      <c r="E6265" t="s">
        <v>3296</v>
      </c>
      <c r="F6265" t="s">
        <v>377</v>
      </c>
      <c r="G6265" t="s">
        <v>21</v>
      </c>
      <c r="H6265" t="s">
        <v>378</v>
      </c>
      <c r="I6265" t="s">
        <v>23</v>
      </c>
      <c r="J6265" t="s">
        <v>3297</v>
      </c>
      <c r="K6265" s="2" t="s">
        <v>3310</v>
      </c>
      <c r="L6265" t="s">
        <v>26</v>
      </c>
      <c r="M6265">
        <v>329888</v>
      </c>
      <c r="N6265">
        <v>1</v>
      </c>
      <c r="O6265">
        <v>500</v>
      </c>
      <c r="P6265">
        <v>358</v>
      </c>
      <c r="Q6265" s="5">
        <f t="shared" si="291"/>
        <v>420.1680672268908</v>
      </c>
      <c r="R6265" s="5">
        <f t="shared" si="292"/>
        <v>358</v>
      </c>
      <c r="S6265" s="5">
        <f t="shared" si="293"/>
        <v>62.168067226890798</v>
      </c>
    </row>
    <row r="6266" spans="1:19" hidden="1" x14ac:dyDescent="0.3">
      <c r="A6266">
        <v>200</v>
      </c>
      <c r="B6266" t="s">
        <v>6336</v>
      </c>
      <c r="C6266" t="s">
        <v>1325</v>
      </c>
      <c r="D6266" s="2" t="s">
        <v>1326</v>
      </c>
      <c r="E6266" t="s">
        <v>1327</v>
      </c>
      <c r="F6266" t="s">
        <v>20</v>
      </c>
      <c r="G6266" t="s">
        <v>21</v>
      </c>
      <c r="H6266" t="s">
        <v>247</v>
      </c>
      <c r="I6266" t="s">
        <v>23</v>
      </c>
      <c r="J6266" t="s">
        <v>40</v>
      </c>
      <c r="K6266" s="2" t="s">
        <v>3366</v>
      </c>
      <c r="L6266" t="s">
        <v>26</v>
      </c>
      <c r="M6266">
        <v>329889</v>
      </c>
      <c r="N6266">
        <v>1</v>
      </c>
      <c r="O6266" s="3">
        <v>59950</v>
      </c>
      <c r="P6266" s="3">
        <v>16541</v>
      </c>
      <c r="Q6266" s="5">
        <f t="shared" si="291"/>
        <v>50378.151260504201</v>
      </c>
      <c r="R6266" s="5">
        <f t="shared" si="292"/>
        <v>16541</v>
      </c>
      <c r="S6266" s="5">
        <f t="shared" si="293"/>
        <v>33837.151260504201</v>
      </c>
    </row>
    <row r="6267" spans="1:19" hidden="1" x14ac:dyDescent="0.3">
      <c r="A6267">
        <v>200</v>
      </c>
      <c r="B6267" t="s">
        <v>6336</v>
      </c>
      <c r="C6267" t="s">
        <v>3900</v>
      </c>
      <c r="D6267" s="2" t="s">
        <v>3901</v>
      </c>
      <c r="E6267" t="s">
        <v>2275</v>
      </c>
      <c r="F6267" t="s">
        <v>20</v>
      </c>
      <c r="G6267" t="s">
        <v>21</v>
      </c>
      <c r="H6267" t="s">
        <v>783</v>
      </c>
      <c r="I6267" t="s">
        <v>23</v>
      </c>
      <c r="J6267" t="s">
        <v>40</v>
      </c>
      <c r="K6267" s="2" t="s">
        <v>3366</v>
      </c>
      <c r="L6267" t="s">
        <v>26</v>
      </c>
      <c r="M6267">
        <v>329889</v>
      </c>
      <c r="N6267">
        <v>1</v>
      </c>
      <c r="O6267" s="3">
        <v>34990</v>
      </c>
      <c r="P6267" s="3">
        <v>17194</v>
      </c>
      <c r="Q6267" s="5">
        <f t="shared" si="291"/>
        <v>29403.361344537818</v>
      </c>
      <c r="R6267" s="5">
        <f t="shared" si="292"/>
        <v>17194</v>
      </c>
      <c r="S6267" s="5">
        <f t="shared" si="293"/>
        <v>12209.361344537818</v>
      </c>
    </row>
    <row r="6268" spans="1:19" hidden="1" x14ac:dyDescent="0.3">
      <c r="A6268">
        <v>200</v>
      </c>
      <c r="B6268" t="s">
        <v>6336</v>
      </c>
      <c r="C6268" t="s">
        <v>3935</v>
      </c>
      <c r="D6268" s="2" t="s">
        <v>3936</v>
      </c>
      <c r="E6268" t="s">
        <v>1330</v>
      </c>
      <c r="F6268" t="s">
        <v>20</v>
      </c>
      <c r="G6268" t="s">
        <v>338</v>
      </c>
      <c r="H6268">
        <v>25133</v>
      </c>
      <c r="I6268" t="s">
        <v>23</v>
      </c>
      <c r="J6268" t="s">
        <v>35</v>
      </c>
      <c r="K6268" s="2" t="s">
        <v>3366</v>
      </c>
      <c r="L6268" t="s">
        <v>26</v>
      </c>
      <c r="M6268">
        <v>329889</v>
      </c>
      <c r="N6268">
        <v>1</v>
      </c>
      <c r="O6268" s="3">
        <v>63700</v>
      </c>
      <c r="P6268" s="3">
        <v>21167</v>
      </c>
      <c r="Q6268" s="5">
        <f t="shared" si="291"/>
        <v>53529.411764705888</v>
      </c>
      <c r="R6268" s="5">
        <f t="shared" si="292"/>
        <v>21167</v>
      </c>
      <c r="S6268" s="5">
        <f t="shared" si="293"/>
        <v>32362.411764705888</v>
      </c>
    </row>
    <row r="6269" spans="1:19" hidden="1" x14ac:dyDescent="0.3">
      <c r="A6269">
        <v>200</v>
      </c>
      <c r="B6269" t="s">
        <v>6336</v>
      </c>
      <c r="C6269" t="s">
        <v>6492</v>
      </c>
      <c r="D6269" s="2" t="s">
        <v>6493</v>
      </c>
      <c r="E6269" t="s">
        <v>6494</v>
      </c>
      <c r="F6269" t="s">
        <v>20</v>
      </c>
      <c r="G6269" t="s">
        <v>21</v>
      </c>
      <c r="H6269" t="s">
        <v>1296</v>
      </c>
      <c r="I6269" t="s">
        <v>23</v>
      </c>
      <c r="J6269" t="s">
        <v>31</v>
      </c>
      <c r="K6269" s="2" t="s">
        <v>3366</v>
      </c>
      <c r="L6269" t="s">
        <v>26</v>
      </c>
      <c r="M6269">
        <v>329890</v>
      </c>
      <c r="N6269">
        <v>1</v>
      </c>
      <c r="O6269" s="3">
        <v>84990</v>
      </c>
      <c r="P6269" s="3">
        <v>49625</v>
      </c>
      <c r="Q6269" s="5">
        <f t="shared" si="291"/>
        <v>71420.168067226899</v>
      </c>
      <c r="R6269" s="5">
        <f t="shared" si="292"/>
        <v>49625</v>
      </c>
      <c r="S6269" s="5">
        <f t="shared" si="293"/>
        <v>21795.168067226899</v>
      </c>
    </row>
    <row r="6270" spans="1:19" hidden="1" x14ac:dyDescent="0.3">
      <c r="A6270">
        <v>200</v>
      </c>
      <c r="B6270" t="s">
        <v>6336</v>
      </c>
      <c r="C6270" t="s">
        <v>6495</v>
      </c>
      <c r="D6270" s="2" t="s">
        <v>6496</v>
      </c>
      <c r="E6270" t="s">
        <v>3877</v>
      </c>
      <c r="F6270" t="s">
        <v>20</v>
      </c>
      <c r="G6270" t="s">
        <v>21</v>
      </c>
      <c r="H6270" t="s">
        <v>99</v>
      </c>
      <c r="I6270" t="s">
        <v>23</v>
      </c>
      <c r="J6270" t="s">
        <v>40</v>
      </c>
      <c r="K6270" s="2" t="s">
        <v>3366</v>
      </c>
      <c r="L6270" t="s">
        <v>26</v>
      </c>
      <c r="M6270">
        <v>329891</v>
      </c>
      <c r="N6270">
        <v>1</v>
      </c>
      <c r="O6270" s="3">
        <v>39990</v>
      </c>
      <c r="P6270" s="3">
        <v>31740</v>
      </c>
      <c r="Q6270" s="5">
        <f t="shared" si="291"/>
        <v>33605.042016806721</v>
      </c>
      <c r="R6270" s="5">
        <f t="shared" si="292"/>
        <v>31740</v>
      </c>
      <c r="S6270" s="5">
        <f t="shared" si="293"/>
        <v>1865.0420168067212</v>
      </c>
    </row>
    <row r="6271" spans="1:19" hidden="1" x14ac:dyDescent="0.3">
      <c r="A6271">
        <v>200</v>
      </c>
      <c r="B6271" t="s">
        <v>6336</v>
      </c>
      <c r="C6271" t="s">
        <v>3441</v>
      </c>
      <c r="D6271" s="2" t="s">
        <v>3442</v>
      </c>
      <c r="E6271" t="s">
        <v>3283</v>
      </c>
      <c r="F6271" t="s">
        <v>20</v>
      </c>
      <c r="G6271" t="s">
        <v>21</v>
      </c>
      <c r="H6271" t="s">
        <v>2494</v>
      </c>
      <c r="I6271" t="s">
        <v>23</v>
      </c>
      <c r="J6271" t="s">
        <v>40</v>
      </c>
      <c r="K6271" s="2" t="s">
        <v>3366</v>
      </c>
      <c r="L6271" t="s">
        <v>26</v>
      </c>
      <c r="M6271">
        <v>329892</v>
      </c>
      <c r="N6271">
        <v>1</v>
      </c>
      <c r="O6271" s="3">
        <v>69950</v>
      </c>
      <c r="P6271" s="3">
        <v>23470</v>
      </c>
      <c r="Q6271" s="5">
        <f t="shared" si="291"/>
        <v>58781.512605042022</v>
      </c>
      <c r="R6271" s="5">
        <f t="shared" si="292"/>
        <v>23470</v>
      </c>
      <c r="S6271" s="5">
        <f t="shared" si="293"/>
        <v>35311.512605042022</v>
      </c>
    </row>
    <row r="6272" spans="1:19" hidden="1" x14ac:dyDescent="0.3">
      <c r="A6272">
        <v>200</v>
      </c>
      <c r="B6272" t="s">
        <v>6336</v>
      </c>
      <c r="C6272" t="s">
        <v>6497</v>
      </c>
      <c r="D6272" s="2" t="s">
        <v>6498</v>
      </c>
      <c r="E6272" t="s">
        <v>6499</v>
      </c>
      <c r="F6272" t="s">
        <v>377</v>
      </c>
      <c r="G6272" t="s">
        <v>21</v>
      </c>
      <c r="H6272" t="s">
        <v>378</v>
      </c>
      <c r="I6272" t="s">
        <v>23</v>
      </c>
      <c r="J6272" t="s">
        <v>2638</v>
      </c>
      <c r="K6272" s="2" t="s">
        <v>3366</v>
      </c>
      <c r="L6272" t="s">
        <v>26</v>
      </c>
      <c r="M6272">
        <v>329892</v>
      </c>
      <c r="N6272">
        <v>1</v>
      </c>
      <c r="O6272" s="3">
        <v>1950</v>
      </c>
      <c r="P6272">
        <v>983</v>
      </c>
      <c r="Q6272" s="5">
        <f t="shared" si="291"/>
        <v>1638.6554621848741</v>
      </c>
      <c r="R6272" s="5">
        <f t="shared" si="292"/>
        <v>983</v>
      </c>
      <c r="S6272" s="5">
        <f t="shared" si="293"/>
        <v>655.65546218487407</v>
      </c>
    </row>
    <row r="6273" spans="1:19" hidden="1" x14ac:dyDescent="0.3">
      <c r="A6273">
        <v>200</v>
      </c>
      <c r="B6273" t="s">
        <v>6336</v>
      </c>
      <c r="C6273" t="s">
        <v>4067</v>
      </c>
      <c r="D6273" s="2" t="s">
        <v>4068</v>
      </c>
      <c r="E6273" t="s">
        <v>3323</v>
      </c>
      <c r="F6273" t="s">
        <v>20</v>
      </c>
      <c r="G6273" t="s">
        <v>21</v>
      </c>
      <c r="H6273" t="s">
        <v>625</v>
      </c>
      <c r="I6273" t="s">
        <v>23</v>
      </c>
      <c r="J6273" t="s">
        <v>35</v>
      </c>
      <c r="K6273" s="2" t="s">
        <v>3366</v>
      </c>
      <c r="L6273" t="s">
        <v>26</v>
      </c>
      <c r="M6273">
        <v>329893</v>
      </c>
      <c r="N6273">
        <v>1</v>
      </c>
      <c r="O6273" s="3">
        <v>49990</v>
      </c>
      <c r="P6273" s="3">
        <v>24956</v>
      </c>
      <c r="Q6273" s="5">
        <f t="shared" si="291"/>
        <v>42008.403361344543</v>
      </c>
      <c r="R6273" s="5">
        <f t="shared" si="292"/>
        <v>24956</v>
      </c>
      <c r="S6273" s="5">
        <f t="shared" si="293"/>
        <v>17052.403361344543</v>
      </c>
    </row>
    <row r="6274" spans="1:19" hidden="1" x14ac:dyDescent="0.3">
      <c r="A6274">
        <v>200</v>
      </c>
      <c r="B6274" t="s">
        <v>6336</v>
      </c>
      <c r="C6274" t="s">
        <v>6500</v>
      </c>
      <c r="D6274" s="2" t="s">
        <v>6501</v>
      </c>
      <c r="E6274" t="s">
        <v>3877</v>
      </c>
      <c r="F6274" t="s">
        <v>20</v>
      </c>
      <c r="G6274" t="s">
        <v>21</v>
      </c>
      <c r="H6274" t="s">
        <v>99</v>
      </c>
      <c r="I6274" t="s">
        <v>23</v>
      </c>
      <c r="J6274" t="s">
        <v>40</v>
      </c>
      <c r="K6274" s="2" t="s">
        <v>3366</v>
      </c>
      <c r="L6274" t="s">
        <v>26</v>
      </c>
      <c r="M6274">
        <v>329894</v>
      </c>
      <c r="N6274">
        <v>1</v>
      </c>
      <c r="O6274" s="3">
        <v>39990</v>
      </c>
      <c r="P6274" s="3">
        <v>31740</v>
      </c>
      <c r="Q6274" s="5">
        <f t="shared" si="291"/>
        <v>33605.042016806721</v>
      </c>
      <c r="R6274" s="5">
        <f t="shared" si="292"/>
        <v>31740</v>
      </c>
      <c r="S6274" s="5">
        <f t="shared" si="293"/>
        <v>1865.0420168067212</v>
      </c>
    </row>
    <row r="6275" spans="1:19" hidden="1" x14ac:dyDescent="0.3">
      <c r="A6275">
        <v>200</v>
      </c>
      <c r="B6275" t="s">
        <v>6336</v>
      </c>
      <c r="C6275" t="s">
        <v>3294</v>
      </c>
      <c r="D6275" s="2" t="s">
        <v>3295</v>
      </c>
      <c r="E6275" t="s">
        <v>3296</v>
      </c>
      <c r="F6275" t="s">
        <v>377</v>
      </c>
      <c r="G6275" t="s">
        <v>21</v>
      </c>
      <c r="H6275" t="s">
        <v>378</v>
      </c>
      <c r="I6275" t="s">
        <v>23</v>
      </c>
      <c r="J6275" t="s">
        <v>3297</v>
      </c>
      <c r="K6275" s="2" t="s">
        <v>3366</v>
      </c>
      <c r="L6275" t="s">
        <v>26</v>
      </c>
      <c r="M6275">
        <v>329894</v>
      </c>
      <c r="N6275">
        <v>1</v>
      </c>
      <c r="O6275">
        <v>500</v>
      </c>
      <c r="P6275">
        <v>358</v>
      </c>
      <c r="Q6275" s="5">
        <f t="shared" si="291"/>
        <v>420.1680672268908</v>
      </c>
      <c r="R6275" s="5">
        <f t="shared" si="292"/>
        <v>358</v>
      </c>
      <c r="S6275" s="5">
        <f t="shared" si="293"/>
        <v>62.168067226890798</v>
      </c>
    </row>
    <row r="6276" spans="1:19" hidden="1" x14ac:dyDescent="0.3">
      <c r="A6276">
        <v>200</v>
      </c>
      <c r="B6276" t="s">
        <v>6336</v>
      </c>
      <c r="C6276" t="s">
        <v>2365</v>
      </c>
      <c r="D6276" s="2" t="s">
        <v>2366</v>
      </c>
      <c r="E6276" t="s">
        <v>2367</v>
      </c>
      <c r="F6276" t="s">
        <v>377</v>
      </c>
      <c r="G6276" t="s">
        <v>21</v>
      </c>
      <c r="H6276" t="s">
        <v>378</v>
      </c>
      <c r="I6276" t="s">
        <v>23</v>
      </c>
      <c r="J6276" t="s">
        <v>379</v>
      </c>
      <c r="K6276" s="2" t="s">
        <v>3366</v>
      </c>
      <c r="L6276" t="s">
        <v>26</v>
      </c>
      <c r="M6276">
        <v>329894</v>
      </c>
      <c r="N6276">
        <v>1</v>
      </c>
      <c r="O6276" s="3">
        <v>6950</v>
      </c>
      <c r="P6276" s="3">
        <v>3759</v>
      </c>
      <c r="Q6276" s="5">
        <f t="shared" si="291"/>
        <v>5840.3361344537816</v>
      </c>
      <c r="R6276" s="5">
        <f t="shared" si="292"/>
        <v>3759</v>
      </c>
      <c r="S6276" s="5">
        <f t="shared" si="293"/>
        <v>2081.3361344537816</v>
      </c>
    </row>
    <row r="6277" spans="1:19" hidden="1" x14ac:dyDescent="0.3">
      <c r="A6277">
        <v>200</v>
      </c>
      <c r="B6277" t="s">
        <v>6336</v>
      </c>
      <c r="C6277" t="s">
        <v>6502</v>
      </c>
      <c r="D6277" s="2" t="s">
        <v>6503</v>
      </c>
      <c r="E6277" t="s">
        <v>2905</v>
      </c>
      <c r="F6277" t="s">
        <v>20</v>
      </c>
      <c r="G6277" t="s">
        <v>21</v>
      </c>
      <c r="H6277" t="s">
        <v>272</v>
      </c>
      <c r="I6277" t="s">
        <v>23</v>
      </c>
      <c r="J6277" t="s">
        <v>35</v>
      </c>
      <c r="K6277" s="2" t="s">
        <v>3366</v>
      </c>
      <c r="L6277" t="s">
        <v>26</v>
      </c>
      <c r="M6277">
        <v>329895</v>
      </c>
      <c r="N6277">
        <v>1</v>
      </c>
      <c r="O6277" s="3">
        <v>79950</v>
      </c>
      <c r="P6277" s="3">
        <v>27896</v>
      </c>
      <c r="Q6277" s="5">
        <f t="shared" si="291"/>
        <v>67184.873949579836</v>
      </c>
      <c r="R6277" s="5">
        <f t="shared" si="292"/>
        <v>27896</v>
      </c>
      <c r="S6277" s="5">
        <f t="shared" si="293"/>
        <v>39288.873949579836</v>
      </c>
    </row>
    <row r="6278" spans="1:19" hidden="1" x14ac:dyDescent="0.3">
      <c r="A6278">
        <v>200</v>
      </c>
      <c r="B6278" t="s">
        <v>6336</v>
      </c>
      <c r="C6278" t="s">
        <v>4167</v>
      </c>
      <c r="D6278" s="2" t="s">
        <v>4168</v>
      </c>
      <c r="E6278" t="s">
        <v>3691</v>
      </c>
      <c r="F6278" t="s">
        <v>20</v>
      </c>
      <c r="G6278" t="s">
        <v>338</v>
      </c>
      <c r="H6278">
        <v>23727</v>
      </c>
      <c r="I6278" t="s">
        <v>23</v>
      </c>
      <c r="J6278" t="s">
        <v>40</v>
      </c>
      <c r="K6278" s="2" t="s">
        <v>3366</v>
      </c>
      <c r="L6278" t="s">
        <v>26</v>
      </c>
      <c r="M6278">
        <v>329895</v>
      </c>
      <c r="N6278">
        <v>1</v>
      </c>
      <c r="O6278" s="3">
        <v>49990</v>
      </c>
      <c r="P6278" s="3">
        <v>26539</v>
      </c>
      <c r="Q6278" s="5">
        <f t="shared" ref="Q6278:Q6341" si="294">O6278/1.19</f>
        <v>42008.403361344543</v>
      </c>
      <c r="R6278" s="5">
        <f t="shared" ref="R6278:R6341" si="295">N6278*P6278</f>
        <v>26539</v>
      </c>
      <c r="S6278" s="5">
        <f t="shared" ref="S6278:S6341" si="296">Q6278-R6278</f>
        <v>15469.403361344543</v>
      </c>
    </row>
    <row r="6279" spans="1:19" hidden="1" x14ac:dyDescent="0.3">
      <c r="A6279">
        <v>200</v>
      </c>
      <c r="B6279" t="s">
        <v>6336</v>
      </c>
      <c r="C6279" t="s">
        <v>3294</v>
      </c>
      <c r="D6279" s="2" t="s">
        <v>3295</v>
      </c>
      <c r="E6279" t="s">
        <v>3296</v>
      </c>
      <c r="F6279" t="s">
        <v>377</v>
      </c>
      <c r="G6279" t="s">
        <v>21</v>
      </c>
      <c r="H6279" t="s">
        <v>378</v>
      </c>
      <c r="I6279" t="s">
        <v>23</v>
      </c>
      <c r="J6279" t="s">
        <v>3297</v>
      </c>
      <c r="K6279" s="2" t="s">
        <v>3366</v>
      </c>
      <c r="L6279" t="s">
        <v>26</v>
      </c>
      <c r="M6279">
        <v>329895</v>
      </c>
      <c r="N6279">
        <v>1</v>
      </c>
      <c r="O6279">
        <v>500</v>
      </c>
      <c r="P6279">
        <v>358</v>
      </c>
      <c r="Q6279" s="5">
        <f t="shared" si="294"/>
        <v>420.1680672268908</v>
      </c>
      <c r="R6279" s="5">
        <f t="shared" si="295"/>
        <v>358</v>
      </c>
      <c r="S6279" s="5">
        <f t="shared" si="296"/>
        <v>62.168067226890798</v>
      </c>
    </row>
    <row r="6280" spans="1:19" hidden="1" x14ac:dyDescent="0.3">
      <c r="A6280">
        <v>200</v>
      </c>
      <c r="B6280" t="s">
        <v>6336</v>
      </c>
      <c r="C6280" t="s">
        <v>5485</v>
      </c>
      <c r="D6280" s="2" t="s">
        <v>5486</v>
      </c>
      <c r="E6280" t="s">
        <v>1428</v>
      </c>
      <c r="F6280" t="s">
        <v>20</v>
      </c>
      <c r="G6280" t="s">
        <v>21</v>
      </c>
      <c r="H6280" t="s">
        <v>57</v>
      </c>
      <c r="I6280" t="s">
        <v>23</v>
      </c>
      <c r="J6280" t="s">
        <v>35</v>
      </c>
      <c r="K6280" s="2" t="s">
        <v>3366</v>
      </c>
      <c r="L6280" t="s">
        <v>26</v>
      </c>
      <c r="M6280">
        <v>329896</v>
      </c>
      <c r="N6280">
        <v>1</v>
      </c>
      <c r="O6280" s="3">
        <v>89950</v>
      </c>
      <c r="P6280" s="3">
        <v>31701</v>
      </c>
      <c r="Q6280" s="5">
        <f t="shared" si="294"/>
        <v>75588.23529411765</v>
      </c>
      <c r="R6280" s="5">
        <f t="shared" si="295"/>
        <v>31701</v>
      </c>
      <c r="S6280" s="5">
        <f t="shared" si="296"/>
        <v>43887.23529411765</v>
      </c>
    </row>
    <row r="6281" spans="1:19" hidden="1" x14ac:dyDescent="0.3">
      <c r="A6281">
        <v>200</v>
      </c>
      <c r="B6281" t="s">
        <v>6336</v>
      </c>
      <c r="C6281" t="s">
        <v>3294</v>
      </c>
      <c r="D6281" s="2" t="s">
        <v>3295</v>
      </c>
      <c r="E6281" t="s">
        <v>3296</v>
      </c>
      <c r="F6281" t="s">
        <v>377</v>
      </c>
      <c r="G6281" t="s">
        <v>21</v>
      </c>
      <c r="H6281" t="s">
        <v>378</v>
      </c>
      <c r="I6281" t="s">
        <v>23</v>
      </c>
      <c r="J6281" t="s">
        <v>3297</v>
      </c>
      <c r="K6281" s="2" t="s">
        <v>3366</v>
      </c>
      <c r="L6281" t="s">
        <v>26</v>
      </c>
      <c r="M6281">
        <v>329896</v>
      </c>
      <c r="N6281">
        <v>1</v>
      </c>
      <c r="O6281">
        <v>500</v>
      </c>
      <c r="P6281">
        <v>358</v>
      </c>
      <c r="Q6281" s="5">
        <f t="shared" si="294"/>
        <v>420.1680672268908</v>
      </c>
      <c r="R6281" s="5">
        <f t="shared" si="295"/>
        <v>358</v>
      </c>
      <c r="S6281" s="5">
        <f t="shared" si="296"/>
        <v>62.168067226890798</v>
      </c>
    </row>
    <row r="6282" spans="1:19" hidden="1" x14ac:dyDescent="0.3">
      <c r="A6282">
        <v>200</v>
      </c>
      <c r="B6282" t="s">
        <v>6336</v>
      </c>
      <c r="C6282" t="s">
        <v>2365</v>
      </c>
      <c r="D6282" s="2" t="s">
        <v>2366</v>
      </c>
      <c r="E6282" t="s">
        <v>2367</v>
      </c>
      <c r="F6282" t="s">
        <v>377</v>
      </c>
      <c r="G6282" t="s">
        <v>21</v>
      </c>
      <c r="H6282" t="s">
        <v>378</v>
      </c>
      <c r="I6282" t="s">
        <v>23</v>
      </c>
      <c r="J6282" t="s">
        <v>379</v>
      </c>
      <c r="K6282" s="2" t="s">
        <v>3366</v>
      </c>
      <c r="L6282" t="s">
        <v>26</v>
      </c>
      <c r="M6282">
        <v>329896</v>
      </c>
      <c r="N6282">
        <v>1</v>
      </c>
      <c r="O6282" s="3">
        <v>6950</v>
      </c>
      <c r="P6282" s="3">
        <v>3759</v>
      </c>
      <c r="Q6282" s="5">
        <f t="shared" si="294"/>
        <v>5840.3361344537816</v>
      </c>
      <c r="R6282" s="5">
        <f t="shared" si="295"/>
        <v>3759</v>
      </c>
      <c r="S6282" s="5">
        <f t="shared" si="296"/>
        <v>2081.3361344537816</v>
      </c>
    </row>
    <row r="6283" spans="1:19" hidden="1" x14ac:dyDescent="0.3">
      <c r="A6283">
        <v>200</v>
      </c>
      <c r="B6283" t="s">
        <v>6336</v>
      </c>
      <c r="C6283" t="s">
        <v>1070</v>
      </c>
      <c r="D6283" s="2" t="s">
        <v>1071</v>
      </c>
      <c r="E6283" t="s">
        <v>352</v>
      </c>
      <c r="F6283" t="s">
        <v>20</v>
      </c>
      <c r="G6283" t="s">
        <v>21</v>
      </c>
      <c r="H6283" t="s">
        <v>353</v>
      </c>
      <c r="I6283" t="s">
        <v>23</v>
      </c>
      <c r="J6283" t="s">
        <v>95</v>
      </c>
      <c r="K6283" s="2" t="s">
        <v>3366</v>
      </c>
      <c r="L6283" t="s">
        <v>26</v>
      </c>
      <c r="M6283">
        <v>329897</v>
      </c>
      <c r="N6283">
        <v>-1</v>
      </c>
      <c r="O6283" s="3">
        <v>-39990</v>
      </c>
      <c r="P6283" s="3">
        <v>31000</v>
      </c>
      <c r="Q6283" s="5">
        <f t="shared" si="294"/>
        <v>-33605.042016806721</v>
      </c>
      <c r="R6283" s="5">
        <f t="shared" si="295"/>
        <v>-31000</v>
      </c>
      <c r="S6283" s="5">
        <f t="shared" si="296"/>
        <v>-2605.0420168067212</v>
      </c>
    </row>
    <row r="6284" spans="1:19" hidden="1" x14ac:dyDescent="0.3">
      <c r="A6284">
        <v>200</v>
      </c>
      <c r="B6284" t="s">
        <v>6336</v>
      </c>
      <c r="C6284" t="s">
        <v>2863</v>
      </c>
      <c r="D6284" s="2" t="s">
        <v>2864</v>
      </c>
      <c r="E6284" t="s">
        <v>2865</v>
      </c>
      <c r="F6284" t="s">
        <v>20</v>
      </c>
      <c r="G6284" t="s">
        <v>21</v>
      </c>
      <c r="H6284" t="s">
        <v>57</v>
      </c>
      <c r="I6284" t="s">
        <v>23</v>
      </c>
      <c r="J6284" t="s">
        <v>35</v>
      </c>
      <c r="K6284" s="2" t="s">
        <v>3366</v>
      </c>
      <c r="L6284" t="s">
        <v>26</v>
      </c>
      <c r="M6284">
        <v>329897</v>
      </c>
      <c r="N6284">
        <v>1</v>
      </c>
      <c r="O6284" s="3">
        <v>79990</v>
      </c>
      <c r="P6284" s="3">
        <v>29189</v>
      </c>
      <c r="Q6284" s="5">
        <f t="shared" si="294"/>
        <v>67218.487394957992</v>
      </c>
      <c r="R6284" s="5">
        <f t="shared" si="295"/>
        <v>29189</v>
      </c>
      <c r="S6284" s="5">
        <f t="shared" si="296"/>
        <v>38029.487394957992</v>
      </c>
    </row>
    <row r="6285" spans="1:19" hidden="1" x14ac:dyDescent="0.3">
      <c r="A6285">
        <v>200</v>
      </c>
      <c r="B6285" t="s">
        <v>6336</v>
      </c>
      <c r="C6285" t="s">
        <v>3294</v>
      </c>
      <c r="D6285" s="2" t="s">
        <v>3295</v>
      </c>
      <c r="E6285" t="s">
        <v>3296</v>
      </c>
      <c r="F6285" t="s">
        <v>377</v>
      </c>
      <c r="G6285" t="s">
        <v>21</v>
      </c>
      <c r="H6285" t="s">
        <v>378</v>
      </c>
      <c r="I6285" t="s">
        <v>23</v>
      </c>
      <c r="J6285" t="s">
        <v>3297</v>
      </c>
      <c r="K6285" s="2" t="s">
        <v>3366</v>
      </c>
      <c r="L6285" t="s">
        <v>26</v>
      </c>
      <c r="M6285">
        <v>329897</v>
      </c>
      <c r="N6285">
        <v>1</v>
      </c>
      <c r="O6285">
        <v>500</v>
      </c>
      <c r="P6285">
        <v>358</v>
      </c>
      <c r="Q6285" s="5">
        <f t="shared" si="294"/>
        <v>420.1680672268908</v>
      </c>
      <c r="R6285" s="5">
        <f t="shared" si="295"/>
        <v>358</v>
      </c>
      <c r="S6285" s="5">
        <f t="shared" si="296"/>
        <v>62.168067226890798</v>
      </c>
    </row>
    <row r="6286" spans="1:19" hidden="1" x14ac:dyDescent="0.3">
      <c r="A6286">
        <v>200</v>
      </c>
      <c r="B6286" t="s">
        <v>6336</v>
      </c>
      <c r="C6286" t="s">
        <v>3466</v>
      </c>
      <c r="D6286" s="2" t="s">
        <v>3467</v>
      </c>
      <c r="E6286" t="s">
        <v>316</v>
      </c>
      <c r="F6286" t="s">
        <v>20</v>
      </c>
      <c r="G6286" t="s">
        <v>21</v>
      </c>
      <c r="H6286" t="s">
        <v>317</v>
      </c>
      <c r="I6286" t="s">
        <v>23</v>
      </c>
      <c r="J6286" t="s">
        <v>35</v>
      </c>
      <c r="K6286" s="2" t="s">
        <v>3366</v>
      </c>
      <c r="L6286" t="s">
        <v>26</v>
      </c>
      <c r="M6286">
        <v>329898</v>
      </c>
      <c r="N6286">
        <v>1</v>
      </c>
      <c r="O6286" s="3">
        <v>69950</v>
      </c>
      <c r="P6286" s="3">
        <v>24552</v>
      </c>
      <c r="Q6286" s="5">
        <f t="shared" si="294"/>
        <v>58781.512605042022</v>
      </c>
      <c r="R6286" s="5">
        <f t="shared" si="295"/>
        <v>24552</v>
      </c>
      <c r="S6286" s="5">
        <f t="shared" si="296"/>
        <v>34229.512605042022</v>
      </c>
    </row>
    <row r="6287" spans="1:19" hidden="1" x14ac:dyDescent="0.3">
      <c r="A6287">
        <v>200</v>
      </c>
      <c r="B6287" t="s">
        <v>6336</v>
      </c>
      <c r="C6287" t="s">
        <v>5413</v>
      </c>
      <c r="D6287" s="2" t="s">
        <v>5414</v>
      </c>
      <c r="E6287" t="s">
        <v>3328</v>
      </c>
      <c r="F6287" t="s">
        <v>20</v>
      </c>
      <c r="G6287" t="s">
        <v>338</v>
      </c>
      <c r="H6287">
        <v>23720</v>
      </c>
      <c r="I6287" t="s">
        <v>23</v>
      </c>
      <c r="J6287" t="s">
        <v>40</v>
      </c>
      <c r="K6287" s="2" t="s">
        <v>3366</v>
      </c>
      <c r="L6287" t="s">
        <v>26</v>
      </c>
      <c r="M6287">
        <v>329899</v>
      </c>
      <c r="N6287">
        <v>1</v>
      </c>
      <c r="O6287" s="3">
        <v>59950</v>
      </c>
      <c r="P6287" s="3">
        <v>19650</v>
      </c>
      <c r="Q6287" s="5">
        <f t="shared" si="294"/>
        <v>50378.151260504201</v>
      </c>
      <c r="R6287" s="5">
        <f t="shared" si="295"/>
        <v>19650</v>
      </c>
      <c r="S6287" s="5">
        <f t="shared" si="296"/>
        <v>30728.151260504201</v>
      </c>
    </row>
    <row r="6288" spans="1:19" hidden="1" x14ac:dyDescent="0.3">
      <c r="A6288">
        <v>200</v>
      </c>
      <c r="B6288" t="s">
        <v>6336</v>
      </c>
      <c r="C6288" t="s">
        <v>3294</v>
      </c>
      <c r="D6288" s="2" t="s">
        <v>3295</v>
      </c>
      <c r="E6288" t="s">
        <v>3296</v>
      </c>
      <c r="F6288" t="s">
        <v>377</v>
      </c>
      <c r="G6288" t="s">
        <v>21</v>
      </c>
      <c r="H6288" t="s">
        <v>378</v>
      </c>
      <c r="I6288" t="s">
        <v>23</v>
      </c>
      <c r="J6288" t="s">
        <v>3297</v>
      </c>
      <c r="K6288" s="2" t="s">
        <v>3366</v>
      </c>
      <c r="L6288" t="s">
        <v>26</v>
      </c>
      <c r="M6288">
        <v>329899</v>
      </c>
      <c r="N6288">
        <v>1</v>
      </c>
      <c r="O6288">
        <v>500</v>
      </c>
      <c r="P6288">
        <v>358</v>
      </c>
      <c r="Q6288" s="5">
        <f t="shared" si="294"/>
        <v>420.1680672268908</v>
      </c>
      <c r="R6288" s="5">
        <f t="shared" si="295"/>
        <v>358</v>
      </c>
      <c r="S6288" s="5">
        <f t="shared" si="296"/>
        <v>62.168067226890798</v>
      </c>
    </row>
    <row r="6289" spans="1:19" hidden="1" x14ac:dyDescent="0.3">
      <c r="A6289">
        <v>200</v>
      </c>
      <c r="B6289" t="s">
        <v>6336</v>
      </c>
      <c r="C6289" t="s">
        <v>6075</v>
      </c>
      <c r="D6289" s="2" t="s">
        <v>6076</v>
      </c>
      <c r="E6289" t="s">
        <v>3096</v>
      </c>
      <c r="F6289" t="s">
        <v>20</v>
      </c>
      <c r="G6289" t="s">
        <v>21</v>
      </c>
      <c r="H6289" t="s">
        <v>991</v>
      </c>
      <c r="I6289" t="s">
        <v>23</v>
      </c>
      <c r="J6289" t="s">
        <v>49</v>
      </c>
      <c r="K6289" s="2" t="s">
        <v>3366</v>
      </c>
      <c r="L6289" t="s">
        <v>26</v>
      </c>
      <c r="M6289">
        <v>329900</v>
      </c>
      <c r="N6289">
        <v>1</v>
      </c>
      <c r="O6289" s="3">
        <v>54990</v>
      </c>
      <c r="P6289" s="3">
        <v>21201</v>
      </c>
      <c r="Q6289" s="5">
        <f t="shared" si="294"/>
        <v>46210.08403361345</v>
      </c>
      <c r="R6289" s="5">
        <f t="shared" si="295"/>
        <v>21201</v>
      </c>
      <c r="S6289" s="5">
        <f t="shared" si="296"/>
        <v>25009.08403361345</v>
      </c>
    </row>
    <row r="6290" spans="1:19" hidden="1" x14ac:dyDescent="0.3">
      <c r="A6290">
        <v>200</v>
      </c>
      <c r="B6290" t="s">
        <v>6336</v>
      </c>
      <c r="C6290" t="s">
        <v>6504</v>
      </c>
      <c r="D6290" s="2" t="s">
        <v>6505</v>
      </c>
      <c r="E6290" t="s">
        <v>3091</v>
      </c>
      <c r="F6290" t="s">
        <v>20</v>
      </c>
      <c r="G6290" t="s">
        <v>338</v>
      </c>
      <c r="H6290">
        <v>26266</v>
      </c>
      <c r="I6290" t="s">
        <v>23</v>
      </c>
      <c r="J6290" t="s">
        <v>35</v>
      </c>
      <c r="K6290" s="2" t="s">
        <v>3366</v>
      </c>
      <c r="L6290" t="s">
        <v>26</v>
      </c>
      <c r="M6290">
        <v>329900</v>
      </c>
      <c r="N6290">
        <v>1</v>
      </c>
      <c r="O6290" s="3">
        <v>79950</v>
      </c>
      <c r="P6290" s="3">
        <v>25300</v>
      </c>
      <c r="Q6290" s="5">
        <f t="shared" si="294"/>
        <v>67184.873949579836</v>
      </c>
      <c r="R6290" s="5">
        <f t="shared" si="295"/>
        <v>25300</v>
      </c>
      <c r="S6290" s="5">
        <f t="shared" si="296"/>
        <v>41884.873949579836</v>
      </c>
    </row>
    <row r="6291" spans="1:19" hidden="1" x14ac:dyDescent="0.3">
      <c r="A6291">
        <v>200</v>
      </c>
      <c r="B6291" t="s">
        <v>6336</v>
      </c>
      <c r="C6291" t="s">
        <v>3294</v>
      </c>
      <c r="D6291" s="2" t="s">
        <v>3295</v>
      </c>
      <c r="E6291" t="s">
        <v>3296</v>
      </c>
      <c r="F6291" t="s">
        <v>377</v>
      </c>
      <c r="G6291" t="s">
        <v>21</v>
      </c>
      <c r="H6291" t="s">
        <v>378</v>
      </c>
      <c r="I6291" t="s">
        <v>23</v>
      </c>
      <c r="J6291" t="s">
        <v>3297</v>
      </c>
      <c r="K6291" s="2" t="s">
        <v>3366</v>
      </c>
      <c r="L6291" t="s">
        <v>26</v>
      </c>
      <c r="M6291">
        <v>329901</v>
      </c>
      <c r="N6291">
        <v>1</v>
      </c>
      <c r="O6291">
        <v>500</v>
      </c>
      <c r="P6291">
        <v>358</v>
      </c>
      <c r="Q6291" s="5">
        <f t="shared" si="294"/>
        <v>420.1680672268908</v>
      </c>
      <c r="R6291" s="5">
        <f t="shared" si="295"/>
        <v>358</v>
      </c>
      <c r="S6291" s="5">
        <f t="shared" si="296"/>
        <v>62.168067226890798</v>
      </c>
    </row>
    <row r="6292" spans="1:19" hidden="1" x14ac:dyDescent="0.3">
      <c r="A6292">
        <v>200</v>
      </c>
      <c r="B6292" t="s">
        <v>6336</v>
      </c>
      <c r="C6292" t="s">
        <v>4403</v>
      </c>
      <c r="D6292" s="2" t="s">
        <v>4404</v>
      </c>
      <c r="E6292" t="s">
        <v>2771</v>
      </c>
      <c r="F6292" t="s">
        <v>20</v>
      </c>
      <c r="G6292" t="s">
        <v>21</v>
      </c>
      <c r="H6292" t="s">
        <v>57</v>
      </c>
      <c r="I6292" t="s">
        <v>23</v>
      </c>
      <c r="J6292" t="s">
        <v>35</v>
      </c>
      <c r="K6292" s="2" t="s">
        <v>3366</v>
      </c>
      <c r="L6292" t="s">
        <v>26</v>
      </c>
      <c r="M6292">
        <v>329902</v>
      </c>
      <c r="N6292">
        <v>1</v>
      </c>
      <c r="O6292" s="3">
        <v>79990</v>
      </c>
      <c r="P6292" s="3">
        <v>29189</v>
      </c>
      <c r="Q6292" s="5">
        <f t="shared" si="294"/>
        <v>67218.487394957992</v>
      </c>
      <c r="R6292" s="5">
        <f t="shared" si="295"/>
        <v>29189</v>
      </c>
      <c r="S6292" s="5">
        <f t="shared" si="296"/>
        <v>38029.487394957992</v>
      </c>
    </row>
    <row r="6293" spans="1:19" hidden="1" x14ac:dyDescent="0.3">
      <c r="A6293">
        <v>200</v>
      </c>
      <c r="B6293" t="s">
        <v>6336</v>
      </c>
      <c r="C6293" t="s">
        <v>1873</v>
      </c>
      <c r="D6293" s="2" t="s">
        <v>1874</v>
      </c>
      <c r="E6293" t="s">
        <v>1431</v>
      </c>
      <c r="F6293" t="s">
        <v>20</v>
      </c>
      <c r="G6293" t="s">
        <v>21</v>
      </c>
      <c r="H6293" t="s">
        <v>61</v>
      </c>
      <c r="I6293" t="s">
        <v>23</v>
      </c>
      <c r="J6293" t="s">
        <v>40</v>
      </c>
      <c r="K6293" s="2" t="s">
        <v>1958</v>
      </c>
      <c r="L6293" t="s">
        <v>26</v>
      </c>
      <c r="M6293">
        <v>329903</v>
      </c>
      <c r="N6293">
        <v>-1</v>
      </c>
      <c r="O6293" s="3">
        <v>-39990</v>
      </c>
      <c r="P6293" s="3">
        <v>28634</v>
      </c>
      <c r="Q6293" s="5">
        <f t="shared" si="294"/>
        <v>-33605.042016806721</v>
      </c>
      <c r="R6293" s="5">
        <f t="shared" si="295"/>
        <v>-28634</v>
      </c>
      <c r="S6293" s="5">
        <f t="shared" si="296"/>
        <v>-4971.0420168067212</v>
      </c>
    </row>
    <row r="6294" spans="1:19" hidden="1" x14ac:dyDescent="0.3">
      <c r="A6294">
        <v>200</v>
      </c>
      <c r="B6294" t="s">
        <v>6336</v>
      </c>
      <c r="C6294" t="s">
        <v>6506</v>
      </c>
      <c r="D6294" s="2" t="s">
        <v>6507</v>
      </c>
      <c r="E6294" t="s">
        <v>5657</v>
      </c>
      <c r="F6294" t="s">
        <v>20</v>
      </c>
      <c r="G6294" t="s">
        <v>21</v>
      </c>
      <c r="H6294" t="s">
        <v>1755</v>
      </c>
      <c r="I6294" t="s">
        <v>23</v>
      </c>
      <c r="J6294" t="s">
        <v>40</v>
      </c>
      <c r="K6294" s="2" t="s">
        <v>1958</v>
      </c>
      <c r="L6294" t="s">
        <v>26</v>
      </c>
      <c r="M6294">
        <v>329903</v>
      </c>
      <c r="N6294">
        <v>1</v>
      </c>
      <c r="O6294" s="3">
        <v>49990</v>
      </c>
      <c r="P6294" s="3">
        <v>28528</v>
      </c>
      <c r="Q6294" s="5">
        <f t="shared" si="294"/>
        <v>42008.403361344543</v>
      </c>
      <c r="R6294" s="5">
        <f t="shared" si="295"/>
        <v>28528</v>
      </c>
      <c r="S6294" s="5">
        <f t="shared" si="296"/>
        <v>13480.403361344543</v>
      </c>
    </row>
    <row r="6295" spans="1:19" hidden="1" x14ac:dyDescent="0.3">
      <c r="A6295">
        <v>200</v>
      </c>
      <c r="B6295" t="s">
        <v>6336</v>
      </c>
      <c r="C6295" t="s">
        <v>4189</v>
      </c>
      <c r="D6295" s="2" t="s">
        <v>4190</v>
      </c>
      <c r="E6295" t="s">
        <v>3472</v>
      </c>
      <c r="F6295" t="s">
        <v>20</v>
      </c>
      <c r="G6295" t="s">
        <v>338</v>
      </c>
      <c r="H6295">
        <v>25336</v>
      </c>
      <c r="I6295" t="s">
        <v>23</v>
      </c>
      <c r="J6295" t="s">
        <v>35</v>
      </c>
      <c r="K6295" s="2" t="s">
        <v>1958</v>
      </c>
      <c r="L6295" t="s">
        <v>26</v>
      </c>
      <c r="M6295">
        <v>329904</v>
      </c>
      <c r="N6295">
        <v>1</v>
      </c>
      <c r="O6295" s="3">
        <v>99950</v>
      </c>
      <c r="P6295" s="3">
        <v>31886</v>
      </c>
      <c r="Q6295" s="5">
        <f t="shared" si="294"/>
        <v>83991.596638655465</v>
      </c>
      <c r="R6295" s="5">
        <f t="shared" si="295"/>
        <v>31886</v>
      </c>
      <c r="S6295" s="5">
        <f t="shared" si="296"/>
        <v>52105.596638655465</v>
      </c>
    </row>
    <row r="6296" spans="1:19" hidden="1" x14ac:dyDescent="0.3">
      <c r="A6296">
        <v>200</v>
      </c>
      <c r="B6296" t="s">
        <v>6336</v>
      </c>
      <c r="C6296" t="s">
        <v>3294</v>
      </c>
      <c r="D6296" s="2" t="s">
        <v>3295</v>
      </c>
      <c r="E6296" t="s">
        <v>3296</v>
      </c>
      <c r="F6296" t="s">
        <v>377</v>
      </c>
      <c r="G6296" t="s">
        <v>21</v>
      </c>
      <c r="H6296" t="s">
        <v>378</v>
      </c>
      <c r="I6296" t="s">
        <v>23</v>
      </c>
      <c r="J6296" t="s">
        <v>3297</v>
      </c>
      <c r="K6296" s="2" t="s">
        <v>1958</v>
      </c>
      <c r="L6296" t="s">
        <v>26</v>
      </c>
      <c r="M6296">
        <v>329904</v>
      </c>
      <c r="N6296">
        <v>1</v>
      </c>
      <c r="O6296">
        <v>500</v>
      </c>
      <c r="P6296">
        <v>358</v>
      </c>
      <c r="Q6296" s="5">
        <f t="shared" si="294"/>
        <v>420.1680672268908</v>
      </c>
      <c r="R6296" s="5">
        <f t="shared" si="295"/>
        <v>358</v>
      </c>
      <c r="S6296" s="5">
        <f t="shared" si="296"/>
        <v>62.168067226890798</v>
      </c>
    </row>
    <row r="6297" spans="1:19" hidden="1" x14ac:dyDescent="0.3">
      <c r="A6297">
        <v>200</v>
      </c>
      <c r="B6297" t="s">
        <v>6336</v>
      </c>
      <c r="C6297" t="s">
        <v>6508</v>
      </c>
      <c r="D6297" s="2" t="s">
        <v>6509</v>
      </c>
      <c r="E6297" t="s">
        <v>3877</v>
      </c>
      <c r="F6297" t="s">
        <v>20</v>
      </c>
      <c r="G6297" t="s">
        <v>21</v>
      </c>
      <c r="H6297" t="s">
        <v>99</v>
      </c>
      <c r="I6297" t="s">
        <v>23</v>
      </c>
      <c r="J6297" t="s">
        <v>40</v>
      </c>
      <c r="K6297" s="2" t="s">
        <v>1958</v>
      </c>
      <c r="L6297" t="s">
        <v>26</v>
      </c>
      <c r="M6297">
        <v>329905</v>
      </c>
      <c r="N6297">
        <v>1</v>
      </c>
      <c r="O6297" s="3">
        <v>39990</v>
      </c>
      <c r="P6297" s="3">
        <v>31785</v>
      </c>
      <c r="Q6297" s="5">
        <f t="shared" si="294"/>
        <v>33605.042016806721</v>
      </c>
      <c r="R6297" s="5">
        <f t="shared" si="295"/>
        <v>31785</v>
      </c>
      <c r="S6297" s="5">
        <f t="shared" si="296"/>
        <v>1820.0420168067212</v>
      </c>
    </row>
    <row r="6298" spans="1:19" hidden="1" x14ac:dyDescent="0.3">
      <c r="A6298">
        <v>200</v>
      </c>
      <c r="B6298" t="s">
        <v>6336</v>
      </c>
      <c r="C6298" t="s">
        <v>6510</v>
      </c>
      <c r="D6298" s="2" t="s">
        <v>6511</v>
      </c>
      <c r="E6298" t="s">
        <v>1327</v>
      </c>
      <c r="F6298" t="s">
        <v>20</v>
      </c>
      <c r="G6298" t="s">
        <v>21</v>
      </c>
      <c r="H6298" t="s">
        <v>247</v>
      </c>
      <c r="I6298" t="s">
        <v>23</v>
      </c>
      <c r="J6298" t="s">
        <v>40</v>
      </c>
      <c r="K6298" s="2" t="s">
        <v>1958</v>
      </c>
      <c r="L6298" t="s">
        <v>26</v>
      </c>
      <c r="M6298">
        <v>329906</v>
      </c>
      <c r="N6298">
        <v>0</v>
      </c>
      <c r="O6298">
        <v>1</v>
      </c>
      <c r="P6298" s="3">
        <v>16541</v>
      </c>
      <c r="Q6298" s="5">
        <f t="shared" si="294"/>
        <v>0.84033613445378152</v>
      </c>
      <c r="R6298" s="5">
        <f t="shared" si="295"/>
        <v>0</v>
      </c>
      <c r="S6298" s="5">
        <f t="shared" si="296"/>
        <v>0.84033613445378152</v>
      </c>
    </row>
    <row r="6299" spans="1:19" hidden="1" x14ac:dyDescent="0.3">
      <c r="A6299">
        <v>200</v>
      </c>
      <c r="B6299" t="s">
        <v>6336</v>
      </c>
      <c r="C6299" t="s">
        <v>1169</v>
      </c>
      <c r="D6299" s="2" t="s">
        <v>1170</v>
      </c>
      <c r="E6299" t="s">
        <v>1171</v>
      </c>
      <c r="F6299" t="s">
        <v>20</v>
      </c>
      <c r="G6299" t="s">
        <v>21</v>
      </c>
      <c r="H6299" t="s">
        <v>500</v>
      </c>
      <c r="I6299" t="s">
        <v>23</v>
      </c>
      <c r="J6299" t="s">
        <v>40</v>
      </c>
      <c r="K6299" s="2" t="s">
        <v>1958</v>
      </c>
      <c r="L6299" t="s">
        <v>26</v>
      </c>
      <c r="M6299">
        <v>329907</v>
      </c>
      <c r="N6299">
        <v>1</v>
      </c>
      <c r="O6299" s="3">
        <v>59950</v>
      </c>
      <c r="P6299" s="3">
        <v>17416</v>
      </c>
      <c r="Q6299" s="5">
        <f t="shared" si="294"/>
        <v>50378.151260504201</v>
      </c>
      <c r="R6299" s="5">
        <f t="shared" si="295"/>
        <v>17416</v>
      </c>
      <c r="S6299" s="5">
        <f t="shared" si="296"/>
        <v>32962.151260504201</v>
      </c>
    </row>
    <row r="6300" spans="1:19" hidden="1" x14ac:dyDescent="0.3">
      <c r="A6300">
        <v>200</v>
      </c>
      <c r="B6300" t="s">
        <v>6336</v>
      </c>
      <c r="C6300" t="s">
        <v>2395</v>
      </c>
      <c r="D6300" s="2" t="s">
        <v>2396</v>
      </c>
      <c r="E6300" t="s">
        <v>425</v>
      </c>
      <c r="F6300" t="s">
        <v>20</v>
      </c>
      <c r="G6300" t="s">
        <v>21</v>
      </c>
      <c r="H6300" t="s">
        <v>22</v>
      </c>
      <c r="I6300" t="s">
        <v>23</v>
      </c>
      <c r="J6300" t="s">
        <v>24</v>
      </c>
      <c r="K6300" s="2" t="s">
        <v>1958</v>
      </c>
      <c r="L6300" t="s">
        <v>26</v>
      </c>
      <c r="M6300">
        <v>329908</v>
      </c>
      <c r="N6300">
        <v>1</v>
      </c>
      <c r="O6300" s="3">
        <v>79950</v>
      </c>
      <c r="P6300" s="3">
        <v>27848</v>
      </c>
      <c r="Q6300" s="5">
        <f t="shared" si="294"/>
        <v>67184.873949579836</v>
      </c>
      <c r="R6300" s="5">
        <f t="shared" si="295"/>
        <v>27848</v>
      </c>
      <c r="S6300" s="5">
        <f t="shared" si="296"/>
        <v>39336.873949579836</v>
      </c>
    </row>
    <row r="6301" spans="1:19" hidden="1" x14ac:dyDescent="0.3">
      <c r="A6301">
        <v>200</v>
      </c>
      <c r="B6301" t="s">
        <v>6336</v>
      </c>
      <c r="C6301" t="s">
        <v>5113</v>
      </c>
      <c r="D6301" s="2" t="s">
        <v>5114</v>
      </c>
      <c r="E6301" t="s">
        <v>3036</v>
      </c>
      <c r="F6301" t="s">
        <v>20</v>
      </c>
      <c r="G6301" t="s">
        <v>338</v>
      </c>
      <c r="H6301">
        <v>25273</v>
      </c>
      <c r="I6301" t="s">
        <v>23</v>
      </c>
      <c r="J6301" t="s">
        <v>35</v>
      </c>
      <c r="K6301" s="2" t="s">
        <v>1958</v>
      </c>
      <c r="L6301" t="s">
        <v>26</v>
      </c>
      <c r="M6301">
        <v>329909</v>
      </c>
      <c r="N6301">
        <v>1</v>
      </c>
      <c r="O6301" s="3">
        <v>99950</v>
      </c>
      <c r="P6301" s="3">
        <v>32658</v>
      </c>
      <c r="Q6301" s="5">
        <f t="shared" si="294"/>
        <v>83991.596638655465</v>
      </c>
      <c r="R6301" s="5">
        <f t="shared" si="295"/>
        <v>32658</v>
      </c>
      <c r="S6301" s="5">
        <f t="shared" si="296"/>
        <v>51333.596638655465</v>
      </c>
    </row>
    <row r="6302" spans="1:19" hidden="1" x14ac:dyDescent="0.3">
      <c r="A6302">
        <v>200</v>
      </c>
      <c r="B6302" t="s">
        <v>6336</v>
      </c>
      <c r="C6302" t="s">
        <v>3294</v>
      </c>
      <c r="D6302" s="2" t="s">
        <v>3295</v>
      </c>
      <c r="E6302" t="s">
        <v>3296</v>
      </c>
      <c r="F6302" t="s">
        <v>377</v>
      </c>
      <c r="G6302" t="s">
        <v>21</v>
      </c>
      <c r="H6302" t="s">
        <v>378</v>
      </c>
      <c r="I6302" t="s">
        <v>23</v>
      </c>
      <c r="J6302" t="s">
        <v>3297</v>
      </c>
      <c r="K6302" s="2" t="s">
        <v>1958</v>
      </c>
      <c r="L6302" t="s">
        <v>26</v>
      </c>
      <c r="M6302">
        <v>329909</v>
      </c>
      <c r="N6302">
        <v>1</v>
      </c>
      <c r="O6302">
        <v>500</v>
      </c>
      <c r="P6302">
        <v>358</v>
      </c>
      <c r="Q6302" s="5">
        <f t="shared" si="294"/>
        <v>420.1680672268908</v>
      </c>
      <c r="R6302" s="5">
        <f t="shared" si="295"/>
        <v>358</v>
      </c>
      <c r="S6302" s="5">
        <f t="shared" si="296"/>
        <v>62.168067226890798</v>
      </c>
    </row>
    <row r="6303" spans="1:19" hidden="1" x14ac:dyDescent="0.3">
      <c r="A6303">
        <v>200</v>
      </c>
      <c r="B6303" t="s">
        <v>6336</v>
      </c>
      <c r="C6303" t="s">
        <v>4671</v>
      </c>
      <c r="D6303" s="2" t="s">
        <v>4672</v>
      </c>
      <c r="E6303" t="s">
        <v>4673</v>
      </c>
      <c r="F6303" t="s">
        <v>377</v>
      </c>
      <c r="G6303" t="s">
        <v>21</v>
      </c>
      <c r="H6303" t="s">
        <v>378</v>
      </c>
      <c r="I6303" t="s">
        <v>23</v>
      </c>
      <c r="J6303" t="s">
        <v>379</v>
      </c>
      <c r="K6303" s="2" t="s">
        <v>1958</v>
      </c>
      <c r="L6303" t="s">
        <v>26</v>
      </c>
      <c r="M6303">
        <v>329909</v>
      </c>
      <c r="N6303">
        <v>1</v>
      </c>
      <c r="O6303" s="3">
        <v>6950</v>
      </c>
      <c r="P6303" s="3">
        <v>3551</v>
      </c>
      <c r="Q6303" s="5">
        <f t="shared" si="294"/>
        <v>5840.3361344537816</v>
      </c>
      <c r="R6303" s="5">
        <f t="shared" si="295"/>
        <v>3551</v>
      </c>
      <c r="S6303" s="5">
        <f t="shared" si="296"/>
        <v>2289.3361344537816</v>
      </c>
    </row>
    <row r="6304" spans="1:19" hidden="1" x14ac:dyDescent="0.3">
      <c r="A6304">
        <v>200</v>
      </c>
      <c r="B6304" t="s">
        <v>6336</v>
      </c>
      <c r="C6304" t="s">
        <v>2830</v>
      </c>
      <c r="D6304" s="2" t="s">
        <v>2831</v>
      </c>
      <c r="E6304" t="s">
        <v>1330</v>
      </c>
      <c r="F6304" t="s">
        <v>20</v>
      </c>
      <c r="G6304" t="s">
        <v>338</v>
      </c>
      <c r="H6304">
        <v>25133</v>
      </c>
      <c r="I6304" t="s">
        <v>23</v>
      </c>
      <c r="J6304" t="s">
        <v>35</v>
      </c>
      <c r="K6304" s="2" t="s">
        <v>2093</v>
      </c>
      <c r="L6304" t="s">
        <v>26</v>
      </c>
      <c r="M6304">
        <v>329910</v>
      </c>
      <c r="N6304">
        <v>1</v>
      </c>
      <c r="O6304" s="3">
        <v>74950</v>
      </c>
      <c r="P6304" s="3">
        <v>21167</v>
      </c>
      <c r="Q6304" s="5">
        <f t="shared" si="294"/>
        <v>62983.193277310929</v>
      </c>
      <c r="R6304" s="5">
        <f t="shared" si="295"/>
        <v>21167</v>
      </c>
      <c r="S6304" s="5">
        <f t="shared" si="296"/>
        <v>41816.193277310929</v>
      </c>
    </row>
    <row r="6305" spans="1:19" hidden="1" x14ac:dyDescent="0.3">
      <c r="A6305">
        <v>200</v>
      </c>
      <c r="B6305" t="s">
        <v>6336</v>
      </c>
      <c r="C6305" t="s">
        <v>2602</v>
      </c>
      <c r="D6305" s="2" t="s">
        <v>2603</v>
      </c>
      <c r="E6305" t="s">
        <v>2533</v>
      </c>
      <c r="F6305" t="s">
        <v>20</v>
      </c>
      <c r="G6305" t="s">
        <v>21</v>
      </c>
      <c r="H6305" t="s">
        <v>500</v>
      </c>
      <c r="I6305" t="s">
        <v>23</v>
      </c>
      <c r="J6305" t="s">
        <v>40</v>
      </c>
      <c r="K6305" s="2" t="s">
        <v>2093</v>
      </c>
      <c r="L6305" t="s">
        <v>26</v>
      </c>
      <c r="M6305">
        <v>329911</v>
      </c>
      <c r="N6305">
        <v>1</v>
      </c>
      <c r="O6305" s="3">
        <v>49990</v>
      </c>
      <c r="P6305" s="3">
        <v>20043</v>
      </c>
      <c r="Q6305" s="5">
        <f t="shared" si="294"/>
        <v>42008.403361344543</v>
      </c>
      <c r="R6305" s="5">
        <f t="shared" si="295"/>
        <v>20043</v>
      </c>
      <c r="S6305" s="5">
        <f t="shared" si="296"/>
        <v>21965.403361344543</v>
      </c>
    </row>
    <row r="6306" spans="1:19" hidden="1" x14ac:dyDescent="0.3">
      <c r="A6306">
        <v>200</v>
      </c>
      <c r="B6306" t="s">
        <v>6336</v>
      </c>
      <c r="C6306">
        <v>1687976791</v>
      </c>
      <c r="D6306" s="2" t="s">
        <v>200</v>
      </c>
      <c r="E6306" t="s">
        <v>201</v>
      </c>
      <c r="F6306" t="s">
        <v>201</v>
      </c>
      <c r="G6306" t="s">
        <v>202</v>
      </c>
      <c r="H6306" t="s">
        <v>202</v>
      </c>
      <c r="I6306" t="s">
        <v>23</v>
      </c>
      <c r="J6306" t="s">
        <v>202</v>
      </c>
      <c r="K6306" s="2" t="s">
        <v>2093</v>
      </c>
      <c r="L6306" t="s">
        <v>26</v>
      </c>
      <c r="M6306">
        <v>329911</v>
      </c>
      <c r="N6306">
        <v>1</v>
      </c>
      <c r="O6306" s="3">
        <v>3400</v>
      </c>
      <c r="P6306">
        <v>1</v>
      </c>
      <c r="Q6306" s="5">
        <f t="shared" si="294"/>
        <v>2857.1428571428573</v>
      </c>
      <c r="R6306" s="5">
        <f t="shared" si="295"/>
        <v>1</v>
      </c>
      <c r="S6306" s="5">
        <f t="shared" si="296"/>
        <v>2856.1428571428573</v>
      </c>
    </row>
    <row r="6307" spans="1:19" hidden="1" x14ac:dyDescent="0.3">
      <c r="A6307">
        <v>200</v>
      </c>
      <c r="B6307" t="s">
        <v>6336</v>
      </c>
      <c r="C6307" t="s">
        <v>2955</v>
      </c>
      <c r="D6307" s="2" t="s">
        <v>2956</v>
      </c>
      <c r="E6307" t="s">
        <v>1758</v>
      </c>
      <c r="F6307" t="s">
        <v>20</v>
      </c>
      <c r="G6307" t="s">
        <v>338</v>
      </c>
      <c r="H6307">
        <v>25133</v>
      </c>
      <c r="I6307" t="s">
        <v>23</v>
      </c>
      <c r="J6307" t="s">
        <v>35</v>
      </c>
      <c r="K6307" s="2" t="s">
        <v>2093</v>
      </c>
      <c r="L6307" t="s">
        <v>26</v>
      </c>
      <c r="M6307">
        <v>329912</v>
      </c>
      <c r="N6307">
        <v>1</v>
      </c>
      <c r="O6307" s="3">
        <v>74950</v>
      </c>
      <c r="P6307" s="3">
        <v>21167</v>
      </c>
      <c r="Q6307" s="5">
        <f t="shared" si="294"/>
        <v>62983.193277310929</v>
      </c>
      <c r="R6307" s="5">
        <f t="shared" si="295"/>
        <v>21167</v>
      </c>
      <c r="S6307" s="5">
        <f t="shared" si="296"/>
        <v>41816.193277310929</v>
      </c>
    </row>
    <row r="6308" spans="1:19" hidden="1" x14ac:dyDescent="0.3">
      <c r="A6308">
        <v>200</v>
      </c>
      <c r="B6308" t="s">
        <v>6336</v>
      </c>
      <c r="C6308" t="s">
        <v>3294</v>
      </c>
      <c r="D6308" s="2" t="s">
        <v>3295</v>
      </c>
      <c r="E6308" t="s">
        <v>3296</v>
      </c>
      <c r="F6308" t="s">
        <v>377</v>
      </c>
      <c r="G6308" t="s">
        <v>21</v>
      </c>
      <c r="H6308" t="s">
        <v>378</v>
      </c>
      <c r="I6308" t="s">
        <v>23</v>
      </c>
      <c r="J6308" t="s">
        <v>3297</v>
      </c>
      <c r="K6308" s="2" t="s">
        <v>2093</v>
      </c>
      <c r="L6308" t="s">
        <v>26</v>
      </c>
      <c r="M6308">
        <v>329912</v>
      </c>
      <c r="N6308">
        <v>1</v>
      </c>
      <c r="O6308">
        <v>500</v>
      </c>
      <c r="P6308">
        <v>358</v>
      </c>
      <c r="Q6308" s="5">
        <f t="shared" si="294"/>
        <v>420.1680672268908</v>
      </c>
      <c r="R6308" s="5">
        <f t="shared" si="295"/>
        <v>358</v>
      </c>
      <c r="S6308" s="5">
        <f t="shared" si="296"/>
        <v>62.168067226890798</v>
      </c>
    </row>
    <row r="6309" spans="1:19" hidden="1" x14ac:dyDescent="0.3">
      <c r="A6309">
        <v>200</v>
      </c>
      <c r="B6309" t="s">
        <v>6336</v>
      </c>
      <c r="C6309" t="s">
        <v>2960</v>
      </c>
      <c r="D6309" s="2" t="s">
        <v>2961</v>
      </c>
      <c r="E6309" t="s">
        <v>2539</v>
      </c>
      <c r="F6309" t="s">
        <v>20</v>
      </c>
      <c r="G6309" t="s">
        <v>21</v>
      </c>
      <c r="H6309" t="s">
        <v>966</v>
      </c>
      <c r="I6309" t="s">
        <v>23</v>
      </c>
      <c r="J6309" t="s">
        <v>35</v>
      </c>
      <c r="K6309" s="2" t="s">
        <v>2093</v>
      </c>
      <c r="L6309" t="s">
        <v>26</v>
      </c>
      <c r="M6309">
        <v>329913</v>
      </c>
      <c r="N6309">
        <v>1</v>
      </c>
      <c r="O6309" s="3">
        <v>74950</v>
      </c>
      <c r="P6309" s="3">
        <v>27380</v>
      </c>
      <c r="Q6309" s="5">
        <f t="shared" si="294"/>
        <v>62983.193277310929</v>
      </c>
      <c r="R6309" s="5">
        <f t="shared" si="295"/>
        <v>27380</v>
      </c>
      <c r="S6309" s="5">
        <f t="shared" si="296"/>
        <v>35603.193277310929</v>
      </c>
    </row>
    <row r="6310" spans="1:19" hidden="1" x14ac:dyDescent="0.3">
      <c r="A6310">
        <v>200</v>
      </c>
      <c r="B6310" t="s">
        <v>6336</v>
      </c>
      <c r="C6310" t="s">
        <v>1761</v>
      </c>
      <c r="D6310" s="2" t="s">
        <v>1762</v>
      </c>
      <c r="E6310" t="s">
        <v>1763</v>
      </c>
      <c r="F6310" t="s">
        <v>377</v>
      </c>
      <c r="G6310" t="s">
        <v>21</v>
      </c>
      <c r="H6310" t="s">
        <v>378</v>
      </c>
      <c r="I6310" t="s">
        <v>23</v>
      </c>
      <c r="J6310" t="s">
        <v>379</v>
      </c>
      <c r="K6310" s="2" t="s">
        <v>2093</v>
      </c>
      <c r="L6310" t="s">
        <v>26</v>
      </c>
      <c r="M6310">
        <v>329913</v>
      </c>
      <c r="N6310">
        <v>1</v>
      </c>
      <c r="O6310" s="3">
        <v>5950</v>
      </c>
      <c r="P6310" s="3">
        <v>3279</v>
      </c>
      <c r="Q6310" s="5">
        <f t="shared" si="294"/>
        <v>5000</v>
      </c>
      <c r="R6310" s="5">
        <f t="shared" si="295"/>
        <v>3279</v>
      </c>
      <c r="S6310" s="5">
        <f t="shared" si="296"/>
        <v>1721</v>
      </c>
    </row>
    <row r="6311" spans="1:19" hidden="1" x14ac:dyDescent="0.3">
      <c r="A6311">
        <v>200</v>
      </c>
      <c r="B6311" t="s">
        <v>6336</v>
      </c>
      <c r="C6311" t="s">
        <v>2739</v>
      </c>
      <c r="D6311" s="2" t="s">
        <v>2740</v>
      </c>
      <c r="E6311" t="s">
        <v>2741</v>
      </c>
      <c r="F6311" t="s">
        <v>20</v>
      </c>
      <c r="G6311" t="s">
        <v>21</v>
      </c>
      <c r="H6311" t="s">
        <v>2494</v>
      </c>
      <c r="I6311" t="s">
        <v>23</v>
      </c>
      <c r="J6311" t="s">
        <v>40</v>
      </c>
      <c r="K6311" s="2" t="s">
        <v>2093</v>
      </c>
      <c r="L6311" t="s">
        <v>26</v>
      </c>
      <c r="M6311">
        <v>329914</v>
      </c>
      <c r="N6311">
        <v>1</v>
      </c>
      <c r="O6311" s="3">
        <v>69950</v>
      </c>
      <c r="P6311" s="3">
        <v>23470</v>
      </c>
      <c r="Q6311" s="5">
        <f t="shared" si="294"/>
        <v>58781.512605042022</v>
      </c>
      <c r="R6311" s="5">
        <f t="shared" si="295"/>
        <v>23470</v>
      </c>
      <c r="S6311" s="5">
        <f t="shared" si="296"/>
        <v>35311.512605042022</v>
      </c>
    </row>
    <row r="6312" spans="1:19" hidden="1" x14ac:dyDescent="0.3">
      <c r="A6312">
        <v>200</v>
      </c>
      <c r="B6312" t="s">
        <v>6336</v>
      </c>
      <c r="C6312" t="s">
        <v>1911</v>
      </c>
      <c r="D6312" s="2" t="s">
        <v>1912</v>
      </c>
      <c r="E6312" t="s">
        <v>1913</v>
      </c>
      <c r="F6312" t="s">
        <v>20</v>
      </c>
      <c r="G6312" t="s">
        <v>21</v>
      </c>
      <c r="H6312" t="s">
        <v>1914</v>
      </c>
      <c r="I6312" t="s">
        <v>23</v>
      </c>
      <c r="J6312" t="s">
        <v>35</v>
      </c>
      <c r="K6312" s="2" t="s">
        <v>2093</v>
      </c>
      <c r="L6312" t="s">
        <v>26</v>
      </c>
      <c r="M6312">
        <v>329915</v>
      </c>
      <c r="N6312">
        <v>1</v>
      </c>
      <c r="O6312" s="3">
        <v>89950</v>
      </c>
      <c r="P6312" s="3">
        <v>28298</v>
      </c>
      <c r="Q6312" s="5">
        <f t="shared" si="294"/>
        <v>75588.23529411765</v>
      </c>
      <c r="R6312" s="5">
        <f t="shared" si="295"/>
        <v>28298</v>
      </c>
      <c r="S6312" s="5">
        <f t="shared" si="296"/>
        <v>47290.23529411765</v>
      </c>
    </row>
    <row r="6313" spans="1:19" hidden="1" x14ac:dyDescent="0.3">
      <c r="A6313">
        <v>200</v>
      </c>
      <c r="B6313" t="s">
        <v>6336</v>
      </c>
      <c r="C6313" t="s">
        <v>3294</v>
      </c>
      <c r="D6313" s="2" t="s">
        <v>3295</v>
      </c>
      <c r="E6313" t="s">
        <v>3296</v>
      </c>
      <c r="F6313" t="s">
        <v>377</v>
      </c>
      <c r="G6313" t="s">
        <v>21</v>
      </c>
      <c r="H6313" t="s">
        <v>378</v>
      </c>
      <c r="I6313" t="s">
        <v>23</v>
      </c>
      <c r="J6313" t="s">
        <v>3297</v>
      </c>
      <c r="K6313" s="2" t="s">
        <v>2093</v>
      </c>
      <c r="L6313" t="s">
        <v>26</v>
      </c>
      <c r="M6313">
        <v>329916</v>
      </c>
      <c r="N6313">
        <v>1</v>
      </c>
      <c r="O6313">
        <v>500</v>
      </c>
      <c r="P6313">
        <v>358</v>
      </c>
      <c r="Q6313" s="5">
        <f t="shared" si="294"/>
        <v>420.1680672268908</v>
      </c>
      <c r="R6313" s="5">
        <f t="shared" si="295"/>
        <v>358</v>
      </c>
      <c r="S6313" s="5">
        <f t="shared" si="296"/>
        <v>62.168067226890798</v>
      </c>
    </row>
    <row r="6314" spans="1:19" hidden="1" x14ac:dyDescent="0.3">
      <c r="A6314">
        <v>200</v>
      </c>
      <c r="B6314" t="s">
        <v>6336</v>
      </c>
      <c r="C6314" t="s">
        <v>1328</v>
      </c>
      <c r="D6314" s="2" t="s">
        <v>1329</v>
      </c>
      <c r="E6314" t="s">
        <v>1330</v>
      </c>
      <c r="F6314" t="s">
        <v>20</v>
      </c>
      <c r="G6314" t="s">
        <v>338</v>
      </c>
      <c r="H6314">
        <v>25133</v>
      </c>
      <c r="I6314" t="s">
        <v>23</v>
      </c>
      <c r="J6314" t="s">
        <v>35</v>
      </c>
      <c r="K6314" s="2" t="s">
        <v>2093</v>
      </c>
      <c r="L6314" t="s">
        <v>26</v>
      </c>
      <c r="M6314">
        <v>329917</v>
      </c>
      <c r="N6314">
        <v>1</v>
      </c>
      <c r="O6314" s="3">
        <v>74950</v>
      </c>
      <c r="P6314" s="3">
        <v>21167</v>
      </c>
      <c r="Q6314" s="5">
        <f t="shared" si="294"/>
        <v>62983.193277310929</v>
      </c>
      <c r="R6314" s="5">
        <f t="shared" si="295"/>
        <v>21167</v>
      </c>
      <c r="S6314" s="5">
        <f t="shared" si="296"/>
        <v>41816.193277310929</v>
      </c>
    </row>
    <row r="6315" spans="1:19" hidden="1" x14ac:dyDescent="0.3">
      <c r="A6315">
        <v>200</v>
      </c>
      <c r="B6315" t="s">
        <v>6336</v>
      </c>
      <c r="C6315" t="s">
        <v>3401</v>
      </c>
      <c r="D6315" s="2" t="s">
        <v>3402</v>
      </c>
      <c r="E6315" t="s">
        <v>3403</v>
      </c>
      <c r="F6315" t="s">
        <v>377</v>
      </c>
      <c r="G6315" t="s">
        <v>21</v>
      </c>
      <c r="H6315" t="s">
        <v>378</v>
      </c>
      <c r="I6315" t="s">
        <v>23</v>
      </c>
      <c r="J6315" t="s">
        <v>3297</v>
      </c>
      <c r="K6315" s="2" t="s">
        <v>2093</v>
      </c>
      <c r="L6315" t="s">
        <v>26</v>
      </c>
      <c r="M6315">
        <v>329917</v>
      </c>
      <c r="N6315">
        <v>1</v>
      </c>
      <c r="O6315">
        <v>500</v>
      </c>
      <c r="P6315">
        <v>418</v>
      </c>
      <c r="Q6315" s="5">
        <f t="shared" si="294"/>
        <v>420.1680672268908</v>
      </c>
      <c r="R6315" s="5">
        <f t="shared" si="295"/>
        <v>418</v>
      </c>
      <c r="S6315" s="5">
        <f t="shared" si="296"/>
        <v>2.1680672268907983</v>
      </c>
    </row>
    <row r="6316" spans="1:19" hidden="1" x14ac:dyDescent="0.3">
      <c r="A6316">
        <v>200</v>
      </c>
      <c r="B6316" t="s">
        <v>6336</v>
      </c>
      <c r="C6316" t="s">
        <v>3634</v>
      </c>
      <c r="D6316" s="2" t="s">
        <v>3635</v>
      </c>
      <c r="E6316" t="s">
        <v>2661</v>
      </c>
      <c r="F6316" t="s">
        <v>20</v>
      </c>
      <c r="G6316" t="s">
        <v>21</v>
      </c>
      <c r="H6316" t="s">
        <v>317</v>
      </c>
      <c r="I6316" t="s">
        <v>23</v>
      </c>
      <c r="J6316" t="s">
        <v>35</v>
      </c>
      <c r="K6316" s="2" t="s">
        <v>2149</v>
      </c>
      <c r="L6316" t="s">
        <v>26</v>
      </c>
      <c r="M6316">
        <v>329918</v>
      </c>
      <c r="N6316">
        <v>1</v>
      </c>
      <c r="O6316" s="3">
        <v>69950</v>
      </c>
      <c r="P6316" s="3">
        <v>25992</v>
      </c>
      <c r="Q6316" s="5">
        <f t="shared" si="294"/>
        <v>58781.512605042022</v>
      </c>
      <c r="R6316" s="5">
        <f t="shared" si="295"/>
        <v>25992</v>
      </c>
      <c r="S6316" s="5">
        <f t="shared" si="296"/>
        <v>32789.512605042022</v>
      </c>
    </row>
    <row r="6317" spans="1:19" hidden="1" x14ac:dyDescent="0.3">
      <c r="A6317">
        <v>200</v>
      </c>
      <c r="B6317" t="s">
        <v>6336</v>
      </c>
      <c r="C6317" t="s">
        <v>3466</v>
      </c>
      <c r="D6317" s="2" t="s">
        <v>3467</v>
      </c>
      <c r="E6317" t="s">
        <v>316</v>
      </c>
      <c r="F6317" t="s">
        <v>20</v>
      </c>
      <c r="G6317" t="s">
        <v>21</v>
      </c>
      <c r="H6317" t="s">
        <v>317</v>
      </c>
      <c r="I6317" t="s">
        <v>23</v>
      </c>
      <c r="J6317" t="s">
        <v>35</v>
      </c>
      <c r="K6317" s="2" t="s">
        <v>2149</v>
      </c>
      <c r="L6317" t="s">
        <v>26</v>
      </c>
      <c r="M6317">
        <v>329918</v>
      </c>
      <c r="N6317">
        <v>1</v>
      </c>
      <c r="O6317" s="3">
        <v>59450</v>
      </c>
      <c r="P6317" s="3">
        <v>24552</v>
      </c>
      <c r="Q6317" s="5">
        <f t="shared" si="294"/>
        <v>49957.983193277316</v>
      </c>
      <c r="R6317" s="5">
        <f t="shared" si="295"/>
        <v>24552</v>
      </c>
      <c r="S6317" s="5">
        <f t="shared" si="296"/>
        <v>25405.983193277316</v>
      </c>
    </row>
    <row r="6318" spans="1:19" hidden="1" x14ac:dyDescent="0.3">
      <c r="A6318">
        <v>200</v>
      </c>
      <c r="B6318" t="s">
        <v>6336</v>
      </c>
      <c r="C6318" t="s">
        <v>3401</v>
      </c>
      <c r="D6318" s="2" t="s">
        <v>3402</v>
      </c>
      <c r="E6318" t="s">
        <v>3403</v>
      </c>
      <c r="F6318" t="s">
        <v>377</v>
      </c>
      <c r="G6318" t="s">
        <v>21</v>
      </c>
      <c r="H6318" t="s">
        <v>378</v>
      </c>
      <c r="I6318" t="s">
        <v>23</v>
      </c>
      <c r="J6318" t="s">
        <v>3297</v>
      </c>
      <c r="K6318" s="2" t="s">
        <v>2149</v>
      </c>
      <c r="L6318" t="s">
        <v>26</v>
      </c>
      <c r="M6318">
        <v>329918</v>
      </c>
      <c r="N6318">
        <v>1</v>
      </c>
      <c r="O6318">
        <v>500</v>
      </c>
      <c r="P6318">
        <v>418</v>
      </c>
      <c r="Q6318" s="5">
        <f t="shared" si="294"/>
        <v>420.1680672268908</v>
      </c>
      <c r="R6318" s="5">
        <f t="shared" si="295"/>
        <v>418</v>
      </c>
      <c r="S6318" s="5">
        <f t="shared" si="296"/>
        <v>2.1680672268907983</v>
      </c>
    </row>
    <row r="6319" spans="1:19" hidden="1" x14ac:dyDescent="0.3">
      <c r="A6319">
        <v>200</v>
      </c>
      <c r="B6319" t="s">
        <v>6336</v>
      </c>
      <c r="C6319" t="s">
        <v>1410</v>
      </c>
      <c r="D6319" s="2" t="s">
        <v>1411</v>
      </c>
      <c r="E6319" t="s">
        <v>1412</v>
      </c>
      <c r="F6319" t="s">
        <v>20</v>
      </c>
      <c r="G6319" t="s">
        <v>338</v>
      </c>
      <c r="H6319">
        <v>23603</v>
      </c>
      <c r="I6319" t="s">
        <v>23</v>
      </c>
      <c r="J6319" t="s">
        <v>40</v>
      </c>
      <c r="K6319" s="2" t="s">
        <v>2149</v>
      </c>
      <c r="L6319" t="s">
        <v>26</v>
      </c>
      <c r="M6319">
        <v>329919</v>
      </c>
      <c r="N6319">
        <v>1</v>
      </c>
      <c r="O6319" s="3">
        <v>49990</v>
      </c>
      <c r="P6319" s="3">
        <v>22607</v>
      </c>
      <c r="Q6319" s="5">
        <f t="shared" si="294"/>
        <v>42008.403361344543</v>
      </c>
      <c r="R6319" s="5">
        <f t="shared" si="295"/>
        <v>22607</v>
      </c>
      <c r="S6319" s="5">
        <f t="shared" si="296"/>
        <v>19401.403361344543</v>
      </c>
    </row>
    <row r="6320" spans="1:19" hidden="1" x14ac:dyDescent="0.3">
      <c r="A6320">
        <v>200</v>
      </c>
      <c r="B6320" t="s">
        <v>6336</v>
      </c>
      <c r="C6320" t="s">
        <v>6512</v>
      </c>
      <c r="D6320" s="2" t="s">
        <v>6513</v>
      </c>
      <c r="E6320" t="s">
        <v>3703</v>
      </c>
      <c r="F6320" t="s">
        <v>20</v>
      </c>
      <c r="G6320" t="s">
        <v>21</v>
      </c>
      <c r="H6320" t="s">
        <v>794</v>
      </c>
      <c r="I6320" t="s">
        <v>23</v>
      </c>
      <c r="J6320" t="s">
        <v>40</v>
      </c>
      <c r="K6320" s="2" t="s">
        <v>2192</v>
      </c>
      <c r="L6320" t="s">
        <v>26</v>
      </c>
      <c r="M6320">
        <v>329920</v>
      </c>
      <c r="N6320">
        <v>1</v>
      </c>
      <c r="O6320" s="3">
        <v>69950</v>
      </c>
      <c r="P6320" s="3">
        <v>21722</v>
      </c>
      <c r="Q6320" s="5">
        <f t="shared" si="294"/>
        <v>58781.512605042022</v>
      </c>
      <c r="R6320" s="5">
        <f t="shared" si="295"/>
        <v>21722</v>
      </c>
      <c r="S6320" s="5">
        <f t="shared" si="296"/>
        <v>37059.512605042022</v>
      </c>
    </row>
    <row r="6321" spans="1:19" hidden="1" x14ac:dyDescent="0.3">
      <c r="A6321">
        <v>200</v>
      </c>
      <c r="B6321" t="s">
        <v>6336</v>
      </c>
      <c r="C6321" t="s">
        <v>1549</v>
      </c>
      <c r="D6321" s="2" t="s">
        <v>1550</v>
      </c>
      <c r="E6321" t="s">
        <v>1551</v>
      </c>
      <c r="F6321" t="s">
        <v>377</v>
      </c>
      <c r="G6321" t="s">
        <v>21</v>
      </c>
      <c r="H6321" t="s">
        <v>378</v>
      </c>
      <c r="I6321" t="s">
        <v>23</v>
      </c>
      <c r="J6321" t="s">
        <v>379</v>
      </c>
      <c r="K6321" s="2" t="s">
        <v>2192</v>
      </c>
      <c r="L6321" t="s">
        <v>26</v>
      </c>
      <c r="M6321">
        <v>329920</v>
      </c>
      <c r="N6321">
        <v>1</v>
      </c>
      <c r="O6321" s="3">
        <v>5950</v>
      </c>
      <c r="P6321" s="3">
        <v>1908</v>
      </c>
      <c r="Q6321" s="5">
        <f t="shared" si="294"/>
        <v>5000</v>
      </c>
      <c r="R6321" s="5">
        <f t="shared" si="295"/>
        <v>1908</v>
      </c>
      <c r="S6321" s="5">
        <f t="shared" si="296"/>
        <v>3092</v>
      </c>
    </row>
    <row r="6322" spans="1:19" hidden="1" x14ac:dyDescent="0.3">
      <c r="A6322">
        <v>200</v>
      </c>
      <c r="B6322" t="s">
        <v>6336</v>
      </c>
      <c r="C6322" t="s">
        <v>6057</v>
      </c>
      <c r="D6322" s="2" t="s">
        <v>6058</v>
      </c>
      <c r="E6322" t="s">
        <v>2959</v>
      </c>
      <c r="F6322" t="s">
        <v>20</v>
      </c>
      <c r="G6322" t="s">
        <v>338</v>
      </c>
      <c r="H6322">
        <v>25529</v>
      </c>
      <c r="I6322" t="s">
        <v>23</v>
      </c>
      <c r="J6322" t="s">
        <v>31</v>
      </c>
      <c r="K6322" s="2" t="s">
        <v>2192</v>
      </c>
      <c r="L6322" t="s">
        <v>26</v>
      </c>
      <c r="M6322">
        <v>329921</v>
      </c>
      <c r="N6322">
        <v>1</v>
      </c>
      <c r="O6322" s="3">
        <v>149950</v>
      </c>
      <c r="P6322" s="3">
        <v>50690</v>
      </c>
      <c r="Q6322" s="5">
        <f t="shared" si="294"/>
        <v>126008.40336134455</v>
      </c>
      <c r="R6322" s="5">
        <f t="shared" si="295"/>
        <v>50690</v>
      </c>
      <c r="S6322" s="5">
        <f t="shared" si="296"/>
        <v>75318.40336134455</v>
      </c>
    </row>
    <row r="6323" spans="1:19" hidden="1" x14ac:dyDescent="0.3">
      <c r="A6323">
        <v>200</v>
      </c>
      <c r="B6323" t="s">
        <v>6336</v>
      </c>
      <c r="C6323" t="s">
        <v>6514</v>
      </c>
      <c r="D6323" s="2" t="s">
        <v>6515</v>
      </c>
      <c r="E6323" t="s">
        <v>1446</v>
      </c>
      <c r="F6323" t="s">
        <v>20</v>
      </c>
      <c r="G6323" t="s">
        <v>338</v>
      </c>
      <c r="H6323">
        <v>25321</v>
      </c>
      <c r="I6323" t="s">
        <v>23</v>
      </c>
      <c r="J6323" t="s">
        <v>35</v>
      </c>
      <c r="K6323" s="2" t="s">
        <v>2192</v>
      </c>
      <c r="L6323" t="s">
        <v>26</v>
      </c>
      <c r="M6323">
        <v>329922</v>
      </c>
      <c r="N6323">
        <v>1</v>
      </c>
      <c r="O6323" s="3">
        <v>109950</v>
      </c>
      <c r="P6323" s="3">
        <v>33748</v>
      </c>
      <c r="Q6323" s="5">
        <f t="shared" si="294"/>
        <v>92394.957983193279</v>
      </c>
      <c r="R6323" s="5">
        <f t="shared" si="295"/>
        <v>33748</v>
      </c>
      <c r="S6323" s="5">
        <f t="shared" si="296"/>
        <v>58646.957983193279</v>
      </c>
    </row>
    <row r="6324" spans="1:19" hidden="1" x14ac:dyDescent="0.3">
      <c r="A6324">
        <v>200</v>
      </c>
      <c r="B6324" t="s">
        <v>6336</v>
      </c>
      <c r="C6324" t="s">
        <v>4067</v>
      </c>
      <c r="D6324" s="2" t="s">
        <v>4068</v>
      </c>
      <c r="E6324" t="s">
        <v>3323</v>
      </c>
      <c r="F6324" t="s">
        <v>20</v>
      </c>
      <c r="G6324" t="s">
        <v>21</v>
      </c>
      <c r="H6324" t="s">
        <v>625</v>
      </c>
      <c r="I6324" t="s">
        <v>23</v>
      </c>
      <c r="J6324" t="s">
        <v>35</v>
      </c>
      <c r="K6324" s="2" t="s">
        <v>2192</v>
      </c>
      <c r="L6324" t="s">
        <v>26</v>
      </c>
      <c r="M6324">
        <v>329923</v>
      </c>
      <c r="N6324">
        <v>1</v>
      </c>
      <c r="O6324" s="3">
        <v>49990</v>
      </c>
      <c r="P6324" s="3">
        <v>24956</v>
      </c>
      <c r="Q6324" s="5">
        <f t="shared" si="294"/>
        <v>42008.403361344543</v>
      </c>
      <c r="R6324" s="5">
        <f t="shared" si="295"/>
        <v>24956</v>
      </c>
      <c r="S6324" s="5">
        <f t="shared" si="296"/>
        <v>17052.403361344543</v>
      </c>
    </row>
    <row r="6325" spans="1:19" hidden="1" x14ac:dyDescent="0.3">
      <c r="A6325">
        <v>200</v>
      </c>
      <c r="B6325" t="s">
        <v>6336</v>
      </c>
      <c r="C6325" t="s">
        <v>1037</v>
      </c>
      <c r="D6325" s="2" t="s">
        <v>1038</v>
      </c>
      <c r="E6325" t="s">
        <v>1039</v>
      </c>
      <c r="F6325" t="s">
        <v>377</v>
      </c>
      <c r="G6325" t="s">
        <v>21</v>
      </c>
      <c r="H6325" t="s">
        <v>378</v>
      </c>
      <c r="I6325" t="s">
        <v>23</v>
      </c>
      <c r="J6325" t="s">
        <v>379</v>
      </c>
      <c r="K6325" s="2" t="s">
        <v>2192</v>
      </c>
      <c r="L6325" t="s">
        <v>26</v>
      </c>
      <c r="M6325">
        <v>329924</v>
      </c>
      <c r="N6325">
        <v>1</v>
      </c>
      <c r="O6325" s="3">
        <v>5950</v>
      </c>
      <c r="P6325" s="3">
        <v>3257</v>
      </c>
      <c r="Q6325" s="5">
        <f t="shared" si="294"/>
        <v>5000</v>
      </c>
      <c r="R6325" s="5">
        <f t="shared" si="295"/>
        <v>3257</v>
      </c>
      <c r="S6325" s="5">
        <f t="shared" si="296"/>
        <v>1743</v>
      </c>
    </row>
    <row r="6326" spans="1:19" hidden="1" x14ac:dyDescent="0.3">
      <c r="A6326">
        <v>200</v>
      </c>
      <c r="B6326" t="s">
        <v>6336</v>
      </c>
      <c r="C6326" t="s">
        <v>3466</v>
      </c>
      <c r="D6326" s="2" t="s">
        <v>3467</v>
      </c>
      <c r="E6326" t="s">
        <v>316</v>
      </c>
      <c r="F6326" t="s">
        <v>20</v>
      </c>
      <c r="G6326" t="s">
        <v>21</v>
      </c>
      <c r="H6326" t="s">
        <v>317</v>
      </c>
      <c r="I6326" t="s">
        <v>23</v>
      </c>
      <c r="J6326" t="s">
        <v>35</v>
      </c>
      <c r="K6326" s="2" t="s">
        <v>2192</v>
      </c>
      <c r="L6326" t="s">
        <v>26</v>
      </c>
      <c r="M6326">
        <v>329925</v>
      </c>
      <c r="N6326">
        <v>1</v>
      </c>
      <c r="O6326" s="3">
        <v>69950</v>
      </c>
      <c r="P6326" s="3">
        <v>24552</v>
      </c>
      <c r="Q6326" s="5">
        <f t="shared" si="294"/>
        <v>58781.512605042022</v>
      </c>
      <c r="R6326" s="5">
        <f t="shared" si="295"/>
        <v>24552</v>
      </c>
      <c r="S6326" s="5">
        <f t="shared" si="296"/>
        <v>34229.512605042022</v>
      </c>
    </row>
    <row r="6327" spans="1:19" hidden="1" x14ac:dyDescent="0.3">
      <c r="A6327">
        <v>200</v>
      </c>
      <c r="B6327" t="s">
        <v>6336</v>
      </c>
      <c r="C6327" t="s">
        <v>3401</v>
      </c>
      <c r="D6327" s="2" t="s">
        <v>3402</v>
      </c>
      <c r="E6327" t="s">
        <v>3403</v>
      </c>
      <c r="F6327" t="s">
        <v>377</v>
      </c>
      <c r="G6327" t="s">
        <v>21</v>
      </c>
      <c r="H6327" t="s">
        <v>378</v>
      </c>
      <c r="I6327" t="s">
        <v>23</v>
      </c>
      <c r="J6327" t="s">
        <v>3297</v>
      </c>
      <c r="K6327" s="2" t="s">
        <v>2192</v>
      </c>
      <c r="L6327" t="s">
        <v>26</v>
      </c>
      <c r="M6327">
        <v>329925</v>
      </c>
      <c r="N6327">
        <v>1</v>
      </c>
      <c r="O6327">
        <v>500</v>
      </c>
      <c r="P6327">
        <v>418</v>
      </c>
      <c r="Q6327" s="5">
        <f t="shared" si="294"/>
        <v>420.1680672268908</v>
      </c>
      <c r="R6327" s="5">
        <f t="shared" si="295"/>
        <v>418</v>
      </c>
      <c r="S6327" s="5">
        <f t="shared" si="296"/>
        <v>2.1680672268907983</v>
      </c>
    </row>
    <row r="6328" spans="1:19" hidden="1" x14ac:dyDescent="0.3">
      <c r="A6328">
        <v>200</v>
      </c>
      <c r="B6328" t="s">
        <v>6336</v>
      </c>
      <c r="C6328" t="s">
        <v>3375</v>
      </c>
      <c r="D6328" s="2" t="s">
        <v>3376</v>
      </c>
      <c r="E6328" t="s">
        <v>3377</v>
      </c>
      <c r="F6328" t="s">
        <v>377</v>
      </c>
      <c r="G6328" t="s">
        <v>21</v>
      </c>
      <c r="H6328" t="s">
        <v>378</v>
      </c>
      <c r="I6328" t="s">
        <v>23</v>
      </c>
      <c r="J6328" t="s">
        <v>379</v>
      </c>
      <c r="K6328" s="2" t="s">
        <v>2192</v>
      </c>
      <c r="L6328" t="s">
        <v>26</v>
      </c>
      <c r="M6328">
        <v>329926</v>
      </c>
      <c r="N6328">
        <v>1</v>
      </c>
      <c r="O6328" s="3">
        <v>3950</v>
      </c>
      <c r="P6328" s="3">
        <v>1410</v>
      </c>
      <c r="Q6328" s="5">
        <f t="shared" si="294"/>
        <v>3319.3277310924373</v>
      </c>
      <c r="R6328" s="5">
        <f t="shared" si="295"/>
        <v>1410</v>
      </c>
      <c r="S6328" s="5">
        <f t="shared" si="296"/>
        <v>1909.3277310924373</v>
      </c>
    </row>
    <row r="6329" spans="1:19" hidden="1" x14ac:dyDescent="0.3">
      <c r="A6329">
        <v>200</v>
      </c>
      <c r="B6329" t="s">
        <v>6336</v>
      </c>
      <c r="C6329" t="s">
        <v>2365</v>
      </c>
      <c r="D6329" s="2" t="s">
        <v>2366</v>
      </c>
      <c r="E6329" t="s">
        <v>2367</v>
      </c>
      <c r="F6329" t="s">
        <v>377</v>
      </c>
      <c r="G6329" t="s">
        <v>21</v>
      </c>
      <c r="H6329" t="s">
        <v>378</v>
      </c>
      <c r="I6329" t="s">
        <v>23</v>
      </c>
      <c r="J6329" t="s">
        <v>379</v>
      </c>
      <c r="K6329" s="2" t="s">
        <v>2192</v>
      </c>
      <c r="L6329" t="s">
        <v>26</v>
      </c>
      <c r="M6329">
        <v>329926</v>
      </c>
      <c r="N6329">
        <v>1</v>
      </c>
      <c r="O6329" s="3">
        <v>6950</v>
      </c>
      <c r="P6329" s="3">
        <v>3759</v>
      </c>
      <c r="Q6329" s="5">
        <f t="shared" si="294"/>
        <v>5840.3361344537816</v>
      </c>
      <c r="R6329" s="5">
        <f t="shared" si="295"/>
        <v>3759</v>
      </c>
      <c r="S6329" s="5">
        <f t="shared" si="296"/>
        <v>2081.3361344537816</v>
      </c>
    </row>
    <row r="6330" spans="1:19" hidden="1" x14ac:dyDescent="0.3">
      <c r="A6330">
        <v>200</v>
      </c>
      <c r="B6330" t="s">
        <v>6336</v>
      </c>
      <c r="C6330" t="s">
        <v>3188</v>
      </c>
      <c r="D6330" s="2" t="s">
        <v>3189</v>
      </c>
      <c r="E6330" t="s">
        <v>3190</v>
      </c>
      <c r="F6330" t="s">
        <v>20</v>
      </c>
      <c r="G6330" t="s">
        <v>21</v>
      </c>
      <c r="H6330" t="s">
        <v>1440</v>
      </c>
      <c r="I6330" t="s">
        <v>23</v>
      </c>
      <c r="J6330" t="s">
        <v>40</v>
      </c>
      <c r="K6330" s="2" t="s">
        <v>2192</v>
      </c>
      <c r="L6330" t="s">
        <v>26</v>
      </c>
      <c r="M6330">
        <v>329927</v>
      </c>
      <c r="N6330">
        <v>0</v>
      </c>
      <c r="O6330">
        <v>1</v>
      </c>
      <c r="P6330" s="3">
        <v>17328</v>
      </c>
      <c r="Q6330" s="5">
        <f t="shared" si="294"/>
        <v>0.84033613445378152</v>
      </c>
      <c r="R6330" s="5">
        <f t="shared" si="295"/>
        <v>0</v>
      </c>
      <c r="S6330" s="5">
        <f t="shared" si="296"/>
        <v>0.84033613445378152</v>
      </c>
    </row>
    <row r="6331" spans="1:19" hidden="1" x14ac:dyDescent="0.3">
      <c r="A6331">
        <v>200</v>
      </c>
      <c r="B6331" t="s">
        <v>6336</v>
      </c>
      <c r="C6331" t="s">
        <v>6516</v>
      </c>
      <c r="D6331" s="2" t="s">
        <v>6517</v>
      </c>
      <c r="E6331" t="s">
        <v>5589</v>
      </c>
      <c r="F6331" t="s">
        <v>20</v>
      </c>
      <c r="G6331" t="s">
        <v>21</v>
      </c>
      <c r="H6331" t="s">
        <v>966</v>
      </c>
      <c r="I6331" t="s">
        <v>23</v>
      </c>
      <c r="J6331" t="s">
        <v>40</v>
      </c>
      <c r="K6331" s="2" t="s">
        <v>2192</v>
      </c>
      <c r="L6331" t="s">
        <v>26</v>
      </c>
      <c r="M6331">
        <v>329928</v>
      </c>
      <c r="N6331">
        <v>1</v>
      </c>
      <c r="O6331" s="3">
        <v>49990</v>
      </c>
      <c r="P6331" s="3">
        <v>23939</v>
      </c>
      <c r="Q6331" s="5">
        <f t="shared" si="294"/>
        <v>42008.403361344543</v>
      </c>
      <c r="R6331" s="5">
        <f t="shared" si="295"/>
        <v>23939</v>
      </c>
      <c r="S6331" s="5">
        <f t="shared" si="296"/>
        <v>18069.403361344543</v>
      </c>
    </row>
    <row r="6332" spans="1:19" hidden="1" x14ac:dyDescent="0.3">
      <c r="A6332">
        <v>200</v>
      </c>
      <c r="B6332" t="s">
        <v>6336</v>
      </c>
      <c r="C6332">
        <v>1687976791</v>
      </c>
      <c r="D6332" s="2" t="s">
        <v>200</v>
      </c>
      <c r="E6332" t="s">
        <v>201</v>
      </c>
      <c r="F6332" t="s">
        <v>201</v>
      </c>
      <c r="G6332" t="s">
        <v>202</v>
      </c>
      <c r="H6332" t="s">
        <v>202</v>
      </c>
      <c r="I6332" t="s">
        <v>23</v>
      </c>
      <c r="J6332" t="s">
        <v>202</v>
      </c>
      <c r="K6332" s="2" t="s">
        <v>2192</v>
      </c>
      <c r="L6332" t="s">
        <v>26</v>
      </c>
      <c r="M6332">
        <v>329928</v>
      </c>
      <c r="N6332">
        <v>1</v>
      </c>
      <c r="O6332" s="3">
        <v>3400</v>
      </c>
      <c r="P6332">
        <v>1</v>
      </c>
      <c r="Q6332" s="5">
        <f t="shared" si="294"/>
        <v>2857.1428571428573</v>
      </c>
      <c r="R6332" s="5">
        <f t="shared" si="295"/>
        <v>1</v>
      </c>
      <c r="S6332" s="5">
        <f t="shared" si="296"/>
        <v>2856.1428571428573</v>
      </c>
    </row>
    <row r="6333" spans="1:19" hidden="1" x14ac:dyDescent="0.3">
      <c r="A6333">
        <v>200</v>
      </c>
      <c r="B6333" t="s">
        <v>6336</v>
      </c>
      <c r="C6333" t="s">
        <v>6516</v>
      </c>
      <c r="D6333" s="2" t="s">
        <v>6517</v>
      </c>
      <c r="E6333" t="s">
        <v>5589</v>
      </c>
      <c r="F6333" t="s">
        <v>20</v>
      </c>
      <c r="G6333" t="s">
        <v>21</v>
      </c>
      <c r="H6333" t="s">
        <v>966</v>
      </c>
      <c r="I6333" t="s">
        <v>23</v>
      </c>
      <c r="J6333" t="s">
        <v>40</v>
      </c>
      <c r="K6333" s="2" t="s">
        <v>2192</v>
      </c>
      <c r="L6333" t="s">
        <v>26</v>
      </c>
      <c r="M6333">
        <v>329929</v>
      </c>
      <c r="N6333">
        <v>-1</v>
      </c>
      <c r="O6333" s="3">
        <v>-49990</v>
      </c>
      <c r="P6333" s="3">
        <v>23939</v>
      </c>
      <c r="Q6333" s="5">
        <f t="shared" si="294"/>
        <v>-42008.403361344543</v>
      </c>
      <c r="R6333" s="5">
        <f t="shared" si="295"/>
        <v>-23939</v>
      </c>
      <c r="S6333" s="5">
        <f t="shared" si="296"/>
        <v>-18069.403361344543</v>
      </c>
    </row>
    <row r="6334" spans="1:19" hidden="1" x14ac:dyDescent="0.3">
      <c r="A6334">
        <v>200</v>
      </c>
      <c r="B6334" t="s">
        <v>6336</v>
      </c>
      <c r="C6334" t="s">
        <v>5587</v>
      </c>
      <c r="D6334" s="2" t="s">
        <v>5588</v>
      </c>
      <c r="E6334" t="s">
        <v>5589</v>
      </c>
      <c r="F6334" t="s">
        <v>20</v>
      </c>
      <c r="G6334" t="s">
        <v>21</v>
      </c>
      <c r="H6334" t="s">
        <v>966</v>
      </c>
      <c r="I6334" t="s">
        <v>23</v>
      </c>
      <c r="J6334" t="s">
        <v>40</v>
      </c>
      <c r="K6334" s="2" t="s">
        <v>2192</v>
      </c>
      <c r="L6334" t="s">
        <v>26</v>
      </c>
      <c r="M6334">
        <v>329929</v>
      </c>
      <c r="N6334">
        <v>1</v>
      </c>
      <c r="O6334" s="3">
        <v>49991</v>
      </c>
      <c r="P6334" s="3">
        <v>23551</v>
      </c>
      <c r="Q6334" s="5">
        <f t="shared" si="294"/>
        <v>42009.243697478996</v>
      </c>
      <c r="R6334" s="5">
        <f t="shared" si="295"/>
        <v>23551</v>
      </c>
      <c r="S6334" s="5">
        <f t="shared" si="296"/>
        <v>18458.243697478996</v>
      </c>
    </row>
    <row r="6335" spans="1:19" hidden="1" x14ac:dyDescent="0.3">
      <c r="A6335">
        <v>200</v>
      </c>
      <c r="B6335" t="s">
        <v>6336</v>
      </c>
      <c r="C6335" t="s">
        <v>4237</v>
      </c>
      <c r="D6335" s="2" t="s">
        <v>4238</v>
      </c>
      <c r="E6335" t="s">
        <v>494</v>
      </c>
      <c r="F6335" t="s">
        <v>20</v>
      </c>
      <c r="G6335" t="s">
        <v>21</v>
      </c>
      <c r="H6335" t="s">
        <v>317</v>
      </c>
      <c r="I6335" t="s">
        <v>23</v>
      </c>
      <c r="J6335" t="s">
        <v>35</v>
      </c>
      <c r="K6335" s="2" t="s">
        <v>2192</v>
      </c>
      <c r="L6335" t="s">
        <v>26</v>
      </c>
      <c r="M6335">
        <v>329930</v>
      </c>
      <c r="N6335">
        <v>1</v>
      </c>
      <c r="O6335" s="3">
        <v>69950</v>
      </c>
      <c r="P6335" s="3">
        <v>23619</v>
      </c>
      <c r="Q6335" s="5">
        <f t="shared" si="294"/>
        <v>58781.512605042022</v>
      </c>
      <c r="R6335" s="5">
        <f t="shared" si="295"/>
        <v>23619</v>
      </c>
      <c r="S6335" s="5">
        <f t="shared" si="296"/>
        <v>35162.512605042022</v>
      </c>
    </row>
    <row r="6336" spans="1:19" hidden="1" x14ac:dyDescent="0.3">
      <c r="A6336">
        <v>200</v>
      </c>
      <c r="B6336" t="s">
        <v>6336</v>
      </c>
      <c r="C6336" t="s">
        <v>1037</v>
      </c>
      <c r="D6336" s="2" t="s">
        <v>1038</v>
      </c>
      <c r="E6336" t="s">
        <v>1039</v>
      </c>
      <c r="F6336" t="s">
        <v>377</v>
      </c>
      <c r="G6336" t="s">
        <v>21</v>
      </c>
      <c r="H6336" t="s">
        <v>378</v>
      </c>
      <c r="I6336" t="s">
        <v>23</v>
      </c>
      <c r="J6336" t="s">
        <v>379</v>
      </c>
      <c r="K6336" s="2" t="s">
        <v>2192</v>
      </c>
      <c r="L6336" t="s">
        <v>26</v>
      </c>
      <c r="M6336">
        <v>329930</v>
      </c>
      <c r="N6336">
        <v>1</v>
      </c>
      <c r="O6336" s="3">
        <v>5950</v>
      </c>
      <c r="P6336" s="3">
        <v>3257</v>
      </c>
      <c r="Q6336" s="5">
        <f t="shared" si="294"/>
        <v>5000</v>
      </c>
      <c r="R6336" s="5">
        <f t="shared" si="295"/>
        <v>3257</v>
      </c>
      <c r="S6336" s="5">
        <f t="shared" si="296"/>
        <v>1743</v>
      </c>
    </row>
    <row r="6337" spans="1:19" hidden="1" x14ac:dyDescent="0.3">
      <c r="A6337">
        <v>200</v>
      </c>
      <c r="B6337" t="s">
        <v>6336</v>
      </c>
      <c r="C6337" t="s">
        <v>4212</v>
      </c>
      <c r="D6337" s="2" t="s">
        <v>4213</v>
      </c>
      <c r="E6337" t="s">
        <v>1443</v>
      </c>
      <c r="F6337" t="s">
        <v>20</v>
      </c>
      <c r="G6337" t="s">
        <v>338</v>
      </c>
      <c r="H6337">
        <v>25301</v>
      </c>
      <c r="I6337" t="s">
        <v>23</v>
      </c>
      <c r="J6337" t="s">
        <v>35</v>
      </c>
      <c r="K6337" s="2" t="s">
        <v>2192</v>
      </c>
      <c r="L6337" t="s">
        <v>26</v>
      </c>
      <c r="M6337">
        <v>329931</v>
      </c>
      <c r="N6337">
        <v>1</v>
      </c>
      <c r="O6337" s="3">
        <v>99950</v>
      </c>
      <c r="P6337" s="3">
        <v>34157</v>
      </c>
      <c r="Q6337" s="5">
        <f t="shared" si="294"/>
        <v>83991.596638655465</v>
      </c>
      <c r="R6337" s="5">
        <f t="shared" si="295"/>
        <v>34157</v>
      </c>
      <c r="S6337" s="5">
        <f t="shared" si="296"/>
        <v>49834.596638655465</v>
      </c>
    </row>
    <row r="6338" spans="1:19" hidden="1" x14ac:dyDescent="0.3">
      <c r="A6338">
        <v>200</v>
      </c>
      <c r="B6338" t="s">
        <v>6336</v>
      </c>
      <c r="C6338" t="s">
        <v>6518</v>
      </c>
      <c r="D6338" s="2" t="s">
        <v>6519</v>
      </c>
      <c r="E6338" t="s">
        <v>3003</v>
      </c>
      <c r="F6338" t="s">
        <v>20</v>
      </c>
      <c r="G6338" t="s">
        <v>338</v>
      </c>
      <c r="H6338">
        <v>25312</v>
      </c>
      <c r="I6338" t="s">
        <v>23</v>
      </c>
      <c r="J6338" t="s">
        <v>35</v>
      </c>
      <c r="K6338" s="2" t="s">
        <v>2192</v>
      </c>
      <c r="L6338" t="s">
        <v>26</v>
      </c>
      <c r="M6338">
        <v>329931</v>
      </c>
      <c r="N6338">
        <v>1</v>
      </c>
      <c r="O6338" s="3">
        <v>69950</v>
      </c>
      <c r="P6338" s="3">
        <v>21167</v>
      </c>
      <c r="Q6338" s="5">
        <f t="shared" si="294"/>
        <v>58781.512605042022</v>
      </c>
      <c r="R6338" s="5">
        <f t="shared" si="295"/>
        <v>21167</v>
      </c>
      <c r="S6338" s="5">
        <f t="shared" si="296"/>
        <v>37614.512605042022</v>
      </c>
    </row>
    <row r="6339" spans="1:19" hidden="1" x14ac:dyDescent="0.3">
      <c r="A6339">
        <v>200</v>
      </c>
      <c r="B6339" t="s">
        <v>6336</v>
      </c>
      <c r="C6339" t="s">
        <v>1037</v>
      </c>
      <c r="D6339" s="2" t="s">
        <v>1038</v>
      </c>
      <c r="E6339" t="s">
        <v>1039</v>
      </c>
      <c r="F6339" t="s">
        <v>377</v>
      </c>
      <c r="G6339" t="s">
        <v>21</v>
      </c>
      <c r="H6339" t="s">
        <v>378</v>
      </c>
      <c r="I6339" t="s">
        <v>23</v>
      </c>
      <c r="J6339" t="s">
        <v>379</v>
      </c>
      <c r="K6339" s="2" t="s">
        <v>2192</v>
      </c>
      <c r="L6339" t="s">
        <v>26</v>
      </c>
      <c r="M6339">
        <v>329931</v>
      </c>
      <c r="N6339">
        <v>1</v>
      </c>
      <c r="O6339" s="3">
        <v>5950</v>
      </c>
      <c r="P6339" s="3">
        <v>3257</v>
      </c>
      <c r="Q6339" s="5">
        <f t="shared" si="294"/>
        <v>5000</v>
      </c>
      <c r="R6339" s="5">
        <f t="shared" si="295"/>
        <v>3257</v>
      </c>
      <c r="S6339" s="5">
        <f t="shared" si="296"/>
        <v>1743</v>
      </c>
    </row>
    <row r="6340" spans="1:19" hidden="1" x14ac:dyDescent="0.3">
      <c r="A6340">
        <v>210</v>
      </c>
      <c r="B6340" t="s">
        <v>6520</v>
      </c>
      <c r="C6340" t="s">
        <v>5485</v>
      </c>
      <c r="D6340" s="2" t="s">
        <v>5486</v>
      </c>
      <c r="E6340" t="s">
        <v>1428</v>
      </c>
      <c r="F6340" t="s">
        <v>20</v>
      </c>
      <c r="G6340" t="s">
        <v>21</v>
      </c>
      <c r="H6340" t="s">
        <v>57</v>
      </c>
      <c r="I6340" t="s">
        <v>23</v>
      </c>
      <c r="J6340" t="s">
        <v>35</v>
      </c>
      <c r="K6340" s="2" t="s">
        <v>25</v>
      </c>
      <c r="L6340" t="s">
        <v>26</v>
      </c>
      <c r="M6340">
        <v>353267</v>
      </c>
      <c r="N6340">
        <v>1</v>
      </c>
      <c r="O6340" s="3">
        <v>89950</v>
      </c>
      <c r="P6340" s="3">
        <v>31701</v>
      </c>
      <c r="Q6340" s="5">
        <f t="shared" si="294"/>
        <v>75588.23529411765</v>
      </c>
      <c r="R6340" s="5">
        <f t="shared" si="295"/>
        <v>31701</v>
      </c>
      <c r="S6340" s="5">
        <f t="shared" si="296"/>
        <v>43887.23529411765</v>
      </c>
    </row>
    <row r="6341" spans="1:19" hidden="1" x14ac:dyDescent="0.3">
      <c r="A6341">
        <v>210</v>
      </c>
      <c r="B6341" t="s">
        <v>6520</v>
      </c>
      <c r="C6341" t="s">
        <v>4320</v>
      </c>
      <c r="D6341" s="2" t="s">
        <v>4321</v>
      </c>
      <c r="E6341" t="s">
        <v>2738</v>
      </c>
      <c r="F6341" t="s">
        <v>20</v>
      </c>
      <c r="G6341" t="s">
        <v>21</v>
      </c>
      <c r="H6341" t="s">
        <v>22</v>
      </c>
      <c r="I6341" t="s">
        <v>23</v>
      </c>
      <c r="J6341" t="s">
        <v>49</v>
      </c>
      <c r="K6341" s="2" t="s">
        <v>25</v>
      </c>
      <c r="L6341" t="s">
        <v>26</v>
      </c>
      <c r="M6341">
        <v>353268</v>
      </c>
      <c r="N6341">
        <v>-1</v>
      </c>
      <c r="O6341" s="3">
        <v>-74950</v>
      </c>
      <c r="P6341" s="3">
        <v>26246</v>
      </c>
      <c r="Q6341" s="5">
        <f t="shared" si="294"/>
        <v>-62983.193277310929</v>
      </c>
      <c r="R6341" s="5">
        <f t="shared" si="295"/>
        <v>-26246</v>
      </c>
      <c r="S6341" s="5">
        <f t="shared" si="296"/>
        <v>-36737.193277310929</v>
      </c>
    </row>
    <row r="6342" spans="1:19" hidden="1" x14ac:dyDescent="0.3">
      <c r="A6342">
        <v>210</v>
      </c>
      <c r="B6342" t="s">
        <v>6520</v>
      </c>
      <c r="C6342" t="s">
        <v>4227</v>
      </c>
      <c r="D6342" s="2" t="s">
        <v>4228</v>
      </c>
      <c r="E6342" t="s">
        <v>3523</v>
      </c>
      <c r="F6342" t="s">
        <v>20</v>
      </c>
      <c r="G6342" t="s">
        <v>21</v>
      </c>
      <c r="H6342" t="s">
        <v>2070</v>
      </c>
      <c r="I6342" t="s">
        <v>23</v>
      </c>
      <c r="J6342" t="s">
        <v>24</v>
      </c>
      <c r="K6342" s="2" t="s">
        <v>25</v>
      </c>
      <c r="L6342" t="s">
        <v>26</v>
      </c>
      <c r="M6342">
        <v>353268</v>
      </c>
      <c r="N6342">
        <v>1</v>
      </c>
      <c r="O6342" s="3">
        <v>84950</v>
      </c>
      <c r="P6342" s="3">
        <v>27522</v>
      </c>
      <c r="Q6342" s="5">
        <f t="shared" ref="Q6342:Q6405" si="297">O6342/1.19</f>
        <v>71386.554621848743</v>
      </c>
      <c r="R6342" s="5">
        <f t="shared" ref="R6342:R6405" si="298">N6342*P6342</f>
        <v>27522</v>
      </c>
      <c r="S6342" s="5">
        <f t="shared" ref="S6342:S6405" si="299">Q6342-R6342</f>
        <v>43864.554621848743</v>
      </c>
    </row>
    <row r="6343" spans="1:19" hidden="1" x14ac:dyDescent="0.3">
      <c r="A6343">
        <v>210</v>
      </c>
      <c r="B6343" t="s">
        <v>6520</v>
      </c>
      <c r="C6343" t="s">
        <v>1070</v>
      </c>
      <c r="D6343" s="2" t="s">
        <v>1071</v>
      </c>
      <c r="E6343" t="s">
        <v>352</v>
      </c>
      <c r="F6343" t="s">
        <v>20</v>
      </c>
      <c r="G6343" t="s">
        <v>21</v>
      </c>
      <c r="H6343" t="s">
        <v>353</v>
      </c>
      <c r="I6343" t="s">
        <v>23</v>
      </c>
      <c r="J6343" t="s">
        <v>95</v>
      </c>
      <c r="K6343" s="2" t="s">
        <v>25</v>
      </c>
      <c r="L6343" t="s">
        <v>26</v>
      </c>
      <c r="M6343">
        <v>353269</v>
      </c>
      <c r="N6343">
        <v>-1</v>
      </c>
      <c r="O6343" s="3">
        <v>-39990</v>
      </c>
      <c r="P6343" s="3">
        <v>31000</v>
      </c>
      <c r="Q6343" s="5">
        <f t="shared" si="297"/>
        <v>-33605.042016806721</v>
      </c>
      <c r="R6343" s="5">
        <f t="shared" si="298"/>
        <v>-31000</v>
      </c>
      <c r="S6343" s="5">
        <f t="shared" si="299"/>
        <v>-2605.0420168067212</v>
      </c>
    </row>
    <row r="6344" spans="1:19" hidden="1" x14ac:dyDescent="0.3">
      <c r="A6344">
        <v>210</v>
      </c>
      <c r="B6344" t="s">
        <v>6520</v>
      </c>
      <c r="C6344" t="s">
        <v>2453</v>
      </c>
      <c r="D6344" s="2" t="s">
        <v>2454</v>
      </c>
      <c r="E6344" t="s">
        <v>2455</v>
      </c>
      <c r="F6344" t="s">
        <v>20</v>
      </c>
      <c r="G6344" t="s">
        <v>21</v>
      </c>
      <c r="H6344" t="s">
        <v>742</v>
      </c>
      <c r="I6344" t="s">
        <v>23</v>
      </c>
      <c r="J6344" t="s">
        <v>40</v>
      </c>
      <c r="K6344" s="2" t="s">
        <v>25</v>
      </c>
      <c r="L6344" t="s">
        <v>26</v>
      </c>
      <c r="M6344">
        <v>353269</v>
      </c>
      <c r="N6344">
        <v>1</v>
      </c>
      <c r="O6344" s="3">
        <v>79950</v>
      </c>
      <c r="P6344" s="3">
        <v>28467</v>
      </c>
      <c r="Q6344" s="5">
        <f t="shared" si="297"/>
        <v>67184.873949579836</v>
      </c>
      <c r="R6344" s="5">
        <f t="shared" si="298"/>
        <v>28467</v>
      </c>
      <c r="S6344" s="5">
        <f t="shared" si="299"/>
        <v>38717.873949579836</v>
      </c>
    </row>
    <row r="6345" spans="1:19" hidden="1" x14ac:dyDescent="0.3">
      <c r="A6345">
        <v>210</v>
      </c>
      <c r="B6345" t="s">
        <v>6520</v>
      </c>
      <c r="C6345" t="s">
        <v>4903</v>
      </c>
      <c r="D6345" s="2" t="s">
        <v>4904</v>
      </c>
      <c r="E6345" t="s">
        <v>4577</v>
      </c>
      <c r="F6345" t="s">
        <v>20</v>
      </c>
      <c r="G6345" t="s">
        <v>338</v>
      </c>
      <c r="H6345">
        <v>23724</v>
      </c>
      <c r="I6345" t="s">
        <v>23</v>
      </c>
      <c r="J6345" t="s">
        <v>40</v>
      </c>
      <c r="K6345" s="2" t="s">
        <v>25</v>
      </c>
      <c r="L6345" t="s">
        <v>26</v>
      </c>
      <c r="M6345">
        <v>353270</v>
      </c>
      <c r="N6345">
        <v>1</v>
      </c>
      <c r="O6345" s="3">
        <v>79950</v>
      </c>
      <c r="P6345" s="3">
        <v>26332</v>
      </c>
      <c r="Q6345" s="5">
        <f t="shared" si="297"/>
        <v>67184.873949579836</v>
      </c>
      <c r="R6345" s="5">
        <f t="shared" si="298"/>
        <v>26332</v>
      </c>
      <c r="S6345" s="5">
        <f t="shared" si="299"/>
        <v>40852.873949579836</v>
      </c>
    </row>
    <row r="6346" spans="1:19" hidden="1" x14ac:dyDescent="0.3">
      <c r="A6346">
        <v>210</v>
      </c>
      <c r="B6346" t="s">
        <v>6520</v>
      </c>
      <c r="C6346" t="s">
        <v>5583</v>
      </c>
      <c r="D6346" s="2" t="s">
        <v>5584</v>
      </c>
      <c r="E6346" t="s">
        <v>2483</v>
      </c>
      <c r="F6346" t="s">
        <v>20</v>
      </c>
      <c r="G6346" t="s">
        <v>21</v>
      </c>
      <c r="H6346" t="s">
        <v>2484</v>
      </c>
      <c r="I6346" t="s">
        <v>23</v>
      </c>
      <c r="J6346" t="s">
        <v>40</v>
      </c>
      <c r="K6346" s="2" t="s">
        <v>25</v>
      </c>
      <c r="L6346" t="s">
        <v>26</v>
      </c>
      <c r="M6346">
        <v>353271</v>
      </c>
      <c r="N6346">
        <v>1</v>
      </c>
      <c r="O6346" s="3">
        <v>59950</v>
      </c>
      <c r="P6346" s="3">
        <v>17503</v>
      </c>
      <c r="Q6346" s="5">
        <f t="shared" si="297"/>
        <v>50378.151260504201</v>
      </c>
      <c r="R6346" s="5">
        <f t="shared" si="298"/>
        <v>17503</v>
      </c>
      <c r="S6346" s="5">
        <f t="shared" si="299"/>
        <v>32875.151260504201</v>
      </c>
    </row>
    <row r="6347" spans="1:19" hidden="1" x14ac:dyDescent="0.3">
      <c r="A6347">
        <v>210</v>
      </c>
      <c r="B6347" t="s">
        <v>6520</v>
      </c>
      <c r="C6347" t="s">
        <v>6521</v>
      </c>
      <c r="D6347" s="2" t="s">
        <v>6522</v>
      </c>
      <c r="E6347" t="s">
        <v>4411</v>
      </c>
      <c r="F6347" t="s">
        <v>20</v>
      </c>
      <c r="G6347" t="s">
        <v>21</v>
      </c>
      <c r="H6347" t="s">
        <v>614</v>
      </c>
      <c r="I6347" t="s">
        <v>23</v>
      </c>
      <c r="J6347" t="s">
        <v>40</v>
      </c>
      <c r="K6347" s="2" t="s">
        <v>25</v>
      </c>
      <c r="L6347" t="s">
        <v>26</v>
      </c>
      <c r="M6347">
        <v>353272</v>
      </c>
      <c r="N6347">
        <v>1</v>
      </c>
      <c r="O6347" s="3">
        <v>39990</v>
      </c>
      <c r="P6347" s="3">
        <v>15710</v>
      </c>
      <c r="Q6347" s="5">
        <f t="shared" si="297"/>
        <v>33605.042016806721</v>
      </c>
      <c r="R6347" s="5">
        <f t="shared" si="298"/>
        <v>15710</v>
      </c>
      <c r="S6347" s="5">
        <f t="shared" si="299"/>
        <v>17895.042016806721</v>
      </c>
    </row>
    <row r="6348" spans="1:19" hidden="1" x14ac:dyDescent="0.3">
      <c r="A6348">
        <v>210</v>
      </c>
      <c r="B6348" t="s">
        <v>6520</v>
      </c>
      <c r="C6348" t="s">
        <v>2716</v>
      </c>
      <c r="D6348" s="2" t="s">
        <v>2717</v>
      </c>
      <c r="E6348" t="s">
        <v>2718</v>
      </c>
      <c r="F6348" t="s">
        <v>20</v>
      </c>
      <c r="G6348" t="s">
        <v>21</v>
      </c>
      <c r="H6348" t="s">
        <v>1887</v>
      </c>
      <c r="I6348" t="s">
        <v>23</v>
      </c>
      <c r="J6348" t="s">
        <v>40</v>
      </c>
      <c r="K6348" s="2" t="s">
        <v>25</v>
      </c>
      <c r="L6348" t="s">
        <v>26</v>
      </c>
      <c r="M6348">
        <v>353273</v>
      </c>
      <c r="N6348">
        <v>1</v>
      </c>
      <c r="O6348" s="3">
        <v>69950</v>
      </c>
      <c r="P6348" s="3">
        <v>22018</v>
      </c>
      <c r="Q6348" s="5">
        <f t="shared" si="297"/>
        <v>58781.512605042022</v>
      </c>
      <c r="R6348" s="5">
        <f t="shared" si="298"/>
        <v>22018</v>
      </c>
      <c r="S6348" s="5">
        <f t="shared" si="299"/>
        <v>36763.512605042022</v>
      </c>
    </row>
    <row r="6349" spans="1:19" hidden="1" x14ac:dyDescent="0.3">
      <c r="A6349">
        <v>210</v>
      </c>
      <c r="B6349" t="s">
        <v>6520</v>
      </c>
      <c r="C6349" t="s">
        <v>6523</v>
      </c>
      <c r="D6349" s="2" t="s">
        <v>6524</v>
      </c>
      <c r="E6349" t="s">
        <v>664</v>
      </c>
      <c r="F6349" t="s">
        <v>20</v>
      </c>
      <c r="G6349" t="s">
        <v>21</v>
      </c>
      <c r="H6349" t="s">
        <v>557</v>
      </c>
      <c r="I6349" t="s">
        <v>23</v>
      </c>
      <c r="J6349" t="s">
        <v>40</v>
      </c>
      <c r="K6349" s="2" t="s">
        <v>268</v>
      </c>
      <c r="L6349" t="s">
        <v>26</v>
      </c>
      <c r="M6349">
        <v>353274</v>
      </c>
      <c r="N6349">
        <v>1</v>
      </c>
      <c r="O6349" s="3">
        <v>49990</v>
      </c>
      <c r="P6349" s="3">
        <v>28049</v>
      </c>
      <c r="Q6349" s="5">
        <f t="shared" si="297"/>
        <v>42008.403361344543</v>
      </c>
      <c r="R6349" s="5">
        <f t="shared" si="298"/>
        <v>28049</v>
      </c>
      <c r="S6349" s="5">
        <f t="shared" si="299"/>
        <v>13959.403361344543</v>
      </c>
    </row>
    <row r="6350" spans="1:19" hidden="1" x14ac:dyDescent="0.3">
      <c r="A6350">
        <v>210</v>
      </c>
      <c r="B6350" t="s">
        <v>6520</v>
      </c>
      <c r="C6350" t="s">
        <v>2981</v>
      </c>
      <c r="D6350" s="2" t="s">
        <v>2982</v>
      </c>
      <c r="E6350" t="s">
        <v>294</v>
      </c>
      <c r="F6350" t="s">
        <v>20</v>
      </c>
      <c r="G6350" t="s">
        <v>21</v>
      </c>
      <c r="H6350" t="s">
        <v>295</v>
      </c>
      <c r="I6350" t="s">
        <v>23</v>
      </c>
      <c r="J6350" t="s">
        <v>40</v>
      </c>
      <c r="K6350" s="2" t="s">
        <v>268</v>
      </c>
      <c r="L6350" t="s">
        <v>26</v>
      </c>
      <c r="M6350">
        <v>353275</v>
      </c>
      <c r="N6350">
        <v>1</v>
      </c>
      <c r="O6350" s="3">
        <v>79950</v>
      </c>
      <c r="P6350" s="3">
        <v>26951</v>
      </c>
      <c r="Q6350" s="5">
        <f t="shared" si="297"/>
        <v>67184.873949579836</v>
      </c>
      <c r="R6350" s="5">
        <f t="shared" si="298"/>
        <v>26951</v>
      </c>
      <c r="S6350" s="5">
        <f t="shared" si="299"/>
        <v>40233.873949579836</v>
      </c>
    </row>
    <row r="6351" spans="1:19" hidden="1" x14ac:dyDescent="0.3">
      <c r="A6351">
        <v>210</v>
      </c>
      <c r="B6351" t="s">
        <v>6520</v>
      </c>
      <c r="C6351" t="s">
        <v>4447</v>
      </c>
      <c r="D6351" s="2" t="s">
        <v>4448</v>
      </c>
      <c r="E6351" t="s">
        <v>2373</v>
      </c>
      <c r="F6351" t="s">
        <v>20</v>
      </c>
      <c r="G6351" t="s">
        <v>338</v>
      </c>
      <c r="H6351">
        <v>24239</v>
      </c>
      <c r="I6351" t="s">
        <v>23</v>
      </c>
      <c r="J6351" t="s">
        <v>95</v>
      </c>
      <c r="K6351" s="2" t="s">
        <v>268</v>
      </c>
      <c r="L6351" t="s">
        <v>26</v>
      </c>
      <c r="M6351">
        <v>353275</v>
      </c>
      <c r="N6351">
        <v>-1</v>
      </c>
      <c r="O6351" s="3">
        <v>-59950</v>
      </c>
      <c r="P6351" s="3">
        <v>18677</v>
      </c>
      <c r="Q6351" s="5">
        <f t="shared" si="297"/>
        <v>-50378.151260504201</v>
      </c>
      <c r="R6351" s="5">
        <f t="shared" si="298"/>
        <v>-18677</v>
      </c>
      <c r="S6351" s="5">
        <f t="shared" si="299"/>
        <v>-31701.151260504201</v>
      </c>
    </row>
    <row r="6352" spans="1:19" hidden="1" x14ac:dyDescent="0.3">
      <c r="A6352">
        <v>210</v>
      </c>
      <c r="B6352" t="s">
        <v>6520</v>
      </c>
      <c r="C6352" t="s">
        <v>4447</v>
      </c>
      <c r="D6352" s="2" t="s">
        <v>4448</v>
      </c>
      <c r="E6352" t="s">
        <v>2373</v>
      </c>
      <c r="F6352" t="s">
        <v>20</v>
      </c>
      <c r="G6352" t="s">
        <v>338</v>
      </c>
      <c r="H6352">
        <v>24239</v>
      </c>
      <c r="I6352" t="s">
        <v>23</v>
      </c>
      <c r="J6352" t="s">
        <v>95</v>
      </c>
      <c r="K6352" s="2" t="s">
        <v>268</v>
      </c>
      <c r="L6352" t="s">
        <v>26</v>
      </c>
      <c r="M6352">
        <v>353276</v>
      </c>
      <c r="N6352">
        <v>1</v>
      </c>
      <c r="O6352" s="3">
        <v>59950</v>
      </c>
      <c r="P6352" s="3">
        <v>18677</v>
      </c>
      <c r="Q6352" s="5">
        <f t="shared" si="297"/>
        <v>50378.151260504201</v>
      </c>
      <c r="R6352" s="5">
        <f t="shared" si="298"/>
        <v>18677</v>
      </c>
      <c r="S6352" s="5">
        <f t="shared" si="299"/>
        <v>31701.151260504201</v>
      </c>
    </row>
    <row r="6353" spans="1:19" hidden="1" x14ac:dyDescent="0.3">
      <c r="A6353">
        <v>210</v>
      </c>
      <c r="B6353" t="s">
        <v>6520</v>
      </c>
      <c r="C6353" t="s">
        <v>4619</v>
      </c>
      <c r="D6353" s="2" t="s">
        <v>4620</v>
      </c>
      <c r="E6353" t="s">
        <v>4547</v>
      </c>
      <c r="F6353" t="s">
        <v>20</v>
      </c>
      <c r="G6353" t="s">
        <v>21</v>
      </c>
      <c r="H6353" t="s">
        <v>285</v>
      </c>
      <c r="I6353" t="s">
        <v>23</v>
      </c>
      <c r="J6353" t="s">
        <v>49</v>
      </c>
      <c r="K6353" s="2" t="s">
        <v>268</v>
      </c>
      <c r="L6353" t="s">
        <v>26</v>
      </c>
      <c r="M6353">
        <v>353277</v>
      </c>
      <c r="N6353">
        <v>1</v>
      </c>
      <c r="O6353" s="3">
        <v>59990</v>
      </c>
      <c r="P6353" s="3">
        <v>29034</v>
      </c>
      <c r="Q6353" s="5">
        <f t="shared" si="297"/>
        <v>50411.764705882357</v>
      </c>
      <c r="R6353" s="5">
        <f t="shared" si="298"/>
        <v>29034</v>
      </c>
      <c r="S6353" s="5">
        <f t="shared" si="299"/>
        <v>21377.764705882357</v>
      </c>
    </row>
    <row r="6354" spans="1:19" hidden="1" x14ac:dyDescent="0.3">
      <c r="A6354">
        <v>210</v>
      </c>
      <c r="B6354" t="s">
        <v>6520</v>
      </c>
      <c r="C6354" t="s">
        <v>6525</v>
      </c>
      <c r="D6354" s="2" t="s">
        <v>6526</v>
      </c>
      <c r="E6354" t="s">
        <v>2076</v>
      </c>
      <c r="F6354" t="s">
        <v>20</v>
      </c>
      <c r="G6354" t="s">
        <v>338</v>
      </c>
      <c r="H6354">
        <v>83726</v>
      </c>
      <c r="I6354" t="s">
        <v>23</v>
      </c>
      <c r="J6354" t="s">
        <v>40</v>
      </c>
      <c r="K6354" s="2" t="s">
        <v>268</v>
      </c>
      <c r="L6354" t="s">
        <v>26</v>
      </c>
      <c r="M6354">
        <v>353278</v>
      </c>
      <c r="N6354">
        <v>1</v>
      </c>
      <c r="O6354" s="3">
        <v>89950</v>
      </c>
      <c r="P6354" s="3">
        <v>30263</v>
      </c>
      <c r="Q6354" s="5">
        <f t="shared" si="297"/>
        <v>75588.23529411765</v>
      </c>
      <c r="R6354" s="5">
        <f t="shared" si="298"/>
        <v>30263</v>
      </c>
      <c r="S6354" s="5">
        <f t="shared" si="299"/>
        <v>45325.23529411765</v>
      </c>
    </row>
    <row r="6355" spans="1:19" hidden="1" x14ac:dyDescent="0.3">
      <c r="A6355">
        <v>210</v>
      </c>
      <c r="B6355" t="s">
        <v>6520</v>
      </c>
      <c r="C6355" t="s">
        <v>3341</v>
      </c>
      <c r="D6355" s="2" t="s">
        <v>3342</v>
      </c>
      <c r="E6355" t="s">
        <v>2661</v>
      </c>
      <c r="F6355" t="s">
        <v>20</v>
      </c>
      <c r="G6355" t="s">
        <v>21</v>
      </c>
      <c r="H6355" t="s">
        <v>317</v>
      </c>
      <c r="I6355" t="s">
        <v>23</v>
      </c>
      <c r="J6355" t="s">
        <v>35</v>
      </c>
      <c r="K6355" s="2" t="s">
        <v>268</v>
      </c>
      <c r="L6355" t="s">
        <v>26</v>
      </c>
      <c r="M6355">
        <v>353279</v>
      </c>
      <c r="N6355">
        <v>1</v>
      </c>
      <c r="O6355" s="3">
        <v>69950</v>
      </c>
      <c r="P6355" s="3">
        <v>25924</v>
      </c>
      <c r="Q6355" s="5">
        <f t="shared" si="297"/>
        <v>58781.512605042022</v>
      </c>
      <c r="R6355" s="5">
        <f t="shared" si="298"/>
        <v>25924</v>
      </c>
      <c r="S6355" s="5">
        <f t="shared" si="299"/>
        <v>32857.512605042022</v>
      </c>
    </row>
    <row r="6356" spans="1:19" hidden="1" x14ac:dyDescent="0.3">
      <c r="A6356">
        <v>210</v>
      </c>
      <c r="B6356" t="s">
        <v>6520</v>
      </c>
      <c r="C6356" t="s">
        <v>4575</v>
      </c>
      <c r="D6356" s="2" t="s">
        <v>4576</v>
      </c>
      <c r="E6356" t="s">
        <v>4577</v>
      </c>
      <c r="F6356" t="s">
        <v>20</v>
      </c>
      <c r="G6356" t="s">
        <v>338</v>
      </c>
      <c r="H6356">
        <v>23724</v>
      </c>
      <c r="I6356" t="s">
        <v>23</v>
      </c>
      <c r="J6356" t="s">
        <v>40</v>
      </c>
      <c r="K6356" s="2" t="s">
        <v>268</v>
      </c>
      <c r="L6356" t="s">
        <v>26</v>
      </c>
      <c r="M6356">
        <v>353280</v>
      </c>
      <c r="N6356">
        <v>1</v>
      </c>
      <c r="O6356" s="3">
        <v>79950</v>
      </c>
      <c r="P6356" s="3">
        <v>26332</v>
      </c>
      <c r="Q6356" s="5">
        <f t="shared" si="297"/>
        <v>67184.873949579836</v>
      </c>
      <c r="R6356" s="5">
        <f t="shared" si="298"/>
        <v>26332</v>
      </c>
      <c r="S6356" s="5">
        <f t="shared" si="299"/>
        <v>40852.873949579836</v>
      </c>
    </row>
    <row r="6357" spans="1:19" hidden="1" x14ac:dyDescent="0.3">
      <c r="A6357">
        <v>210</v>
      </c>
      <c r="B6357" t="s">
        <v>6520</v>
      </c>
      <c r="C6357" t="s">
        <v>5808</v>
      </c>
      <c r="D6357" s="2" t="s">
        <v>5809</v>
      </c>
      <c r="E6357" t="s">
        <v>2870</v>
      </c>
      <c r="F6357" t="s">
        <v>20</v>
      </c>
      <c r="G6357" t="s">
        <v>21</v>
      </c>
      <c r="H6357" t="s">
        <v>30</v>
      </c>
      <c r="I6357" t="s">
        <v>23</v>
      </c>
      <c r="J6357" t="s">
        <v>35</v>
      </c>
      <c r="K6357" s="2" t="s">
        <v>268</v>
      </c>
      <c r="L6357" t="s">
        <v>26</v>
      </c>
      <c r="M6357">
        <v>353281</v>
      </c>
      <c r="N6357">
        <v>1</v>
      </c>
      <c r="O6357" s="3">
        <v>79950</v>
      </c>
      <c r="P6357" s="3">
        <v>30749</v>
      </c>
      <c r="Q6357" s="5">
        <f t="shared" si="297"/>
        <v>67184.873949579836</v>
      </c>
      <c r="R6357" s="5">
        <f t="shared" si="298"/>
        <v>30749</v>
      </c>
      <c r="S6357" s="5">
        <f t="shared" si="299"/>
        <v>36435.873949579836</v>
      </c>
    </row>
    <row r="6358" spans="1:19" hidden="1" x14ac:dyDescent="0.3">
      <c r="A6358">
        <v>210</v>
      </c>
      <c r="B6358" t="s">
        <v>6520</v>
      </c>
      <c r="C6358" t="s">
        <v>2691</v>
      </c>
      <c r="D6358" s="2" t="s">
        <v>2692</v>
      </c>
      <c r="E6358" t="s">
        <v>2436</v>
      </c>
      <c r="F6358" t="s">
        <v>20</v>
      </c>
      <c r="G6358" t="s">
        <v>338</v>
      </c>
      <c r="H6358">
        <v>22318</v>
      </c>
      <c r="I6358" t="s">
        <v>23</v>
      </c>
      <c r="J6358" t="s">
        <v>49</v>
      </c>
      <c r="K6358" s="2" t="s">
        <v>268</v>
      </c>
      <c r="L6358" t="s">
        <v>26</v>
      </c>
      <c r="M6358">
        <v>353282</v>
      </c>
      <c r="N6358">
        <v>1</v>
      </c>
      <c r="O6358" s="3">
        <v>74950</v>
      </c>
      <c r="P6358" s="3">
        <v>23473</v>
      </c>
      <c r="Q6358" s="5">
        <f t="shared" si="297"/>
        <v>62983.193277310929</v>
      </c>
      <c r="R6358" s="5">
        <f t="shared" si="298"/>
        <v>23473</v>
      </c>
      <c r="S6358" s="5">
        <f t="shared" si="299"/>
        <v>39510.193277310929</v>
      </c>
    </row>
    <row r="6359" spans="1:19" hidden="1" x14ac:dyDescent="0.3">
      <c r="A6359">
        <v>210</v>
      </c>
      <c r="B6359" t="s">
        <v>6520</v>
      </c>
      <c r="C6359" t="s">
        <v>3411</v>
      </c>
      <c r="D6359" s="2" t="s">
        <v>3412</v>
      </c>
      <c r="E6359" t="s">
        <v>3283</v>
      </c>
      <c r="F6359" t="s">
        <v>20</v>
      </c>
      <c r="G6359" t="s">
        <v>21</v>
      </c>
      <c r="H6359" t="s">
        <v>2494</v>
      </c>
      <c r="I6359" t="s">
        <v>23</v>
      </c>
      <c r="J6359" t="s">
        <v>40</v>
      </c>
      <c r="K6359" s="2" t="s">
        <v>268</v>
      </c>
      <c r="L6359" t="s">
        <v>26</v>
      </c>
      <c r="M6359">
        <v>353283</v>
      </c>
      <c r="N6359">
        <v>1</v>
      </c>
      <c r="O6359" s="3">
        <v>69950</v>
      </c>
      <c r="P6359" s="3">
        <v>23470</v>
      </c>
      <c r="Q6359" s="5">
        <f t="shared" si="297"/>
        <v>58781.512605042022</v>
      </c>
      <c r="R6359" s="5">
        <f t="shared" si="298"/>
        <v>23470</v>
      </c>
      <c r="S6359" s="5">
        <f t="shared" si="299"/>
        <v>35311.512605042022</v>
      </c>
    </row>
    <row r="6360" spans="1:19" hidden="1" x14ac:dyDescent="0.3">
      <c r="A6360">
        <v>210</v>
      </c>
      <c r="B6360" t="s">
        <v>6520</v>
      </c>
      <c r="C6360" t="s">
        <v>3445</v>
      </c>
      <c r="D6360" s="2" t="s">
        <v>3446</v>
      </c>
      <c r="E6360" t="s">
        <v>1501</v>
      </c>
      <c r="F6360" t="s">
        <v>20</v>
      </c>
      <c r="G6360" t="s">
        <v>21</v>
      </c>
      <c r="H6360" t="s">
        <v>742</v>
      </c>
      <c r="I6360" t="s">
        <v>23</v>
      </c>
      <c r="J6360" t="s">
        <v>40</v>
      </c>
      <c r="K6360" s="2" t="s">
        <v>268</v>
      </c>
      <c r="L6360" t="s">
        <v>26</v>
      </c>
      <c r="M6360">
        <v>353284</v>
      </c>
      <c r="N6360">
        <v>1</v>
      </c>
      <c r="O6360" s="3">
        <v>79950</v>
      </c>
      <c r="P6360" s="3">
        <v>28723</v>
      </c>
      <c r="Q6360" s="5">
        <f t="shared" si="297"/>
        <v>67184.873949579836</v>
      </c>
      <c r="R6360" s="5">
        <f t="shared" si="298"/>
        <v>28723</v>
      </c>
      <c r="S6360" s="5">
        <f t="shared" si="299"/>
        <v>38461.873949579836</v>
      </c>
    </row>
    <row r="6361" spans="1:19" hidden="1" x14ac:dyDescent="0.3">
      <c r="A6361">
        <v>210</v>
      </c>
      <c r="B6361" t="s">
        <v>6520</v>
      </c>
      <c r="C6361" t="s">
        <v>6527</v>
      </c>
      <c r="D6361" s="2" t="s">
        <v>6528</v>
      </c>
      <c r="E6361" t="s">
        <v>2473</v>
      </c>
      <c r="F6361" t="s">
        <v>20</v>
      </c>
      <c r="G6361" t="s">
        <v>21</v>
      </c>
      <c r="H6361" t="s">
        <v>114</v>
      </c>
      <c r="I6361" t="s">
        <v>23</v>
      </c>
      <c r="J6361" t="s">
        <v>49</v>
      </c>
      <c r="K6361" s="2" t="s">
        <v>2344</v>
      </c>
      <c r="L6361" t="s">
        <v>26</v>
      </c>
      <c r="M6361">
        <v>353285</v>
      </c>
      <c r="N6361">
        <v>-1</v>
      </c>
      <c r="O6361" s="3">
        <v>-49990</v>
      </c>
      <c r="P6361" s="3">
        <v>23514</v>
      </c>
      <c r="Q6361" s="5">
        <f t="shared" si="297"/>
        <v>-42008.403361344543</v>
      </c>
      <c r="R6361" s="5">
        <f t="shared" si="298"/>
        <v>-23514</v>
      </c>
      <c r="S6361" s="5">
        <f t="shared" si="299"/>
        <v>-18494.403361344543</v>
      </c>
    </row>
    <row r="6362" spans="1:19" hidden="1" x14ac:dyDescent="0.3">
      <c r="A6362">
        <v>210</v>
      </c>
      <c r="B6362" t="s">
        <v>6520</v>
      </c>
      <c r="C6362" t="s">
        <v>6529</v>
      </c>
      <c r="D6362" s="2" t="s">
        <v>6530</v>
      </c>
      <c r="E6362" t="s">
        <v>2476</v>
      </c>
      <c r="F6362" t="s">
        <v>20</v>
      </c>
      <c r="G6362" t="s">
        <v>21</v>
      </c>
      <c r="H6362" t="s">
        <v>114</v>
      </c>
      <c r="I6362" t="s">
        <v>23</v>
      </c>
      <c r="J6362" t="s">
        <v>49</v>
      </c>
      <c r="K6362" s="2" t="s">
        <v>2344</v>
      </c>
      <c r="L6362" t="s">
        <v>26</v>
      </c>
      <c r="M6362">
        <v>353285</v>
      </c>
      <c r="N6362">
        <v>1</v>
      </c>
      <c r="O6362" s="3">
        <v>69950</v>
      </c>
      <c r="P6362" s="3">
        <v>22187</v>
      </c>
      <c r="Q6362" s="5">
        <f t="shared" si="297"/>
        <v>58781.512605042022</v>
      </c>
      <c r="R6362" s="5">
        <f t="shared" si="298"/>
        <v>22187</v>
      </c>
      <c r="S6362" s="5">
        <f t="shared" si="299"/>
        <v>36594.512605042022</v>
      </c>
    </row>
    <row r="6363" spans="1:19" hidden="1" x14ac:dyDescent="0.3">
      <c r="A6363">
        <v>210</v>
      </c>
      <c r="B6363" t="s">
        <v>6520</v>
      </c>
      <c r="C6363" t="s">
        <v>1761</v>
      </c>
      <c r="D6363" s="2" t="s">
        <v>1762</v>
      </c>
      <c r="E6363" t="s">
        <v>1763</v>
      </c>
      <c r="F6363" t="s">
        <v>377</v>
      </c>
      <c r="G6363" t="s">
        <v>21</v>
      </c>
      <c r="H6363" t="s">
        <v>378</v>
      </c>
      <c r="I6363" t="s">
        <v>23</v>
      </c>
      <c r="J6363" t="s">
        <v>379</v>
      </c>
      <c r="K6363" s="2" t="s">
        <v>2344</v>
      </c>
      <c r="L6363" t="s">
        <v>26</v>
      </c>
      <c r="M6363">
        <v>353285</v>
      </c>
      <c r="N6363">
        <v>1</v>
      </c>
      <c r="O6363" s="3">
        <v>5950</v>
      </c>
      <c r="P6363" s="3">
        <v>3279</v>
      </c>
      <c r="Q6363" s="5">
        <f t="shared" si="297"/>
        <v>5000</v>
      </c>
      <c r="R6363" s="5">
        <f t="shared" si="298"/>
        <v>3279</v>
      </c>
      <c r="S6363" s="5">
        <f t="shared" si="299"/>
        <v>1721</v>
      </c>
    </row>
    <row r="6364" spans="1:19" hidden="1" x14ac:dyDescent="0.3">
      <c r="A6364">
        <v>210</v>
      </c>
      <c r="B6364" t="s">
        <v>6520</v>
      </c>
      <c r="C6364" t="s">
        <v>4146</v>
      </c>
      <c r="D6364" s="2" t="s">
        <v>4147</v>
      </c>
      <c r="E6364" t="s">
        <v>2738</v>
      </c>
      <c r="F6364" t="s">
        <v>20</v>
      </c>
      <c r="G6364" t="s">
        <v>21</v>
      </c>
      <c r="H6364" t="s">
        <v>22</v>
      </c>
      <c r="I6364" t="s">
        <v>23</v>
      </c>
      <c r="J6364" t="s">
        <v>49</v>
      </c>
      <c r="K6364" s="2" t="s">
        <v>2344</v>
      </c>
      <c r="L6364" t="s">
        <v>26</v>
      </c>
      <c r="M6364">
        <v>353286</v>
      </c>
      <c r="N6364">
        <v>1</v>
      </c>
      <c r="O6364" s="3">
        <v>74950</v>
      </c>
      <c r="P6364" s="3">
        <v>26246</v>
      </c>
      <c r="Q6364" s="5">
        <f t="shared" si="297"/>
        <v>62983.193277310929</v>
      </c>
      <c r="R6364" s="5">
        <f t="shared" si="298"/>
        <v>26246</v>
      </c>
      <c r="S6364" s="5">
        <f t="shared" si="299"/>
        <v>36737.193277310929</v>
      </c>
    </row>
    <row r="6365" spans="1:19" hidden="1" x14ac:dyDescent="0.3">
      <c r="A6365">
        <v>210</v>
      </c>
      <c r="B6365" t="s">
        <v>6520</v>
      </c>
      <c r="C6365" t="s">
        <v>2635</v>
      </c>
      <c r="D6365" s="2" t="s">
        <v>2636</v>
      </c>
      <c r="E6365" t="s">
        <v>2637</v>
      </c>
      <c r="F6365" t="s">
        <v>377</v>
      </c>
      <c r="G6365" t="s">
        <v>21</v>
      </c>
      <c r="H6365" t="s">
        <v>378</v>
      </c>
      <c r="I6365" t="s">
        <v>23</v>
      </c>
      <c r="J6365" t="s">
        <v>2638</v>
      </c>
      <c r="K6365" s="2" t="s">
        <v>2344</v>
      </c>
      <c r="L6365" t="s">
        <v>26</v>
      </c>
      <c r="M6365">
        <v>353287</v>
      </c>
      <c r="N6365">
        <v>1</v>
      </c>
      <c r="O6365" s="3">
        <v>3450</v>
      </c>
      <c r="P6365" s="3">
        <v>1510</v>
      </c>
      <c r="Q6365" s="5">
        <f t="shared" si="297"/>
        <v>2899.1596638655465</v>
      </c>
      <c r="R6365" s="5">
        <f t="shared" si="298"/>
        <v>1510</v>
      </c>
      <c r="S6365" s="5">
        <f t="shared" si="299"/>
        <v>1389.1596638655465</v>
      </c>
    </row>
    <row r="6366" spans="1:19" hidden="1" x14ac:dyDescent="0.3">
      <c r="A6366">
        <v>210</v>
      </c>
      <c r="B6366" t="s">
        <v>6520</v>
      </c>
      <c r="C6366" t="s">
        <v>6531</v>
      </c>
      <c r="D6366" s="2" t="s">
        <v>6532</v>
      </c>
      <c r="E6366" t="s">
        <v>3666</v>
      </c>
      <c r="F6366" t="s">
        <v>20</v>
      </c>
      <c r="G6366" t="s">
        <v>338</v>
      </c>
      <c r="H6366">
        <v>24316</v>
      </c>
      <c r="I6366" t="s">
        <v>23</v>
      </c>
      <c r="J6366" t="s">
        <v>49</v>
      </c>
      <c r="K6366" s="2" t="s">
        <v>2344</v>
      </c>
      <c r="L6366" t="s">
        <v>26</v>
      </c>
      <c r="M6366">
        <v>353288</v>
      </c>
      <c r="N6366">
        <v>1</v>
      </c>
      <c r="O6366" s="3">
        <v>74950</v>
      </c>
      <c r="P6366" s="3">
        <v>23473</v>
      </c>
      <c r="Q6366" s="5">
        <f t="shared" si="297"/>
        <v>62983.193277310929</v>
      </c>
      <c r="R6366" s="5">
        <f t="shared" si="298"/>
        <v>23473</v>
      </c>
      <c r="S6366" s="5">
        <f t="shared" si="299"/>
        <v>39510.193277310929</v>
      </c>
    </row>
    <row r="6367" spans="1:19" hidden="1" x14ac:dyDescent="0.3">
      <c r="A6367">
        <v>210</v>
      </c>
      <c r="B6367" t="s">
        <v>6520</v>
      </c>
      <c r="C6367" t="s">
        <v>2141</v>
      </c>
      <c r="D6367" s="2" t="s">
        <v>2142</v>
      </c>
      <c r="E6367" t="s">
        <v>2143</v>
      </c>
      <c r="F6367" t="s">
        <v>20</v>
      </c>
      <c r="G6367" t="s">
        <v>338</v>
      </c>
      <c r="H6367">
        <v>23732</v>
      </c>
      <c r="I6367" t="s">
        <v>23</v>
      </c>
      <c r="J6367" t="s">
        <v>40</v>
      </c>
      <c r="K6367" s="2" t="s">
        <v>2344</v>
      </c>
      <c r="L6367" t="s">
        <v>26</v>
      </c>
      <c r="M6367">
        <v>353289</v>
      </c>
      <c r="N6367">
        <v>1</v>
      </c>
      <c r="O6367" s="3">
        <v>59990</v>
      </c>
      <c r="P6367" s="3">
        <v>26539</v>
      </c>
      <c r="Q6367" s="5">
        <f t="shared" si="297"/>
        <v>50411.764705882357</v>
      </c>
      <c r="R6367" s="5">
        <f t="shared" si="298"/>
        <v>26539</v>
      </c>
      <c r="S6367" s="5">
        <f t="shared" si="299"/>
        <v>23872.764705882357</v>
      </c>
    </row>
    <row r="6368" spans="1:19" hidden="1" x14ac:dyDescent="0.3">
      <c r="A6368">
        <v>210</v>
      </c>
      <c r="B6368" t="s">
        <v>6520</v>
      </c>
      <c r="C6368">
        <v>1687976791</v>
      </c>
      <c r="D6368" s="2" t="s">
        <v>200</v>
      </c>
      <c r="E6368" t="s">
        <v>201</v>
      </c>
      <c r="F6368" t="s">
        <v>201</v>
      </c>
      <c r="G6368" t="s">
        <v>202</v>
      </c>
      <c r="H6368" t="s">
        <v>202</v>
      </c>
      <c r="I6368" t="s">
        <v>23</v>
      </c>
      <c r="J6368" t="s">
        <v>202</v>
      </c>
      <c r="K6368" s="2" t="s">
        <v>2344</v>
      </c>
      <c r="L6368" t="s">
        <v>26</v>
      </c>
      <c r="M6368">
        <v>353290</v>
      </c>
      <c r="N6368">
        <v>1</v>
      </c>
      <c r="O6368">
        <v>1</v>
      </c>
      <c r="P6368">
        <v>1</v>
      </c>
      <c r="Q6368" s="5">
        <f t="shared" si="297"/>
        <v>0.84033613445378152</v>
      </c>
      <c r="R6368" s="5">
        <f t="shared" si="298"/>
        <v>1</v>
      </c>
      <c r="S6368" s="5">
        <f t="shared" si="299"/>
        <v>-0.15966386554621848</v>
      </c>
    </row>
    <row r="6369" spans="1:19" hidden="1" x14ac:dyDescent="0.3">
      <c r="A6369">
        <v>210</v>
      </c>
      <c r="B6369" t="s">
        <v>6520</v>
      </c>
      <c r="C6369" t="s">
        <v>1277</v>
      </c>
      <c r="D6369" s="2" t="s">
        <v>1278</v>
      </c>
      <c r="E6369" t="s">
        <v>793</v>
      </c>
      <c r="F6369" t="s">
        <v>20</v>
      </c>
      <c r="G6369" t="s">
        <v>21</v>
      </c>
      <c r="H6369" t="s">
        <v>794</v>
      </c>
      <c r="I6369" t="s">
        <v>23</v>
      </c>
      <c r="J6369" t="s">
        <v>40</v>
      </c>
      <c r="K6369" s="2" t="s">
        <v>2344</v>
      </c>
      <c r="L6369" t="s">
        <v>26</v>
      </c>
      <c r="M6369">
        <v>353290</v>
      </c>
      <c r="N6369">
        <v>1</v>
      </c>
      <c r="O6369" s="3">
        <v>49990</v>
      </c>
      <c r="P6369" s="3">
        <v>21475</v>
      </c>
      <c r="Q6369" s="5">
        <f t="shared" si="297"/>
        <v>42008.403361344543</v>
      </c>
      <c r="R6369" s="5">
        <f t="shared" si="298"/>
        <v>21475</v>
      </c>
      <c r="S6369" s="5">
        <f t="shared" si="299"/>
        <v>20533.403361344543</v>
      </c>
    </row>
    <row r="6370" spans="1:19" hidden="1" x14ac:dyDescent="0.3">
      <c r="A6370">
        <v>210</v>
      </c>
      <c r="B6370" t="s">
        <v>6520</v>
      </c>
      <c r="C6370" t="s">
        <v>6533</v>
      </c>
      <c r="D6370" s="2" t="s">
        <v>6534</v>
      </c>
      <c r="E6370" t="s">
        <v>4827</v>
      </c>
      <c r="F6370" t="s">
        <v>20</v>
      </c>
      <c r="G6370" t="s">
        <v>21</v>
      </c>
      <c r="H6370" t="s">
        <v>272</v>
      </c>
      <c r="I6370" t="s">
        <v>23</v>
      </c>
      <c r="J6370" t="s">
        <v>40</v>
      </c>
      <c r="K6370" s="2" t="s">
        <v>2344</v>
      </c>
      <c r="L6370" t="s">
        <v>26</v>
      </c>
      <c r="M6370">
        <v>353291</v>
      </c>
      <c r="N6370">
        <v>-1</v>
      </c>
      <c r="O6370" s="3">
        <v>-49990</v>
      </c>
      <c r="P6370" s="3">
        <v>24944</v>
      </c>
      <c r="Q6370" s="5">
        <f t="shared" si="297"/>
        <v>-42008.403361344543</v>
      </c>
      <c r="R6370" s="5">
        <f t="shared" si="298"/>
        <v>-24944</v>
      </c>
      <c r="S6370" s="5">
        <f t="shared" si="299"/>
        <v>-17064.403361344543</v>
      </c>
    </row>
    <row r="6371" spans="1:19" hidden="1" x14ac:dyDescent="0.3">
      <c r="A6371">
        <v>210</v>
      </c>
      <c r="B6371" t="s">
        <v>6520</v>
      </c>
      <c r="C6371" t="s">
        <v>3466</v>
      </c>
      <c r="D6371" s="2" t="s">
        <v>3467</v>
      </c>
      <c r="E6371" t="s">
        <v>316</v>
      </c>
      <c r="F6371" t="s">
        <v>20</v>
      </c>
      <c r="G6371" t="s">
        <v>21</v>
      </c>
      <c r="H6371" t="s">
        <v>317</v>
      </c>
      <c r="I6371" t="s">
        <v>23</v>
      </c>
      <c r="J6371" t="s">
        <v>35</v>
      </c>
      <c r="K6371" s="2" t="s">
        <v>2344</v>
      </c>
      <c r="L6371" t="s">
        <v>26</v>
      </c>
      <c r="M6371">
        <v>353291</v>
      </c>
      <c r="N6371">
        <v>1</v>
      </c>
      <c r="O6371" s="3">
        <v>69950</v>
      </c>
      <c r="P6371" s="3">
        <v>24552</v>
      </c>
      <c r="Q6371" s="5">
        <f t="shared" si="297"/>
        <v>58781.512605042022</v>
      </c>
      <c r="R6371" s="5">
        <f t="shared" si="298"/>
        <v>24552</v>
      </c>
      <c r="S6371" s="5">
        <f t="shared" si="299"/>
        <v>34229.512605042022</v>
      </c>
    </row>
    <row r="6372" spans="1:19" hidden="1" x14ac:dyDescent="0.3">
      <c r="A6372">
        <v>210</v>
      </c>
      <c r="B6372" t="s">
        <v>6520</v>
      </c>
      <c r="C6372" t="s">
        <v>6535</v>
      </c>
      <c r="D6372" s="2" t="s">
        <v>6536</v>
      </c>
      <c r="E6372" t="s">
        <v>3438</v>
      </c>
      <c r="F6372" t="s">
        <v>20</v>
      </c>
      <c r="G6372" t="s">
        <v>338</v>
      </c>
      <c r="H6372">
        <v>83707</v>
      </c>
      <c r="I6372" t="s">
        <v>23</v>
      </c>
      <c r="J6372" t="s">
        <v>40</v>
      </c>
      <c r="K6372" s="2" t="s">
        <v>2344</v>
      </c>
      <c r="L6372" t="s">
        <v>26</v>
      </c>
      <c r="M6372">
        <v>353292</v>
      </c>
      <c r="N6372">
        <v>1</v>
      </c>
      <c r="O6372" s="3">
        <v>89950</v>
      </c>
      <c r="P6372" s="3">
        <v>30263</v>
      </c>
      <c r="Q6372" s="5">
        <f t="shared" si="297"/>
        <v>75588.23529411765</v>
      </c>
      <c r="R6372" s="5">
        <f t="shared" si="298"/>
        <v>30263</v>
      </c>
      <c r="S6372" s="5">
        <f t="shared" si="299"/>
        <v>45325.23529411765</v>
      </c>
    </row>
    <row r="6373" spans="1:19" hidden="1" x14ac:dyDescent="0.3">
      <c r="A6373">
        <v>210</v>
      </c>
      <c r="B6373" t="s">
        <v>6520</v>
      </c>
      <c r="C6373" t="s">
        <v>3120</v>
      </c>
      <c r="D6373" s="2" t="s">
        <v>3121</v>
      </c>
      <c r="E6373" t="s">
        <v>3122</v>
      </c>
      <c r="F6373" t="s">
        <v>20</v>
      </c>
      <c r="G6373" t="s">
        <v>21</v>
      </c>
      <c r="H6373" t="s">
        <v>718</v>
      </c>
      <c r="I6373" t="s">
        <v>23</v>
      </c>
      <c r="J6373" t="s">
        <v>49</v>
      </c>
      <c r="K6373" s="2" t="s">
        <v>2344</v>
      </c>
      <c r="L6373" t="s">
        <v>26</v>
      </c>
      <c r="M6373">
        <v>353293</v>
      </c>
      <c r="N6373">
        <v>1</v>
      </c>
      <c r="O6373" s="3">
        <v>39990</v>
      </c>
      <c r="P6373" s="3">
        <v>26647</v>
      </c>
      <c r="Q6373" s="5">
        <f t="shared" si="297"/>
        <v>33605.042016806721</v>
      </c>
      <c r="R6373" s="5">
        <f t="shared" si="298"/>
        <v>26647</v>
      </c>
      <c r="S6373" s="5">
        <f t="shared" si="299"/>
        <v>6958.0420168067212</v>
      </c>
    </row>
    <row r="6374" spans="1:19" hidden="1" x14ac:dyDescent="0.3">
      <c r="A6374">
        <v>210</v>
      </c>
      <c r="B6374" t="s">
        <v>6520</v>
      </c>
      <c r="C6374" t="s">
        <v>3298</v>
      </c>
      <c r="D6374" s="2" t="s">
        <v>3299</v>
      </c>
      <c r="E6374" t="s">
        <v>2185</v>
      </c>
      <c r="F6374" t="s">
        <v>20</v>
      </c>
      <c r="G6374" t="s">
        <v>21</v>
      </c>
      <c r="H6374" t="s">
        <v>614</v>
      </c>
      <c r="I6374" t="s">
        <v>23</v>
      </c>
      <c r="J6374" t="s">
        <v>40</v>
      </c>
      <c r="K6374" s="2" t="s">
        <v>2344</v>
      </c>
      <c r="L6374" t="s">
        <v>26</v>
      </c>
      <c r="M6374">
        <v>353294</v>
      </c>
      <c r="N6374">
        <v>1</v>
      </c>
      <c r="O6374" s="3">
        <v>54950</v>
      </c>
      <c r="P6374" s="3">
        <v>17386</v>
      </c>
      <c r="Q6374" s="5">
        <f t="shared" si="297"/>
        <v>46176.470588235294</v>
      </c>
      <c r="R6374" s="5">
        <f t="shared" si="298"/>
        <v>17386</v>
      </c>
      <c r="S6374" s="5">
        <f t="shared" si="299"/>
        <v>28790.470588235294</v>
      </c>
    </row>
    <row r="6375" spans="1:19" hidden="1" x14ac:dyDescent="0.3">
      <c r="A6375">
        <v>210</v>
      </c>
      <c r="B6375" t="s">
        <v>6520</v>
      </c>
      <c r="C6375" t="s">
        <v>3207</v>
      </c>
      <c r="D6375" s="2" t="s">
        <v>3208</v>
      </c>
      <c r="E6375" t="s">
        <v>2844</v>
      </c>
      <c r="F6375" t="s">
        <v>20</v>
      </c>
      <c r="G6375" t="s">
        <v>338</v>
      </c>
      <c r="H6375">
        <v>24722</v>
      </c>
      <c r="I6375" t="s">
        <v>23</v>
      </c>
      <c r="J6375" t="s">
        <v>95</v>
      </c>
      <c r="K6375" s="2" t="s">
        <v>2344</v>
      </c>
      <c r="L6375" t="s">
        <v>26</v>
      </c>
      <c r="M6375">
        <v>353295</v>
      </c>
      <c r="N6375">
        <v>1</v>
      </c>
      <c r="O6375" s="3">
        <v>89950</v>
      </c>
      <c r="P6375" s="3">
        <v>30987</v>
      </c>
      <c r="Q6375" s="5">
        <f t="shared" si="297"/>
        <v>75588.23529411765</v>
      </c>
      <c r="R6375" s="5">
        <f t="shared" si="298"/>
        <v>30987</v>
      </c>
      <c r="S6375" s="5">
        <f t="shared" si="299"/>
        <v>44601.23529411765</v>
      </c>
    </row>
    <row r="6376" spans="1:19" hidden="1" x14ac:dyDescent="0.3">
      <c r="A6376">
        <v>210</v>
      </c>
      <c r="B6376" t="s">
        <v>6520</v>
      </c>
      <c r="C6376" t="s">
        <v>4139</v>
      </c>
      <c r="D6376" s="2" t="s">
        <v>4140</v>
      </c>
      <c r="E6376" t="s">
        <v>3656</v>
      </c>
      <c r="F6376" t="s">
        <v>20</v>
      </c>
      <c r="G6376" t="s">
        <v>21</v>
      </c>
      <c r="H6376" t="s">
        <v>614</v>
      </c>
      <c r="I6376" t="s">
        <v>23</v>
      </c>
      <c r="J6376" t="s">
        <v>40</v>
      </c>
      <c r="K6376" s="2" t="s">
        <v>2344</v>
      </c>
      <c r="L6376" t="s">
        <v>26</v>
      </c>
      <c r="M6376">
        <v>353296</v>
      </c>
      <c r="N6376">
        <v>1</v>
      </c>
      <c r="O6376" s="3">
        <v>54950</v>
      </c>
      <c r="P6376" s="3">
        <v>14265</v>
      </c>
      <c r="Q6376" s="5">
        <f t="shared" si="297"/>
        <v>46176.470588235294</v>
      </c>
      <c r="R6376" s="5">
        <f t="shared" si="298"/>
        <v>14265</v>
      </c>
      <c r="S6376" s="5">
        <f t="shared" si="299"/>
        <v>31911.470588235294</v>
      </c>
    </row>
    <row r="6377" spans="1:19" hidden="1" x14ac:dyDescent="0.3">
      <c r="A6377">
        <v>210</v>
      </c>
      <c r="B6377" t="s">
        <v>6520</v>
      </c>
      <c r="C6377" t="s">
        <v>2739</v>
      </c>
      <c r="D6377" s="2" t="s">
        <v>2740</v>
      </c>
      <c r="E6377" t="s">
        <v>2741</v>
      </c>
      <c r="F6377" t="s">
        <v>20</v>
      </c>
      <c r="G6377" t="s">
        <v>21</v>
      </c>
      <c r="H6377" t="s">
        <v>2494</v>
      </c>
      <c r="I6377" t="s">
        <v>23</v>
      </c>
      <c r="J6377" t="s">
        <v>40</v>
      </c>
      <c r="K6377" s="2" t="s">
        <v>2344</v>
      </c>
      <c r="L6377" t="s">
        <v>26</v>
      </c>
      <c r="M6377">
        <v>353297</v>
      </c>
      <c r="N6377">
        <v>1</v>
      </c>
      <c r="O6377" s="3">
        <v>69950</v>
      </c>
      <c r="P6377" s="3">
        <v>23470</v>
      </c>
      <c r="Q6377" s="5">
        <f t="shared" si="297"/>
        <v>58781.512605042022</v>
      </c>
      <c r="R6377" s="5">
        <f t="shared" si="298"/>
        <v>23470</v>
      </c>
      <c r="S6377" s="5">
        <f t="shared" si="299"/>
        <v>35311.512605042022</v>
      </c>
    </row>
    <row r="6378" spans="1:19" hidden="1" x14ac:dyDescent="0.3">
      <c r="A6378">
        <v>210</v>
      </c>
      <c r="B6378" t="s">
        <v>6520</v>
      </c>
      <c r="C6378" t="s">
        <v>6537</v>
      </c>
      <c r="D6378" s="2" t="s">
        <v>6538</v>
      </c>
      <c r="E6378" t="s">
        <v>714</v>
      </c>
      <c r="F6378" t="s">
        <v>20</v>
      </c>
      <c r="G6378" t="s">
        <v>21</v>
      </c>
      <c r="H6378" t="s">
        <v>30</v>
      </c>
      <c r="I6378" t="s">
        <v>23</v>
      </c>
      <c r="J6378" t="s">
        <v>49</v>
      </c>
      <c r="K6378" s="2" t="s">
        <v>2386</v>
      </c>
      <c r="L6378" t="s">
        <v>26</v>
      </c>
      <c r="M6378">
        <v>353298</v>
      </c>
      <c r="N6378">
        <v>1</v>
      </c>
      <c r="O6378" s="3">
        <v>69950</v>
      </c>
      <c r="P6378" s="3">
        <v>24583</v>
      </c>
      <c r="Q6378" s="5">
        <f t="shared" si="297"/>
        <v>58781.512605042022</v>
      </c>
      <c r="R6378" s="5">
        <f t="shared" si="298"/>
        <v>24583</v>
      </c>
      <c r="S6378" s="5">
        <f t="shared" si="299"/>
        <v>34198.512605042022</v>
      </c>
    </row>
    <row r="6379" spans="1:19" hidden="1" x14ac:dyDescent="0.3">
      <c r="A6379">
        <v>210</v>
      </c>
      <c r="B6379" t="s">
        <v>6520</v>
      </c>
      <c r="C6379" t="s">
        <v>6539</v>
      </c>
      <c r="D6379" s="2" t="s">
        <v>6540</v>
      </c>
      <c r="E6379" t="s">
        <v>1120</v>
      </c>
      <c r="F6379" t="s">
        <v>20</v>
      </c>
      <c r="G6379" t="s">
        <v>21</v>
      </c>
      <c r="H6379" t="s">
        <v>285</v>
      </c>
      <c r="I6379" t="s">
        <v>23</v>
      </c>
      <c r="J6379" t="s">
        <v>49</v>
      </c>
      <c r="K6379" s="2" t="s">
        <v>2386</v>
      </c>
      <c r="L6379" t="s">
        <v>26</v>
      </c>
      <c r="M6379">
        <v>353299</v>
      </c>
      <c r="N6379">
        <v>1</v>
      </c>
      <c r="O6379" s="3">
        <v>59990</v>
      </c>
      <c r="P6379" s="3">
        <v>30893</v>
      </c>
      <c r="Q6379" s="5">
        <f t="shared" si="297"/>
        <v>50411.764705882357</v>
      </c>
      <c r="R6379" s="5">
        <f t="shared" si="298"/>
        <v>30893</v>
      </c>
      <c r="S6379" s="5">
        <f t="shared" si="299"/>
        <v>19518.764705882357</v>
      </c>
    </row>
    <row r="6380" spans="1:19" hidden="1" x14ac:dyDescent="0.3">
      <c r="A6380">
        <v>210</v>
      </c>
      <c r="B6380" t="s">
        <v>6520</v>
      </c>
      <c r="C6380" t="s">
        <v>3710</v>
      </c>
      <c r="D6380" s="2" t="s">
        <v>3711</v>
      </c>
      <c r="E6380" t="s">
        <v>294</v>
      </c>
      <c r="F6380" t="s">
        <v>20</v>
      </c>
      <c r="G6380" t="s">
        <v>21</v>
      </c>
      <c r="H6380" t="s">
        <v>295</v>
      </c>
      <c r="I6380" t="s">
        <v>23</v>
      </c>
      <c r="J6380" t="s">
        <v>40</v>
      </c>
      <c r="K6380" s="2" t="s">
        <v>2386</v>
      </c>
      <c r="L6380" t="s">
        <v>26</v>
      </c>
      <c r="M6380">
        <v>353300</v>
      </c>
      <c r="N6380">
        <v>1</v>
      </c>
      <c r="O6380" s="3">
        <v>79950</v>
      </c>
      <c r="P6380" s="3">
        <v>26951</v>
      </c>
      <c r="Q6380" s="5">
        <f t="shared" si="297"/>
        <v>67184.873949579836</v>
      </c>
      <c r="R6380" s="5">
        <f t="shared" si="298"/>
        <v>26951</v>
      </c>
      <c r="S6380" s="5">
        <f t="shared" si="299"/>
        <v>40233.873949579836</v>
      </c>
    </row>
    <row r="6381" spans="1:19" hidden="1" x14ac:dyDescent="0.3">
      <c r="A6381">
        <v>210</v>
      </c>
      <c r="B6381" t="s">
        <v>6520</v>
      </c>
      <c r="C6381" t="s">
        <v>4022</v>
      </c>
      <c r="D6381" s="2" t="s">
        <v>4023</v>
      </c>
      <c r="E6381" t="s">
        <v>1075</v>
      </c>
      <c r="F6381" t="s">
        <v>20</v>
      </c>
      <c r="G6381" t="s">
        <v>338</v>
      </c>
      <c r="H6381">
        <v>25097</v>
      </c>
      <c r="I6381" t="s">
        <v>23</v>
      </c>
      <c r="J6381" t="s">
        <v>24</v>
      </c>
      <c r="K6381" s="2" t="s">
        <v>2386</v>
      </c>
      <c r="L6381" t="s">
        <v>26</v>
      </c>
      <c r="M6381">
        <v>353301</v>
      </c>
      <c r="N6381">
        <v>1</v>
      </c>
      <c r="O6381" s="3">
        <v>74950</v>
      </c>
      <c r="P6381" s="3">
        <v>23242</v>
      </c>
      <c r="Q6381" s="5">
        <f t="shared" si="297"/>
        <v>62983.193277310929</v>
      </c>
      <c r="R6381" s="5">
        <f t="shared" si="298"/>
        <v>23242</v>
      </c>
      <c r="S6381" s="5">
        <f t="shared" si="299"/>
        <v>39741.193277310929</v>
      </c>
    </row>
    <row r="6382" spans="1:19" hidden="1" x14ac:dyDescent="0.3">
      <c r="A6382">
        <v>210</v>
      </c>
      <c r="B6382" t="s">
        <v>6520</v>
      </c>
      <c r="C6382" t="s">
        <v>6541</v>
      </c>
      <c r="D6382" s="2" t="s">
        <v>6542</v>
      </c>
      <c r="E6382" t="s">
        <v>4662</v>
      </c>
      <c r="F6382" t="s">
        <v>20</v>
      </c>
      <c r="G6382" t="s">
        <v>21</v>
      </c>
      <c r="H6382" t="s">
        <v>2745</v>
      </c>
      <c r="I6382" t="s">
        <v>23</v>
      </c>
      <c r="J6382" t="s">
        <v>35</v>
      </c>
      <c r="K6382" s="2" t="s">
        <v>2386</v>
      </c>
      <c r="L6382" t="s">
        <v>26</v>
      </c>
      <c r="M6382">
        <v>353302</v>
      </c>
      <c r="N6382">
        <v>1</v>
      </c>
      <c r="O6382" s="3">
        <v>99950</v>
      </c>
      <c r="P6382" s="3">
        <v>33200</v>
      </c>
      <c r="Q6382" s="5">
        <f t="shared" si="297"/>
        <v>83991.596638655465</v>
      </c>
      <c r="R6382" s="5">
        <f t="shared" si="298"/>
        <v>33200</v>
      </c>
      <c r="S6382" s="5">
        <f t="shared" si="299"/>
        <v>50791.596638655465</v>
      </c>
    </row>
    <row r="6383" spans="1:19" hidden="1" x14ac:dyDescent="0.3">
      <c r="A6383">
        <v>210</v>
      </c>
      <c r="B6383" t="s">
        <v>6520</v>
      </c>
      <c r="C6383" t="s">
        <v>2224</v>
      </c>
      <c r="D6383" s="2" t="s">
        <v>2225</v>
      </c>
      <c r="E6383" t="s">
        <v>2226</v>
      </c>
      <c r="F6383" t="s">
        <v>20</v>
      </c>
      <c r="G6383" t="s">
        <v>21</v>
      </c>
      <c r="H6383" t="s">
        <v>53</v>
      </c>
      <c r="I6383" t="s">
        <v>23</v>
      </c>
      <c r="J6383" t="s">
        <v>49</v>
      </c>
      <c r="K6383" s="2" t="s">
        <v>2386</v>
      </c>
      <c r="L6383" t="s">
        <v>26</v>
      </c>
      <c r="M6383">
        <v>353303</v>
      </c>
      <c r="N6383">
        <v>1</v>
      </c>
      <c r="O6383" s="3">
        <v>69950</v>
      </c>
      <c r="P6383" s="3">
        <v>20951</v>
      </c>
      <c r="Q6383" s="5">
        <f t="shared" si="297"/>
        <v>58781.512605042022</v>
      </c>
      <c r="R6383" s="5">
        <f t="shared" si="298"/>
        <v>20951</v>
      </c>
      <c r="S6383" s="5">
        <f t="shared" si="299"/>
        <v>37830.512605042022</v>
      </c>
    </row>
    <row r="6384" spans="1:19" hidden="1" x14ac:dyDescent="0.3">
      <c r="A6384">
        <v>210</v>
      </c>
      <c r="B6384" t="s">
        <v>6520</v>
      </c>
      <c r="C6384" t="s">
        <v>6543</v>
      </c>
      <c r="D6384" s="2" t="s">
        <v>6544</v>
      </c>
      <c r="E6384" t="s">
        <v>4324</v>
      </c>
      <c r="F6384" t="s">
        <v>20</v>
      </c>
      <c r="G6384" t="s">
        <v>21</v>
      </c>
      <c r="H6384" t="s">
        <v>1440</v>
      </c>
      <c r="I6384" t="s">
        <v>23</v>
      </c>
      <c r="J6384" t="s">
        <v>40</v>
      </c>
      <c r="K6384" s="2" t="s">
        <v>2386</v>
      </c>
      <c r="L6384" t="s">
        <v>26</v>
      </c>
      <c r="M6384">
        <v>353304</v>
      </c>
      <c r="N6384">
        <v>1</v>
      </c>
      <c r="O6384" s="3">
        <v>64950</v>
      </c>
      <c r="P6384" s="3">
        <v>17328</v>
      </c>
      <c r="Q6384" s="5">
        <f t="shared" si="297"/>
        <v>54579.831932773115</v>
      </c>
      <c r="R6384" s="5">
        <f t="shared" si="298"/>
        <v>17328</v>
      </c>
      <c r="S6384" s="5">
        <f t="shared" si="299"/>
        <v>37251.831932773115</v>
      </c>
    </row>
    <row r="6385" spans="1:19" hidden="1" x14ac:dyDescent="0.3">
      <c r="A6385">
        <v>210</v>
      </c>
      <c r="B6385" t="s">
        <v>6520</v>
      </c>
      <c r="C6385" t="s">
        <v>6545</v>
      </c>
      <c r="D6385" s="2" t="s">
        <v>6546</v>
      </c>
      <c r="E6385" t="s">
        <v>4753</v>
      </c>
      <c r="F6385" t="s">
        <v>20</v>
      </c>
      <c r="G6385" t="s">
        <v>338</v>
      </c>
      <c r="H6385">
        <v>23313</v>
      </c>
      <c r="I6385" t="s">
        <v>23</v>
      </c>
      <c r="J6385" t="s">
        <v>40</v>
      </c>
      <c r="K6385" s="2" t="s">
        <v>2386</v>
      </c>
      <c r="L6385" t="s">
        <v>26</v>
      </c>
      <c r="M6385">
        <v>353305</v>
      </c>
      <c r="N6385">
        <v>1</v>
      </c>
      <c r="O6385" s="3">
        <v>69950</v>
      </c>
      <c r="P6385" s="3">
        <v>22291</v>
      </c>
      <c r="Q6385" s="5">
        <f t="shared" si="297"/>
        <v>58781.512605042022</v>
      </c>
      <c r="R6385" s="5">
        <f t="shared" si="298"/>
        <v>22291</v>
      </c>
      <c r="S6385" s="5">
        <f t="shared" si="299"/>
        <v>36490.512605042022</v>
      </c>
    </row>
    <row r="6386" spans="1:19" hidden="1" x14ac:dyDescent="0.3">
      <c r="A6386">
        <v>210</v>
      </c>
      <c r="B6386" t="s">
        <v>6520</v>
      </c>
      <c r="C6386" t="s">
        <v>2485</v>
      </c>
      <c r="D6386" s="2" t="s">
        <v>2486</v>
      </c>
      <c r="E6386" t="s">
        <v>2487</v>
      </c>
      <c r="F6386" t="s">
        <v>377</v>
      </c>
      <c r="G6386" t="s">
        <v>21</v>
      </c>
      <c r="H6386" t="s">
        <v>378</v>
      </c>
      <c r="I6386" t="s">
        <v>23</v>
      </c>
      <c r="J6386" t="s">
        <v>379</v>
      </c>
      <c r="K6386" s="2" t="s">
        <v>2386</v>
      </c>
      <c r="L6386" t="s">
        <v>26</v>
      </c>
      <c r="M6386">
        <v>353305</v>
      </c>
      <c r="N6386">
        <v>1</v>
      </c>
      <c r="O6386" s="3">
        <v>5950</v>
      </c>
      <c r="P6386" s="3">
        <v>2243</v>
      </c>
      <c r="Q6386" s="5">
        <f t="shared" si="297"/>
        <v>5000</v>
      </c>
      <c r="R6386" s="5">
        <f t="shared" si="298"/>
        <v>2243</v>
      </c>
      <c r="S6386" s="5">
        <f t="shared" si="299"/>
        <v>2757</v>
      </c>
    </row>
    <row r="6387" spans="1:19" hidden="1" x14ac:dyDescent="0.3">
      <c r="A6387">
        <v>210</v>
      </c>
      <c r="B6387" t="s">
        <v>6520</v>
      </c>
      <c r="C6387" t="s">
        <v>1977</v>
      </c>
      <c r="D6387" s="2" t="s">
        <v>1978</v>
      </c>
      <c r="E6387" t="s">
        <v>717</v>
      </c>
      <c r="F6387" t="s">
        <v>20</v>
      </c>
      <c r="G6387" t="s">
        <v>21</v>
      </c>
      <c r="H6387" t="s">
        <v>718</v>
      </c>
      <c r="I6387" t="s">
        <v>23</v>
      </c>
      <c r="J6387" t="s">
        <v>49</v>
      </c>
      <c r="K6387" s="2" t="s">
        <v>2386</v>
      </c>
      <c r="L6387" t="s">
        <v>26</v>
      </c>
      <c r="M6387">
        <v>353306</v>
      </c>
      <c r="N6387">
        <v>1</v>
      </c>
      <c r="O6387" s="3">
        <v>39990</v>
      </c>
      <c r="P6387" s="3">
        <v>26646</v>
      </c>
      <c r="Q6387" s="5">
        <f t="shared" si="297"/>
        <v>33605.042016806721</v>
      </c>
      <c r="R6387" s="5">
        <f t="shared" si="298"/>
        <v>26646</v>
      </c>
      <c r="S6387" s="5">
        <f t="shared" si="299"/>
        <v>6959.0420168067212</v>
      </c>
    </row>
    <row r="6388" spans="1:19" hidden="1" x14ac:dyDescent="0.3">
      <c r="A6388">
        <v>210</v>
      </c>
      <c r="B6388" t="s">
        <v>6520</v>
      </c>
      <c r="C6388" t="s">
        <v>2719</v>
      </c>
      <c r="D6388" s="2" t="s">
        <v>2720</v>
      </c>
      <c r="E6388" t="s">
        <v>2721</v>
      </c>
      <c r="F6388" t="s">
        <v>20</v>
      </c>
      <c r="G6388" t="s">
        <v>21</v>
      </c>
      <c r="H6388" t="s">
        <v>1422</v>
      </c>
      <c r="I6388" t="s">
        <v>23</v>
      </c>
      <c r="J6388" t="s">
        <v>49</v>
      </c>
      <c r="K6388" s="2" t="s">
        <v>2386</v>
      </c>
      <c r="L6388" t="s">
        <v>26</v>
      </c>
      <c r="M6388">
        <v>353307</v>
      </c>
      <c r="N6388">
        <v>1</v>
      </c>
      <c r="O6388" s="3">
        <v>59990</v>
      </c>
      <c r="P6388" s="3">
        <v>27667</v>
      </c>
      <c r="Q6388" s="5">
        <f t="shared" si="297"/>
        <v>50411.764705882357</v>
      </c>
      <c r="R6388" s="5">
        <f t="shared" si="298"/>
        <v>27667</v>
      </c>
      <c r="S6388" s="5">
        <f t="shared" si="299"/>
        <v>22744.764705882357</v>
      </c>
    </row>
    <row r="6389" spans="1:19" hidden="1" x14ac:dyDescent="0.3">
      <c r="A6389">
        <v>210</v>
      </c>
      <c r="B6389" t="s">
        <v>6520</v>
      </c>
      <c r="C6389" t="s">
        <v>6547</v>
      </c>
      <c r="D6389" s="2" t="s">
        <v>6548</v>
      </c>
      <c r="E6389" t="s">
        <v>2436</v>
      </c>
      <c r="F6389" t="s">
        <v>20</v>
      </c>
      <c r="G6389" t="s">
        <v>338</v>
      </c>
      <c r="H6389">
        <v>22318</v>
      </c>
      <c r="I6389" t="s">
        <v>23</v>
      </c>
      <c r="J6389" t="s">
        <v>49</v>
      </c>
      <c r="K6389" s="2" t="s">
        <v>2386</v>
      </c>
      <c r="L6389" t="s">
        <v>26</v>
      </c>
      <c r="M6389">
        <v>353308</v>
      </c>
      <c r="N6389">
        <v>1</v>
      </c>
      <c r="O6389" s="3">
        <v>74950</v>
      </c>
      <c r="P6389" s="3">
        <v>23473</v>
      </c>
      <c r="Q6389" s="5">
        <f t="shared" si="297"/>
        <v>62983.193277310929</v>
      </c>
      <c r="R6389" s="5">
        <f t="shared" si="298"/>
        <v>23473</v>
      </c>
      <c r="S6389" s="5">
        <f t="shared" si="299"/>
        <v>39510.193277310929</v>
      </c>
    </row>
    <row r="6390" spans="1:19" hidden="1" x14ac:dyDescent="0.3">
      <c r="A6390">
        <v>210</v>
      </c>
      <c r="B6390" t="s">
        <v>6520</v>
      </c>
      <c r="C6390" t="s">
        <v>5664</v>
      </c>
      <c r="D6390" s="2" t="s">
        <v>5665</v>
      </c>
      <c r="E6390" t="s">
        <v>3656</v>
      </c>
      <c r="F6390" t="s">
        <v>20</v>
      </c>
      <c r="G6390" t="s">
        <v>21</v>
      </c>
      <c r="H6390" t="s">
        <v>614</v>
      </c>
      <c r="I6390" t="s">
        <v>23</v>
      </c>
      <c r="J6390" t="s">
        <v>40</v>
      </c>
      <c r="K6390" s="2" t="s">
        <v>2386</v>
      </c>
      <c r="L6390" t="s">
        <v>26</v>
      </c>
      <c r="M6390">
        <v>353309</v>
      </c>
      <c r="N6390">
        <v>1</v>
      </c>
      <c r="O6390" s="3">
        <v>54950</v>
      </c>
      <c r="P6390" s="3">
        <v>14265</v>
      </c>
      <c r="Q6390" s="5">
        <f t="shared" si="297"/>
        <v>46176.470588235294</v>
      </c>
      <c r="R6390" s="5">
        <f t="shared" si="298"/>
        <v>14265</v>
      </c>
      <c r="S6390" s="5">
        <f t="shared" si="299"/>
        <v>31911.470588235294</v>
      </c>
    </row>
    <row r="6391" spans="1:19" hidden="1" x14ac:dyDescent="0.3">
      <c r="A6391">
        <v>210</v>
      </c>
      <c r="B6391" t="s">
        <v>6520</v>
      </c>
      <c r="C6391" t="s">
        <v>6025</v>
      </c>
      <c r="D6391" s="2" t="s">
        <v>6026</v>
      </c>
      <c r="E6391" t="s">
        <v>2632</v>
      </c>
      <c r="F6391" t="s">
        <v>20</v>
      </c>
      <c r="G6391" t="s">
        <v>21</v>
      </c>
      <c r="H6391" t="s">
        <v>2469</v>
      </c>
      <c r="I6391" t="s">
        <v>23</v>
      </c>
      <c r="J6391" t="s">
        <v>49</v>
      </c>
      <c r="K6391" s="2" t="s">
        <v>2386</v>
      </c>
      <c r="L6391" t="s">
        <v>26</v>
      </c>
      <c r="M6391">
        <v>353310</v>
      </c>
      <c r="N6391">
        <v>1</v>
      </c>
      <c r="O6391" s="3">
        <v>64950</v>
      </c>
      <c r="P6391" s="3">
        <v>21379</v>
      </c>
      <c r="Q6391" s="5">
        <f t="shared" si="297"/>
        <v>54579.831932773115</v>
      </c>
      <c r="R6391" s="5">
        <f t="shared" si="298"/>
        <v>21379</v>
      </c>
      <c r="S6391" s="5">
        <f t="shared" si="299"/>
        <v>33200.831932773115</v>
      </c>
    </row>
    <row r="6392" spans="1:19" hidden="1" x14ac:dyDescent="0.3">
      <c r="A6392">
        <v>210</v>
      </c>
      <c r="B6392" t="s">
        <v>6520</v>
      </c>
      <c r="C6392" t="s">
        <v>6549</v>
      </c>
      <c r="D6392" s="2" t="s">
        <v>6550</v>
      </c>
      <c r="E6392" t="s">
        <v>6551</v>
      </c>
      <c r="F6392" t="s">
        <v>20</v>
      </c>
      <c r="G6392" t="s">
        <v>21</v>
      </c>
      <c r="H6392" t="s">
        <v>1943</v>
      </c>
      <c r="I6392" t="s">
        <v>23</v>
      </c>
      <c r="J6392" t="s">
        <v>49</v>
      </c>
      <c r="K6392" s="2" t="s">
        <v>2386</v>
      </c>
      <c r="L6392" t="s">
        <v>26</v>
      </c>
      <c r="M6392">
        <v>353311</v>
      </c>
      <c r="N6392">
        <v>1</v>
      </c>
      <c r="O6392" s="3">
        <v>39990</v>
      </c>
      <c r="P6392" s="3">
        <v>23762</v>
      </c>
      <c r="Q6392" s="5">
        <f t="shared" si="297"/>
        <v>33605.042016806721</v>
      </c>
      <c r="R6392" s="5">
        <f t="shared" si="298"/>
        <v>23762</v>
      </c>
      <c r="S6392" s="5">
        <f t="shared" si="299"/>
        <v>9843.0420168067212</v>
      </c>
    </row>
    <row r="6393" spans="1:19" hidden="1" x14ac:dyDescent="0.3">
      <c r="A6393">
        <v>210</v>
      </c>
      <c r="B6393" t="s">
        <v>6520</v>
      </c>
      <c r="C6393" t="s">
        <v>2926</v>
      </c>
      <c r="D6393" s="2" t="s">
        <v>2927</v>
      </c>
      <c r="E6393" t="s">
        <v>2110</v>
      </c>
      <c r="F6393" t="s">
        <v>20</v>
      </c>
      <c r="G6393" t="s">
        <v>21</v>
      </c>
      <c r="H6393" t="s">
        <v>22</v>
      </c>
      <c r="I6393" t="s">
        <v>23</v>
      </c>
      <c r="J6393" t="s">
        <v>24</v>
      </c>
      <c r="K6393" s="2" t="s">
        <v>2386</v>
      </c>
      <c r="L6393" t="s">
        <v>26</v>
      </c>
      <c r="M6393">
        <v>353312</v>
      </c>
      <c r="N6393">
        <v>1</v>
      </c>
      <c r="O6393" s="3">
        <v>79950</v>
      </c>
      <c r="P6393" s="3">
        <v>27748</v>
      </c>
      <c r="Q6393" s="5">
        <f t="shared" si="297"/>
        <v>67184.873949579836</v>
      </c>
      <c r="R6393" s="5">
        <f t="shared" si="298"/>
        <v>27748</v>
      </c>
      <c r="S6393" s="5">
        <f t="shared" si="299"/>
        <v>39436.873949579836</v>
      </c>
    </row>
    <row r="6394" spans="1:19" hidden="1" x14ac:dyDescent="0.3">
      <c r="A6394">
        <v>210</v>
      </c>
      <c r="B6394" t="s">
        <v>6520</v>
      </c>
      <c r="C6394" t="s">
        <v>2630</v>
      </c>
      <c r="D6394" s="2" t="s">
        <v>2631</v>
      </c>
      <c r="E6394" t="s">
        <v>2632</v>
      </c>
      <c r="F6394" t="s">
        <v>20</v>
      </c>
      <c r="G6394" t="s">
        <v>21</v>
      </c>
      <c r="H6394" t="s">
        <v>2469</v>
      </c>
      <c r="I6394" t="s">
        <v>23</v>
      </c>
      <c r="J6394" t="s">
        <v>49</v>
      </c>
      <c r="K6394" s="2" t="s">
        <v>2386</v>
      </c>
      <c r="L6394" t="s">
        <v>26</v>
      </c>
      <c r="M6394">
        <v>353313</v>
      </c>
      <c r="N6394">
        <v>1</v>
      </c>
      <c r="O6394" s="3">
        <v>58450</v>
      </c>
      <c r="P6394" s="3">
        <v>21365</v>
      </c>
      <c r="Q6394" s="5">
        <f t="shared" si="297"/>
        <v>49117.647058823532</v>
      </c>
      <c r="R6394" s="5">
        <f t="shared" si="298"/>
        <v>21365</v>
      </c>
      <c r="S6394" s="5">
        <f t="shared" si="299"/>
        <v>27752.647058823532</v>
      </c>
    </row>
    <row r="6395" spans="1:19" hidden="1" x14ac:dyDescent="0.3">
      <c r="A6395">
        <v>210</v>
      </c>
      <c r="B6395" t="s">
        <v>6520</v>
      </c>
      <c r="C6395" t="s">
        <v>4010</v>
      </c>
      <c r="D6395" s="2" t="s">
        <v>4011</v>
      </c>
      <c r="E6395" t="s">
        <v>1428</v>
      </c>
      <c r="F6395" t="s">
        <v>20</v>
      </c>
      <c r="G6395" t="s">
        <v>21</v>
      </c>
      <c r="H6395" t="s">
        <v>57</v>
      </c>
      <c r="I6395" t="s">
        <v>23</v>
      </c>
      <c r="J6395" t="s">
        <v>35</v>
      </c>
      <c r="K6395" s="2" t="s">
        <v>2386</v>
      </c>
      <c r="L6395" t="s">
        <v>26</v>
      </c>
      <c r="M6395">
        <v>353314</v>
      </c>
      <c r="N6395">
        <v>1</v>
      </c>
      <c r="O6395" s="3">
        <v>89950</v>
      </c>
      <c r="P6395" s="3">
        <v>31700</v>
      </c>
      <c r="Q6395" s="5">
        <f t="shared" si="297"/>
        <v>75588.23529411765</v>
      </c>
      <c r="R6395" s="5">
        <f t="shared" si="298"/>
        <v>31700</v>
      </c>
      <c r="S6395" s="5">
        <f t="shared" si="299"/>
        <v>43888.23529411765</v>
      </c>
    </row>
    <row r="6396" spans="1:19" hidden="1" x14ac:dyDescent="0.3">
      <c r="A6396">
        <v>210</v>
      </c>
      <c r="B6396" t="s">
        <v>6520</v>
      </c>
      <c r="C6396" t="s">
        <v>2840</v>
      </c>
      <c r="D6396" s="2" t="s">
        <v>2841</v>
      </c>
      <c r="E6396" t="s">
        <v>2110</v>
      </c>
      <c r="F6396" t="s">
        <v>20</v>
      </c>
      <c r="G6396" t="s">
        <v>21</v>
      </c>
      <c r="H6396" t="s">
        <v>22</v>
      </c>
      <c r="I6396" t="s">
        <v>23</v>
      </c>
      <c r="J6396" t="s">
        <v>24</v>
      </c>
      <c r="K6396" s="2" t="s">
        <v>2386</v>
      </c>
      <c r="L6396" t="s">
        <v>26</v>
      </c>
      <c r="M6396">
        <v>353315</v>
      </c>
      <c r="N6396">
        <v>1</v>
      </c>
      <c r="O6396" s="3">
        <v>79950</v>
      </c>
      <c r="P6396" s="3">
        <v>27760</v>
      </c>
      <c r="Q6396" s="5">
        <f t="shared" si="297"/>
        <v>67184.873949579836</v>
      </c>
      <c r="R6396" s="5">
        <f t="shared" si="298"/>
        <v>27760</v>
      </c>
      <c r="S6396" s="5">
        <f t="shared" si="299"/>
        <v>39424.873949579836</v>
      </c>
    </row>
    <row r="6397" spans="1:19" hidden="1" x14ac:dyDescent="0.3">
      <c r="A6397">
        <v>210</v>
      </c>
      <c r="B6397" t="s">
        <v>6520</v>
      </c>
      <c r="C6397" t="s">
        <v>4338</v>
      </c>
      <c r="D6397" s="2" t="s">
        <v>4339</v>
      </c>
      <c r="E6397" t="s">
        <v>2666</v>
      </c>
      <c r="F6397" t="s">
        <v>20</v>
      </c>
      <c r="G6397" t="s">
        <v>21</v>
      </c>
      <c r="H6397" t="s">
        <v>65</v>
      </c>
      <c r="I6397" t="s">
        <v>23</v>
      </c>
      <c r="J6397" t="s">
        <v>49</v>
      </c>
      <c r="K6397" s="2" t="s">
        <v>2386</v>
      </c>
      <c r="L6397" t="s">
        <v>26</v>
      </c>
      <c r="M6397">
        <v>353316</v>
      </c>
      <c r="N6397">
        <v>-1</v>
      </c>
      <c r="O6397" s="3">
        <v>-64950</v>
      </c>
      <c r="P6397" s="3">
        <v>22797</v>
      </c>
      <c r="Q6397" s="5">
        <f t="shared" si="297"/>
        <v>-54579.831932773115</v>
      </c>
      <c r="R6397" s="5">
        <f t="shared" si="298"/>
        <v>-22797</v>
      </c>
      <c r="S6397" s="5">
        <f t="shared" si="299"/>
        <v>-31782.831932773115</v>
      </c>
    </row>
    <row r="6398" spans="1:19" hidden="1" x14ac:dyDescent="0.3">
      <c r="A6398">
        <v>210</v>
      </c>
      <c r="B6398" t="s">
        <v>6520</v>
      </c>
      <c r="C6398" t="s">
        <v>2664</v>
      </c>
      <c r="D6398" s="2" t="s">
        <v>2665</v>
      </c>
      <c r="E6398" t="s">
        <v>2666</v>
      </c>
      <c r="F6398" t="s">
        <v>20</v>
      </c>
      <c r="G6398" t="s">
        <v>21</v>
      </c>
      <c r="H6398" t="s">
        <v>65</v>
      </c>
      <c r="I6398" t="s">
        <v>23</v>
      </c>
      <c r="J6398" t="s">
        <v>49</v>
      </c>
      <c r="K6398" s="2" t="s">
        <v>2386</v>
      </c>
      <c r="L6398" t="s">
        <v>26</v>
      </c>
      <c r="M6398">
        <v>353316</v>
      </c>
      <c r="N6398">
        <v>1</v>
      </c>
      <c r="O6398" s="3">
        <v>64950</v>
      </c>
      <c r="P6398" s="3">
        <v>22802</v>
      </c>
      <c r="Q6398" s="5">
        <f t="shared" si="297"/>
        <v>54579.831932773115</v>
      </c>
      <c r="R6398" s="5">
        <f t="shared" si="298"/>
        <v>22802</v>
      </c>
      <c r="S6398" s="5">
        <f t="shared" si="299"/>
        <v>31777.831932773115</v>
      </c>
    </row>
    <row r="6399" spans="1:19" hidden="1" x14ac:dyDescent="0.3">
      <c r="A6399">
        <v>210</v>
      </c>
      <c r="B6399" t="s">
        <v>6520</v>
      </c>
      <c r="C6399" t="s">
        <v>2403</v>
      </c>
      <c r="D6399" s="2" t="s">
        <v>2404</v>
      </c>
      <c r="E6399" t="s">
        <v>2389</v>
      </c>
      <c r="F6399" t="s">
        <v>20</v>
      </c>
      <c r="G6399" t="s">
        <v>21</v>
      </c>
      <c r="H6399" t="s">
        <v>65</v>
      </c>
      <c r="I6399" t="s">
        <v>23</v>
      </c>
      <c r="J6399" t="s">
        <v>49</v>
      </c>
      <c r="K6399" s="2" t="s">
        <v>2386</v>
      </c>
      <c r="L6399" t="s">
        <v>26</v>
      </c>
      <c r="M6399">
        <v>353316</v>
      </c>
      <c r="N6399">
        <v>-1</v>
      </c>
      <c r="O6399" s="3">
        <v>-49990</v>
      </c>
      <c r="P6399" s="3">
        <v>23717</v>
      </c>
      <c r="Q6399" s="5">
        <f t="shared" si="297"/>
        <v>-42008.403361344543</v>
      </c>
      <c r="R6399" s="5">
        <f t="shared" si="298"/>
        <v>-23717</v>
      </c>
      <c r="S6399" s="5">
        <f t="shared" si="299"/>
        <v>-18291.403361344543</v>
      </c>
    </row>
    <row r="6400" spans="1:19" hidden="1" x14ac:dyDescent="0.3">
      <c r="A6400">
        <v>210</v>
      </c>
      <c r="B6400" t="s">
        <v>6520</v>
      </c>
      <c r="C6400" t="s">
        <v>6552</v>
      </c>
      <c r="D6400" s="2" t="s">
        <v>6553</v>
      </c>
      <c r="E6400" t="s">
        <v>2389</v>
      </c>
      <c r="F6400" t="s">
        <v>20</v>
      </c>
      <c r="G6400" t="s">
        <v>21</v>
      </c>
      <c r="H6400" t="s">
        <v>65</v>
      </c>
      <c r="I6400" t="s">
        <v>23</v>
      </c>
      <c r="J6400" t="s">
        <v>49</v>
      </c>
      <c r="K6400" s="2" t="s">
        <v>2386</v>
      </c>
      <c r="L6400" t="s">
        <v>26</v>
      </c>
      <c r="M6400">
        <v>353316</v>
      </c>
      <c r="N6400">
        <v>1</v>
      </c>
      <c r="O6400" s="3">
        <v>49991</v>
      </c>
      <c r="P6400" s="3">
        <v>23719</v>
      </c>
      <c r="Q6400" s="5">
        <f t="shared" si="297"/>
        <v>42009.243697478996</v>
      </c>
      <c r="R6400" s="5">
        <f t="shared" si="298"/>
        <v>23719</v>
      </c>
      <c r="S6400" s="5">
        <f t="shared" si="299"/>
        <v>18290.243697478996</v>
      </c>
    </row>
    <row r="6401" spans="1:19" hidden="1" x14ac:dyDescent="0.3">
      <c r="A6401">
        <v>210</v>
      </c>
      <c r="B6401" t="s">
        <v>6520</v>
      </c>
      <c r="C6401" t="s">
        <v>6554</v>
      </c>
      <c r="D6401" s="2" t="s">
        <v>6555</v>
      </c>
      <c r="E6401" t="s">
        <v>1244</v>
      </c>
      <c r="F6401" t="s">
        <v>20</v>
      </c>
      <c r="G6401" t="s">
        <v>338</v>
      </c>
      <c r="H6401">
        <v>83707</v>
      </c>
      <c r="I6401" t="s">
        <v>23</v>
      </c>
      <c r="J6401" t="s">
        <v>40</v>
      </c>
      <c r="K6401" s="2" t="s">
        <v>2386</v>
      </c>
      <c r="L6401" t="s">
        <v>26</v>
      </c>
      <c r="M6401">
        <v>353317</v>
      </c>
      <c r="N6401">
        <v>1</v>
      </c>
      <c r="O6401" s="3">
        <v>69990</v>
      </c>
      <c r="P6401" s="3">
        <v>30263</v>
      </c>
      <c r="Q6401" s="5">
        <f t="shared" si="297"/>
        <v>58815.126050420171</v>
      </c>
      <c r="R6401" s="5">
        <f t="shared" si="298"/>
        <v>30263</v>
      </c>
      <c r="S6401" s="5">
        <f t="shared" si="299"/>
        <v>28552.126050420171</v>
      </c>
    </row>
    <row r="6402" spans="1:19" hidden="1" x14ac:dyDescent="0.3">
      <c r="A6402">
        <v>210</v>
      </c>
      <c r="B6402" t="s">
        <v>6520</v>
      </c>
      <c r="C6402" t="s">
        <v>6556</v>
      </c>
      <c r="D6402" s="2" t="s">
        <v>6557</v>
      </c>
      <c r="E6402" t="s">
        <v>4859</v>
      </c>
      <c r="F6402" t="s">
        <v>20</v>
      </c>
      <c r="G6402" t="s">
        <v>338</v>
      </c>
      <c r="H6402">
        <v>23624</v>
      </c>
      <c r="I6402" t="s">
        <v>23</v>
      </c>
      <c r="J6402" t="s">
        <v>40</v>
      </c>
      <c r="K6402" s="2" t="s">
        <v>2386</v>
      </c>
      <c r="L6402" t="s">
        <v>26</v>
      </c>
      <c r="M6402">
        <v>353318</v>
      </c>
      <c r="N6402">
        <v>1</v>
      </c>
      <c r="O6402" s="3">
        <v>79950</v>
      </c>
      <c r="P6402" s="3">
        <v>24718</v>
      </c>
      <c r="Q6402" s="5">
        <f t="shared" si="297"/>
        <v>67184.873949579836</v>
      </c>
      <c r="R6402" s="5">
        <f t="shared" si="298"/>
        <v>24718</v>
      </c>
      <c r="S6402" s="5">
        <f t="shared" si="299"/>
        <v>42466.873949579836</v>
      </c>
    </row>
    <row r="6403" spans="1:19" hidden="1" x14ac:dyDescent="0.3">
      <c r="A6403">
        <v>210</v>
      </c>
      <c r="B6403" t="s">
        <v>6520</v>
      </c>
      <c r="C6403" t="s">
        <v>6558</v>
      </c>
      <c r="D6403" s="2" t="s">
        <v>6559</v>
      </c>
      <c r="E6403" t="s">
        <v>6560</v>
      </c>
      <c r="F6403" t="s">
        <v>20</v>
      </c>
      <c r="G6403" t="s">
        <v>21</v>
      </c>
      <c r="H6403" t="s">
        <v>2048</v>
      </c>
      <c r="I6403" t="s">
        <v>23</v>
      </c>
      <c r="J6403" t="s">
        <v>207</v>
      </c>
      <c r="K6403" s="2" t="s">
        <v>2386</v>
      </c>
      <c r="L6403" t="s">
        <v>26</v>
      </c>
      <c r="M6403">
        <v>353319</v>
      </c>
      <c r="N6403">
        <v>-1</v>
      </c>
      <c r="O6403" s="3">
        <v>-48960</v>
      </c>
      <c r="P6403" s="3">
        <v>23601</v>
      </c>
      <c r="Q6403" s="5">
        <f t="shared" si="297"/>
        <v>-41142.857142857145</v>
      </c>
      <c r="R6403" s="5">
        <f t="shared" si="298"/>
        <v>-23601</v>
      </c>
      <c r="S6403" s="5">
        <f t="shared" si="299"/>
        <v>-17541.857142857145</v>
      </c>
    </row>
    <row r="6404" spans="1:19" hidden="1" x14ac:dyDescent="0.3">
      <c r="A6404">
        <v>210</v>
      </c>
      <c r="B6404" t="s">
        <v>6520</v>
      </c>
      <c r="C6404" t="s">
        <v>4974</v>
      </c>
      <c r="D6404" s="2" t="s">
        <v>4975</v>
      </c>
      <c r="E6404" t="s">
        <v>4976</v>
      </c>
      <c r="F6404" t="s">
        <v>20</v>
      </c>
      <c r="G6404" t="s">
        <v>338</v>
      </c>
      <c r="H6404">
        <v>23313</v>
      </c>
      <c r="I6404" t="s">
        <v>23</v>
      </c>
      <c r="J6404" t="s">
        <v>40</v>
      </c>
      <c r="K6404" s="2" t="s">
        <v>2386</v>
      </c>
      <c r="L6404" t="s">
        <v>26</v>
      </c>
      <c r="M6404">
        <v>353319</v>
      </c>
      <c r="N6404">
        <v>1</v>
      </c>
      <c r="O6404" s="3">
        <v>49990</v>
      </c>
      <c r="P6404" s="3">
        <v>23745</v>
      </c>
      <c r="Q6404" s="5">
        <f t="shared" si="297"/>
        <v>42008.403361344543</v>
      </c>
      <c r="R6404" s="5">
        <f t="shared" si="298"/>
        <v>23745</v>
      </c>
      <c r="S6404" s="5">
        <f t="shared" si="299"/>
        <v>18263.403361344543</v>
      </c>
    </row>
    <row r="6405" spans="1:19" hidden="1" x14ac:dyDescent="0.3">
      <c r="A6405">
        <v>210</v>
      </c>
      <c r="B6405" t="s">
        <v>6520</v>
      </c>
      <c r="C6405" t="s">
        <v>6349</v>
      </c>
      <c r="D6405" s="2" t="s">
        <v>6350</v>
      </c>
      <c r="E6405" t="s">
        <v>954</v>
      </c>
      <c r="F6405" t="s">
        <v>20</v>
      </c>
      <c r="G6405" t="s">
        <v>21</v>
      </c>
      <c r="H6405" t="s">
        <v>557</v>
      </c>
      <c r="I6405" t="s">
        <v>23</v>
      </c>
      <c r="J6405" t="s">
        <v>40</v>
      </c>
      <c r="K6405" s="2" t="s">
        <v>2386</v>
      </c>
      <c r="L6405" t="s">
        <v>26</v>
      </c>
      <c r="M6405">
        <v>353320</v>
      </c>
      <c r="N6405">
        <v>1</v>
      </c>
      <c r="O6405" s="3">
        <v>79950</v>
      </c>
      <c r="P6405" s="3">
        <v>26779</v>
      </c>
      <c r="Q6405" s="5">
        <f t="shared" si="297"/>
        <v>67184.873949579836</v>
      </c>
      <c r="R6405" s="5">
        <f t="shared" si="298"/>
        <v>26779</v>
      </c>
      <c r="S6405" s="5">
        <f t="shared" si="299"/>
        <v>40405.873949579836</v>
      </c>
    </row>
    <row r="6406" spans="1:19" hidden="1" x14ac:dyDescent="0.3">
      <c r="A6406">
        <v>210</v>
      </c>
      <c r="B6406" t="s">
        <v>6520</v>
      </c>
      <c r="C6406" t="s">
        <v>2716</v>
      </c>
      <c r="D6406" s="2" t="s">
        <v>2717</v>
      </c>
      <c r="E6406" t="s">
        <v>2718</v>
      </c>
      <c r="F6406" t="s">
        <v>20</v>
      </c>
      <c r="G6406" t="s">
        <v>21</v>
      </c>
      <c r="H6406" t="s">
        <v>1887</v>
      </c>
      <c r="I6406" t="s">
        <v>23</v>
      </c>
      <c r="J6406" t="s">
        <v>40</v>
      </c>
      <c r="K6406" s="2" t="s">
        <v>2386</v>
      </c>
      <c r="L6406" t="s">
        <v>26</v>
      </c>
      <c r="M6406">
        <v>353321</v>
      </c>
      <c r="N6406">
        <v>1</v>
      </c>
      <c r="O6406" s="3">
        <v>69950</v>
      </c>
      <c r="P6406" s="3">
        <v>22018</v>
      </c>
      <c r="Q6406" s="5">
        <f t="shared" ref="Q6406:Q6469" si="300">O6406/1.19</f>
        <v>58781.512605042022</v>
      </c>
      <c r="R6406" s="5">
        <f t="shared" ref="R6406:R6469" si="301">N6406*P6406</f>
        <v>22018</v>
      </c>
      <c r="S6406" s="5">
        <f t="shared" ref="S6406:S6469" si="302">Q6406-R6406</f>
        <v>36763.512605042022</v>
      </c>
    </row>
    <row r="6407" spans="1:19" hidden="1" x14ac:dyDescent="0.3">
      <c r="A6407">
        <v>210</v>
      </c>
      <c r="B6407" t="s">
        <v>6520</v>
      </c>
      <c r="C6407" t="s">
        <v>4047</v>
      </c>
      <c r="D6407" s="2" t="s">
        <v>4048</v>
      </c>
      <c r="E6407" t="s">
        <v>4049</v>
      </c>
      <c r="F6407" t="s">
        <v>20</v>
      </c>
      <c r="G6407" t="s">
        <v>21</v>
      </c>
      <c r="H6407" t="s">
        <v>3351</v>
      </c>
      <c r="I6407" t="s">
        <v>23</v>
      </c>
      <c r="J6407" t="s">
        <v>40</v>
      </c>
      <c r="K6407" s="2" t="s">
        <v>2386</v>
      </c>
      <c r="L6407" t="s">
        <v>26</v>
      </c>
      <c r="M6407">
        <v>353322</v>
      </c>
      <c r="N6407">
        <v>1</v>
      </c>
      <c r="O6407" s="3">
        <v>79950</v>
      </c>
      <c r="P6407" s="3">
        <v>30166</v>
      </c>
      <c r="Q6407" s="5">
        <f t="shared" si="300"/>
        <v>67184.873949579836</v>
      </c>
      <c r="R6407" s="5">
        <f t="shared" si="301"/>
        <v>30166</v>
      </c>
      <c r="S6407" s="5">
        <f t="shared" si="302"/>
        <v>37018.873949579836</v>
      </c>
    </row>
    <row r="6408" spans="1:19" hidden="1" x14ac:dyDescent="0.3">
      <c r="A6408">
        <v>210</v>
      </c>
      <c r="B6408" t="s">
        <v>6520</v>
      </c>
      <c r="C6408" t="s">
        <v>5820</v>
      </c>
      <c r="D6408" s="2" t="s">
        <v>5821</v>
      </c>
      <c r="E6408" t="s">
        <v>1428</v>
      </c>
      <c r="F6408" t="s">
        <v>20</v>
      </c>
      <c r="G6408" t="s">
        <v>21</v>
      </c>
      <c r="H6408" t="s">
        <v>57</v>
      </c>
      <c r="I6408" t="s">
        <v>23</v>
      </c>
      <c r="J6408" t="s">
        <v>35</v>
      </c>
      <c r="K6408" s="2" t="s">
        <v>2386</v>
      </c>
      <c r="L6408" t="s">
        <v>26</v>
      </c>
      <c r="M6408">
        <v>353323</v>
      </c>
      <c r="N6408">
        <v>1</v>
      </c>
      <c r="O6408" s="3">
        <v>89950</v>
      </c>
      <c r="P6408" s="3">
        <v>31783</v>
      </c>
      <c r="Q6408" s="5">
        <f t="shared" si="300"/>
        <v>75588.23529411765</v>
      </c>
      <c r="R6408" s="5">
        <f t="shared" si="301"/>
        <v>31783</v>
      </c>
      <c r="S6408" s="5">
        <f t="shared" si="302"/>
        <v>43805.23529411765</v>
      </c>
    </row>
    <row r="6409" spans="1:19" hidden="1" x14ac:dyDescent="0.3">
      <c r="A6409">
        <v>210</v>
      </c>
      <c r="B6409" t="s">
        <v>6520</v>
      </c>
      <c r="C6409" t="s">
        <v>1328</v>
      </c>
      <c r="D6409" s="2" t="s">
        <v>1329</v>
      </c>
      <c r="E6409" t="s">
        <v>1330</v>
      </c>
      <c r="F6409" t="s">
        <v>20</v>
      </c>
      <c r="G6409" t="s">
        <v>338</v>
      </c>
      <c r="H6409">
        <v>25133</v>
      </c>
      <c r="I6409" t="s">
        <v>23</v>
      </c>
      <c r="J6409" t="s">
        <v>35</v>
      </c>
      <c r="K6409" s="2" t="s">
        <v>2470</v>
      </c>
      <c r="L6409" t="s">
        <v>26</v>
      </c>
      <c r="M6409">
        <v>353324</v>
      </c>
      <c r="N6409">
        <v>1</v>
      </c>
      <c r="O6409" s="3">
        <v>74950</v>
      </c>
      <c r="P6409" s="3">
        <v>21167</v>
      </c>
      <c r="Q6409" s="5">
        <f t="shared" si="300"/>
        <v>62983.193277310929</v>
      </c>
      <c r="R6409" s="5">
        <f t="shared" si="301"/>
        <v>21167</v>
      </c>
      <c r="S6409" s="5">
        <f t="shared" si="302"/>
        <v>41816.193277310929</v>
      </c>
    </row>
    <row r="6410" spans="1:19" hidden="1" x14ac:dyDescent="0.3">
      <c r="A6410">
        <v>210</v>
      </c>
      <c r="B6410" t="s">
        <v>6520</v>
      </c>
      <c r="C6410" t="s">
        <v>6561</v>
      </c>
      <c r="D6410" s="2" t="s">
        <v>6562</v>
      </c>
      <c r="E6410" t="s">
        <v>3048</v>
      </c>
      <c r="F6410" t="s">
        <v>20</v>
      </c>
      <c r="G6410" t="s">
        <v>21</v>
      </c>
      <c r="H6410" t="s">
        <v>2484</v>
      </c>
      <c r="I6410" t="s">
        <v>23</v>
      </c>
      <c r="J6410" t="s">
        <v>40</v>
      </c>
      <c r="K6410" s="2" t="s">
        <v>2470</v>
      </c>
      <c r="L6410" t="s">
        <v>26</v>
      </c>
      <c r="M6410">
        <v>353325</v>
      </c>
      <c r="N6410">
        <v>1</v>
      </c>
      <c r="O6410" s="3">
        <v>59951</v>
      </c>
      <c r="P6410" s="3">
        <v>17503</v>
      </c>
      <c r="Q6410" s="5">
        <f t="shared" si="300"/>
        <v>50378.991596638654</v>
      </c>
      <c r="R6410" s="5">
        <f t="shared" si="301"/>
        <v>17503</v>
      </c>
      <c r="S6410" s="5">
        <f t="shared" si="302"/>
        <v>32875.991596638654</v>
      </c>
    </row>
    <row r="6411" spans="1:19" hidden="1" x14ac:dyDescent="0.3">
      <c r="A6411">
        <v>210</v>
      </c>
      <c r="B6411" t="s">
        <v>6520</v>
      </c>
      <c r="C6411" t="s">
        <v>6563</v>
      </c>
      <c r="D6411" s="2" t="s">
        <v>6564</v>
      </c>
      <c r="E6411" t="s">
        <v>2483</v>
      </c>
      <c r="F6411" t="s">
        <v>20</v>
      </c>
      <c r="G6411" t="s">
        <v>21</v>
      </c>
      <c r="H6411" t="s">
        <v>2484</v>
      </c>
      <c r="I6411" t="s">
        <v>23</v>
      </c>
      <c r="J6411" t="s">
        <v>40</v>
      </c>
      <c r="K6411" s="2" t="s">
        <v>2470</v>
      </c>
      <c r="L6411" t="s">
        <v>26</v>
      </c>
      <c r="M6411">
        <v>353325</v>
      </c>
      <c r="N6411">
        <v>-1</v>
      </c>
      <c r="O6411" s="3">
        <v>-59950</v>
      </c>
      <c r="P6411" s="3">
        <v>17503</v>
      </c>
      <c r="Q6411" s="5">
        <f t="shared" si="300"/>
        <v>-50378.151260504201</v>
      </c>
      <c r="R6411" s="5">
        <f t="shared" si="301"/>
        <v>-17503</v>
      </c>
      <c r="S6411" s="5">
        <f t="shared" si="302"/>
        <v>-32875.151260504201</v>
      </c>
    </row>
    <row r="6412" spans="1:19" hidden="1" x14ac:dyDescent="0.3">
      <c r="A6412">
        <v>210</v>
      </c>
      <c r="B6412" t="s">
        <v>6520</v>
      </c>
      <c r="C6412" t="s">
        <v>5964</v>
      </c>
      <c r="D6412" s="2" t="s">
        <v>5965</v>
      </c>
      <c r="E6412" t="s">
        <v>5642</v>
      </c>
      <c r="F6412" t="s">
        <v>20</v>
      </c>
      <c r="G6412" t="s">
        <v>21</v>
      </c>
      <c r="H6412" t="s">
        <v>2189</v>
      </c>
      <c r="I6412" t="s">
        <v>23</v>
      </c>
      <c r="J6412" t="s">
        <v>40</v>
      </c>
      <c r="K6412" s="2" t="s">
        <v>2470</v>
      </c>
      <c r="L6412" t="s">
        <v>26</v>
      </c>
      <c r="M6412">
        <v>353326</v>
      </c>
      <c r="N6412">
        <v>1</v>
      </c>
      <c r="O6412" s="3">
        <v>64950</v>
      </c>
      <c r="P6412" s="3">
        <v>20795</v>
      </c>
      <c r="Q6412" s="5">
        <f t="shared" si="300"/>
        <v>54579.831932773115</v>
      </c>
      <c r="R6412" s="5">
        <f t="shared" si="301"/>
        <v>20795</v>
      </c>
      <c r="S6412" s="5">
        <f t="shared" si="302"/>
        <v>33784.831932773115</v>
      </c>
    </row>
    <row r="6413" spans="1:19" hidden="1" x14ac:dyDescent="0.3">
      <c r="A6413">
        <v>210</v>
      </c>
      <c r="B6413" t="s">
        <v>6520</v>
      </c>
      <c r="C6413" t="s">
        <v>4028</v>
      </c>
      <c r="D6413" s="2" t="s">
        <v>4029</v>
      </c>
      <c r="E6413" t="s">
        <v>2160</v>
      </c>
      <c r="F6413" t="s">
        <v>20</v>
      </c>
      <c r="G6413" t="s">
        <v>21</v>
      </c>
      <c r="H6413" t="s">
        <v>970</v>
      </c>
      <c r="I6413" t="s">
        <v>23</v>
      </c>
      <c r="J6413" t="s">
        <v>40</v>
      </c>
      <c r="K6413" s="2" t="s">
        <v>2470</v>
      </c>
      <c r="L6413" t="s">
        <v>26</v>
      </c>
      <c r="M6413">
        <v>353327</v>
      </c>
      <c r="N6413">
        <v>1</v>
      </c>
      <c r="O6413" s="3">
        <v>49990</v>
      </c>
      <c r="P6413" s="3">
        <v>18249</v>
      </c>
      <c r="Q6413" s="5">
        <f t="shared" si="300"/>
        <v>42008.403361344543</v>
      </c>
      <c r="R6413" s="5">
        <f t="shared" si="301"/>
        <v>18249</v>
      </c>
      <c r="S6413" s="5">
        <f t="shared" si="302"/>
        <v>23759.403361344543</v>
      </c>
    </row>
    <row r="6414" spans="1:19" hidden="1" x14ac:dyDescent="0.3">
      <c r="A6414">
        <v>210</v>
      </c>
      <c r="B6414" t="s">
        <v>6520</v>
      </c>
      <c r="C6414" t="s">
        <v>6565</v>
      </c>
      <c r="D6414" s="2" t="s">
        <v>6566</v>
      </c>
      <c r="E6414" t="s">
        <v>1247</v>
      </c>
      <c r="F6414" t="s">
        <v>20</v>
      </c>
      <c r="G6414" t="s">
        <v>21</v>
      </c>
      <c r="H6414" t="s">
        <v>1199</v>
      </c>
      <c r="I6414" t="s">
        <v>23</v>
      </c>
      <c r="J6414" t="s">
        <v>207</v>
      </c>
      <c r="K6414" s="2" t="s">
        <v>2470</v>
      </c>
      <c r="L6414" t="s">
        <v>26</v>
      </c>
      <c r="M6414">
        <v>353328</v>
      </c>
      <c r="N6414">
        <v>-1</v>
      </c>
      <c r="O6414" s="3">
        <v>-44990</v>
      </c>
      <c r="P6414" s="3">
        <v>28677</v>
      </c>
      <c r="Q6414" s="5">
        <f t="shared" si="300"/>
        <v>-37806.722689075636</v>
      </c>
      <c r="R6414" s="5">
        <f t="shared" si="301"/>
        <v>-28677</v>
      </c>
      <c r="S6414" s="5">
        <f t="shared" si="302"/>
        <v>-9129.7226890756356</v>
      </c>
    </row>
    <row r="6415" spans="1:19" hidden="1" x14ac:dyDescent="0.3">
      <c r="A6415">
        <v>210</v>
      </c>
      <c r="B6415" t="s">
        <v>6520</v>
      </c>
      <c r="C6415" t="s">
        <v>3317</v>
      </c>
      <c r="D6415" s="2" t="s">
        <v>3318</v>
      </c>
      <c r="E6415" t="s">
        <v>2810</v>
      </c>
      <c r="F6415" t="s">
        <v>20</v>
      </c>
      <c r="G6415" t="s">
        <v>21</v>
      </c>
      <c r="H6415" t="s">
        <v>1987</v>
      </c>
      <c r="I6415" t="s">
        <v>23</v>
      </c>
      <c r="J6415" t="s">
        <v>35</v>
      </c>
      <c r="K6415" s="2" t="s">
        <v>2470</v>
      </c>
      <c r="L6415" t="s">
        <v>26</v>
      </c>
      <c r="M6415">
        <v>353328</v>
      </c>
      <c r="N6415">
        <v>1</v>
      </c>
      <c r="O6415" s="3">
        <v>89950</v>
      </c>
      <c r="P6415" s="3">
        <v>29858</v>
      </c>
      <c r="Q6415" s="5">
        <f t="shared" si="300"/>
        <v>75588.23529411765</v>
      </c>
      <c r="R6415" s="5">
        <f t="shared" si="301"/>
        <v>29858</v>
      </c>
      <c r="S6415" s="5">
        <f t="shared" si="302"/>
        <v>45730.23529411765</v>
      </c>
    </row>
    <row r="6416" spans="1:19" hidden="1" x14ac:dyDescent="0.3">
      <c r="A6416">
        <v>210</v>
      </c>
      <c r="B6416" t="s">
        <v>6520</v>
      </c>
      <c r="C6416" t="s">
        <v>5457</v>
      </c>
      <c r="D6416" s="2" t="s">
        <v>5458</v>
      </c>
      <c r="E6416" t="s">
        <v>2378</v>
      </c>
      <c r="F6416" t="s">
        <v>20</v>
      </c>
      <c r="G6416" t="s">
        <v>21</v>
      </c>
      <c r="H6416" t="s">
        <v>2379</v>
      </c>
      <c r="I6416" t="s">
        <v>23</v>
      </c>
      <c r="J6416" t="s">
        <v>40</v>
      </c>
      <c r="K6416" s="2" t="s">
        <v>2470</v>
      </c>
      <c r="L6416" t="s">
        <v>26</v>
      </c>
      <c r="M6416">
        <v>353329</v>
      </c>
      <c r="N6416">
        <v>1</v>
      </c>
      <c r="O6416" s="3">
        <v>49950</v>
      </c>
      <c r="P6416" s="3">
        <v>15830</v>
      </c>
      <c r="Q6416" s="5">
        <f t="shared" si="300"/>
        <v>41974.789915966387</v>
      </c>
      <c r="R6416" s="5">
        <f t="shared" si="301"/>
        <v>15830</v>
      </c>
      <c r="S6416" s="5">
        <f t="shared" si="302"/>
        <v>26144.789915966387</v>
      </c>
    </row>
    <row r="6417" spans="1:19" hidden="1" x14ac:dyDescent="0.3">
      <c r="A6417">
        <v>210</v>
      </c>
      <c r="B6417" t="s">
        <v>6520</v>
      </c>
      <c r="C6417" t="s">
        <v>6567</v>
      </c>
      <c r="D6417" s="2" t="s">
        <v>6568</v>
      </c>
      <c r="E6417" t="s">
        <v>2382</v>
      </c>
      <c r="F6417" t="s">
        <v>20</v>
      </c>
      <c r="G6417" t="s">
        <v>21</v>
      </c>
      <c r="H6417" t="s">
        <v>2379</v>
      </c>
      <c r="I6417" t="s">
        <v>23</v>
      </c>
      <c r="J6417" t="s">
        <v>40</v>
      </c>
      <c r="K6417" s="2" t="s">
        <v>2470</v>
      </c>
      <c r="L6417" t="s">
        <v>26</v>
      </c>
      <c r="M6417">
        <v>353329</v>
      </c>
      <c r="N6417">
        <v>1</v>
      </c>
      <c r="O6417" s="3">
        <v>34990</v>
      </c>
      <c r="P6417" s="3">
        <v>13135</v>
      </c>
      <c r="Q6417" s="5">
        <f t="shared" si="300"/>
        <v>29403.361344537818</v>
      </c>
      <c r="R6417" s="5">
        <f t="shared" si="301"/>
        <v>13135</v>
      </c>
      <c r="S6417" s="5">
        <f t="shared" si="302"/>
        <v>16268.361344537818</v>
      </c>
    </row>
    <row r="6418" spans="1:19" hidden="1" x14ac:dyDescent="0.3">
      <c r="A6418">
        <v>210</v>
      </c>
      <c r="B6418" t="s">
        <v>6520</v>
      </c>
      <c r="C6418" t="s">
        <v>6569</v>
      </c>
      <c r="D6418" s="2" t="s">
        <v>6570</v>
      </c>
      <c r="E6418" t="s">
        <v>4226</v>
      </c>
      <c r="F6418" t="s">
        <v>20</v>
      </c>
      <c r="G6418" t="s">
        <v>21</v>
      </c>
      <c r="H6418" t="s">
        <v>2189</v>
      </c>
      <c r="I6418" t="s">
        <v>23</v>
      </c>
      <c r="J6418" t="s">
        <v>40</v>
      </c>
      <c r="K6418" s="2" t="s">
        <v>2470</v>
      </c>
      <c r="L6418" t="s">
        <v>26</v>
      </c>
      <c r="M6418">
        <v>353329</v>
      </c>
      <c r="N6418">
        <v>-1</v>
      </c>
      <c r="O6418" s="3">
        <v>-74950</v>
      </c>
      <c r="P6418" s="3">
        <v>27718</v>
      </c>
      <c r="Q6418" s="5">
        <f t="shared" si="300"/>
        <v>-62983.193277310929</v>
      </c>
      <c r="R6418" s="5">
        <f t="shared" si="301"/>
        <v>-27718</v>
      </c>
      <c r="S6418" s="5">
        <f t="shared" si="302"/>
        <v>-35265.193277310929</v>
      </c>
    </row>
    <row r="6419" spans="1:19" hidden="1" x14ac:dyDescent="0.3">
      <c r="A6419">
        <v>210</v>
      </c>
      <c r="B6419" t="s">
        <v>6520</v>
      </c>
      <c r="C6419" t="s">
        <v>1368</v>
      </c>
      <c r="D6419" s="2" t="s">
        <v>1369</v>
      </c>
      <c r="E6419" t="s">
        <v>1171</v>
      </c>
      <c r="F6419" t="s">
        <v>20</v>
      </c>
      <c r="G6419" t="s">
        <v>21</v>
      </c>
      <c r="H6419" t="s">
        <v>500</v>
      </c>
      <c r="I6419" t="s">
        <v>23</v>
      </c>
      <c r="J6419" t="s">
        <v>40</v>
      </c>
      <c r="K6419" s="2" t="s">
        <v>2470</v>
      </c>
      <c r="L6419" t="s">
        <v>26</v>
      </c>
      <c r="M6419">
        <v>353330</v>
      </c>
      <c r="N6419">
        <v>1</v>
      </c>
      <c r="O6419" s="3">
        <v>59950</v>
      </c>
      <c r="P6419" s="3">
        <v>17416</v>
      </c>
      <c r="Q6419" s="5">
        <f t="shared" si="300"/>
        <v>50378.151260504201</v>
      </c>
      <c r="R6419" s="5">
        <f t="shared" si="301"/>
        <v>17416</v>
      </c>
      <c r="S6419" s="5">
        <f t="shared" si="302"/>
        <v>32962.151260504201</v>
      </c>
    </row>
    <row r="6420" spans="1:19" hidden="1" x14ac:dyDescent="0.3">
      <c r="A6420">
        <v>210</v>
      </c>
      <c r="B6420" t="s">
        <v>6520</v>
      </c>
      <c r="C6420" t="s">
        <v>5378</v>
      </c>
      <c r="D6420" s="2" t="s">
        <v>5379</v>
      </c>
      <c r="E6420" t="s">
        <v>938</v>
      </c>
      <c r="F6420" t="s">
        <v>20</v>
      </c>
      <c r="G6420" t="s">
        <v>21</v>
      </c>
      <c r="H6420" t="s">
        <v>317</v>
      </c>
      <c r="I6420" t="s">
        <v>23</v>
      </c>
      <c r="J6420" t="s">
        <v>35</v>
      </c>
      <c r="K6420" s="2" t="s">
        <v>2470</v>
      </c>
      <c r="L6420" t="s">
        <v>26</v>
      </c>
      <c r="M6420">
        <v>353331</v>
      </c>
      <c r="N6420">
        <v>1</v>
      </c>
      <c r="O6420" s="3">
        <v>69950</v>
      </c>
      <c r="P6420" s="3">
        <v>27162</v>
      </c>
      <c r="Q6420" s="5">
        <f t="shared" si="300"/>
        <v>58781.512605042022</v>
      </c>
      <c r="R6420" s="5">
        <f t="shared" si="301"/>
        <v>27162</v>
      </c>
      <c r="S6420" s="5">
        <f t="shared" si="302"/>
        <v>31619.512605042022</v>
      </c>
    </row>
    <row r="6421" spans="1:19" hidden="1" x14ac:dyDescent="0.3">
      <c r="A6421">
        <v>210</v>
      </c>
      <c r="B6421" t="s">
        <v>6520</v>
      </c>
      <c r="C6421" t="s">
        <v>2948</v>
      </c>
      <c r="D6421" s="2" t="s">
        <v>2949</v>
      </c>
      <c r="E6421" t="s">
        <v>2226</v>
      </c>
      <c r="F6421" t="s">
        <v>20</v>
      </c>
      <c r="G6421" t="s">
        <v>21</v>
      </c>
      <c r="H6421" t="s">
        <v>53</v>
      </c>
      <c r="I6421" t="s">
        <v>23</v>
      </c>
      <c r="J6421" t="s">
        <v>49</v>
      </c>
      <c r="K6421" s="2" t="s">
        <v>2470</v>
      </c>
      <c r="L6421" t="s">
        <v>26</v>
      </c>
      <c r="M6421">
        <v>353332</v>
      </c>
      <c r="N6421">
        <v>1</v>
      </c>
      <c r="O6421" s="3">
        <v>69950</v>
      </c>
      <c r="P6421" s="3">
        <v>21044</v>
      </c>
      <c r="Q6421" s="5">
        <f t="shared" si="300"/>
        <v>58781.512605042022</v>
      </c>
      <c r="R6421" s="5">
        <f t="shared" si="301"/>
        <v>21044</v>
      </c>
      <c r="S6421" s="5">
        <f t="shared" si="302"/>
        <v>37737.512605042022</v>
      </c>
    </row>
    <row r="6422" spans="1:19" hidden="1" x14ac:dyDescent="0.3">
      <c r="A6422">
        <v>210</v>
      </c>
      <c r="B6422" t="s">
        <v>6520</v>
      </c>
      <c r="C6422" t="s">
        <v>4528</v>
      </c>
      <c r="D6422" s="2" t="s">
        <v>4529</v>
      </c>
      <c r="E6422" t="s">
        <v>2340</v>
      </c>
      <c r="F6422" t="s">
        <v>20</v>
      </c>
      <c r="G6422" t="s">
        <v>21</v>
      </c>
      <c r="H6422" t="s">
        <v>1914</v>
      </c>
      <c r="I6422" t="s">
        <v>23</v>
      </c>
      <c r="J6422" t="s">
        <v>35</v>
      </c>
      <c r="K6422" s="2" t="s">
        <v>2470</v>
      </c>
      <c r="L6422" t="s">
        <v>26</v>
      </c>
      <c r="M6422">
        <v>353333</v>
      </c>
      <c r="N6422">
        <v>1</v>
      </c>
      <c r="O6422" s="3">
        <v>89950</v>
      </c>
      <c r="P6422" s="3">
        <v>27630</v>
      </c>
      <c r="Q6422" s="5">
        <f t="shared" si="300"/>
        <v>75588.23529411765</v>
      </c>
      <c r="R6422" s="5">
        <f t="shared" si="301"/>
        <v>27630</v>
      </c>
      <c r="S6422" s="5">
        <f t="shared" si="302"/>
        <v>47958.23529411765</v>
      </c>
    </row>
    <row r="6423" spans="1:19" hidden="1" x14ac:dyDescent="0.3">
      <c r="A6423">
        <v>210</v>
      </c>
      <c r="B6423" t="s">
        <v>6520</v>
      </c>
      <c r="C6423" t="s">
        <v>4807</v>
      </c>
      <c r="D6423" s="2" t="s">
        <v>4808</v>
      </c>
      <c r="E6423" t="s">
        <v>3531</v>
      </c>
      <c r="F6423" t="s">
        <v>20</v>
      </c>
      <c r="G6423" t="s">
        <v>338</v>
      </c>
      <c r="H6423">
        <v>84316</v>
      </c>
      <c r="I6423" t="s">
        <v>23</v>
      </c>
      <c r="J6423" t="s">
        <v>49</v>
      </c>
      <c r="K6423" s="2" t="s">
        <v>2470</v>
      </c>
      <c r="L6423" t="s">
        <v>26</v>
      </c>
      <c r="M6423">
        <v>353333</v>
      </c>
      <c r="N6423">
        <v>1</v>
      </c>
      <c r="O6423" s="3">
        <v>89950</v>
      </c>
      <c r="P6423" s="3">
        <v>31128</v>
      </c>
      <c r="Q6423" s="5">
        <f t="shared" si="300"/>
        <v>75588.23529411765</v>
      </c>
      <c r="R6423" s="5">
        <f t="shared" si="301"/>
        <v>31128</v>
      </c>
      <c r="S6423" s="5">
        <f t="shared" si="302"/>
        <v>44460.23529411765</v>
      </c>
    </row>
    <row r="6424" spans="1:19" hidden="1" x14ac:dyDescent="0.3">
      <c r="A6424">
        <v>210</v>
      </c>
      <c r="B6424" t="s">
        <v>6520</v>
      </c>
      <c r="C6424" t="s">
        <v>1761</v>
      </c>
      <c r="D6424" s="2" t="s">
        <v>1762</v>
      </c>
      <c r="E6424" t="s">
        <v>1763</v>
      </c>
      <c r="F6424" t="s">
        <v>377</v>
      </c>
      <c r="G6424" t="s">
        <v>21</v>
      </c>
      <c r="H6424" t="s">
        <v>378</v>
      </c>
      <c r="I6424" t="s">
        <v>23</v>
      </c>
      <c r="J6424" t="s">
        <v>379</v>
      </c>
      <c r="K6424" s="2" t="s">
        <v>2470</v>
      </c>
      <c r="L6424" t="s">
        <v>26</v>
      </c>
      <c r="M6424">
        <v>353334</v>
      </c>
      <c r="N6424">
        <v>1</v>
      </c>
      <c r="O6424" s="3">
        <v>5950</v>
      </c>
      <c r="P6424" s="3">
        <v>3279</v>
      </c>
      <c r="Q6424" s="5">
        <f t="shared" si="300"/>
        <v>5000</v>
      </c>
      <c r="R6424" s="5">
        <f t="shared" si="301"/>
        <v>3279</v>
      </c>
      <c r="S6424" s="5">
        <f t="shared" si="302"/>
        <v>1721</v>
      </c>
    </row>
    <row r="6425" spans="1:19" hidden="1" x14ac:dyDescent="0.3">
      <c r="A6425">
        <v>210</v>
      </c>
      <c r="B6425" t="s">
        <v>6520</v>
      </c>
      <c r="C6425" t="s">
        <v>5293</v>
      </c>
      <c r="D6425" s="2" t="s">
        <v>5294</v>
      </c>
      <c r="E6425" t="s">
        <v>3421</v>
      </c>
      <c r="F6425" t="s">
        <v>20</v>
      </c>
      <c r="G6425" t="s">
        <v>21</v>
      </c>
      <c r="H6425" t="s">
        <v>1755</v>
      </c>
      <c r="I6425" t="s">
        <v>23</v>
      </c>
      <c r="J6425" t="s">
        <v>35</v>
      </c>
      <c r="K6425" s="2" t="s">
        <v>2470</v>
      </c>
      <c r="L6425" t="s">
        <v>26</v>
      </c>
      <c r="M6425">
        <v>353335</v>
      </c>
      <c r="N6425">
        <v>1</v>
      </c>
      <c r="O6425" s="3">
        <v>84950</v>
      </c>
      <c r="P6425" s="3">
        <v>28298</v>
      </c>
      <c r="Q6425" s="5">
        <f t="shared" si="300"/>
        <v>71386.554621848743</v>
      </c>
      <c r="R6425" s="5">
        <f t="shared" si="301"/>
        <v>28298</v>
      </c>
      <c r="S6425" s="5">
        <f t="shared" si="302"/>
        <v>43088.554621848743</v>
      </c>
    </row>
    <row r="6426" spans="1:19" hidden="1" x14ac:dyDescent="0.3">
      <c r="A6426">
        <v>210</v>
      </c>
      <c r="B6426" t="s">
        <v>6520</v>
      </c>
      <c r="C6426" t="s">
        <v>5078</v>
      </c>
      <c r="D6426" s="2" t="s">
        <v>5079</v>
      </c>
      <c r="E6426" t="s">
        <v>1412</v>
      </c>
      <c r="F6426" t="s">
        <v>20</v>
      </c>
      <c r="G6426" t="s">
        <v>338</v>
      </c>
      <c r="H6426">
        <v>23603</v>
      </c>
      <c r="I6426" t="s">
        <v>23</v>
      </c>
      <c r="J6426" t="s">
        <v>40</v>
      </c>
      <c r="K6426" s="2" t="s">
        <v>2470</v>
      </c>
      <c r="L6426" t="s">
        <v>26</v>
      </c>
      <c r="M6426">
        <v>353336</v>
      </c>
      <c r="N6426">
        <v>1</v>
      </c>
      <c r="O6426" s="3">
        <v>49990</v>
      </c>
      <c r="P6426" s="3">
        <v>22607</v>
      </c>
      <c r="Q6426" s="5">
        <f t="shared" si="300"/>
        <v>42008.403361344543</v>
      </c>
      <c r="R6426" s="5">
        <f t="shared" si="301"/>
        <v>22607</v>
      </c>
      <c r="S6426" s="5">
        <f t="shared" si="302"/>
        <v>19401.403361344543</v>
      </c>
    </row>
    <row r="6427" spans="1:19" hidden="1" x14ac:dyDescent="0.3">
      <c r="A6427">
        <v>210</v>
      </c>
      <c r="B6427" t="s">
        <v>6520</v>
      </c>
      <c r="C6427" t="s">
        <v>662</v>
      </c>
      <c r="D6427" s="2" t="s">
        <v>663</v>
      </c>
      <c r="E6427" t="s">
        <v>664</v>
      </c>
      <c r="F6427" t="s">
        <v>20</v>
      </c>
      <c r="G6427" t="s">
        <v>21</v>
      </c>
      <c r="H6427" t="s">
        <v>557</v>
      </c>
      <c r="I6427" t="s">
        <v>23</v>
      </c>
      <c r="J6427" t="s">
        <v>40</v>
      </c>
      <c r="K6427" s="2" t="s">
        <v>2470</v>
      </c>
      <c r="L6427" t="s">
        <v>26</v>
      </c>
      <c r="M6427">
        <v>353337</v>
      </c>
      <c r="N6427">
        <v>1</v>
      </c>
      <c r="O6427" s="3">
        <v>49990</v>
      </c>
      <c r="P6427" s="3">
        <v>28049</v>
      </c>
      <c r="Q6427" s="5">
        <f t="shared" si="300"/>
        <v>42008.403361344543</v>
      </c>
      <c r="R6427" s="5">
        <f t="shared" si="301"/>
        <v>28049</v>
      </c>
      <c r="S6427" s="5">
        <f t="shared" si="302"/>
        <v>13959.403361344543</v>
      </c>
    </row>
    <row r="6428" spans="1:19" hidden="1" x14ac:dyDescent="0.3">
      <c r="A6428">
        <v>210</v>
      </c>
      <c r="B6428" t="s">
        <v>6520</v>
      </c>
      <c r="C6428" t="s">
        <v>4870</v>
      </c>
      <c r="D6428" s="2" t="s">
        <v>4871</v>
      </c>
      <c r="E6428" t="s">
        <v>1281</v>
      </c>
      <c r="F6428" t="s">
        <v>20</v>
      </c>
      <c r="G6428" t="s">
        <v>21</v>
      </c>
      <c r="H6428" t="s">
        <v>1282</v>
      </c>
      <c r="I6428" t="s">
        <v>23</v>
      </c>
      <c r="J6428" t="s">
        <v>40</v>
      </c>
      <c r="K6428" s="2" t="s">
        <v>2470</v>
      </c>
      <c r="L6428" t="s">
        <v>26</v>
      </c>
      <c r="M6428">
        <v>353338</v>
      </c>
      <c r="N6428">
        <v>1</v>
      </c>
      <c r="O6428" s="3">
        <v>49950</v>
      </c>
      <c r="P6428" s="3">
        <v>13922</v>
      </c>
      <c r="Q6428" s="5">
        <f t="shared" si="300"/>
        <v>41974.789915966387</v>
      </c>
      <c r="R6428" s="5">
        <f t="shared" si="301"/>
        <v>13922</v>
      </c>
      <c r="S6428" s="5">
        <f t="shared" si="302"/>
        <v>28052.789915966387</v>
      </c>
    </row>
    <row r="6429" spans="1:19" hidden="1" x14ac:dyDescent="0.3">
      <c r="A6429">
        <v>210</v>
      </c>
      <c r="B6429" t="s">
        <v>6520</v>
      </c>
      <c r="C6429" t="s">
        <v>5699</v>
      </c>
      <c r="D6429" s="2" t="s">
        <v>5700</v>
      </c>
      <c r="E6429" t="s">
        <v>4915</v>
      </c>
      <c r="F6429" t="s">
        <v>20</v>
      </c>
      <c r="G6429" t="s">
        <v>338</v>
      </c>
      <c r="H6429">
        <v>83716</v>
      </c>
      <c r="I6429" t="s">
        <v>23</v>
      </c>
      <c r="J6429" t="s">
        <v>40</v>
      </c>
      <c r="K6429" s="2" t="s">
        <v>2470</v>
      </c>
      <c r="L6429" t="s">
        <v>26</v>
      </c>
      <c r="M6429">
        <v>353339</v>
      </c>
      <c r="N6429">
        <v>1</v>
      </c>
      <c r="O6429" s="3">
        <v>89950</v>
      </c>
      <c r="P6429" s="3">
        <v>30263</v>
      </c>
      <c r="Q6429" s="5">
        <f t="shared" si="300"/>
        <v>75588.23529411765</v>
      </c>
      <c r="R6429" s="5">
        <f t="shared" si="301"/>
        <v>30263</v>
      </c>
      <c r="S6429" s="5">
        <f t="shared" si="302"/>
        <v>45325.23529411765</v>
      </c>
    </row>
    <row r="6430" spans="1:19" hidden="1" x14ac:dyDescent="0.3">
      <c r="A6430">
        <v>210</v>
      </c>
      <c r="B6430" t="s">
        <v>6520</v>
      </c>
      <c r="C6430" t="s">
        <v>5710</v>
      </c>
      <c r="D6430" s="2" t="s">
        <v>5711</v>
      </c>
      <c r="E6430" t="s">
        <v>1171</v>
      </c>
      <c r="F6430" t="s">
        <v>20</v>
      </c>
      <c r="G6430" t="s">
        <v>21</v>
      </c>
      <c r="H6430" t="s">
        <v>500</v>
      </c>
      <c r="I6430" t="s">
        <v>23</v>
      </c>
      <c r="J6430" t="s">
        <v>40</v>
      </c>
      <c r="K6430" s="2" t="s">
        <v>2470</v>
      </c>
      <c r="L6430" t="s">
        <v>26</v>
      </c>
      <c r="M6430">
        <v>353340</v>
      </c>
      <c r="N6430">
        <v>1</v>
      </c>
      <c r="O6430" s="3">
        <v>59950</v>
      </c>
      <c r="P6430" s="3">
        <v>17416</v>
      </c>
      <c r="Q6430" s="5">
        <f t="shared" si="300"/>
        <v>50378.151260504201</v>
      </c>
      <c r="R6430" s="5">
        <f t="shared" si="301"/>
        <v>17416</v>
      </c>
      <c r="S6430" s="5">
        <f t="shared" si="302"/>
        <v>32962.151260504201</v>
      </c>
    </row>
    <row r="6431" spans="1:19" hidden="1" x14ac:dyDescent="0.3">
      <c r="A6431">
        <v>210</v>
      </c>
      <c r="B6431" t="s">
        <v>6520</v>
      </c>
      <c r="C6431" t="s">
        <v>6490</v>
      </c>
      <c r="D6431" s="2" t="s">
        <v>6491</v>
      </c>
      <c r="E6431" t="s">
        <v>2902</v>
      </c>
      <c r="F6431" t="s">
        <v>20</v>
      </c>
      <c r="G6431" t="s">
        <v>21</v>
      </c>
      <c r="H6431" t="s">
        <v>267</v>
      </c>
      <c r="I6431" t="s">
        <v>23</v>
      </c>
      <c r="J6431" t="s">
        <v>49</v>
      </c>
      <c r="K6431" s="2" t="s">
        <v>2470</v>
      </c>
      <c r="L6431" t="s">
        <v>26</v>
      </c>
      <c r="M6431">
        <v>353341</v>
      </c>
      <c r="N6431">
        <v>1</v>
      </c>
      <c r="O6431" s="3">
        <v>64950</v>
      </c>
      <c r="P6431" s="3">
        <v>24504</v>
      </c>
      <c r="Q6431" s="5">
        <f t="shared" si="300"/>
        <v>54579.831932773115</v>
      </c>
      <c r="R6431" s="5">
        <f t="shared" si="301"/>
        <v>24504</v>
      </c>
      <c r="S6431" s="5">
        <f t="shared" si="302"/>
        <v>30075.831932773115</v>
      </c>
    </row>
    <row r="6432" spans="1:19" hidden="1" x14ac:dyDescent="0.3">
      <c r="A6432">
        <v>210</v>
      </c>
      <c r="B6432" t="s">
        <v>6520</v>
      </c>
      <c r="C6432" t="s">
        <v>6571</v>
      </c>
      <c r="D6432" s="2" t="s">
        <v>6572</v>
      </c>
      <c r="E6432" t="s">
        <v>4753</v>
      </c>
      <c r="F6432" t="s">
        <v>20</v>
      </c>
      <c r="G6432" t="s">
        <v>338</v>
      </c>
      <c r="H6432">
        <v>23313</v>
      </c>
      <c r="I6432" t="s">
        <v>23</v>
      </c>
      <c r="J6432" t="s">
        <v>40</v>
      </c>
      <c r="K6432" s="2" t="s">
        <v>2470</v>
      </c>
      <c r="L6432" t="s">
        <v>26</v>
      </c>
      <c r="M6432">
        <v>353342</v>
      </c>
      <c r="N6432">
        <v>1</v>
      </c>
      <c r="O6432" s="3">
        <v>69950</v>
      </c>
      <c r="P6432" s="3">
        <v>22714</v>
      </c>
      <c r="Q6432" s="5">
        <f t="shared" si="300"/>
        <v>58781.512605042022</v>
      </c>
      <c r="R6432" s="5">
        <f t="shared" si="301"/>
        <v>22714</v>
      </c>
      <c r="S6432" s="5">
        <f t="shared" si="302"/>
        <v>36067.512605042022</v>
      </c>
    </row>
    <row r="6433" spans="1:19" hidden="1" x14ac:dyDescent="0.3">
      <c r="A6433">
        <v>210</v>
      </c>
      <c r="B6433" t="s">
        <v>6520</v>
      </c>
      <c r="C6433" t="s">
        <v>6573</v>
      </c>
      <c r="D6433" s="2" t="s">
        <v>6574</v>
      </c>
      <c r="E6433" t="s">
        <v>38</v>
      </c>
      <c r="F6433" t="s">
        <v>20</v>
      </c>
      <c r="G6433" t="s">
        <v>21</v>
      </c>
      <c r="H6433" t="s">
        <v>39</v>
      </c>
      <c r="I6433" t="s">
        <v>23</v>
      </c>
      <c r="J6433" t="s">
        <v>40</v>
      </c>
      <c r="K6433" s="2" t="s">
        <v>2470</v>
      </c>
      <c r="L6433" t="s">
        <v>26</v>
      </c>
      <c r="M6433">
        <v>353343</v>
      </c>
      <c r="N6433">
        <v>1</v>
      </c>
      <c r="O6433" s="3">
        <v>39990</v>
      </c>
      <c r="P6433" s="3">
        <v>27402</v>
      </c>
      <c r="Q6433" s="5">
        <f t="shared" si="300"/>
        <v>33605.042016806721</v>
      </c>
      <c r="R6433" s="5">
        <f t="shared" si="301"/>
        <v>27402</v>
      </c>
      <c r="S6433" s="5">
        <f t="shared" si="302"/>
        <v>6203.0420168067212</v>
      </c>
    </row>
    <row r="6434" spans="1:19" hidden="1" x14ac:dyDescent="0.3">
      <c r="A6434">
        <v>210</v>
      </c>
      <c r="B6434" t="s">
        <v>6520</v>
      </c>
      <c r="C6434">
        <v>1687976791</v>
      </c>
      <c r="D6434" s="2" t="s">
        <v>200</v>
      </c>
      <c r="E6434" t="s">
        <v>201</v>
      </c>
      <c r="F6434" t="s">
        <v>201</v>
      </c>
      <c r="G6434" t="s">
        <v>202</v>
      </c>
      <c r="H6434" t="s">
        <v>202</v>
      </c>
      <c r="I6434" t="s">
        <v>23</v>
      </c>
      <c r="J6434" t="s">
        <v>202</v>
      </c>
      <c r="K6434" s="2" t="s">
        <v>2470</v>
      </c>
      <c r="L6434" t="s">
        <v>26</v>
      </c>
      <c r="M6434">
        <v>353343</v>
      </c>
      <c r="N6434">
        <v>1</v>
      </c>
      <c r="O6434" s="3">
        <v>2000</v>
      </c>
      <c r="P6434">
        <v>1</v>
      </c>
      <c r="Q6434" s="5">
        <f t="shared" si="300"/>
        <v>1680.6722689075632</v>
      </c>
      <c r="R6434" s="5">
        <f t="shared" si="301"/>
        <v>1</v>
      </c>
      <c r="S6434" s="5">
        <f t="shared" si="302"/>
        <v>1679.6722689075632</v>
      </c>
    </row>
    <row r="6435" spans="1:19" hidden="1" x14ac:dyDescent="0.3">
      <c r="A6435">
        <v>210</v>
      </c>
      <c r="B6435" t="s">
        <v>6520</v>
      </c>
      <c r="C6435" t="s">
        <v>5768</v>
      </c>
      <c r="D6435" s="2" t="s">
        <v>5769</v>
      </c>
      <c r="E6435" t="s">
        <v>5688</v>
      </c>
      <c r="F6435" t="s">
        <v>20</v>
      </c>
      <c r="G6435" t="s">
        <v>338</v>
      </c>
      <c r="H6435">
        <v>23724</v>
      </c>
      <c r="I6435" t="s">
        <v>23</v>
      </c>
      <c r="J6435" t="s">
        <v>40</v>
      </c>
      <c r="K6435" s="2" t="s">
        <v>2470</v>
      </c>
      <c r="L6435" t="s">
        <v>26</v>
      </c>
      <c r="M6435">
        <v>353344</v>
      </c>
      <c r="N6435">
        <v>1</v>
      </c>
      <c r="O6435" s="3">
        <v>79950</v>
      </c>
      <c r="P6435" s="3">
        <v>26332</v>
      </c>
      <c r="Q6435" s="5">
        <f t="shared" si="300"/>
        <v>67184.873949579836</v>
      </c>
      <c r="R6435" s="5">
        <f t="shared" si="301"/>
        <v>26332</v>
      </c>
      <c r="S6435" s="5">
        <f t="shared" si="302"/>
        <v>40852.873949579836</v>
      </c>
    </row>
    <row r="6436" spans="1:19" hidden="1" x14ac:dyDescent="0.3">
      <c r="A6436">
        <v>210</v>
      </c>
      <c r="B6436" t="s">
        <v>6520</v>
      </c>
      <c r="C6436" t="s">
        <v>2914</v>
      </c>
      <c r="D6436" s="2" t="s">
        <v>2915</v>
      </c>
      <c r="E6436" t="s">
        <v>1668</v>
      </c>
      <c r="F6436" t="s">
        <v>20</v>
      </c>
      <c r="G6436" t="s">
        <v>338</v>
      </c>
      <c r="H6436">
        <v>23603</v>
      </c>
      <c r="I6436" t="s">
        <v>23</v>
      </c>
      <c r="J6436" t="s">
        <v>40</v>
      </c>
      <c r="K6436" s="2" t="s">
        <v>2470</v>
      </c>
      <c r="L6436" t="s">
        <v>26</v>
      </c>
      <c r="M6436">
        <v>353345</v>
      </c>
      <c r="N6436">
        <v>1</v>
      </c>
      <c r="O6436" s="3">
        <v>69950</v>
      </c>
      <c r="P6436" s="3">
        <v>22607</v>
      </c>
      <c r="Q6436" s="5">
        <f t="shared" si="300"/>
        <v>58781.512605042022</v>
      </c>
      <c r="R6436" s="5">
        <f t="shared" si="301"/>
        <v>22607</v>
      </c>
      <c r="S6436" s="5">
        <f t="shared" si="302"/>
        <v>36174.512605042022</v>
      </c>
    </row>
    <row r="6437" spans="1:19" hidden="1" x14ac:dyDescent="0.3">
      <c r="A6437">
        <v>210</v>
      </c>
      <c r="B6437" t="s">
        <v>6520</v>
      </c>
      <c r="C6437" t="s">
        <v>3509</v>
      </c>
      <c r="D6437" s="2" t="s">
        <v>3510</v>
      </c>
      <c r="E6437" t="s">
        <v>2619</v>
      </c>
      <c r="F6437" t="s">
        <v>377</v>
      </c>
      <c r="G6437" t="s">
        <v>21</v>
      </c>
      <c r="H6437" t="s">
        <v>378</v>
      </c>
      <c r="I6437" t="s">
        <v>23</v>
      </c>
      <c r="J6437" t="s">
        <v>2620</v>
      </c>
      <c r="K6437" s="2" t="s">
        <v>2470</v>
      </c>
      <c r="L6437" t="s">
        <v>26</v>
      </c>
      <c r="M6437">
        <v>353346</v>
      </c>
      <c r="N6437">
        <v>1</v>
      </c>
      <c r="O6437" s="3">
        <v>24950</v>
      </c>
      <c r="P6437" s="3">
        <v>13092</v>
      </c>
      <c r="Q6437" s="5">
        <f t="shared" si="300"/>
        <v>20966.386554621851</v>
      </c>
      <c r="R6437" s="5">
        <f t="shared" si="301"/>
        <v>13092</v>
      </c>
      <c r="S6437" s="5">
        <f t="shared" si="302"/>
        <v>7874.3865546218512</v>
      </c>
    </row>
    <row r="6438" spans="1:19" hidden="1" x14ac:dyDescent="0.3">
      <c r="A6438">
        <v>210</v>
      </c>
      <c r="B6438" t="s">
        <v>6520</v>
      </c>
      <c r="C6438" t="s">
        <v>6366</v>
      </c>
      <c r="D6438" s="2" t="s">
        <v>6367</v>
      </c>
      <c r="E6438" t="s">
        <v>2601</v>
      </c>
      <c r="F6438" t="s">
        <v>20</v>
      </c>
      <c r="G6438" t="s">
        <v>21</v>
      </c>
      <c r="H6438" t="s">
        <v>783</v>
      </c>
      <c r="I6438" t="s">
        <v>23</v>
      </c>
      <c r="J6438" t="s">
        <v>40</v>
      </c>
      <c r="K6438" s="2" t="s">
        <v>2470</v>
      </c>
      <c r="L6438" t="s">
        <v>26</v>
      </c>
      <c r="M6438">
        <v>353347</v>
      </c>
      <c r="N6438">
        <v>1</v>
      </c>
      <c r="O6438" s="3">
        <v>54950</v>
      </c>
      <c r="P6438" s="3">
        <v>19451</v>
      </c>
      <c r="Q6438" s="5">
        <f t="shared" si="300"/>
        <v>46176.470588235294</v>
      </c>
      <c r="R6438" s="5">
        <f t="shared" si="301"/>
        <v>19451</v>
      </c>
      <c r="S6438" s="5">
        <f t="shared" si="302"/>
        <v>26725.470588235294</v>
      </c>
    </row>
    <row r="6439" spans="1:19" hidden="1" x14ac:dyDescent="0.3">
      <c r="A6439">
        <v>210</v>
      </c>
      <c r="B6439" t="s">
        <v>6520</v>
      </c>
      <c r="C6439" t="s">
        <v>2525</v>
      </c>
      <c r="D6439" s="2" t="s">
        <v>2526</v>
      </c>
      <c r="E6439" t="s">
        <v>2527</v>
      </c>
      <c r="F6439" t="s">
        <v>377</v>
      </c>
      <c r="G6439" t="s">
        <v>21</v>
      </c>
      <c r="H6439" t="s">
        <v>378</v>
      </c>
      <c r="I6439" t="s">
        <v>23</v>
      </c>
      <c r="J6439" t="s">
        <v>2459</v>
      </c>
      <c r="K6439" s="2" t="s">
        <v>2470</v>
      </c>
      <c r="L6439" t="s">
        <v>26</v>
      </c>
      <c r="M6439">
        <v>353348</v>
      </c>
      <c r="N6439">
        <v>1</v>
      </c>
      <c r="O6439" s="3">
        <v>6950</v>
      </c>
      <c r="P6439" s="3">
        <v>2964</v>
      </c>
      <c r="Q6439" s="5">
        <f t="shared" si="300"/>
        <v>5840.3361344537816</v>
      </c>
      <c r="R6439" s="5">
        <f t="shared" si="301"/>
        <v>2964</v>
      </c>
      <c r="S6439" s="5">
        <f t="shared" si="302"/>
        <v>2876.3361344537816</v>
      </c>
    </row>
    <row r="6440" spans="1:19" hidden="1" x14ac:dyDescent="0.3">
      <c r="A6440">
        <v>210</v>
      </c>
      <c r="B6440" t="s">
        <v>6520</v>
      </c>
      <c r="C6440" t="s">
        <v>1325</v>
      </c>
      <c r="D6440" s="2" t="s">
        <v>1326</v>
      </c>
      <c r="E6440" t="s">
        <v>1327</v>
      </c>
      <c r="F6440" t="s">
        <v>20</v>
      </c>
      <c r="G6440" t="s">
        <v>21</v>
      </c>
      <c r="H6440" t="s">
        <v>247</v>
      </c>
      <c r="I6440" t="s">
        <v>23</v>
      </c>
      <c r="J6440" t="s">
        <v>40</v>
      </c>
      <c r="K6440" s="2" t="s">
        <v>2470</v>
      </c>
      <c r="L6440" t="s">
        <v>26</v>
      </c>
      <c r="M6440">
        <v>353349</v>
      </c>
      <c r="N6440">
        <v>-1</v>
      </c>
      <c r="O6440" s="3">
        <v>-59950</v>
      </c>
      <c r="P6440" s="3">
        <v>16541</v>
      </c>
      <c r="Q6440" s="5">
        <f t="shared" si="300"/>
        <v>-50378.151260504201</v>
      </c>
      <c r="R6440" s="5">
        <f t="shared" si="301"/>
        <v>-16541</v>
      </c>
      <c r="S6440" s="5">
        <f t="shared" si="302"/>
        <v>-33837.151260504201</v>
      </c>
    </row>
    <row r="6441" spans="1:19" hidden="1" x14ac:dyDescent="0.3">
      <c r="A6441">
        <v>210</v>
      </c>
      <c r="B6441" t="s">
        <v>6520</v>
      </c>
      <c r="C6441" t="s">
        <v>2676</v>
      </c>
      <c r="D6441" s="2" t="s">
        <v>2677</v>
      </c>
      <c r="E6441" t="s">
        <v>1421</v>
      </c>
      <c r="F6441" t="s">
        <v>20</v>
      </c>
      <c r="G6441" t="s">
        <v>21</v>
      </c>
      <c r="H6441" t="s">
        <v>1422</v>
      </c>
      <c r="I6441" t="s">
        <v>23</v>
      </c>
      <c r="J6441" t="s">
        <v>49</v>
      </c>
      <c r="K6441" s="2" t="s">
        <v>2470</v>
      </c>
      <c r="L6441" t="s">
        <v>26</v>
      </c>
      <c r="M6441">
        <v>353349</v>
      </c>
      <c r="N6441">
        <v>1</v>
      </c>
      <c r="O6441" s="3">
        <v>74950</v>
      </c>
      <c r="P6441" s="3">
        <v>25179</v>
      </c>
      <c r="Q6441" s="5">
        <f t="shared" si="300"/>
        <v>62983.193277310929</v>
      </c>
      <c r="R6441" s="5">
        <f t="shared" si="301"/>
        <v>25179</v>
      </c>
      <c r="S6441" s="5">
        <f t="shared" si="302"/>
        <v>37804.193277310929</v>
      </c>
    </row>
    <row r="6442" spans="1:19" hidden="1" x14ac:dyDescent="0.3">
      <c r="A6442">
        <v>210</v>
      </c>
      <c r="B6442" t="s">
        <v>6520</v>
      </c>
      <c r="C6442" t="s">
        <v>1690</v>
      </c>
      <c r="D6442" s="2" t="s">
        <v>1691</v>
      </c>
      <c r="E6442" t="s">
        <v>664</v>
      </c>
      <c r="F6442" t="s">
        <v>20</v>
      </c>
      <c r="G6442" t="s">
        <v>21</v>
      </c>
      <c r="H6442" t="s">
        <v>557</v>
      </c>
      <c r="I6442" t="s">
        <v>23</v>
      </c>
      <c r="J6442" t="s">
        <v>40</v>
      </c>
      <c r="K6442" s="2" t="s">
        <v>2470</v>
      </c>
      <c r="L6442" t="s">
        <v>26</v>
      </c>
      <c r="M6442">
        <v>353350</v>
      </c>
      <c r="N6442">
        <v>1</v>
      </c>
      <c r="O6442" s="3">
        <v>49990</v>
      </c>
      <c r="P6442" s="3">
        <v>28049</v>
      </c>
      <c r="Q6442" s="5">
        <f t="shared" si="300"/>
        <v>42008.403361344543</v>
      </c>
      <c r="R6442" s="5">
        <f t="shared" si="301"/>
        <v>28049</v>
      </c>
      <c r="S6442" s="5">
        <f t="shared" si="302"/>
        <v>13959.403361344543</v>
      </c>
    </row>
    <row r="6443" spans="1:19" hidden="1" x14ac:dyDescent="0.3">
      <c r="A6443">
        <v>210</v>
      </c>
      <c r="B6443" t="s">
        <v>6520</v>
      </c>
      <c r="C6443" t="s">
        <v>3767</v>
      </c>
      <c r="D6443" s="2" t="s">
        <v>3768</v>
      </c>
      <c r="E6443" t="s">
        <v>3380</v>
      </c>
      <c r="F6443" t="s">
        <v>20</v>
      </c>
      <c r="G6443" t="s">
        <v>21</v>
      </c>
      <c r="H6443" t="s">
        <v>1703</v>
      </c>
      <c r="I6443" t="s">
        <v>23</v>
      </c>
      <c r="J6443" t="s">
        <v>49</v>
      </c>
      <c r="K6443" s="2" t="s">
        <v>2470</v>
      </c>
      <c r="L6443" t="s">
        <v>26</v>
      </c>
      <c r="M6443">
        <v>353351</v>
      </c>
      <c r="N6443">
        <v>1</v>
      </c>
      <c r="O6443" s="3">
        <v>69950</v>
      </c>
      <c r="P6443" s="3">
        <v>22287</v>
      </c>
      <c r="Q6443" s="5">
        <f t="shared" si="300"/>
        <v>58781.512605042022</v>
      </c>
      <c r="R6443" s="5">
        <f t="shared" si="301"/>
        <v>22287</v>
      </c>
      <c r="S6443" s="5">
        <f t="shared" si="302"/>
        <v>36494.512605042022</v>
      </c>
    </row>
    <row r="6444" spans="1:19" hidden="1" x14ac:dyDescent="0.3">
      <c r="A6444">
        <v>210</v>
      </c>
      <c r="B6444" t="s">
        <v>6520</v>
      </c>
      <c r="C6444" t="s">
        <v>715</v>
      </c>
      <c r="D6444" s="2" t="s">
        <v>716</v>
      </c>
      <c r="E6444" t="s">
        <v>717</v>
      </c>
      <c r="F6444" t="s">
        <v>20</v>
      </c>
      <c r="G6444" t="s">
        <v>21</v>
      </c>
      <c r="H6444" t="s">
        <v>718</v>
      </c>
      <c r="I6444" t="s">
        <v>23</v>
      </c>
      <c r="J6444" t="s">
        <v>49</v>
      </c>
      <c r="K6444" s="2" t="s">
        <v>422</v>
      </c>
      <c r="L6444" t="s">
        <v>26</v>
      </c>
      <c r="M6444">
        <v>353352</v>
      </c>
      <c r="N6444">
        <v>1</v>
      </c>
      <c r="O6444" s="3">
        <v>39990</v>
      </c>
      <c r="P6444" s="3">
        <v>26649</v>
      </c>
      <c r="Q6444" s="5">
        <f t="shared" si="300"/>
        <v>33605.042016806721</v>
      </c>
      <c r="R6444" s="5">
        <f t="shared" si="301"/>
        <v>26649</v>
      </c>
      <c r="S6444" s="5">
        <f t="shared" si="302"/>
        <v>6956.0420168067212</v>
      </c>
    </row>
    <row r="6445" spans="1:19" hidden="1" x14ac:dyDescent="0.3">
      <c r="A6445">
        <v>210</v>
      </c>
      <c r="B6445" t="s">
        <v>6520</v>
      </c>
      <c r="C6445" t="s">
        <v>3507</v>
      </c>
      <c r="D6445" s="2" t="s">
        <v>3508</v>
      </c>
      <c r="E6445" t="s">
        <v>2323</v>
      </c>
      <c r="F6445" t="s">
        <v>20</v>
      </c>
      <c r="G6445" t="s">
        <v>21</v>
      </c>
      <c r="H6445" t="s">
        <v>1887</v>
      </c>
      <c r="I6445" t="s">
        <v>23</v>
      </c>
      <c r="J6445" t="s">
        <v>40</v>
      </c>
      <c r="K6445" s="2" t="s">
        <v>422</v>
      </c>
      <c r="L6445" t="s">
        <v>26</v>
      </c>
      <c r="M6445">
        <v>353353</v>
      </c>
      <c r="N6445">
        <v>1</v>
      </c>
      <c r="O6445" s="3">
        <v>69950</v>
      </c>
      <c r="P6445" s="3">
        <v>21623</v>
      </c>
      <c r="Q6445" s="5">
        <f t="shared" si="300"/>
        <v>58781.512605042022</v>
      </c>
      <c r="R6445" s="5">
        <f t="shared" si="301"/>
        <v>21623</v>
      </c>
      <c r="S6445" s="5">
        <f t="shared" si="302"/>
        <v>37158.512605042022</v>
      </c>
    </row>
    <row r="6446" spans="1:19" hidden="1" x14ac:dyDescent="0.3">
      <c r="A6446">
        <v>210</v>
      </c>
      <c r="B6446" t="s">
        <v>6520</v>
      </c>
      <c r="C6446" t="s">
        <v>3434</v>
      </c>
      <c r="D6446" s="2" t="s">
        <v>3435</v>
      </c>
      <c r="E6446" t="s">
        <v>2370</v>
      </c>
      <c r="F6446" t="s">
        <v>20</v>
      </c>
      <c r="G6446" t="s">
        <v>338</v>
      </c>
      <c r="H6446">
        <v>24200</v>
      </c>
      <c r="I6446" t="s">
        <v>23</v>
      </c>
      <c r="J6446" t="s">
        <v>95</v>
      </c>
      <c r="K6446" s="2" t="s">
        <v>422</v>
      </c>
      <c r="L6446" t="s">
        <v>26</v>
      </c>
      <c r="M6446">
        <v>353354</v>
      </c>
      <c r="N6446">
        <v>1</v>
      </c>
      <c r="O6446" s="3">
        <v>84950</v>
      </c>
      <c r="P6446" s="3">
        <v>28401</v>
      </c>
      <c r="Q6446" s="5">
        <f t="shared" si="300"/>
        <v>71386.554621848743</v>
      </c>
      <c r="R6446" s="5">
        <f t="shared" si="301"/>
        <v>28401</v>
      </c>
      <c r="S6446" s="5">
        <f t="shared" si="302"/>
        <v>42985.554621848743</v>
      </c>
    </row>
    <row r="6447" spans="1:19" hidden="1" x14ac:dyDescent="0.3">
      <c r="A6447">
        <v>210</v>
      </c>
      <c r="B6447" t="s">
        <v>6520</v>
      </c>
      <c r="C6447" t="s">
        <v>1761</v>
      </c>
      <c r="D6447" s="2" t="s">
        <v>1762</v>
      </c>
      <c r="E6447" t="s">
        <v>1763</v>
      </c>
      <c r="F6447" t="s">
        <v>377</v>
      </c>
      <c r="G6447" t="s">
        <v>21</v>
      </c>
      <c r="H6447" t="s">
        <v>378</v>
      </c>
      <c r="I6447" t="s">
        <v>23</v>
      </c>
      <c r="J6447" t="s">
        <v>379</v>
      </c>
      <c r="K6447" s="2" t="s">
        <v>422</v>
      </c>
      <c r="L6447" t="s">
        <v>26</v>
      </c>
      <c r="M6447">
        <v>353354</v>
      </c>
      <c r="N6447">
        <v>1</v>
      </c>
      <c r="O6447" s="3">
        <v>5950</v>
      </c>
      <c r="P6447" s="3">
        <v>3279</v>
      </c>
      <c r="Q6447" s="5">
        <f t="shared" si="300"/>
        <v>5000</v>
      </c>
      <c r="R6447" s="5">
        <f t="shared" si="301"/>
        <v>3279</v>
      </c>
      <c r="S6447" s="5">
        <f t="shared" si="302"/>
        <v>1721</v>
      </c>
    </row>
    <row r="6448" spans="1:19" hidden="1" x14ac:dyDescent="0.3">
      <c r="A6448">
        <v>210</v>
      </c>
      <c r="B6448" t="s">
        <v>6520</v>
      </c>
      <c r="C6448" t="s">
        <v>6575</v>
      </c>
      <c r="D6448" s="2" t="s">
        <v>6576</v>
      </c>
      <c r="E6448" t="s">
        <v>6577</v>
      </c>
      <c r="F6448" t="s">
        <v>20</v>
      </c>
      <c r="G6448" t="s">
        <v>338</v>
      </c>
      <c r="H6448">
        <v>23746</v>
      </c>
      <c r="I6448" t="s">
        <v>23</v>
      </c>
      <c r="J6448" t="s">
        <v>40</v>
      </c>
      <c r="K6448" s="2" t="s">
        <v>422</v>
      </c>
      <c r="L6448" t="s">
        <v>26</v>
      </c>
      <c r="M6448">
        <v>353355</v>
      </c>
      <c r="N6448">
        <v>1</v>
      </c>
      <c r="O6448" s="3">
        <v>79950</v>
      </c>
      <c r="P6448" s="3">
        <v>27470</v>
      </c>
      <c r="Q6448" s="5">
        <f t="shared" si="300"/>
        <v>67184.873949579836</v>
      </c>
      <c r="R6448" s="5">
        <f t="shared" si="301"/>
        <v>27470</v>
      </c>
      <c r="S6448" s="5">
        <f t="shared" si="302"/>
        <v>39714.873949579836</v>
      </c>
    </row>
    <row r="6449" spans="1:19" hidden="1" x14ac:dyDescent="0.3">
      <c r="A6449">
        <v>210</v>
      </c>
      <c r="B6449" t="s">
        <v>6520</v>
      </c>
      <c r="C6449" t="s">
        <v>3689</v>
      </c>
      <c r="D6449" s="2" t="s">
        <v>3690</v>
      </c>
      <c r="E6449" t="s">
        <v>3691</v>
      </c>
      <c r="F6449" t="s">
        <v>20</v>
      </c>
      <c r="G6449" t="s">
        <v>338</v>
      </c>
      <c r="H6449">
        <v>23727</v>
      </c>
      <c r="I6449" t="s">
        <v>23</v>
      </c>
      <c r="J6449" t="s">
        <v>40</v>
      </c>
      <c r="K6449" s="2" t="s">
        <v>422</v>
      </c>
      <c r="L6449" t="s">
        <v>26</v>
      </c>
      <c r="M6449">
        <v>353356</v>
      </c>
      <c r="N6449">
        <v>1</v>
      </c>
      <c r="O6449" s="3">
        <v>49990</v>
      </c>
      <c r="P6449" s="3">
        <v>26539</v>
      </c>
      <c r="Q6449" s="5">
        <f t="shared" si="300"/>
        <v>42008.403361344543</v>
      </c>
      <c r="R6449" s="5">
        <f t="shared" si="301"/>
        <v>26539</v>
      </c>
      <c r="S6449" s="5">
        <f t="shared" si="302"/>
        <v>15469.403361344543</v>
      </c>
    </row>
    <row r="6450" spans="1:19" hidden="1" x14ac:dyDescent="0.3">
      <c r="A6450">
        <v>210</v>
      </c>
      <c r="B6450" t="s">
        <v>6520</v>
      </c>
      <c r="C6450" t="s">
        <v>3991</v>
      </c>
      <c r="D6450" s="2" t="s">
        <v>3992</v>
      </c>
      <c r="E6450" t="s">
        <v>2160</v>
      </c>
      <c r="F6450" t="s">
        <v>20</v>
      </c>
      <c r="G6450" t="s">
        <v>21</v>
      </c>
      <c r="H6450" t="s">
        <v>970</v>
      </c>
      <c r="I6450" t="s">
        <v>23</v>
      </c>
      <c r="J6450" t="s">
        <v>40</v>
      </c>
      <c r="K6450" s="2" t="s">
        <v>814</v>
      </c>
      <c r="L6450" t="s">
        <v>26</v>
      </c>
      <c r="M6450">
        <v>353357</v>
      </c>
      <c r="N6450">
        <v>1</v>
      </c>
      <c r="O6450" s="3">
        <v>49990</v>
      </c>
      <c r="P6450" s="3">
        <v>18043</v>
      </c>
      <c r="Q6450" s="5">
        <f t="shared" si="300"/>
        <v>42008.403361344543</v>
      </c>
      <c r="R6450" s="5">
        <f t="shared" si="301"/>
        <v>18043</v>
      </c>
      <c r="S6450" s="5">
        <f t="shared" si="302"/>
        <v>23965.403361344543</v>
      </c>
    </row>
    <row r="6451" spans="1:19" hidden="1" x14ac:dyDescent="0.3">
      <c r="A6451">
        <v>210</v>
      </c>
      <c r="B6451" t="s">
        <v>6520</v>
      </c>
      <c r="C6451" t="s">
        <v>5443</v>
      </c>
      <c r="D6451" s="2" t="s">
        <v>5444</v>
      </c>
      <c r="E6451" t="s">
        <v>1913</v>
      </c>
      <c r="F6451" t="s">
        <v>20</v>
      </c>
      <c r="G6451" t="s">
        <v>21</v>
      </c>
      <c r="H6451" t="s">
        <v>1914</v>
      </c>
      <c r="I6451" t="s">
        <v>23</v>
      </c>
      <c r="J6451" t="s">
        <v>35</v>
      </c>
      <c r="K6451" s="2" t="s">
        <v>814</v>
      </c>
      <c r="L6451" t="s">
        <v>26</v>
      </c>
      <c r="M6451">
        <v>353357</v>
      </c>
      <c r="N6451">
        <v>1</v>
      </c>
      <c r="O6451" s="3">
        <v>89950</v>
      </c>
      <c r="P6451" s="3">
        <v>28298</v>
      </c>
      <c r="Q6451" s="5">
        <f t="shared" si="300"/>
        <v>75588.23529411765</v>
      </c>
      <c r="R6451" s="5">
        <f t="shared" si="301"/>
        <v>28298</v>
      </c>
      <c r="S6451" s="5">
        <f t="shared" si="302"/>
        <v>47290.23529411765</v>
      </c>
    </row>
    <row r="6452" spans="1:19" hidden="1" x14ac:dyDescent="0.3">
      <c r="A6452">
        <v>210</v>
      </c>
      <c r="B6452" t="s">
        <v>6520</v>
      </c>
      <c r="C6452" t="s">
        <v>3141</v>
      </c>
      <c r="D6452" s="2" t="s">
        <v>3142</v>
      </c>
      <c r="E6452" t="s">
        <v>2323</v>
      </c>
      <c r="F6452" t="s">
        <v>20</v>
      </c>
      <c r="G6452" t="s">
        <v>21</v>
      </c>
      <c r="H6452" t="s">
        <v>1887</v>
      </c>
      <c r="I6452" t="s">
        <v>23</v>
      </c>
      <c r="J6452" t="s">
        <v>40</v>
      </c>
      <c r="K6452" s="2" t="s">
        <v>814</v>
      </c>
      <c r="L6452" t="s">
        <v>26</v>
      </c>
      <c r="M6452">
        <v>353358</v>
      </c>
      <c r="N6452">
        <v>1</v>
      </c>
      <c r="O6452" s="3">
        <v>69950</v>
      </c>
      <c r="P6452" s="3">
        <v>21623</v>
      </c>
      <c r="Q6452" s="5">
        <f t="shared" si="300"/>
        <v>58781.512605042022</v>
      </c>
      <c r="R6452" s="5">
        <f t="shared" si="301"/>
        <v>21623</v>
      </c>
      <c r="S6452" s="5">
        <f t="shared" si="302"/>
        <v>37158.512605042022</v>
      </c>
    </row>
    <row r="6453" spans="1:19" hidden="1" x14ac:dyDescent="0.3">
      <c r="A6453">
        <v>210</v>
      </c>
      <c r="B6453" t="s">
        <v>6520</v>
      </c>
      <c r="C6453" t="s">
        <v>6578</v>
      </c>
      <c r="D6453" s="2" t="s">
        <v>6579</v>
      </c>
      <c r="E6453" t="s">
        <v>1223</v>
      </c>
      <c r="F6453" t="s">
        <v>20</v>
      </c>
      <c r="G6453" t="s">
        <v>21</v>
      </c>
      <c r="H6453" t="s">
        <v>500</v>
      </c>
      <c r="I6453" t="s">
        <v>23</v>
      </c>
      <c r="J6453" t="s">
        <v>40</v>
      </c>
      <c r="K6453" s="2" t="s">
        <v>814</v>
      </c>
      <c r="L6453" t="s">
        <v>26</v>
      </c>
      <c r="M6453">
        <v>353359</v>
      </c>
      <c r="N6453">
        <v>1</v>
      </c>
      <c r="O6453" s="3">
        <v>49990</v>
      </c>
      <c r="P6453" s="3">
        <v>20043</v>
      </c>
      <c r="Q6453" s="5">
        <f t="shared" si="300"/>
        <v>42008.403361344543</v>
      </c>
      <c r="R6453" s="5">
        <f t="shared" si="301"/>
        <v>20043</v>
      </c>
      <c r="S6453" s="5">
        <f t="shared" si="302"/>
        <v>21965.403361344543</v>
      </c>
    </row>
    <row r="6454" spans="1:19" hidden="1" x14ac:dyDescent="0.3">
      <c r="A6454">
        <v>210</v>
      </c>
      <c r="B6454" t="s">
        <v>6520</v>
      </c>
      <c r="C6454" t="s">
        <v>723</v>
      </c>
      <c r="D6454" s="2" t="s">
        <v>724</v>
      </c>
      <c r="E6454" t="s">
        <v>725</v>
      </c>
      <c r="F6454" t="s">
        <v>20</v>
      </c>
      <c r="G6454" t="s">
        <v>21</v>
      </c>
      <c r="H6454" t="s">
        <v>228</v>
      </c>
      <c r="I6454" t="s">
        <v>23</v>
      </c>
      <c r="J6454" t="s">
        <v>207</v>
      </c>
      <c r="K6454" s="2" t="s">
        <v>814</v>
      </c>
      <c r="L6454" t="s">
        <v>26</v>
      </c>
      <c r="M6454">
        <v>353360</v>
      </c>
      <c r="N6454">
        <v>-1</v>
      </c>
      <c r="O6454" s="3">
        <v>-39990</v>
      </c>
      <c r="P6454" s="3">
        <v>26248</v>
      </c>
      <c r="Q6454" s="5">
        <f t="shared" si="300"/>
        <v>-33605.042016806721</v>
      </c>
      <c r="R6454" s="5">
        <f t="shared" si="301"/>
        <v>-26248</v>
      </c>
      <c r="S6454" s="5">
        <f t="shared" si="302"/>
        <v>-7357.0420168067212</v>
      </c>
    </row>
    <row r="6455" spans="1:19" hidden="1" x14ac:dyDescent="0.3">
      <c r="A6455">
        <v>210</v>
      </c>
      <c r="B6455" t="s">
        <v>6520</v>
      </c>
      <c r="C6455" t="s">
        <v>3815</v>
      </c>
      <c r="D6455" s="2" t="s">
        <v>3816</v>
      </c>
      <c r="E6455" t="s">
        <v>2340</v>
      </c>
      <c r="F6455" t="s">
        <v>20</v>
      </c>
      <c r="G6455" t="s">
        <v>21</v>
      </c>
      <c r="H6455" t="s">
        <v>1914</v>
      </c>
      <c r="I6455" t="s">
        <v>23</v>
      </c>
      <c r="J6455" t="s">
        <v>35</v>
      </c>
      <c r="K6455" s="2" t="s">
        <v>814</v>
      </c>
      <c r="L6455" t="s">
        <v>26</v>
      </c>
      <c r="M6455">
        <v>353360</v>
      </c>
      <c r="N6455">
        <v>1</v>
      </c>
      <c r="O6455" s="3">
        <v>89950</v>
      </c>
      <c r="P6455" s="3">
        <v>27630</v>
      </c>
      <c r="Q6455" s="5">
        <f t="shared" si="300"/>
        <v>75588.23529411765</v>
      </c>
      <c r="R6455" s="5">
        <f t="shared" si="301"/>
        <v>27630</v>
      </c>
      <c r="S6455" s="5">
        <f t="shared" si="302"/>
        <v>47958.23529411765</v>
      </c>
    </row>
    <row r="6456" spans="1:19" hidden="1" x14ac:dyDescent="0.3">
      <c r="A6456">
        <v>210</v>
      </c>
      <c r="B6456" t="s">
        <v>6520</v>
      </c>
      <c r="C6456" t="s">
        <v>5008</v>
      </c>
      <c r="D6456" s="2" t="s">
        <v>5009</v>
      </c>
      <c r="E6456" t="s">
        <v>2632</v>
      </c>
      <c r="F6456" t="s">
        <v>20</v>
      </c>
      <c r="G6456" t="s">
        <v>21</v>
      </c>
      <c r="H6456" t="s">
        <v>2469</v>
      </c>
      <c r="I6456" t="s">
        <v>23</v>
      </c>
      <c r="J6456" t="s">
        <v>49</v>
      </c>
      <c r="K6456" s="2" t="s">
        <v>814</v>
      </c>
      <c r="L6456" t="s">
        <v>26</v>
      </c>
      <c r="M6456">
        <v>353361</v>
      </c>
      <c r="N6456">
        <v>1</v>
      </c>
      <c r="O6456" s="3">
        <v>58451</v>
      </c>
      <c r="P6456" s="3">
        <v>21368</v>
      </c>
      <c r="Q6456" s="5">
        <f t="shared" si="300"/>
        <v>49118.487394957985</v>
      </c>
      <c r="R6456" s="5">
        <f t="shared" si="301"/>
        <v>21368</v>
      </c>
      <c r="S6456" s="5">
        <f t="shared" si="302"/>
        <v>27750.487394957985</v>
      </c>
    </row>
    <row r="6457" spans="1:19" hidden="1" x14ac:dyDescent="0.3">
      <c r="A6457">
        <v>210</v>
      </c>
      <c r="B6457" t="s">
        <v>6520</v>
      </c>
      <c r="C6457" t="s">
        <v>2630</v>
      </c>
      <c r="D6457" s="2" t="s">
        <v>2631</v>
      </c>
      <c r="E6457" t="s">
        <v>2632</v>
      </c>
      <c r="F6457" t="s">
        <v>20</v>
      </c>
      <c r="G6457" t="s">
        <v>21</v>
      </c>
      <c r="H6457" t="s">
        <v>2469</v>
      </c>
      <c r="I6457" t="s">
        <v>23</v>
      </c>
      <c r="J6457" t="s">
        <v>49</v>
      </c>
      <c r="K6457" s="2" t="s">
        <v>814</v>
      </c>
      <c r="L6457" t="s">
        <v>26</v>
      </c>
      <c r="M6457">
        <v>353361</v>
      </c>
      <c r="N6457">
        <v>-1</v>
      </c>
      <c r="O6457" s="3">
        <v>-58450</v>
      </c>
      <c r="P6457" s="3">
        <v>21365</v>
      </c>
      <c r="Q6457" s="5">
        <f t="shared" si="300"/>
        <v>-49117.647058823532</v>
      </c>
      <c r="R6457" s="5">
        <f t="shared" si="301"/>
        <v>-21365</v>
      </c>
      <c r="S6457" s="5">
        <f t="shared" si="302"/>
        <v>-27752.647058823532</v>
      </c>
    </row>
    <row r="6458" spans="1:19" hidden="1" x14ac:dyDescent="0.3">
      <c r="A6458">
        <v>210</v>
      </c>
      <c r="B6458" t="s">
        <v>6520</v>
      </c>
      <c r="C6458" t="s">
        <v>6580</v>
      </c>
      <c r="D6458" s="2" t="s">
        <v>6581</v>
      </c>
      <c r="E6458" t="s">
        <v>4324</v>
      </c>
      <c r="F6458" t="s">
        <v>20</v>
      </c>
      <c r="G6458" t="s">
        <v>21</v>
      </c>
      <c r="H6458" t="s">
        <v>1440</v>
      </c>
      <c r="I6458" t="s">
        <v>23</v>
      </c>
      <c r="J6458" t="s">
        <v>40</v>
      </c>
      <c r="K6458" s="2" t="s">
        <v>814</v>
      </c>
      <c r="L6458" t="s">
        <v>26</v>
      </c>
      <c r="M6458">
        <v>353362</v>
      </c>
      <c r="N6458">
        <v>1</v>
      </c>
      <c r="O6458" s="3">
        <v>64950</v>
      </c>
      <c r="P6458" s="3">
        <v>17328</v>
      </c>
      <c r="Q6458" s="5">
        <f t="shared" si="300"/>
        <v>54579.831932773115</v>
      </c>
      <c r="R6458" s="5">
        <f t="shared" si="301"/>
        <v>17328</v>
      </c>
      <c r="S6458" s="5">
        <f t="shared" si="302"/>
        <v>37251.831932773115</v>
      </c>
    </row>
    <row r="6459" spans="1:19" hidden="1" x14ac:dyDescent="0.3">
      <c r="A6459">
        <v>210</v>
      </c>
      <c r="B6459" t="s">
        <v>6520</v>
      </c>
      <c r="C6459" t="s">
        <v>2395</v>
      </c>
      <c r="D6459" s="2" t="s">
        <v>2396</v>
      </c>
      <c r="E6459" t="s">
        <v>425</v>
      </c>
      <c r="F6459" t="s">
        <v>20</v>
      </c>
      <c r="G6459" t="s">
        <v>21</v>
      </c>
      <c r="H6459" t="s">
        <v>22</v>
      </c>
      <c r="I6459" t="s">
        <v>23</v>
      </c>
      <c r="J6459" t="s">
        <v>24</v>
      </c>
      <c r="K6459" s="2" t="s">
        <v>814</v>
      </c>
      <c r="L6459" t="s">
        <v>26</v>
      </c>
      <c r="M6459">
        <v>353363</v>
      </c>
      <c r="N6459">
        <v>1</v>
      </c>
      <c r="O6459" s="3">
        <v>79950</v>
      </c>
      <c r="P6459" s="3">
        <v>27848</v>
      </c>
      <c r="Q6459" s="5">
        <f t="shared" si="300"/>
        <v>67184.873949579836</v>
      </c>
      <c r="R6459" s="5">
        <f t="shared" si="301"/>
        <v>27848</v>
      </c>
      <c r="S6459" s="5">
        <f t="shared" si="302"/>
        <v>39336.873949579836</v>
      </c>
    </row>
    <row r="6460" spans="1:19" hidden="1" x14ac:dyDescent="0.3">
      <c r="A6460">
        <v>210</v>
      </c>
      <c r="B6460" t="s">
        <v>6520</v>
      </c>
      <c r="C6460" t="s">
        <v>6533</v>
      </c>
      <c r="D6460" s="2" t="s">
        <v>6534</v>
      </c>
      <c r="E6460" t="s">
        <v>4827</v>
      </c>
      <c r="F6460" t="s">
        <v>20</v>
      </c>
      <c r="G6460" t="s">
        <v>21</v>
      </c>
      <c r="H6460" t="s">
        <v>272</v>
      </c>
      <c r="I6460" t="s">
        <v>23</v>
      </c>
      <c r="J6460" t="s">
        <v>40</v>
      </c>
      <c r="K6460" s="2" t="s">
        <v>902</v>
      </c>
      <c r="L6460" t="s">
        <v>26</v>
      </c>
      <c r="M6460">
        <v>353364</v>
      </c>
      <c r="N6460">
        <v>1</v>
      </c>
      <c r="O6460" s="3">
        <v>39990</v>
      </c>
      <c r="P6460" s="3">
        <v>24944</v>
      </c>
      <c r="Q6460" s="5">
        <f t="shared" si="300"/>
        <v>33605.042016806721</v>
      </c>
      <c r="R6460" s="5">
        <f t="shared" si="301"/>
        <v>24944</v>
      </c>
      <c r="S6460" s="5">
        <f t="shared" si="302"/>
        <v>8661.0420168067212</v>
      </c>
    </row>
    <row r="6461" spans="1:19" hidden="1" x14ac:dyDescent="0.3">
      <c r="A6461">
        <v>210</v>
      </c>
      <c r="B6461" t="s">
        <v>6520</v>
      </c>
      <c r="C6461">
        <v>1687976791</v>
      </c>
      <c r="D6461" s="2" t="s">
        <v>200</v>
      </c>
      <c r="E6461" t="s">
        <v>201</v>
      </c>
      <c r="F6461" t="s">
        <v>201</v>
      </c>
      <c r="G6461" t="s">
        <v>202</v>
      </c>
      <c r="H6461" t="s">
        <v>202</v>
      </c>
      <c r="I6461" t="s">
        <v>23</v>
      </c>
      <c r="J6461" t="s">
        <v>202</v>
      </c>
      <c r="K6461" s="2" t="s">
        <v>902</v>
      </c>
      <c r="L6461" t="s">
        <v>26</v>
      </c>
      <c r="M6461">
        <v>353364</v>
      </c>
      <c r="N6461">
        <v>1</v>
      </c>
      <c r="O6461" s="3">
        <v>7190</v>
      </c>
      <c r="P6461">
        <v>1</v>
      </c>
      <c r="Q6461" s="5">
        <f t="shared" si="300"/>
        <v>6042.0168067226896</v>
      </c>
      <c r="R6461" s="5">
        <f t="shared" si="301"/>
        <v>1</v>
      </c>
      <c r="S6461" s="5">
        <f t="shared" si="302"/>
        <v>6041.0168067226896</v>
      </c>
    </row>
    <row r="6462" spans="1:19" hidden="1" x14ac:dyDescent="0.3">
      <c r="A6462">
        <v>210</v>
      </c>
      <c r="B6462" t="s">
        <v>6520</v>
      </c>
      <c r="C6462" t="s">
        <v>6582</v>
      </c>
      <c r="D6462" s="2" t="s">
        <v>6583</v>
      </c>
      <c r="E6462" t="s">
        <v>189</v>
      </c>
      <c r="F6462" t="s">
        <v>20</v>
      </c>
      <c r="G6462" t="s">
        <v>21</v>
      </c>
      <c r="H6462" t="s">
        <v>131</v>
      </c>
      <c r="I6462" t="s">
        <v>23</v>
      </c>
      <c r="J6462" t="s">
        <v>49</v>
      </c>
      <c r="K6462" s="2" t="s">
        <v>902</v>
      </c>
      <c r="L6462" t="s">
        <v>26</v>
      </c>
      <c r="M6462">
        <v>353365</v>
      </c>
      <c r="N6462">
        <v>1</v>
      </c>
      <c r="O6462" s="3">
        <v>39990</v>
      </c>
      <c r="P6462" s="3">
        <v>28497</v>
      </c>
      <c r="Q6462" s="5">
        <f t="shared" si="300"/>
        <v>33605.042016806721</v>
      </c>
      <c r="R6462" s="5">
        <f t="shared" si="301"/>
        <v>28497</v>
      </c>
      <c r="S6462" s="5">
        <f t="shared" si="302"/>
        <v>5108.0420168067212</v>
      </c>
    </row>
    <row r="6463" spans="1:19" hidden="1" x14ac:dyDescent="0.3">
      <c r="A6463">
        <v>210</v>
      </c>
      <c r="B6463" t="s">
        <v>6520</v>
      </c>
      <c r="C6463">
        <v>1687976791</v>
      </c>
      <c r="D6463" s="2" t="s">
        <v>200</v>
      </c>
      <c r="E6463" t="s">
        <v>201</v>
      </c>
      <c r="F6463" t="s">
        <v>201</v>
      </c>
      <c r="G6463" t="s">
        <v>202</v>
      </c>
      <c r="H6463" t="s">
        <v>202</v>
      </c>
      <c r="I6463" t="s">
        <v>23</v>
      </c>
      <c r="J6463" t="s">
        <v>202</v>
      </c>
      <c r="K6463" s="2" t="s">
        <v>902</v>
      </c>
      <c r="L6463" t="s">
        <v>26</v>
      </c>
      <c r="M6463">
        <v>353365</v>
      </c>
      <c r="N6463">
        <v>1</v>
      </c>
      <c r="O6463" s="3">
        <v>2000</v>
      </c>
      <c r="P6463">
        <v>1</v>
      </c>
      <c r="Q6463" s="5">
        <f t="shared" si="300"/>
        <v>1680.6722689075632</v>
      </c>
      <c r="R6463" s="5">
        <f t="shared" si="301"/>
        <v>1</v>
      </c>
      <c r="S6463" s="5">
        <f t="shared" si="302"/>
        <v>1679.6722689075632</v>
      </c>
    </row>
    <row r="6464" spans="1:19" hidden="1" x14ac:dyDescent="0.3">
      <c r="A6464">
        <v>210</v>
      </c>
      <c r="B6464" t="s">
        <v>6520</v>
      </c>
      <c r="C6464" t="s">
        <v>6531</v>
      </c>
      <c r="D6464" s="2" t="s">
        <v>6532</v>
      </c>
      <c r="E6464" t="s">
        <v>3666</v>
      </c>
      <c r="F6464" t="s">
        <v>20</v>
      </c>
      <c r="G6464" t="s">
        <v>338</v>
      </c>
      <c r="H6464">
        <v>24316</v>
      </c>
      <c r="I6464" t="s">
        <v>23</v>
      </c>
      <c r="J6464" t="s">
        <v>49</v>
      </c>
      <c r="K6464" s="2" t="s">
        <v>902</v>
      </c>
      <c r="L6464" t="s">
        <v>26</v>
      </c>
      <c r="M6464">
        <v>353366</v>
      </c>
      <c r="N6464">
        <v>-1</v>
      </c>
      <c r="O6464" s="3">
        <v>-74950</v>
      </c>
      <c r="P6464" s="3">
        <v>23473</v>
      </c>
      <c r="Q6464" s="5">
        <f t="shared" si="300"/>
        <v>-62983.193277310929</v>
      </c>
      <c r="R6464" s="5">
        <f t="shared" si="301"/>
        <v>-23473</v>
      </c>
      <c r="S6464" s="5">
        <f t="shared" si="302"/>
        <v>-39510.193277310929</v>
      </c>
    </row>
    <row r="6465" spans="1:19" hidden="1" x14ac:dyDescent="0.3">
      <c r="A6465">
        <v>210</v>
      </c>
      <c r="B6465" t="s">
        <v>6520</v>
      </c>
      <c r="C6465" t="s">
        <v>5057</v>
      </c>
      <c r="D6465" s="2" t="s">
        <v>5058</v>
      </c>
      <c r="E6465" t="s">
        <v>3666</v>
      </c>
      <c r="F6465" t="s">
        <v>20</v>
      </c>
      <c r="G6465" t="s">
        <v>338</v>
      </c>
      <c r="H6465">
        <v>24316</v>
      </c>
      <c r="I6465" t="s">
        <v>23</v>
      </c>
      <c r="J6465" t="s">
        <v>49</v>
      </c>
      <c r="K6465" s="2" t="s">
        <v>902</v>
      </c>
      <c r="L6465" t="s">
        <v>26</v>
      </c>
      <c r="M6465">
        <v>353366</v>
      </c>
      <c r="N6465">
        <v>1</v>
      </c>
      <c r="O6465" s="3">
        <v>74951</v>
      </c>
      <c r="P6465" s="3">
        <v>23473</v>
      </c>
      <c r="Q6465" s="5">
        <f t="shared" si="300"/>
        <v>62984.033613445383</v>
      </c>
      <c r="R6465" s="5">
        <f t="shared" si="301"/>
        <v>23473</v>
      </c>
      <c r="S6465" s="5">
        <f t="shared" si="302"/>
        <v>39511.033613445383</v>
      </c>
    </row>
    <row r="6466" spans="1:19" hidden="1" x14ac:dyDescent="0.3">
      <c r="A6466">
        <v>210</v>
      </c>
      <c r="B6466" t="s">
        <v>6520</v>
      </c>
      <c r="C6466" t="s">
        <v>3196</v>
      </c>
      <c r="D6466" s="2" t="s">
        <v>3197</v>
      </c>
      <c r="E6466" t="s">
        <v>717</v>
      </c>
      <c r="F6466" t="s">
        <v>20</v>
      </c>
      <c r="G6466" t="s">
        <v>21</v>
      </c>
      <c r="H6466" t="s">
        <v>718</v>
      </c>
      <c r="I6466" t="s">
        <v>23</v>
      </c>
      <c r="J6466" t="s">
        <v>49</v>
      </c>
      <c r="K6466" s="2" t="s">
        <v>902</v>
      </c>
      <c r="L6466" t="s">
        <v>26</v>
      </c>
      <c r="M6466">
        <v>353367</v>
      </c>
      <c r="N6466">
        <v>1</v>
      </c>
      <c r="O6466" s="3">
        <v>39990</v>
      </c>
      <c r="P6466" s="3">
        <v>26658</v>
      </c>
      <c r="Q6466" s="5">
        <f t="shared" si="300"/>
        <v>33605.042016806721</v>
      </c>
      <c r="R6466" s="5">
        <f t="shared" si="301"/>
        <v>26658</v>
      </c>
      <c r="S6466" s="5">
        <f t="shared" si="302"/>
        <v>6947.0420168067212</v>
      </c>
    </row>
    <row r="6467" spans="1:19" hidden="1" x14ac:dyDescent="0.3">
      <c r="A6467">
        <v>210</v>
      </c>
      <c r="B6467" t="s">
        <v>6520</v>
      </c>
      <c r="C6467" t="s">
        <v>2698</v>
      </c>
      <c r="D6467" s="2" t="s">
        <v>2699</v>
      </c>
      <c r="E6467" t="s">
        <v>1758</v>
      </c>
      <c r="F6467" t="s">
        <v>20</v>
      </c>
      <c r="G6467" t="s">
        <v>338</v>
      </c>
      <c r="H6467">
        <v>25133</v>
      </c>
      <c r="I6467" t="s">
        <v>23</v>
      </c>
      <c r="J6467" t="s">
        <v>35</v>
      </c>
      <c r="K6467" s="2" t="s">
        <v>902</v>
      </c>
      <c r="L6467" t="s">
        <v>26</v>
      </c>
      <c r="M6467">
        <v>353368</v>
      </c>
      <c r="N6467">
        <v>1</v>
      </c>
      <c r="O6467" s="3">
        <v>74950</v>
      </c>
      <c r="P6467" s="3">
        <v>21167</v>
      </c>
      <c r="Q6467" s="5">
        <f t="shared" si="300"/>
        <v>62983.193277310929</v>
      </c>
      <c r="R6467" s="5">
        <f t="shared" si="301"/>
        <v>21167</v>
      </c>
      <c r="S6467" s="5">
        <f t="shared" si="302"/>
        <v>41816.193277310929</v>
      </c>
    </row>
    <row r="6468" spans="1:19" hidden="1" x14ac:dyDescent="0.3">
      <c r="A6468">
        <v>210</v>
      </c>
      <c r="B6468" t="s">
        <v>6520</v>
      </c>
      <c r="C6468" t="s">
        <v>492</v>
      </c>
      <c r="D6468" s="2" t="s">
        <v>493</v>
      </c>
      <c r="E6468" t="s">
        <v>494</v>
      </c>
      <c r="F6468" t="s">
        <v>20</v>
      </c>
      <c r="G6468" t="s">
        <v>21</v>
      </c>
      <c r="H6468" t="s">
        <v>317</v>
      </c>
      <c r="I6468" t="s">
        <v>23</v>
      </c>
      <c r="J6468" t="s">
        <v>35</v>
      </c>
      <c r="K6468" s="2" t="s">
        <v>902</v>
      </c>
      <c r="L6468" t="s">
        <v>26</v>
      </c>
      <c r="M6468">
        <v>353369</v>
      </c>
      <c r="N6468">
        <v>1</v>
      </c>
      <c r="O6468" s="3">
        <v>69950</v>
      </c>
      <c r="P6468" s="3">
        <v>23619</v>
      </c>
      <c r="Q6468" s="5">
        <f t="shared" si="300"/>
        <v>58781.512605042022</v>
      </c>
      <c r="R6468" s="5">
        <f t="shared" si="301"/>
        <v>23619</v>
      </c>
      <c r="S6468" s="5">
        <f t="shared" si="302"/>
        <v>35162.512605042022</v>
      </c>
    </row>
    <row r="6469" spans="1:19" hidden="1" x14ac:dyDescent="0.3">
      <c r="A6469">
        <v>210</v>
      </c>
      <c r="B6469" t="s">
        <v>6520</v>
      </c>
      <c r="C6469" t="s">
        <v>3023</v>
      </c>
      <c r="D6469" s="2" t="s">
        <v>3024</v>
      </c>
      <c r="E6469" t="s">
        <v>938</v>
      </c>
      <c r="F6469" t="s">
        <v>20</v>
      </c>
      <c r="G6469" t="s">
        <v>21</v>
      </c>
      <c r="H6469" t="s">
        <v>317</v>
      </c>
      <c r="I6469" t="s">
        <v>23</v>
      </c>
      <c r="J6469" t="s">
        <v>35</v>
      </c>
      <c r="K6469" s="2" t="s">
        <v>902</v>
      </c>
      <c r="L6469" t="s">
        <v>26</v>
      </c>
      <c r="M6469">
        <v>353370</v>
      </c>
      <c r="N6469">
        <v>1</v>
      </c>
      <c r="O6469" s="3">
        <v>69950</v>
      </c>
      <c r="P6469" s="3">
        <v>26455</v>
      </c>
      <c r="Q6469" s="5">
        <f t="shared" si="300"/>
        <v>58781.512605042022</v>
      </c>
      <c r="R6469" s="5">
        <f t="shared" si="301"/>
        <v>26455</v>
      </c>
      <c r="S6469" s="5">
        <f t="shared" si="302"/>
        <v>32326.512605042022</v>
      </c>
    </row>
    <row r="6470" spans="1:19" hidden="1" x14ac:dyDescent="0.3">
      <c r="A6470">
        <v>210</v>
      </c>
      <c r="B6470" t="s">
        <v>6520</v>
      </c>
      <c r="C6470" t="s">
        <v>2049</v>
      </c>
      <c r="D6470" s="2" t="s">
        <v>2050</v>
      </c>
      <c r="E6470" t="s">
        <v>1913</v>
      </c>
      <c r="F6470" t="s">
        <v>20</v>
      </c>
      <c r="G6470" t="s">
        <v>21</v>
      </c>
      <c r="H6470" t="s">
        <v>1914</v>
      </c>
      <c r="I6470" t="s">
        <v>23</v>
      </c>
      <c r="J6470" t="s">
        <v>35</v>
      </c>
      <c r="K6470" s="2" t="s">
        <v>902</v>
      </c>
      <c r="L6470" t="s">
        <v>26</v>
      </c>
      <c r="M6470">
        <v>353371</v>
      </c>
      <c r="N6470">
        <v>1</v>
      </c>
      <c r="O6470" s="3">
        <v>89950</v>
      </c>
      <c r="P6470" s="3">
        <v>28298</v>
      </c>
      <c r="Q6470" s="5">
        <f t="shared" ref="Q6470:Q6533" si="303">O6470/1.19</f>
        <v>75588.23529411765</v>
      </c>
      <c r="R6470" s="5">
        <f t="shared" ref="R6470:R6533" si="304">N6470*P6470</f>
        <v>28298</v>
      </c>
      <c r="S6470" s="5">
        <f t="shared" ref="S6470:S6533" si="305">Q6470-R6470</f>
        <v>47290.23529411765</v>
      </c>
    </row>
    <row r="6471" spans="1:19" hidden="1" x14ac:dyDescent="0.3">
      <c r="A6471">
        <v>210</v>
      </c>
      <c r="B6471" t="s">
        <v>6520</v>
      </c>
      <c r="C6471" t="s">
        <v>2447</v>
      </c>
      <c r="D6471" s="2" t="s">
        <v>2448</v>
      </c>
      <c r="E6471" t="s">
        <v>2449</v>
      </c>
      <c r="F6471" t="s">
        <v>20</v>
      </c>
      <c r="G6471" t="s">
        <v>21</v>
      </c>
      <c r="H6471" t="s">
        <v>1703</v>
      </c>
      <c r="I6471" t="s">
        <v>23</v>
      </c>
      <c r="J6471" t="s">
        <v>49</v>
      </c>
      <c r="K6471" s="2" t="s">
        <v>902</v>
      </c>
      <c r="L6471" t="s">
        <v>26</v>
      </c>
      <c r="M6471">
        <v>353372</v>
      </c>
      <c r="N6471">
        <v>1</v>
      </c>
      <c r="O6471" s="3">
        <v>74950</v>
      </c>
      <c r="P6471" s="3">
        <v>26457</v>
      </c>
      <c r="Q6471" s="5">
        <f t="shared" si="303"/>
        <v>62983.193277310929</v>
      </c>
      <c r="R6471" s="5">
        <f t="shared" si="304"/>
        <v>26457</v>
      </c>
      <c r="S6471" s="5">
        <f t="shared" si="305"/>
        <v>36526.193277310929</v>
      </c>
    </row>
    <row r="6472" spans="1:19" hidden="1" x14ac:dyDescent="0.3">
      <c r="A6472">
        <v>210</v>
      </c>
      <c r="B6472" t="s">
        <v>6520</v>
      </c>
      <c r="C6472" t="s">
        <v>4514</v>
      </c>
      <c r="D6472" s="2" t="s">
        <v>4515</v>
      </c>
      <c r="E6472" t="s">
        <v>4455</v>
      </c>
      <c r="F6472" t="s">
        <v>377</v>
      </c>
      <c r="G6472" t="s">
        <v>21</v>
      </c>
      <c r="H6472" t="s">
        <v>378</v>
      </c>
      <c r="I6472" t="s">
        <v>23</v>
      </c>
      <c r="J6472" t="s">
        <v>2459</v>
      </c>
      <c r="K6472" s="2" t="s">
        <v>999</v>
      </c>
      <c r="L6472" t="s">
        <v>2249</v>
      </c>
      <c r="M6472">
        <v>25321</v>
      </c>
      <c r="N6472">
        <v>-1</v>
      </c>
      <c r="O6472" s="3">
        <v>-3950</v>
      </c>
      <c r="P6472" s="3">
        <v>1607</v>
      </c>
      <c r="Q6472" s="5">
        <f t="shared" si="303"/>
        <v>-3319.3277310924373</v>
      </c>
      <c r="R6472" s="5">
        <f t="shared" si="304"/>
        <v>-1607</v>
      </c>
      <c r="S6472" s="5">
        <f t="shared" si="305"/>
        <v>-1712.3277310924373</v>
      </c>
    </row>
    <row r="6473" spans="1:19" hidden="1" x14ac:dyDescent="0.3">
      <c r="A6473">
        <v>210</v>
      </c>
      <c r="B6473" t="s">
        <v>6520</v>
      </c>
      <c r="C6473" t="s">
        <v>768</v>
      </c>
      <c r="D6473" s="2" t="s">
        <v>769</v>
      </c>
      <c r="E6473" t="s">
        <v>47</v>
      </c>
      <c r="F6473" t="s">
        <v>20</v>
      </c>
      <c r="G6473" t="s">
        <v>21</v>
      </c>
      <c r="H6473" t="s">
        <v>48</v>
      </c>
      <c r="I6473" t="s">
        <v>23</v>
      </c>
      <c r="J6473" t="s">
        <v>49</v>
      </c>
      <c r="K6473" s="2" t="s">
        <v>999</v>
      </c>
      <c r="L6473" t="s">
        <v>26</v>
      </c>
      <c r="M6473">
        <v>353373</v>
      </c>
      <c r="N6473">
        <v>1</v>
      </c>
      <c r="O6473" s="3">
        <v>39990</v>
      </c>
      <c r="P6473" s="3">
        <v>24245</v>
      </c>
      <c r="Q6473" s="5">
        <f t="shared" si="303"/>
        <v>33605.042016806721</v>
      </c>
      <c r="R6473" s="5">
        <f t="shared" si="304"/>
        <v>24245</v>
      </c>
      <c r="S6473" s="5">
        <f t="shared" si="305"/>
        <v>9360.0420168067212</v>
      </c>
    </row>
    <row r="6474" spans="1:19" hidden="1" x14ac:dyDescent="0.3">
      <c r="A6474">
        <v>210</v>
      </c>
      <c r="B6474" t="s">
        <v>6520</v>
      </c>
      <c r="C6474">
        <v>1687976791</v>
      </c>
      <c r="D6474" s="2" t="s">
        <v>200</v>
      </c>
      <c r="E6474" t="s">
        <v>201</v>
      </c>
      <c r="F6474" t="s">
        <v>201</v>
      </c>
      <c r="G6474" t="s">
        <v>202</v>
      </c>
      <c r="H6474" t="s">
        <v>202</v>
      </c>
      <c r="I6474" t="s">
        <v>23</v>
      </c>
      <c r="J6474" t="s">
        <v>202</v>
      </c>
      <c r="K6474" s="2" t="s">
        <v>999</v>
      </c>
      <c r="L6474" t="s">
        <v>26</v>
      </c>
      <c r="M6474">
        <v>353373</v>
      </c>
      <c r="N6474">
        <v>1</v>
      </c>
      <c r="O6474" s="3">
        <v>2000</v>
      </c>
      <c r="P6474">
        <v>1</v>
      </c>
      <c r="Q6474" s="5">
        <f t="shared" si="303"/>
        <v>1680.6722689075632</v>
      </c>
      <c r="R6474" s="5">
        <f t="shared" si="304"/>
        <v>1</v>
      </c>
      <c r="S6474" s="5">
        <f t="shared" si="305"/>
        <v>1679.6722689075632</v>
      </c>
    </row>
    <row r="6475" spans="1:19" hidden="1" x14ac:dyDescent="0.3">
      <c r="A6475">
        <v>210</v>
      </c>
      <c r="B6475" t="s">
        <v>6520</v>
      </c>
      <c r="C6475" t="s">
        <v>4514</v>
      </c>
      <c r="D6475" s="2" t="s">
        <v>4515</v>
      </c>
      <c r="E6475" t="s">
        <v>4455</v>
      </c>
      <c r="F6475" t="s">
        <v>377</v>
      </c>
      <c r="G6475" t="s">
        <v>21</v>
      </c>
      <c r="H6475" t="s">
        <v>378</v>
      </c>
      <c r="I6475" t="s">
        <v>23</v>
      </c>
      <c r="J6475" t="s">
        <v>2459</v>
      </c>
      <c r="K6475" s="2" t="s">
        <v>999</v>
      </c>
      <c r="L6475" t="s">
        <v>26</v>
      </c>
      <c r="M6475">
        <v>353374</v>
      </c>
      <c r="N6475">
        <v>1</v>
      </c>
      <c r="O6475" s="3">
        <v>3950</v>
      </c>
      <c r="P6475" s="3">
        <v>1607</v>
      </c>
      <c r="Q6475" s="5">
        <f t="shared" si="303"/>
        <v>3319.3277310924373</v>
      </c>
      <c r="R6475" s="5">
        <f t="shared" si="304"/>
        <v>1607</v>
      </c>
      <c r="S6475" s="5">
        <f t="shared" si="305"/>
        <v>1712.3277310924373</v>
      </c>
    </row>
    <row r="6476" spans="1:19" hidden="1" x14ac:dyDescent="0.3">
      <c r="A6476">
        <v>210</v>
      </c>
      <c r="B6476" t="s">
        <v>6520</v>
      </c>
      <c r="C6476" t="s">
        <v>3381</v>
      </c>
      <c r="D6476" s="2" t="s">
        <v>3382</v>
      </c>
      <c r="E6476" t="s">
        <v>2002</v>
      </c>
      <c r="F6476" t="s">
        <v>20</v>
      </c>
      <c r="G6476" t="s">
        <v>338</v>
      </c>
      <c r="H6476">
        <v>25026</v>
      </c>
      <c r="I6476" t="s">
        <v>23</v>
      </c>
      <c r="J6476" t="s">
        <v>35</v>
      </c>
      <c r="K6476" s="2" t="s">
        <v>999</v>
      </c>
      <c r="L6476" t="s">
        <v>26</v>
      </c>
      <c r="M6476">
        <v>353375</v>
      </c>
      <c r="N6476">
        <v>1</v>
      </c>
      <c r="O6476" s="3">
        <v>89950</v>
      </c>
      <c r="P6476" s="3">
        <v>28454</v>
      </c>
      <c r="Q6476" s="5">
        <f t="shared" si="303"/>
        <v>75588.23529411765</v>
      </c>
      <c r="R6476" s="5">
        <f t="shared" si="304"/>
        <v>28454</v>
      </c>
      <c r="S6476" s="5">
        <f t="shared" si="305"/>
        <v>47134.23529411765</v>
      </c>
    </row>
    <row r="6477" spans="1:19" hidden="1" x14ac:dyDescent="0.3">
      <c r="A6477">
        <v>210</v>
      </c>
      <c r="B6477" t="s">
        <v>6520</v>
      </c>
      <c r="C6477" t="s">
        <v>4375</v>
      </c>
      <c r="D6477" s="2" t="s">
        <v>4376</v>
      </c>
      <c r="E6477" t="s">
        <v>4377</v>
      </c>
      <c r="F6477" t="s">
        <v>377</v>
      </c>
      <c r="G6477" t="s">
        <v>21</v>
      </c>
      <c r="H6477" t="s">
        <v>378</v>
      </c>
      <c r="I6477" t="s">
        <v>23</v>
      </c>
      <c r="J6477" t="s">
        <v>2459</v>
      </c>
      <c r="K6477" s="2" t="s">
        <v>999</v>
      </c>
      <c r="L6477" t="s">
        <v>26</v>
      </c>
      <c r="M6477">
        <v>353376</v>
      </c>
      <c r="N6477">
        <v>1</v>
      </c>
      <c r="O6477" s="3">
        <v>6950</v>
      </c>
      <c r="P6477" s="3">
        <v>3701</v>
      </c>
      <c r="Q6477" s="5">
        <f t="shared" si="303"/>
        <v>5840.3361344537816</v>
      </c>
      <c r="R6477" s="5">
        <f t="shared" si="304"/>
        <v>3701</v>
      </c>
      <c r="S6477" s="5">
        <f t="shared" si="305"/>
        <v>2139.3361344537816</v>
      </c>
    </row>
    <row r="6478" spans="1:19" hidden="1" x14ac:dyDescent="0.3">
      <c r="A6478">
        <v>210</v>
      </c>
      <c r="B6478" t="s">
        <v>6520</v>
      </c>
      <c r="C6478" t="s">
        <v>4726</v>
      </c>
      <c r="D6478" s="2" t="s">
        <v>4727</v>
      </c>
      <c r="E6478" t="s">
        <v>2311</v>
      </c>
      <c r="F6478" t="s">
        <v>20</v>
      </c>
      <c r="G6478" t="s">
        <v>338</v>
      </c>
      <c r="H6478">
        <v>83716</v>
      </c>
      <c r="I6478" t="s">
        <v>23</v>
      </c>
      <c r="J6478" t="s">
        <v>40</v>
      </c>
      <c r="K6478" s="2" t="s">
        <v>999</v>
      </c>
      <c r="L6478" t="s">
        <v>26</v>
      </c>
      <c r="M6478">
        <v>353377</v>
      </c>
      <c r="N6478">
        <v>1</v>
      </c>
      <c r="O6478" s="3">
        <v>89950</v>
      </c>
      <c r="P6478" s="3">
        <v>30263</v>
      </c>
      <c r="Q6478" s="5">
        <f t="shared" si="303"/>
        <v>75588.23529411765</v>
      </c>
      <c r="R6478" s="5">
        <f t="shared" si="304"/>
        <v>30263</v>
      </c>
      <c r="S6478" s="5">
        <f t="shared" si="305"/>
        <v>45325.23529411765</v>
      </c>
    </row>
    <row r="6479" spans="1:19" hidden="1" x14ac:dyDescent="0.3">
      <c r="A6479">
        <v>210</v>
      </c>
      <c r="B6479" t="s">
        <v>6520</v>
      </c>
      <c r="C6479" t="s">
        <v>6584</v>
      </c>
      <c r="D6479" s="2" t="s">
        <v>6585</v>
      </c>
      <c r="E6479" t="s">
        <v>3031</v>
      </c>
      <c r="F6479" t="s">
        <v>20</v>
      </c>
      <c r="G6479" t="s">
        <v>21</v>
      </c>
      <c r="H6479" t="s">
        <v>2315</v>
      </c>
      <c r="I6479" t="s">
        <v>23</v>
      </c>
      <c r="J6479" t="s">
        <v>49</v>
      </c>
      <c r="K6479" s="2" t="s">
        <v>999</v>
      </c>
      <c r="L6479" t="s">
        <v>26</v>
      </c>
      <c r="M6479">
        <v>353378</v>
      </c>
      <c r="N6479">
        <v>1</v>
      </c>
      <c r="O6479" s="3">
        <v>74950</v>
      </c>
      <c r="P6479" s="3">
        <v>24256</v>
      </c>
      <c r="Q6479" s="5">
        <f t="shared" si="303"/>
        <v>62983.193277310929</v>
      </c>
      <c r="R6479" s="5">
        <f t="shared" si="304"/>
        <v>24256</v>
      </c>
      <c r="S6479" s="5">
        <f t="shared" si="305"/>
        <v>38727.193277310929</v>
      </c>
    </row>
    <row r="6480" spans="1:19" hidden="1" x14ac:dyDescent="0.3">
      <c r="A6480">
        <v>210</v>
      </c>
      <c r="B6480" t="s">
        <v>6520</v>
      </c>
      <c r="C6480" t="s">
        <v>2097</v>
      </c>
      <c r="D6480" s="2" t="s">
        <v>2098</v>
      </c>
      <c r="E6480" t="s">
        <v>494</v>
      </c>
      <c r="F6480" t="s">
        <v>20</v>
      </c>
      <c r="G6480" t="s">
        <v>21</v>
      </c>
      <c r="H6480" t="s">
        <v>317</v>
      </c>
      <c r="I6480" t="s">
        <v>23</v>
      </c>
      <c r="J6480" t="s">
        <v>35</v>
      </c>
      <c r="K6480" s="2" t="s">
        <v>999</v>
      </c>
      <c r="L6480" t="s">
        <v>26</v>
      </c>
      <c r="M6480">
        <v>353379</v>
      </c>
      <c r="N6480">
        <v>1</v>
      </c>
      <c r="O6480" s="3">
        <v>69950</v>
      </c>
      <c r="P6480" s="3">
        <v>23619</v>
      </c>
      <c r="Q6480" s="5">
        <f t="shared" si="303"/>
        <v>58781.512605042022</v>
      </c>
      <c r="R6480" s="5">
        <f t="shared" si="304"/>
        <v>23619</v>
      </c>
      <c r="S6480" s="5">
        <f t="shared" si="305"/>
        <v>35162.512605042022</v>
      </c>
    </row>
    <row r="6481" spans="1:19" hidden="1" x14ac:dyDescent="0.3">
      <c r="A6481">
        <v>210</v>
      </c>
      <c r="B6481" t="s">
        <v>6520</v>
      </c>
      <c r="C6481" t="s">
        <v>3409</v>
      </c>
      <c r="D6481" s="2" t="s">
        <v>3410</v>
      </c>
      <c r="E6481" t="s">
        <v>2428</v>
      </c>
      <c r="F6481" t="s">
        <v>20</v>
      </c>
      <c r="G6481" t="s">
        <v>21</v>
      </c>
      <c r="H6481" t="s">
        <v>2315</v>
      </c>
      <c r="I6481" t="s">
        <v>23</v>
      </c>
      <c r="J6481" t="s">
        <v>35</v>
      </c>
      <c r="K6481" s="2" t="s">
        <v>1072</v>
      </c>
      <c r="L6481" t="s">
        <v>26</v>
      </c>
      <c r="M6481">
        <v>353380</v>
      </c>
      <c r="N6481">
        <v>1</v>
      </c>
      <c r="O6481" s="3">
        <v>89951</v>
      </c>
      <c r="P6481" s="3">
        <v>30749</v>
      </c>
      <c r="Q6481" s="5">
        <f t="shared" si="303"/>
        <v>75589.075630252104</v>
      </c>
      <c r="R6481" s="5">
        <f t="shared" si="304"/>
        <v>30749</v>
      </c>
      <c r="S6481" s="5">
        <f t="shared" si="305"/>
        <v>44840.075630252104</v>
      </c>
    </row>
    <row r="6482" spans="1:19" hidden="1" x14ac:dyDescent="0.3">
      <c r="A6482">
        <v>210</v>
      </c>
      <c r="B6482" t="s">
        <v>6520</v>
      </c>
      <c r="C6482" t="s">
        <v>2559</v>
      </c>
      <c r="D6482" s="2" t="s">
        <v>2560</v>
      </c>
      <c r="E6482" t="s">
        <v>2561</v>
      </c>
      <c r="F6482" t="s">
        <v>20</v>
      </c>
      <c r="G6482" t="s">
        <v>21</v>
      </c>
      <c r="H6482" t="s">
        <v>1914</v>
      </c>
      <c r="I6482" t="s">
        <v>23</v>
      </c>
      <c r="J6482" t="s">
        <v>35</v>
      </c>
      <c r="K6482" s="2" t="s">
        <v>1072</v>
      </c>
      <c r="L6482" t="s">
        <v>26</v>
      </c>
      <c r="M6482">
        <v>353380</v>
      </c>
      <c r="N6482">
        <v>-1</v>
      </c>
      <c r="O6482" s="3">
        <v>-89950</v>
      </c>
      <c r="P6482" s="3">
        <v>28298</v>
      </c>
      <c r="Q6482" s="5">
        <f t="shared" si="303"/>
        <v>-75588.23529411765</v>
      </c>
      <c r="R6482" s="5">
        <f t="shared" si="304"/>
        <v>-28298</v>
      </c>
      <c r="S6482" s="5">
        <f t="shared" si="305"/>
        <v>-47290.23529411765</v>
      </c>
    </row>
    <row r="6483" spans="1:19" hidden="1" x14ac:dyDescent="0.3">
      <c r="A6483">
        <v>210</v>
      </c>
      <c r="B6483" t="s">
        <v>6520</v>
      </c>
      <c r="C6483" t="s">
        <v>2900</v>
      </c>
      <c r="D6483" s="2" t="s">
        <v>2901</v>
      </c>
      <c r="E6483" t="s">
        <v>2902</v>
      </c>
      <c r="F6483" t="s">
        <v>20</v>
      </c>
      <c r="G6483" t="s">
        <v>21</v>
      </c>
      <c r="H6483" t="s">
        <v>267</v>
      </c>
      <c r="I6483" t="s">
        <v>23</v>
      </c>
      <c r="J6483" t="s">
        <v>49</v>
      </c>
      <c r="K6483" s="2" t="s">
        <v>1072</v>
      </c>
      <c r="L6483" t="s">
        <v>26</v>
      </c>
      <c r="M6483">
        <v>353381</v>
      </c>
      <c r="N6483">
        <v>1</v>
      </c>
      <c r="O6483" s="3">
        <v>64950</v>
      </c>
      <c r="P6483" s="3">
        <v>24504</v>
      </c>
      <c r="Q6483" s="5">
        <f t="shared" si="303"/>
        <v>54579.831932773115</v>
      </c>
      <c r="R6483" s="5">
        <f t="shared" si="304"/>
        <v>24504</v>
      </c>
      <c r="S6483" s="5">
        <f t="shared" si="305"/>
        <v>30075.831932773115</v>
      </c>
    </row>
    <row r="6484" spans="1:19" hidden="1" x14ac:dyDescent="0.3">
      <c r="A6484">
        <v>210</v>
      </c>
      <c r="B6484" t="s">
        <v>6520</v>
      </c>
      <c r="C6484" t="s">
        <v>2722</v>
      </c>
      <c r="D6484" s="2" t="s">
        <v>2723</v>
      </c>
      <c r="E6484" t="s">
        <v>2340</v>
      </c>
      <c r="F6484" t="s">
        <v>20</v>
      </c>
      <c r="G6484" t="s">
        <v>21</v>
      </c>
      <c r="H6484" t="s">
        <v>1914</v>
      </c>
      <c r="I6484" t="s">
        <v>23</v>
      </c>
      <c r="J6484" t="s">
        <v>35</v>
      </c>
      <c r="K6484" s="2" t="s">
        <v>1072</v>
      </c>
      <c r="L6484" t="s">
        <v>26</v>
      </c>
      <c r="M6484">
        <v>353382</v>
      </c>
      <c r="N6484">
        <v>1</v>
      </c>
      <c r="O6484" s="3">
        <v>89950</v>
      </c>
      <c r="P6484" s="3">
        <v>27630</v>
      </c>
      <c r="Q6484" s="5">
        <f t="shared" si="303"/>
        <v>75588.23529411765</v>
      </c>
      <c r="R6484" s="5">
        <f t="shared" si="304"/>
        <v>27630</v>
      </c>
      <c r="S6484" s="5">
        <f t="shared" si="305"/>
        <v>47958.23529411765</v>
      </c>
    </row>
    <row r="6485" spans="1:19" hidden="1" x14ac:dyDescent="0.3">
      <c r="A6485">
        <v>210</v>
      </c>
      <c r="B6485" t="s">
        <v>6520</v>
      </c>
      <c r="C6485" t="s">
        <v>4283</v>
      </c>
      <c r="D6485" s="2" t="s">
        <v>4284</v>
      </c>
      <c r="E6485" t="s">
        <v>3449</v>
      </c>
      <c r="F6485" t="s">
        <v>20</v>
      </c>
      <c r="G6485" t="s">
        <v>338</v>
      </c>
      <c r="H6485">
        <v>25366</v>
      </c>
      <c r="I6485" t="s">
        <v>23</v>
      </c>
      <c r="J6485" t="s">
        <v>35</v>
      </c>
      <c r="K6485" s="2" t="s">
        <v>1072</v>
      </c>
      <c r="L6485" t="s">
        <v>26</v>
      </c>
      <c r="M6485">
        <v>353383</v>
      </c>
      <c r="N6485">
        <v>1</v>
      </c>
      <c r="O6485" s="3">
        <v>99950</v>
      </c>
      <c r="P6485" s="3">
        <v>33157</v>
      </c>
      <c r="Q6485" s="5">
        <f t="shared" si="303"/>
        <v>83991.596638655465</v>
      </c>
      <c r="R6485" s="5">
        <f t="shared" si="304"/>
        <v>33157</v>
      </c>
      <c r="S6485" s="5">
        <f t="shared" si="305"/>
        <v>50834.596638655465</v>
      </c>
    </row>
    <row r="6486" spans="1:19" hidden="1" x14ac:dyDescent="0.3">
      <c r="A6486">
        <v>210</v>
      </c>
      <c r="B6486" t="s">
        <v>6520</v>
      </c>
      <c r="C6486" t="s">
        <v>5964</v>
      </c>
      <c r="D6486" s="2" t="s">
        <v>5965</v>
      </c>
      <c r="E6486" t="s">
        <v>5642</v>
      </c>
      <c r="F6486" t="s">
        <v>20</v>
      </c>
      <c r="G6486" t="s">
        <v>21</v>
      </c>
      <c r="H6486" t="s">
        <v>2189</v>
      </c>
      <c r="I6486" t="s">
        <v>23</v>
      </c>
      <c r="J6486" t="s">
        <v>40</v>
      </c>
      <c r="K6486" s="2" t="s">
        <v>1072</v>
      </c>
      <c r="L6486" t="s">
        <v>26</v>
      </c>
      <c r="M6486">
        <v>353384</v>
      </c>
      <c r="N6486">
        <v>1</v>
      </c>
      <c r="O6486" s="3">
        <v>64950</v>
      </c>
      <c r="P6486" s="3">
        <v>20795</v>
      </c>
      <c r="Q6486" s="5">
        <f t="shared" si="303"/>
        <v>54579.831932773115</v>
      </c>
      <c r="R6486" s="5">
        <f t="shared" si="304"/>
        <v>20795</v>
      </c>
      <c r="S6486" s="5">
        <f t="shared" si="305"/>
        <v>33784.831932773115</v>
      </c>
    </row>
    <row r="6487" spans="1:19" hidden="1" x14ac:dyDescent="0.3">
      <c r="A6487">
        <v>210</v>
      </c>
      <c r="B6487" t="s">
        <v>6520</v>
      </c>
      <c r="C6487" t="s">
        <v>4621</v>
      </c>
      <c r="D6487" s="2" t="s">
        <v>4622</v>
      </c>
      <c r="E6487" t="s">
        <v>4358</v>
      </c>
      <c r="F6487" t="s">
        <v>20</v>
      </c>
      <c r="G6487" t="s">
        <v>21</v>
      </c>
      <c r="H6487" t="s">
        <v>346</v>
      </c>
      <c r="I6487" t="s">
        <v>23</v>
      </c>
      <c r="J6487" t="s">
        <v>49</v>
      </c>
      <c r="K6487" s="2" t="s">
        <v>1072</v>
      </c>
      <c r="L6487" t="s">
        <v>26</v>
      </c>
      <c r="M6487">
        <v>353385</v>
      </c>
      <c r="N6487">
        <v>1</v>
      </c>
      <c r="O6487" s="3">
        <v>49990</v>
      </c>
      <c r="P6487" s="3">
        <v>23229</v>
      </c>
      <c r="Q6487" s="5">
        <f t="shared" si="303"/>
        <v>42008.403361344543</v>
      </c>
      <c r="R6487" s="5">
        <f t="shared" si="304"/>
        <v>23229</v>
      </c>
      <c r="S6487" s="5">
        <f t="shared" si="305"/>
        <v>18779.403361344543</v>
      </c>
    </row>
    <row r="6488" spans="1:19" hidden="1" x14ac:dyDescent="0.3">
      <c r="A6488">
        <v>210</v>
      </c>
      <c r="B6488" t="s">
        <v>6520</v>
      </c>
      <c r="C6488" t="s">
        <v>4356</v>
      </c>
      <c r="D6488" s="2" t="s">
        <v>4357</v>
      </c>
      <c r="E6488" t="s">
        <v>4358</v>
      </c>
      <c r="F6488" t="s">
        <v>20</v>
      </c>
      <c r="G6488" t="s">
        <v>21</v>
      </c>
      <c r="H6488" t="s">
        <v>346</v>
      </c>
      <c r="I6488" t="s">
        <v>23</v>
      </c>
      <c r="J6488" t="s">
        <v>49</v>
      </c>
      <c r="K6488" s="2" t="s">
        <v>1072</v>
      </c>
      <c r="L6488" t="s">
        <v>26</v>
      </c>
      <c r="M6488">
        <v>353385</v>
      </c>
      <c r="N6488">
        <v>1</v>
      </c>
      <c r="O6488" s="3">
        <v>49990</v>
      </c>
      <c r="P6488" s="3">
        <v>23226</v>
      </c>
      <c r="Q6488" s="5">
        <f t="shared" si="303"/>
        <v>42008.403361344543</v>
      </c>
      <c r="R6488" s="5">
        <f t="shared" si="304"/>
        <v>23226</v>
      </c>
      <c r="S6488" s="5">
        <f t="shared" si="305"/>
        <v>18782.403361344543</v>
      </c>
    </row>
    <row r="6489" spans="1:19" hidden="1" x14ac:dyDescent="0.3">
      <c r="A6489">
        <v>210</v>
      </c>
      <c r="B6489" t="s">
        <v>6520</v>
      </c>
      <c r="C6489" t="s">
        <v>4530</v>
      </c>
      <c r="D6489" s="2" t="s">
        <v>4531</v>
      </c>
      <c r="E6489" t="s">
        <v>467</v>
      </c>
      <c r="F6489" t="s">
        <v>20</v>
      </c>
      <c r="G6489" t="s">
        <v>21</v>
      </c>
      <c r="H6489" t="s">
        <v>171</v>
      </c>
      <c r="I6489" t="s">
        <v>23</v>
      </c>
      <c r="J6489" t="s">
        <v>40</v>
      </c>
      <c r="K6489" s="2" t="s">
        <v>1072</v>
      </c>
      <c r="L6489" t="s">
        <v>26</v>
      </c>
      <c r="M6489">
        <v>353386</v>
      </c>
      <c r="N6489">
        <v>1</v>
      </c>
      <c r="O6489" s="3">
        <v>59990</v>
      </c>
      <c r="P6489" s="3">
        <v>29948</v>
      </c>
      <c r="Q6489" s="5">
        <f t="shared" si="303"/>
        <v>50411.764705882357</v>
      </c>
      <c r="R6489" s="5">
        <f t="shared" si="304"/>
        <v>29948</v>
      </c>
      <c r="S6489" s="5">
        <f t="shared" si="305"/>
        <v>20463.764705882357</v>
      </c>
    </row>
    <row r="6490" spans="1:19" hidden="1" x14ac:dyDescent="0.3">
      <c r="A6490">
        <v>210</v>
      </c>
      <c r="B6490" t="s">
        <v>6520</v>
      </c>
      <c r="C6490">
        <v>1687976791</v>
      </c>
      <c r="D6490" s="2" t="s">
        <v>200</v>
      </c>
      <c r="E6490" t="s">
        <v>201</v>
      </c>
      <c r="F6490" t="s">
        <v>201</v>
      </c>
      <c r="G6490" t="s">
        <v>202</v>
      </c>
      <c r="H6490" t="s">
        <v>202</v>
      </c>
      <c r="I6490" t="s">
        <v>23</v>
      </c>
      <c r="J6490" t="s">
        <v>202</v>
      </c>
      <c r="K6490" s="2" t="s">
        <v>1072</v>
      </c>
      <c r="L6490" t="s">
        <v>26</v>
      </c>
      <c r="M6490">
        <v>353386</v>
      </c>
      <c r="N6490">
        <v>1</v>
      </c>
      <c r="O6490" s="3">
        <v>2000</v>
      </c>
      <c r="P6490">
        <v>1</v>
      </c>
      <c r="Q6490" s="5">
        <f t="shared" si="303"/>
        <v>1680.6722689075632</v>
      </c>
      <c r="R6490" s="5">
        <f t="shared" si="304"/>
        <v>1</v>
      </c>
      <c r="S6490" s="5">
        <f t="shared" si="305"/>
        <v>1679.6722689075632</v>
      </c>
    </row>
    <row r="6491" spans="1:19" hidden="1" x14ac:dyDescent="0.3">
      <c r="A6491">
        <v>210</v>
      </c>
      <c r="B6491" t="s">
        <v>6520</v>
      </c>
      <c r="C6491" t="s">
        <v>6586</v>
      </c>
      <c r="D6491" s="2" t="s">
        <v>6587</v>
      </c>
      <c r="E6491" t="s">
        <v>2533</v>
      </c>
      <c r="F6491" t="s">
        <v>20</v>
      </c>
      <c r="G6491" t="s">
        <v>21</v>
      </c>
      <c r="H6491" t="s">
        <v>500</v>
      </c>
      <c r="I6491" t="s">
        <v>23</v>
      </c>
      <c r="J6491" t="s">
        <v>40</v>
      </c>
      <c r="K6491" s="2" t="s">
        <v>1072</v>
      </c>
      <c r="L6491" t="s">
        <v>26</v>
      </c>
      <c r="M6491">
        <v>353387</v>
      </c>
      <c r="N6491">
        <v>1</v>
      </c>
      <c r="O6491" s="3">
        <v>49990</v>
      </c>
      <c r="P6491" s="3">
        <v>20043</v>
      </c>
      <c r="Q6491" s="5">
        <f t="shared" si="303"/>
        <v>42008.403361344543</v>
      </c>
      <c r="R6491" s="5">
        <f t="shared" si="304"/>
        <v>20043</v>
      </c>
      <c r="S6491" s="5">
        <f t="shared" si="305"/>
        <v>21965.403361344543</v>
      </c>
    </row>
    <row r="6492" spans="1:19" hidden="1" x14ac:dyDescent="0.3">
      <c r="A6492">
        <v>210</v>
      </c>
      <c r="B6492" t="s">
        <v>6520</v>
      </c>
      <c r="C6492">
        <v>1687976791</v>
      </c>
      <c r="D6492" s="2" t="s">
        <v>200</v>
      </c>
      <c r="E6492" t="s">
        <v>201</v>
      </c>
      <c r="F6492" t="s">
        <v>201</v>
      </c>
      <c r="G6492" t="s">
        <v>202</v>
      </c>
      <c r="H6492" t="s">
        <v>202</v>
      </c>
      <c r="I6492" t="s">
        <v>23</v>
      </c>
      <c r="J6492" t="s">
        <v>202</v>
      </c>
      <c r="K6492" s="2" t="s">
        <v>1072</v>
      </c>
      <c r="L6492" t="s">
        <v>26</v>
      </c>
      <c r="M6492">
        <v>353387</v>
      </c>
      <c r="N6492">
        <v>1</v>
      </c>
      <c r="O6492" s="3">
        <v>2000</v>
      </c>
      <c r="P6492">
        <v>1</v>
      </c>
      <c r="Q6492" s="5">
        <f t="shared" si="303"/>
        <v>1680.6722689075632</v>
      </c>
      <c r="R6492" s="5">
        <f t="shared" si="304"/>
        <v>1</v>
      </c>
      <c r="S6492" s="5">
        <f t="shared" si="305"/>
        <v>1679.6722689075632</v>
      </c>
    </row>
    <row r="6493" spans="1:19" hidden="1" x14ac:dyDescent="0.3">
      <c r="A6493">
        <v>210</v>
      </c>
      <c r="B6493" t="s">
        <v>6520</v>
      </c>
      <c r="C6493" t="s">
        <v>4711</v>
      </c>
      <c r="D6493" s="2" t="s">
        <v>4712</v>
      </c>
      <c r="E6493" t="s">
        <v>2748</v>
      </c>
      <c r="F6493" t="s">
        <v>20</v>
      </c>
      <c r="G6493" t="s">
        <v>338</v>
      </c>
      <c r="H6493">
        <v>26266</v>
      </c>
      <c r="I6493" t="s">
        <v>23</v>
      </c>
      <c r="J6493" t="s">
        <v>35</v>
      </c>
      <c r="K6493" s="2" t="s">
        <v>1072</v>
      </c>
      <c r="L6493" t="s">
        <v>26</v>
      </c>
      <c r="M6493">
        <v>353388</v>
      </c>
      <c r="N6493">
        <v>1</v>
      </c>
      <c r="O6493" s="3">
        <v>79950</v>
      </c>
      <c r="P6493" s="3">
        <v>25300</v>
      </c>
      <c r="Q6493" s="5">
        <f t="shared" si="303"/>
        <v>67184.873949579836</v>
      </c>
      <c r="R6493" s="5">
        <f t="shared" si="304"/>
        <v>25300</v>
      </c>
      <c r="S6493" s="5">
        <f t="shared" si="305"/>
        <v>41884.873949579836</v>
      </c>
    </row>
    <row r="6494" spans="1:19" hidden="1" x14ac:dyDescent="0.3">
      <c r="A6494">
        <v>210</v>
      </c>
      <c r="B6494" t="s">
        <v>6520</v>
      </c>
      <c r="C6494" t="s">
        <v>5789</v>
      </c>
      <c r="D6494" s="2" t="s">
        <v>5790</v>
      </c>
      <c r="E6494" t="s">
        <v>3914</v>
      </c>
      <c r="F6494" t="s">
        <v>20</v>
      </c>
      <c r="G6494" t="s">
        <v>338</v>
      </c>
      <c r="H6494">
        <v>24316</v>
      </c>
      <c r="I6494" t="s">
        <v>23</v>
      </c>
      <c r="J6494" t="s">
        <v>49</v>
      </c>
      <c r="K6494" s="2" t="s">
        <v>1072</v>
      </c>
      <c r="L6494" t="s">
        <v>26</v>
      </c>
      <c r="M6494">
        <v>353389</v>
      </c>
      <c r="N6494">
        <v>1</v>
      </c>
      <c r="O6494" s="3">
        <v>74950</v>
      </c>
      <c r="P6494" s="3">
        <v>23473</v>
      </c>
      <c r="Q6494" s="5">
        <f t="shared" si="303"/>
        <v>62983.193277310929</v>
      </c>
      <c r="R6494" s="5">
        <f t="shared" si="304"/>
        <v>23473</v>
      </c>
      <c r="S6494" s="5">
        <f t="shared" si="305"/>
        <v>39510.193277310929</v>
      </c>
    </row>
    <row r="6495" spans="1:19" hidden="1" x14ac:dyDescent="0.3">
      <c r="A6495">
        <v>210</v>
      </c>
      <c r="B6495" t="s">
        <v>6520</v>
      </c>
      <c r="C6495" t="s">
        <v>3409</v>
      </c>
      <c r="D6495" s="2" t="s">
        <v>3410</v>
      </c>
      <c r="E6495" t="s">
        <v>2428</v>
      </c>
      <c r="F6495" t="s">
        <v>20</v>
      </c>
      <c r="G6495" t="s">
        <v>21</v>
      </c>
      <c r="H6495" t="s">
        <v>2315</v>
      </c>
      <c r="I6495" t="s">
        <v>23</v>
      </c>
      <c r="J6495" t="s">
        <v>35</v>
      </c>
      <c r="K6495" s="2" t="s">
        <v>1072</v>
      </c>
      <c r="L6495" t="s">
        <v>26</v>
      </c>
      <c r="M6495">
        <v>353390</v>
      </c>
      <c r="N6495">
        <v>1</v>
      </c>
      <c r="O6495" s="3">
        <v>89950</v>
      </c>
      <c r="P6495" s="3">
        <v>30749</v>
      </c>
      <c r="Q6495" s="5">
        <f t="shared" si="303"/>
        <v>75588.23529411765</v>
      </c>
      <c r="R6495" s="5">
        <f t="shared" si="304"/>
        <v>30749</v>
      </c>
      <c r="S6495" s="5">
        <f t="shared" si="305"/>
        <v>44839.23529411765</v>
      </c>
    </row>
    <row r="6496" spans="1:19" hidden="1" x14ac:dyDescent="0.3">
      <c r="A6496">
        <v>210</v>
      </c>
      <c r="B6496" t="s">
        <v>6520</v>
      </c>
      <c r="C6496" t="s">
        <v>6588</v>
      </c>
      <c r="D6496" s="2" t="s">
        <v>6589</v>
      </c>
      <c r="E6496" t="s">
        <v>4556</v>
      </c>
      <c r="F6496" t="s">
        <v>20</v>
      </c>
      <c r="G6496" t="s">
        <v>21</v>
      </c>
      <c r="H6496" t="s">
        <v>1987</v>
      </c>
      <c r="I6496" t="s">
        <v>23</v>
      </c>
      <c r="J6496" t="s">
        <v>35</v>
      </c>
      <c r="K6496" s="2" t="s">
        <v>1072</v>
      </c>
      <c r="L6496" t="s">
        <v>26</v>
      </c>
      <c r="M6496">
        <v>353390</v>
      </c>
      <c r="N6496">
        <v>1</v>
      </c>
      <c r="O6496" s="3">
        <v>89950</v>
      </c>
      <c r="P6496" s="3">
        <v>29858</v>
      </c>
      <c r="Q6496" s="5">
        <f t="shared" si="303"/>
        <v>75588.23529411765</v>
      </c>
      <c r="R6496" s="5">
        <f t="shared" si="304"/>
        <v>29858</v>
      </c>
      <c r="S6496" s="5">
        <f t="shared" si="305"/>
        <v>45730.23529411765</v>
      </c>
    </row>
    <row r="6497" spans="1:19" hidden="1" x14ac:dyDescent="0.3">
      <c r="A6497">
        <v>210</v>
      </c>
      <c r="B6497" t="s">
        <v>6520</v>
      </c>
      <c r="C6497" t="s">
        <v>5069</v>
      </c>
      <c r="D6497" s="2" t="s">
        <v>5070</v>
      </c>
      <c r="E6497" t="s">
        <v>3016</v>
      </c>
      <c r="F6497" t="s">
        <v>20</v>
      </c>
      <c r="G6497" t="s">
        <v>338</v>
      </c>
      <c r="H6497">
        <v>25301</v>
      </c>
      <c r="I6497" t="s">
        <v>23</v>
      </c>
      <c r="J6497" t="s">
        <v>35</v>
      </c>
      <c r="K6497" s="2" t="s">
        <v>1072</v>
      </c>
      <c r="L6497" t="s">
        <v>26</v>
      </c>
      <c r="M6497">
        <v>353391</v>
      </c>
      <c r="N6497">
        <v>1</v>
      </c>
      <c r="O6497" s="3">
        <v>99950</v>
      </c>
      <c r="P6497" s="3">
        <v>34679</v>
      </c>
      <c r="Q6497" s="5">
        <f t="shared" si="303"/>
        <v>83991.596638655465</v>
      </c>
      <c r="R6497" s="5">
        <f t="shared" si="304"/>
        <v>34679</v>
      </c>
      <c r="S6497" s="5">
        <f t="shared" si="305"/>
        <v>49312.596638655465</v>
      </c>
    </row>
    <row r="6498" spans="1:19" hidden="1" x14ac:dyDescent="0.3">
      <c r="A6498">
        <v>210</v>
      </c>
      <c r="B6498" t="s">
        <v>6520</v>
      </c>
      <c r="C6498" t="s">
        <v>4022</v>
      </c>
      <c r="D6498" s="2" t="s">
        <v>4023</v>
      </c>
      <c r="E6498" t="s">
        <v>1075</v>
      </c>
      <c r="F6498" t="s">
        <v>20</v>
      </c>
      <c r="G6498" t="s">
        <v>338</v>
      </c>
      <c r="H6498">
        <v>25097</v>
      </c>
      <c r="I6498" t="s">
        <v>23</v>
      </c>
      <c r="J6498" t="s">
        <v>24</v>
      </c>
      <c r="K6498" s="2" t="s">
        <v>2693</v>
      </c>
      <c r="L6498" t="s">
        <v>26</v>
      </c>
      <c r="M6498">
        <v>353392</v>
      </c>
      <c r="N6498">
        <v>1</v>
      </c>
      <c r="O6498" s="3">
        <v>74950</v>
      </c>
      <c r="P6498" s="3">
        <v>23242</v>
      </c>
      <c r="Q6498" s="5">
        <f t="shared" si="303"/>
        <v>62983.193277310929</v>
      </c>
      <c r="R6498" s="5">
        <f t="shared" si="304"/>
        <v>23242</v>
      </c>
      <c r="S6498" s="5">
        <f t="shared" si="305"/>
        <v>39741.193277310929</v>
      </c>
    </row>
    <row r="6499" spans="1:19" hidden="1" x14ac:dyDescent="0.3">
      <c r="A6499">
        <v>210</v>
      </c>
      <c r="B6499" t="s">
        <v>6520</v>
      </c>
      <c r="C6499" t="s">
        <v>4169</v>
      </c>
      <c r="D6499" s="2" t="s">
        <v>4170</v>
      </c>
      <c r="E6499" t="s">
        <v>3757</v>
      </c>
      <c r="F6499" t="s">
        <v>20</v>
      </c>
      <c r="G6499" t="s">
        <v>338</v>
      </c>
      <c r="H6499">
        <v>23732</v>
      </c>
      <c r="I6499" t="s">
        <v>23</v>
      </c>
      <c r="J6499" t="s">
        <v>40</v>
      </c>
      <c r="K6499" s="2" t="s">
        <v>2693</v>
      </c>
      <c r="L6499" t="s">
        <v>26</v>
      </c>
      <c r="M6499">
        <v>353393</v>
      </c>
      <c r="N6499">
        <v>1</v>
      </c>
      <c r="O6499" s="3">
        <v>79950</v>
      </c>
      <c r="P6499" s="3">
        <v>26539</v>
      </c>
      <c r="Q6499" s="5">
        <f t="shared" si="303"/>
        <v>67184.873949579836</v>
      </c>
      <c r="R6499" s="5">
        <f t="shared" si="304"/>
        <v>26539</v>
      </c>
      <c r="S6499" s="5">
        <f t="shared" si="305"/>
        <v>40645.873949579836</v>
      </c>
    </row>
    <row r="6500" spans="1:19" hidden="1" x14ac:dyDescent="0.3">
      <c r="A6500">
        <v>210</v>
      </c>
      <c r="B6500" t="s">
        <v>6520</v>
      </c>
      <c r="C6500" t="s">
        <v>5188</v>
      </c>
      <c r="D6500" s="2" t="s">
        <v>5189</v>
      </c>
      <c r="E6500" t="s">
        <v>2473</v>
      </c>
      <c r="F6500" t="s">
        <v>20</v>
      </c>
      <c r="G6500" t="s">
        <v>21</v>
      </c>
      <c r="H6500" t="s">
        <v>114</v>
      </c>
      <c r="I6500" t="s">
        <v>23</v>
      </c>
      <c r="J6500" t="s">
        <v>49</v>
      </c>
      <c r="K6500" s="2" t="s">
        <v>2693</v>
      </c>
      <c r="L6500" t="s">
        <v>26</v>
      </c>
      <c r="M6500">
        <v>353394</v>
      </c>
      <c r="N6500">
        <v>-1</v>
      </c>
      <c r="O6500" s="3">
        <v>-49990</v>
      </c>
      <c r="P6500" s="3">
        <v>23514</v>
      </c>
      <c r="Q6500" s="5">
        <f t="shared" si="303"/>
        <v>-42008.403361344543</v>
      </c>
      <c r="R6500" s="5">
        <f t="shared" si="304"/>
        <v>-23514</v>
      </c>
      <c r="S6500" s="5">
        <f t="shared" si="305"/>
        <v>-18494.403361344543</v>
      </c>
    </row>
    <row r="6501" spans="1:19" hidden="1" x14ac:dyDescent="0.3">
      <c r="A6501">
        <v>210</v>
      </c>
      <c r="B6501" t="s">
        <v>6520</v>
      </c>
      <c r="C6501" t="s">
        <v>6590</v>
      </c>
      <c r="D6501" s="2" t="s">
        <v>6591</v>
      </c>
      <c r="E6501" t="s">
        <v>6592</v>
      </c>
      <c r="F6501" t="s">
        <v>20</v>
      </c>
      <c r="G6501" t="s">
        <v>21</v>
      </c>
      <c r="H6501" t="s">
        <v>114</v>
      </c>
      <c r="I6501" t="s">
        <v>23</v>
      </c>
      <c r="J6501" t="s">
        <v>49</v>
      </c>
      <c r="K6501" s="2" t="s">
        <v>2693</v>
      </c>
      <c r="L6501" t="s">
        <v>26</v>
      </c>
      <c r="M6501">
        <v>353394</v>
      </c>
      <c r="N6501">
        <v>1</v>
      </c>
      <c r="O6501" s="3">
        <v>44990</v>
      </c>
      <c r="P6501" s="3">
        <v>21518</v>
      </c>
      <c r="Q6501" s="5">
        <f t="shared" si="303"/>
        <v>37806.722689075636</v>
      </c>
      <c r="R6501" s="5">
        <f t="shared" si="304"/>
        <v>21518</v>
      </c>
      <c r="S6501" s="5">
        <f t="shared" si="305"/>
        <v>16288.722689075636</v>
      </c>
    </row>
    <row r="6502" spans="1:19" hidden="1" x14ac:dyDescent="0.3">
      <c r="A6502">
        <v>210</v>
      </c>
      <c r="B6502" t="s">
        <v>6520</v>
      </c>
      <c r="C6502" t="s">
        <v>2575</v>
      </c>
      <c r="D6502" s="2" t="s">
        <v>2576</v>
      </c>
      <c r="E6502" t="s">
        <v>2577</v>
      </c>
      <c r="F6502" t="s">
        <v>377</v>
      </c>
      <c r="G6502" t="s">
        <v>21</v>
      </c>
      <c r="H6502" t="s">
        <v>378</v>
      </c>
      <c r="I6502" t="s">
        <v>23</v>
      </c>
      <c r="J6502" t="s">
        <v>379</v>
      </c>
      <c r="K6502" s="2" t="s">
        <v>2693</v>
      </c>
      <c r="L6502" t="s">
        <v>26</v>
      </c>
      <c r="M6502">
        <v>353394</v>
      </c>
      <c r="N6502">
        <v>1</v>
      </c>
      <c r="O6502" s="3">
        <v>5950</v>
      </c>
      <c r="P6502" s="3">
        <v>3307</v>
      </c>
      <c r="Q6502" s="5">
        <f t="shared" si="303"/>
        <v>5000</v>
      </c>
      <c r="R6502" s="5">
        <f t="shared" si="304"/>
        <v>3307</v>
      </c>
      <c r="S6502" s="5">
        <f t="shared" si="305"/>
        <v>1693</v>
      </c>
    </row>
    <row r="6503" spans="1:19" hidden="1" x14ac:dyDescent="0.3">
      <c r="A6503">
        <v>210</v>
      </c>
      <c r="B6503" t="s">
        <v>6520</v>
      </c>
      <c r="C6503" t="s">
        <v>3333</v>
      </c>
      <c r="D6503" s="2" t="s">
        <v>3334</v>
      </c>
      <c r="E6503" t="s">
        <v>3335</v>
      </c>
      <c r="F6503" t="s">
        <v>20</v>
      </c>
      <c r="G6503" t="s">
        <v>338</v>
      </c>
      <c r="H6503">
        <v>25273</v>
      </c>
      <c r="I6503" t="s">
        <v>23</v>
      </c>
      <c r="J6503" t="s">
        <v>35</v>
      </c>
      <c r="K6503" s="2" t="s">
        <v>2693</v>
      </c>
      <c r="L6503" t="s">
        <v>26</v>
      </c>
      <c r="M6503">
        <v>353395</v>
      </c>
      <c r="N6503">
        <v>1</v>
      </c>
      <c r="O6503" s="3">
        <v>99950</v>
      </c>
      <c r="P6503" s="3">
        <v>32658</v>
      </c>
      <c r="Q6503" s="5">
        <f t="shared" si="303"/>
        <v>83991.596638655465</v>
      </c>
      <c r="R6503" s="5">
        <f t="shared" si="304"/>
        <v>32658</v>
      </c>
      <c r="S6503" s="5">
        <f t="shared" si="305"/>
        <v>51333.596638655465</v>
      </c>
    </row>
    <row r="6504" spans="1:19" hidden="1" x14ac:dyDescent="0.3">
      <c r="A6504">
        <v>210</v>
      </c>
      <c r="B6504" t="s">
        <v>6520</v>
      </c>
      <c r="C6504" t="s">
        <v>6383</v>
      </c>
      <c r="D6504" s="2" t="s">
        <v>6384</v>
      </c>
      <c r="E6504" t="s">
        <v>4547</v>
      </c>
      <c r="F6504" t="s">
        <v>20</v>
      </c>
      <c r="G6504" t="s">
        <v>21</v>
      </c>
      <c r="H6504" t="s">
        <v>285</v>
      </c>
      <c r="I6504" t="s">
        <v>23</v>
      </c>
      <c r="J6504" t="s">
        <v>49</v>
      </c>
      <c r="K6504" s="2" t="s">
        <v>2693</v>
      </c>
      <c r="L6504" t="s">
        <v>26</v>
      </c>
      <c r="M6504">
        <v>353396</v>
      </c>
      <c r="N6504">
        <v>1</v>
      </c>
      <c r="O6504" s="3">
        <v>59990</v>
      </c>
      <c r="P6504" s="3">
        <v>28600</v>
      </c>
      <c r="Q6504" s="5">
        <f t="shared" si="303"/>
        <v>50411.764705882357</v>
      </c>
      <c r="R6504" s="5">
        <f t="shared" si="304"/>
        <v>28600</v>
      </c>
      <c r="S6504" s="5">
        <f t="shared" si="305"/>
        <v>21811.764705882357</v>
      </c>
    </row>
    <row r="6505" spans="1:19" hidden="1" x14ac:dyDescent="0.3">
      <c r="A6505">
        <v>210</v>
      </c>
      <c r="B6505" t="s">
        <v>6520</v>
      </c>
      <c r="C6505">
        <v>1687976791</v>
      </c>
      <c r="D6505" s="2" t="s">
        <v>200</v>
      </c>
      <c r="E6505" t="s">
        <v>201</v>
      </c>
      <c r="F6505" t="s">
        <v>201</v>
      </c>
      <c r="G6505" t="s">
        <v>202</v>
      </c>
      <c r="H6505" t="s">
        <v>202</v>
      </c>
      <c r="I6505" t="s">
        <v>23</v>
      </c>
      <c r="J6505" t="s">
        <v>202</v>
      </c>
      <c r="K6505" s="2" t="s">
        <v>2693</v>
      </c>
      <c r="L6505" t="s">
        <v>26</v>
      </c>
      <c r="M6505">
        <v>353396</v>
      </c>
      <c r="N6505">
        <v>1</v>
      </c>
      <c r="O6505" s="3">
        <v>2000</v>
      </c>
      <c r="P6505">
        <v>1</v>
      </c>
      <c r="Q6505" s="5">
        <f t="shared" si="303"/>
        <v>1680.6722689075632</v>
      </c>
      <c r="R6505" s="5">
        <f t="shared" si="304"/>
        <v>1</v>
      </c>
      <c r="S6505" s="5">
        <f t="shared" si="305"/>
        <v>1679.6722689075632</v>
      </c>
    </row>
    <row r="6506" spans="1:19" hidden="1" x14ac:dyDescent="0.3">
      <c r="A6506">
        <v>210</v>
      </c>
      <c r="B6506" t="s">
        <v>6520</v>
      </c>
      <c r="C6506" t="s">
        <v>2485</v>
      </c>
      <c r="D6506" s="2" t="s">
        <v>2486</v>
      </c>
      <c r="E6506" t="s">
        <v>2487</v>
      </c>
      <c r="F6506" t="s">
        <v>377</v>
      </c>
      <c r="G6506" t="s">
        <v>21</v>
      </c>
      <c r="H6506" t="s">
        <v>378</v>
      </c>
      <c r="I6506" t="s">
        <v>23</v>
      </c>
      <c r="J6506" t="s">
        <v>379</v>
      </c>
      <c r="K6506" s="2" t="s">
        <v>2693</v>
      </c>
      <c r="L6506" t="s">
        <v>26</v>
      </c>
      <c r="M6506">
        <v>353397</v>
      </c>
      <c r="N6506">
        <v>1</v>
      </c>
      <c r="O6506" s="3">
        <v>5950</v>
      </c>
      <c r="P6506" s="3">
        <v>2243</v>
      </c>
      <c r="Q6506" s="5">
        <f t="shared" si="303"/>
        <v>5000</v>
      </c>
      <c r="R6506" s="5">
        <f t="shared" si="304"/>
        <v>2243</v>
      </c>
      <c r="S6506" s="5">
        <f t="shared" si="305"/>
        <v>2757</v>
      </c>
    </row>
    <row r="6507" spans="1:19" hidden="1" x14ac:dyDescent="0.3">
      <c r="A6507">
        <v>210</v>
      </c>
      <c r="B6507" t="s">
        <v>6520</v>
      </c>
      <c r="C6507" t="s">
        <v>4239</v>
      </c>
      <c r="D6507" s="2" t="s">
        <v>4240</v>
      </c>
      <c r="E6507" t="s">
        <v>2539</v>
      </c>
      <c r="F6507" t="s">
        <v>20</v>
      </c>
      <c r="G6507" t="s">
        <v>21</v>
      </c>
      <c r="H6507" t="s">
        <v>966</v>
      </c>
      <c r="I6507" t="s">
        <v>23</v>
      </c>
      <c r="J6507" t="s">
        <v>35</v>
      </c>
      <c r="K6507" s="2" t="s">
        <v>2693</v>
      </c>
      <c r="L6507" t="s">
        <v>26</v>
      </c>
      <c r="M6507">
        <v>353398</v>
      </c>
      <c r="N6507">
        <v>1</v>
      </c>
      <c r="O6507" s="3">
        <v>74950</v>
      </c>
      <c r="P6507" s="3">
        <v>26729</v>
      </c>
      <c r="Q6507" s="5">
        <f t="shared" si="303"/>
        <v>62983.193277310929</v>
      </c>
      <c r="R6507" s="5">
        <f t="shared" si="304"/>
        <v>26729</v>
      </c>
      <c r="S6507" s="5">
        <f t="shared" si="305"/>
        <v>36254.193277310929</v>
      </c>
    </row>
    <row r="6508" spans="1:19" hidden="1" x14ac:dyDescent="0.3">
      <c r="A6508">
        <v>210</v>
      </c>
      <c r="B6508" t="s">
        <v>6520</v>
      </c>
      <c r="C6508" t="s">
        <v>4239</v>
      </c>
      <c r="D6508" s="2" t="s">
        <v>4240</v>
      </c>
      <c r="E6508" t="s">
        <v>2539</v>
      </c>
      <c r="F6508" t="s">
        <v>20</v>
      </c>
      <c r="G6508" t="s">
        <v>21</v>
      </c>
      <c r="H6508" t="s">
        <v>966</v>
      </c>
      <c r="I6508" t="s">
        <v>23</v>
      </c>
      <c r="J6508" t="s">
        <v>35</v>
      </c>
      <c r="K6508" s="2" t="s">
        <v>2693</v>
      </c>
      <c r="L6508" t="s">
        <v>26</v>
      </c>
      <c r="M6508">
        <v>353399</v>
      </c>
      <c r="N6508">
        <v>1</v>
      </c>
      <c r="O6508" s="3">
        <v>74950</v>
      </c>
      <c r="P6508" s="3">
        <v>26729</v>
      </c>
      <c r="Q6508" s="5">
        <f t="shared" si="303"/>
        <v>62983.193277310929</v>
      </c>
      <c r="R6508" s="5">
        <f t="shared" si="304"/>
        <v>26729</v>
      </c>
      <c r="S6508" s="5">
        <f t="shared" si="305"/>
        <v>36254.193277310929</v>
      </c>
    </row>
    <row r="6509" spans="1:19" hidden="1" x14ac:dyDescent="0.3">
      <c r="A6509">
        <v>210</v>
      </c>
      <c r="B6509" t="s">
        <v>6520</v>
      </c>
      <c r="C6509" t="s">
        <v>670</v>
      </c>
      <c r="D6509" s="2" t="s">
        <v>671</v>
      </c>
      <c r="E6509" t="s">
        <v>672</v>
      </c>
      <c r="F6509" t="s">
        <v>20</v>
      </c>
      <c r="G6509" t="s">
        <v>21</v>
      </c>
      <c r="H6509" t="s">
        <v>673</v>
      </c>
      <c r="I6509" t="s">
        <v>23</v>
      </c>
      <c r="J6509" t="s">
        <v>35</v>
      </c>
      <c r="K6509" s="2" t="s">
        <v>2693</v>
      </c>
      <c r="L6509" t="s">
        <v>26</v>
      </c>
      <c r="M6509">
        <v>353400</v>
      </c>
      <c r="N6509">
        <v>-1</v>
      </c>
      <c r="O6509" s="3">
        <v>-69990</v>
      </c>
      <c r="P6509" s="3">
        <v>33837</v>
      </c>
      <c r="Q6509" s="5">
        <f t="shared" si="303"/>
        <v>-58815.126050420171</v>
      </c>
      <c r="R6509" s="5">
        <f t="shared" si="304"/>
        <v>-33837</v>
      </c>
      <c r="S6509" s="5">
        <f t="shared" si="305"/>
        <v>-24978.126050420171</v>
      </c>
    </row>
    <row r="6510" spans="1:19" hidden="1" x14ac:dyDescent="0.3">
      <c r="A6510">
        <v>210</v>
      </c>
      <c r="B6510" t="s">
        <v>6520</v>
      </c>
      <c r="C6510" t="s">
        <v>4905</v>
      </c>
      <c r="D6510" s="2" t="s">
        <v>4906</v>
      </c>
      <c r="E6510" t="s">
        <v>3418</v>
      </c>
      <c r="F6510" t="s">
        <v>20</v>
      </c>
      <c r="G6510" t="s">
        <v>21</v>
      </c>
      <c r="H6510" t="s">
        <v>1418</v>
      </c>
      <c r="I6510" t="s">
        <v>23</v>
      </c>
      <c r="J6510" t="s">
        <v>35</v>
      </c>
      <c r="K6510" s="2" t="s">
        <v>2693</v>
      </c>
      <c r="L6510" t="s">
        <v>26</v>
      </c>
      <c r="M6510">
        <v>353400</v>
      </c>
      <c r="N6510">
        <v>1</v>
      </c>
      <c r="O6510" s="3">
        <v>94950</v>
      </c>
      <c r="P6510" s="3">
        <v>30749</v>
      </c>
      <c r="Q6510" s="5">
        <f t="shared" si="303"/>
        <v>79789.915966386558</v>
      </c>
      <c r="R6510" s="5">
        <f t="shared" si="304"/>
        <v>30749</v>
      </c>
      <c r="S6510" s="5">
        <f t="shared" si="305"/>
        <v>49040.915966386558</v>
      </c>
    </row>
    <row r="6511" spans="1:19" hidden="1" x14ac:dyDescent="0.3">
      <c r="A6511">
        <v>210</v>
      </c>
      <c r="B6511" t="s">
        <v>6520</v>
      </c>
      <c r="C6511" t="s">
        <v>6593</v>
      </c>
      <c r="D6511" s="2" t="s">
        <v>6594</v>
      </c>
      <c r="E6511" t="s">
        <v>2905</v>
      </c>
      <c r="F6511" t="s">
        <v>20</v>
      </c>
      <c r="G6511" t="s">
        <v>21</v>
      </c>
      <c r="H6511" t="s">
        <v>272</v>
      </c>
      <c r="I6511" t="s">
        <v>23</v>
      </c>
      <c r="J6511" t="s">
        <v>35</v>
      </c>
      <c r="K6511" s="2" t="s">
        <v>2693</v>
      </c>
      <c r="L6511" t="s">
        <v>26</v>
      </c>
      <c r="M6511">
        <v>353401</v>
      </c>
      <c r="N6511">
        <v>1</v>
      </c>
      <c r="O6511" s="3">
        <v>79950</v>
      </c>
      <c r="P6511" s="3">
        <v>28193</v>
      </c>
      <c r="Q6511" s="5">
        <f t="shared" si="303"/>
        <v>67184.873949579836</v>
      </c>
      <c r="R6511" s="5">
        <f t="shared" si="304"/>
        <v>28193</v>
      </c>
      <c r="S6511" s="5">
        <f t="shared" si="305"/>
        <v>38991.873949579836</v>
      </c>
    </row>
    <row r="6512" spans="1:19" hidden="1" x14ac:dyDescent="0.3">
      <c r="A6512">
        <v>210</v>
      </c>
      <c r="B6512" t="s">
        <v>6520</v>
      </c>
      <c r="C6512" t="s">
        <v>5531</v>
      </c>
      <c r="D6512" s="2" t="s">
        <v>5532</v>
      </c>
      <c r="E6512" t="s">
        <v>2533</v>
      </c>
      <c r="F6512" t="s">
        <v>20</v>
      </c>
      <c r="G6512" t="s">
        <v>21</v>
      </c>
      <c r="H6512" t="s">
        <v>500</v>
      </c>
      <c r="I6512" t="s">
        <v>23</v>
      </c>
      <c r="J6512" t="s">
        <v>40</v>
      </c>
      <c r="K6512" s="2" t="s">
        <v>2693</v>
      </c>
      <c r="L6512" t="s">
        <v>26</v>
      </c>
      <c r="M6512">
        <v>353401</v>
      </c>
      <c r="N6512">
        <v>-1</v>
      </c>
      <c r="O6512" s="3">
        <v>-49990</v>
      </c>
      <c r="P6512" s="3">
        <v>20043</v>
      </c>
      <c r="Q6512" s="5">
        <f t="shared" si="303"/>
        <v>-42008.403361344543</v>
      </c>
      <c r="R6512" s="5">
        <f t="shared" si="304"/>
        <v>-20043</v>
      </c>
      <c r="S6512" s="5">
        <f t="shared" si="305"/>
        <v>-21965.403361344543</v>
      </c>
    </row>
    <row r="6513" spans="1:19" hidden="1" x14ac:dyDescent="0.3">
      <c r="A6513">
        <v>210</v>
      </c>
      <c r="B6513" t="s">
        <v>6520</v>
      </c>
      <c r="C6513" t="s">
        <v>4227</v>
      </c>
      <c r="D6513" s="2" t="s">
        <v>4228</v>
      </c>
      <c r="E6513" t="s">
        <v>3523</v>
      </c>
      <c r="F6513" t="s">
        <v>20</v>
      </c>
      <c r="G6513" t="s">
        <v>21</v>
      </c>
      <c r="H6513" t="s">
        <v>2070</v>
      </c>
      <c r="I6513" t="s">
        <v>23</v>
      </c>
      <c r="J6513" t="s">
        <v>24</v>
      </c>
      <c r="K6513" s="2" t="s">
        <v>2693</v>
      </c>
      <c r="L6513" t="s">
        <v>26</v>
      </c>
      <c r="M6513">
        <v>353402</v>
      </c>
      <c r="N6513">
        <v>1</v>
      </c>
      <c r="O6513" s="3">
        <v>84950</v>
      </c>
      <c r="P6513" s="3">
        <v>27522</v>
      </c>
      <c r="Q6513" s="5">
        <f t="shared" si="303"/>
        <v>71386.554621848743</v>
      </c>
      <c r="R6513" s="5">
        <f t="shared" si="304"/>
        <v>27522</v>
      </c>
      <c r="S6513" s="5">
        <f t="shared" si="305"/>
        <v>43864.554621848743</v>
      </c>
    </row>
    <row r="6514" spans="1:19" hidden="1" x14ac:dyDescent="0.3">
      <c r="A6514">
        <v>210</v>
      </c>
      <c r="B6514" t="s">
        <v>6520</v>
      </c>
      <c r="C6514" t="s">
        <v>6036</v>
      </c>
      <c r="D6514" s="2" t="s">
        <v>6037</v>
      </c>
      <c r="E6514" t="s">
        <v>869</v>
      </c>
      <c r="F6514" t="s">
        <v>20</v>
      </c>
      <c r="G6514" t="s">
        <v>21</v>
      </c>
      <c r="H6514" t="s">
        <v>870</v>
      </c>
      <c r="I6514" t="s">
        <v>23</v>
      </c>
      <c r="J6514" t="s">
        <v>35</v>
      </c>
      <c r="K6514" s="2" t="s">
        <v>2693</v>
      </c>
      <c r="L6514" t="s">
        <v>26</v>
      </c>
      <c r="M6514">
        <v>353403</v>
      </c>
      <c r="N6514">
        <v>1</v>
      </c>
      <c r="O6514" s="3">
        <v>69950</v>
      </c>
      <c r="P6514" s="3">
        <v>25434</v>
      </c>
      <c r="Q6514" s="5">
        <f t="shared" si="303"/>
        <v>58781.512605042022</v>
      </c>
      <c r="R6514" s="5">
        <f t="shared" si="304"/>
        <v>25434</v>
      </c>
      <c r="S6514" s="5">
        <f t="shared" si="305"/>
        <v>33347.512605042022</v>
      </c>
    </row>
    <row r="6515" spans="1:19" hidden="1" x14ac:dyDescent="0.3">
      <c r="A6515">
        <v>210</v>
      </c>
      <c r="B6515" t="s">
        <v>6520</v>
      </c>
      <c r="C6515" t="s">
        <v>4974</v>
      </c>
      <c r="D6515" s="2" t="s">
        <v>4975</v>
      </c>
      <c r="E6515" t="s">
        <v>4976</v>
      </c>
      <c r="F6515" t="s">
        <v>20</v>
      </c>
      <c r="G6515" t="s">
        <v>338</v>
      </c>
      <c r="H6515">
        <v>23313</v>
      </c>
      <c r="I6515" t="s">
        <v>23</v>
      </c>
      <c r="J6515" t="s">
        <v>40</v>
      </c>
      <c r="K6515" s="2" t="s">
        <v>2693</v>
      </c>
      <c r="L6515" t="s">
        <v>26</v>
      </c>
      <c r="M6515">
        <v>353404</v>
      </c>
      <c r="N6515">
        <v>1</v>
      </c>
      <c r="O6515" s="3">
        <v>49990</v>
      </c>
      <c r="P6515" s="3">
        <v>23745</v>
      </c>
      <c r="Q6515" s="5">
        <f t="shared" si="303"/>
        <v>42008.403361344543</v>
      </c>
      <c r="R6515" s="5">
        <f t="shared" si="304"/>
        <v>23745</v>
      </c>
      <c r="S6515" s="5">
        <f t="shared" si="305"/>
        <v>18263.403361344543</v>
      </c>
    </row>
    <row r="6516" spans="1:19" hidden="1" x14ac:dyDescent="0.3">
      <c r="A6516">
        <v>210</v>
      </c>
      <c r="B6516" t="s">
        <v>6520</v>
      </c>
      <c r="C6516" t="s">
        <v>2830</v>
      </c>
      <c r="D6516" s="2" t="s">
        <v>2831</v>
      </c>
      <c r="E6516" t="s">
        <v>1330</v>
      </c>
      <c r="F6516" t="s">
        <v>20</v>
      </c>
      <c r="G6516" t="s">
        <v>338</v>
      </c>
      <c r="H6516">
        <v>25133</v>
      </c>
      <c r="I6516" t="s">
        <v>23</v>
      </c>
      <c r="J6516" t="s">
        <v>35</v>
      </c>
      <c r="K6516" s="2" t="s">
        <v>2693</v>
      </c>
      <c r="L6516" t="s">
        <v>26</v>
      </c>
      <c r="M6516">
        <v>353405</v>
      </c>
      <c r="N6516">
        <v>1</v>
      </c>
      <c r="O6516" s="3">
        <v>74950</v>
      </c>
      <c r="P6516" s="3">
        <v>21167</v>
      </c>
      <c r="Q6516" s="5">
        <f t="shared" si="303"/>
        <v>62983.193277310929</v>
      </c>
      <c r="R6516" s="5">
        <f t="shared" si="304"/>
        <v>21167</v>
      </c>
      <c r="S6516" s="5">
        <f t="shared" si="305"/>
        <v>41816.193277310929</v>
      </c>
    </row>
    <row r="6517" spans="1:19" hidden="1" x14ac:dyDescent="0.3">
      <c r="A6517">
        <v>210</v>
      </c>
      <c r="B6517" t="s">
        <v>6520</v>
      </c>
      <c r="C6517" t="s">
        <v>4974</v>
      </c>
      <c r="D6517" s="2" t="s">
        <v>4975</v>
      </c>
      <c r="E6517" t="s">
        <v>4976</v>
      </c>
      <c r="F6517" t="s">
        <v>20</v>
      </c>
      <c r="G6517" t="s">
        <v>338</v>
      </c>
      <c r="H6517">
        <v>23313</v>
      </c>
      <c r="I6517" t="s">
        <v>23</v>
      </c>
      <c r="J6517" t="s">
        <v>40</v>
      </c>
      <c r="K6517" s="2" t="s">
        <v>2693</v>
      </c>
      <c r="L6517" t="s">
        <v>26</v>
      </c>
      <c r="M6517">
        <v>353406</v>
      </c>
      <c r="N6517">
        <v>1</v>
      </c>
      <c r="O6517" s="3">
        <v>49990</v>
      </c>
      <c r="P6517" s="3">
        <v>23745</v>
      </c>
      <c r="Q6517" s="5">
        <f t="shared" si="303"/>
        <v>42008.403361344543</v>
      </c>
      <c r="R6517" s="5">
        <f t="shared" si="304"/>
        <v>23745</v>
      </c>
      <c r="S6517" s="5">
        <f t="shared" si="305"/>
        <v>18263.403361344543</v>
      </c>
    </row>
    <row r="6518" spans="1:19" hidden="1" x14ac:dyDescent="0.3">
      <c r="A6518">
        <v>210</v>
      </c>
      <c r="B6518" t="s">
        <v>6520</v>
      </c>
      <c r="C6518" t="s">
        <v>2485</v>
      </c>
      <c r="D6518" s="2" t="s">
        <v>2486</v>
      </c>
      <c r="E6518" t="s">
        <v>2487</v>
      </c>
      <c r="F6518" t="s">
        <v>377</v>
      </c>
      <c r="G6518" t="s">
        <v>21</v>
      </c>
      <c r="H6518" t="s">
        <v>378</v>
      </c>
      <c r="I6518" t="s">
        <v>23</v>
      </c>
      <c r="J6518" t="s">
        <v>379</v>
      </c>
      <c r="K6518" s="2" t="s">
        <v>2693</v>
      </c>
      <c r="L6518" t="s">
        <v>26</v>
      </c>
      <c r="M6518">
        <v>353406</v>
      </c>
      <c r="N6518">
        <v>1</v>
      </c>
      <c r="O6518" s="3">
        <v>5950</v>
      </c>
      <c r="P6518" s="3">
        <v>2243</v>
      </c>
      <c r="Q6518" s="5">
        <f t="shared" si="303"/>
        <v>5000</v>
      </c>
      <c r="R6518" s="5">
        <f t="shared" si="304"/>
        <v>2243</v>
      </c>
      <c r="S6518" s="5">
        <f t="shared" si="305"/>
        <v>2757</v>
      </c>
    </row>
    <row r="6519" spans="1:19" hidden="1" x14ac:dyDescent="0.3">
      <c r="A6519">
        <v>210</v>
      </c>
      <c r="B6519" t="s">
        <v>6520</v>
      </c>
      <c r="C6519" t="s">
        <v>3607</v>
      </c>
      <c r="D6519" s="2" t="s">
        <v>3608</v>
      </c>
      <c r="E6519" t="s">
        <v>3180</v>
      </c>
      <c r="F6519" t="s">
        <v>20</v>
      </c>
      <c r="G6519" t="s">
        <v>338</v>
      </c>
      <c r="H6519">
        <v>23313</v>
      </c>
      <c r="I6519" t="s">
        <v>23</v>
      </c>
      <c r="J6519" t="s">
        <v>40</v>
      </c>
      <c r="K6519" s="2" t="s">
        <v>2693</v>
      </c>
      <c r="L6519" t="s">
        <v>26</v>
      </c>
      <c r="M6519">
        <v>353407</v>
      </c>
      <c r="N6519">
        <v>1</v>
      </c>
      <c r="O6519" s="3">
        <v>69950</v>
      </c>
      <c r="P6519" s="3">
        <v>23536</v>
      </c>
      <c r="Q6519" s="5">
        <f t="shared" si="303"/>
        <v>58781.512605042022</v>
      </c>
      <c r="R6519" s="5">
        <f t="shared" si="304"/>
        <v>23536</v>
      </c>
      <c r="S6519" s="5">
        <f t="shared" si="305"/>
        <v>35245.512605042022</v>
      </c>
    </row>
    <row r="6520" spans="1:19" hidden="1" x14ac:dyDescent="0.3">
      <c r="A6520">
        <v>210</v>
      </c>
      <c r="B6520" t="s">
        <v>6520</v>
      </c>
      <c r="C6520" t="s">
        <v>4285</v>
      </c>
      <c r="D6520" s="2" t="s">
        <v>4286</v>
      </c>
      <c r="E6520" t="s">
        <v>2373</v>
      </c>
      <c r="F6520" t="s">
        <v>20</v>
      </c>
      <c r="G6520" t="s">
        <v>338</v>
      </c>
      <c r="H6520">
        <v>24239</v>
      </c>
      <c r="I6520" t="s">
        <v>23</v>
      </c>
      <c r="J6520" t="s">
        <v>95</v>
      </c>
      <c r="K6520" s="2" t="s">
        <v>2693</v>
      </c>
      <c r="L6520" t="s">
        <v>26</v>
      </c>
      <c r="M6520">
        <v>353408</v>
      </c>
      <c r="N6520">
        <v>1</v>
      </c>
      <c r="O6520" s="3">
        <v>59950</v>
      </c>
      <c r="P6520" s="3">
        <v>18677</v>
      </c>
      <c r="Q6520" s="5">
        <f t="shared" si="303"/>
        <v>50378.151260504201</v>
      </c>
      <c r="R6520" s="5">
        <f t="shared" si="304"/>
        <v>18677</v>
      </c>
      <c r="S6520" s="5">
        <f t="shared" si="305"/>
        <v>31701.151260504201</v>
      </c>
    </row>
    <row r="6521" spans="1:19" hidden="1" x14ac:dyDescent="0.3">
      <c r="A6521">
        <v>210</v>
      </c>
      <c r="B6521" t="s">
        <v>6520</v>
      </c>
      <c r="C6521" t="s">
        <v>5004</v>
      </c>
      <c r="D6521" s="2" t="s">
        <v>5005</v>
      </c>
      <c r="E6521" t="s">
        <v>2476</v>
      </c>
      <c r="F6521" t="s">
        <v>20</v>
      </c>
      <c r="G6521" t="s">
        <v>21</v>
      </c>
      <c r="H6521" t="s">
        <v>114</v>
      </c>
      <c r="I6521" t="s">
        <v>23</v>
      </c>
      <c r="J6521" t="s">
        <v>49</v>
      </c>
      <c r="K6521" s="2" t="s">
        <v>2693</v>
      </c>
      <c r="L6521" t="s">
        <v>26</v>
      </c>
      <c r="M6521">
        <v>353409</v>
      </c>
      <c r="N6521">
        <v>1</v>
      </c>
      <c r="O6521" s="3">
        <v>69950</v>
      </c>
      <c r="P6521" s="3">
        <v>22176</v>
      </c>
      <c r="Q6521" s="5">
        <f t="shared" si="303"/>
        <v>58781.512605042022</v>
      </c>
      <c r="R6521" s="5">
        <f t="shared" si="304"/>
        <v>22176</v>
      </c>
      <c r="S6521" s="5">
        <f t="shared" si="305"/>
        <v>36605.512605042022</v>
      </c>
    </row>
    <row r="6522" spans="1:19" hidden="1" x14ac:dyDescent="0.3">
      <c r="A6522">
        <v>210</v>
      </c>
      <c r="B6522" t="s">
        <v>6520</v>
      </c>
      <c r="C6522" t="s">
        <v>2067</v>
      </c>
      <c r="D6522" s="2" t="s">
        <v>2068</v>
      </c>
      <c r="E6522" t="s">
        <v>2069</v>
      </c>
      <c r="F6522" t="s">
        <v>20</v>
      </c>
      <c r="G6522" t="s">
        <v>21</v>
      </c>
      <c r="H6522" t="s">
        <v>2070</v>
      </c>
      <c r="I6522" t="s">
        <v>23</v>
      </c>
      <c r="J6522" t="s">
        <v>35</v>
      </c>
      <c r="K6522" s="2" t="s">
        <v>2693</v>
      </c>
      <c r="L6522" t="s">
        <v>26</v>
      </c>
      <c r="M6522">
        <v>353410</v>
      </c>
      <c r="N6522">
        <v>1</v>
      </c>
      <c r="O6522" s="3">
        <v>89950</v>
      </c>
      <c r="P6522" s="3">
        <v>29635</v>
      </c>
      <c r="Q6522" s="5">
        <f t="shared" si="303"/>
        <v>75588.23529411765</v>
      </c>
      <c r="R6522" s="5">
        <f t="shared" si="304"/>
        <v>29635</v>
      </c>
      <c r="S6522" s="5">
        <f t="shared" si="305"/>
        <v>45953.23529411765</v>
      </c>
    </row>
    <row r="6523" spans="1:19" hidden="1" x14ac:dyDescent="0.3">
      <c r="A6523">
        <v>210</v>
      </c>
      <c r="B6523" t="s">
        <v>6520</v>
      </c>
      <c r="C6523" t="s">
        <v>3613</v>
      </c>
      <c r="D6523" s="2" t="s">
        <v>3614</v>
      </c>
      <c r="E6523" t="s">
        <v>2185</v>
      </c>
      <c r="F6523" t="s">
        <v>20</v>
      </c>
      <c r="G6523" t="s">
        <v>21</v>
      </c>
      <c r="H6523" t="s">
        <v>614</v>
      </c>
      <c r="I6523" t="s">
        <v>23</v>
      </c>
      <c r="J6523" t="s">
        <v>40</v>
      </c>
      <c r="K6523" s="2" t="s">
        <v>2693</v>
      </c>
      <c r="L6523" t="s">
        <v>26</v>
      </c>
      <c r="M6523">
        <v>353411</v>
      </c>
      <c r="N6523">
        <v>1</v>
      </c>
      <c r="O6523" s="3">
        <v>54950</v>
      </c>
      <c r="P6523" s="3">
        <v>17498</v>
      </c>
      <c r="Q6523" s="5">
        <f t="shared" si="303"/>
        <v>46176.470588235294</v>
      </c>
      <c r="R6523" s="5">
        <f t="shared" si="304"/>
        <v>17498</v>
      </c>
      <c r="S6523" s="5">
        <f t="shared" si="305"/>
        <v>28678.470588235294</v>
      </c>
    </row>
    <row r="6524" spans="1:19" hidden="1" x14ac:dyDescent="0.3">
      <c r="A6524">
        <v>210</v>
      </c>
      <c r="B6524" t="s">
        <v>6520</v>
      </c>
      <c r="C6524" t="s">
        <v>3699</v>
      </c>
      <c r="D6524" s="2" t="s">
        <v>3700</v>
      </c>
      <c r="E6524" t="s">
        <v>3656</v>
      </c>
      <c r="F6524" t="s">
        <v>20</v>
      </c>
      <c r="G6524" t="s">
        <v>21</v>
      </c>
      <c r="H6524" t="s">
        <v>614</v>
      </c>
      <c r="I6524" t="s">
        <v>23</v>
      </c>
      <c r="J6524" t="s">
        <v>40</v>
      </c>
      <c r="K6524" s="2" t="s">
        <v>2693</v>
      </c>
      <c r="L6524" t="s">
        <v>26</v>
      </c>
      <c r="M6524">
        <v>353411</v>
      </c>
      <c r="N6524">
        <v>1</v>
      </c>
      <c r="O6524" s="3">
        <v>54950</v>
      </c>
      <c r="P6524" s="3">
        <v>14265</v>
      </c>
      <c r="Q6524" s="5">
        <f t="shared" si="303"/>
        <v>46176.470588235294</v>
      </c>
      <c r="R6524" s="5">
        <f t="shared" si="304"/>
        <v>14265</v>
      </c>
      <c r="S6524" s="5">
        <f t="shared" si="305"/>
        <v>31911.470588235294</v>
      </c>
    </row>
    <row r="6525" spans="1:19" hidden="1" x14ac:dyDescent="0.3">
      <c r="A6525">
        <v>210</v>
      </c>
      <c r="B6525" t="s">
        <v>6520</v>
      </c>
      <c r="C6525" t="s">
        <v>4058</v>
      </c>
      <c r="D6525" s="2" t="s">
        <v>4059</v>
      </c>
      <c r="E6525" t="s">
        <v>4060</v>
      </c>
      <c r="F6525" t="s">
        <v>20</v>
      </c>
      <c r="G6525" t="s">
        <v>338</v>
      </c>
      <c r="H6525">
        <v>23726</v>
      </c>
      <c r="I6525" t="s">
        <v>23</v>
      </c>
      <c r="J6525" t="s">
        <v>40</v>
      </c>
      <c r="K6525" s="2" t="s">
        <v>2693</v>
      </c>
      <c r="L6525" t="s">
        <v>26</v>
      </c>
      <c r="M6525">
        <v>353412</v>
      </c>
      <c r="N6525">
        <v>1</v>
      </c>
      <c r="O6525" s="3">
        <v>74960</v>
      </c>
      <c r="P6525" s="3">
        <v>29798</v>
      </c>
      <c r="Q6525" s="5">
        <f t="shared" si="303"/>
        <v>62991.596638655465</v>
      </c>
      <c r="R6525" s="5">
        <f t="shared" si="304"/>
        <v>29798</v>
      </c>
      <c r="S6525" s="5">
        <f t="shared" si="305"/>
        <v>33193.596638655465</v>
      </c>
    </row>
    <row r="6526" spans="1:19" hidden="1" x14ac:dyDescent="0.3">
      <c r="A6526">
        <v>210</v>
      </c>
      <c r="B6526" t="s">
        <v>6520</v>
      </c>
      <c r="C6526" t="s">
        <v>5789</v>
      </c>
      <c r="D6526" s="2" t="s">
        <v>5790</v>
      </c>
      <c r="E6526" t="s">
        <v>3914</v>
      </c>
      <c r="F6526" t="s">
        <v>20</v>
      </c>
      <c r="G6526" t="s">
        <v>338</v>
      </c>
      <c r="H6526">
        <v>24316</v>
      </c>
      <c r="I6526" t="s">
        <v>23</v>
      </c>
      <c r="J6526" t="s">
        <v>49</v>
      </c>
      <c r="K6526" s="2" t="s">
        <v>2693</v>
      </c>
      <c r="L6526" t="s">
        <v>26</v>
      </c>
      <c r="M6526">
        <v>353412</v>
      </c>
      <c r="N6526">
        <v>-1</v>
      </c>
      <c r="O6526" s="3">
        <v>-74950</v>
      </c>
      <c r="P6526" s="3">
        <v>23473</v>
      </c>
      <c r="Q6526" s="5">
        <f t="shared" si="303"/>
        <v>-62983.193277310929</v>
      </c>
      <c r="R6526" s="5">
        <f t="shared" si="304"/>
        <v>-23473</v>
      </c>
      <c r="S6526" s="5">
        <f t="shared" si="305"/>
        <v>-39510.193277310929</v>
      </c>
    </row>
    <row r="6527" spans="1:19" hidden="1" x14ac:dyDescent="0.3">
      <c r="A6527">
        <v>210</v>
      </c>
      <c r="B6527" t="s">
        <v>6520</v>
      </c>
      <c r="C6527" t="s">
        <v>5664</v>
      </c>
      <c r="D6527" s="2" t="s">
        <v>5665</v>
      </c>
      <c r="E6527" t="s">
        <v>3656</v>
      </c>
      <c r="F6527" t="s">
        <v>20</v>
      </c>
      <c r="G6527" t="s">
        <v>21</v>
      </c>
      <c r="H6527" t="s">
        <v>614</v>
      </c>
      <c r="I6527" t="s">
        <v>23</v>
      </c>
      <c r="J6527" t="s">
        <v>40</v>
      </c>
      <c r="K6527" s="2" t="s">
        <v>2693</v>
      </c>
      <c r="L6527" t="s">
        <v>26</v>
      </c>
      <c r="M6527">
        <v>353413</v>
      </c>
      <c r="N6527">
        <v>1</v>
      </c>
      <c r="O6527" s="3">
        <v>54950</v>
      </c>
      <c r="P6527" s="3">
        <v>14265</v>
      </c>
      <c r="Q6527" s="5">
        <f t="shared" si="303"/>
        <v>46176.470588235294</v>
      </c>
      <c r="R6527" s="5">
        <f t="shared" si="304"/>
        <v>14265</v>
      </c>
      <c r="S6527" s="5">
        <f t="shared" si="305"/>
        <v>31911.470588235294</v>
      </c>
    </row>
    <row r="6528" spans="1:19" hidden="1" x14ac:dyDescent="0.3">
      <c r="A6528">
        <v>210</v>
      </c>
      <c r="B6528" t="s">
        <v>6520</v>
      </c>
      <c r="C6528" t="s">
        <v>3554</v>
      </c>
      <c r="D6528" s="2" t="s">
        <v>3555</v>
      </c>
      <c r="E6528" t="s">
        <v>3183</v>
      </c>
      <c r="F6528" t="s">
        <v>20</v>
      </c>
      <c r="G6528" t="s">
        <v>21</v>
      </c>
      <c r="H6528" t="s">
        <v>614</v>
      </c>
      <c r="I6528" t="s">
        <v>23</v>
      </c>
      <c r="J6528" t="s">
        <v>40</v>
      </c>
      <c r="K6528" s="2" t="s">
        <v>2693</v>
      </c>
      <c r="L6528" t="s">
        <v>26</v>
      </c>
      <c r="M6528">
        <v>353414</v>
      </c>
      <c r="N6528">
        <v>1</v>
      </c>
      <c r="O6528" s="3">
        <v>39990</v>
      </c>
      <c r="P6528" s="3">
        <v>17378</v>
      </c>
      <c r="Q6528" s="5">
        <f t="shared" si="303"/>
        <v>33605.042016806721</v>
      </c>
      <c r="R6528" s="5">
        <f t="shared" si="304"/>
        <v>17378</v>
      </c>
      <c r="S6528" s="5">
        <f t="shared" si="305"/>
        <v>16227.042016806721</v>
      </c>
    </row>
    <row r="6529" spans="1:19" hidden="1" x14ac:dyDescent="0.3">
      <c r="A6529">
        <v>210</v>
      </c>
      <c r="B6529" t="s">
        <v>6520</v>
      </c>
      <c r="C6529" t="s">
        <v>700</v>
      </c>
      <c r="D6529" s="2" t="s">
        <v>701</v>
      </c>
      <c r="E6529" t="s">
        <v>702</v>
      </c>
      <c r="F6529" t="s">
        <v>377</v>
      </c>
      <c r="G6529" t="s">
        <v>21</v>
      </c>
      <c r="H6529" t="s">
        <v>378</v>
      </c>
      <c r="I6529" t="s">
        <v>23</v>
      </c>
      <c r="J6529" t="s">
        <v>379</v>
      </c>
      <c r="K6529" s="2" t="s">
        <v>2693</v>
      </c>
      <c r="L6529" t="s">
        <v>26</v>
      </c>
      <c r="M6529">
        <v>353415</v>
      </c>
      <c r="N6529">
        <v>2</v>
      </c>
      <c r="O6529" s="3">
        <v>9900</v>
      </c>
      <c r="P6529" s="3">
        <v>2529</v>
      </c>
      <c r="Q6529" s="5">
        <f t="shared" si="303"/>
        <v>8319.3277310924368</v>
      </c>
      <c r="R6529" s="5">
        <f t="shared" si="304"/>
        <v>5058</v>
      </c>
      <c r="S6529" s="5">
        <f t="shared" si="305"/>
        <v>3261.3277310924368</v>
      </c>
    </row>
    <row r="6530" spans="1:19" hidden="1" x14ac:dyDescent="0.3">
      <c r="A6530">
        <v>210</v>
      </c>
      <c r="B6530" t="s">
        <v>6520</v>
      </c>
      <c r="C6530" t="s">
        <v>6445</v>
      </c>
      <c r="D6530" s="2" t="s">
        <v>6446</v>
      </c>
      <c r="E6530" t="s">
        <v>3449</v>
      </c>
      <c r="F6530" t="s">
        <v>20</v>
      </c>
      <c r="G6530" t="s">
        <v>338</v>
      </c>
      <c r="H6530">
        <v>25366</v>
      </c>
      <c r="I6530" t="s">
        <v>23</v>
      </c>
      <c r="J6530" t="s">
        <v>35</v>
      </c>
      <c r="K6530" s="2" t="s">
        <v>2693</v>
      </c>
      <c r="L6530" t="s">
        <v>26</v>
      </c>
      <c r="M6530">
        <v>353416</v>
      </c>
      <c r="N6530">
        <v>1</v>
      </c>
      <c r="O6530" s="3">
        <v>99950</v>
      </c>
      <c r="P6530" s="3">
        <v>33157</v>
      </c>
      <c r="Q6530" s="5">
        <f t="shared" si="303"/>
        <v>83991.596638655465</v>
      </c>
      <c r="R6530" s="5">
        <f t="shared" si="304"/>
        <v>33157</v>
      </c>
      <c r="S6530" s="5">
        <f t="shared" si="305"/>
        <v>50834.596638655465</v>
      </c>
    </row>
    <row r="6531" spans="1:19" hidden="1" x14ac:dyDescent="0.3">
      <c r="A6531">
        <v>210</v>
      </c>
      <c r="B6531" t="s">
        <v>6520</v>
      </c>
      <c r="C6531" t="s">
        <v>6595</v>
      </c>
      <c r="D6531" s="2" t="s">
        <v>6596</v>
      </c>
      <c r="E6531" t="s">
        <v>6597</v>
      </c>
      <c r="F6531" t="s">
        <v>20</v>
      </c>
      <c r="G6531" t="s">
        <v>21</v>
      </c>
      <c r="H6531" t="s">
        <v>2379</v>
      </c>
      <c r="I6531" t="s">
        <v>23</v>
      </c>
      <c r="J6531" t="s">
        <v>40</v>
      </c>
      <c r="K6531" s="2" t="s">
        <v>2693</v>
      </c>
      <c r="L6531" t="s">
        <v>26</v>
      </c>
      <c r="M6531">
        <v>353417</v>
      </c>
      <c r="N6531">
        <v>1</v>
      </c>
      <c r="O6531" s="3">
        <v>34990</v>
      </c>
      <c r="P6531" s="3">
        <v>12735</v>
      </c>
      <c r="Q6531" s="5">
        <f t="shared" si="303"/>
        <v>29403.361344537818</v>
      </c>
      <c r="R6531" s="5">
        <f t="shared" si="304"/>
        <v>12735</v>
      </c>
      <c r="S6531" s="5">
        <f t="shared" si="305"/>
        <v>16668.361344537818</v>
      </c>
    </row>
    <row r="6532" spans="1:19" hidden="1" x14ac:dyDescent="0.3">
      <c r="A6532">
        <v>210</v>
      </c>
      <c r="B6532" t="s">
        <v>6520</v>
      </c>
      <c r="C6532">
        <v>1687976791</v>
      </c>
      <c r="D6532" s="2" t="s">
        <v>200</v>
      </c>
      <c r="E6532" t="s">
        <v>201</v>
      </c>
      <c r="F6532" t="s">
        <v>201</v>
      </c>
      <c r="G6532" t="s">
        <v>202</v>
      </c>
      <c r="H6532" t="s">
        <v>202</v>
      </c>
      <c r="I6532" t="s">
        <v>23</v>
      </c>
      <c r="J6532" t="s">
        <v>202</v>
      </c>
      <c r="K6532" s="2" t="s">
        <v>2693</v>
      </c>
      <c r="L6532" t="s">
        <v>26</v>
      </c>
      <c r="M6532">
        <v>353417</v>
      </c>
      <c r="N6532">
        <v>1</v>
      </c>
      <c r="O6532" s="3">
        <v>2000</v>
      </c>
      <c r="P6532">
        <v>1</v>
      </c>
      <c r="Q6532" s="5">
        <f t="shared" si="303"/>
        <v>1680.6722689075632</v>
      </c>
      <c r="R6532" s="5">
        <f t="shared" si="304"/>
        <v>1</v>
      </c>
      <c r="S6532" s="5">
        <f t="shared" si="305"/>
        <v>1679.6722689075632</v>
      </c>
    </row>
    <row r="6533" spans="1:19" hidden="1" x14ac:dyDescent="0.3">
      <c r="A6533">
        <v>210</v>
      </c>
      <c r="B6533" t="s">
        <v>6520</v>
      </c>
      <c r="C6533" t="s">
        <v>5693</v>
      </c>
      <c r="D6533" s="2" t="s">
        <v>5694</v>
      </c>
      <c r="E6533" t="s">
        <v>2314</v>
      </c>
      <c r="F6533" t="s">
        <v>20</v>
      </c>
      <c r="G6533" t="s">
        <v>21</v>
      </c>
      <c r="H6533" t="s">
        <v>2315</v>
      </c>
      <c r="I6533" t="s">
        <v>23</v>
      </c>
      <c r="J6533" t="s">
        <v>49</v>
      </c>
      <c r="K6533" s="2" t="s">
        <v>2693</v>
      </c>
      <c r="L6533" t="s">
        <v>26</v>
      </c>
      <c r="M6533">
        <v>353418</v>
      </c>
      <c r="N6533">
        <v>1</v>
      </c>
      <c r="O6533" s="3">
        <v>74950</v>
      </c>
      <c r="P6533" s="3">
        <v>29091</v>
      </c>
      <c r="Q6533" s="5">
        <f t="shared" si="303"/>
        <v>62983.193277310929</v>
      </c>
      <c r="R6533" s="5">
        <f t="shared" si="304"/>
        <v>29091</v>
      </c>
      <c r="S6533" s="5">
        <f t="shared" si="305"/>
        <v>33892.193277310929</v>
      </c>
    </row>
    <row r="6534" spans="1:19" hidden="1" x14ac:dyDescent="0.3">
      <c r="A6534">
        <v>210</v>
      </c>
      <c r="B6534" t="s">
        <v>6520</v>
      </c>
      <c r="C6534" t="s">
        <v>6598</v>
      </c>
      <c r="D6534" s="2" t="s">
        <v>6599</v>
      </c>
      <c r="E6534" t="s">
        <v>3729</v>
      </c>
      <c r="F6534" t="s">
        <v>20</v>
      </c>
      <c r="G6534" t="s">
        <v>21</v>
      </c>
      <c r="H6534" t="s">
        <v>272</v>
      </c>
      <c r="I6534" t="s">
        <v>23</v>
      </c>
      <c r="J6534" t="s">
        <v>35</v>
      </c>
      <c r="K6534" s="2" t="s">
        <v>2693</v>
      </c>
      <c r="L6534" t="s">
        <v>26</v>
      </c>
      <c r="M6534">
        <v>353419</v>
      </c>
      <c r="N6534">
        <v>1</v>
      </c>
      <c r="O6534" s="3">
        <v>79950</v>
      </c>
      <c r="P6534" s="3">
        <v>28175</v>
      </c>
      <c r="Q6534" s="5">
        <f t="shared" ref="Q6534:Q6597" si="306">O6534/1.19</f>
        <v>67184.873949579836</v>
      </c>
      <c r="R6534" s="5">
        <f t="shared" ref="R6534:R6597" si="307">N6534*P6534</f>
        <v>28175</v>
      </c>
      <c r="S6534" s="5">
        <f t="shared" ref="S6534:S6597" si="308">Q6534-R6534</f>
        <v>39009.873949579836</v>
      </c>
    </row>
    <row r="6535" spans="1:19" hidden="1" x14ac:dyDescent="0.3">
      <c r="A6535">
        <v>210</v>
      </c>
      <c r="B6535" t="s">
        <v>6520</v>
      </c>
      <c r="C6535" t="s">
        <v>4862</v>
      </c>
      <c r="D6535" s="2" t="s">
        <v>4863</v>
      </c>
      <c r="E6535" t="s">
        <v>1281</v>
      </c>
      <c r="F6535" t="s">
        <v>20</v>
      </c>
      <c r="G6535" t="s">
        <v>21</v>
      </c>
      <c r="H6535" t="s">
        <v>1282</v>
      </c>
      <c r="I6535" t="s">
        <v>23</v>
      </c>
      <c r="J6535" t="s">
        <v>40</v>
      </c>
      <c r="K6535" s="2" t="s">
        <v>2751</v>
      </c>
      <c r="L6535" t="s">
        <v>26</v>
      </c>
      <c r="M6535">
        <v>353420</v>
      </c>
      <c r="N6535">
        <v>1</v>
      </c>
      <c r="O6535" s="3">
        <v>49950</v>
      </c>
      <c r="P6535" s="3">
        <v>13922</v>
      </c>
      <c r="Q6535" s="5">
        <f t="shared" si="306"/>
        <v>41974.789915966387</v>
      </c>
      <c r="R6535" s="5">
        <f t="shared" si="307"/>
        <v>13922</v>
      </c>
      <c r="S6535" s="5">
        <f t="shared" si="308"/>
        <v>28052.789915966387</v>
      </c>
    </row>
    <row r="6536" spans="1:19" hidden="1" x14ac:dyDescent="0.3">
      <c r="A6536">
        <v>210</v>
      </c>
      <c r="B6536" t="s">
        <v>6520</v>
      </c>
      <c r="C6536" t="s">
        <v>4751</v>
      </c>
      <c r="D6536" s="2" t="s">
        <v>4752</v>
      </c>
      <c r="E6536" t="s">
        <v>4753</v>
      </c>
      <c r="F6536" t="s">
        <v>20</v>
      </c>
      <c r="G6536" t="s">
        <v>338</v>
      </c>
      <c r="H6536">
        <v>23313</v>
      </c>
      <c r="I6536" t="s">
        <v>23</v>
      </c>
      <c r="J6536" t="s">
        <v>40</v>
      </c>
      <c r="K6536" s="2" t="s">
        <v>2751</v>
      </c>
      <c r="L6536" t="s">
        <v>26</v>
      </c>
      <c r="M6536">
        <v>353421</v>
      </c>
      <c r="N6536">
        <v>1</v>
      </c>
      <c r="O6536" s="3">
        <v>69950</v>
      </c>
      <c r="P6536" s="3">
        <v>22704</v>
      </c>
      <c r="Q6536" s="5">
        <f t="shared" si="306"/>
        <v>58781.512605042022</v>
      </c>
      <c r="R6536" s="5">
        <f t="shared" si="307"/>
        <v>22704</v>
      </c>
      <c r="S6536" s="5">
        <f t="shared" si="308"/>
        <v>36077.512605042022</v>
      </c>
    </row>
    <row r="6537" spans="1:19" hidden="1" x14ac:dyDescent="0.3">
      <c r="A6537">
        <v>210</v>
      </c>
      <c r="B6537" t="s">
        <v>6520</v>
      </c>
      <c r="C6537" t="s">
        <v>2485</v>
      </c>
      <c r="D6537" s="2" t="s">
        <v>2486</v>
      </c>
      <c r="E6537" t="s">
        <v>2487</v>
      </c>
      <c r="F6537" t="s">
        <v>377</v>
      </c>
      <c r="G6537" t="s">
        <v>21</v>
      </c>
      <c r="H6537" t="s">
        <v>378</v>
      </c>
      <c r="I6537" t="s">
        <v>23</v>
      </c>
      <c r="J6537" t="s">
        <v>379</v>
      </c>
      <c r="K6537" s="2" t="s">
        <v>2751</v>
      </c>
      <c r="L6537" t="s">
        <v>26</v>
      </c>
      <c r="M6537">
        <v>353422</v>
      </c>
      <c r="N6537">
        <v>1</v>
      </c>
      <c r="O6537" s="3">
        <v>5950</v>
      </c>
      <c r="P6537" s="3">
        <v>2243</v>
      </c>
      <c r="Q6537" s="5">
        <f t="shared" si="306"/>
        <v>5000</v>
      </c>
      <c r="R6537" s="5">
        <f t="shared" si="307"/>
        <v>2243</v>
      </c>
      <c r="S6537" s="5">
        <f t="shared" si="308"/>
        <v>2757</v>
      </c>
    </row>
    <row r="6538" spans="1:19" hidden="1" x14ac:dyDescent="0.3">
      <c r="A6538">
        <v>210</v>
      </c>
      <c r="B6538" t="s">
        <v>6520</v>
      </c>
      <c r="C6538" t="s">
        <v>2944</v>
      </c>
      <c r="D6538" s="2" t="s">
        <v>2945</v>
      </c>
      <c r="E6538" t="s">
        <v>1120</v>
      </c>
      <c r="F6538" t="s">
        <v>20</v>
      </c>
      <c r="G6538" t="s">
        <v>21</v>
      </c>
      <c r="H6538" t="s">
        <v>285</v>
      </c>
      <c r="I6538" t="s">
        <v>23</v>
      </c>
      <c r="J6538" t="s">
        <v>49</v>
      </c>
      <c r="K6538" s="2" t="s">
        <v>2751</v>
      </c>
      <c r="L6538" t="s">
        <v>26</v>
      </c>
      <c r="M6538">
        <v>353423</v>
      </c>
      <c r="N6538">
        <v>1</v>
      </c>
      <c r="O6538" s="3">
        <v>59990</v>
      </c>
      <c r="P6538" s="3">
        <v>31088</v>
      </c>
      <c r="Q6538" s="5">
        <f t="shared" si="306"/>
        <v>50411.764705882357</v>
      </c>
      <c r="R6538" s="5">
        <f t="shared" si="307"/>
        <v>31088</v>
      </c>
      <c r="S6538" s="5">
        <f t="shared" si="308"/>
        <v>19323.764705882357</v>
      </c>
    </row>
    <row r="6539" spans="1:19" hidden="1" x14ac:dyDescent="0.3">
      <c r="A6539">
        <v>210</v>
      </c>
      <c r="B6539" t="s">
        <v>6520</v>
      </c>
      <c r="C6539" t="s">
        <v>5921</v>
      </c>
      <c r="D6539" s="2" t="s">
        <v>5922</v>
      </c>
      <c r="E6539" t="s">
        <v>2069</v>
      </c>
      <c r="F6539" t="s">
        <v>20</v>
      </c>
      <c r="G6539" t="s">
        <v>21</v>
      </c>
      <c r="H6539" t="s">
        <v>2070</v>
      </c>
      <c r="I6539" t="s">
        <v>23</v>
      </c>
      <c r="J6539" t="s">
        <v>35</v>
      </c>
      <c r="K6539" s="2" t="s">
        <v>2751</v>
      </c>
      <c r="L6539" t="s">
        <v>26</v>
      </c>
      <c r="M6539">
        <v>353424</v>
      </c>
      <c r="N6539">
        <v>1</v>
      </c>
      <c r="O6539" s="3">
        <v>89950</v>
      </c>
      <c r="P6539" s="3">
        <v>29635</v>
      </c>
      <c r="Q6539" s="5">
        <f t="shared" si="306"/>
        <v>75588.23529411765</v>
      </c>
      <c r="R6539" s="5">
        <f t="shared" si="307"/>
        <v>29635</v>
      </c>
      <c r="S6539" s="5">
        <f t="shared" si="308"/>
        <v>45953.23529411765</v>
      </c>
    </row>
    <row r="6540" spans="1:19" hidden="1" x14ac:dyDescent="0.3">
      <c r="A6540">
        <v>210</v>
      </c>
      <c r="B6540" t="s">
        <v>6520</v>
      </c>
      <c r="C6540" t="s">
        <v>6600</v>
      </c>
      <c r="D6540" s="2" t="s">
        <v>6601</v>
      </c>
      <c r="E6540" t="s">
        <v>2738</v>
      </c>
      <c r="F6540" t="s">
        <v>20</v>
      </c>
      <c r="G6540" t="s">
        <v>21</v>
      </c>
      <c r="H6540" t="s">
        <v>22</v>
      </c>
      <c r="I6540" t="s">
        <v>23</v>
      </c>
      <c r="J6540" t="s">
        <v>49</v>
      </c>
      <c r="K6540" s="2" t="s">
        <v>2751</v>
      </c>
      <c r="L6540" t="s">
        <v>26</v>
      </c>
      <c r="M6540">
        <v>353425</v>
      </c>
      <c r="N6540">
        <v>1</v>
      </c>
      <c r="O6540" s="3">
        <v>74950</v>
      </c>
      <c r="P6540" s="3">
        <v>26246</v>
      </c>
      <c r="Q6540" s="5">
        <f t="shared" si="306"/>
        <v>62983.193277310929</v>
      </c>
      <c r="R6540" s="5">
        <f t="shared" si="307"/>
        <v>26246</v>
      </c>
      <c r="S6540" s="5">
        <f t="shared" si="308"/>
        <v>36737.193277310929</v>
      </c>
    </row>
    <row r="6541" spans="1:19" hidden="1" x14ac:dyDescent="0.3">
      <c r="A6541">
        <v>210</v>
      </c>
      <c r="B6541" t="s">
        <v>6520</v>
      </c>
      <c r="C6541" t="s">
        <v>3910</v>
      </c>
      <c r="D6541" s="2" t="s">
        <v>3911</v>
      </c>
      <c r="E6541" t="s">
        <v>3880</v>
      </c>
      <c r="F6541" t="s">
        <v>20</v>
      </c>
      <c r="G6541" t="s">
        <v>21</v>
      </c>
      <c r="H6541" t="s">
        <v>22</v>
      </c>
      <c r="I6541" t="s">
        <v>23</v>
      </c>
      <c r="J6541" t="s">
        <v>49</v>
      </c>
      <c r="K6541" s="2" t="s">
        <v>2751</v>
      </c>
      <c r="L6541" t="s">
        <v>26</v>
      </c>
      <c r="M6541">
        <v>353425</v>
      </c>
      <c r="N6541">
        <v>1</v>
      </c>
      <c r="O6541" s="3">
        <v>74950</v>
      </c>
      <c r="P6541" s="3">
        <v>26350</v>
      </c>
      <c r="Q6541" s="5">
        <f t="shared" si="306"/>
        <v>62983.193277310929</v>
      </c>
      <c r="R6541" s="5">
        <f t="shared" si="307"/>
        <v>26350</v>
      </c>
      <c r="S6541" s="5">
        <f t="shared" si="308"/>
        <v>36633.193277310929</v>
      </c>
    </row>
    <row r="6542" spans="1:19" hidden="1" x14ac:dyDescent="0.3">
      <c r="A6542">
        <v>210</v>
      </c>
      <c r="B6542" t="s">
        <v>6520</v>
      </c>
      <c r="C6542" t="s">
        <v>2456</v>
      </c>
      <c r="D6542" s="2" t="s">
        <v>2457</v>
      </c>
      <c r="E6542" t="s">
        <v>2458</v>
      </c>
      <c r="F6542" t="s">
        <v>377</v>
      </c>
      <c r="G6542" t="s">
        <v>21</v>
      </c>
      <c r="H6542" t="s">
        <v>378</v>
      </c>
      <c r="I6542" t="s">
        <v>23</v>
      </c>
      <c r="J6542" t="s">
        <v>2459</v>
      </c>
      <c r="K6542" s="2" t="s">
        <v>2751</v>
      </c>
      <c r="L6542" t="s">
        <v>26</v>
      </c>
      <c r="M6542">
        <v>353426</v>
      </c>
      <c r="N6542">
        <v>1</v>
      </c>
      <c r="O6542" s="3">
        <v>6950</v>
      </c>
      <c r="P6542" s="3">
        <v>3421</v>
      </c>
      <c r="Q6542" s="5">
        <f t="shared" si="306"/>
        <v>5840.3361344537816</v>
      </c>
      <c r="R6542" s="5">
        <f t="shared" si="307"/>
        <v>3421</v>
      </c>
      <c r="S6542" s="5">
        <f t="shared" si="308"/>
        <v>2419.3361344537816</v>
      </c>
    </row>
    <row r="6543" spans="1:19" hidden="1" x14ac:dyDescent="0.3">
      <c r="A6543">
        <v>210</v>
      </c>
      <c r="B6543" t="s">
        <v>6520</v>
      </c>
      <c r="C6543" t="s">
        <v>5341</v>
      </c>
      <c r="D6543" s="2" t="s">
        <v>5342</v>
      </c>
      <c r="E6543" t="s">
        <v>5343</v>
      </c>
      <c r="F6543" t="s">
        <v>20</v>
      </c>
      <c r="G6543" t="s">
        <v>338</v>
      </c>
      <c r="H6543">
        <v>23707</v>
      </c>
      <c r="I6543" t="s">
        <v>23</v>
      </c>
      <c r="J6543" t="s">
        <v>40</v>
      </c>
      <c r="K6543" s="2" t="s">
        <v>2751</v>
      </c>
      <c r="L6543" t="s">
        <v>26</v>
      </c>
      <c r="M6543">
        <v>353427</v>
      </c>
      <c r="N6543">
        <v>1</v>
      </c>
      <c r="O6543" s="3">
        <v>99951</v>
      </c>
      <c r="P6543" s="3">
        <v>35178</v>
      </c>
      <c r="Q6543" s="5">
        <f t="shared" si="306"/>
        <v>83992.436974789918</v>
      </c>
      <c r="R6543" s="5">
        <f t="shared" si="307"/>
        <v>35178</v>
      </c>
      <c r="S6543" s="5">
        <f t="shared" si="308"/>
        <v>48814.436974789918</v>
      </c>
    </row>
    <row r="6544" spans="1:19" hidden="1" x14ac:dyDescent="0.3">
      <c r="A6544">
        <v>210</v>
      </c>
      <c r="B6544" t="s">
        <v>6520</v>
      </c>
      <c r="C6544" t="s">
        <v>6602</v>
      </c>
      <c r="D6544" s="2" t="s">
        <v>6603</v>
      </c>
      <c r="E6544" t="s">
        <v>5343</v>
      </c>
      <c r="F6544" t="s">
        <v>20</v>
      </c>
      <c r="G6544" t="s">
        <v>338</v>
      </c>
      <c r="H6544">
        <v>23707</v>
      </c>
      <c r="I6544" t="s">
        <v>23</v>
      </c>
      <c r="J6544" t="s">
        <v>40</v>
      </c>
      <c r="K6544" s="2" t="s">
        <v>2751</v>
      </c>
      <c r="L6544" t="s">
        <v>26</v>
      </c>
      <c r="M6544">
        <v>353427</v>
      </c>
      <c r="N6544">
        <v>-1</v>
      </c>
      <c r="O6544" s="3">
        <v>-99950</v>
      </c>
      <c r="P6544" s="3">
        <v>35178</v>
      </c>
      <c r="Q6544" s="5">
        <f t="shared" si="306"/>
        <v>-83991.596638655465</v>
      </c>
      <c r="R6544" s="5">
        <f t="shared" si="307"/>
        <v>-35178</v>
      </c>
      <c r="S6544" s="5">
        <f t="shared" si="308"/>
        <v>-48813.596638655465</v>
      </c>
    </row>
    <row r="6545" spans="1:19" hidden="1" x14ac:dyDescent="0.3">
      <c r="A6545">
        <v>210</v>
      </c>
      <c r="B6545" t="s">
        <v>6520</v>
      </c>
      <c r="C6545" t="s">
        <v>5647</v>
      </c>
      <c r="D6545" s="2" t="s">
        <v>5648</v>
      </c>
      <c r="E6545" t="s">
        <v>3013</v>
      </c>
      <c r="F6545" t="s">
        <v>20</v>
      </c>
      <c r="G6545" t="s">
        <v>21</v>
      </c>
      <c r="H6545" t="s">
        <v>2070</v>
      </c>
      <c r="I6545" t="s">
        <v>23</v>
      </c>
      <c r="J6545" t="s">
        <v>24</v>
      </c>
      <c r="K6545" s="2" t="s">
        <v>2751</v>
      </c>
      <c r="L6545" t="s">
        <v>26</v>
      </c>
      <c r="M6545">
        <v>353428</v>
      </c>
      <c r="N6545">
        <v>1</v>
      </c>
      <c r="O6545" s="3">
        <v>84950</v>
      </c>
      <c r="P6545" s="3">
        <v>27716</v>
      </c>
      <c r="Q6545" s="5">
        <f t="shared" si="306"/>
        <v>71386.554621848743</v>
      </c>
      <c r="R6545" s="5">
        <f t="shared" si="307"/>
        <v>27716</v>
      </c>
      <c r="S6545" s="5">
        <f t="shared" si="308"/>
        <v>43670.554621848743</v>
      </c>
    </row>
    <row r="6546" spans="1:19" hidden="1" x14ac:dyDescent="0.3">
      <c r="A6546">
        <v>210</v>
      </c>
      <c r="B6546" t="s">
        <v>6520</v>
      </c>
      <c r="C6546" t="s">
        <v>3023</v>
      </c>
      <c r="D6546" s="2" t="s">
        <v>3024</v>
      </c>
      <c r="E6546" t="s">
        <v>938</v>
      </c>
      <c r="F6546" t="s">
        <v>20</v>
      </c>
      <c r="G6546" t="s">
        <v>21</v>
      </c>
      <c r="H6546" t="s">
        <v>317</v>
      </c>
      <c r="I6546" t="s">
        <v>23</v>
      </c>
      <c r="J6546" t="s">
        <v>35</v>
      </c>
      <c r="K6546" s="2" t="s">
        <v>2751</v>
      </c>
      <c r="L6546" t="s">
        <v>26</v>
      </c>
      <c r="M6546">
        <v>353429</v>
      </c>
      <c r="N6546">
        <v>1</v>
      </c>
      <c r="O6546" s="3">
        <v>69950</v>
      </c>
      <c r="P6546" s="3">
        <v>26455</v>
      </c>
      <c r="Q6546" s="5">
        <f t="shared" si="306"/>
        <v>58781.512605042022</v>
      </c>
      <c r="R6546" s="5">
        <f t="shared" si="307"/>
        <v>26455</v>
      </c>
      <c r="S6546" s="5">
        <f t="shared" si="308"/>
        <v>32326.512605042022</v>
      </c>
    </row>
    <row r="6547" spans="1:19" hidden="1" x14ac:dyDescent="0.3">
      <c r="A6547">
        <v>210</v>
      </c>
      <c r="B6547" t="s">
        <v>6520</v>
      </c>
      <c r="C6547" t="s">
        <v>3586</v>
      </c>
      <c r="D6547" s="2" t="s">
        <v>3587</v>
      </c>
      <c r="E6547" t="s">
        <v>3449</v>
      </c>
      <c r="F6547" t="s">
        <v>20</v>
      </c>
      <c r="G6547" t="s">
        <v>338</v>
      </c>
      <c r="H6547">
        <v>25366</v>
      </c>
      <c r="I6547" t="s">
        <v>23</v>
      </c>
      <c r="J6547" t="s">
        <v>35</v>
      </c>
      <c r="K6547" s="2" t="s">
        <v>2751</v>
      </c>
      <c r="L6547" t="s">
        <v>26</v>
      </c>
      <c r="M6547">
        <v>353430</v>
      </c>
      <c r="N6547">
        <v>1</v>
      </c>
      <c r="O6547" s="3">
        <v>99950</v>
      </c>
      <c r="P6547" s="3">
        <v>33157</v>
      </c>
      <c r="Q6547" s="5">
        <f t="shared" si="306"/>
        <v>83991.596638655465</v>
      </c>
      <c r="R6547" s="5">
        <f t="shared" si="307"/>
        <v>33157</v>
      </c>
      <c r="S6547" s="5">
        <f t="shared" si="308"/>
        <v>50834.596638655465</v>
      </c>
    </row>
    <row r="6548" spans="1:19" hidden="1" x14ac:dyDescent="0.3">
      <c r="A6548">
        <v>210</v>
      </c>
      <c r="B6548" t="s">
        <v>6520</v>
      </c>
      <c r="C6548" t="s">
        <v>4412</v>
      </c>
      <c r="D6548" s="2" t="s">
        <v>4413</v>
      </c>
      <c r="E6548" t="s">
        <v>3195</v>
      </c>
      <c r="F6548" t="s">
        <v>20</v>
      </c>
      <c r="G6548" t="s">
        <v>338</v>
      </c>
      <c r="H6548">
        <v>25366</v>
      </c>
      <c r="I6548" t="s">
        <v>23</v>
      </c>
      <c r="J6548" t="s">
        <v>35</v>
      </c>
      <c r="K6548" s="2" t="s">
        <v>2751</v>
      </c>
      <c r="L6548" t="s">
        <v>26</v>
      </c>
      <c r="M6548">
        <v>353430</v>
      </c>
      <c r="N6548">
        <v>1</v>
      </c>
      <c r="O6548" s="3">
        <v>99950</v>
      </c>
      <c r="P6548" s="3">
        <v>33157</v>
      </c>
      <c r="Q6548" s="5">
        <f t="shared" si="306"/>
        <v>83991.596638655465</v>
      </c>
      <c r="R6548" s="5">
        <f t="shared" si="307"/>
        <v>33157</v>
      </c>
      <c r="S6548" s="5">
        <f t="shared" si="308"/>
        <v>50834.596638655465</v>
      </c>
    </row>
    <row r="6549" spans="1:19" hidden="1" x14ac:dyDescent="0.3">
      <c r="A6549">
        <v>210</v>
      </c>
      <c r="B6549" t="s">
        <v>6520</v>
      </c>
      <c r="C6549" t="s">
        <v>3607</v>
      </c>
      <c r="D6549" s="2" t="s">
        <v>3608</v>
      </c>
      <c r="E6549" t="s">
        <v>3180</v>
      </c>
      <c r="F6549" t="s">
        <v>20</v>
      </c>
      <c r="G6549" t="s">
        <v>338</v>
      </c>
      <c r="H6549">
        <v>23313</v>
      </c>
      <c r="I6549" t="s">
        <v>23</v>
      </c>
      <c r="J6549" t="s">
        <v>40</v>
      </c>
      <c r="K6549" s="2" t="s">
        <v>2751</v>
      </c>
      <c r="L6549" t="s">
        <v>26</v>
      </c>
      <c r="M6549">
        <v>353431</v>
      </c>
      <c r="N6549">
        <v>1</v>
      </c>
      <c r="O6549" s="3">
        <v>69950</v>
      </c>
      <c r="P6549" s="3">
        <v>23536</v>
      </c>
      <c r="Q6549" s="5">
        <f t="shared" si="306"/>
        <v>58781.512605042022</v>
      </c>
      <c r="R6549" s="5">
        <f t="shared" si="307"/>
        <v>23536</v>
      </c>
      <c r="S6549" s="5">
        <f t="shared" si="308"/>
        <v>35245.512605042022</v>
      </c>
    </row>
    <row r="6550" spans="1:19" hidden="1" x14ac:dyDescent="0.3">
      <c r="A6550">
        <v>210</v>
      </c>
      <c r="B6550" t="s">
        <v>6520</v>
      </c>
      <c r="C6550" t="s">
        <v>4677</v>
      </c>
      <c r="D6550" s="2" t="s">
        <v>4678</v>
      </c>
      <c r="E6550" t="s">
        <v>266</v>
      </c>
      <c r="F6550" t="s">
        <v>20</v>
      </c>
      <c r="G6550" t="s">
        <v>21</v>
      </c>
      <c r="H6550" t="s">
        <v>267</v>
      </c>
      <c r="I6550" t="s">
        <v>23</v>
      </c>
      <c r="J6550" t="s">
        <v>49</v>
      </c>
      <c r="K6550" s="2" t="s">
        <v>2751</v>
      </c>
      <c r="L6550" t="s">
        <v>26</v>
      </c>
      <c r="M6550">
        <v>353432</v>
      </c>
      <c r="N6550">
        <v>1</v>
      </c>
      <c r="O6550" s="3">
        <v>64950</v>
      </c>
      <c r="P6550" s="3">
        <v>24504</v>
      </c>
      <c r="Q6550" s="5">
        <f t="shared" si="306"/>
        <v>54579.831932773115</v>
      </c>
      <c r="R6550" s="5">
        <f t="shared" si="307"/>
        <v>24504</v>
      </c>
      <c r="S6550" s="5">
        <f t="shared" si="308"/>
        <v>30075.831932773115</v>
      </c>
    </row>
    <row r="6551" spans="1:19" hidden="1" x14ac:dyDescent="0.3">
      <c r="A6551">
        <v>210</v>
      </c>
      <c r="B6551" t="s">
        <v>6520</v>
      </c>
      <c r="C6551" t="s">
        <v>1037</v>
      </c>
      <c r="D6551" s="2" t="s">
        <v>1038</v>
      </c>
      <c r="E6551" t="s">
        <v>1039</v>
      </c>
      <c r="F6551" t="s">
        <v>377</v>
      </c>
      <c r="G6551" t="s">
        <v>21</v>
      </c>
      <c r="H6551" t="s">
        <v>378</v>
      </c>
      <c r="I6551" t="s">
        <v>23</v>
      </c>
      <c r="J6551" t="s">
        <v>379</v>
      </c>
      <c r="K6551" s="2" t="s">
        <v>2751</v>
      </c>
      <c r="L6551" t="s">
        <v>26</v>
      </c>
      <c r="M6551">
        <v>353432</v>
      </c>
      <c r="N6551">
        <v>1</v>
      </c>
      <c r="O6551" s="3">
        <v>5950</v>
      </c>
      <c r="P6551" s="3">
        <v>3257</v>
      </c>
      <c r="Q6551" s="5">
        <f t="shared" si="306"/>
        <v>5000</v>
      </c>
      <c r="R6551" s="5">
        <f t="shared" si="307"/>
        <v>3257</v>
      </c>
      <c r="S6551" s="5">
        <f t="shared" si="308"/>
        <v>1743</v>
      </c>
    </row>
    <row r="6552" spans="1:19" hidden="1" x14ac:dyDescent="0.3">
      <c r="A6552">
        <v>210</v>
      </c>
      <c r="B6552" t="s">
        <v>6520</v>
      </c>
      <c r="C6552" t="s">
        <v>996</v>
      </c>
      <c r="D6552" s="2" t="s">
        <v>997</v>
      </c>
      <c r="E6552" t="s">
        <v>998</v>
      </c>
      <c r="F6552" t="s">
        <v>20</v>
      </c>
      <c r="G6552" t="s">
        <v>21</v>
      </c>
      <c r="H6552" t="s">
        <v>251</v>
      </c>
      <c r="I6552" t="s">
        <v>23</v>
      </c>
      <c r="J6552" t="s">
        <v>49</v>
      </c>
      <c r="K6552" s="2" t="s">
        <v>2751</v>
      </c>
      <c r="L6552" t="s">
        <v>26</v>
      </c>
      <c r="M6552">
        <v>353433</v>
      </c>
      <c r="N6552">
        <v>1</v>
      </c>
      <c r="O6552" s="3">
        <v>34990</v>
      </c>
      <c r="P6552" s="3">
        <v>26228</v>
      </c>
      <c r="Q6552" s="5">
        <f t="shared" si="306"/>
        <v>29403.361344537818</v>
      </c>
      <c r="R6552" s="5">
        <f t="shared" si="307"/>
        <v>26228</v>
      </c>
      <c r="S6552" s="5">
        <f t="shared" si="308"/>
        <v>3175.3613445378178</v>
      </c>
    </row>
    <row r="6553" spans="1:19" hidden="1" x14ac:dyDescent="0.3">
      <c r="A6553">
        <v>210</v>
      </c>
      <c r="B6553" t="s">
        <v>6520</v>
      </c>
      <c r="C6553">
        <v>1687976791</v>
      </c>
      <c r="D6553" s="2" t="s">
        <v>200</v>
      </c>
      <c r="E6553" t="s">
        <v>201</v>
      </c>
      <c r="F6553" t="s">
        <v>201</v>
      </c>
      <c r="G6553" t="s">
        <v>202</v>
      </c>
      <c r="H6553" t="s">
        <v>202</v>
      </c>
      <c r="I6553" t="s">
        <v>23</v>
      </c>
      <c r="J6553" t="s">
        <v>202</v>
      </c>
      <c r="K6553" s="2" t="s">
        <v>2751</v>
      </c>
      <c r="L6553" t="s">
        <v>26</v>
      </c>
      <c r="M6553">
        <v>353433</v>
      </c>
      <c r="N6553">
        <v>1</v>
      </c>
      <c r="O6553" s="3">
        <v>2000</v>
      </c>
      <c r="P6553">
        <v>1</v>
      </c>
      <c r="Q6553" s="5">
        <f t="shared" si="306"/>
        <v>1680.6722689075632</v>
      </c>
      <c r="R6553" s="5">
        <f t="shared" si="307"/>
        <v>1</v>
      </c>
      <c r="S6553" s="5">
        <f t="shared" si="308"/>
        <v>1679.6722689075632</v>
      </c>
    </row>
    <row r="6554" spans="1:19" hidden="1" x14ac:dyDescent="0.3">
      <c r="A6554">
        <v>210</v>
      </c>
      <c r="B6554" t="s">
        <v>6520</v>
      </c>
      <c r="C6554" t="s">
        <v>4045</v>
      </c>
      <c r="D6554" s="2" t="s">
        <v>4046</v>
      </c>
      <c r="E6554" t="s">
        <v>3523</v>
      </c>
      <c r="F6554" t="s">
        <v>20</v>
      </c>
      <c r="G6554" t="s">
        <v>21</v>
      </c>
      <c r="H6554" t="s">
        <v>2070</v>
      </c>
      <c r="I6554" t="s">
        <v>23</v>
      </c>
      <c r="J6554" t="s">
        <v>24</v>
      </c>
      <c r="K6554" s="2" t="s">
        <v>2751</v>
      </c>
      <c r="L6554" t="s">
        <v>26</v>
      </c>
      <c r="M6554">
        <v>353434</v>
      </c>
      <c r="N6554">
        <v>1</v>
      </c>
      <c r="O6554" s="3">
        <v>84950</v>
      </c>
      <c r="P6554" s="3">
        <v>27535</v>
      </c>
      <c r="Q6554" s="5">
        <f t="shared" si="306"/>
        <v>71386.554621848743</v>
      </c>
      <c r="R6554" s="5">
        <f t="shared" si="307"/>
        <v>27535</v>
      </c>
      <c r="S6554" s="5">
        <f t="shared" si="308"/>
        <v>43851.554621848743</v>
      </c>
    </row>
    <row r="6555" spans="1:19" hidden="1" x14ac:dyDescent="0.3">
      <c r="A6555">
        <v>210</v>
      </c>
      <c r="B6555" t="s">
        <v>6520</v>
      </c>
      <c r="C6555" t="s">
        <v>3727</v>
      </c>
      <c r="D6555" s="2" t="s">
        <v>3728</v>
      </c>
      <c r="E6555" t="s">
        <v>3729</v>
      </c>
      <c r="F6555" t="s">
        <v>20</v>
      </c>
      <c r="G6555" t="s">
        <v>21</v>
      </c>
      <c r="H6555" t="s">
        <v>272</v>
      </c>
      <c r="I6555" t="s">
        <v>23</v>
      </c>
      <c r="J6555" t="s">
        <v>35</v>
      </c>
      <c r="K6555" s="2" t="s">
        <v>2751</v>
      </c>
      <c r="L6555" t="s">
        <v>26</v>
      </c>
      <c r="M6555">
        <v>353435</v>
      </c>
      <c r="N6555">
        <v>1</v>
      </c>
      <c r="O6555" s="3">
        <v>79950</v>
      </c>
      <c r="P6555" s="3">
        <v>28172</v>
      </c>
      <c r="Q6555" s="5">
        <f t="shared" si="306"/>
        <v>67184.873949579836</v>
      </c>
      <c r="R6555" s="5">
        <f t="shared" si="307"/>
        <v>28172</v>
      </c>
      <c r="S6555" s="5">
        <f t="shared" si="308"/>
        <v>39012.873949579836</v>
      </c>
    </row>
    <row r="6556" spans="1:19" hidden="1" x14ac:dyDescent="0.3">
      <c r="A6556">
        <v>210</v>
      </c>
      <c r="B6556" t="s">
        <v>6520</v>
      </c>
      <c r="C6556" t="s">
        <v>5471</v>
      </c>
      <c r="D6556" s="2" t="s">
        <v>5472</v>
      </c>
      <c r="E6556" t="s">
        <v>4331</v>
      </c>
      <c r="F6556" t="s">
        <v>20</v>
      </c>
      <c r="G6556" t="s">
        <v>338</v>
      </c>
      <c r="H6556">
        <v>25357</v>
      </c>
      <c r="I6556" t="s">
        <v>23</v>
      </c>
      <c r="J6556" t="s">
        <v>35</v>
      </c>
      <c r="K6556" s="2" t="s">
        <v>2751</v>
      </c>
      <c r="L6556" t="s">
        <v>26</v>
      </c>
      <c r="M6556">
        <v>353436</v>
      </c>
      <c r="N6556">
        <v>1</v>
      </c>
      <c r="O6556" s="3">
        <v>79950</v>
      </c>
      <c r="P6556" s="3">
        <v>24482</v>
      </c>
      <c r="Q6556" s="5">
        <f t="shared" si="306"/>
        <v>67184.873949579836</v>
      </c>
      <c r="R6556" s="5">
        <f t="shared" si="307"/>
        <v>24482</v>
      </c>
      <c r="S6556" s="5">
        <f t="shared" si="308"/>
        <v>42702.873949579836</v>
      </c>
    </row>
    <row r="6557" spans="1:19" hidden="1" x14ac:dyDescent="0.3">
      <c r="A6557">
        <v>210</v>
      </c>
      <c r="B6557" t="s">
        <v>6520</v>
      </c>
      <c r="C6557" t="s">
        <v>3840</v>
      </c>
      <c r="D6557" s="2" t="s">
        <v>3841</v>
      </c>
      <c r="E6557" t="s">
        <v>2810</v>
      </c>
      <c r="F6557" t="s">
        <v>20</v>
      </c>
      <c r="G6557" t="s">
        <v>21</v>
      </c>
      <c r="H6557" t="s">
        <v>1987</v>
      </c>
      <c r="I6557" t="s">
        <v>23</v>
      </c>
      <c r="J6557" t="s">
        <v>35</v>
      </c>
      <c r="K6557" s="2" t="s">
        <v>2751</v>
      </c>
      <c r="L6557" t="s">
        <v>26</v>
      </c>
      <c r="M6557">
        <v>353437</v>
      </c>
      <c r="N6557">
        <v>1</v>
      </c>
      <c r="O6557" s="3">
        <v>89950</v>
      </c>
      <c r="P6557" s="3">
        <v>29858</v>
      </c>
      <c r="Q6557" s="5">
        <f t="shared" si="306"/>
        <v>75588.23529411765</v>
      </c>
      <c r="R6557" s="5">
        <f t="shared" si="307"/>
        <v>29858</v>
      </c>
      <c r="S6557" s="5">
        <f t="shared" si="308"/>
        <v>45730.23529411765</v>
      </c>
    </row>
    <row r="6558" spans="1:19" hidden="1" x14ac:dyDescent="0.3">
      <c r="A6558">
        <v>210</v>
      </c>
      <c r="B6558" t="s">
        <v>6520</v>
      </c>
      <c r="C6558" t="s">
        <v>3787</v>
      </c>
      <c r="D6558" s="2" t="s">
        <v>3788</v>
      </c>
      <c r="E6558" t="s">
        <v>2748</v>
      </c>
      <c r="F6558" t="s">
        <v>20</v>
      </c>
      <c r="G6558" t="s">
        <v>338</v>
      </c>
      <c r="H6558">
        <v>26266</v>
      </c>
      <c r="I6558" t="s">
        <v>23</v>
      </c>
      <c r="J6558" t="s">
        <v>35</v>
      </c>
      <c r="K6558" s="2" t="s">
        <v>2751</v>
      </c>
      <c r="L6558" t="s">
        <v>26</v>
      </c>
      <c r="M6558">
        <v>353438</v>
      </c>
      <c r="N6558">
        <v>1</v>
      </c>
      <c r="O6558" s="3">
        <v>79950</v>
      </c>
      <c r="P6558" s="3">
        <v>25300</v>
      </c>
      <c r="Q6558" s="5">
        <f t="shared" si="306"/>
        <v>67184.873949579836</v>
      </c>
      <c r="R6558" s="5">
        <f t="shared" si="307"/>
        <v>25300</v>
      </c>
      <c r="S6558" s="5">
        <f t="shared" si="308"/>
        <v>41884.873949579836</v>
      </c>
    </row>
    <row r="6559" spans="1:19" hidden="1" x14ac:dyDescent="0.3">
      <c r="A6559">
        <v>210</v>
      </c>
      <c r="B6559" t="s">
        <v>6520</v>
      </c>
      <c r="C6559" t="s">
        <v>3092</v>
      </c>
      <c r="D6559" s="2" t="s">
        <v>3093</v>
      </c>
      <c r="E6559" t="s">
        <v>2589</v>
      </c>
      <c r="F6559" t="s">
        <v>20</v>
      </c>
      <c r="G6559" t="s">
        <v>21</v>
      </c>
      <c r="H6559" t="s">
        <v>53</v>
      </c>
      <c r="I6559" t="s">
        <v>23</v>
      </c>
      <c r="J6559" t="s">
        <v>49</v>
      </c>
      <c r="K6559" s="2" t="s">
        <v>1152</v>
      </c>
      <c r="L6559" t="s">
        <v>2249</v>
      </c>
      <c r="M6559">
        <v>25322</v>
      </c>
      <c r="N6559">
        <v>-1</v>
      </c>
      <c r="O6559" s="3">
        <v>-69950</v>
      </c>
      <c r="P6559" s="3">
        <v>22764</v>
      </c>
      <c r="Q6559" s="5">
        <f t="shared" si="306"/>
        <v>-58781.512605042022</v>
      </c>
      <c r="R6559" s="5">
        <f t="shared" si="307"/>
        <v>-22764</v>
      </c>
      <c r="S6559" s="5">
        <f t="shared" si="308"/>
        <v>-36017.512605042022</v>
      </c>
    </row>
    <row r="6560" spans="1:19" hidden="1" x14ac:dyDescent="0.3">
      <c r="A6560">
        <v>210</v>
      </c>
      <c r="B6560" t="s">
        <v>6520</v>
      </c>
      <c r="C6560" t="s">
        <v>5708</v>
      </c>
      <c r="D6560" s="2" t="s">
        <v>5709</v>
      </c>
      <c r="E6560" t="s">
        <v>2542</v>
      </c>
      <c r="F6560" t="s">
        <v>20</v>
      </c>
      <c r="G6560" t="s">
        <v>21</v>
      </c>
      <c r="H6560" t="s">
        <v>2469</v>
      </c>
      <c r="I6560" t="s">
        <v>23</v>
      </c>
      <c r="J6560" t="s">
        <v>49</v>
      </c>
      <c r="K6560" s="2" t="s">
        <v>1152</v>
      </c>
      <c r="L6560" t="s">
        <v>26</v>
      </c>
      <c r="M6560">
        <v>353439</v>
      </c>
      <c r="N6560">
        <v>1</v>
      </c>
      <c r="O6560" s="3">
        <v>64950</v>
      </c>
      <c r="P6560" s="3">
        <v>21343</v>
      </c>
      <c r="Q6560" s="5">
        <f t="shared" si="306"/>
        <v>54579.831932773115</v>
      </c>
      <c r="R6560" s="5">
        <f t="shared" si="307"/>
        <v>21343</v>
      </c>
      <c r="S6560" s="5">
        <f t="shared" si="308"/>
        <v>33236.831932773115</v>
      </c>
    </row>
    <row r="6561" spans="1:19" hidden="1" x14ac:dyDescent="0.3">
      <c r="A6561">
        <v>210</v>
      </c>
      <c r="B6561" t="s">
        <v>6520</v>
      </c>
      <c r="C6561" t="s">
        <v>2485</v>
      </c>
      <c r="D6561" s="2" t="s">
        <v>2486</v>
      </c>
      <c r="E6561" t="s">
        <v>2487</v>
      </c>
      <c r="F6561" t="s">
        <v>377</v>
      </c>
      <c r="G6561" t="s">
        <v>21</v>
      </c>
      <c r="H6561" t="s">
        <v>378</v>
      </c>
      <c r="I6561" t="s">
        <v>23</v>
      </c>
      <c r="J6561" t="s">
        <v>379</v>
      </c>
      <c r="K6561" s="2" t="s">
        <v>1152</v>
      </c>
      <c r="L6561" t="s">
        <v>26</v>
      </c>
      <c r="M6561">
        <v>353440</v>
      </c>
      <c r="N6561">
        <v>1</v>
      </c>
      <c r="O6561" s="3">
        <v>5950</v>
      </c>
      <c r="P6561" s="3">
        <v>2243</v>
      </c>
      <c r="Q6561" s="5">
        <f t="shared" si="306"/>
        <v>5000</v>
      </c>
      <c r="R6561" s="5">
        <f t="shared" si="307"/>
        <v>2243</v>
      </c>
      <c r="S6561" s="5">
        <f t="shared" si="308"/>
        <v>2757</v>
      </c>
    </row>
    <row r="6562" spans="1:19" hidden="1" x14ac:dyDescent="0.3">
      <c r="A6562">
        <v>210</v>
      </c>
      <c r="B6562" t="s">
        <v>6520</v>
      </c>
      <c r="C6562" t="s">
        <v>4194</v>
      </c>
      <c r="D6562" s="2" t="s">
        <v>4195</v>
      </c>
      <c r="E6562" t="s">
        <v>4196</v>
      </c>
      <c r="F6562" t="s">
        <v>377</v>
      </c>
      <c r="G6562" t="s">
        <v>21</v>
      </c>
      <c r="H6562" t="s">
        <v>378</v>
      </c>
      <c r="I6562" t="s">
        <v>23</v>
      </c>
      <c r="J6562" t="s">
        <v>379</v>
      </c>
      <c r="K6562" s="2" t="s">
        <v>1152</v>
      </c>
      <c r="L6562" t="s">
        <v>26</v>
      </c>
      <c r="M6562">
        <v>353440</v>
      </c>
      <c r="N6562">
        <v>2</v>
      </c>
      <c r="O6562" s="3">
        <v>13900</v>
      </c>
      <c r="P6562" s="3">
        <v>3541</v>
      </c>
      <c r="Q6562" s="5">
        <f t="shared" si="306"/>
        <v>11680.672268907563</v>
      </c>
      <c r="R6562" s="5">
        <f t="shared" si="307"/>
        <v>7082</v>
      </c>
      <c r="S6562" s="5">
        <f t="shared" si="308"/>
        <v>4598.6722689075632</v>
      </c>
    </row>
    <row r="6563" spans="1:19" hidden="1" x14ac:dyDescent="0.3">
      <c r="A6563">
        <v>210</v>
      </c>
      <c r="B6563" t="s">
        <v>6520</v>
      </c>
      <c r="C6563" t="s">
        <v>4671</v>
      </c>
      <c r="D6563" s="2" t="s">
        <v>4672</v>
      </c>
      <c r="E6563" t="s">
        <v>4673</v>
      </c>
      <c r="F6563" t="s">
        <v>377</v>
      </c>
      <c r="G6563" t="s">
        <v>21</v>
      </c>
      <c r="H6563" t="s">
        <v>378</v>
      </c>
      <c r="I6563" t="s">
        <v>23</v>
      </c>
      <c r="J6563" t="s">
        <v>379</v>
      </c>
      <c r="K6563" s="2" t="s">
        <v>1152</v>
      </c>
      <c r="L6563" t="s">
        <v>26</v>
      </c>
      <c r="M6563">
        <v>353440</v>
      </c>
      <c r="N6563">
        <v>1</v>
      </c>
      <c r="O6563" s="3">
        <v>6950</v>
      </c>
      <c r="P6563" s="3">
        <v>3551</v>
      </c>
      <c r="Q6563" s="5">
        <f t="shared" si="306"/>
        <v>5840.3361344537816</v>
      </c>
      <c r="R6563" s="5">
        <f t="shared" si="307"/>
        <v>3551</v>
      </c>
      <c r="S6563" s="5">
        <f t="shared" si="308"/>
        <v>2289.3361344537816</v>
      </c>
    </row>
    <row r="6564" spans="1:19" hidden="1" x14ac:dyDescent="0.3">
      <c r="A6564">
        <v>210</v>
      </c>
      <c r="B6564" t="s">
        <v>6520</v>
      </c>
      <c r="C6564" t="s">
        <v>2365</v>
      </c>
      <c r="D6564" s="2" t="s">
        <v>2366</v>
      </c>
      <c r="E6564" t="s">
        <v>2367</v>
      </c>
      <c r="F6564" t="s">
        <v>377</v>
      </c>
      <c r="G6564" t="s">
        <v>21</v>
      </c>
      <c r="H6564" t="s">
        <v>378</v>
      </c>
      <c r="I6564" t="s">
        <v>23</v>
      </c>
      <c r="J6564" t="s">
        <v>379</v>
      </c>
      <c r="K6564" s="2" t="s">
        <v>1152</v>
      </c>
      <c r="L6564" t="s">
        <v>26</v>
      </c>
      <c r="M6564">
        <v>353440</v>
      </c>
      <c r="N6564">
        <v>1</v>
      </c>
      <c r="O6564" s="3">
        <v>6950</v>
      </c>
      <c r="P6564" s="3">
        <v>3759</v>
      </c>
      <c r="Q6564" s="5">
        <f t="shared" si="306"/>
        <v>5840.3361344537816</v>
      </c>
      <c r="R6564" s="5">
        <f t="shared" si="307"/>
        <v>3759</v>
      </c>
      <c r="S6564" s="5">
        <f t="shared" si="308"/>
        <v>2081.3361344537816</v>
      </c>
    </row>
    <row r="6565" spans="1:19" hidden="1" x14ac:dyDescent="0.3">
      <c r="A6565">
        <v>210</v>
      </c>
      <c r="B6565" t="s">
        <v>6520</v>
      </c>
      <c r="C6565" t="s">
        <v>2485</v>
      </c>
      <c r="D6565" s="2" t="s">
        <v>2486</v>
      </c>
      <c r="E6565" t="s">
        <v>2487</v>
      </c>
      <c r="F6565" t="s">
        <v>377</v>
      </c>
      <c r="G6565" t="s">
        <v>21</v>
      </c>
      <c r="H6565" t="s">
        <v>378</v>
      </c>
      <c r="I6565" t="s">
        <v>23</v>
      </c>
      <c r="J6565" t="s">
        <v>379</v>
      </c>
      <c r="K6565" s="2" t="s">
        <v>1152</v>
      </c>
      <c r="L6565" t="s">
        <v>26</v>
      </c>
      <c r="M6565">
        <v>353441</v>
      </c>
      <c r="N6565">
        <v>1</v>
      </c>
      <c r="O6565" s="3">
        <v>5950</v>
      </c>
      <c r="P6565" s="3">
        <v>2243</v>
      </c>
      <c r="Q6565" s="5">
        <f t="shared" si="306"/>
        <v>5000</v>
      </c>
      <c r="R6565" s="5">
        <f t="shared" si="307"/>
        <v>2243</v>
      </c>
      <c r="S6565" s="5">
        <f t="shared" si="308"/>
        <v>2757</v>
      </c>
    </row>
    <row r="6566" spans="1:19" hidden="1" x14ac:dyDescent="0.3">
      <c r="A6566">
        <v>210</v>
      </c>
      <c r="B6566" t="s">
        <v>6520</v>
      </c>
      <c r="C6566" t="s">
        <v>2365</v>
      </c>
      <c r="D6566" s="2" t="s">
        <v>2366</v>
      </c>
      <c r="E6566" t="s">
        <v>2367</v>
      </c>
      <c r="F6566" t="s">
        <v>377</v>
      </c>
      <c r="G6566" t="s">
        <v>21</v>
      </c>
      <c r="H6566" t="s">
        <v>378</v>
      </c>
      <c r="I6566" t="s">
        <v>23</v>
      </c>
      <c r="J6566" t="s">
        <v>379</v>
      </c>
      <c r="K6566" s="2" t="s">
        <v>1152</v>
      </c>
      <c r="L6566" t="s">
        <v>26</v>
      </c>
      <c r="M6566">
        <v>353441</v>
      </c>
      <c r="N6566">
        <v>1</v>
      </c>
      <c r="O6566" s="3">
        <v>6950</v>
      </c>
      <c r="P6566" s="3">
        <v>3759</v>
      </c>
      <c r="Q6566" s="5">
        <f t="shared" si="306"/>
        <v>5840.3361344537816</v>
      </c>
      <c r="R6566" s="5">
        <f t="shared" si="307"/>
        <v>3759</v>
      </c>
      <c r="S6566" s="5">
        <f t="shared" si="308"/>
        <v>2081.3361344537816</v>
      </c>
    </row>
    <row r="6567" spans="1:19" hidden="1" x14ac:dyDescent="0.3">
      <c r="A6567">
        <v>210</v>
      </c>
      <c r="B6567" t="s">
        <v>6520</v>
      </c>
      <c r="C6567" t="s">
        <v>4677</v>
      </c>
      <c r="D6567" s="2" t="s">
        <v>4678</v>
      </c>
      <c r="E6567" t="s">
        <v>266</v>
      </c>
      <c r="F6567" t="s">
        <v>20</v>
      </c>
      <c r="G6567" t="s">
        <v>21</v>
      </c>
      <c r="H6567" t="s">
        <v>267</v>
      </c>
      <c r="I6567" t="s">
        <v>23</v>
      </c>
      <c r="J6567" t="s">
        <v>49</v>
      </c>
      <c r="K6567" s="2" t="s">
        <v>1152</v>
      </c>
      <c r="L6567" t="s">
        <v>26</v>
      </c>
      <c r="M6567">
        <v>353442</v>
      </c>
      <c r="N6567">
        <v>-1</v>
      </c>
      <c r="O6567" s="3">
        <v>-64950</v>
      </c>
      <c r="P6567" s="3">
        <v>24504</v>
      </c>
      <c r="Q6567" s="5">
        <f t="shared" si="306"/>
        <v>-54579.831932773115</v>
      </c>
      <c r="R6567" s="5">
        <f t="shared" si="307"/>
        <v>-24504</v>
      </c>
      <c r="S6567" s="5">
        <f t="shared" si="308"/>
        <v>-30075.831932773115</v>
      </c>
    </row>
    <row r="6568" spans="1:19" hidden="1" x14ac:dyDescent="0.3">
      <c r="A6568">
        <v>210</v>
      </c>
      <c r="B6568" t="s">
        <v>6520</v>
      </c>
      <c r="C6568" t="s">
        <v>3089</v>
      </c>
      <c r="D6568" s="2" t="s">
        <v>3090</v>
      </c>
      <c r="E6568" t="s">
        <v>3091</v>
      </c>
      <c r="F6568" t="s">
        <v>20</v>
      </c>
      <c r="G6568" t="s">
        <v>338</v>
      </c>
      <c r="H6568">
        <v>26266</v>
      </c>
      <c r="I6568" t="s">
        <v>23</v>
      </c>
      <c r="J6568" t="s">
        <v>35</v>
      </c>
      <c r="K6568" s="2" t="s">
        <v>1152</v>
      </c>
      <c r="L6568" t="s">
        <v>26</v>
      </c>
      <c r="M6568">
        <v>353442</v>
      </c>
      <c r="N6568">
        <v>1</v>
      </c>
      <c r="O6568" s="3">
        <v>79950</v>
      </c>
      <c r="P6568" s="3">
        <v>25300</v>
      </c>
      <c r="Q6568" s="5">
        <f t="shared" si="306"/>
        <v>67184.873949579836</v>
      </c>
      <c r="R6568" s="5">
        <f t="shared" si="307"/>
        <v>25300</v>
      </c>
      <c r="S6568" s="5">
        <f t="shared" si="308"/>
        <v>41884.873949579836</v>
      </c>
    </row>
    <row r="6569" spans="1:19" hidden="1" x14ac:dyDescent="0.3">
      <c r="A6569">
        <v>210</v>
      </c>
      <c r="B6569" t="s">
        <v>6520</v>
      </c>
      <c r="C6569" t="s">
        <v>3917</v>
      </c>
      <c r="D6569" s="2" t="s">
        <v>3918</v>
      </c>
      <c r="E6569" t="s">
        <v>3418</v>
      </c>
      <c r="F6569" t="s">
        <v>20</v>
      </c>
      <c r="G6569" t="s">
        <v>21</v>
      </c>
      <c r="H6569" t="s">
        <v>1418</v>
      </c>
      <c r="I6569" t="s">
        <v>23</v>
      </c>
      <c r="J6569" t="s">
        <v>35</v>
      </c>
      <c r="K6569" s="2" t="s">
        <v>1152</v>
      </c>
      <c r="L6569" t="s">
        <v>26</v>
      </c>
      <c r="M6569">
        <v>353443</v>
      </c>
      <c r="N6569">
        <v>1</v>
      </c>
      <c r="O6569" s="3">
        <v>94950</v>
      </c>
      <c r="P6569" s="3">
        <v>30749</v>
      </c>
      <c r="Q6569" s="5">
        <f t="shared" si="306"/>
        <v>79789.915966386558</v>
      </c>
      <c r="R6569" s="5">
        <f t="shared" si="307"/>
        <v>30749</v>
      </c>
      <c r="S6569" s="5">
        <f t="shared" si="308"/>
        <v>49040.915966386558</v>
      </c>
    </row>
    <row r="6570" spans="1:19" hidden="1" x14ac:dyDescent="0.3">
      <c r="A6570">
        <v>210</v>
      </c>
      <c r="B6570" t="s">
        <v>6520</v>
      </c>
      <c r="C6570" t="s">
        <v>3089</v>
      </c>
      <c r="D6570" s="2" t="s">
        <v>3090</v>
      </c>
      <c r="E6570" t="s">
        <v>3091</v>
      </c>
      <c r="F6570" t="s">
        <v>20</v>
      </c>
      <c r="G6570" t="s">
        <v>338</v>
      </c>
      <c r="H6570">
        <v>26266</v>
      </c>
      <c r="I6570" t="s">
        <v>23</v>
      </c>
      <c r="J6570" t="s">
        <v>35</v>
      </c>
      <c r="K6570" s="2" t="s">
        <v>1152</v>
      </c>
      <c r="L6570" t="s">
        <v>26</v>
      </c>
      <c r="M6570">
        <v>353444</v>
      </c>
      <c r="N6570">
        <v>1</v>
      </c>
      <c r="O6570" s="3">
        <v>79950</v>
      </c>
      <c r="P6570" s="3">
        <v>25300</v>
      </c>
      <c r="Q6570" s="5">
        <f t="shared" si="306"/>
        <v>67184.873949579836</v>
      </c>
      <c r="R6570" s="5">
        <f t="shared" si="307"/>
        <v>25300</v>
      </c>
      <c r="S6570" s="5">
        <f t="shared" si="308"/>
        <v>41884.873949579836</v>
      </c>
    </row>
    <row r="6571" spans="1:19" hidden="1" x14ac:dyDescent="0.3">
      <c r="A6571">
        <v>210</v>
      </c>
      <c r="B6571" t="s">
        <v>6520</v>
      </c>
      <c r="C6571" t="s">
        <v>2365</v>
      </c>
      <c r="D6571" s="2" t="s">
        <v>2366</v>
      </c>
      <c r="E6571" t="s">
        <v>2367</v>
      </c>
      <c r="F6571" t="s">
        <v>377</v>
      </c>
      <c r="G6571" t="s">
        <v>21</v>
      </c>
      <c r="H6571" t="s">
        <v>378</v>
      </c>
      <c r="I6571" t="s">
        <v>23</v>
      </c>
      <c r="J6571" t="s">
        <v>379</v>
      </c>
      <c r="K6571" s="2" t="s">
        <v>1152</v>
      </c>
      <c r="L6571" t="s">
        <v>26</v>
      </c>
      <c r="M6571">
        <v>353444</v>
      </c>
      <c r="N6571">
        <v>1</v>
      </c>
      <c r="O6571" s="3">
        <v>6950</v>
      </c>
      <c r="P6571" s="3">
        <v>3759</v>
      </c>
      <c r="Q6571" s="5">
        <f t="shared" si="306"/>
        <v>5840.3361344537816</v>
      </c>
      <c r="R6571" s="5">
        <f t="shared" si="307"/>
        <v>3759</v>
      </c>
      <c r="S6571" s="5">
        <f t="shared" si="308"/>
        <v>2081.3361344537816</v>
      </c>
    </row>
    <row r="6572" spans="1:19" hidden="1" x14ac:dyDescent="0.3">
      <c r="A6572">
        <v>210</v>
      </c>
      <c r="B6572" t="s">
        <v>6520</v>
      </c>
      <c r="C6572" t="s">
        <v>2338</v>
      </c>
      <c r="D6572" s="2" t="s">
        <v>2339</v>
      </c>
      <c r="E6572" t="s">
        <v>2340</v>
      </c>
      <c r="F6572" t="s">
        <v>20</v>
      </c>
      <c r="G6572" t="s">
        <v>21</v>
      </c>
      <c r="H6572" t="s">
        <v>1914</v>
      </c>
      <c r="I6572" t="s">
        <v>23</v>
      </c>
      <c r="J6572" t="s">
        <v>35</v>
      </c>
      <c r="K6572" s="2" t="s">
        <v>1152</v>
      </c>
      <c r="L6572" t="s">
        <v>26</v>
      </c>
      <c r="M6572">
        <v>353445</v>
      </c>
      <c r="N6572">
        <v>1</v>
      </c>
      <c r="O6572" s="3">
        <v>89950</v>
      </c>
      <c r="P6572" s="3">
        <v>27630</v>
      </c>
      <c r="Q6572" s="5">
        <f t="shared" si="306"/>
        <v>75588.23529411765</v>
      </c>
      <c r="R6572" s="5">
        <f t="shared" si="307"/>
        <v>27630</v>
      </c>
      <c r="S6572" s="5">
        <f t="shared" si="308"/>
        <v>47958.23529411765</v>
      </c>
    </row>
    <row r="6573" spans="1:19" hidden="1" x14ac:dyDescent="0.3">
      <c r="A6573">
        <v>210</v>
      </c>
      <c r="B6573" t="s">
        <v>6520</v>
      </c>
      <c r="C6573" t="s">
        <v>5818</v>
      </c>
      <c r="D6573" s="2" t="s">
        <v>5819</v>
      </c>
      <c r="E6573" t="s">
        <v>2718</v>
      </c>
      <c r="F6573" t="s">
        <v>20</v>
      </c>
      <c r="G6573" t="s">
        <v>21</v>
      </c>
      <c r="H6573" t="s">
        <v>1887</v>
      </c>
      <c r="I6573" t="s">
        <v>23</v>
      </c>
      <c r="J6573" t="s">
        <v>40</v>
      </c>
      <c r="K6573" s="2" t="s">
        <v>1152</v>
      </c>
      <c r="L6573" t="s">
        <v>26</v>
      </c>
      <c r="M6573">
        <v>353446</v>
      </c>
      <c r="N6573">
        <v>1</v>
      </c>
      <c r="O6573" s="3">
        <v>69950</v>
      </c>
      <c r="P6573" s="3">
        <v>22018</v>
      </c>
      <c r="Q6573" s="5">
        <f t="shared" si="306"/>
        <v>58781.512605042022</v>
      </c>
      <c r="R6573" s="5">
        <f t="shared" si="307"/>
        <v>22018</v>
      </c>
      <c r="S6573" s="5">
        <f t="shared" si="308"/>
        <v>36763.512605042022</v>
      </c>
    </row>
    <row r="6574" spans="1:19" hidden="1" x14ac:dyDescent="0.3">
      <c r="A6574">
        <v>210</v>
      </c>
      <c r="B6574" t="s">
        <v>6520</v>
      </c>
      <c r="C6574" t="s">
        <v>5269</v>
      </c>
      <c r="D6574" s="2" t="s">
        <v>5270</v>
      </c>
      <c r="E6574" t="s">
        <v>2632</v>
      </c>
      <c r="F6574" t="s">
        <v>20</v>
      </c>
      <c r="G6574" t="s">
        <v>21</v>
      </c>
      <c r="H6574" t="s">
        <v>2469</v>
      </c>
      <c r="I6574" t="s">
        <v>23</v>
      </c>
      <c r="J6574" t="s">
        <v>49</v>
      </c>
      <c r="K6574" s="2" t="s">
        <v>1309</v>
      </c>
      <c r="L6574" t="s">
        <v>26</v>
      </c>
      <c r="M6574">
        <v>353447</v>
      </c>
      <c r="N6574">
        <v>1</v>
      </c>
      <c r="O6574" s="3">
        <v>64950</v>
      </c>
      <c r="P6574" s="3">
        <v>21390</v>
      </c>
      <c r="Q6574" s="5">
        <f t="shared" si="306"/>
        <v>54579.831932773115</v>
      </c>
      <c r="R6574" s="5">
        <f t="shared" si="307"/>
        <v>21390</v>
      </c>
      <c r="S6574" s="5">
        <f t="shared" si="308"/>
        <v>33189.831932773115</v>
      </c>
    </row>
    <row r="6575" spans="1:19" hidden="1" x14ac:dyDescent="0.3">
      <c r="A6575">
        <v>210</v>
      </c>
      <c r="B6575" t="s">
        <v>6520</v>
      </c>
      <c r="C6575" t="s">
        <v>6604</v>
      </c>
      <c r="D6575" s="2" t="s">
        <v>6605</v>
      </c>
      <c r="E6575" t="s">
        <v>2598</v>
      </c>
      <c r="F6575" t="s">
        <v>20</v>
      </c>
      <c r="G6575" t="s">
        <v>21</v>
      </c>
      <c r="H6575" t="s">
        <v>247</v>
      </c>
      <c r="I6575" t="s">
        <v>23</v>
      </c>
      <c r="J6575" t="s">
        <v>40</v>
      </c>
      <c r="K6575" s="2" t="s">
        <v>1309</v>
      </c>
      <c r="L6575" t="s">
        <v>26</v>
      </c>
      <c r="M6575">
        <v>353448</v>
      </c>
      <c r="N6575">
        <v>-1</v>
      </c>
      <c r="O6575" s="3">
        <v>-34990</v>
      </c>
      <c r="P6575" s="3">
        <v>18016</v>
      </c>
      <c r="Q6575" s="5">
        <f t="shared" si="306"/>
        <v>-29403.361344537818</v>
      </c>
      <c r="R6575" s="5">
        <f t="shared" si="307"/>
        <v>-18016</v>
      </c>
      <c r="S6575" s="5">
        <f t="shared" si="308"/>
        <v>-11387.361344537818</v>
      </c>
    </row>
    <row r="6576" spans="1:19" hidden="1" x14ac:dyDescent="0.3">
      <c r="A6576">
        <v>210</v>
      </c>
      <c r="B6576" t="s">
        <v>6520</v>
      </c>
      <c r="C6576" t="s">
        <v>4772</v>
      </c>
      <c r="D6576" s="2" t="s">
        <v>4773</v>
      </c>
      <c r="E6576" t="s">
        <v>2601</v>
      </c>
      <c r="F6576" t="s">
        <v>20</v>
      </c>
      <c r="G6576" t="s">
        <v>21</v>
      </c>
      <c r="H6576" t="s">
        <v>783</v>
      </c>
      <c r="I6576" t="s">
        <v>23</v>
      </c>
      <c r="J6576" t="s">
        <v>40</v>
      </c>
      <c r="K6576" s="2" t="s">
        <v>1309</v>
      </c>
      <c r="L6576" t="s">
        <v>26</v>
      </c>
      <c r="M6576">
        <v>353448</v>
      </c>
      <c r="N6576">
        <v>1</v>
      </c>
      <c r="O6576" s="3">
        <v>54950</v>
      </c>
      <c r="P6576" s="3">
        <v>19451</v>
      </c>
      <c r="Q6576" s="5">
        <f t="shared" si="306"/>
        <v>46176.470588235294</v>
      </c>
      <c r="R6576" s="5">
        <f t="shared" si="307"/>
        <v>19451</v>
      </c>
      <c r="S6576" s="5">
        <f t="shared" si="308"/>
        <v>26725.470588235294</v>
      </c>
    </row>
    <row r="6577" spans="1:19" hidden="1" x14ac:dyDescent="0.3">
      <c r="A6577">
        <v>210</v>
      </c>
      <c r="B6577" t="s">
        <v>6520</v>
      </c>
      <c r="C6577" t="s">
        <v>4189</v>
      </c>
      <c r="D6577" s="2" t="s">
        <v>4190</v>
      </c>
      <c r="E6577" t="s">
        <v>3472</v>
      </c>
      <c r="F6577" t="s">
        <v>20</v>
      </c>
      <c r="G6577" t="s">
        <v>338</v>
      </c>
      <c r="H6577">
        <v>25336</v>
      </c>
      <c r="I6577" t="s">
        <v>23</v>
      </c>
      <c r="J6577" t="s">
        <v>35</v>
      </c>
      <c r="K6577" s="2" t="s">
        <v>1309</v>
      </c>
      <c r="L6577" t="s">
        <v>26</v>
      </c>
      <c r="M6577">
        <v>353449</v>
      </c>
      <c r="N6577">
        <v>1</v>
      </c>
      <c r="O6577" s="3">
        <v>99950</v>
      </c>
      <c r="P6577" s="3">
        <v>31886</v>
      </c>
      <c r="Q6577" s="5">
        <f t="shared" si="306"/>
        <v>83991.596638655465</v>
      </c>
      <c r="R6577" s="5">
        <f t="shared" si="307"/>
        <v>31886</v>
      </c>
      <c r="S6577" s="5">
        <f t="shared" si="308"/>
        <v>52105.596638655465</v>
      </c>
    </row>
    <row r="6578" spans="1:19" hidden="1" x14ac:dyDescent="0.3">
      <c r="A6578">
        <v>210</v>
      </c>
      <c r="B6578" t="s">
        <v>6520</v>
      </c>
      <c r="C6578" t="s">
        <v>5423</v>
      </c>
      <c r="D6578" s="2" t="s">
        <v>5424</v>
      </c>
      <c r="E6578" t="s">
        <v>4577</v>
      </c>
      <c r="F6578" t="s">
        <v>20</v>
      </c>
      <c r="G6578" t="s">
        <v>338</v>
      </c>
      <c r="H6578">
        <v>23724</v>
      </c>
      <c r="I6578" t="s">
        <v>23</v>
      </c>
      <c r="J6578" t="s">
        <v>40</v>
      </c>
      <c r="K6578" s="2" t="s">
        <v>1309</v>
      </c>
      <c r="L6578" t="s">
        <v>26</v>
      </c>
      <c r="M6578">
        <v>353450</v>
      </c>
      <c r="N6578">
        <v>1</v>
      </c>
      <c r="O6578" s="3">
        <v>79950</v>
      </c>
      <c r="P6578" s="3">
        <v>26332</v>
      </c>
      <c r="Q6578" s="5">
        <f t="shared" si="306"/>
        <v>67184.873949579836</v>
      </c>
      <c r="R6578" s="5">
        <f t="shared" si="307"/>
        <v>26332</v>
      </c>
      <c r="S6578" s="5">
        <f t="shared" si="308"/>
        <v>40852.873949579836</v>
      </c>
    </row>
    <row r="6579" spans="1:19" hidden="1" x14ac:dyDescent="0.3">
      <c r="A6579">
        <v>210</v>
      </c>
      <c r="B6579" t="s">
        <v>6520</v>
      </c>
      <c r="C6579" t="s">
        <v>4650</v>
      </c>
      <c r="D6579" s="2" t="s">
        <v>4651</v>
      </c>
      <c r="E6579" t="s">
        <v>3406</v>
      </c>
      <c r="F6579" t="s">
        <v>20</v>
      </c>
      <c r="G6579" t="s">
        <v>338</v>
      </c>
      <c r="H6579">
        <v>26825</v>
      </c>
      <c r="I6579" t="s">
        <v>23</v>
      </c>
      <c r="J6579" t="s">
        <v>35</v>
      </c>
      <c r="K6579" s="2" t="s">
        <v>1309</v>
      </c>
      <c r="L6579" t="s">
        <v>26</v>
      </c>
      <c r="M6579">
        <v>353451</v>
      </c>
      <c r="N6579">
        <v>1</v>
      </c>
      <c r="O6579" s="3">
        <v>79950</v>
      </c>
      <c r="P6579" s="3">
        <v>23119</v>
      </c>
      <c r="Q6579" s="5">
        <f t="shared" si="306"/>
        <v>67184.873949579836</v>
      </c>
      <c r="R6579" s="5">
        <f t="shared" si="307"/>
        <v>23119</v>
      </c>
      <c r="S6579" s="5">
        <f t="shared" si="308"/>
        <v>44065.873949579836</v>
      </c>
    </row>
    <row r="6580" spans="1:19" hidden="1" x14ac:dyDescent="0.3">
      <c r="A6580">
        <v>210</v>
      </c>
      <c r="B6580" t="s">
        <v>6520</v>
      </c>
      <c r="C6580" t="s">
        <v>2639</v>
      </c>
      <c r="D6580" s="2" t="s">
        <v>2640</v>
      </c>
      <c r="E6580" t="s">
        <v>2641</v>
      </c>
      <c r="F6580" t="s">
        <v>20</v>
      </c>
      <c r="G6580" t="s">
        <v>21</v>
      </c>
      <c r="H6580" t="s">
        <v>30</v>
      </c>
      <c r="I6580" t="s">
        <v>23</v>
      </c>
      <c r="J6580" t="s">
        <v>49</v>
      </c>
      <c r="K6580" s="2" t="s">
        <v>1309</v>
      </c>
      <c r="L6580" t="s">
        <v>26</v>
      </c>
      <c r="M6580">
        <v>353452</v>
      </c>
      <c r="N6580">
        <v>1</v>
      </c>
      <c r="O6580" s="3">
        <v>69950</v>
      </c>
      <c r="P6580" s="3">
        <v>26131</v>
      </c>
      <c r="Q6580" s="5">
        <f t="shared" si="306"/>
        <v>58781.512605042022</v>
      </c>
      <c r="R6580" s="5">
        <f t="shared" si="307"/>
        <v>26131</v>
      </c>
      <c r="S6580" s="5">
        <f t="shared" si="308"/>
        <v>32650.512605042022</v>
      </c>
    </row>
    <row r="6581" spans="1:19" hidden="1" x14ac:dyDescent="0.3">
      <c r="A6581">
        <v>210</v>
      </c>
      <c r="B6581" t="s">
        <v>6520</v>
      </c>
      <c r="C6581" t="s">
        <v>3146</v>
      </c>
      <c r="D6581" s="2" t="s">
        <v>3147</v>
      </c>
      <c r="E6581" t="s">
        <v>3148</v>
      </c>
      <c r="F6581" t="s">
        <v>20</v>
      </c>
      <c r="G6581" t="s">
        <v>338</v>
      </c>
      <c r="H6581">
        <v>23313</v>
      </c>
      <c r="I6581" t="s">
        <v>23</v>
      </c>
      <c r="J6581" t="s">
        <v>40</v>
      </c>
      <c r="K6581" s="2" t="s">
        <v>1365</v>
      </c>
      <c r="L6581" t="s">
        <v>26</v>
      </c>
      <c r="M6581">
        <v>353453</v>
      </c>
      <c r="N6581">
        <v>1</v>
      </c>
      <c r="O6581" s="3">
        <v>49990</v>
      </c>
      <c r="P6581" s="3">
        <v>23476</v>
      </c>
      <c r="Q6581" s="5">
        <f t="shared" si="306"/>
        <v>42008.403361344543</v>
      </c>
      <c r="R6581" s="5">
        <f t="shared" si="307"/>
        <v>23476</v>
      </c>
      <c r="S6581" s="5">
        <f t="shared" si="308"/>
        <v>18532.403361344543</v>
      </c>
    </row>
    <row r="6582" spans="1:19" hidden="1" x14ac:dyDescent="0.3">
      <c r="A6582">
        <v>210</v>
      </c>
      <c r="B6582" t="s">
        <v>6520</v>
      </c>
      <c r="C6582" t="s">
        <v>4974</v>
      </c>
      <c r="D6582" s="2" t="s">
        <v>4975</v>
      </c>
      <c r="E6582" t="s">
        <v>4976</v>
      </c>
      <c r="F6582" t="s">
        <v>20</v>
      </c>
      <c r="G6582" t="s">
        <v>338</v>
      </c>
      <c r="H6582">
        <v>23313</v>
      </c>
      <c r="I6582" t="s">
        <v>23</v>
      </c>
      <c r="J6582" t="s">
        <v>40</v>
      </c>
      <c r="K6582" s="2" t="s">
        <v>1365</v>
      </c>
      <c r="L6582" t="s">
        <v>26</v>
      </c>
      <c r="M6582">
        <v>353454</v>
      </c>
      <c r="N6582">
        <v>1</v>
      </c>
      <c r="O6582" s="3">
        <v>49990</v>
      </c>
      <c r="P6582" s="3">
        <v>23745</v>
      </c>
      <c r="Q6582" s="5">
        <f t="shared" si="306"/>
        <v>42008.403361344543</v>
      </c>
      <c r="R6582" s="5">
        <f t="shared" si="307"/>
        <v>23745</v>
      </c>
      <c r="S6582" s="5">
        <f t="shared" si="308"/>
        <v>18263.403361344543</v>
      </c>
    </row>
    <row r="6583" spans="1:19" hidden="1" x14ac:dyDescent="0.3">
      <c r="A6583">
        <v>210</v>
      </c>
      <c r="B6583" t="s">
        <v>6520</v>
      </c>
      <c r="C6583" t="s">
        <v>6376</v>
      </c>
      <c r="D6583" s="2" t="s">
        <v>6377</v>
      </c>
      <c r="E6583" t="s">
        <v>2281</v>
      </c>
      <c r="F6583" t="s">
        <v>20</v>
      </c>
      <c r="G6583" t="s">
        <v>21</v>
      </c>
      <c r="H6583" t="s">
        <v>247</v>
      </c>
      <c r="I6583" t="s">
        <v>23</v>
      </c>
      <c r="J6583" t="s">
        <v>40</v>
      </c>
      <c r="K6583" s="2" t="s">
        <v>1365</v>
      </c>
      <c r="L6583" t="s">
        <v>26</v>
      </c>
      <c r="M6583">
        <v>353455</v>
      </c>
      <c r="N6583">
        <v>1</v>
      </c>
      <c r="O6583" s="3">
        <v>34990</v>
      </c>
      <c r="P6583" s="3">
        <v>18016</v>
      </c>
      <c r="Q6583" s="5">
        <f t="shared" si="306"/>
        <v>29403.361344537818</v>
      </c>
      <c r="R6583" s="5">
        <f t="shared" si="307"/>
        <v>18016</v>
      </c>
      <c r="S6583" s="5">
        <f t="shared" si="308"/>
        <v>11387.361344537818</v>
      </c>
    </row>
    <row r="6584" spans="1:19" hidden="1" x14ac:dyDescent="0.3">
      <c r="A6584">
        <v>210</v>
      </c>
      <c r="B6584" t="s">
        <v>6520</v>
      </c>
      <c r="C6584" t="s">
        <v>5499</v>
      </c>
      <c r="D6584" s="2" t="s">
        <v>5500</v>
      </c>
      <c r="E6584" t="s">
        <v>3175</v>
      </c>
      <c r="F6584" t="s">
        <v>20</v>
      </c>
      <c r="G6584" t="s">
        <v>21</v>
      </c>
      <c r="H6584" t="s">
        <v>625</v>
      </c>
      <c r="I6584" t="s">
        <v>23</v>
      </c>
      <c r="J6584" t="s">
        <v>35</v>
      </c>
      <c r="K6584" s="2" t="s">
        <v>1365</v>
      </c>
      <c r="L6584" t="s">
        <v>26</v>
      </c>
      <c r="M6584">
        <v>353456</v>
      </c>
      <c r="N6584">
        <v>1</v>
      </c>
      <c r="O6584" s="3">
        <v>69951</v>
      </c>
      <c r="P6584" s="3">
        <v>24956</v>
      </c>
      <c r="Q6584" s="5">
        <f t="shared" si="306"/>
        <v>58782.352941176476</v>
      </c>
      <c r="R6584" s="5">
        <f t="shared" si="307"/>
        <v>24956</v>
      </c>
      <c r="S6584" s="5">
        <f t="shared" si="308"/>
        <v>33826.352941176476</v>
      </c>
    </row>
    <row r="6585" spans="1:19" hidden="1" x14ac:dyDescent="0.3">
      <c r="A6585">
        <v>210</v>
      </c>
      <c r="B6585" t="s">
        <v>6520</v>
      </c>
      <c r="C6585" t="s">
        <v>3466</v>
      </c>
      <c r="D6585" s="2" t="s">
        <v>3467</v>
      </c>
      <c r="E6585" t="s">
        <v>316</v>
      </c>
      <c r="F6585" t="s">
        <v>20</v>
      </c>
      <c r="G6585" t="s">
        <v>21</v>
      </c>
      <c r="H6585" t="s">
        <v>317</v>
      </c>
      <c r="I6585" t="s">
        <v>23</v>
      </c>
      <c r="J6585" t="s">
        <v>35</v>
      </c>
      <c r="K6585" s="2" t="s">
        <v>1365</v>
      </c>
      <c r="L6585" t="s">
        <v>26</v>
      </c>
      <c r="M6585">
        <v>353456</v>
      </c>
      <c r="N6585">
        <v>-1</v>
      </c>
      <c r="O6585" s="3">
        <v>-69950</v>
      </c>
      <c r="P6585" s="3">
        <v>24552</v>
      </c>
      <c r="Q6585" s="5">
        <f t="shared" si="306"/>
        <v>-58781.512605042022</v>
      </c>
      <c r="R6585" s="5">
        <f t="shared" si="307"/>
        <v>-24552</v>
      </c>
      <c r="S6585" s="5">
        <f t="shared" si="308"/>
        <v>-34229.512605042022</v>
      </c>
    </row>
    <row r="6586" spans="1:19" hidden="1" x14ac:dyDescent="0.3">
      <c r="A6586">
        <v>210</v>
      </c>
      <c r="B6586" t="s">
        <v>6520</v>
      </c>
      <c r="C6586" t="s">
        <v>4247</v>
      </c>
      <c r="D6586" s="2" t="s">
        <v>4248</v>
      </c>
      <c r="E6586" t="s">
        <v>4109</v>
      </c>
      <c r="F6586" t="s">
        <v>20</v>
      </c>
      <c r="G6586" t="s">
        <v>21</v>
      </c>
      <c r="H6586" t="s">
        <v>818</v>
      </c>
      <c r="I6586" t="s">
        <v>23</v>
      </c>
      <c r="J6586" t="s">
        <v>35</v>
      </c>
      <c r="K6586" s="2" t="s">
        <v>1365</v>
      </c>
      <c r="L6586" t="s">
        <v>26</v>
      </c>
      <c r="M6586">
        <v>353457</v>
      </c>
      <c r="N6586">
        <v>1</v>
      </c>
      <c r="O6586" s="3">
        <v>89950</v>
      </c>
      <c r="P6586" s="3">
        <v>33052</v>
      </c>
      <c r="Q6586" s="5">
        <f t="shared" si="306"/>
        <v>75588.23529411765</v>
      </c>
      <c r="R6586" s="5">
        <f t="shared" si="307"/>
        <v>33052</v>
      </c>
      <c r="S6586" s="5">
        <f t="shared" si="308"/>
        <v>42536.23529411765</v>
      </c>
    </row>
    <row r="6587" spans="1:19" hidden="1" x14ac:dyDescent="0.3">
      <c r="A6587">
        <v>210</v>
      </c>
      <c r="B6587" t="s">
        <v>6520</v>
      </c>
      <c r="C6587" t="s">
        <v>2575</v>
      </c>
      <c r="D6587" s="2" t="s">
        <v>2576</v>
      </c>
      <c r="E6587" t="s">
        <v>2577</v>
      </c>
      <c r="F6587" t="s">
        <v>377</v>
      </c>
      <c r="G6587" t="s">
        <v>21</v>
      </c>
      <c r="H6587" t="s">
        <v>378</v>
      </c>
      <c r="I6587" t="s">
        <v>23</v>
      </c>
      <c r="J6587" t="s">
        <v>379</v>
      </c>
      <c r="K6587" s="2" t="s">
        <v>1365</v>
      </c>
      <c r="L6587" t="s">
        <v>26</v>
      </c>
      <c r="M6587">
        <v>353458</v>
      </c>
      <c r="N6587">
        <v>1</v>
      </c>
      <c r="O6587" s="3">
        <v>5950</v>
      </c>
      <c r="P6587" s="3">
        <v>3307</v>
      </c>
      <c r="Q6587" s="5">
        <f t="shared" si="306"/>
        <v>5000</v>
      </c>
      <c r="R6587" s="5">
        <f t="shared" si="307"/>
        <v>3307</v>
      </c>
      <c r="S6587" s="5">
        <f t="shared" si="308"/>
        <v>1693</v>
      </c>
    </row>
    <row r="6588" spans="1:19" hidden="1" x14ac:dyDescent="0.3">
      <c r="A6588">
        <v>210</v>
      </c>
      <c r="B6588" t="s">
        <v>6520</v>
      </c>
      <c r="C6588" t="s">
        <v>6445</v>
      </c>
      <c r="D6588" s="2" t="s">
        <v>6446</v>
      </c>
      <c r="E6588" t="s">
        <v>3449</v>
      </c>
      <c r="F6588" t="s">
        <v>20</v>
      </c>
      <c r="G6588" t="s">
        <v>338</v>
      </c>
      <c r="H6588">
        <v>25366</v>
      </c>
      <c r="I6588" t="s">
        <v>23</v>
      </c>
      <c r="J6588" t="s">
        <v>35</v>
      </c>
      <c r="K6588" s="2" t="s">
        <v>1365</v>
      </c>
      <c r="L6588" t="s">
        <v>26</v>
      </c>
      <c r="M6588">
        <v>353459</v>
      </c>
      <c r="N6588">
        <v>1</v>
      </c>
      <c r="O6588" s="3">
        <v>99950</v>
      </c>
      <c r="P6588" s="3">
        <v>33157</v>
      </c>
      <c r="Q6588" s="5">
        <f t="shared" si="306"/>
        <v>83991.596638655465</v>
      </c>
      <c r="R6588" s="5">
        <f t="shared" si="307"/>
        <v>33157</v>
      </c>
      <c r="S6588" s="5">
        <f t="shared" si="308"/>
        <v>50834.596638655465</v>
      </c>
    </row>
    <row r="6589" spans="1:19" hidden="1" x14ac:dyDescent="0.3">
      <c r="A6589">
        <v>210</v>
      </c>
      <c r="B6589" t="s">
        <v>6520</v>
      </c>
      <c r="C6589" t="s">
        <v>3519</v>
      </c>
      <c r="D6589" s="2" t="s">
        <v>3520</v>
      </c>
      <c r="E6589" t="s">
        <v>2653</v>
      </c>
      <c r="F6589" t="s">
        <v>20</v>
      </c>
      <c r="G6589" t="s">
        <v>21</v>
      </c>
      <c r="H6589" t="s">
        <v>2315</v>
      </c>
      <c r="I6589" t="s">
        <v>23</v>
      </c>
      <c r="J6589" t="s">
        <v>35</v>
      </c>
      <c r="K6589" s="2" t="s">
        <v>1365</v>
      </c>
      <c r="L6589" t="s">
        <v>26</v>
      </c>
      <c r="M6589">
        <v>353460</v>
      </c>
      <c r="N6589">
        <v>1</v>
      </c>
      <c r="O6589" s="3">
        <v>89950</v>
      </c>
      <c r="P6589" s="3">
        <v>30749</v>
      </c>
      <c r="Q6589" s="5">
        <f t="shared" si="306"/>
        <v>75588.23529411765</v>
      </c>
      <c r="R6589" s="5">
        <f t="shared" si="307"/>
        <v>30749</v>
      </c>
      <c r="S6589" s="5">
        <f t="shared" si="308"/>
        <v>44839.23529411765</v>
      </c>
    </row>
    <row r="6590" spans="1:19" hidden="1" x14ac:dyDescent="0.3">
      <c r="A6590">
        <v>210</v>
      </c>
      <c r="B6590" t="s">
        <v>6520</v>
      </c>
      <c r="C6590" t="s">
        <v>3375</v>
      </c>
      <c r="D6590" s="2" t="s">
        <v>3376</v>
      </c>
      <c r="E6590" t="s">
        <v>3377</v>
      </c>
      <c r="F6590" t="s">
        <v>377</v>
      </c>
      <c r="G6590" t="s">
        <v>21</v>
      </c>
      <c r="H6590" t="s">
        <v>378</v>
      </c>
      <c r="I6590" t="s">
        <v>23</v>
      </c>
      <c r="J6590" t="s">
        <v>379</v>
      </c>
      <c r="K6590" s="2" t="s">
        <v>1365</v>
      </c>
      <c r="L6590" t="s">
        <v>26</v>
      </c>
      <c r="M6590">
        <v>353461</v>
      </c>
      <c r="N6590">
        <v>1</v>
      </c>
      <c r="O6590" s="3">
        <v>3950</v>
      </c>
      <c r="P6590" s="3">
        <v>1410</v>
      </c>
      <c r="Q6590" s="5">
        <f t="shared" si="306"/>
        <v>3319.3277310924373</v>
      </c>
      <c r="R6590" s="5">
        <f t="shared" si="307"/>
        <v>1410</v>
      </c>
      <c r="S6590" s="5">
        <f t="shared" si="308"/>
        <v>1909.3277310924373</v>
      </c>
    </row>
    <row r="6591" spans="1:19" hidden="1" x14ac:dyDescent="0.3">
      <c r="A6591">
        <v>210</v>
      </c>
      <c r="B6591" t="s">
        <v>6520</v>
      </c>
      <c r="C6591" t="s">
        <v>6606</v>
      </c>
      <c r="D6591" s="2" t="s">
        <v>6607</v>
      </c>
      <c r="E6591" t="s">
        <v>2462</v>
      </c>
      <c r="F6591" t="s">
        <v>20</v>
      </c>
      <c r="G6591" t="s">
        <v>21</v>
      </c>
      <c r="H6591" t="s">
        <v>65</v>
      </c>
      <c r="I6591" t="s">
        <v>23</v>
      </c>
      <c r="J6591" t="s">
        <v>49</v>
      </c>
      <c r="K6591" s="2" t="s">
        <v>1365</v>
      </c>
      <c r="L6591" t="s">
        <v>26</v>
      </c>
      <c r="M6591">
        <v>353462</v>
      </c>
      <c r="N6591">
        <v>1</v>
      </c>
      <c r="O6591" s="3">
        <v>64950</v>
      </c>
      <c r="P6591" s="3">
        <v>19385</v>
      </c>
      <c r="Q6591" s="5">
        <f t="shared" si="306"/>
        <v>54579.831932773115</v>
      </c>
      <c r="R6591" s="5">
        <f t="shared" si="307"/>
        <v>19385</v>
      </c>
      <c r="S6591" s="5">
        <f t="shared" si="308"/>
        <v>35194.831932773115</v>
      </c>
    </row>
    <row r="6592" spans="1:19" hidden="1" x14ac:dyDescent="0.3">
      <c r="A6592">
        <v>210</v>
      </c>
      <c r="B6592" t="s">
        <v>6520</v>
      </c>
      <c r="C6592" t="s">
        <v>3802</v>
      </c>
      <c r="D6592" s="2" t="s">
        <v>3803</v>
      </c>
      <c r="E6592" t="s">
        <v>3804</v>
      </c>
      <c r="F6592" t="s">
        <v>20</v>
      </c>
      <c r="G6592" t="s">
        <v>338</v>
      </c>
      <c r="H6592">
        <v>24200</v>
      </c>
      <c r="I6592" t="s">
        <v>23</v>
      </c>
      <c r="J6592" t="s">
        <v>95</v>
      </c>
      <c r="K6592" s="2" t="s">
        <v>1365</v>
      </c>
      <c r="L6592" t="s">
        <v>26</v>
      </c>
      <c r="M6592">
        <v>353463</v>
      </c>
      <c r="N6592">
        <v>1</v>
      </c>
      <c r="O6592" s="3">
        <v>84950</v>
      </c>
      <c r="P6592" s="3">
        <v>26145</v>
      </c>
      <c r="Q6592" s="5">
        <f t="shared" si="306"/>
        <v>71386.554621848743</v>
      </c>
      <c r="R6592" s="5">
        <f t="shared" si="307"/>
        <v>26145</v>
      </c>
      <c r="S6592" s="5">
        <f t="shared" si="308"/>
        <v>45241.554621848743</v>
      </c>
    </row>
    <row r="6593" spans="1:19" hidden="1" x14ac:dyDescent="0.3">
      <c r="A6593">
        <v>210</v>
      </c>
      <c r="B6593" t="s">
        <v>6520</v>
      </c>
      <c r="C6593" t="s">
        <v>1756</v>
      </c>
      <c r="D6593" s="2" t="s">
        <v>1757</v>
      </c>
      <c r="E6593" t="s">
        <v>1758</v>
      </c>
      <c r="F6593" t="s">
        <v>20</v>
      </c>
      <c r="G6593" t="s">
        <v>338</v>
      </c>
      <c r="H6593">
        <v>25133</v>
      </c>
      <c r="I6593" t="s">
        <v>23</v>
      </c>
      <c r="J6593" t="s">
        <v>35</v>
      </c>
      <c r="K6593" s="2" t="s">
        <v>1365</v>
      </c>
      <c r="L6593" t="s">
        <v>26</v>
      </c>
      <c r="M6593">
        <v>353464</v>
      </c>
      <c r="N6593">
        <v>1</v>
      </c>
      <c r="O6593" s="3">
        <v>74950</v>
      </c>
      <c r="P6593" s="3">
        <v>21167</v>
      </c>
      <c r="Q6593" s="5">
        <f t="shared" si="306"/>
        <v>62983.193277310929</v>
      </c>
      <c r="R6593" s="5">
        <f t="shared" si="307"/>
        <v>21167</v>
      </c>
      <c r="S6593" s="5">
        <f t="shared" si="308"/>
        <v>41816.193277310929</v>
      </c>
    </row>
    <row r="6594" spans="1:19" hidden="1" x14ac:dyDescent="0.3">
      <c r="A6594">
        <v>210</v>
      </c>
      <c r="B6594" t="s">
        <v>6520</v>
      </c>
      <c r="C6594" t="s">
        <v>6575</v>
      </c>
      <c r="D6594" s="2" t="s">
        <v>6576</v>
      </c>
      <c r="E6594" t="s">
        <v>6577</v>
      </c>
      <c r="F6594" t="s">
        <v>20</v>
      </c>
      <c r="G6594" t="s">
        <v>338</v>
      </c>
      <c r="H6594">
        <v>23746</v>
      </c>
      <c r="I6594" t="s">
        <v>23</v>
      </c>
      <c r="J6594" t="s">
        <v>40</v>
      </c>
      <c r="K6594" s="2" t="s">
        <v>1450</v>
      </c>
      <c r="L6594" t="s">
        <v>2249</v>
      </c>
      <c r="M6594">
        <v>25398</v>
      </c>
      <c r="N6594">
        <v>-1</v>
      </c>
      <c r="O6594" s="3">
        <v>-79950</v>
      </c>
      <c r="P6594" s="3">
        <v>27470</v>
      </c>
      <c r="Q6594" s="5">
        <f t="shared" si="306"/>
        <v>-67184.873949579836</v>
      </c>
      <c r="R6594" s="5">
        <f t="shared" si="307"/>
        <v>-27470</v>
      </c>
      <c r="S6594" s="5">
        <f t="shared" si="308"/>
        <v>-39714.873949579836</v>
      </c>
    </row>
    <row r="6595" spans="1:19" hidden="1" x14ac:dyDescent="0.3">
      <c r="A6595">
        <v>210</v>
      </c>
      <c r="B6595" t="s">
        <v>6520</v>
      </c>
      <c r="C6595" t="s">
        <v>3645</v>
      </c>
      <c r="D6595" s="2" t="s">
        <v>3646</v>
      </c>
      <c r="E6595" t="s">
        <v>214</v>
      </c>
      <c r="F6595" t="s">
        <v>20</v>
      </c>
      <c r="G6595" t="s">
        <v>215</v>
      </c>
      <c r="H6595" t="s">
        <v>216</v>
      </c>
      <c r="I6595" t="s">
        <v>23</v>
      </c>
      <c r="J6595" t="s">
        <v>35</v>
      </c>
      <c r="K6595" s="2" t="s">
        <v>1450</v>
      </c>
      <c r="L6595" t="s">
        <v>26</v>
      </c>
      <c r="M6595">
        <v>353465</v>
      </c>
      <c r="N6595">
        <v>1</v>
      </c>
      <c r="O6595" s="3">
        <v>79991</v>
      </c>
      <c r="P6595" s="3">
        <v>47276</v>
      </c>
      <c r="Q6595" s="5">
        <f t="shared" si="306"/>
        <v>67219.327731092446</v>
      </c>
      <c r="R6595" s="5">
        <f t="shared" si="307"/>
        <v>47276</v>
      </c>
      <c r="S6595" s="5">
        <f t="shared" si="308"/>
        <v>19943.327731092446</v>
      </c>
    </row>
    <row r="6596" spans="1:19" hidden="1" x14ac:dyDescent="0.3">
      <c r="A6596">
        <v>210</v>
      </c>
      <c r="B6596" t="s">
        <v>6520</v>
      </c>
      <c r="C6596" t="s">
        <v>212</v>
      </c>
      <c r="D6596" s="2" t="s">
        <v>213</v>
      </c>
      <c r="E6596" t="s">
        <v>214</v>
      </c>
      <c r="F6596" t="s">
        <v>20</v>
      </c>
      <c r="G6596" t="s">
        <v>215</v>
      </c>
      <c r="H6596" t="s">
        <v>216</v>
      </c>
      <c r="I6596" t="s">
        <v>23</v>
      </c>
      <c r="J6596" t="s">
        <v>35</v>
      </c>
      <c r="K6596" s="2" t="s">
        <v>1450</v>
      </c>
      <c r="L6596" t="s">
        <v>26</v>
      </c>
      <c r="M6596">
        <v>353465</v>
      </c>
      <c r="N6596">
        <v>-1</v>
      </c>
      <c r="O6596" s="3">
        <v>-79990</v>
      </c>
      <c r="P6596" s="3">
        <v>47276</v>
      </c>
      <c r="Q6596" s="5">
        <f t="shared" si="306"/>
        <v>-67218.487394957992</v>
      </c>
      <c r="R6596" s="5">
        <f t="shared" si="307"/>
        <v>-47276</v>
      </c>
      <c r="S6596" s="5">
        <f t="shared" si="308"/>
        <v>-19942.487394957992</v>
      </c>
    </row>
    <row r="6597" spans="1:19" hidden="1" x14ac:dyDescent="0.3">
      <c r="A6597">
        <v>210</v>
      </c>
      <c r="B6597" t="s">
        <v>6520</v>
      </c>
      <c r="C6597" t="s">
        <v>3401</v>
      </c>
      <c r="D6597" s="2" t="s">
        <v>3402</v>
      </c>
      <c r="E6597" t="s">
        <v>3403</v>
      </c>
      <c r="F6597" t="s">
        <v>377</v>
      </c>
      <c r="G6597" t="s">
        <v>21</v>
      </c>
      <c r="H6597" t="s">
        <v>378</v>
      </c>
      <c r="I6597" t="s">
        <v>23</v>
      </c>
      <c r="J6597" t="s">
        <v>3297</v>
      </c>
      <c r="K6597" s="2" t="s">
        <v>1450</v>
      </c>
      <c r="L6597" t="s">
        <v>26</v>
      </c>
      <c r="M6597">
        <v>353466</v>
      </c>
      <c r="N6597">
        <v>1</v>
      </c>
      <c r="O6597">
        <v>500</v>
      </c>
      <c r="P6597">
        <v>418</v>
      </c>
      <c r="Q6597" s="5">
        <f t="shared" si="306"/>
        <v>420.1680672268908</v>
      </c>
      <c r="R6597" s="5">
        <f t="shared" si="307"/>
        <v>418</v>
      </c>
      <c r="S6597" s="5">
        <f t="shared" si="308"/>
        <v>2.1680672268907983</v>
      </c>
    </row>
    <row r="6598" spans="1:19" hidden="1" x14ac:dyDescent="0.3">
      <c r="A6598">
        <v>210</v>
      </c>
      <c r="B6598" t="s">
        <v>6520</v>
      </c>
      <c r="C6598" t="s">
        <v>2946</v>
      </c>
      <c r="D6598" s="2" t="s">
        <v>2947</v>
      </c>
      <c r="E6598" t="s">
        <v>1123</v>
      </c>
      <c r="F6598" t="s">
        <v>20</v>
      </c>
      <c r="G6598" t="s">
        <v>21</v>
      </c>
      <c r="H6598" t="s">
        <v>1124</v>
      </c>
      <c r="I6598" t="s">
        <v>23</v>
      </c>
      <c r="J6598" t="s">
        <v>24</v>
      </c>
      <c r="K6598" s="2" t="s">
        <v>1450</v>
      </c>
      <c r="L6598" t="s">
        <v>26</v>
      </c>
      <c r="M6598">
        <v>353467</v>
      </c>
      <c r="N6598">
        <v>1</v>
      </c>
      <c r="O6598" s="3">
        <v>74950</v>
      </c>
      <c r="P6598" s="3">
        <v>25857</v>
      </c>
      <c r="Q6598" s="5">
        <f t="shared" ref="Q6598:Q6661" si="309">O6598/1.19</f>
        <v>62983.193277310929</v>
      </c>
      <c r="R6598" s="5">
        <f t="shared" ref="R6598:R6661" si="310">N6598*P6598</f>
        <v>25857</v>
      </c>
      <c r="S6598" s="5">
        <f t="shared" ref="S6598:S6661" si="311">Q6598-R6598</f>
        <v>37126.193277310929</v>
      </c>
    </row>
    <row r="6599" spans="1:19" hidden="1" x14ac:dyDescent="0.3">
      <c r="A6599">
        <v>210</v>
      </c>
      <c r="B6599" t="s">
        <v>6520</v>
      </c>
      <c r="C6599" t="s">
        <v>2639</v>
      </c>
      <c r="D6599" s="2" t="s">
        <v>2640</v>
      </c>
      <c r="E6599" t="s">
        <v>2641</v>
      </c>
      <c r="F6599" t="s">
        <v>20</v>
      </c>
      <c r="G6599" t="s">
        <v>21</v>
      </c>
      <c r="H6599" t="s">
        <v>30</v>
      </c>
      <c r="I6599" t="s">
        <v>23</v>
      </c>
      <c r="J6599" t="s">
        <v>49</v>
      </c>
      <c r="K6599" s="2" t="s">
        <v>1450</v>
      </c>
      <c r="L6599" t="s">
        <v>26</v>
      </c>
      <c r="M6599">
        <v>353468</v>
      </c>
      <c r="N6599">
        <v>-1</v>
      </c>
      <c r="O6599" s="3">
        <v>-69950</v>
      </c>
      <c r="P6599" s="3">
        <v>26131</v>
      </c>
      <c r="Q6599" s="5">
        <f t="shared" si="309"/>
        <v>-58781.512605042022</v>
      </c>
      <c r="R6599" s="5">
        <f t="shared" si="310"/>
        <v>-26131</v>
      </c>
      <c r="S6599" s="5">
        <f t="shared" si="311"/>
        <v>-32650.512605042022</v>
      </c>
    </row>
    <row r="6600" spans="1:19" hidden="1" x14ac:dyDescent="0.3">
      <c r="A6600">
        <v>210</v>
      </c>
      <c r="B6600" t="s">
        <v>6520</v>
      </c>
      <c r="C6600" t="s">
        <v>3664</v>
      </c>
      <c r="D6600" s="2" t="s">
        <v>3665</v>
      </c>
      <c r="E6600" t="s">
        <v>3666</v>
      </c>
      <c r="F6600" t="s">
        <v>20</v>
      </c>
      <c r="G6600" t="s">
        <v>338</v>
      </c>
      <c r="H6600">
        <v>24316</v>
      </c>
      <c r="I6600" t="s">
        <v>23</v>
      </c>
      <c r="J6600" t="s">
        <v>49</v>
      </c>
      <c r="K6600" s="2" t="s">
        <v>1450</v>
      </c>
      <c r="L6600" t="s">
        <v>26</v>
      </c>
      <c r="M6600">
        <v>353468</v>
      </c>
      <c r="N6600">
        <v>1</v>
      </c>
      <c r="O6600" s="3">
        <v>74950</v>
      </c>
      <c r="P6600" s="3">
        <v>23473</v>
      </c>
      <c r="Q6600" s="5">
        <f t="shared" si="309"/>
        <v>62983.193277310929</v>
      </c>
      <c r="R6600" s="5">
        <f t="shared" si="310"/>
        <v>23473</v>
      </c>
      <c r="S6600" s="5">
        <f t="shared" si="311"/>
        <v>39510.193277310929</v>
      </c>
    </row>
    <row r="6601" spans="1:19" hidden="1" x14ac:dyDescent="0.3">
      <c r="A6601">
        <v>210</v>
      </c>
      <c r="B6601" t="s">
        <v>6520</v>
      </c>
      <c r="C6601" t="s">
        <v>5686</v>
      </c>
      <c r="D6601" s="2" t="s">
        <v>5687</v>
      </c>
      <c r="E6601" t="s">
        <v>5688</v>
      </c>
      <c r="F6601" t="s">
        <v>20</v>
      </c>
      <c r="G6601" t="s">
        <v>338</v>
      </c>
      <c r="H6601">
        <v>23724</v>
      </c>
      <c r="I6601" t="s">
        <v>23</v>
      </c>
      <c r="J6601" t="s">
        <v>40</v>
      </c>
      <c r="K6601" s="2" t="s">
        <v>1450</v>
      </c>
      <c r="L6601" t="s">
        <v>26</v>
      </c>
      <c r="M6601">
        <v>353469</v>
      </c>
      <c r="N6601">
        <v>1</v>
      </c>
      <c r="O6601" s="3">
        <v>79950</v>
      </c>
      <c r="P6601" s="3">
        <v>26332</v>
      </c>
      <c r="Q6601" s="5">
        <f t="shared" si="309"/>
        <v>67184.873949579836</v>
      </c>
      <c r="R6601" s="5">
        <f t="shared" si="310"/>
        <v>26332</v>
      </c>
      <c r="S6601" s="5">
        <f t="shared" si="311"/>
        <v>40852.873949579836</v>
      </c>
    </row>
    <row r="6602" spans="1:19" hidden="1" x14ac:dyDescent="0.3">
      <c r="A6602">
        <v>210</v>
      </c>
      <c r="B6602" t="s">
        <v>6520</v>
      </c>
      <c r="C6602" t="s">
        <v>2625</v>
      </c>
      <c r="D6602" s="2" t="s">
        <v>2626</v>
      </c>
      <c r="E6602" t="s">
        <v>2539</v>
      </c>
      <c r="F6602" t="s">
        <v>20</v>
      </c>
      <c r="G6602" t="s">
        <v>21</v>
      </c>
      <c r="H6602" t="s">
        <v>966</v>
      </c>
      <c r="I6602" t="s">
        <v>23</v>
      </c>
      <c r="J6602" t="s">
        <v>35</v>
      </c>
      <c r="K6602" s="2" t="s">
        <v>1450</v>
      </c>
      <c r="L6602" t="s">
        <v>26</v>
      </c>
      <c r="M6602">
        <v>353470</v>
      </c>
      <c r="N6602">
        <v>1</v>
      </c>
      <c r="O6602" s="3">
        <v>74950</v>
      </c>
      <c r="P6602" s="3">
        <v>27026</v>
      </c>
      <c r="Q6602" s="5">
        <f t="shared" si="309"/>
        <v>62983.193277310929</v>
      </c>
      <c r="R6602" s="5">
        <f t="shared" si="310"/>
        <v>27026</v>
      </c>
      <c r="S6602" s="5">
        <f t="shared" si="311"/>
        <v>35957.193277310929</v>
      </c>
    </row>
    <row r="6603" spans="1:19" hidden="1" x14ac:dyDescent="0.3">
      <c r="A6603">
        <v>210</v>
      </c>
      <c r="B6603" t="s">
        <v>6520</v>
      </c>
      <c r="C6603" t="s">
        <v>6547</v>
      </c>
      <c r="D6603" s="2" t="s">
        <v>6548</v>
      </c>
      <c r="E6603" t="s">
        <v>2436</v>
      </c>
      <c r="F6603" t="s">
        <v>20</v>
      </c>
      <c r="G6603" t="s">
        <v>338</v>
      </c>
      <c r="H6603">
        <v>22318</v>
      </c>
      <c r="I6603" t="s">
        <v>23</v>
      </c>
      <c r="J6603" t="s">
        <v>49</v>
      </c>
      <c r="K6603" s="2" t="s">
        <v>1450</v>
      </c>
      <c r="L6603" t="s">
        <v>26</v>
      </c>
      <c r="M6603">
        <v>353471</v>
      </c>
      <c r="N6603">
        <v>-1</v>
      </c>
      <c r="O6603" s="3">
        <v>-74950</v>
      </c>
      <c r="P6603" s="3">
        <v>23473</v>
      </c>
      <c r="Q6603" s="5">
        <f t="shared" si="309"/>
        <v>-62983.193277310929</v>
      </c>
      <c r="R6603" s="5">
        <f t="shared" si="310"/>
        <v>-23473</v>
      </c>
      <c r="S6603" s="5">
        <f t="shared" si="311"/>
        <v>-39510.193277310929</v>
      </c>
    </row>
    <row r="6604" spans="1:19" hidden="1" x14ac:dyDescent="0.3">
      <c r="A6604">
        <v>210</v>
      </c>
      <c r="B6604" t="s">
        <v>6520</v>
      </c>
      <c r="C6604" t="s">
        <v>4512</v>
      </c>
      <c r="D6604" s="2" t="s">
        <v>4513</v>
      </c>
      <c r="E6604" t="s">
        <v>2208</v>
      </c>
      <c r="F6604" t="s">
        <v>20</v>
      </c>
      <c r="G6604" t="s">
        <v>338</v>
      </c>
      <c r="H6604">
        <v>25823</v>
      </c>
      <c r="I6604" t="s">
        <v>23</v>
      </c>
      <c r="J6604" t="s">
        <v>35</v>
      </c>
      <c r="K6604" s="2" t="s">
        <v>1450</v>
      </c>
      <c r="L6604" t="s">
        <v>26</v>
      </c>
      <c r="M6604">
        <v>353471</v>
      </c>
      <c r="N6604">
        <v>1</v>
      </c>
      <c r="O6604" s="3">
        <v>99950</v>
      </c>
      <c r="P6604" s="3">
        <v>33748</v>
      </c>
      <c r="Q6604" s="5">
        <f t="shared" si="309"/>
        <v>83991.596638655465</v>
      </c>
      <c r="R6604" s="5">
        <f t="shared" si="310"/>
        <v>33748</v>
      </c>
      <c r="S6604" s="5">
        <f t="shared" si="311"/>
        <v>50243.596638655465</v>
      </c>
    </row>
    <row r="6605" spans="1:19" hidden="1" x14ac:dyDescent="0.3">
      <c r="A6605">
        <v>210</v>
      </c>
      <c r="B6605" t="s">
        <v>6520</v>
      </c>
      <c r="C6605" t="s">
        <v>5867</v>
      </c>
      <c r="D6605" s="2" t="s">
        <v>5868</v>
      </c>
      <c r="E6605" t="s">
        <v>2252</v>
      </c>
      <c r="F6605" t="s">
        <v>20</v>
      </c>
      <c r="G6605" t="s">
        <v>21</v>
      </c>
      <c r="H6605" t="s">
        <v>970</v>
      </c>
      <c r="I6605" t="s">
        <v>23</v>
      </c>
      <c r="J6605" t="s">
        <v>40</v>
      </c>
      <c r="K6605" s="2" t="s">
        <v>1450</v>
      </c>
      <c r="L6605" t="s">
        <v>26</v>
      </c>
      <c r="M6605">
        <v>353472</v>
      </c>
      <c r="N6605">
        <v>1</v>
      </c>
      <c r="O6605" s="3">
        <v>59950</v>
      </c>
      <c r="P6605" s="3">
        <v>15928</v>
      </c>
      <c r="Q6605" s="5">
        <f t="shared" si="309"/>
        <v>50378.151260504201</v>
      </c>
      <c r="R6605" s="5">
        <f t="shared" si="310"/>
        <v>15928</v>
      </c>
      <c r="S6605" s="5">
        <f t="shared" si="311"/>
        <v>34450.151260504201</v>
      </c>
    </row>
    <row r="6606" spans="1:19" hidden="1" x14ac:dyDescent="0.3">
      <c r="A6606">
        <v>210</v>
      </c>
      <c r="B6606" t="s">
        <v>6520</v>
      </c>
      <c r="C6606" t="s">
        <v>6608</v>
      </c>
      <c r="D6606" s="2" t="s">
        <v>6609</v>
      </c>
      <c r="E6606" t="s">
        <v>2859</v>
      </c>
      <c r="F6606" t="s">
        <v>20</v>
      </c>
      <c r="G6606" t="s">
        <v>338</v>
      </c>
      <c r="H6606">
        <v>83717</v>
      </c>
      <c r="I6606" t="s">
        <v>23</v>
      </c>
      <c r="J6606" t="s">
        <v>40</v>
      </c>
      <c r="K6606" s="2" t="s">
        <v>1450</v>
      </c>
      <c r="L6606" t="s">
        <v>26</v>
      </c>
      <c r="M6606">
        <v>353473</v>
      </c>
      <c r="N6606">
        <v>1</v>
      </c>
      <c r="O6606" s="3">
        <v>89950</v>
      </c>
      <c r="P6606" s="3">
        <v>30263</v>
      </c>
      <c r="Q6606" s="5">
        <f t="shared" si="309"/>
        <v>75588.23529411765</v>
      </c>
      <c r="R6606" s="5">
        <f t="shared" si="310"/>
        <v>30263</v>
      </c>
      <c r="S6606" s="5">
        <f t="shared" si="311"/>
        <v>45325.23529411765</v>
      </c>
    </row>
    <row r="6607" spans="1:19" hidden="1" x14ac:dyDescent="0.3">
      <c r="A6607">
        <v>210</v>
      </c>
      <c r="B6607" t="s">
        <v>6520</v>
      </c>
      <c r="C6607" t="s">
        <v>1467</v>
      </c>
      <c r="D6607" s="2" t="s">
        <v>1468</v>
      </c>
      <c r="E6607" t="s">
        <v>678</v>
      </c>
      <c r="F6607" t="s">
        <v>20</v>
      </c>
      <c r="G6607" t="s">
        <v>21</v>
      </c>
      <c r="H6607" t="s">
        <v>22</v>
      </c>
      <c r="I6607" t="s">
        <v>23</v>
      </c>
      <c r="J6607" t="s">
        <v>31</v>
      </c>
      <c r="K6607" s="2" t="s">
        <v>1450</v>
      </c>
      <c r="L6607" t="s">
        <v>26</v>
      </c>
      <c r="M6607">
        <v>353474</v>
      </c>
      <c r="N6607">
        <v>1</v>
      </c>
      <c r="O6607" s="3">
        <v>84990</v>
      </c>
      <c r="P6607" s="3">
        <v>49625</v>
      </c>
      <c r="Q6607" s="5">
        <f t="shared" si="309"/>
        <v>71420.168067226899</v>
      </c>
      <c r="R6607" s="5">
        <f t="shared" si="310"/>
        <v>49625</v>
      </c>
      <c r="S6607" s="5">
        <f t="shared" si="311"/>
        <v>21795.168067226899</v>
      </c>
    </row>
    <row r="6608" spans="1:19" hidden="1" x14ac:dyDescent="0.3">
      <c r="A6608">
        <v>210</v>
      </c>
      <c r="B6608" t="s">
        <v>6520</v>
      </c>
      <c r="C6608" t="s">
        <v>2395</v>
      </c>
      <c r="D6608" s="2" t="s">
        <v>2396</v>
      </c>
      <c r="E6608" t="s">
        <v>425</v>
      </c>
      <c r="F6608" t="s">
        <v>20</v>
      </c>
      <c r="G6608" t="s">
        <v>21</v>
      </c>
      <c r="H6608" t="s">
        <v>22</v>
      </c>
      <c r="I6608" t="s">
        <v>23</v>
      </c>
      <c r="J6608" t="s">
        <v>24</v>
      </c>
      <c r="K6608" s="2" t="s">
        <v>1450</v>
      </c>
      <c r="L6608" t="s">
        <v>26</v>
      </c>
      <c r="M6608">
        <v>353474</v>
      </c>
      <c r="N6608">
        <v>-1</v>
      </c>
      <c r="O6608" s="3">
        <v>-79950</v>
      </c>
      <c r="P6608" s="3">
        <v>27848</v>
      </c>
      <c r="Q6608" s="5">
        <f t="shared" si="309"/>
        <v>-67184.873949579836</v>
      </c>
      <c r="R6608" s="5">
        <f t="shared" si="310"/>
        <v>-27848</v>
      </c>
      <c r="S6608" s="5">
        <f t="shared" si="311"/>
        <v>-39336.873949579836</v>
      </c>
    </row>
    <row r="6609" spans="1:19" hidden="1" x14ac:dyDescent="0.3">
      <c r="A6609">
        <v>210</v>
      </c>
      <c r="B6609" t="s">
        <v>6520</v>
      </c>
      <c r="C6609" t="s">
        <v>3176</v>
      </c>
      <c r="D6609" s="2" t="s">
        <v>3177</v>
      </c>
      <c r="E6609" t="s">
        <v>2539</v>
      </c>
      <c r="F6609" t="s">
        <v>20</v>
      </c>
      <c r="G6609" t="s">
        <v>21</v>
      </c>
      <c r="H6609" t="s">
        <v>966</v>
      </c>
      <c r="I6609" t="s">
        <v>23</v>
      </c>
      <c r="J6609" t="s">
        <v>35</v>
      </c>
      <c r="K6609" s="2" t="s">
        <v>1525</v>
      </c>
      <c r="L6609" t="s">
        <v>26</v>
      </c>
      <c r="M6609">
        <v>353475</v>
      </c>
      <c r="N6609">
        <v>1</v>
      </c>
      <c r="O6609" s="3">
        <v>74950</v>
      </c>
      <c r="P6609" s="3">
        <v>27328</v>
      </c>
      <c r="Q6609" s="5">
        <f t="shared" si="309"/>
        <v>62983.193277310929</v>
      </c>
      <c r="R6609" s="5">
        <f t="shared" si="310"/>
        <v>27328</v>
      </c>
      <c r="S6609" s="5">
        <f t="shared" si="311"/>
        <v>35655.193277310929</v>
      </c>
    </row>
    <row r="6610" spans="1:19" hidden="1" x14ac:dyDescent="0.3">
      <c r="A6610">
        <v>210</v>
      </c>
      <c r="B6610" t="s">
        <v>6520</v>
      </c>
      <c r="C6610" t="s">
        <v>5925</v>
      </c>
      <c r="D6610" s="2" t="s">
        <v>5926</v>
      </c>
      <c r="E6610" t="s">
        <v>4739</v>
      </c>
      <c r="F6610" t="s">
        <v>20</v>
      </c>
      <c r="G6610" t="s">
        <v>338</v>
      </c>
      <c r="H6610">
        <v>83716</v>
      </c>
      <c r="I6610" t="s">
        <v>23</v>
      </c>
      <c r="J6610" t="s">
        <v>40</v>
      </c>
      <c r="K6610" s="2" t="s">
        <v>1525</v>
      </c>
      <c r="L6610" t="s">
        <v>26</v>
      </c>
      <c r="M6610">
        <v>353476</v>
      </c>
      <c r="N6610">
        <v>1</v>
      </c>
      <c r="O6610" s="3">
        <v>89950</v>
      </c>
      <c r="P6610" s="3">
        <v>30263</v>
      </c>
      <c r="Q6610" s="5">
        <f t="shared" si="309"/>
        <v>75588.23529411765</v>
      </c>
      <c r="R6610" s="5">
        <f t="shared" si="310"/>
        <v>30263</v>
      </c>
      <c r="S6610" s="5">
        <f t="shared" si="311"/>
        <v>45325.23529411765</v>
      </c>
    </row>
    <row r="6611" spans="1:19" hidden="1" x14ac:dyDescent="0.3">
      <c r="A6611">
        <v>210</v>
      </c>
      <c r="B6611" t="s">
        <v>6520</v>
      </c>
      <c r="C6611" t="s">
        <v>4162</v>
      </c>
      <c r="D6611" s="2" t="s">
        <v>4163</v>
      </c>
      <c r="E6611" t="s">
        <v>2311</v>
      </c>
      <c r="F6611" t="s">
        <v>20</v>
      </c>
      <c r="G6611" t="s">
        <v>338</v>
      </c>
      <c r="H6611">
        <v>83716</v>
      </c>
      <c r="I6611" t="s">
        <v>23</v>
      </c>
      <c r="J6611" t="s">
        <v>40</v>
      </c>
      <c r="K6611" s="2" t="s">
        <v>1525</v>
      </c>
      <c r="L6611" t="s">
        <v>26</v>
      </c>
      <c r="M6611">
        <v>353477</v>
      </c>
      <c r="N6611">
        <v>1</v>
      </c>
      <c r="O6611" s="3">
        <v>89950</v>
      </c>
      <c r="P6611" s="3">
        <v>30263</v>
      </c>
      <c r="Q6611" s="5">
        <f t="shared" si="309"/>
        <v>75588.23529411765</v>
      </c>
      <c r="R6611" s="5">
        <f t="shared" si="310"/>
        <v>30263</v>
      </c>
      <c r="S6611" s="5">
        <f t="shared" si="311"/>
        <v>45325.23529411765</v>
      </c>
    </row>
    <row r="6612" spans="1:19" hidden="1" x14ac:dyDescent="0.3">
      <c r="A6612">
        <v>210</v>
      </c>
      <c r="B6612" t="s">
        <v>6520</v>
      </c>
      <c r="C6612" t="s">
        <v>1761</v>
      </c>
      <c r="D6612" s="2" t="s">
        <v>1762</v>
      </c>
      <c r="E6612" t="s">
        <v>1763</v>
      </c>
      <c r="F6612" t="s">
        <v>377</v>
      </c>
      <c r="G6612" t="s">
        <v>21</v>
      </c>
      <c r="H6612" t="s">
        <v>378</v>
      </c>
      <c r="I6612" t="s">
        <v>23</v>
      </c>
      <c r="J6612" t="s">
        <v>379</v>
      </c>
      <c r="K6612" s="2" t="s">
        <v>1525</v>
      </c>
      <c r="L6612" t="s">
        <v>26</v>
      </c>
      <c r="M6612">
        <v>353477</v>
      </c>
      <c r="N6612">
        <v>1</v>
      </c>
      <c r="O6612" s="3">
        <v>5950</v>
      </c>
      <c r="P6612" s="3">
        <v>3279</v>
      </c>
      <c r="Q6612" s="5">
        <f t="shared" si="309"/>
        <v>5000</v>
      </c>
      <c r="R6612" s="5">
        <f t="shared" si="310"/>
        <v>3279</v>
      </c>
      <c r="S6612" s="5">
        <f t="shared" si="311"/>
        <v>1721</v>
      </c>
    </row>
    <row r="6613" spans="1:19" hidden="1" x14ac:dyDescent="0.3">
      <c r="A6613">
        <v>210</v>
      </c>
      <c r="B6613" t="s">
        <v>6520</v>
      </c>
      <c r="C6613" t="s">
        <v>6610</v>
      </c>
      <c r="D6613" s="2" t="s">
        <v>6611</v>
      </c>
      <c r="E6613" t="s">
        <v>4226</v>
      </c>
      <c r="F6613" t="s">
        <v>20</v>
      </c>
      <c r="G6613" t="s">
        <v>21</v>
      </c>
      <c r="H6613" t="s">
        <v>2189</v>
      </c>
      <c r="I6613" t="s">
        <v>23</v>
      </c>
      <c r="J6613" t="s">
        <v>40</v>
      </c>
      <c r="K6613" s="2" t="s">
        <v>1525</v>
      </c>
      <c r="L6613" t="s">
        <v>26</v>
      </c>
      <c r="M6613">
        <v>353478</v>
      </c>
      <c r="N6613">
        <v>1</v>
      </c>
      <c r="O6613" s="3">
        <v>74950</v>
      </c>
      <c r="P6613" s="3">
        <v>27729</v>
      </c>
      <c r="Q6613" s="5">
        <f t="shared" si="309"/>
        <v>62983.193277310929</v>
      </c>
      <c r="R6613" s="5">
        <f t="shared" si="310"/>
        <v>27729</v>
      </c>
      <c r="S6613" s="5">
        <f t="shared" si="311"/>
        <v>35254.193277310929</v>
      </c>
    </row>
    <row r="6614" spans="1:19" hidden="1" x14ac:dyDescent="0.3">
      <c r="A6614">
        <v>210</v>
      </c>
      <c r="B6614" t="s">
        <v>6520</v>
      </c>
      <c r="C6614" t="s">
        <v>6612</v>
      </c>
      <c r="D6614" s="2" t="s">
        <v>6613</v>
      </c>
      <c r="E6614" t="s">
        <v>1408</v>
      </c>
      <c r="F6614" t="s">
        <v>20</v>
      </c>
      <c r="G6614" t="s">
        <v>21</v>
      </c>
      <c r="H6614" t="s">
        <v>1409</v>
      </c>
      <c r="I6614" t="s">
        <v>23</v>
      </c>
      <c r="J6614" t="s">
        <v>31</v>
      </c>
      <c r="K6614" s="2" t="s">
        <v>1525</v>
      </c>
      <c r="L6614" t="s">
        <v>26</v>
      </c>
      <c r="M6614">
        <v>353479</v>
      </c>
      <c r="N6614">
        <v>1</v>
      </c>
      <c r="O6614" s="3">
        <v>129950</v>
      </c>
      <c r="P6614" s="3">
        <v>69954</v>
      </c>
      <c r="Q6614" s="5">
        <f t="shared" si="309"/>
        <v>109201.68067226891</v>
      </c>
      <c r="R6614" s="5">
        <f t="shared" si="310"/>
        <v>69954</v>
      </c>
      <c r="S6614" s="5">
        <f t="shared" si="311"/>
        <v>39247.680672268907</v>
      </c>
    </row>
    <row r="6615" spans="1:19" hidden="1" x14ac:dyDescent="0.3">
      <c r="A6615">
        <v>210</v>
      </c>
      <c r="B6615" t="s">
        <v>6520</v>
      </c>
      <c r="C6615" t="s">
        <v>314</v>
      </c>
      <c r="D6615" s="2" t="s">
        <v>315</v>
      </c>
      <c r="E6615" t="s">
        <v>316</v>
      </c>
      <c r="F6615" t="s">
        <v>20</v>
      </c>
      <c r="G6615" t="s">
        <v>21</v>
      </c>
      <c r="H6615" t="s">
        <v>317</v>
      </c>
      <c r="I6615" t="s">
        <v>23</v>
      </c>
      <c r="J6615" t="s">
        <v>35</v>
      </c>
      <c r="K6615" s="2" t="s">
        <v>1525</v>
      </c>
      <c r="L6615" t="s">
        <v>26</v>
      </c>
      <c r="M6615">
        <v>353480</v>
      </c>
      <c r="N6615">
        <v>1</v>
      </c>
      <c r="O6615" s="3">
        <v>69950</v>
      </c>
      <c r="P6615" s="3">
        <v>24517</v>
      </c>
      <c r="Q6615" s="5">
        <f t="shared" si="309"/>
        <v>58781.512605042022</v>
      </c>
      <c r="R6615" s="5">
        <f t="shared" si="310"/>
        <v>24517</v>
      </c>
      <c r="S6615" s="5">
        <f t="shared" si="311"/>
        <v>34264.512605042022</v>
      </c>
    </row>
    <row r="6616" spans="1:19" hidden="1" x14ac:dyDescent="0.3">
      <c r="A6616">
        <v>210</v>
      </c>
      <c r="B6616" t="s">
        <v>6520</v>
      </c>
      <c r="C6616" t="s">
        <v>4237</v>
      </c>
      <c r="D6616" s="2" t="s">
        <v>4238</v>
      </c>
      <c r="E6616" t="s">
        <v>494</v>
      </c>
      <c r="F6616" t="s">
        <v>20</v>
      </c>
      <c r="G6616" t="s">
        <v>21</v>
      </c>
      <c r="H6616" t="s">
        <v>317</v>
      </c>
      <c r="I6616" t="s">
        <v>23</v>
      </c>
      <c r="J6616" t="s">
        <v>35</v>
      </c>
      <c r="K6616" s="2" t="s">
        <v>1525</v>
      </c>
      <c r="L6616" t="s">
        <v>26</v>
      </c>
      <c r="M6616">
        <v>353481</v>
      </c>
      <c r="N6616">
        <v>1</v>
      </c>
      <c r="O6616" s="3">
        <v>69950</v>
      </c>
      <c r="P6616" s="3">
        <v>23619</v>
      </c>
      <c r="Q6616" s="5">
        <f t="shared" si="309"/>
        <v>58781.512605042022</v>
      </c>
      <c r="R6616" s="5">
        <f t="shared" si="310"/>
        <v>23619</v>
      </c>
      <c r="S6616" s="5">
        <f t="shared" si="311"/>
        <v>35162.512605042022</v>
      </c>
    </row>
    <row r="6617" spans="1:19" hidden="1" x14ac:dyDescent="0.3">
      <c r="A6617">
        <v>210</v>
      </c>
      <c r="B6617" t="s">
        <v>6520</v>
      </c>
      <c r="C6617" t="s">
        <v>6614</v>
      </c>
      <c r="D6617" s="2" t="s">
        <v>6615</v>
      </c>
      <c r="E6617" t="s">
        <v>4124</v>
      </c>
      <c r="F6617" t="s">
        <v>20</v>
      </c>
      <c r="G6617" t="s">
        <v>338</v>
      </c>
      <c r="H6617">
        <v>25026</v>
      </c>
      <c r="I6617" t="s">
        <v>23</v>
      </c>
      <c r="J6617" t="s">
        <v>35</v>
      </c>
      <c r="K6617" s="2" t="s">
        <v>1525</v>
      </c>
      <c r="L6617" t="s">
        <v>26</v>
      </c>
      <c r="M6617">
        <v>353482</v>
      </c>
      <c r="N6617">
        <v>1</v>
      </c>
      <c r="O6617" s="3">
        <v>89950</v>
      </c>
      <c r="P6617" s="3">
        <v>28025</v>
      </c>
      <c r="Q6617" s="5">
        <f t="shared" si="309"/>
        <v>75588.23529411765</v>
      </c>
      <c r="R6617" s="5">
        <f t="shared" si="310"/>
        <v>28025</v>
      </c>
      <c r="S6617" s="5">
        <f t="shared" si="311"/>
        <v>47563.23529411765</v>
      </c>
    </row>
    <row r="6618" spans="1:19" hidden="1" x14ac:dyDescent="0.3">
      <c r="A6618">
        <v>210</v>
      </c>
      <c r="B6618" t="s">
        <v>6520</v>
      </c>
      <c r="C6618" t="s">
        <v>4641</v>
      </c>
      <c r="D6618" s="2" t="s">
        <v>4642</v>
      </c>
      <c r="E6618" t="s">
        <v>4643</v>
      </c>
      <c r="F6618" t="s">
        <v>20</v>
      </c>
      <c r="G6618" t="s">
        <v>338</v>
      </c>
      <c r="H6618">
        <v>85101</v>
      </c>
      <c r="I6618" t="s">
        <v>23</v>
      </c>
      <c r="J6618" t="s">
        <v>35</v>
      </c>
      <c r="K6618" s="2" t="s">
        <v>1525</v>
      </c>
      <c r="L6618" t="s">
        <v>26</v>
      </c>
      <c r="M6618">
        <v>353483</v>
      </c>
      <c r="N6618">
        <v>1</v>
      </c>
      <c r="O6618" s="3">
        <v>99950</v>
      </c>
      <c r="P6618" s="3">
        <v>33793</v>
      </c>
      <c r="Q6618" s="5">
        <f t="shared" si="309"/>
        <v>83991.596638655465</v>
      </c>
      <c r="R6618" s="5">
        <f t="shared" si="310"/>
        <v>33793</v>
      </c>
      <c r="S6618" s="5">
        <f t="shared" si="311"/>
        <v>50198.596638655465</v>
      </c>
    </row>
    <row r="6619" spans="1:19" hidden="1" x14ac:dyDescent="0.3">
      <c r="A6619">
        <v>210</v>
      </c>
      <c r="B6619" t="s">
        <v>6520</v>
      </c>
      <c r="C6619" t="s">
        <v>6616</v>
      </c>
      <c r="D6619" s="2" t="s">
        <v>6617</v>
      </c>
      <c r="E6619" t="s">
        <v>2658</v>
      </c>
      <c r="F6619" t="s">
        <v>20</v>
      </c>
      <c r="G6619" t="s">
        <v>21</v>
      </c>
      <c r="H6619" t="s">
        <v>500</v>
      </c>
      <c r="I6619" t="s">
        <v>23</v>
      </c>
      <c r="J6619" t="s">
        <v>40</v>
      </c>
      <c r="K6619" s="2" t="s">
        <v>1525</v>
      </c>
      <c r="L6619" t="s">
        <v>26</v>
      </c>
      <c r="M6619">
        <v>353484</v>
      </c>
      <c r="N6619">
        <v>1</v>
      </c>
      <c r="O6619" s="3">
        <v>59950</v>
      </c>
      <c r="P6619" s="3">
        <v>16978</v>
      </c>
      <c r="Q6619" s="5">
        <f t="shared" si="309"/>
        <v>50378.151260504201</v>
      </c>
      <c r="R6619" s="5">
        <f t="shared" si="310"/>
        <v>16978</v>
      </c>
      <c r="S6619" s="5">
        <f t="shared" si="311"/>
        <v>33400.151260504201</v>
      </c>
    </row>
    <row r="6620" spans="1:19" hidden="1" x14ac:dyDescent="0.3">
      <c r="A6620">
        <v>210</v>
      </c>
      <c r="B6620" t="s">
        <v>6520</v>
      </c>
      <c r="C6620" t="s">
        <v>3338</v>
      </c>
      <c r="D6620" s="2" t="s">
        <v>3339</v>
      </c>
      <c r="E6620" t="s">
        <v>3340</v>
      </c>
      <c r="F6620" t="s">
        <v>20</v>
      </c>
      <c r="G6620" t="s">
        <v>338</v>
      </c>
      <c r="H6620">
        <v>25097</v>
      </c>
      <c r="I6620" t="s">
        <v>23</v>
      </c>
      <c r="J6620" t="s">
        <v>24</v>
      </c>
      <c r="K6620" s="2" t="s">
        <v>1525</v>
      </c>
      <c r="L6620" t="s">
        <v>26</v>
      </c>
      <c r="M6620">
        <v>353485</v>
      </c>
      <c r="N6620">
        <v>1</v>
      </c>
      <c r="O6620" s="3">
        <v>74950</v>
      </c>
      <c r="P6620" s="3">
        <v>23242</v>
      </c>
      <c r="Q6620" s="5">
        <f t="shared" si="309"/>
        <v>62983.193277310929</v>
      </c>
      <c r="R6620" s="5">
        <f t="shared" si="310"/>
        <v>23242</v>
      </c>
      <c r="S6620" s="5">
        <f t="shared" si="311"/>
        <v>39741.193277310929</v>
      </c>
    </row>
    <row r="6621" spans="1:19" hidden="1" x14ac:dyDescent="0.3">
      <c r="A6621">
        <v>210</v>
      </c>
      <c r="B6621" t="s">
        <v>6520</v>
      </c>
      <c r="C6621" t="s">
        <v>3767</v>
      </c>
      <c r="D6621" s="2" t="s">
        <v>3768</v>
      </c>
      <c r="E6621" t="s">
        <v>3380</v>
      </c>
      <c r="F6621" t="s">
        <v>20</v>
      </c>
      <c r="G6621" t="s">
        <v>21</v>
      </c>
      <c r="H6621" t="s">
        <v>1703</v>
      </c>
      <c r="I6621" t="s">
        <v>23</v>
      </c>
      <c r="J6621" t="s">
        <v>49</v>
      </c>
      <c r="K6621" s="2" t="s">
        <v>1525</v>
      </c>
      <c r="L6621" t="s">
        <v>26</v>
      </c>
      <c r="M6621">
        <v>353486</v>
      </c>
      <c r="N6621">
        <v>1</v>
      </c>
      <c r="O6621" s="3">
        <v>69950</v>
      </c>
      <c r="P6621" s="3">
        <v>22287</v>
      </c>
      <c r="Q6621" s="5">
        <f t="shared" si="309"/>
        <v>58781.512605042022</v>
      </c>
      <c r="R6621" s="5">
        <f t="shared" si="310"/>
        <v>22287</v>
      </c>
      <c r="S6621" s="5">
        <f t="shared" si="311"/>
        <v>36494.512605042022</v>
      </c>
    </row>
    <row r="6622" spans="1:19" hidden="1" x14ac:dyDescent="0.3">
      <c r="A6622">
        <v>210</v>
      </c>
      <c r="B6622" t="s">
        <v>6520</v>
      </c>
      <c r="C6622" t="s">
        <v>1761</v>
      </c>
      <c r="D6622" s="2" t="s">
        <v>1762</v>
      </c>
      <c r="E6622" t="s">
        <v>1763</v>
      </c>
      <c r="F6622" t="s">
        <v>377</v>
      </c>
      <c r="G6622" t="s">
        <v>21</v>
      </c>
      <c r="H6622" t="s">
        <v>378</v>
      </c>
      <c r="I6622" t="s">
        <v>23</v>
      </c>
      <c r="J6622" t="s">
        <v>379</v>
      </c>
      <c r="K6622" s="2" t="s">
        <v>2983</v>
      </c>
      <c r="L6622" t="s">
        <v>26</v>
      </c>
      <c r="M6622">
        <v>353487</v>
      </c>
      <c r="N6622">
        <v>2</v>
      </c>
      <c r="O6622" s="3">
        <v>11900</v>
      </c>
      <c r="P6622" s="3">
        <v>3279</v>
      </c>
      <c r="Q6622" s="5">
        <f t="shared" si="309"/>
        <v>10000</v>
      </c>
      <c r="R6622" s="5">
        <f t="shared" si="310"/>
        <v>6558</v>
      </c>
      <c r="S6622" s="5">
        <f t="shared" si="311"/>
        <v>3442</v>
      </c>
    </row>
    <row r="6623" spans="1:19" hidden="1" x14ac:dyDescent="0.3">
      <c r="A6623">
        <v>210</v>
      </c>
      <c r="B6623" t="s">
        <v>6520</v>
      </c>
      <c r="C6623" t="s">
        <v>6618</v>
      </c>
      <c r="D6623" s="2" t="s">
        <v>6619</v>
      </c>
      <c r="E6623" t="s">
        <v>6620</v>
      </c>
      <c r="F6623" t="s">
        <v>20</v>
      </c>
      <c r="G6623" t="s">
        <v>21</v>
      </c>
      <c r="H6623" t="s">
        <v>395</v>
      </c>
      <c r="I6623" t="s">
        <v>23</v>
      </c>
      <c r="J6623" t="s">
        <v>49</v>
      </c>
      <c r="K6623" s="2" t="s">
        <v>2983</v>
      </c>
      <c r="L6623" t="s">
        <v>26</v>
      </c>
      <c r="M6623">
        <v>353488</v>
      </c>
      <c r="N6623">
        <v>-1</v>
      </c>
      <c r="O6623" s="3">
        <v>-49990</v>
      </c>
      <c r="P6623" s="3">
        <v>28203</v>
      </c>
      <c r="Q6623" s="5">
        <f t="shared" si="309"/>
        <v>-42008.403361344543</v>
      </c>
      <c r="R6623" s="5">
        <f t="shared" si="310"/>
        <v>-28203</v>
      </c>
      <c r="S6623" s="5">
        <f t="shared" si="311"/>
        <v>-13805.403361344543</v>
      </c>
    </row>
    <row r="6624" spans="1:19" hidden="1" x14ac:dyDescent="0.3">
      <c r="A6624">
        <v>210</v>
      </c>
      <c r="B6624" t="s">
        <v>6520</v>
      </c>
      <c r="C6624" t="s">
        <v>6621</v>
      </c>
      <c r="D6624" s="2" t="s">
        <v>6622</v>
      </c>
      <c r="E6624" t="s">
        <v>6623</v>
      </c>
      <c r="F6624" t="s">
        <v>20</v>
      </c>
      <c r="G6624" t="s">
        <v>21</v>
      </c>
      <c r="H6624" t="s">
        <v>395</v>
      </c>
      <c r="I6624" t="s">
        <v>23</v>
      </c>
      <c r="J6624" t="s">
        <v>49</v>
      </c>
      <c r="K6624" s="2" t="s">
        <v>2983</v>
      </c>
      <c r="L6624" t="s">
        <v>26</v>
      </c>
      <c r="M6624">
        <v>353488</v>
      </c>
      <c r="N6624">
        <v>1</v>
      </c>
      <c r="O6624" s="3">
        <v>49991</v>
      </c>
      <c r="P6624" s="3">
        <v>28320</v>
      </c>
      <c r="Q6624" s="5">
        <f t="shared" si="309"/>
        <v>42009.243697478996</v>
      </c>
      <c r="R6624" s="5">
        <f t="shared" si="310"/>
        <v>28320</v>
      </c>
      <c r="S6624" s="5">
        <f t="shared" si="311"/>
        <v>13689.243697478996</v>
      </c>
    </row>
    <row r="6625" spans="1:19" hidden="1" x14ac:dyDescent="0.3">
      <c r="A6625">
        <v>210</v>
      </c>
      <c r="B6625" t="s">
        <v>6520</v>
      </c>
      <c r="C6625" t="s">
        <v>4936</v>
      </c>
      <c r="D6625" s="2" t="s">
        <v>4937</v>
      </c>
      <c r="E6625" t="s">
        <v>2930</v>
      </c>
      <c r="F6625" t="s">
        <v>20</v>
      </c>
      <c r="G6625" t="s">
        <v>21</v>
      </c>
      <c r="H6625" t="s">
        <v>1703</v>
      </c>
      <c r="I6625" t="s">
        <v>23</v>
      </c>
      <c r="J6625" t="s">
        <v>49</v>
      </c>
      <c r="K6625" s="2" t="s">
        <v>2983</v>
      </c>
      <c r="L6625" t="s">
        <v>26</v>
      </c>
      <c r="M6625">
        <v>353489</v>
      </c>
      <c r="N6625">
        <v>1</v>
      </c>
      <c r="O6625" s="3">
        <v>74950</v>
      </c>
      <c r="P6625" s="3">
        <v>26457</v>
      </c>
      <c r="Q6625" s="5">
        <f t="shared" si="309"/>
        <v>62983.193277310929</v>
      </c>
      <c r="R6625" s="5">
        <f t="shared" si="310"/>
        <v>26457</v>
      </c>
      <c r="S6625" s="5">
        <f t="shared" si="311"/>
        <v>36526.193277310929</v>
      </c>
    </row>
    <row r="6626" spans="1:19" hidden="1" x14ac:dyDescent="0.3">
      <c r="A6626">
        <v>210</v>
      </c>
      <c r="B6626" t="s">
        <v>6520</v>
      </c>
      <c r="C6626" t="s">
        <v>4239</v>
      </c>
      <c r="D6626" s="2" t="s">
        <v>4240</v>
      </c>
      <c r="E6626" t="s">
        <v>2539</v>
      </c>
      <c r="F6626" t="s">
        <v>20</v>
      </c>
      <c r="G6626" t="s">
        <v>21</v>
      </c>
      <c r="H6626" t="s">
        <v>966</v>
      </c>
      <c r="I6626" t="s">
        <v>23</v>
      </c>
      <c r="J6626" t="s">
        <v>35</v>
      </c>
      <c r="K6626" s="2" t="s">
        <v>2983</v>
      </c>
      <c r="L6626" t="s">
        <v>26</v>
      </c>
      <c r="M6626">
        <v>353490</v>
      </c>
      <c r="N6626">
        <v>-1</v>
      </c>
      <c r="O6626" s="3">
        <v>-74950</v>
      </c>
      <c r="P6626" s="3">
        <v>26729</v>
      </c>
      <c r="Q6626" s="5">
        <f t="shared" si="309"/>
        <v>-62983.193277310929</v>
      </c>
      <c r="R6626" s="5">
        <f t="shared" si="310"/>
        <v>-26729</v>
      </c>
      <c r="S6626" s="5">
        <f t="shared" si="311"/>
        <v>-36254.193277310929</v>
      </c>
    </row>
    <row r="6627" spans="1:19" hidden="1" x14ac:dyDescent="0.3">
      <c r="A6627">
        <v>210</v>
      </c>
      <c r="B6627" t="s">
        <v>6520</v>
      </c>
      <c r="C6627" t="s">
        <v>4762</v>
      </c>
      <c r="D6627" s="2" t="s">
        <v>4763</v>
      </c>
      <c r="E6627" t="s">
        <v>1330</v>
      </c>
      <c r="F6627" t="s">
        <v>20</v>
      </c>
      <c r="G6627" t="s">
        <v>338</v>
      </c>
      <c r="H6627">
        <v>25133</v>
      </c>
      <c r="I6627" t="s">
        <v>23</v>
      </c>
      <c r="J6627" t="s">
        <v>35</v>
      </c>
      <c r="K6627" s="2" t="s">
        <v>2983</v>
      </c>
      <c r="L6627" t="s">
        <v>26</v>
      </c>
      <c r="M6627">
        <v>353490</v>
      </c>
      <c r="N6627">
        <v>1</v>
      </c>
      <c r="O6627" s="3">
        <v>74951</v>
      </c>
      <c r="P6627" s="3">
        <v>21167</v>
      </c>
      <c r="Q6627" s="5">
        <f t="shared" si="309"/>
        <v>62984.033613445383</v>
      </c>
      <c r="R6627" s="5">
        <f t="shared" si="310"/>
        <v>21167</v>
      </c>
      <c r="S6627" s="5">
        <f t="shared" si="311"/>
        <v>41817.033613445383</v>
      </c>
    </row>
    <row r="6628" spans="1:19" hidden="1" x14ac:dyDescent="0.3">
      <c r="A6628">
        <v>210</v>
      </c>
      <c r="B6628" t="s">
        <v>6520</v>
      </c>
      <c r="C6628" t="s">
        <v>4828</v>
      </c>
      <c r="D6628" s="2" t="s">
        <v>4829</v>
      </c>
      <c r="E6628" t="s">
        <v>4830</v>
      </c>
      <c r="F6628" t="s">
        <v>20</v>
      </c>
      <c r="G6628" t="s">
        <v>338</v>
      </c>
      <c r="H6628">
        <v>24239</v>
      </c>
      <c r="I6628" t="s">
        <v>23</v>
      </c>
      <c r="J6628" t="s">
        <v>95</v>
      </c>
      <c r="K6628" s="2" t="s">
        <v>2983</v>
      </c>
      <c r="L6628" t="s">
        <v>26</v>
      </c>
      <c r="M6628">
        <v>353491</v>
      </c>
      <c r="N6628">
        <v>-1</v>
      </c>
      <c r="O6628" s="3">
        <v>-59950</v>
      </c>
      <c r="P6628" s="3">
        <v>18677</v>
      </c>
      <c r="Q6628" s="5">
        <f t="shared" si="309"/>
        <v>-50378.151260504201</v>
      </c>
      <c r="R6628" s="5">
        <f t="shared" si="310"/>
        <v>-18677</v>
      </c>
      <c r="S6628" s="5">
        <f t="shared" si="311"/>
        <v>-31701.151260504201</v>
      </c>
    </row>
    <row r="6629" spans="1:19" hidden="1" x14ac:dyDescent="0.3">
      <c r="A6629">
        <v>210</v>
      </c>
      <c r="B6629" t="s">
        <v>6520</v>
      </c>
      <c r="C6629" t="s">
        <v>3234</v>
      </c>
      <c r="D6629" s="2" t="s">
        <v>3235</v>
      </c>
      <c r="E6629" t="s">
        <v>1330</v>
      </c>
      <c r="F6629" t="s">
        <v>20</v>
      </c>
      <c r="G6629" t="s">
        <v>338</v>
      </c>
      <c r="H6629">
        <v>25133</v>
      </c>
      <c r="I6629" t="s">
        <v>23</v>
      </c>
      <c r="J6629" t="s">
        <v>35</v>
      </c>
      <c r="K6629" s="2" t="s">
        <v>2983</v>
      </c>
      <c r="L6629" t="s">
        <v>26</v>
      </c>
      <c r="M6629">
        <v>353491</v>
      </c>
      <c r="N6629">
        <v>1</v>
      </c>
      <c r="O6629" s="3">
        <v>74950</v>
      </c>
      <c r="P6629" s="3">
        <v>21167</v>
      </c>
      <c r="Q6629" s="5">
        <f t="shared" si="309"/>
        <v>62983.193277310929</v>
      </c>
      <c r="R6629" s="5">
        <f t="shared" si="310"/>
        <v>21167</v>
      </c>
      <c r="S6629" s="5">
        <f t="shared" si="311"/>
        <v>41816.193277310929</v>
      </c>
    </row>
    <row r="6630" spans="1:19" hidden="1" x14ac:dyDescent="0.3">
      <c r="A6630">
        <v>210</v>
      </c>
      <c r="B6630" t="s">
        <v>6520</v>
      </c>
      <c r="C6630" t="s">
        <v>778</v>
      </c>
      <c r="D6630" s="2" t="s">
        <v>779</v>
      </c>
      <c r="E6630" t="s">
        <v>34</v>
      </c>
      <c r="F6630" t="s">
        <v>20</v>
      </c>
      <c r="G6630" t="s">
        <v>21</v>
      </c>
      <c r="H6630" t="s">
        <v>22</v>
      </c>
      <c r="I6630" t="s">
        <v>23</v>
      </c>
      <c r="J6630" t="s">
        <v>35</v>
      </c>
      <c r="K6630" s="2" t="s">
        <v>2983</v>
      </c>
      <c r="L6630" t="s">
        <v>26</v>
      </c>
      <c r="M6630">
        <v>353492</v>
      </c>
      <c r="N6630">
        <v>1</v>
      </c>
      <c r="O6630" s="3">
        <v>69990</v>
      </c>
      <c r="P6630" s="3">
        <v>35254</v>
      </c>
      <c r="Q6630" s="5">
        <f t="shared" si="309"/>
        <v>58815.126050420171</v>
      </c>
      <c r="R6630" s="5">
        <f t="shared" si="310"/>
        <v>35254</v>
      </c>
      <c r="S6630" s="5">
        <f t="shared" si="311"/>
        <v>23561.126050420171</v>
      </c>
    </row>
    <row r="6631" spans="1:19" hidden="1" x14ac:dyDescent="0.3">
      <c r="A6631">
        <v>210</v>
      </c>
      <c r="B6631" t="s">
        <v>6520</v>
      </c>
      <c r="C6631" t="s">
        <v>5020</v>
      </c>
      <c r="D6631" s="2" t="s">
        <v>5021</v>
      </c>
      <c r="E6631" t="s">
        <v>3190</v>
      </c>
      <c r="F6631" t="s">
        <v>20</v>
      </c>
      <c r="G6631" t="s">
        <v>21</v>
      </c>
      <c r="H6631" t="s">
        <v>1440</v>
      </c>
      <c r="I6631" t="s">
        <v>23</v>
      </c>
      <c r="J6631" t="s">
        <v>40</v>
      </c>
      <c r="K6631" s="2" t="s">
        <v>2983</v>
      </c>
      <c r="L6631" t="s">
        <v>26</v>
      </c>
      <c r="M6631">
        <v>353493</v>
      </c>
      <c r="N6631">
        <v>1</v>
      </c>
      <c r="O6631" s="3">
        <v>64951</v>
      </c>
      <c r="P6631" s="3">
        <v>17328</v>
      </c>
      <c r="Q6631" s="5">
        <f t="shared" si="309"/>
        <v>54580.672268907569</v>
      </c>
      <c r="R6631" s="5">
        <f t="shared" si="310"/>
        <v>17328</v>
      </c>
      <c r="S6631" s="5">
        <f t="shared" si="311"/>
        <v>37252.672268907569</v>
      </c>
    </row>
    <row r="6632" spans="1:19" hidden="1" x14ac:dyDescent="0.3">
      <c r="A6632">
        <v>210</v>
      </c>
      <c r="B6632" t="s">
        <v>6520</v>
      </c>
      <c r="C6632" t="s">
        <v>6580</v>
      </c>
      <c r="D6632" s="2" t="s">
        <v>6581</v>
      </c>
      <c r="E6632" t="s">
        <v>4324</v>
      </c>
      <c r="F6632" t="s">
        <v>20</v>
      </c>
      <c r="G6632" t="s">
        <v>21</v>
      </c>
      <c r="H6632" t="s">
        <v>1440</v>
      </c>
      <c r="I6632" t="s">
        <v>23</v>
      </c>
      <c r="J6632" t="s">
        <v>40</v>
      </c>
      <c r="K6632" s="2" t="s">
        <v>2983</v>
      </c>
      <c r="L6632" t="s">
        <v>26</v>
      </c>
      <c r="M6632">
        <v>353493</v>
      </c>
      <c r="N6632">
        <v>-1</v>
      </c>
      <c r="O6632" s="3">
        <v>-64950</v>
      </c>
      <c r="P6632" s="3">
        <v>17328</v>
      </c>
      <c r="Q6632" s="5">
        <f t="shared" si="309"/>
        <v>-54579.831932773115</v>
      </c>
      <c r="R6632" s="5">
        <f t="shared" si="310"/>
        <v>-17328</v>
      </c>
      <c r="S6632" s="5">
        <f t="shared" si="311"/>
        <v>-37251.831932773115</v>
      </c>
    </row>
    <row r="6633" spans="1:19" hidden="1" x14ac:dyDescent="0.3">
      <c r="A6633">
        <v>210</v>
      </c>
      <c r="B6633" t="s">
        <v>6520</v>
      </c>
      <c r="C6633" t="s">
        <v>1221</v>
      </c>
      <c r="D6633" s="2" t="s">
        <v>1222</v>
      </c>
      <c r="E6633" t="s">
        <v>1223</v>
      </c>
      <c r="F6633" t="s">
        <v>20</v>
      </c>
      <c r="G6633" t="s">
        <v>21</v>
      </c>
      <c r="H6633" t="s">
        <v>500</v>
      </c>
      <c r="I6633" t="s">
        <v>23</v>
      </c>
      <c r="J6633" t="s">
        <v>40</v>
      </c>
      <c r="K6633" s="2" t="s">
        <v>2983</v>
      </c>
      <c r="L6633" t="s">
        <v>26</v>
      </c>
      <c r="M6633">
        <v>353494</v>
      </c>
      <c r="N6633">
        <v>1</v>
      </c>
      <c r="O6633" s="3">
        <v>49990</v>
      </c>
      <c r="P6633" s="3">
        <v>20043</v>
      </c>
      <c r="Q6633" s="5">
        <f t="shared" si="309"/>
        <v>42008.403361344543</v>
      </c>
      <c r="R6633" s="5">
        <f t="shared" si="310"/>
        <v>20043</v>
      </c>
      <c r="S6633" s="5">
        <f t="shared" si="311"/>
        <v>21965.403361344543</v>
      </c>
    </row>
    <row r="6634" spans="1:19" hidden="1" x14ac:dyDescent="0.3">
      <c r="A6634">
        <v>210</v>
      </c>
      <c r="B6634" t="s">
        <v>6520</v>
      </c>
      <c r="C6634" t="s">
        <v>4285</v>
      </c>
      <c r="D6634" s="2" t="s">
        <v>4286</v>
      </c>
      <c r="E6634" t="s">
        <v>2373</v>
      </c>
      <c r="F6634" t="s">
        <v>20</v>
      </c>
      <c r="G6634" t="s">
        <v>338</v>
      </c>
      <c r="H6634">
        <v>24239</v>
      </c>
      <c r="I6634" t="s">
        <v>23</v>
      </c>
      <c r="J6634" t="s">
        <v>95</v>
      </c>
      <c r="K6634" s="2" t="s">
        <v>2983</v>
      </c>
      <c r="L6634" t="s">
        <v>26</v>
      </c>
      <c r="M6634">
        <v>353495</v>
      </c>
      <c r="N6634">
        <v>-1</v>
      </c>
      <c r="O6634" s="3">
        <v>-59950</v>
      </c>
      <c r="P6634" s="3">
        <v>18677</v>
      </c>
      <c r="Q6634" s="5">
        <f t="shared" si="309"/>
        <v>-50378.151260504201</v>
      </c>
      <c r="R6634" s="5">
        <f t="shared" si="310"/>
        <v>-18677</v>
      </c>
      <c r="S6634" s="5">
        <f t="shared" si="311"/>
        <v>-31701.151260504201</v>
      </c>
    </row>
    <row r="6635" spans="1:19" hidden="1" x14ac:dyDescent="0.3">
      <c r="A6635">
        <v>210</v>
      </c>
      <c r="B6635" t="s">
        <v>6520</v>
      </c>
      <c r="C6635" t="s">
        <v>3193</v>
      </c>
      <c r="D6635" s="2" t="s">
        <v>3194</v>
      </c>
      <c r="E6635" t="s">
        <v>3195</v>
      </c>
      <c r="F6635" t="s">
        <v>20</v>
      </c>
      <c r="G6635" t="s">
        <v>338</v>
      </c>
      <c r="H6635">
        <v>25366</v>
      </c>
      <c r="I6635" t="s">
        <v>23</v>
      </c>
      <c r="J6635" t="s">
        <v>35</v>
      </c>
      <c r="K6635" s="2" t="s">
        <v>2983</v>
      </c>
      <c r="L6635" t="s">
        <v>26</v>
      </c>
      <c r="M6635">
        <v>353495</v>
      </c>
      <c r="N6635">
        <v>1</v>
      </c>
      <c r="O6635" s="3">
        <v>99950</v>
      </c>
      <c r="P6635" s="3">
        <v>33157</v>
      </c>
      <c r="Q6635" s="5">
        <f t="shared" si="309"/>
        <v>83991.596638655465</v>
      </c>
      <c r="R6635" s="5">
        <f t="shared" si="310"/>
        <v>33157</v>
      </c>
      <c r="S6635" s="5">
        <f t="shared" si="311"/>
        <v>50834.596638655465</v>
      </c>
    </row>
    <row r="6636" spans="1:19" hidden="1" x14ac:dyDescent="0.3">
      <c r="A6636">
        <v>210</v>
      </c>
      <c r="B6636" t="s">
        <v>6520</v>
      </c>
      <c r="C6636" t="s">
        <v>3169</v>
      </c>
      <c r="D6636" s="2" t="s">
        <v>3170</v>
      </c>
      <c r="E6636" t="s">
        <v>2708</v>
      </c>
      <c r="F6636" t="s">
        <v>20</v>
      </c>
      <c r="G6636" t="s">
        <v>21</v>
      </c>
      <c r="H6636" t="s">
        <v>783</v>
      </c>
      <c r="I6636" t="s">
        <v>23</v>
      </c>
      <c r="J6636" t="s">
        <v>40</v>
      </c>
      <c r="K6636" s="2" t="s">
        <v>2983</v>
      </c>
      <c r="L6636" t="s">
        <v>26</v>
      </c>
      <c r="M6636">
        <v>353496</v>
      </c>
      <c r="N6636">
        <v>1</v>
      </c>
      <c r="O6636" s="3">
        <v>54950</v>
      </c>
      <c r="P6636" s="3">
        <v>19451</v>
      </c>
      <c r="Q6636" s="5">
        <f t="shared" si="309"/>
        <v>46176.470588235294</v>
      </c>
      <c r="R6636" s="5">
        <f t="shared" si="310"/>
        <v>19451</v>
      </c>
      <c r="S6636" s="5">
        <f t="shared" si="311"/>
        <v>26725.470588235294</v>
      </c>
    </row>
    <row r="6637" spans="1:19" hidden="1" x14ac:dyDescent="0.3">
      <c r="A6637">
        <v>210</v>
      </c>
      <c r="B6637" t="s">
        <v>6520</v>
      </c>
      <c r="C6637" t="s">
        <v>2365</v>
      </c>
      <c r="D6637" s="2" t="s">
        <v>2366</v>
      </c>
      <c r="E6637" t="s">
        <v>2367</v>
      </c>
      <c r="F6637" t="s">
        <v>377</v>
      </c>
      <c r="G6637" t="s">
        <v>21</v>
      </c>
      <c r="H6637" t="s">
        <v>378</v>
      </c>
      <c r="I6637" t="s">
        <v>23</v>
      </c>
      <c r="J6637" t="s">
        <v>379</v>
      </c>
      <c r="K6637" s="2" t="s">
        <v>2983</v>
      </c>
      <c r="L6637" t="s">
        <v>26</v>
      </c>
      <c r="M6637">
        <v>353497</v>
      </c>
      <c r="N6637">
        <v>1</v>
      </c>
      <c r="O6637" s="3">
        <v>6950</v>
      </c>
      <c r="P6637" s="3">
        <v>3759</v>
      </c>
      <c r="Q6637" s="5">
        <f t="shared" si="309"/>
        <v>5840.3361344537816</v>
      </c>
      <c r="R6637" s="5">
        <f t="shared" si="310"/>
        <v>3759</v>
      </c>
      <c r="S6637" s="5">
        <f t="shared" si="311"/>
        <v>2081.3361344537816</v>
      </c>
    </row>
    <row r="6638" spans="1:19" hidden="1" x14ac:dyDescent="0.3">
      <c r="A6638">
        <v>210</v>
      </c>
      <c r="B6638" t="s">
        <v>6520</v>
      </c>
      <c r="C6638" t="s">
        <v>2365</v>
      </c>
      <c r="D6638" s="2" t="s">
        <v>2366</v>
      </c>
      <c r="E6638" t="s">
        <v>2367</v>
      </c>
      <c r="F6638" t="s">
        <v>377</v>
      </c>
      <c r="G6638" t="s">
        <v>21</v>
      </c>
      <c r="H6638" t="s">
        <v>378</v>
      </c>
      <c r="I6638" t="s">
        <v>23</v>
      </c>
      <c r="J6638" t="s">
        <v>379</v>
      </c>
      <c r="K6638" s="2" t="s">
        <v>2983</v>
      </c>
      <c r="L6638" t="s">
        <v>26</v>
      </c>
      <c r="M6638">
        <v>353498</v>
      </c>
      <c r="N6638">
        <v>1</v>
      </c>
      <c r="O6638" s="3">
        <v>6950</v>
      </c>
      <c r="P6638" s="3">
        <v>3759</v>
      </c>
      <c r="Q6638" s="5">
        <f t="shared" si="309"/>
        <v>5840.3361344537816</v>
      </c>
      <c r="R6638" s="5">
        <f t="shared" si="310"/>
        <v>3759</v>
      </c>
      <c r="S6638" s="5">
        <f t="shared" si="311"/>
        <v>2081.3361344537816</v>
      </c>
    </row>
    <row r="6639" spans="1:19" hidden="1" x14ac:dyDescent="0.3">
      <c r="A6639">
        <v>210</v>
      </c>
      <c r="B6639" t="s">
        <v>6520</v>
      </c>
      <c r="C6639" t="s">
        <v>2485</v>
      </c>
      <c r="D6639" s="2" t="s">
        <v>2486</v>
      </c>
      <c r="E6639" t="s">
        <v>2487</v>
      </c>
      <c r="F6639" t="s">
        <v>377</v>
      </c>
      <c r="G6639" t="s">
        <v>21</v>
      </c>
      <c r="H6639" t="s">
        <v>378</v>
      </c>
      <c r="I6639" t="s">
        <v>23</v>
      </c>
      <c r="J6639" t="s">
        <v>379</v>
      </c>
      <c r="K6639" s="2" t="s">
        <v>2983</v>
      </c>
      <c r="L6639" t="s">
        <v>26</v>
      </c>
      <c r="M6639">
        <v>353499</v>
      </c>
      <c r="N6639">
        <v>1</v>
      </c>
      <c r="O6639" s="3">
        <v>5950</v>
      </c>
      <c r="P6639" s="3">
        <v>2243</v>
      </c>
      <c r="Q6639" s="5">
        <f t="shared" si="309"/>
        <v>5000</v>
      </c>
      <c r="R6639" s="5">
        <f t="shared" si="310"/>
        <v>2243</v>
      </c>
      <c r="S6639" s="5">
        <f t="shared" si="311"/>
        <v>2757</v>
      </c>
    </row>
    <row r="6640" spans="1:19" hidden="1" x14ac:dyDescent="0.3">
      <c r="A6640">
        <v>210</v>
      </c>
      <c r="B6640" t="s">
        <v>6520</v>
      </c>
      <c r="C6640" t="s">
        <v>5804</v>
      </c>
      <c r="D6640" s="2" t="s">
        <v>5805</v>
      </c>
      <c r="E6640" t="s">
        <v>4702</v>
      </c>
      <c r="F6640" t="s">
        <v>20</v>
      </c>
      <c r="G6640" t="s">
        <v>21</v>
      </c>
      <c r="H6640" t="s">
        <v>295</v>
      </c>
      <c r="I6640" t="s">
        <v>23</v>
      </c>
      <c r="J6640" t="s">
        <v>40</v>
      </c>
      <c r="K6640" s="2" t="s">
        <v>2983</v>
      </c>
      <c r="L6640" t="s">
        <v>26</v>
      </c>
      <c r="M6640">
        <v>353500</v>
      </c>
      <c r="N6640">
        <v>1</v>
      </c>
      <c r="O6640" s="3">
        <v>79950</v>
      </c>
      <c r="P6640" s="3">
        <v>26951</v>
      </c>
      <c r="Q6640" s="5">
        <f t="shared" si="309"/>
        <v>67184.873949579836</v>
      </c>
      <c r="R6640" s="5">
        <f t="shared" si="310"/>
        <v>26951</v>
      </c>
      <c r="S6640" s="5">
        <f t="shared" si="311"/>
        <v>40233.873949579836</v>
      </c>
    </row>
    <row r="6641" spans="1:19" hidden="1" x14ac:dyDescent="0.3">
      <c r="A6641">
        <v>210</v>
      </c>
      <c r="B6641" t="s">
        <v>6520</v>
      </c>
      <c r="C6641" t="s">
        <v>1037</v>
      </c>
      <c r="D6641" s="2" t="s">
        <v>1038</v>
      </c>
      <c r="E6641" t="s">
        <v>1039</v>
      </c>
      <c r="F6641" t="s">
        <v>377</v>
      </c>
      <c r="G6641" t="s">
        <v>21</v>
      </c>
      <c r="H6641" t="s">
        <v>378</v>
      </c>
      <c r="I6641" t="s">
        <v>23</v>
      </c>
      <c r="J6641" t="s">
        <v>379</v>
      </c>
      <c r="K6641" s="2" t="s">
        <v>2983</v>
      </c>
      <c r="L6641" t="s">
        <v>26</v>
      </c>
      <c r="M6641">
        <v>353501</v>
      </c>
      <c r="N6641">
        <v>1</v>
      </c>
      <c r="O6641" s="3">
        <v>5950</v>
      </c>
      <c r="P6641" s="3">
        <v>3257</v>
      </c>
      <c r="Q6641" s="5">
        <f t="shared" si="309"/>
        <v>5000</v>
      </c>
      <c r="R6641" s="5">
        <f t="shared" si="310"/>
        <v>3257</v>
      </c>
      <c r="S6641" s="5">
        <f t="shared" si="311"/>
        <v>1743</v>
      </c>
    </row>
    <row r="6642" spans="1:19" hidden="1" x14ac:dyDescent="0.3">
      <c r="A6642">
        <v>210</v>
      </c>
      <c r="B6642" t="s">
        <v>6520</v>
      </c>
      <c r="C6642" t="s">
        <v>1200</v>
      </c>
      <c r="D6642" s="2" t="s">
        <v>1201</v>
      </c>
      <c r="E6642" t="s">
        <v>938</v>
      </c>
      <c r="F6642" t="s">
        <v>20</v>
      </c>
      <c r="G6642" t="s">
        <v>21</v>
      </c>
      <c r="H6642" t="s">
        <v>317</v>
      </c>
      <c r="I6642" t="s">
        <v>23</v>
      </c>
      <c r="J6642" t="s">
        <v>35</v>
      </c>
      <c r="K6642" s="2" t="s">
        <v>2983</v>
      </c>
      <c r="L6642" t="s">
        <v>26</v>
      </c>
      <c r="M6642">
        <v>353502</v>
      </c>
      <c r="N6642">
        <v>1</v>
      </c>
      <c r="O6642" s="3">
        <v>62950</v>
      </c>
      <c r="P6642" s="3">
        <v>26288</v>
      </c>
      <c r="Q6642" s="5">
        <f t="shared" si="309"/>
        <v>52899.159663865546</v>
      </c>
      <c r="R6642" s="5">
        <f t="shared" si="310"/>
        <v>26288</v>
      </c>
      <c r="S6642" s="5">
        <f t="shared" si="311"/>
        <v>26611.159663865546</v>
      </c>
    </row>
    <row r="6643" spans="1:19" hidden="1" x14ac:dyDescent="0.3">
      <c r="A6643">
        <v>210</v>
      </c>
      <c r="B6643" t="s">
        <v>6520</v>
      </c>
      <c r="C6643" t="s">
        <v>6279</v>
      </c>
      <c r="D6643" s="2" t="s">
        <v>6280</v>
      </c>
      <c r="E6643" t="s">
        <v>2905</v>
      </c>
      <c r="F6643" t="s">
        <v>20</v>
      </c>
      <c r="G6643" t="s">
        <v>21</v>
      </c>
      <c r="H6643" t="s">
        <v>272</v>
      </c>
      <c r="I6643" t="s">
        <v>23</v>
      </c>
      <c r="J6643" t="s">
        <v>35</v>
      </c>
      <c r="K6643" s="2" t="s">
        <v>2983</v>
      </c>
      <c r="L6643" t="s">
        <v>26</v>
      </c>
      <c r="M6643">
        <v>353503</v>
      </c>
      <c r="N6643">
        <v>1</v>
      </c>
      <c r="O6643" s="3">
        <v>71950</v>
      </c>
      <c r="P6643" s="3">
        <v>28035</v>
      </c>
      <c r="Q6643" s="5">
        <f t="shared" si="309"/>
        <v>60462.184873949584</v>
      </c>
      <c r="R6643" s="5">
        <f t="shared" si="310"/>
        <v>28035</v>
      </c>
      <c r="S6643" s="5">
        <f t="shared" si="311"/>
        <v>32427.184873949584</v>
      </c>
    </row>
    <row r="6644" spans="1:19" hidden="1" x14ac:dyDescent="0.3">
      <c r="A6644">
        <v>210</v>
      </c>
      <c r="B6644" t="s">
        <v>6520</v>
      </c>
      <c r="C6644" t="s">
        <v>6624</v>
      </c>
      <c r="D6644" s="2" t="s">
        <v>6625</v>
      </c>
      <c r="E6644" t="s">
        <v>1668</v>
      </c>
      <c r="F6644" t="s">
        <v>20</v>
      </c>
      <c r="G6644" t="s">
        <v>338</v>
      </c>
      <c r="H6644">
        <v>23603</v>
      </c>
      <c r="I6644" t="s">
        <v>23</v>
      </c>
      <c r="J6644" t="s">
        <v>40</v>
      </c>
      <c r="K6644" s="2" t="s">
        <v>2983</v>
      </c>
      <c r="L6644" t="s">
        <v>26</v>
      </c>
      <c r="M6644">
        <v>353504</v>
      </c>
      <c r="N6644">
        <v>1</v>
      </c>
      <c r="O6644" s="3">
        <v>69950</v>
      </c>
      <c r="P6644" s="3">
        <v>22607</v>
      </c>
      <c r="Q6644" s="5">
        <f t="shared" si="309"/>
        <v>58781.512605042022</v>
      </c>
      <c r="R6644" s="5">
        <f t="shared" si="310"/>
        <v>22607</v>
      </c>
      <c r="S6644" s="5">
        <f t="shared" si="311"/>
        <v>36174.512605042022</v>
      </c>
    </row>
    <row r="6645" spans="1:19" hidden="1" x14ac:dyDescent="0.3">
      <c r="A6645">
        <v>210</v>
      </c>
      <c r="B6645" t="s">
        <v>6520</v>
      </c>
      <c r="C6645" t="s">
        <v>5049</v>
      </c>
      <c r="D6645" s="2" t="s">
        <v>5050</v>
      </c>
      <c r="E6645" t="s">
        <v>1171</v>
      </c>
      <c r="F6645" t="s">
        <v>20</v>
      </c>
      <c r="G6645" t="s">
        <v>21</v>
      </c>
      <c r="H6645" t="s">
        <v>500</v>
      </c>
      <c r="I6645" t="s">
        <v>23</v>
      </c>
      <c r="J6645" t="s">
        <v>40</v>
      </c>
      <c r="K6645" s="2" t="s">
        <v>2983</v>
      </c>
      <c r="L6645" t="s">
        <v>26</v>
      </c>
      <c r="M6645">
        <v>353505</v>
      </c>
      <c r="N6645">
        <v>1</v>
      </c>
      <c r="O6645" s="3">
        <v>59950</v>
      </c>
      <c r="P6645" s="3">
        <v>17416</v>
      </c>
      <c r="Q6645" s="5">
        <f t="shared" si="309"/>
        <v>50378.151260504201</v>
      </c>
      <c r="R6645" s="5">
        <f t="shared" si="310"/>
        <v>17416</v>
      </c>
      <c r="S6645" s="5">
        <f t="shared" si="311"/>
        <v>32962.151260504201</v>
      </c>
    </row>
    <row r="6646" spans="1:19" hidden="1" x14ac:dyDescent="0.3">
      <c r="A6646">
        <v>210</v>
      </c>
      <c r="B6646" t="s">
        <v>6520</v>
      </c>
      <c r="C6646" t="s">
        <v>2830</v>
      </c>
      <c r="D6646" s="2" t="s">
        <v>2831</v>
      </c>
      <c r="E6646" t="s">
        <v>1330</v>
      </c>
      <c r="F6646" t="s">
        <v>20</v>
      </c>
      <c r="G6646" t="s">
        <v>338</v>
      </c>
      <c r="H6646">
        <v>25133</v>
      </c>
      <c r="I6646" t="s">
        <v>23</v>
      </c>
      <c r="J6646" t="s">
        <v>35</v>
      </c>
      <c r="K6646" s="2" t="s">
        <v>2983</v>
      </c>
      <c r="L6646" t="s">
        <v>26</v>
      </c>
      <c r="M6646">
        <v>353506</v>
      </c>
      <c r="N6646">
        <v>1</v>
      </c>
      <c r="O6646" s="3">
        <v>63700</v>
      </c>
      <c r="P6646" s="3">
        <v>21167</v>
      </c>
      <c r="Q6646" s="5">
        <f t="shared" si="309"/>
        <v>53529.411764705888</v>
      </c>
      <c r="R6646" s="5">
        <f t="shared" si="310"/>
        <v>21167</v>
      </c>
      <c r="S6646" s="5">
        <f t="shared" si="311"/>
        <v>32362.411764705888</v>
      </c>
    </row>
    <row r="6647" spans="1:19" hidden="1" x14ac:dyDescent="0.3">
      <c r="A6647">
        <v>210</v>
      </c>
      <c r="B6647" t="s">
        <v>6520</v>
      </c>
      <c r="C6647" t="s">
        <v>4866</v>
      </c>
      <c r="D6647" s="2" t="s">
        <v>4867</v>
      </c>
      <c r="E6647" t="s">
        <v>4753</v>
      </c>
      <c r="F6647" t="s">
        <v>20</v>
      </c>
      <c r="G6647" t="s">
        <v>338</v>
      </c>
      <c r="H6647">
        <v>23313</v>
      </c>
      <c r="I6647" t="s">
        <v>23</v>
      </c>
      <c r="J6647" t="s">
        <v>40</v>
      </c>
      <c r="K6647" s="2" t="s">
        <v>2983</v>
      </c>
      <c r="L6647" t="s">
        <v>26</v>
      </c>
      <c r="M6647">
        <v>353507</v>
      </c>
      <c r="N6647">
        <v>1</v>
      </c>
      <c r="O6647" s="3">
        <v>69950</v>
      </c>
      <c r="P6647" s="3">
        <v>22675</v>
      </c>
      <c r="Q6647" s="5">
        <f t="shared" si="309"/>
        <v>58781.512605042022</v>
      </c>
      <c r="R6647" s="5">
        <f t="shared" si="310"/>
        <v>22675</v>
      </c>
      <c r="S6647" s="5">
        <f t="shared" si="311"/>
        <v>36106.512605042022</v>
      </c>
    </row>
    <row r="6648" spans="1:19" hidden="1" x14ac:dyDescent="0.3">
      <c r="A6648">
        <v>210</v>
      </c>
      <c r="B6648" t="s">
        <v>6520</v>
      </c>
      <c r="C6648" t="s">
        <v>6485</v>
      </c>
      <c r="D6648" s="2" t="s">
        <v>6486</v>
      </c>
      <c r="E6648" t="s">
        <v>6296</v>
      </c>
      <c r="F6648" t="s">
        <v>20</v>
      </c>
      <c r="G6648" t="s">
        <v>338</v>
      </c>
      <c r="H6648">
        <v>85200</v>
      </c>
      <c r="I6648" t="s">
        <v>23</v>
      </c>
      <c r="J6648" t="s">
        <v>35</v>
      </c>
      <c r="K6648" s="2" t="s">
        <v>2983</v>
      </c>
      <c r="L6648" t="s">
        <v>26</v>
      </c>
      <c r="M6648">
        <v>353508</v>
      </c>
      <c r="N6648">
        <v>1</v>
      </c>
      <c r="O6648" s="3">
        <v>89950</v>
      </c>
      <c r="P6648" s="3">
        <v>27253</v>
      </c>
      <c r="Q6648" s="5">
        <f t="shared" si="309"/>
        <v>75588.23529411765</v>
      </c>
      <c r="R6648" s="5">
        <f t="shared" si="310"/>
        <v>27253</v>
      </c>
      <c r="S6648" s="5">
        <f t="shared" si="311"/>
        <v>48335.23529411765</v>
      </c>
    </row>
    <row r="6649" spans="1:19" hidden="1" x14ac:dyDescent="0.3">
      <c r="A6649">
        <v>210</v>
      </c>
      <c r="B6649" t="s">
        <v>6520</v>
      </c>
      <c r="C6649" t="s">
        <v>2882</v>
      </c>
      <c r="D6649" s="2" t="s">
        <v>2883</v>
      </c>
      <c r="E6649" t="s">
        <v>2473</v>
      </c>
      <c r="F6649" t="s">
        <v>20</v>
      </c>
      <c r="G6649" t="s">
        <v>21</v>
      </c>
      <c r="H6649" t="s">
        <v>114</v>
      </c>
      <c r="I6649" t="s">
        <v>23</v>
      </c>
      <c r="J6649" t="s">
        <v>49</v>
      </c>
      <c r="K6649" s="2" t="s">
        <v>2983</v>
      </c>
      <c r="L6649" t="s">
        <v>26</v>
      </c>
      <c r="M6649">
        <v>353509</v>
      </c>
      <c r="N6649">
        <v>1</v>
      </c>
      <c r="O6649" s="3">
        <v>49990</v>
      </c>
      <c r="P6649" s="3">
        <v>23514</v>
      </c>
      <c r="Q6649" s="5">
        <f t="shared" si="309"/>
        <v>42008.403361344543</v>
      </c>
      <c r="R6649" s="5">
        <f t="shared" si="310"/>
        <v>23514</v>
      </c>
      <c r="S6649" s="5">
        <f t="shared" si="311"/>
        <v>18494.403361344543</v>
      </c>
    </row>
    <row r="6650" spans="1:19" hidden="1" x14ac:dyDescent="0.3">
      <c r="A6650">
        <v>210</v>
      </c>
      <c r="B6650" t="s">
        <v>6520</v>
      </c>
      <c r="C6650">
        <v>1687976791</v>
      </c>
      <c r="D6650" s="2" t="s">
        <v>200</v>
      </c>
      <c r="E6650" t="s">
        <v>201</v>
      </c>
      <c r="F6650" t="s">
        <v>201</v>
      </c>
      <c r="G6650" t="s">
        <v>202</v>
      </c>
      <c r="H6650" t="s">
        <v>202</v>
      </c>
      <c r="I6650" t="s">
        <v>23</v>
      </c>
      <c r="J6650" t="s">
        <v>202</v>
      </c>
      <c r="K6650" s="2" t="s">
        <v>2983</v>
      </c>
      <c r="L6650" t="s">
        <v>26</v>
      </c>
      <c r="M6650">
        <v>353509</v>
      </c>
      <c r="N6650">
        <v>1</v>
      </c>
      <c r="O6650" s="3">
        <v>2000</v>
      </c>
      <c r="P6650">
        <v>1</v>
      </c>
      <c r="Q6650" s="5">
        <f t="shared" si="309"/>
        <v>1680.6722689075632</v>
      </c>
      <c r="R6650" s="5">
        <f t="shared" si="310"/>
        <v>1</v>
      </c>
      <c r="S6650" s="5">
        <f t="shared" si="311"/>
        <v>1679.6722689075632</v>
      </c>
    </row>
    <row r="6651" spans="1:19" hidden="1" x14ac:dyDescent="0.3">
      <c r="A6651">
        <v>210</v>
      </c>
      <c r="B6651" t="s">
        <v>6520</v>
      </c>
      <c r="C6651" t="s">
        <v>2266</v>
      </c>
      <c r="D6651" s="2" t="s">
        <v>2267</v>
      </c>
      <c r="E6651" t="s">
        <v>2069</v>
      </c>
      <c r="F6651" t="s">
        <v>20</v>
      </c>
      <c r="G6651" t="s">
        <v>21</v>
      </c>
      <c r="H6651" t="s">
        <v>2070</v>
      </c>
      <c r="I6651" t="s">
        <v>23</v>
      </c>
      <c r="J6651" t="s">
        <v>35</v>
      </c>
      <c r="K6651" s="2" t="s">
        <v>2983</v>
      </c>
      <c r="L6651" t="s">
        <v>26</v>
      </c>
      <c r="M6651">
        <v>353510</v>
      </c>
      <c r="N6651">
        <v>1</v>
      </c>
      <c r="O6651" s="3">
        <v>89950</v>
      </c>
      <c r="P6651" s="3">
        <v>29635</v>
      </c>
      <c r="Q6651" s="5">
        <f t="shared" si="309"/>
        <v>75588.23529411765</v>
      </c>
      <c r="R6651" s="5">
        <f t="shared" si="310"/>
        <v>29635</v>
      </c>
      <c r="S6651" s="5">
        <f t="shared" si="311"/>
        <v>45953.23529411765</v>
      </c>
    </row>
    <row r="6652" spans="1:19" hidden="1" x14ac:dyDescent="0.3">
      <c r="A6652">
        <v>210</v>
      </c>
      <c r="B6652" t="s">
        <v>6520</v>
      </c>
      <c r="C6652" t="s">
        <v>2321</v>
      </c>
      <c r="D6652" s="2" t="s">
        <v>2322</v>
      </c>
      <c r="E6652" t="s">
        <v>2323</v>
      </c>
      <c r="F6652" t="s">
        <v>20</v>
      </c>
      <c r="G6652" t="s">
        <v>21</v>
      </c>
      <c r="H6652" t="s">
        <v>1887</v>
      </c>
      <c r="I6652" t="s">
        <v>23</v>
      </c>
      <c r="J6652" t="s">
        <v>40</v>
      </c>
      <c r="K6652" s="2" t="s">
        <v>2983</v>
      </c>
      <c r="L6652" t="s">
        <v>26</v>
      </c>
      <c r="M6652">
        <v>353511</v>
      </c>
      <c r="N6652">
        <v>1</v>
      </c>
      <c r="O6652" s="3">
        <v>69950</v>
      </c>
      <c r="P6652" s="3">
        <v>21623</v>
      </c>
      <c r="Q6652" s="5">
        <f t="shared" si="309"/>
        <v>58781.512605042022</v>
      </c>
      <c r="R6652" s="5">
        <f t="shared" si="310"/>
        <v>21623</v>
      </c>
      <c r="S6652" s="5">
        <f t="shared" si="311"/>
        <v>37158.512605042022</v>
      </c>
    </row>
    <row r="6653" spans="1:19" hidden="1" x14ac:dyDescent="0.3">
      <c r="A6653">
        <v>210</v>
      </c>
      <c r="B6653" t="s">
        <v>6520</v>
      </c>
      <c r="C6653" t="s">
        <v>6055</v>
      </c>
      <c r="D6653" s="2" t="s">
        <v>6056</v>
      </c>
      <c r="E6653" t="s">
        <v>3421</v>
      </c>
      <c r="F6653" t="s">
        <v>20</v>
      </c>
      <c r="G6653" t="s">
        <v>21</v>
      </c>
      <c r="H6653" t="s">
        <v>1755</v>
      </c>
      <c r="I6653" t="s">
        <v>23</v>
      </c>
      <c r="J6653" t="s">
        <v>35</v>
      </c>
      <c r="K6653" s="2" t="s">
        <v>3074</v>
      </c>
      <c r="L6653" t="s">
        <v>26</v>
      </c>
      <c r="M6653">
        <v>353512</v>
      </c>
      <c r="N6653">
        <v>1</v>
      </c>
      <c r="O6653" s="3">
        <v>59990</v>
      </c>
      <c r="P6653" s="3">
        <v>28298</v>
      </c>
      <c r="Q6653" s="5">
        <f t="shared" si="309"/>
        <v>50411.764705882357</v>
      </c>
      <c r="R6653" s="5">
        <f t="shared" si="310"/>
        <v>28298</v>
      </c>
      <c r="S6653" s="5">
        <f t="shared" si="311"/>
        <v>22113.764705882357</v>
      </c>
    </row>
    <row r="6654" spans="1:19" hidden="1" x14ac:dyDescent="0.3">
      <c r="A6654">
        <v>210</v>
      </c>
      <c r="B6654" t="s">
        <v>6520</v>
      </c>
      <c r="C6654" t="s">
        <v>5818</v>
      </c>
      <c r="D6654" s="2" t="s">
        <v>5819</v>
      </c>
      <c r="E6654" t="s">
        <v>2718</v>
      </c>
      <c r="F6654" t="s">
        <v>20</v>
      </c>
      <c r="G6654" t="s">
        <v>21</v>
      </c>
      <c r="H6654" t="s">
        <v>1887</v>
      </c>
      <c r="I6654" t="s">
        <v>23</v>
      </c>
      <c r="J6654" t="s">
        <v>40</v>
      </c>
      <c r="K6654" s="2" t="s">
        <v>3074</v>
      </c>
      <c r="L6654" t="s">
        <v>26</v>
      </c>
      <c r="M6654">
        <v>353513</v>
      </c>
      <c r="N6654">
        <v>1</v>
      </c>
      <c r="O6654" s="3">
        <v>69950</v>
      </c>
      <c r="P6654" s="3">
        <v>22018</v>
      </c>
      <c r="Q6654" s="5">
        <f t="shared" si="309"/>
        <v>58781.512605042022</v>
      </c>
      <c r="R6654" s="5">
        <f t="shared" si="310"/>
        <v>22018</v>
      </c>
      <c r="S6654" s="5">
        <f t="shared" si="311"/>
        <v>36763.512605042022</v>
      </c>
    </row>
    <row r="6655" spans="1:19" hidden="1" x14ac:dyDescent="0.3">
      <c r="A6655">
        <v>210</v>
      </c>
      <c r="B6655" t="s">
        <v>6520</v>
      </c>
      <c r="C6655" t="s">
        <v>6561</v>
      </c>
      <c r="D6655" s="2" t="s">
        <v>6562</v>
      </c>
      <c r="E6655" t="s">
        <v>3048</v>
      </c>
      <c r="F6655" t="s">
        <v>20</v>
      </c>
      <c r="G6655" t="s">
        <v>21</v>
      </c>
      <c r="H6655" t="s">
        <v>2484</v>
      </c>
      <c r="I6655" t="s">
        <v>23</v>
      </c>
      <c r="J6655" t="s">
        <v>40</v>
      </c>
      <c r="K6655" s="2" t="s">
        <v>3074</v>
      </c>
      <c r="L6655" t="s">
        <v>26</v>
      </c>
      <c r="M6655">
        <v>353513</v>
      </c>
      <c r="N6655">
        <v>-1</v>
      </c>
      <c r="O6655" s="3">
        <v>-59950</v>
      </c>
      <c r="P6655" s="3">
        <v>17503</v>
      </c>
      <c r="Q6655" s="5">
        <f t="shared" si="309"/>
        <v>-50378.151260504201</v>
      </c>
      <c r="R6655" s="5">
        <f t="shared" si="310"/>
        <v>-17503</v>
      </c>
      <c r="S6655" s="5">
        <f t="shared" si="311"/>
        <v>-32875.151260504201</v>
      </c>
    </row>
    <row r="6656" spans="1:19" hidden="1" x14ac:dyDescent="0.3">
      <c r="A6656">
        <v>210</v>
      </c>
      <c r="B6656" t="s">
        <v>6520</v>
      </c>
      <c r="C6656" t="s">
        <v>4041</v>
      </c>
      <c r="D6656" s="2" t="s">
        <v>4042</v>
      </c>
      <c r="E6656" t="s">
        <v>516</v>
      </c>
      <c r="F6656" t="s">
        <v>20</v>
      </c>
      <c r="G6656" t="s">
        <v>338</v>
      </c>
      <c r="H6656">
        <v>23763</v>
      </c>
      <c r="I6656" t="s">
        <v>23</v>
      </c>
      <c r="J6656" t="s">
        <v>40</v>
      </c>
      <c r="K6656" s="2" t="s">
        <v>3074</v>
      </c>
      <c r="L6656" t="s">
        <v>26</v>
      </c>
      <c r="M6656">
        <v>353514</v>
      </c>
      <c r="N6656">
        <v>1</v>
      </c>
      <c r="O6656" s="3">
        <v>59950</v>
      </c>
      <c r="P6656" s="3">
        <v>19813</v>
      </c>
      <c r="Q6656" s="5">
        <f t="shared" si="309"/>
        <v>50378.151260504201</v>
      </c>
      <c r="R6656" s="5">
        <f t="shared" si="310"/>
        <v>19813</v>
      </c>
      <c r="S6656" s="5">
        <f t="shared" si="311"/>
        <v>30565.151260504201</v>
      </c>
    </row>
    <row r="6657" spans="1:19" hidden="1" x14ac:dyDescent="0.3">
      <c r="A6657">
        <v>210</v>
      </c>
      <c r="B6657" t="s">
        <v>6520</v>
      </c>
      <c r="C6657" t="s">
        <v>5919</v>
      </c>
      <c r="D6657" s="2" t="s">
        <v>5920</v>
      </c>
      <c r="E6657" t="s">
        <v>3335</v>
      </c>
      <c r="F6657" t="s">
        <v>20</v>
      </c>
      <c r="G6657" t="s">
        <v>338</v>
      </c>
      <c r="H6657">
        <v>25273</v>
      </c>
      <c r="I6657" t="s">
        <v>23</v>
      </c>
      <c r="J6657" t="s">
        <v>35</v>
      </c>
      <c r="K6657" s="2" t="s">
        <v>3074</v>
      </c>
      <c r="L6657" t="s">
        <v>26</v>
      </c>
      <c r="M6657">
        <v>353515</v>
      </c>
      <c r="N6657">
        <v>1</v>
      </c>
      <c r="O6657" s="3">
        <v>99950</v>
      </c>
      <c r="P6657" s="3">
        <v>32658</v>
      </c>
      <c r="Q6657" s="5">
        <f t="shared" si="309"/>
        <v>83991.596638655465</v>
      </c>
      <c r="R6657" s="5">
        <f t="shared" si="310"/>
        <v>32658</v>
      </c>
      <c r="S6657" s="5">
        <f t="shared" si="311"/>
        <v>51333.596638655465</v>
      </c>
    </row>
    <row r="6658" spans="1:19" hidden="1" x14ac:dyDescent="0.3">
      <c r="A6658">
        <v>210</v>
      </c>
      <c r="B6658" t="s">
        <v>6520</v>
      </c>
      <c r="C6658" t="s">
        <v>6089</v>
      </c>
      <c r="D6658" s="2" t="s">
        <v>6090</v>
      </c>
      <c r="E6658" t="s">
        <v>3531</v>
      </c>
      <c r="F6658" t="s">
        <v>20</v>
      </c>
      <c r="G6658" t="s">
        <v>338</v>
      </c>
      <c r="H6658">
        <v>84316</v>
      </c>
      <c r="I6658" t="s">
        <v>23</v>
      </c>
      <c r="J6658" t="s">
        <v>49</v>
      </c>
      <c r="K6658" s="2" t="s">
        <v>3074</v>
      </c>
      <c r="L6658" t="s">
        <v>26</v>
      </c>
      <c r="M6658">
        <v>353516</v>
      </c>
      <c r="N6658">
        <v>1</v>
      </c>
      <c r="O6658" s="3">
        <v>89950</v>
      </c>
      <c r="P6658" s="3">
        <v>31128</v>
      </c>
      <c r="Q6658" s="5">
        <f t="shared" si="309"/>
        <v>75588.23529411765</v>
      </c>
      <c r="R6658" s="5">
        <f t="shared" si="310"/>
        <v>31128</v>
      </c>
      <c r="S6658" s="5">
        <f t="shared" si="311"/>
        <v>44460.23529411765</v>
      </c>
    </row>
    <row r="6659" spans="1:19" hidden="1" x14ac:dyDescent="0.3">
      <c r="A6659">
        <v>210</v>
      </c>
      <c r="B6659" t="s">
        <v>6520</v>
      </c>
      <c r="C6659" t="s">
        <v>1037</v>
      </c>
      <c r="D6659" s="2" t="s">
        <v>1038</v>
      </c>
      <c r="E6659" t="s">
        <v>1039</v>
      </c>
      <c r="F6659" t="s">
        <v>377</v>
      </c>
      <c r="G6659" t="s">
        <v>21</v>
      </c>
      <c r="H6659" t="s">
        <v>378</v>
      </c>
      <c r="I6659" t="s">
        <v>23</v>
      </c>
      <c r="J6659" t="s">
        <v>379</v>
      </c>
      <c r="K6659" s="2" t="s">
        <v>3074</v>
      </c>
      <c r="L6659" t="s">
        <v>26</v>
      </c>
      <c r="M6659">
        <v>353517</v>
      </c>
      <c r="N6659">
        <v>1</v>
      </c>
      <c r="O6659" s="3">
        <v>5950</v>
      </c>
      <c r="P6659" s="3">
        <v>3257</v>
      </c>
      <c r="Q6659" s="5">
        <f t="shared" si="309"/>
        <v>5000</v>
      </c>
      <c r="R6659" s="5">
        <f t="shared" si="310"/>
        <v>3257</v>
      </c>
      <c r="S6659" s="5">
        <f t="shared" si="311"/>
        <v>1743</v>
      </c>
    </row>
    <row r="6660" spans="1:19" hidden="1" x14ac:dyDescent="0.3">
      <c r="A6660">
        <v>210</v>
      </c>
      <c r="B6660" t="s">
        <v>6520</v>
      </c>
      <c r="C6660" t="s">
        <v>2796</v>
      </c>
      <c r="D6660" s="2" t="s">
        <v>2797</v>
      </c>
      <c r="E6660" t="s">
        <v>1453</v>
      </c>
      <c r="F6660" t="s">
        <v>20</v>
      </c>
      <c r="G6660" t="s">
        <v>338</v>
      </c>
      <c r="H6660">
        <v>22410</v>
      </c>
      <c r="I6660" t="s">
        <v>23</v>
      </c>
      <c r="J6660" t="s">
        <v>49</v>
      </c>
      <c r="K6660" s="2" t="s">
        <v>3074</v>
      </c>
      <c r="L6660" t="s">
        <v>26</v>
      </c>
      <c r="M6660">
        <v>353518</v>
      </c>
      <c r="N6660">
        <v>1</v>
      </c>
      <c r="O6660" s="3">
        <v>69950</v>
      </c>
      <c r="P6660" s="3">
        <v>20848</v>
      </c>
      <c r="Q6660" s="5">
        <f t="shared" si="309"/>
        <v>58781.512605042022</v>
      </c>
      <c r="R6660" s="5">
        <f t="shared" si="310"/>
        <v>20848</v>
      </c>
      <c r="S6660" s="5">
        <f t="shared" si="311"/>
        <v>37933.512605042022</v>
      </c>
    </row>
    <row r="6661" spans="1:19" hidden="1" x14ac:dyDescent="0.3">
      <c r="A6661">
        <v>210</v>
      </c>
      <c r="B6661" t="s">
        <v>6520</v>
      </c>
      <c r="C6661" t="s">
        <v>5128</v>
      </c>
      <c r="D6661" s="2" t="s">
        <v>5129</v>
      </c>
      <c r="E6661" t="s">
        <v>1436</v>
      </c>
      <c r="F6661" t="s">
        <v>20</v>
      </c>
      <c r="G6661" t="s">
        <v>21</v>
      </c>
      <c r="H6661" t="s">
        <v>500</v>
      </c>
      <c r="I6661" t="s">
        <v>23</v>
      </c>
      <c r="J6661" t="s">
        <v>40</v>
      </c>
      <c r="K6661" s="2" t="s">
        <v>3074</v>
      </c>
      <c r="L6661" t="s">
        <v>26</v>
      </c>
      <c r="M6661">
        <v>353519</v>
      </c>
      <c r="N6661">
        <v>-1</v>
      </c>
      <c r="O6661" s="3">
        <v>-59950</v>
      </c>
      <c r="P6661" s="3">
        <v>17591</v>
      </c>
      <c r="Q6661" s="5">
        <f t="shared" si="309"/>
        <v>-50378.151260504201</v>
      </c>
      <c r="R6661" s="5">
        <f t="shared" si="310"/>
        <v>-17591</v>
      </c>
      <c r="S6661" s="5">
        <f t="shared" si="311"/>
        <v>-32787.151260504201</v>
      </c>
    </row>
    <row r="6662" spans="1:19" hidden="1" x14ac:dyDescent="0.3">
      <c r="A6662">
        <v>210</v>
      </c>
      <c r="B6662" t="s">
        <v>6520</v>
      </c>
      <c r="C6662" t="s">
        <v>6626</v>
      </c>
      <c r="D6662" s="2" t="s">
        <v>6627</v>
      </c>
      <c r="E6662" t="s">
        <v>1436</v>
      </c>
      <c r="F6662" t="s">
        <v>20</v>
      </c>
      <c r="G6662" t="s">
        <v>21</v>
      </c>
      <c r="H6662" t="s">
        <v>500</v>
      </c>
      <c r="I6662" t="s">
        <v>23</v>
      </c>
      <c r="J6662" t="s">
        <v>40</v>
      </c>
      <c r="K6662" s="2" t="s">
        <v>3074</v>
      </c>
      <c r="L6662" t="s">
        <v>26</v>
      </c>
      <c r="M6662">
        <v>353519</v>
      </c>
      <c r="N6662">
        <v>1</v>
      </c>
      <c r="O6662" s="3">
        <v>59951</v>
      </c>
      <c r="P6662" s="3">
        <v>17591</v>
      </c>
      <c r="Q6662" s="5">
        <f t="shared" ref="Q6662:Q6725" si="312">O6662/1.19</f>
        <v>50378.991596638654</v>
      </c>
      <c r="R6662" s="5">
        <f t="shared" ref="R6662:R6725" si="313">N6662*P6662</f>
        <v>17591</v>
      </c>
      <c r="S6662" s="5">
        <f t="shared" ref="S6662:S6725" si="314">Q6662-R6662</f>
        <v>32787.991596638654</v>
      </c>
    </row>
    <row r="6663" spans="1:19" hidden="1" x14ac:dyDescent="0.3">
      <c r="A6663">
        <v>210</v>
      </c>
      <c r="B6663" t="s">
        <v>6520</v>
      </c>
      <c r="C6663" t="s">
        <v>3275</v>
      </c>
      <c r="D6663" s="2" t="s">
        <v>3276</v>
      </c>
      <c r="E6663" t="s">
        <v>3277</v>
      </c>
      <c r="F6663" t="s">
        <v>20</v>
      </c>
      <c r="G6663" t="s">
        <v>21</v>
      </c>
      <c r="H6663" t="s">
        <v>57</v>
      </c>
      <c r="I6663" t="s">
        <v>23</v>
      </c>
      <c r="J6663" t="s">
        <v>35</v>
      </c>
      <c r="K6663" s="2" t="s">
        <v>3074</v>
      </c>
      <c r="L6663" t="s">
        <v>26</v>
      </c>
      <c r="M6663">
        <v>353520</v>
      </c>
      <c r="N6663">
        <v>1</v>
      </c>
      <c r="O6663" s="3">
        <v>89950</v>
      </c>
      <c r="P6663" s="3">
        <v>30749</v>
      </c>
      <c r="Q6663" s="5">
        <f t="shared" si="312"/>
        <v>75588.23529411765</v>
      </c>
      <c r="R6663" s="5">
        <f t="shared" si="313"/>
        <v>30749</v>
      </c>
      <c r="S6663" s="5">
        <f t="shared" si="314"/>
        <v>44839.23529411765</v>
      </c>
    </row>
    <row r="6664" spans="1:19" hidden="1" x14ac:dyDescent="0.3">
      <c r="A6664">
        <v>210</v>
      </c>
      <c r="B6664" t="s">
        <v>6520</v>
      </c>
      <c r="C6664">
        <v>1687976791</v>
      </c>
      <c r="D6664" s="2" t="s">
        <v>200</v>
      </c>
      <c r="E6664" t="s">
        <v>201</v>
      </c>
      <c r="F6664" t="s">
        <v>201</v>
      </c>
      <c r="G6664" t="s">
        <v>202</v>
      </c>
      <c r="H6664" t="s">
        <v>202</v>
      </c>
      <c r="I6664" t="s">
        <v>23</v>
      </c>
      <c r="J6664" t="s">
        <v>202</v>
      </c>
      <c r="K6664" s="2" t="s">
        <v>3074</v>
      </c>
      <c r="L6664" t="s">
        <v>26</v>
      </c>
      <c r="M6664">
        <v>353521</v>
      </c>
      <c r="N6664">
        <v>1</v>
      </c>
      <c r="O6664">
        <v>1</v>
      </c>
      <c r="P6664">
        <v>1</v>
      </c>
      <c r="Q6664" s="5">
        <f t="shared" si="312"/>
        <v>0.84033613445378152</v>
      </c>
      <c r="R6664" s="5">
        <f t="shared" si="313"/>
        <v>1</v>
      </c>
      <c r="S6664" s="5">
        <f t="shared" si="314"/>
        <v>-0.15966386554621848</v>
      </c>
    </row>
    <row r="6665" spans="1:19" hidden="1" x14ac:dyDescent="0.3">
      <c r="A6665">
        <v>210</v>
      </c>
      <c r="B6665" t="s">
        <v>6520</v>
      </c>
      <c r="C6665" t="s">
        <v>6628</v>
      </c>
      <c r="D6665" s="2" t="s">
        <v>6629</v>
      </c>
      <c r="E6665" t="s">
        <v>4976</v>
      </c>
      <c r="F6665" t="s">
        <v>20</v>
      </c>
      <c r="G6665" t="s">
        <v>338</v>
      </c>
      <c r="H6665">
        <v>23313</v>
      </c>
      <c r="I6665" t="s">
        <v>23</v>
      </c>
      <c r="J6665" t="s">
        <v>40</v>
      </c>
      <c r="K6665" s="2" t="s">
        <v>3074</v>
      </c>
      <c r="L6665" t="s">
        <v>26</v>
      </c>
      <c r="M6665">
        <v>353521</v>
      </c>
      <c r="N6665">
        <v>1</v>
      </c>
      <c r="O6665" s="3">
        <v>49990</v>
      </c>
      <c r="P6665" s="3">
        <v>23745</v>
      </c>
      <c r="Q6665" s="5">
        <f t="shared" si="312"/>
        <v>42008.403361344543</v>
      </c>
      <c r="R6665" s="5">
        <f t="shared" si="313"/>
        <v>23745</v>
      </c>
      <c r="S6665" s="5">
        <f t="shared" si="314"/>
        <v>18263.403361344543</v>
      </c>
    </row>
    <row r="6666" spans="1:19" hidden="1" x14ac:dyDescent="0.3">
      <c r="A6666">
        <v>210</v>
      </c>
      <c r="B6666" t="s">
        <v>6520</v>
      </c>
      <c r="C6666" t="s">
        <v>3647</v>
      </c>
      <c r="D6666" s="2" t="s">
        <v>3648</v>
      </c>
      <c r="E6666" t="s">
        <v>316</v>
      </c>
      <c r="F6666" t="s">
        <v>20</v>
      </c>
      <c r="G6666" t="s">
        <v>21</v>
      </c>
      <c r="H6666" t="s">
        <v>317</v>
      </c>
      <c r="I6666" t="s">
        <v>23</v>
      </c>
      <c r="J6666" t="s">
        <v>35</v>
      </c>
      <c r="K6666" s="2" t="s">
        <v>3074</v>
      </c>
      <c r="L6666" t="s">
        <v>26</v>
      </c>
      <c r="M6666">
        <v>353522</v>
      </c>
      <c r="N6666">
        <v>1</v>
      </c>
      <c r="O6666" s="3">
        <v>69950</v>
      </c>
      <c r="P6666" s="3">
        <v>24893</v>
      </c>
      <c r="Q6666" s="5">
        <f t="shared" si="312"/>
        <v>58781.512605042022</v>
      </c>
      <c r="R6666" s="5">
        <f t="shared" si="313"/>
        <v>24893</v>
      </c>
      <c r="S6666" s="5">
        <f t="shared" si="314"/>
        <v>33888.512605042022</v>
      </c>
    </row>
    <row r="6667" spans="1:19" hidden="1" x14ac:dyDescent="0.3">
      <c r="A6667">
        <v>210</v>
      </c>
      <c r="B6667" t="s">
        <v>6520</v>
      </c>
      <c r="C6667" t="s">
        <v>3007</v>
      </c>
      <c r="D6667" s="2" t="s">
        <v>3008</v>
      </c>
      <c r="E6667" t="s">
        <v>2986</v>
      </c>
      <c r="F6667" t="s">
        <v>20</v>
      </c>
      <c r="G6667" t="s">
        <v>21</v>
      </c>
      <c r="H6667" t="s">
        <v>267</v>
      </c>
      <c r="I6667" t="s">
        <v>23</v>
      </c>
      <c r="J6667" t="s">
        <v>35</v>
      </c>
      <c r="K6667" s="2" t="s">
        <v>3074</v>
      </c>
      <c r="L6667" t="s">
        <v>26</v>
      </c>
      <c r="M6667">
        <v>353523</v>
      </c>
      <c r="N6667">
        <v>1</v>
      </c>
      <c r="O6667" s="3">
        <v>59990</v>
      </c>
      <c r="P6667" s="3">
        <v>24733</v>
      </c>
      <c r="Q6667" s="5">
        <f t="shared" si="312"/>
        <v>50411.764705882357</v>
      </c>
      <c r="R6667" s="5">
        <f t="shared" si="313"/>
        <v>24733</v>
      </c>
      <c r="S6667" s="5">
        <f t="shared" si="314"/>
        <v>25678.764705882357</v>
      </c>
    </row>
    <row r="6668" spans="1:19" hidden="1" x14ac:dyDescent="0.3">
      <c r="A6668">
        <v>210</v>
      </c>
      <c r="B6668" t="s">
        <v>6520</v>
      </c>
      <c r="C6668" t="s">
        <v>5057</v>
      </c>
      <c r="D6668" s="2" t="s">
        <v>5058</v>
      </c>
      <c r="E6668" t="s">
        <v>3666</v>
      </c>
      <c r="F6668" t="s">
        <v>20</v>
      </c>
      <c r="G6668" t="s">
        <v>338</v>
      </c>
      <c r="H6668">
        <v>24316</v>
      </c>
      <c r="I6668" t="s">
        <v>23</v>
      </c>
      <c r="J6668" t="s">
        <v>49</v>
      </c>
      <c r="K6668" s="2" t="s">
        <v>3074</v>
      </c>
      <c r="L6668" t="s">
        <v>26</v>
      </c>
      <c r="M6668">
        <v>353524</v>
      </c>
      <c r="N6668">
        <v>1</v>
      </c>
      <c r="O6668" s="3">
        <v>74950</v>
      </c>
      <c r="P6668" s="3">
        <v>23473</v>
      </c>
      <c r="Q6668" s="5">
        <f t="shared" si="312"/>
        <v>62983.193277310929</v>
      </c>
      <c r="R6668" s="5">
        <f t="shared" si="313"/>
        <v>23473</v>
      </c>
      <c r="S6668" s="5">
        <f t="shared" si="314"/>
        <v>39510.193277310929</v>
      </c>
    </row>
    <row r="6669" spans="1:19" hidden="1" x14ac:dyDescent="0.3">
      <c r="A6669">
        <v>210</v>
      </c>
      <c r="B6669" t="s">
        <v>6520</v>
      </c>
      <c r="C6669" t="s">
        <v>3900</v>
      </c>
      <c r="D6669" s="2" t="s">
        <v>3901</v>
      </c>
      <c r="E6669" t="s">
        <v>2275</v>
      </c>
      <c r="F6669" t="s">
        <v>20</v>
      </c>
      <c r="G6669" t="s">
        <v>21</v>
      </c>
      <c r="H6669" t="s">
        <v>783</v>
      </c>
      <c r="I6669" t="s">
        <v>23</v>
      </c>
      <c r="J6669" t="s">
        <v>40</v>
      </c>
      <c r="K6669" s="2" t="s">
        <v>3074</v>
      </c>
      <c r="L6669" t="s">
        <v>26</v>
      </c>
      <c r="M6669">
        <v>353525</v>
      </c>
      <c r="N6669">
        <v>-1</v>
      </c>
      <c r="O6669" s="3">
        <v>-34990</v>
      </c>
      <c r="P6669" s="3">
        <v>17194</v>
      </c>
      <c r="Q6669" s="5">
        <f t="shared" si="312"/>
        <v>-29403.361344537818</v>
      </c>
      <c r="R6669" s="5">
        <f t="shared" si="313"/>
        <v>-17194</v>
      </c>
      <c r="S6669" s="5">
        <f t="shared" si="314"/>
        <v>-12209.361344537818</v>
      </c>
    </row>
    <row r="6670" spans="1:19" hidden="1" x14ac:dyDescent="0.3">
      <c r="A6670">
        <v>210</v>
      </c>
      <c r="B6670" t="s">
        <v>6520</v>
      </c>
      <c r="C6670" t="s">
        <v>6630</v>
      </c>
      <c r="D6670" s="2" t="s">
        <v>6631</v>
      </c>
      <c r="E6670" t="s">
        <v>2803</v>
      </c>
      <c r="F6670" t="s">
        <v>20</v>
      </c>
      <c r="G6670" t="s">
        <v>338</v>
      </c>
      <c r="H6670">
        <v>23726</v>
      </c>
      <c r="I6670" t="s">
        <v>23</v>
      </c>
      <c r="J6670" t="s">
        <v>40</v>
      </c>
      <c r="K6670" s="2" t="s">
        <v>3074</v>
      </c>
      <c r="L6670" t="s">
        <v>26</v>
      </c>
      <c r="M6670">
        <v>353525</v>
      </c>
      <c r="N6670">
        <v>1</v>
      </c>
      <c r="O6670" s="3">
        <v>89950</v>
      </c>
      <c r="P6670" s="3">
        <v>29798</v>
      </c>
      <c r="Q6670" s="5">
        <f t="shared" si="312"/>
        <v>75588.23529411765</v>
      </c>
      <c r="R6670" s="5">
        <f t="shared" si="313"/>
        <v>29798</v>
      </c>
      <c r="S6670" s="5">
        <f t="shared" si="314"/>
        <v>45790.23529411765</v>
      </c>
    </row>
    <row r="6671" spans="1:19" hidden="1" x14ac:dyDescent="0.3">
      <c r="A6671">
        <v>210</v>
      </c>
      <c r="B6671" t="s">
        <v>6520</v>
      </c>
      <c r="C6671" t="s">
        <v>4538</v>
      </c>
      <c r="D6671" s="2" t="s">
        <v>4539</v>
      </c>
      <c r="E6671" t="s">
        <v>4540</v>
      </c>
      <c r="F6671" t="s">
        <v>20</v>
      </c>
      <c r="G6671" t="s">
        <v>338</v>
      </c>
      <c r="H6671">
        <v>25623</v>
      </c>
      <c r="I6671" t="s">
        <v>23</v>
      </c>
      <c r="J6671" t="s">
        <v>31</v>
      </c>
      <c r="K6671" s="2" t="s">
        <v>3074</v>
      </c>
      <c r="L6671" t="s">
        <v>26</v>
      </c>
      <c r="M6671">
        <v>353526</v>
      </c>
      <c r="N6671">
        <v>1</v>
      </c>
      <c r="O6671" s="3">
        <v>99950</v>
      </c>
      <c r="P6671" s="3">
        <v>33748</v>
      </c>
      <c r="Q6671" s="5">
        <f t="shared" si="312"/>
        <v>83991.596638655465</v>
      </c>
      <c r="R6671" s="5">
        <f t="shared" si="313"/>
        <v>33748</v>
      </c>
      <c r="S6671" s="5">
        <f t="shared" si="314"/>
        <v>50243.596638655465</v>
      </c>
    </row>
    <row r="6672" spans="1:19" hidden="1" x14ac:dyDescent="0.3">
      <c r="A6672">
        <v>210</v>
      </c>
      <c r="B6672" t="s">
        <v>6520</v>
      </c>
      <c r="C6672" t="s">
        <v>1761</v>
      </c>
      <c r="D6672" s="2" t="s">
        <v>1762</v>
      </c>
      <c r="E6672" t="s">
        <v>1763</v>
      </c>
      <c r="F6672" t="s">
        <v>377</v>
      </c>
      <c r="G6672" t="s">
        <v>21</v>
      </c>
      <c r="H6672" t="s">
        <v>378</v>
      </c>
      <c r="I6672" t="s">
        <v>23</v>
      </c>
      <c r="J6672" t="s">
        <v>379</v>
      </c>
      <c r="K6672" s="2" t="s">
        <v>3074</v>
      </c>
      <c r="L6672" t="s">
        <v>26</v>
      </c>
      <c r="M6672">
        <v>353527</v>
      </c>
      <c r="N6672">
        <v>1</v>
      </c>
      <c r="O6672" s="3">
        <v>5950</v>
      </c>
      <c r="P6672" s="3">
        <v>3279</v>
      </c>
      <c r="Q6672" s="5">
        <f t="shared" si="312"/>
        <v>5000</v>
      </c>
      <c r="R6672" s="5">
        <f t="shared" si="313"/>
        <v>3279</v>
      </c>
      <c r="S6672" s="5">
        <f t="shared" si="314"/>
        <v>1721</v>
      </c>
    </row>
    <row r="6673" spans="1:19" hidden="1" x14ac:dyDescent="0.3">
      <c r="A6673">
        <v>210</v>
      </c>
      <c r="B6673" t="s">
        <v>6520</v>
      </c>
      <c r="C6673" t="s">
        <v>4870</v>
      </c>
      <c r="D6673" s="2" t="s">
        <v>4871</v>
      </c>
      <c r="E6673" t="s">
        <v>1281</v>
      </c>
      <c r="F6673" t="s">
        <v>20</v>
      </c>
      <c r="G6673" t="s">
        <v>21</v>
      </c>
      <c r="H6673" t="s">
        <v>1282</v>
      </c>
      <c r="I6673" t="s">
        <v>23</v>
      </c>
      <c r="J6673" t="s">
        <v>40</v>
      </c>
      <c r="K6673" s="2" t="s">
        <v>3074</v>
      </c>
      <c r="L6673" t="s">
        <v>26</v>
      </c>
      <c r="M6673">
        <v>353528</v>
      </c>
      <c r="N6673">
        <v>-1</v>
      </c>
      <c r="O6673" s="3">
        <v>-49950</v>
      </c>
      <c r="P6673" s="3">
        <v>13922</v>
      </c>
      <c r="Q6673" s="5">
        <f t="shared" si="312"/>
        <v>-41974.789915966387</v>
      </c>
      <c r="R6673" s="5">
        <f t="shared" si="313"/>
        <v>-13922</v>
      </c>
      <c r="S6673" s="5">
        <f t="shared" si="314"/>
        <v>-28052.789915966387</v>
      </c>
    </row>
    <row r="6674" spans="1:19" hidden="1" x14ac:dyDescent="0.3">
      <c r="A6674">
        <v>210</v>
      </c>
      <c r="B6674" t="s">
        <v>6520</v>
      </c>
      <c r="C6674" t="s">
        <v>3758</v>
      </c>
      <c r="D6674" s="2" t="s">
        <v>3759</v>
      </c>
      <c r="E6674" t="s">
        <v>2711</v>
      </c>
      <c r="F6674" t="s">
        <v>20</v>
      </c>
      <c r="G6674" t="s">
        <v>21</v>
      </c>
      <c r="H6674" t="s">
        <v>614</v>
      </c>
      <c r="I6674" t="s">
        <v>23</v>
      </c>
      <c r="J6674" t="s">
        <v>40</v>
      </c>
      <c r="K6674" s="2" t="s">
        <v>3074</v>
      </c>
      <c r="L6674" t="s">
        <v>26</v>
      </c>
      <c r="M6674">
        <v>353528</v>
      </c>
      <c r="N6674">
        <v>1</v>
      </c>
      <c r="O6674" s="3">
        <v>39990</v>
      </c>
      <c r="P6674" s="3">
        <v>17070</v>
      </c>
      <c r="Q6674" s="5">
        <f t="shared" si="312"/>
        <v>33605.042016806721</v>
      </c>
      <c r="R6674" s="5">
        <f t="shared" si="313"/>
        <v>17070</v>
      </c>
      <c r="S6674" s="5">
        <f t="shared" si="314"/>
        <v>16535.042016806721</v>
      </c>
    </row>
    <row r="6675" spans="1:19" hidden="1" x14ac:dyDescent="0.3">
      <c r="A6675">
        <v>210</v>
      </c>
      <c r="B6675" t="s">
        <v>6520</v>
      </c>
      <c r="C6675" t="s">
        <v>2485</v>
      </c>
      <c r="D6675" s="2" t="s">
        <v>2486</v>
      </c>
      <c r="E6675" t="s">
        <v>2487</v>
      </c>
      <c r="F6675" t="s">
        <v>377</v>
      </c>
      <c r="G6675" t="s">
        <v>21</v>
      </c>
      <c r="H6675" t="s">
        <v>378</v>
      </c>
      <c r="I6675" t="s">
        <v>23</v>
      </c>
      <c r="J6675" t="s">
        <v>379</v>
      </c>
      <c r="K6675" s="2" t="s">
        <v>3074</v>
      </c>
      <c r="L6675" t="s">
        <v>26</v>
      </c>
      <c r="M6675">
        <v>353528</v>
      </c>
      <c r="N6675">
        <v>2</v>
      </c>
      <c r="O6675" s="3">
        <v>11900</v>
      </c>
      <c r="P6675" s="3">
        <v>2243</v>
      </c>
      <c r="Q6675" s="5">
        <f t="shared" si="312"/>
        <v>10000</v>
      </c>
      <c r="R6675" s="5">
        <f t="shared" si="313"/>
        <v>4486</v>
      </c>
      <c r="S6675" s="5">
        <f t="shared" si="314"/>
        <v>5514</v>
      </c>
    </row>
    <row r="6676" spans="1:19" hidden="1" x14ac:dyDescent="0.3">
      <c r="A6676">
        <v>210</v>
      </c>
      <c r="B6676" t="s">
        <v>6520</v>
      </c>
      <c r="C6676" t="s">
        <v>2312</v>
      </c>
      <c r="D6676" s="2" t="s">
        <v>2313</v>
      </c>
      <c r="E6676" t="s">
        <v>2314</v>
      </c>
      <c r="F6676" t="s">
        <v>20</v>
      </c>
      <c r="G6676" t="s">
        <v>21</v>
      </c>
      <c r="H6676" t="s">
        <v>2315</v>
      </c>
      <c r="I6676" t="s">
        <v>23</v>
      </c>
      <c r="J6676" t="s">
        <v>49</v>
      </c>
      <c r="K6676" s="2" t="s">
        <v>3074</v>
      </c>
      <c r="L6676" t="s">
        <v>26</v>
      </c>
      <c r="M6676">
        <v>353529</v>
      </c>
      <c r="N6676">
        <v>1</v>
      </c>
      <c r="O6676" s="3">
        <v>74950</v>
      </c>
      <c r="P6676" s="3">
        <v>29090</v>
      </c>
      <c r="Q6676" s="5">
        <f t="shared" si="312"/>
        <v>62983.193277310929</v>
      </c>
      <c r="R6676" s="5">
        <f t="shared" si="313"/>
        <v>29090</v>
      </c>
      <c r="S6676" s="5">
        <f t="shared" si="314"/>
        <v>33893.193277310929</v>
      </c>
    </row>
    <row r="6677" spans="1:19" hidden="1" x14ac:dyDescent="0.3">
      <c r="A6677">
        <v>210</v>
      </c>
      <c r="B6677" t="s">
        <v>6520</v>
      </c>
      <c r="C6677" t="s">
        <v>2097</v>
      </c>
      <c r="D6677" s="2" t="s">
        <v>2098</v>
      </c>
      <c r="E6677" t="s">
        <v>494</v>
      </c>
      <c r="F6677" t="s">
        <v>20</v>
      </c>
      <c r="G6677" t="s">
        <v>21</v>
      </c>
      <c r="H6677" t="s">
        <v>317</v>
      </c>
      <c r="I6677" t="s">
        <v>23</v>
      </c>
      <c r="J6677" t="s">
        <v>35</v>
      </c>
      <c r="K6677" s="2" t="s">
        <v>3074</v>
      </c>
      <c r="L6677" t="s">
        <v>26</v>
      </c>
      <c r="M6677">
        <v>353530</v>
      </c>
      <c r="N6677">
        <v>1</v>
      </c>
      <c r="O6677" s="3">
        <v>69950</v>
      </c>
      <c r="P6677" s="3">
        <v>23619</v>
      </c>
      <c r="Q6677" s="5">
        <f t="shared" si="312"/>
        <v>58781.512605042022</v>
      </c>
      <c r="R6677" s="5">
        <f t="shared" si="313"/>
        <v>23619</v>
      </c>
      <c r="S6677" s="5">
        <f t="shared" si="314"/>
        <v>35162.512605042022</v>
      </c>
    </row>
    <row r="6678" spans="1:19" hidden="1" x14ac:dyDescent="0.3">
      <c r="A6678">
        <v>210</v>
      </c>
      <c r="B6678" t="s">
        <v>6520</v>
      </c>
      <c r="C6678" t="s">
        <v>2760</v>
      </c>
      <c r="D6678" s="2" t="s">
        <v>2761</v>
      </c>
      <c r="E6678" t="s">
        <v>1443</v>
      </c>
      <c r="F6678" t="s">
        <v>20</v>
      </c>
      <c r="G6678" t="s">
        <v>338</v>
      </c>
      <c r="H6678">
        <v>25301</v>
      </c>
      <c r="I6678" t="s">
        <v>23</v>
      </c>
      <c r="J6678" t="s">
        <v>35</v>
      </c>
      <c r="K6678" s="2" t="s">
        <v>3074</v>
      </c>
      <c r="L6678" t="s">
        <v>26</v>
      </c>
      <c r="M6678">
        <v>353531</v>
      </c>
      <c r="N6678">
        <v>1</v>
      </c>
      <c r="O6678" s="3">
        <v>99950</v>
      </c>
      <c r="P6678" s="3">
        <v>34157</v>
      </c>
      <c r="Q6678" s="5">
        <f t="shared" si="312"/>
        <v>83991.596638655465</v>
      </c>
      <c r="R6678" s="5">
        <f t="shared" si="313"/>
        <v>34157</v>
      </c>
      <c r="S6678" s="5">
        <f t="shared" si="314"/>
        <v>49834.596638655465</v>
      </c>
    </row>
    <row r="6679" spans="1:19" hidden="1" x14ac:dyDescent="0.3">
      <c r="A6679">
        <v>210</v>
      </c>
      <c r="B6679" t="s">
        <v>6520</v>
      </c>
      <c r="C6679" t="s">
        <v>2884</v>
      </c>
      <c r="D6679" s="2" t="s">
        <v>2885</v>
      </c>
      <c r="E6679" t="s">
        <v>1330</v>
      </c>
      <c r="F6679" t="s">
        <v>20</v>
      </c>
      <c r="G6679" t="s">
        <v>338</v>
      </c>
      <c r="H6679">
        <v>25133</v>
      </c>
      <c r="I6679" t="s">
        <v>23</v>
      </c>
      <c r="J6679" t="s">
        <v>35</v>
      </c>
      <c r="K6679" s="2" t="s">
        <v>1569</v>
      </c>
      <c r="L6679" t="s">
        <v>26</v>
      </c>
      <c r="M6679">
        <v>353532</v>
      </c>
      <c r="N6679">
        <v>1</v>
      </c>
      <c r="O6679" s="3">
        <v>74950</v>
      </c>
      <c r="P6679" s="3">
        <v>21167</v>
      </c>
      <c r="Q6679" s="5">
        <f t="shared" si="312"/>
        <v>62983.193277310929</v>
      </c>
      <c r="R6679" s="5">
        <f t="shared" si="313"/>
        <v>21167</v>
      </c>
      <c r="S6679" s="5">
        <f t="shared" si="314"/>
        <v>41816.193277310929</v>
      </c>
    </row>
    <row r="6680" spans="1:19" hidden="1" x14ac:dyDescent="0.3">
      <c r="A6680">
        <v>210</v>
      </c>
      <c r="B6680" t="s">
        <v>6520</v>
      </c>
      <c r="C6680" t="s">
        <v>5243</v>
      </c>
      <c r="D6680" s="2" t="s">
        <v>5244</v>
      </c>
      <c r="E6680" t="s">
        <v>2611</v>
      </c>
      <c r="F6680" t="s">
        <v>20</v>
      </c>
      <c r="G6680" t="s">
        <v>338</v>
      </c>
      <c r="H6680">
        <v>25312</v>
      </c>
      <c r="I6680" t="s">
        <v>23</v>
      </c>
      <c r="J6680" t="s">
        <v>35</v>
      </c>
      <c r="K6680" s="2" t="s">
        <v>1569</v>
      </c>
      <c r="L6680" t="s">
        <v>26</v>
      </c>
      <c r="M6680">
        <v>353533</v>
      </c>
      <c r="N6680">
        <v>1</v>
      </c>
      <c r="O6680" s="3">
        <v>69950</v>
      </c>
      <c r="P6680" s="3">
        <v>21167</v>
      </c>
      <c r="Q6680" s="5">
        <f t="shared" si="312"/>
        <v>58781.512605042022</v>
      </c>
      <c r="R6680" s="5">
        <f t="shared" si="313"/>
        <v>21167</v>
      </c>
      <c r="S6680" s="5">
        <f t="shared" si="314"/>
        <v>37614.512605042022</v>
      </c>
    </row>
    <row r="6681" spans="1:19" hidden="1" x14ac:dyDescent="0.3">
      <c r="A6681">
        <v>210</v>
      </c>
      <c r="B6681" t="s">
        <v>6520</v>
      </c>
      <c r="C6681" t="s">
        <v>3407</v>
      </c>
      <c r="D6681" s="2" t="s">
        <v>3408</v>
      </c>
      <c r="E6681" t="s">
        <v>2110</v>
      </c>
      <c r="F6681" t="s">
        <v>20</v>
      </c>
      <c r="G6681" t="s">
        <v>21</v>
      </c>
      <c r="H6681" t="s">
        <v>22</v>
      </c>
      <c r="I6681" t="s">
        <v>23</v>
      </c>
      <c r="J6681" t="s">
        <v>24</v>
      </c>
      <c r="K6681" s="2" t="s">
        <v>1569</v>
      </c>
      <c r="L6681" t="s">
        <v>26</v>
      </c>
      <c r="M6681">
        <v>353534</v>
      </c>
      <c r="N6681">
        <v>1</v>
      </c>
      <c r="O6681" s="3">
        <v>79950</v>
      </c>
      <c r="P6681" s="3">
        <v>27748</v>
      </c>
      <c r="Q6681" s="5">
        <f t="shared" si="312"/>
        <v>67184.873949579836</v>
      </c>
      <c r="R6681" s="5">
        <f t="shared" si="313"/>
        <v>27748</v>
      </c>
      <c r="S6681" s="5">
        <f t="shared" si="314"/>
        <v>39436.873949579836</v>
      </c>
    </row>
    <row r="6682" spans="1:19" hidden="1" x14ac:dyDescent="0.3">
      <c r="A6682">
        <v>210</v>
      </c>
      <c r="B6682" t="s">
        <v>6520</v>
      </c>
      <c r="C6682" t="s">
        <v>2395</v>
      </c>
      <c r="D6682" s="2" t="s">
        <v>2396</v>
      </c>
      <c r="E6682" t="s">
        <v>425</v>
      </c>
      <c r="F6682" t="s">
        <v>20</v>
      </c>
      <c r="G6682" t="s">
        <v>21</v>
      </c>
      <c r="H6682" t="s">
        <v>22</v>
      </c>
      <c r="I6682" t="s">
        <v>23</v>
      </c>
      <c r="J6682" t="s">
        <v>24</v>
      </c>
      <c r="K6682" s="2" t="s">
        <v>1569</v>
      </c>
      <c r="L6682" t="s">
        <v>26</v>
      </c>
      <c r="M6682">
        <v>353535</v>
      </c>
      <c r="N6682">
        <v>1</v>
      </c>
      <c r="O6682" s="3">
        <v>79950</v>
      </c>
      <c r="P6682" s="3">
        <v>27848</v>
      </c>
      <c r="Q6682" s="5">
        <f t="shared" si="312"/>
        <v>67184.873949579836</v>
      </c>
      <c r="R6682" s="5">
        <f t="shared" si="313"/>
        <v>27848</v>
      </c>
      <c r="S6682" s="5">
        <f t="shared" si="314"/>
        <v>39336.873949579836</v>
      </c>
    </row>
    <row r="6683" spans="1:19" hidden="1" x14ac:dyDescent="0.3">
      <c r="A6683">
        <v>210</v>
      </c>
      <c r="B6683" t="s">
        <v>6520</v>
      </c>
      <c r="C6683" t="s">
        <v>4089</v>
      </c>
      <c r="D6683" s="2" t="s">
        <v>4090</v>
      </c>
      <c r="E6683" t="s">
        <v>2741</v>
      </c>
      <c r="F6683" t="s">
        <v>20</v>
      </c>
      <c r="G6683" t="s">
        <v>21</v>
      </c>
      <c r="H6683" t="s">
        <v>2494</v>
      </c>
      <c r="I6683" t="s">
        <v>23</v>
      </c>
      <c r="J6683" t="s">
        <v>40</v>
      </c>
      <c r="K6683" s="2" t="s">
        <v>1569</v>
      </c>
      <c r="L6683" t="s">
        <v>26</v>
      </c>
      <c r="M6683">
        <v>353536</v>
      </c>
      <c r="N6683">
        <v>1</v>
      </c>
      <c r="O6683" s="3">
        <v>69950</v>
      </c>
      <c r="P6683" s="3">
        <v>23470</v>
      </c>
      <c r="Q6683" s="5">
        <f t="shared" si="312"/>
        <v>58781.512605042022</v>
      </c>
      <c r="R6683" s="5">
        <f t="shared" si="313"/>
        <v>23470</v>
      </c>
      <c r="S6683" s="5">
        <f t="shared" si="314"/>
        <v>35311.512605042022</v>
      </c>
    </row>
    <row r="6684" spans="1:19" hidden="1" x14ac:dyDescent="0.3">
      <c r="A6684">
        <v>210</v>
      </c>
      <c r="B6684" t="s">
        <v>6520</v>
      </c>
      <c r="C6684" t="s">
        <v>2463</v>
      </c>
      <c r="D6684" s="2" t="s">
        <v>2464</v>
      </c>
      <c r="E6684" t="s">
        <v>2465</v>
      </c>
      <c r="F6684" t="s">
        <v>20</v>
      </c>
      <c r="G6684" t="s">
        <v>21</v>
      </c>
      <c r="H6684" t="s">
        <v>30</v>
      </c>
      <c r="I6684" t="s">
        <v>23</v>
      </c>
      <c r="J6684" t="s">
        <v>35</v>
      </c>
      <c r="K6684" s="2" t="s">
        <v>1569</v>
      </c>
      <c r="L6684" t="s">
        <v>26</v>
      </c>
      <c r="M6684">
        <v>353537</v>
      </c>
      <c r="N6684">
        <v>1</v>
      </c>
      <c r="O6684" s="3">
        <v>79950</v>
      </c>
      <c r="P6684" s="3">
        <v>30749</v>
      </c>
      <c r="Q6684" s="5">
        <f t="shared" si="312"/>
        <v>67184.873949579836</v>
      </c>
      <c r="R6684" s="5">
        <f t="shared" si="313"/>
        <v>30749</v>
      </c>
      <c r="S6684" s="5">
        <f t="shared" si="314"/>
        <v>36435.873949579836</v>
      </c>
    </row>
    <row r="6685" spans="1:19" hidden="1" x14ac:dyDescent="0.3">
      <c r="A6685">
        <v>210</v>
      </c>
      <c r="B6685" t="s">
        <v>6520</v>
      </c>
      <c r="C6685" t="s">
        <v>3149</v>
      </c>
      <c r="D6685" s="2" t="s">
        <v>3150</v>
      </c>
      <c r="E6685" t="s">
        <v>3051</v>
      </c>
      <c r="F6685" t="s">
        <v>20</v>
      </c>
      <c r="G6685" t="s">
        <v>21</v>
      </c>
      <c r="H6685" t="s">
        <v>1440</v>
      </c>
      <c r="I6685" t="s">
        <v>23</v>
      </c>
      <c r="J6685" t="s">
        <v>40</v>
      </c>
      <c r="K6685" s="2" t="s">
        <v>1569</v>
      </c>
      <c r="L6685" t="s">
        <v>26</v>
      </c>
      <c r="M6685">
        <v>353538</v>
      </c>
      <c r="N6685">
        <v>1</v>
      </c>
      <c r="O6685" s="3">
        <v>64950</v>
      </c>
      <c r="P6685" s="3">
        <v>17328</v>
      </c>
      <c r="Q6685" s="5">
        <f t="shared" si="312"/>
        <v>54579.831932773115</v>
      </c>
      <c r="R6685" s="5">
        <f t="shared" si="313"/>
        <v>17328</v>
      </c>
      <c r="S6685" s="5">
        <f t="shared" si="314"/>
        <v>37251.831932773115</v>
      </c>
    </row>
    <row r="6686" spans="1:19" hidden="1" x14ac:dyDescent="0.3">
      <c r="A6686">
        <v>210</v>
      </c>
      <c r="B6686" t="s">
        <v>6520</v>
      </c>
      <c r="C6686" t="s">
        <v>1681</v>
      </c>
      <c r="D6686" s="2" t="s">
        <v>1682</v>
      </c>
      <c r="E6686" t="s">
        <v>1683</v>
      </c>
      <c r="F6686" t="s">
        <v>20</v>
      </c>
      <c r="G6686" t="s">
        <v>21</v>
      </c>
      <c r="H6686" t="s">
        <v>114</v>
      </c>
      <c r="I6686" t="s">
        <v>23</v>
      </c>
      <c r="J6686" t="s">
        <v>49</v>
      </c>
      <c r="K6686" s="2" t="s">
        <v>1744</v>
      </c>
      <c r="L6686" t="s">
        <v>2249</v>
      </c>
      <c r="M6686">
        <v>25399</v>
      </c>
      <c r="N6686">
        <v>-1</v>
      </c>
      <c r="O6686" s="3">
        <v>-49990</v>
      </c>
      <c r="P6686" s="3">
        <v>24998</v>
      </c>
      <c r="Q6686" s="5">
        <f t="shared" si="312"/>
        <v>-42008.403361344543</v>
      </c>
      <c r="R6686" s="5">
        <f t="shared" si="313"/>
        <v>-24998</v>
      </c>
      <c r="S6686" s="5">
        <f t="shared" si="314"/>
        <v>-17010.403361344543</v>
      </c>
    </row>
    <row r="6687" spans="1:19" hidden="1" x14ac:dyDescent="0.3">
      <c r="A6687">
        <v>210</v>
      </c>
      <c r="B6687" t="s">
        <v>6520</v>
      </c>
      <c r="C6687" t="s">
        <v>1267</v>
      </c>
      <c r="D6687" s="2" t="s">
        <v>1268</v>
      </c>
      <c r="E6687" t="s">
        <v>1269</v>
      </c>
      <c r="F6687" t="s">
        <v>377</v>
      </c>
      <c r="G6687" t="s">
        <v>21</v>
      </c>
      <c r="H6687" t="s">
        <v>378</v>
      </c>
      <c r="I6687" t="s">
        <v>23</v>
      </c>
      <c r="J6687" t="s">
        <v>379</v>
      </c>
      <c r="K6687" s="2" t="s">
        <v>1744</v>
      </c>
      <c r="L6687" t="s">
        <v>26</v>
      </c>
      <c r="M6687">
        <v>353539</v>
      </c>
      <c r="N6687">
        <v>1</v>
      </c>
      <c r="O6687" s="3">
        <v>5950</v>
      </c>
      <c r="P6687" s="3">
        <v>1850</v>
      </c>
      <c r="Q6687" s="5">
        <f t="shared" si="312"/>
        <v>5000</v>
      </c>
      <c r="R6687" s="5">
        <f t="shared" si="313"/>
        <v>1850</v>
      </c>
      <c r="S6687" s="5">
        <f t="shared" si="314"/>
        <v>3150</v>
      </c>
    </row>
    <row r="6688" spans="1:19" hidden="1" x14ac:dyDescent="0.3">
      <c r="A6688">
        <v>210</v>
      </c>
      <c r="B6688" t="s">
        <v>6520</v>
      </c>
      <c r="C6688" t="s">
        <v>3023</v>
      </c>
      <c r="D6688" s="2" t="s">
        <v>3024</v>
      </c>
      <c r="E6688" t="s">
        <v>938</v>
      </c>
      <c r="F6688" t="s">
        <v>20</v>
      </c>
      <c r="G6688" t="s">
        <v>21</v>
      </c>
      <c r="H6688" t="s">
        <v>317</v>
      </c>
      <c r="I6688" t="s">
        <v>23</v>
      </c>
      <c r="J6688" t="s">
        <v>35</v>
      </c>
      <c r="K6688" s="2" t="s">
        <v>1744</v>
      </c>
      <c r="L6688" t="s">
        <v>26</v>
      </c>
      <c r="M6688">
        <v>353540</v>
      </c>
      <c r="N6688">
        <v>1</v>
      </c>
      <c r="O6688" s="3">
        <v>69950</v>
      </c>
      <c r="P6688" s="3">
        <v>26455</v>
      </c>
      <c r="Q6688" s="5">
        <f t="shared" si="312"/>
        <v>58781.512605042022</v>
      </c>
      <c r="R6688" s="5">
        <f t="shared" si="313"/>
        <v>26455</v>
      </c>
      <c r="S6688" s="5">
        <f t="shared" si="314"/>
        <v>32326.512605042022</v>
      </c>
    </row>
    <row r="6689" spans="1:19" hidden="1" x14ac:dyDescent="0.3">
      <c r="A6689">
        <v>210</v>
      </c>
      <c r="B6689" t="s">
        <v>6520</v>
      </c>
      <c r="C6689" t="s">
        <v>3341</v>
      </c>
      <c r="D6689" s="2" t="s">
        <v>3342</v>
      </c>
      <c r="E6689" t="s">
        <v>2661</v>
      </c>
      <c r="F6689" t="s">
        <v>20</v>
      </c>
      <c r="G6689" t="s">
        <v>21</v>
      </c>
      <c r="H6689" t="s">
        <v>317</v>
      </c>
      <c r="I6689" t="s">
        <v>23</v>
      </c>
      <c r="J6689" t="s">
        <v>35</v>
      </c>
      <c r="K6689" s="2" t="s">
        <v>1744</v>
      </c>
      <c r="L6689" t="s">
        <v>26</v>
      </c>
      <c r="M6689">
        <v>353540</v>
      </c>
      <c r="N6689">
        <v>1</v>
      </c>
      <c r="O6689" s="3">
        <v>69950</v>
      </c>
      <c r="P6689" s="3">
        <v>25924</v>
      </c>
      <c r="Q6689" s="5">
        <f t="shared" si="312"/>
        <v>58781.512605042022</v>
      </c>
      <c r="R6689" s="5">
        <f t="shared" si="313"/>
        <v>25924</v>
      </c>
      <c r="S6689" s="5">
        <f t="shared" si="314"/>
        <v>32857.512605042022</v>
      </c>
    </row>
    <row r="6690" spans="1:19" hidden="1" x14ac:dyDescent="0.3">
      <c r="A6690">
        <v>210</v>
      </c>
      <c r="B6690" t="s">
        <v>6520</v>
      </c>
      <c r="C6690" t="s">
        <v>2625</v>
      </c>
      <c r="D6690" s="2" t="s">
        <v>2626</v>
      </c>
      <c r="E6690" t="s">
        <v>2539</v>
      </c>
      <c r="F6690" t="s">
        <v>20</v>
      </c>
      <c r="G6690" t="s">
        <v>21</v>
      </c>
      <c r="H6690" t="s">
        <v>966</v>
      </c>
      <c r="I6690" t="s">
        <v>23</v>
      </c>
      <c r="J6690" t="s">
        <v>35</v>
      </c>
      <c r="K6690" s="2" t="s">
        <v>1744</v>
      </c>
      <c r="L6690" t="s">
        <v>26</v>
      </c>
      <c r="M6690">
        <v>353541</v>
      </c>
      <c r="N6690">
        <v>1</v>
      </c>
      <c r="O6690" s="3">
        <v>74950</v>
      </c>
      <c r="P6690" s="3">
        <v>27026</v>
      </c>
      <c r="Q6690" s="5">
        <f t="shared" si="312"/>
        <v>62983.193277310929</v>
      </c>
      <c r="R6690" s="5">
        <f t="shared" si="313"/>
        <v>27026</v>
      </c>
      <c r="S6690" s="5">
        <f t="shared" si="314"/>
        <v>35957.193277310929</v>
      </c>
    </row>
    <row r="6691" spans="1:19" hidden="1" x14ac:dyDescent="0.3">
      <c r="A6691">
        <v>210</v>
      </c>
      <c r="B6691" t="s">
        <v>6520</v>
      </c>
      <c r="C6691" t="s">
        <v>3341</v>
      </c>
      <c r="D6691" s="2" t="s">
        <v>3342</v>
      </c>
      <c r="E6691" t="s">
        <v>2661</v>
      </c>
      <c r="F6691" t="s">
        <v>20</v>
      </c>
      <c r="G6691" t="s">
        <v>21</v>
      </c>
      <c r="H6691" t="s">
        <v>317</v>
      </c>
      <c r="I6691" t="s">
        <v>23</v>
      </c>
      <c r="J6691" t="s">
        <v>35</v>
      </c>
      <c r="K6691" s="2" t="s">
        <v>1744</v>
      </c>
      <c r="L6691" t="s">
        <v>26</v>
      </c>
      <c r="M6691">
        <v>353541</v>
      </c>
      <c r="N6691">
        <v>-1</v>
      </c>
      <c r="O6691" s="3">
        <v>-69950</v>
      </c>
      <c r="P6691" s="3">
        <v>25924</v>
      </c>
      <c r="Q6691" s="5">
        <f t="shared" si="312"/>
        <v>-58781.512605042022</v>
      </c>
      <c r="R6691" s="5">
        <f t="shared" si="313"/>
        <v>-25924</v>
      </c>
      <c r="S6691" s="5">
        <f t="shared" si="314"/>
        <v>-32857.512605042022</v>
      </c>
    </row>
    <row r="6692" spans="1:19" hidden="1" x14ac:dyDescent="0.3">
      <c r="A6692">
        <v>210</v>
      </c>
      <c r="B6692" t="s">
        <v>6520</v>
      </c>
      <c r="C6692" t="s">
        <v>6632</v>
      </c>
      <c r="D6692" s="2" t="s">
        <v>6633</v>
      </c>
      <c r="E6692" t="s">
        <v>6634</v>
      </c>
      <c r="F6692" t="s">
        <v>20</v>
      </c>
      <c r="G6692" t="s">
        <v>21</v>
      </c>
      <c r="H6692" t="s">
        <v>794</v>
      </c>
      <c r="I6692" t="s">
        <v>23</v>
      </c>
      <c r="J6692" t="s">
        <v>40</v>
      </c>
      <c r="K6692" s="2" t="s">
        <v>1744</v>
      </c>
      <c r="L6692" t="s">
        <v>26</v>
      </c>
      <c r="M6692">
        <v>353542</v>
      </c>
      <c r="N6692">
        <v>-1</v>
      </c>
      <c r="O6692" s="3">
        <v>-48990</v>
      </c>
      <c r="P6692" s="3">
        <v>21101</v>
      </c>
      <c r="Q6692" s="5">
        <f t="shared" si="312"/>
        <v>-41168.067226890758</v>
      </c>
      <c r="R6692" s="5">
        <f t="shared" si="313"/>
        <v>-21101</v>
      </c>
      <c r="S6692" s="5">
        <f t="shared" si="314"/>
        <v>-20067.067226890758</v>
      </c>
    </row>
    <row r="6693" spans="1:19" hidden="1" x14ac:dyDescent="0.3">
      <c r="A6693">
        <v>210</v>
      </c>
      <c r="B6693" t="s">
        <v>6520</v>
      </c>
      <c r="C6693" t="s">
        <v>6085</v>
      </c>
      <c r="D6693" s="2" t="s">
        <v>6086</v>
      </c>
      <c r="E6693" t="s">
        <v>3703</v>
      </c>
      <c r="F6693" t="s">
        <v>20</v>
      </c>
      <c r="G6693" t="s">
        <v>21</v>
      </c>
      <c r="H6693" t="s">
        <v>794</v>
      </c>
      <c r="I6693" t="s">
        <v>23</v>
      </c>
      <c r="J6693" t="s">
        <v>40</v>
      </c>
      <c r="K6693" s="2" t="s">
        <v>1744</v>
      </c>
      <c r="L6693" t="s">
        <v>26</v>
      </c>
      <c r="M6693">
        <v>353542</v>
      </c>
      <c r="N6693">
        <v>1</v>
      </c>
      <c r="O6693" s="3">
        <v>69950</v>
      </c>
      <c r="P6693" s="3">
        <v>21722</v>
      </c>
      <c r="Q6693" s="5">
        <f t="shared" si="312"/>
        <v>58781.512605042022</v>
      </c>
      <c r="R6693" s="5">
        <f t="shared" si="313"/>
        <v>21722</v>
      </c>
      <c r="S6693" s="5">
        <f t="shared" si="314"/>
        <v>37059.512605042022</v>
      </c>
    </row>
    <row r="6694" spans="1:19" hidden="1" x14ac:dyDescent="0.3">
      <c r="A6694">
        <v>210</v>
      </c>
      <c r="B6694" t="s">
        <v>6520</v>
      </c>
      <c r="C6694" t="s">
        <v>5512</v>
      </c>
      <c r="D6694" s="2" t="s">
        <v>5513</v>
      </c>
      <c r="E6694" t="s">
        <v>2933</v>
      </c>
      <c r="F6694" t="s">
        <v>20</v>
      </c>
      <c r="G6694" t="s">
        <v>338</v>
      </c>
      <c r="H6694">
        <v>25539</v>
      </c>
      <c r="I6694" t="s">
        <v>23</v>
      </c>
      <c r="J6694" t="s">
        <v>31</v>
      </c>
      <c r="K6694" s="2" t="s">
        <v>1744</v>
      </c>
      <c r="L6694" t="s">
        <v>26</v>
      </c>
      <c r="M6694">
        <v>353543</v>
      </c>
      <c r="N6694">
        <v>1</v>
      </c>
      <c r="O6694" s="3">
        <v>139950</v>
      </c>
      <c r="P6694" s="3">
        <v>46011</v>
      </c>
      <c r="Q6694" s="5">
        <f t="shared" si="312"/>
        <v>117605.04201680672</v>
      </c>
      <c r="R6694" s="5">
        <f t="shared" si="313"/>
        <v>46011</v>
      </c>
      <c r="S6694" s="5">
        <f t="shared" si="314"/>
        <v>71594.042016806721</v>
      </c>
    </row>
    <row r="6695" spans="1:19" hidden="1" x14ac:dyDescent="0.3">
      <c r="A6695">
        <v>210</v>
      </c>
      <c r="B6695" t="s">
        <v>6520</v>
      </c>
      <c r="C6695" t="s">
        <v>5795</v>
      </c>
      <c r="D6695" s="2" t="s">
        <v>5796</v>
      </c>
      <c r="E6695" t="s">
        <v>3795</v>
      </c>
      <c r="F6695" t="s">
        <v>20</v>
      </c>
      <c r="G6695" t="s">
        <v>338</v>
      </c>
      <c r="H6695">
        <v>25529</v>
      </c>
      <c r="I6695" t="s">
        <v>23</v>
      </c>
      <c r="J6695" t="s">
        <v>31</v>
      </c>
      <c r="K6695" s="2" t="s">
        <v>1744</v>
      </c>
      <c r="L6695" t="s">
        <v>26</v>
      </c>
      <c r="M6695">
        <v>353544</v>
      </c>
      <c r="N6695">
        <v>1</v>
      </c>
      <c r="O6695" s="3">
        <v>149950</v>
      </c>
      <c r="P6695" s="3">
        <v>50690</v>
      </c>
      <c r="Q6695" s="5">
        <f t="shared" si="312"/>
        <v>126008.40336134455</v>
      </c>
      <c r="R6695" s="5">
        <f t="shared" si="313"/>
        <v>50690</v>
      </c>
      <c r="S6695" s="5">
        <f t="shared" si="314"/>
        <v>75318.40336134455</v>
      </c>
    </row>
    <row r="6696" spans="1:19" hidden="1" x14ac:dyDescent="0.3">
      <c r="A6696">
        <v>210</v>
      </c>
      <c r="B6696" t="s">
        <v>6520</v>
      </c>
      <c r="C6696" t="s">
        <v>4810</v>
      </c>
      <c r="D6696" s="2" t="s">
        <v>4811</v>
      </c>
      <c r="E6696" t="s">
        <v>4077</v>
      </c>
      <c r="F6696" t="s">
        <v>20</v>
      </c>
      <c r="G6696" t="s">
        <v>338</v>
      </c>
      <c r="H6696">
        <v>84316</v>
      </c>
      <c r="I6696" t="s">
        <v>23</v>
      </c>
      <c r="J6696" t="s">
        <v>49</v>
      </c>
      <c r="K6696" s="2" t="s">
        <v>1744</v>
      </c>
      <c r="L6696" t="s">
        <v>26</v>
      </c>
      <c r="M6696">
        <v>353545</v>
      </c>
      <c r="N6696">
        <v>1</v>
      </c>
      <c r="O6696" s="3">
        <v>89950</v>
      </c>
      <c r="P6696" s="3">
        <v>31128</v>
      </c>
      <c r="Q6696" s="5">
        <f t="shared" si="312"/>
        <v>75588.23529411765</v>
      </c>
      <c r="R6696" s="5">
        <f t="shared" si="313"/>
        <v>31128</v>
      </c>
      <c r="S6696" s="5">
        <f t="shared" si="314"/>
        <v>44460.23529411765</v>
      </c>
    </row>
    <row r="6697" spans="1:19" hidden="1" x14ac:dyDescent="0.3">
      <c r="A6697">
        <v>210</v>
      </c>
      <c r="B6697" t="s">
        <v>6520</v>
      </c>
      <c r="C6697" t="s">
        <v>5392</v>
      </c>
      <c r="D6697" s="2" t="s">
        <v>5393</v>
      </c>
      <c r="E6697" t="s">
        <v>5088</v>
      </c>
      <c r="F6697" t="s">
        <v>20</v>
      </c>
      <c r="G6697" t="s">
        <v>338</v>
      </c>
      <c r="H6697">
        <v>25327</v>
      </c>
      <c r="I6697" t="s">
        <v>23</v>
      </c>
      <c r="J6697" t="s">
        <v>35</v>
      </c>
      <c r="K6697" s="2" t="s">
        <v>1744</v>
      </c>
      <c r="L6697" t="s">
        <v>26</v>
      </c>
      <c r="M6697">
        <v>353546</v>
      </c>
      <c r="N6697">
        <v>1</v>
      </c>
      <c r="O6697" s="3">
        <v>74950</v>
      </c>
      <c r="P6697" s="3">
        <v>23119</v>
      </c>
      <c r="Q6697" s="5">
        <f t="shared" si="312"/>
        <v>62983.193277310929</v>
      </c>
      <c r="R6697" s="5">
        <f t="shared" si="313"/>
        <v>23119</v>
      </c>
      <c r="S6697" s="5">
        <f t="shared" si="314"/>
        <v>39864.193277310929</v>
      </c>
    </row>
    <row r="6698" spans="1:19" hidden="1" x14ac:dyDescent="0.3">
      <c r="A6698">
        <v>210</v>
      </c>
      <c r="B6698" t="s">
        <v>6520</v>
      </c>
      <c r="C6698" t="s">
        <v>2395</v>
      </c>
      <c r="D6698" s="2" t="s">
        <v>2396</v>
      </c>
      <c r="E6698" t="s">
        <v>425</v>
      </c>
      <c r="F6698" t="s">
        <v>20</v>
      </c>
      <c r="G6698" t="s">
        <v>21</v>
      </c>
      <c r="H6698" t="s">
        <v>22</v>
      </c>
      <c r="I6698" t="s">
        <v>23</v>
      </c>
      <c r="J6698" t="s">
        <v>24</v>
      </c>
      <c r="K6698" s="2" t="s">
        <v>1744</v>
      </c>
      <c r="L6698" t="s">
        <v>26</v>
      </c>
      <c r="M6698">
        <v>353547</v>
      </c>
      <c r="N6698">
        <v>1</v>
      </c>
      <c r="O6698" s="3">
        <v>79950</v>
      </c>
      <c r="P6698" s="3">
        <v>27848</v>
      </c>
      <c r="Q6698" s="5">
        <f t="shared" si="312"/>
        <v>67184.873949579836</v>
      </c>
      <c r="R6698" s="5">
        <f t="shared" si="313"/>
        <v>27848</v>
      </c>
      <c r="S6698" s="5">
        <f t="shared" si="314"/>
        <v>39336.873949579836</v>
      </c>
    </row>
    <row r="6699" spans="1:19" hidden="1" x14ac:dyDescent="0.3">
      <c r="A6699">
        <v>210</v>
      </c>
      <c r="B6699" t="s">
        <v>6520</v>
      </c>
      <c r="C6699" t="s">
        <v>6635</v>
      </c>
      <c r="D6699" s="2" t="s">
        <v>6636</v>
      </c>
      <c r="E6699" t="s">
        <v>1417</v>
      </c>
      <c r="F6699" t="s">
        <v>20</v>
      </c>
      <c r="G6699" t="s">
        <v>21</v>
      </c>
      <c r="H6699" t="s">
        <v>1418</v>
      </c>
      <c r="I6699" t="s">
        <v>23</v>
      </c>
      <c r="J6699" t="s">
        <v>35</v>
      </c>
      <c r="K6699" s="2" t="s">
        <v>1744</v>
      </c>
      <c r="L6699" t="s">
        <v>26</v>
      </c>
      <c r="M6699">
        <v>353548</v>
      </c>
      <c r="N6699">
        <v>1</v>
      </c>
      <c r="O6699" s="3">
        <v>64990</v>
      </c>
      <c r="P6699" s="3">
        <v>29189</v>
      </c>
      <c r="Q6699" s="5">
        <f t="shared" si="312"/>
        <v>54613.445378151264</v>
      </c>
      <c r="R6699" s="5">
        <f t="shared" si="313"/>
        <v>29189</v>
      </c>
      <c r="S6699" s="5">
        <f t="shared" si="314"/>
        <v>25424.445378151264</v>
      </c>
    </row>
    <row r="6700" spans="1:19" hidden="1" x14ac:dyDescent="0.3">
      <c r="A6700">
        <v>210</v>
      </c>
      <c r="B6700" t="s">
        <v>6520</v>
      </c>
      <c r="C6700" t="s">
        <v>6637</v>
      </c>
      <c r="D6700" s="2" t="s">
        <v>6638</v>
      </c>
      <c r="E6700" t="s">
        <v>3019</v>
      </c>
      <c r="F6700" t="s">
        <v>20</v>
      </c>
      <c r="G6700" t="s">
        <v>338</v>
      </c>
      <c r="H6700">
        <v>85408</v>
      </c>
      <c r="I6700" t="s">
        <v>23</v>
      </c>
      <c r="J6700" t="s">
        <v>35</v>
      </c>
      <c r="K6700" s="2" t="s">
        <v>1744</v>
      </c>
      <c r="L6700" t="s">
        <v>26</v>
      </c>
      <c r="M6700">
        <v>353548</v>
      </c>
      <c r="N6700">
        <v>1</v>
      </c>
      <c r="O6700" s="3">
        <v>109950</v>
      </c>
      <c r="P6700" s="3">
        <v>33793</v>
      </c>
      <c r="Q6700" s="5">
        <f t="shared" si="312"/>
        <v>92394.957983193279</v>
      </c>
      <c r="R6700" s="5">
        <f t="shared" si="313"/>
        <v>33793</v>
      </c>
      <c r="S6700" s="5">
        <f t="shared" si="314"/>
        <v>58601.957983193279</v>
      </c>
    </row>
    <row r="6701" spans="1:19" hidden="1" x14ac:dyDescent="0.3">
      <c r="A6701">
        <v>210</v>
      </c>
      <c r="B6701" t="s">
        <v>6520</v>
      </c>
      <c r="C6701" t="s">
        <v>5439</v>
      </c>
      <c r="D6701" s="2" t="s">
        <v>5440</v>
      </c>
      <c r="E6701" t="s">
        <v>3086</v>
      </c>
      <c r="F6701" t="s">
        <v>20</v>
      </c>
      <c r="G6701" t="s">
        <v>21</v>
      </c>
      <c r="H6701" t="s">
        <v>1418</v>
      </c>
      <c r="I6701" t="s">
        <v>23</v>
      </c>
      <c r="J6701" t="s">
        <v>35</v>
      </c>
      <c r="K6701" s="2" t="s">
        <v>1744</v>
      </c>
      <c r="L6701" t="s">
        <v>26</v>
      </c>
      <c r="M6701">
        <v>353549</v>
      </c>
      <c r="N6701">
        <v>1</v>
      </c>
      <c r="O6701" s="3">
        <v>64990</v>
      </c>
      <c r="P6701" s="3">
        <v>29189</v>
      </c>
      <c r="Q6701" s="5">
        <f t="shared" si="312"/>
        <v>54613.445378151264</v>
      </c>
      <c r="R6701" s="5">
        <f t="shared" si="313"/>
        <v>29189</v>
      </c>
      <c r="S6701" s="5">
        <f t="shared" si="314"/>
        <v>25424.445378151264</v>
      </c>
    </row>
    <row r="6702" spans="1:19" hidden="1" x14ac:dyDescent="0.3">
      <c r="A6702">
        <v>210</v>
      </c>
      <c r="B6702" t="s">
        <v>6520</v>
      </c>
      <c r="C6702" t="s">
        <v>5295</v>
      </c>
      <c r="D6702" s="2" t="s">
        <v>5296</v>
      </c>
      <c r="E6702" t="s">
        <v>4736</v>
      </c>
      <c r="F6702" t="s">
        <v>20</v>
      </c>
      <c r="G6702" t="s">
        <v>21</v>
      </c>
      <c r="H6702" t="s">
        <v>1914</v>
      </c>
      <c r="I6702" t="s">
        <v>23</v>
      </c>
      <c r="J6702" t="s">
        <v>49</v>
      </c>
      <c r="K6702" s="2" t="s">
        <v>1744</v>
      </c>
      <c r="L6702" t="s">
        <v>26</v>
      </c>
      <c r="M6702">
        <v>353550</v>
      </c>
      <c r="N6702">
        <v>1</v>
      </c>
      <c r="O6702" s="3">
        <v>74950</v>
      </c>
      <c r="P6702" s="3">
        <v>24728</v>
      </c>
      <c r="Q6702" s="5">
        <f t="shared" si="312"/>
        <v>62983.193277310929</v>
      </c>
      <c r="R6702" s="5">
        <f t="shared" si="313"/>
        <v>24728</v>
      </c>
      <c r="S6702" s="5">
        <f t="shared" si="314"/>
        <v>38255.193277310929</v>
      </c>
    </row>
    <row r="6703" spans="1:19" hidden="1" x14ac:dyDescent="0.3">
      <c r="A6703">
        <v>210</v>
      </c>
      <c r="B6703" t="s">
        <v>6520</v>
      </c>
      <c r="C6703" t="s">
        <v>2921</v>
      </c>
      <c r="D6703" s="2" t="s">
        <v>2922</v>
      </c>
      <c r="E6703" t="s">
        <v>2923</v>
      </c>
      <c r="F6703" t="s">
        <v>20</v>
      </c>
      <c r="G6703" t="s">
        <v>21</v>
      </c>
      <c r="H6703" t="s">
        <v>818</v>
      </c>
      <c r="I6703" t="s">
        <v>23</v>
      </c>
      <c r="J6703" t="s">
        <v>35</v>
      </c>
      <c r="K6703" s="2" t="s">
        <v>1744</v>
      </c>
      <c r="L6703" t="s">
        <v>26</v>
      </c>
      <c r="M6703">
        <v>353551</v>
      </c>
      <c r="N6703">
        <v>1</v>
      </c>
      <c r="O6703" s="3">
        <v>89950</v>
      </c>
      <c r="P6703" s="3">
        <v>33421</v>
      </c>
      <c r="Q6703" s="5">
        <f t="shared" si="312"/>
        <v>75588.23529411765</v>
      </c>
      <c r="R6703" s="5">
        <f t="shared" si="313"/>
        <v>33421</v>
      </c>
      <c r="S6703" s="5">
        <f t="shared" si="314"/>
        <v>42167.23529411765</v>
      </c>
    </row>
    <row r="6704" spans="1:19" hidden="1" x14ac:dyDescent="0.3">
      <c r="A6704">
        <v>210</v>
      </c>
      <c r="B6704" t="s">
        <v>6520</v>
      </c>
      <c r="C6704" t="s">
        <v>3692</v>
      </c>
      <c r="D6704" s="2" t="s">
        <v>3693</v>
      </c>
      <c r="E6704" t="s">
        <v>1758</v>
      </c>
      <c r="F6704" t="s">
        <v>20</v>
      </c>
      <c r="G6704" t="s">
        <v>338</v>
      </c>
      <c r="H6704">
        <v>25133</v>
      </c>
      <c r="I6704" t="s">
        <v>23</v>
      </c>
      <c r="J6704" t="s">
        <v>35</v>
      </c>
      <c r="K6704" s="2" t="s">
        <v>1744</v>
      </c>
      <c r="L6704" t="s">
        <v>26</v>
      </c>
      <c r="M6704">
        <v>353551</v>
      </c>
      <c r="N6704">
        <v>1</v>
      </c>
      <c r="O6704" s="3">
        <v>74950</v>
      </c>
      <c r="P6704" s="3">
        <v>21167</v>
      </c>
      <c r="Q6704" s="5">
        <f t="shared" si="312"/>
        <v>62983.193277310929</v>
      </c>
      <c r="R6704" s="5">
        <f t="shared" si="313"/>
        <v>21167</v>
      </c>
      <c r="S6704" s="5">
        <f t="shared" si="314"/>
        <v>41816.193277310929</v>
      </c>
    </row>
    <row r="6705" spans="1:19" hidden="1" x14ac:dyDescent="0.3">
      <c r="A6705">
        <v>210</v>
      </c>
      <c r="B6705" t="s">
        <v>6520</v>
      </c>
      <c r="C6705" t="s">
        <v>5281</v>
      </c>
      <c r="D6705" s="2" t="s">
        <v>5282</v>
      </c>
      <c r="E6705" t="s">
        <v>4077</v>
      </c>
      <c r="F6705" t="s">
        <v>20</v>
      </c>
      <c r="G6705" t="s">
        <v>338</v>
      </c>
      <c r="H6705">
        <v>84316</v>
      </c>
      <c r="I6705" t="s">
        <v>23</v>
      </c>
      <c r="J6705" t="s">
        <v>49</v>
      </c>
      <c r="K6705" s="2" t="s">
        <v>1744</v>
      </c>
      <c r="L6705" t="s">
        <v>26</v>
      </c>
      <c r="M6705">
        <v>353552</v>
      </c>
      <c r="N6705">
        <v>1</v>
      </c>
      <c r="O6705" s="3">
        <v>80950</v>
      </c>
      <c r="P6705" s="3">
        <v>31128</v>
      </c>
      <c r="Q6705" s="5">
        <f t="shared" si="312"/>
        <v>68025.210084033621</v>
      </c>
      <c r="R6705" s="5">
        <f t="shared" si="313"/>
        <v>31128</v>
      </c>
      <c r="S6705" s="5">
        <f t="shared" si="314"/>
        <v>36897.210084033621</v>
      </c>
    </row>
    <row r="6706" spans="1:19" hidden="1" x14ac:dyDescent="0.3">
      <c r="A6706">
        <v>210</v>
      </c>
      <c r="B6706" t="s">
        <v>6520</v>
      </c>
      <c r="C6706" t="s">
        <v>3856</v>
      </c>
      <c r="D6706" s="2" t="s">
        <v>3857</v>
      </c>
      <c r="E6706" t="s">
        <v>2301</v>
      </c>
      <c r="F6706" t="s">
        <v>20</v>
      </c>
      <c r="G6706" t="s">
        <v>21</v>
      </c>
      <c r="H6706" t="s">
        <v>1124</v>
      </c>
      <c r="I6706" t="s">
        <v>23</v>
      </c>
      <c r="J6706" t="s">
        <v>24</v>
      </c>
      <c r="K6706" s="2" t="s">
        <v>1744</v>
      </c>
      <c r="L6706" t="s">
        <v>26</v>
      </c>
      <c r="M6706">
        <v>353553</v>
      </c>
      <c r="N6706">
        <v>1</v>
      </c>
      <c r="O6706" s="3">
        <v>74950</v>
      </c>
      <c r="P6706" s="3">
        <v>25857</v>
      </c>
      <c r="Q6706" s="5">
        <f t="shared" si="312"/>
        <v>62983.193277310929</v>
      </c>
      <c r="R6706" s="5">
        <f t="shared" si="313"/>
        <v>25857</v>
      </c>
      <c r="S6706" s="5">
        <f t="shared" si="314"/>
        <v>37126.193277310929</v>
      </c>
    </row>
    <row r="6707" spans="1:19" hidden="1" x14ac:dyDescent="0.3">
      <c r="A6707">
        <v>210</v>
      </c>
      <c r="B6707" t="s">
        <v>6520</v>
      </c>
      <c r="C6707" t="s">
        <v>1398</v>
      </c>
      <c r="D6707" s="2" t="s">
        <v>1399</v>
      </c>
      <c r="E6707" t="s">
        <v>1397</v>
      </c>
      <c r="F6707" t="s">
        <v>20</v>
      </c>
      <c r="G6707" t="s">
        <v>21</v>
      </c>
      <c r="H6707" t="s">
        <v>152</v>
      </c>
      <c r="I6707" t="s">
        <v>23</v>
      </c>
      <c r="J6707" t="s">
        <v>40</v>
      </c>
      <c r="K6707" s="2" t="s">
        <v>1744</v>
      </c>
      <c r="L6707" t="s">
        <v>26</v>
      </c>
      <c r="M6707">
        <v>353554</v>
      </c>
      <c r="N6707">
        <v>-1</v>
      </c>
      <c r="O6707" s="3">
        <v>-34990</v>
      </c>
      <c r="P6707" s="3">
        <v>15642</v>
      </c>
      <c r="Q6707" s="5">
        <f t="shared" si="312"/>
        <v>-29403.361344537818</v>
      </c>
      <c r="R6707" s="5">
        <f t="shared" si="313"/>
        <v>-15642</v>
      </c>
      <c r="S6707" s="5">
        <f t="shared" si="314"/>
        <v>-13761.361344537818</v>
      </c>
    </row>
    <row r="6708" spans="1:19" hidden="1" x14ac:dyDescent="0.3">
      <c r="A6708">
        <v>210</v>
      </c>
      <c r="B6708" t="s">
        <v>6520</v>
      </c>
      <c r="C6708" t="s">
        <v>6624</v>
      </c>
      <c r="D6708" s="2" t="s">
        <v>6625</v>
      </c>
      <c r="E6708" t="s">
        <v>1668</v>
      </c>
      <c r="F6708" t="s">
        <v>20</v>
      </c>
      <c r="G6708" t="s">
        <v>338</v>
      </c>
      <c r="H6708">
        <v>23603</v>
      </c>
      <c r="I6708" t="s">
        <v>23</v>
      </c>
      <c r="J6708" t="s">
        <v>40</v>
      </c>
      <c r="K6708" s="2" t="s">
        <v>1744</v>
      </c>
      <c r="L6708" t="s">
        <v>26</v>
      </c>
      <c r="M6708">
        <v>353554</v>
      </c>
      <c r="N6708">
        <v>1</v>
      </c>
      <c r="O6708" s="3">
        <v>69950</v>
      </c>
      <c r="P6708" s="3">
        <v>22607</v>
      </c>
      <c r="Q6708" s="5">
        <f t="shared" si="312"/>
        <v>58781.512605042022</v>
      </c>
      <c r="R6708" s="5">
        <f t="shared" si="313"/>
        <v>22607</v>
      </c>
      <c r="S6708" s="5">
        <f t="shared" si="314"/>
        <v>36174.512605042022</v>
      </c>
    </row>
    <row r="6709" spans="1:19" hidden="1" x14ac:dyDescent="0.3">
      <c r="A6709">
        <v>210</v>
      </c>
      <c r="B6709" t="s">
        <v>6520</v>
      </c>
      <c r="C6709" t="s">
        <v>6639</v>
      </c>
      <c r="D6709" s="2" t="s">
        <v>6640</v>
      </c>
      <c r="E6709" t="s">
        <v>2738</v>
      </c>
      <c r="F6709" t="s">
        <v>20</v>
      </c>
      <c r="G6709" t="s">
        <v>21</v>
      </c>
      <c r="H6709" t="s">
        <v>22</v>
      </c>
      <c r="I6709" t="s">
        <v>23</v>
      </c>
      <c r="J6709" t="s">
        <v>49</v>
      </c>
      <c r="K6709" s="2" t="s">
        <v>1797</v>
      </c>
      <c r="L6709" t="s">
        <v>26</v>
      </c>
      <c r="M6709">
        <v>353555</v>
      </c>
      <c r="N6709">
        <v>1</v>
      </c>
      <c r="O6709" s="3">
        <v>74950</v>
      </c>
      <c r="P6709" s="3">
        <v>26286</v>
      </c>
      <c r="Q6709" s="5">
        <f t="shared" si="312"/>
        <v>62983.193277310929</v>
      </c>
      <c r="R6709" s="5">
        <f t="shared" si="313"/>
        <v>26286</v>
      </c>
      <c r="S6709" s="5">
        <f t="shared" si="314"/>
        <v>36697.193277310929</v>
      </c>
    </row>
    <row r="6710" spans="1:19" hidden="1" x14ac:dyDescent="0.3">
      <c r="A6710">
        <v>210</v>
      </c>
      <c r="B6710" t="s">
        <v>6520</v>
      </c>
      <c r="C6710" t="s">
        <v>5785</v>
      </c>
      <c r="D6710" s="2" t="s">
        <v>5786</v>
      </c>
      <c r="E6710" t="s">
        <v>425</v>
      </c>
      <c r="F6710" t="s">
        <v>20</v>
      </c>
      <c r="G6710" t="s">
        <v>21</v>
      </c>
      <c r="H6710" t="s">
        <v>22</v>
      </c>
      <c r="I6710" t="s">
        <v>23</v>
      </c>
      <c r="J6710" t="s">
        <v>24</v>
      </c>
      <c r="K6710" s="2" t="s">
        <v>1797</v>
      </c>
      <c r="L6710" t="s">
        <v>26</v>
      </c>
      <c r="M6710">
        <v>353555</v>
      </c>
      <c r="N6710">
        <v>-1</v>
      </c>
      <c r="O6710" s="3">
        <v>-79950</v>
      </c>
      <c r="P6710" s="3">
        <v>27806</v>
      </c>
      <c r="Q6710" s="5">
        <f t="shared" si="312"/>
        <v>-67184.873949579836</v>
      </c>
      <c r="R6710" s="5">
        <f t="shared" si="313"/>
        <v>-27806</v>
      </c>
      <c r="S6710" s="5">
        <f t="shared" si="314"/>
        <v>-39378.873949579836</v>
      </c>
    </row>
    <row r="6711" spans="1:19" hidden="1" x14ac:dyDescent="0.3">
      <c r="A6711">
        <v>210</v>
      </c>
      <c r="B6711" t="s">
        <v>6520</v>
      </c>
      <c r="C6711" t="s">
        <v>1761</v>
      </c>
      <c r="D6711" s="2" t="s">
        <v>1762</v>
      </c>
      <c r="E6711" t="s">
        <v>1763</v>
      </c>
      <c r="F6711" t="s">
        <v>377</v>
      </c>
      <c r="G6711" t="s">
        <v>21</v>
      </c>
      <c r="H6711" t="s">
        <v>378</v>
      </c>
      <c r="I6711" t="s">
        <v>23</v>
      </c>
      <c r="J6711" t="s">
        <v>379</v>
      </c>
      <c r="K6711" s="2" t="s">
        <v>1797</v>
      </c>
      <c r="L6711" t="s">
        <v>26</v>
      </c>
      <c r="M6711">
        <v>353555</v>
      </c>
      <c r="N6711">
        <v>1</v>
      </c>
      <c r="O6711" s="3">
        <v>5950</v>
      </c>
      <c r="P6711" s="3">
        <v>3279</v>
      </c>
      <c r="Q6711" s="5">
        <f t="shared" si="312"/>
        <v>5000</v>
      </c>
      <c r="R6711" s="5">
        <f t="shared" si="313"/>
        <v>3279</v>
      </c>
      <c r="S6711" s="5">
        <f t="shared" si="314"/>
        <v>1721</v>
      </c>
    </row>
    <row r="6712" spans="1:19" hidden="1" x14ac:dyDescent="0.3">
      <c r="A6712">
        <v>210</v>
      </c>
      <c r="B6712" t="s">
        <v>6520</v>
      </c>
      <c r="C6712" t="s">
        <v>6641</v>
      </c>
      <c r="D6712" s="2" t="s">
        <v>6642</v>
      </c>
      <c r="E6712" t="s">
        <v>391</v>
      </c>
      <c r="F6712" t="s">
        <v>20</v>
      </c>
      <c r="G6712" t="s">
        <v>21</v>
      </c>
      <c r="H6712" t="s">
        <v>285</v>
      </c>
      <c r="I6712" t="s">
        <v>23</v>
      </c>
      <c r="J6712" t="s">
        <v>35</v>
      </c>
      <c r="K6712" s="2" t="s">
        <v>1797</v>
      </c>
      <c r="L6712" t="s">
        <v>26</v>
      </c>
      <c r="M6712">
        <v>353556</v>
      </c>
      <c r="N6712">
        <v>1</v>
      </c>
      <c r="O6712" s="3">
        <v>59990</v>
      </c>
      <c r="P6712" s="3">
        <v>30872</v>
      </c>
      <c r="Q6712" s="5">
        <f t="shared" si="312"/>
        <v>50411.764705882357</v>
      </c>
      <c r="R6712" s="5">
        <f t="shared" si="313"/>
        <v>30872</v>
      </c>
      <c r="S6712" s="5">
        <f t="shared" si="314"/>
        <v>19539.764705882357</v>
      </c>
    </row>
    <row r="6713" spans="1:19" hidden="1" x14ac:dyDescent="0.3">
      <c r="A6713">
        <v>210</v>
      </c>
      <c r="B6713" t="s">
        <v>6520</v>
      </c>
      <c r="C6713">
        <v>1687976791</v>
      </c>
      <c r="D6713" s="2" t="s">
        <v>200</v>
      </c>
      <c r="E6713" t="s">
        <v>201</v>
      </c>
      <c r="F6713" t="s">
        <v>201</v>
      </c>
      <c r="G6713" t="s">
        <v>202</v>
      </c>
      <c r="H6713" t="s">
        <v>202</v>
      </c>
      <c r="I6713" t="s">
        <v>23</v>
      </c>
      <c r="J6713" t="s">
        <v>202</v>
      </c>
      <c r="K6713" s="2" t="s">
        <v>1797</v>
      </c>
      <c r="L6713" t="s">
        <v>26</v>
      </c>
      <c r="M6713">
        <v>353556</v>
      </c>
      <c r="N6713">
        <v>1</v>
      </c>
      <c r="O6713" s="3">
        <v>2000</v>
      </c>
      <c r="P6713">
        <v>1</v>
      </c>
      <c r="Q6713" s="5">
        <f t="shared" si="312"/>
        <v>1680.6722689075632</v>
      </c>
      <c r="R6713" s="5">
        <f t="shared" si="313"/>
        <v>1</v>
      </c>
      <c r="S6713" s="5">
        <f t="shared" si="314"/>
        <v>1679.6722689075632</v>
      </c>
    </row>
    <row r="6714" spans="1:19" hidden="1" x14ac:dyDescent="0.3">
      <c r="A6714">
        <v>210</v>
      </c>
      <c r="B6714" t="s">
        <v>6520</v>
      </c>
      <c r="C6714" t="s">
        <v>4110</v>
      </c>
      <c r="D6714" s="2" t="s">
        <v>4111</v>
      </c>
      <c r="E6714" t="s">
        <v>3491</v>
      </c>
      <c r="F6714" t="s">
        <v>20</v>
      </c>
      <c r="G6714" t="s">
        <v>338</v>
      </c>
      <c r="H6714">
        <v>85200</v>
      </c>
      <c r="I6714" t="s">
        <v>23</v>
      </c>
      <c r="J6714" t="s">
        <v>35</v>
      </c>
      <c r="K6714" s="2" t="s">
        <v>1797</v>
      </c>
      <c r="L6714" t="s">
        <v>26</v>
      </c>
      <c r="M6714">
        <v>353557</v>
      </c>
      <c r="N6714">
        <v>1</v>
      </c>
      <c r="O6714" s="3">
        <v>89950</v>
      </c>
      <c r="P6714" s="3">
        <v>27253</v>
      </c>
      <c r="Q6714" s="5">
        <f t="shared" si="312"/>
        <v>75588.23529411765</v>
      </c>
      <c r="R6714" s="5">
        <f t="shared" si="313"/>
        <v>27253</v>
      </c>
      <c r="S6714" s="5">
        <f t="shared" si="314"/>
        <v>48335.23529411765</v>
      </c>
    </row>
    <row r="6715" spans="1:19" hidden="1" x14ac:dyDescent="0.3">
      <c r="A6715">
        <v>210</v>
      </c>
      <c r="B6715" t="s">
        <v>6520</v>
      </c>
      <c r="C6715" t="s">
        <v>3615</v>
      </c>
      <c r="D6715" s="2" t="s">
        <v>3616</v>
      </c>
      <c r="E6715" t="s">
        <v>938</v>
      </c>
      <c r="F6715" t="s">
        <v>20</v>
      </c>
      <c r="G6715" t="s">
        <v>21</v>
      </c>
      <c r="H6715" t="s">
        <v>317</v>
      </c>
      <c r="I6715" t="s">
        <v>23</v>
      </c>
      <c r="J6715" t="s">
        <v>35</v>
      </c>
      <c r="K6715" s="2" t="s">
        <v>1797</v>
      </c>
      <c r="L6715" t="s">
        <v>26</v>
      </c>
      <c r="M6715">
        <v>353558</v>
      </c>
      <c r="N6715">
        <v>1</v>
      </c>
      <c r="O6715" s="3">
        <v>69950</v>
      </c>
      <c r="P6715" s="3">
        <v>27213</v>
      </c>
      <c r="Q6715" s="5">
        <f t="shared" si="312"/>
        <v>58781.512605042022</v>
      </c>
      <c r="R6715" s="5">
        <f t="shared" si="313"/>
        <v>27213</v>
      </c>
      <c r="S6715" s="5">
        <f t="shared" si="314"/>
        <v>31568.512605042022</v>
      </c>
    </row>
    <row r="6716" spans="1:19" hidden="1" x14ac:dyDescent="0.3">
      <c r="A6716">
        <v>210</v>
      </c>
      <c r="B6716" t="s">
        <v>6520</v>
      </c>
      <c r="C6716" t="s">
        <v>3815</v>
      </c>
      <c r="D6716" s="2" t="s">
        <v>3816</v>
      </c>
      <c r="E6716" t="s">
        <v>2340</v>
      </c>
      <c r="F6716" t="s">
        <v>20</v>
      </c>
      <c r="G6716" t="s">
        <v>21</v>
      </c>
      <c r="H6716" t="s">
        <v>1914</v>
      </c>
      <c r="I6716" t="s">
        <v>23</v>
      </c>
      <c r="J6716" t="s">
        <v>35</v>
      </c>
      <c r="K6716" s="2" t="s">
        <v>1797</v>
      </c>
      <c r="L6716" t="s">
        <v>26</v>
      </c>
      <c r="M6716">
        <v>353559</v>
      </c>
      <c r="N6716">
        <v>1</v>
      </c>
      <c r="O6716" s="3">
        <v>89950</v>
      </c>
      <c r="P6716" s="3">
        <v>27630</v>
      </c>
      <c r="Q6716" s="5">
        <f t="shared" si="312"/>
        <v>75588.23529411765</v>
      </c>
      <c r="R6716" s="5">
        <f t="shared" si="313"/>
        <v>27630</v>
      </c>
      <c r="S6716" s="5">
        <f t="shared" si="314"/>
        <v>47958.23529411765</v>
      </c>
    </row>
    <row r="6717" spans="1:19" hidden="1" x14ac:dyDescent="0.3">
      <c r="A6717">
        <v>210</v>
      </c>
      <c r="B6717" t="s">
        <v>6520</v>
      </c>
      <c r="C6717" t="s">
        <v>6643</v>
      </c>
      <c r="D6717" s="2" t="s">
        <v>6644</v>
      </c>
      <c r="E6717" t="s">
        <v>4331</v>
      </c>
      <c r="F6717" t="s">
        <v>20</v>
      </c>
      <c r="G6717" t="s">
        <v>338</v>
      </c>
      <c r="H6717">
        <v>25357</v>
      </c>
      <c r="I6717" t="s">
        <v>23</v>
      </c>
      <c r="J6717" t="s">
        <v>35</v>
      </c>
      <c r="K6717" s="2" t="s">
        <v>1797</v>
      </c>
      <c r="L6717" t="s">
        <v>26</v>
      </c>
      <c r="M6717">
        <v>353560</v>
      </c>
      <c r="N6717">
        <v>1</v>
      </c>
      <c r="O6717" s="3">
        <v>79950</v>
      </c>
      <c r="P6717" s="3">
        <v>24482</v>
      </c>
      <c r="Q6717" s="5">
        <f t="shared" si="312"/>
        <v>67184.873949579836</v>
      </c>
      <c r="R6717" s="5">
        <f t="shared" si="313"/>
        <v>24482</v>
      </c>
      <c r="S6717" s="5">
        <f t="shared" si="314"/>
        <v>42702.873949579836</v>
      </c>
    </row>
    <row r="6718" spans="1:19" hidden="1" x14ac:dyDescent="0.3">
      <c r="A6718">
        <v>210</v>
      </c>
      <c r="B6718" t="s">
        <v>6520</v>
      </c>
      <c r="C6718" t="s">
        <v>6645</v>
      </c>
      <c r="D6718" s="2" t="s">
        <v>6646</v>
      </c>
      <c r="E6718" t="s">
        <v>405</v>
      </c>
      <c r="F6718" t="s">
        <v>20</v>
      </c>
      <c r="G6718" t="s">
        <v>21</v>
      </c>
      <c r="H6718" t="s">
        <v>406</v>
      </c>
      <c r="I6718" t="s">
        <v>23</v>
      </c>
      <c r="J6718" t="s">
        <v>407</v>
      </c>
      <c r="K6718" s="2" t="s">
        <v>1797</v>
      </c>
      <c r="L6718" t="s">
        <v>26</v>
      </c>
      <c r="M6718">
        <v>353561</v>
      </c>
      <c r="N6718">
        <v>1</v>
      </c>
      <c r="O6718" s="3">
        <v>44990</v>
      </c>
      <c r="P6718" s="3">
        <v>19812</v>
      </c>
      <c r="Q6718" s="5">
        <f t="shared" si="312"/>
        <v>37806.722689075636</v>
      </c>
      <c r="R6718" s="5">
        <f t="shared" si="313"/>
        <v>19812</v>
      </c>
      <c r="S6718" s="5">
        <f t="shared" si="314"/>
        <v>17994.722689075636</v>
      </c>
    </row>
    <row r="6719" spans="1:19" hidden="1" x14ac:dyDescent="0.3">
      <c r="A6719">
        <v>210</v>
      </c>
      <c r="B6719" t="s">
        <v>6520</v>
      </c>
      <c r="C6719" t="s">
        <v>4237</v>
      </c>
      <c r="D6719" s="2" t="s">
        <v>4238</v>
      </c>
      <c r="E6719" t="s">
        <v>494</v>
      </c>
      <c r="F6719" t="s">
        <v>20</v>
      </c>
      <c r="G6719" t="s">
        <v>21</v>
      </c>
      <c r="H6719" t="s">
        <v>317</v>
      </c>
      <c r="I6719" t="s">
        <v>23</v>
      </c>
      <c r="J6719" t="s">
        <v>35</v>
      </c>
      <c r="K6719" s="2" t="s">
        <v>1797</v>
      </c>
      <c r="L6719" t="s">
        <v>26</v>
      </c>
      <c r="M6719">
        <v>353562</v>
      </c>
      <c r="N6719">
        <v>1</v>
      </c>
      <c r="O6719" s="3">
        <v>69950</v>
      </c>
      <c r="P6719" s="3">
        <v>23619</v>
      </c>
      <c r="Q6719" s="5">
        <f t="shared" si="312"/>
        <v>58781.512605042022</v>
      </c>
      <c r="R6719" s="5">
        <f t="shared" si="313"/>
        <v>23619</v>
      </c>
      <c r="S6719" s="5">
        <f t="shared" si="314"/>
        <v>35162.512605042022</v>
      </c>
    </row>
    <row r="6720" spans="1:19" hidden="1" x14ac:dyDescent="0.3">
      <c r="A6720">
        <v>210</v>
      </c>
      <c r="B6720" t="s">
        <v>6520</v>
      </c>
      <c r="C6720" t="s">
        <v>2575</v>
      </c>
      <c r="D6720" s="2" t="s">
        <v>2576</v>
      </c>
      <c r="E6720" t="s">
        <v>2577</v>
      </c>
      <c r="F6720" t="s">
        <v>377</v>
      </c>
      <c r="G6720" t="s">
        <v>21</v>
      </c>
      <c r="H6720" t="s">
        <v>378</v>
      </c>
      <c r="I6720" t="s">
        <v>23</v>
      </c>
      <c r="J6720" t="s">
        <v>379</v>
      </c>
      <c r="K6720" s="2" t="s">
        <v>1797</v>
      </c>
      <c r="L6720" t="s">
        <v>26</v>
      </c>
      <c r="M6720">
        <v>353563</v>
      </c>
      <c r="N6720">
        <v>1</v>
      </c>
      <c r="O6720" s="3">
        <v>5950</v>
      </c>
      <c r="P6720" s="3">
        <v>3307</v>
      </c>
      <c r="Q6720" s="5">
        <f t="shared" si="312"/>
        <v>5000</v>
      </c>
      <c r="R6720" s="5">
        <f t="shared" si="313"/>
        <v>3307</v>
      </c>
      <c r="S6720" s="5">
        <f t="shared" si="314"/>
        <v>1693</v>
      </c>
    </row>
    <row r="6721" spans="1:19" hidden="1" x14ac:dyDescent="0.3">
      <c r="A6721">
        <v>210</v>
      </c>
      <c r="B6721" t="s">
        <v>6520</v>
      </c>
      <c r="C6721" t="s">
        <v>5939</v>
      </c>
      <c r="D6721" s="2" t="s">
        <v>5940</v>
      </c>
      <c r="E6721" t="s">
        <v>2301</v>
      </c>
      <c r="F6721" t="s">
        <v>20</v>
      </c>
      <c r="G6721" t="s">
        <v>21</v>
      </c>
      <c r="H6721" t="s">
        <v>1124</v>
      </c>
      <c r="I6721" t="s">
        <v>23</v>
      </c>
      <c r="J6721" t="s">
        <v>24</v>
      </c>
      <c r="K6721" s="2" t="s">
        <v>1797</v>
      </c>
      <c r="L6721" t="s">
        <v>26</v>
      </c>
      <c r="M6721">
        <v>353564</v>
      </c>
      <c r="N6721">
        <v>1</v>
      </c>
      <c r="O6721" s="3">
        <v>74950</v>
      </c>
      <c r="P6721" s="3">
        <v>25857</v>
      </c>
      <c r="Q6721" s="5">
        <f t="shared" si="312"/>
        <v>62983.193277310929</v>
      </c>
      <c r="R6721" s="5">
        <f t="shared" si="313"/>
        <v>25857</v>
      </c>
      <c r="S6721" s="5">
        <f t="shared" si="314"/>
        <v>37126.193277310929</v>
      </c>
    </row>
    <row r="6722" spans="1:19" hidden="1" x14ac:dyDescent="0.3">
      <c r="A6722">
        <v>210</v>
      </c>
      <c r="B6722" t="s">
        <v>6520</v>
      </c>
      <c r="C6722" t="s">
        <v>6205</v>
      </c>
      <c r="D6722" s="2" t="s">
        <v>6206</v>
      </c>
      <c r="E6722" t="s">
        <v>3148</v>
      </c>
      <c r="F6722" t="s">
        <v>20</v>
      </c>
      <c r="G6722" t="s">
        <v>338</v>
      </c>
      <c r="H6722">
        <v>23313</v>
      </c>
      <c r="I6722" t="s">
        <v>23</v>
      </c>
      <c r="J6722" t="s">
        <v>40</v>
      </c>
      <c r="K6722" s="2" t="s">
        <v>1797</v>
      </c>
      <c r="L6722" t="s">
        <v>26</v>
      </c>
      <c r="M6722">
        <v>353565</v>
      </c>
      <c r="N6722">
        <v>1</v>
      </c>
      <c r="O6722" s="3">
        <v>49990</v>
      </c>
      <c r="P6722" s="3">
        <v>23611</v>
      </c>
      <c r="Q6722" s="5">
        <f t="shared" si="312"/>
        <v>42008.403361344543</v>
      </c>
      <c r="R6722" s="5">
        <f t="shared" si="313"/>
        <v>23611</v>
      </c>
      <c r="S6722" s="5">
        <f t="shared" si="314"/>
        <v>18397.403361344543</v>
      </c>
    </row>
    <row r="6723" spans="1:19" hidden="1" x14ac:dyDescent="0.3">
      <c r="A6723">
        <v>210</v>
      </c>
      <c r="B6723" t="s">
        <v>6520</v>
      </c>
      <c r="C6723" t="s">
        <v>6647</v>
      </c>
      <c r="D6723" s="2" t="s">
        <v>6648</v>
      </c>
      <c r="E6723" t="s">
        <v>1404</v>
      </c>
      <c r="F6723" t="s">
        <v>20</v>
      </c>
      <c r="G6723" t="s">
        <v>21</v>
      </c>
      <c r="H6723" t="s">
        <v>1405</v>
      </c>
      <c r="I6723" t="s">
        <v>23</v>
      </c>
      <c r="J6723" t="s">
        <v>40</v>
      </c>
      <c r="K6723" s="2" t="s">
        <v>1797</v>
      </c>
      <c r="L6723" t="s">
        <v>26</v>
      </c>
      <c r="M6723">
        <v>353566</v>
      </c>
      <c r="N6723">
        <v>1</v>
      </c>
      <c r="O6723" s="3">
        <v>49950</v>
      </c>
      <c r="P6723" s="3">
        <v>13302</v>
      </c>
      <c r="Q6723" s="5">
        <f t="shared" si="312"/>
        <v>41974.789915966387</v>
      </c>
      <c r="R6723" s="5">
        <f t="shared" si="313"/>
        <v>13302</v>
      </c>
      <c r="S6723" s="5">
        <f t="shared" si="314"/>
        <v>28672.789915966387</v>
      </c>
    </row>
    <row r="6724" spans="1:19" hidden="1" x14ac:dyDescent="0.3">
      <c r="A6724">
        <v>210</v>
      </c>
      <c r="B6724" t="s">
        <v>6520</v>
      </c>
      <c r="C6724">
        <v>1687976791</v>
      </c>
      <c r="D6724" s="2" t="s">
        <v>200</v>
      </c>
      <c r="E6724" t="s">
        <v>201</v>
      </c>
      <c r="F6724" t="s">
        <v>201</v>
      </c>
      <c r="G6724" t="s">
        <v>202</v>
      </c>
      <c r="H6724" t="s">
        <v>202</v>
      </c>
      <c r="I6724" t="s">
        <v>23</v>
      </c>
      <c r="J6724" t="s">
        <v>202</v>
      </c>
      <c r="K6724" s="2" t="s">
        <v>1797</v>
      </c>
      <c r="L6724" t="s">
        <v>26</v>
      </c>
      <c r="M6724">
        <v>353566</v>
      </c>
      <c r="N6724">
        <v>1</v>
      </c>
      <c r="O6724" s="3">
        <v>2000</v>
      </c>
      <c r="P6724">
        <v>1</v>
      </c>
      <c r="Q6724" s="5">
        <f t="shared" si="312"/>
        <v>1680.6722689075632</v>
      </c>
      <c r="R6724" s="5">
        <f t="shared" si="313"/>
        <v>1</v>
      </c>
      <c r="S6724" s="5">
        <f t="shared" si="314"/>
        <v>1679.6722689075632</v>
      </c>
    </row>
    <row r="6725" spans="1:19" hidden="1" x14ac:dyDescent="0.3">
      <c r="A6725">
        <v>210</v>
      </c>
      <c r="B6725" t="s">
        <v>6520</v>
      </c>
      <c r="C6725" t="s">
        <v>4561</v>
      </c>
      <c r="D6725" s="2" t="s">
        <v>4562</v>
      </c>
      <c r="E6725" t="s">
        <v>3345</v>
      </c>
      <c r="F6725" t="s">
        <v>20</v>
      </c>
      <c r="G6725" t="s">
        <v>338</v>
      </c>
      <c r="H6725">
        <v>25354</v>
      </c>
      <c r="I6725" t="s">
        <v>23</v>
      </c>
      <c r="J6725" t="s">
        <v>35</v>
      </c>
      <c r="K6725" s="2" t="s">
        <v>1797</v>
      </c>
      <c r="L6725" t="s">
        <v>26</v>
      </c>
      <c r="M6725">
        <v>353567</v>
      </c>
      <c r="N6725">
        <v>1</v>
      </c>
      <c r="O6725" s="3">
        <v>69950</v>
      </c>
      <c r="P6725" s="3">
        <v>21167</v>
      </c>
      <c r="Q6725" s="5">
        <f t="shared" si="312"/>
        <v>58781.512605042022</v>
      </c>
      <c r="R6725" s="5">
        <f t="shared" si="313"/>
        <v>21167</v>
      </c>
      <c r="S6725" s="5">
        <f t="shared" si="314"/>
        <v>37614.512605042022</v>
      </c>
    </row>
    <row r="6726" spans="1:19" hidden="1" x14ac:dyDescent="0.3">
      <c r="A6726">
        <v>210</v>
      </c>
      <c r="B6726" t="s">
        <v>6520</v>
      </c>
      <c r="C6726" t="s">
        <v>6649</v>
      </c>
      <c r="D6726" s="2" t="s">
        <v>6650</v>
      </c>
      <c r="E6726" t="s">
        <v>3058</v>
      </c>
      <c r="F6726" t="s">
        <v>20</v>
      </c>
      <c r="G6726" t="s">
        <v>338</v>
      </c>
      <c r="H6726">
        <v>26419</v>
      </c>
      <c r="I6726" t="s">
        <v>23</v>
      </c>
      <c r="J6726" t="s">
        <v>35</v>
      </c>
      <c r="K6726" s="2" t="s">
        <v>1797</v>
      </c>
      <c r="L6726" t="s">
        <v>26</v>
      </c>
      <c r="M6726">
        <v>353567</v>
      </c>
      <c r="N6726">
        <v>1</v>
      </c>
      <c r="O6726" s="3">
        <v>69990</v>
      </c>
      <c r="P6726" s="3">
        <v>24346</v>
      </c>
      <c r="Q6726" s="5">
        <f t="shared" ref="Q6726:Q6789" si="315">O6726/1.19</f>
        <v>58815.126050420171</v>
      </c>
      <c r="R6726" s="5">
        <f t="shared" ref="R6726:R6789" si="316">N6726*P6726</f>
        <v>24346</v>
      </c>
      <c r="S6726" s="5">
        <f t="shared" ref="S6726:S6789" si="317">Q6726-R6726</f>
        <v>34469.126050420171</v>
      </c>
    </row>
    <row r="6727" spans="1:19" hidden="1" x14ac:dyDescent="0.3">
      <c r="A6727">
        <v>210</v>
      </c>
      <c r="B6727" t="s">
        <v>6520</v>
      </c>
      <c r="C6727" t="s">
        <v>5197</v>
      </c>
      <c r="D6727" s="2" t="s">
        <v>5198</v>
      </c>
      <c r="E6727" t="s">
        <v>3323</v>
      </c>
      <c r="F6727" t="s">
        <v>20</v>
      </c>
      <c r="G6727" t="s">
        <v>21</v>
      </c>
      <c r="H6727" t="s">
        <v>625</v>
      </c>
      <c r="I6727" t="s">
        <v>23</v>
      </c>
      <c r="J6727" t="s">
        <v>35</v>
      </c>
      <c r="K6727" s="2" t="s">
        <v>1853</v>
      </c>
      <c r="L6727" t="s">
        <v>26</v>
      </c>
      <c r="M6727">
        <v>353568</v>
      </c>
      <c r="N6727">
        <v>1</v>
      </c>
      <c r="O6727" s="3">
        <v>49990</v>
      </c>
      <c r="P6727" s="3">
        <v>24956</v>
      </c>
      <c r="Q6727" s="5">
        <f t="shared" si="315"/>
        <v>42008.403361344543</v>
      </c>
      <c r="R6727" s="5">
        <f t="shared" si="316"/>
        <v>24956</v>
      </c>
      <c r="S6727" s="5">
        <f t="shared" si="317"/>
        <v>17052.403361344543</v>
      </c>
    </row>
    <row r="6728" spans="1:19" hidden="1" x14ac:dyDescent="0.3">
      <c r="A6728">
        <v>210</v>
      </c>
      <c r="B6728" t="s">
        <v>6520</v>
      </c>
      <c r="C6728" t="s">
        <v>1704</v>
      </c>
      <c r="D6728" s="2" t="s">
        <v>1705</v>
      </c>
      <c r="E6728" t="s">
        <v>1706</v>
      </c>
      <c r="F6728" t="s">
        <v>20</v>
      </c>
      <c r="G6728" t="s">
        <v>338</v>
      </c>
      <c r="H6728">
        <v>23201</v>
      </c>
      <c r="I6728" t="s">
        <v>23</v>
      </c>
      <c r="J6728" t="s">
        <v>49</v>
      </c>
      <c r="K6728" s="2" t="s">
        <v>1853</v>
      </c>
      <c r="L6728" t="s">
        <v>26</v>
      </c>
      <c r="M6728">
        <v>353569</v>
      </c>
      <c r="N6728">
        <v>1</v>
      </c>
      <c r="O6728" s="3">
        <v>84950</v>
      </c>
      <c r="P6728" s="3">
        <v>26390</v>
      </c>
      <c r="Q6728" s="5">
        <f t="shared" si="315"/>
        <v>71386.554621848743</v>
      </c>
      <c r="R6728" s="5">
        <f t="shared" si="316"/>
        <v>26390</v>
      </c>
      <c r="S6728" s="5">
        <f t="shared" si="317"/>
        <v>44996.554621848743</v>
      </c>
    </row>
    <row r="6729" spans="1:19" hidden="1" x14ac:dyDescent="0.3">
      <c r="A6729">
        <v>210</v>
      </c>
      <c r="B6729" t="s">
        <v>6520</v>
      </c>
      <c r="C6729" t="s">
        <v>2767</v>
      </c>
      <c r="D6729" s="2" t="s">
        <v>2768</v>
      </c>
      <c r="E6729" t="s">
        <v>1336</v>
      </c>
      <c r="F6729" t="s">
        <v>20</v>
      </c>
      <c r="G6729" t="s">
        <v>21</v>
      </c>
      <c r="H6729" t="s">
        <v>1337</v>
      </c>
      <c r="I6729" t="s">
        <v>23</v>
      </c>
      <c r="J6729" t="s">
        <v>49</v>
      </c>
      <c r="K6729" s="2" t="s">
        <v>1853</v>
      </c>
      <c r="L6729" t="s">
        <v>26</v>
      </c>
      <c r="M6729">
        <v>353569</v>
      </c>
      <c r="N6729">
        <v>1</v>
      </c>
      <c r="O6729" s="3">
        <v>59950</v>
      </c>
      <c r="P6729" s="3">
        <v>19179</v>
      </c>
      <c r="Q6729" s="5">
        <f t="shared" si="315"/>
        <v>50378.151260504201</v>
      </c>
      <c r="R6729" s="5">
        <f t="shared" si="316"/>
        <v>19179</v>
      </c>
      <c r="S6729" s="5">
        <f t="shared" si="317"/>
        <v>31199.151260504201</v>
      </c>
    </row>
    <row r="6730" spans="1:19" hidden="1" x14ac:dyDescent="0.3">
      <c r="A6730">
        <v>210</v>
      </c>
      <c r="B6730" t="s">
        <v>6520</v>
      </c>
      <c r="C6730" t="s">
        <v>6651</v>
      </c>
      <c r="D6730" s="2" t="s">
        <v>6652</v>
      </c>
      <c r="E6730" t="s">
        <v>2936</v>
      </c>
      <c r="F6730" t="s">
        <v>20</v>
      </c>
      <c r="G6730" t="s">
        <v>338</v>
      </c>
      <c r="H6730">
        <v>25357</v>
      </c>
      <c r="I6730" t="s">
        <v>23</v>
      </c>
      <c r="J6730" t="s">
        <v>35</v>
      </c>
      <c r="K6730" s="2" t="s">
        <v>1853</v>
      </c>
      <c r="L6730" t="s">
        <v>26</v>
      </c>
      <c r="M6730">
        <v>353570</v>
      </c>
      <c r="N6730">
        <v>1</v>
      </c>
      <c r="O6730" s="3">
        <v>79950</v>
      </c>
      <c r="P6730" s="3">
        <v>24482</v>
      </c>
      <c r="Q6730" s="5">
        <f t="shared" si="315"/>
        <v>67184.873949579836</v>
      </c>
      <c r="R6730" s="5">
        <f t="shared" si="316"/>
        <v>24482</v>
      </c>
      <c r="S6730" s="5">
        <f t="shared" si="317"/>
        <v>42702.873949579836</v>
      </c>
    </row>
    <row r="6731" spans="1:19" hidden="1" x14ac:dyDescent="0.3">
      <c r="A6731">
        <v>210</v>
      </c>
      <c r="B6731" t="s">
        <v>6520</v>
      </c>
      <c r="C6731" t="s">
        <v>5783</v>
      </c>
      <c r="D6731" s="2" t="s">
        <v>5784</v>
      </c>
      <c r="E6731" t="s">
        <v>4771</v>
      </c>
      <c r="F6731" t="s">
        <v>20</v>
      </c>
      <c r="G6731" t="s">
        <v>338</v>
      </c>
      <c r="H6731">
        <v>85200</v>
      </c>
      <c r="I6731" t="s">
        <v>23</v>
      </c>
      <c r="J6731" t="s">
        <v>35</v>
      </c>
      <c r="K6731" s="2" t="s">
        <v>1853</v>
      </c>
      <c r="L6731" t="s">
        <v>26</v>
      </c>
      <c r="M6731">
        <v>353571</v>
      </c>
      <c r="N6731">
        <v>1</v>
      </c>
      <c r="O6731" s="3">
        <v>89950</v>
      </c>
      <c r="P6731" s="3">
        <v>27253</v>
      </c>
      <c r="Q6731" s="5">
        <f t="shared" si="315"/>
        <v>75588.23529411765</v>
      </c>
      <c r="R6731" s="5">
        <f t="shared" si="316"/>
        <v>27253</v>
      </c>
      <c r="S6731" s="5">
        <f t="shared" si="317"/>
        <v>48335.23529411765</v>
      </c>
    </row>
    <row r="6732" spans="1:19" hidden="1" x14ac:dyDescent="0.3">
      <c r="A6732">
        <v>210</v>
      </c>
      <c r="B6732" t="s">
        <v>6520</v>
      </c>
      <c r="C6732" t="s">
        <v>6053</v>
      </c>
      <c r="D6732" s="2" t="s">
        <v>6054</v>
      </c>
      <c r="E6732" t="s">
        <v>3083</v>
      </c>
      <c r="F6732" t="s">
        <v>20</v>
      </c>
      <c r="G6732" t="s">
        <v>21</v>
      </c>
      <c r="H6732" t="s">
        <v>2469</v>
      </c>
      <c r="I6732" t="s">
        <v>23</v>
      </c>
      <c r="J6732" t="s">
        <v>35</v>
      </c>
      <c r="K6732" s="2" t="s">
        <v>1853</v>
      </c>
      <c r="L6732" t="s">
        <v>26</v>
      </c>
      <c r="M6732">
        <v>353572</v>
      </c>
      <c r="N6732">
        <v>1</v>
      </c>
      <c r="O6732" s="3">
        <v>69990</v>
      </c>
      <c r="P6732" s="3">
        <v>29635</v>
      </c>
      <c r="Q6732" s="5">
        <f t="shared" si="315"/>
        <v>58815.126050420171</v>
      </c>
      <c r="R6732" s="5">
        <f t="shared" si="316"/>
        <v>29635</v>
      </c>
      <c r="S6732" s="5">
        <f t="shared" si="317"/>
        <v>29180.126050420171</v>
      </c>
    </row>
    <row r="6733" spans="1:19" hidden="1" x14ac:dyDescent="0.3">
      <c r="A6733">
        <v>210</v>
      </c>
      <c r="B6733" t="s">
        <v>6520</v>
      </c>
      <c r="C6733" t="s">
        <v>5146</v>
      </c>
      <c r="D6733" s="2" t="s">
        <v>5147</v>
      </c>
      <c r="E6733" t="s">
        <v>4830</v>
      </c>
      <c r="F6733" t="s">
        <v>20</v>
      </c>
      <c r="G6733" t="s">
        <v>338</v>
      </c>
      <c r="H6733">
        <v>24239</v>
      </c>
      <c r="I6733" t="s">
        <v>23</v>
      </c>
      <c r="J6733" t="s">
        <v>95</v>
      </c>
      <c r="K6733" s="2" t="s">
        <v>1853</v>
      </c>
      <c r="L6733" t="s">
        <v>26</v>
      </c>
      <c r="M6733">
        <v>353572</v>
      </c>
      <c r="N6733">
        <v>1</v>
      </c>
      <c r="O6733" s="3">
        <v>59950</v>
      </c>
      <c r="P6733" s="3">
        <v>18677</v>
      </c>
      <c r="Q6733" s="5">
        <f t="shared" si="315"/>
        <v>50378.151260504201</v>
      </c>
      <c r="R6733" s="5">
        <f t="shared" si="316"/>
        <v>18677</v>
      </c>
      <c r="S6733" s="5">
        <f t="shared" si="317"/>
        <v>31701.151260504201</v>
      </c>
    </row>
    <row r="6734" spans="1:19" hidden="1" x14ac:dyDescent="0.3">
      <c r="A6734">
        <v>210</v>
      </c>
      <c r="B6734" t="s">
        <v>6520</v>
      </c>
      <c r="C6734" t="s">
        <v>2193</v>
      </c>
      <c r="D6734" s="2" t="s">
        <v>2194</v>
      </c>
      <c r="E6734" t="s">
        <v>2195</v>
      </c>
      <c r="F6734" t="s">
        <v>20</v>
      </c>
      <c r="G6734" t="s">
        <v>338</v>
      </c>
      <c r="H6734">
        <v>24722</v>
      </c>
      <c r="I6734" t="s">
        <v>23</v>
      </c>
      <c r="J6734" t="s">
        <v>95</v>
      </c>
      <c r="K6734" s="2" t="s">
        <v>1853</v>
      </c>
      <c r="L6734" t="s">
        <v>26</v>
      </c>
      <c r="M6734">
        <v>353572</v>
      </c>
      <c r="N6734">
        <v>1</v>
      </c>
      <c r="O6734" s="3">
        <v>89950</v>
      </c>
      <c r="P6734" s="3">
        <v>30987</v>
      </c>
      <c r="Q6734" s="5">
        <f t="shared" si="315"/>
        <v>75588.23529411765</v>
      </c>
      <c r="R6734" s="5">
        <f t="shared" si="316"/>
        <v>30987</v>
      </c>
      <c r="S6734" s="5">
        <f t="shared" si="317"/>
        <v>44601.23529411765</v>
      </c>
    </row>
    <row r="6735" spans="1:19" hidden="1" x14ac:dyDescent="0.3">
      <c r="A6735">
        <v>210</v>
      </c>
      <c r="B6735" t="s">
        <v>6520</v>
      </c>
      <c r="C6735" t="s">
        <v>4665</v>
      </c>
      <c r="D6735" s="2" t="s">
        <v>4666</v>
      </c>
      <c r="E6735" t="s">
        <v>4132</v>
      </c>
      <c r="F6735" t="s">
        <v>20</v>
      </c>
      <c r="G6735" t="s">
        <v>21</v>
      </c>
      <c r="H6735" t="s">
        <v>1914</v>
      </c>
      <c r="I6735" t="s">
        <v>23</v>
      </c>
      <c r="J6735" t="s">
        <v>49</v>
      </c>
      <c r="K6735" s="2" t="s">
        <v>1853</v>
      </c>
      <c r="L6735" t="s">
        <v>26</v>
      </c>
      <c r="M6735">
        <v>353573</v>
      </c>
      <c r="N6735">
        <v>1</v>
      </c>
      <c r="O6735" s="3">
        <v>74950</v>
      </c>
      <c r="P6735" s="3">
        <v>24732</v>
      </c>
      <c r="Q6735" s="5">
        <f t="shared" si="315"/>
        <v>62983.193277310929</v>
      </c>
      <c r="R6735" s="5">
        <f t="shared" si="316"/>
        <v>24732</v>
      </c>
      <c r="S6735" s="5">
        <f t="shared" si="317"/>
        <v>38251.193277310929</v>
      </c>
    </row>
    <row r="6736" spans="1:19" hidden="1" x14ac:dyDescent="0.3">
      <c r="A6736">
        <v>210</v>
      </c>
      <c r="B6736" t="s">
        <v>6520</v>
      </c>
      <c r="C6736" t="s">
        <v>264</v>
      </c>
      <c r="D6736" s="2" t="s">
        <v>265</v>
      </c>
      <c r="E6736" t="s">
        <v>266</v>
      </c>
      <c r="F6736" t="s">
        <v>20</v>
      </c>
      <c r="G6736" t="s">
        <v>21</v>
      </c>
      <c r="H6736" t="s">
        <v>267</v>
      </c>
      <c r="I6736" t="s">
        <v>23</v>
      </c>
      <c r="J6736" t="s">
        <v>49</v>
      </c>
      <c r="K6736" s="2" t="s">
        <v>1853</v>
      </c>
      <c r="L6736" t="s">
        <v>26</v>
      </c>
      <c r="M6736">
        <v>353574</v>
      </c>
      <c r="N6736">
        <v>1</v>
      </c>
      <c r="O6736" s="3">
        <v>64950</v>
      </c>
      <c r="P6736" s="3">
        <v>24504</v>
      </c>
      <c r="Q6736" s="5">
        <f t="shared" si="315"/>
        <v>54579.831932773115</v>
      </c>
      <c r="R6736" s="5">
        <f t="shared" si="316"/>
        <v>24504</v>
      </c>
      <c r="S6736" s="5">
        <f t="shared" si="317"/>
        <v>30075.831932773115</v>
      </c>
    </row>
    <row r="6737" spans="1:19" hidden="1" x14ac:dyDescent="0.3">
      <c r="A6737">
        <v>210</v>
      </c>
      <c r="B6737" t="s">
        <v>6520</v>
      </c>
      <c r="C6737" t="s">
        <v>3495</v>
      </c>
      <c r="D6737" s="2" t="s">
        <v>3496</v>
      </c>
      <c r="E6737" t="s">
        <v>1336</v>
      </c>
      <c r="F6737" t="s">
        <v>20</v>
      </c>
      <c r="G6737" t="s">
        <v>21</v>
      </c>
      <c r="H6737" t="s">
        <v>1337</v>
      </c>
      <c r="I6737" t="s">
        <v>23</v>
      </c>
      <c r="J6737" t="s">
        <v>49</v>
      </c>
      <c r="K6737" s="2" t="s">
        <v>1853</v>
      </c>
      <c r="L6737" t="s">
        <v>26</v>
      </c>
      <c r="M6737">
        <v>353574</v>
      </c>
      <c r="N6737">
        <v>1</v>
      </c>
      <c r="O6737" s="3">
        <v>59950</v>
      </c>
      <c r="P6737" s="3">
        <v>19169</v>
      </c>
      <c r="Q6737" s="5">
        <f t="shared" si="315"/>
        <v>50378.151260504201</v>
      </c>
      <c r="R6737" s="5">
        <f t="shared" si="316"/>
        <v>19169</v>
      </c>
      <c r="S6737" s="5">
        <f t="shared" si="317"/>
        <v>31209.151260504201</v>
      </c>
    </row>
    <row r="6738" spans="1:19" hidden="1" x14ac:dyDescent="0.3">
      <c r="A6738">
        <v>210</v>
      </c>
      <c r="B6738" t="s">
        <v>6520</v>
      </c>
      <c r="C6738" t="s">
        <v>4500</v>
      </c>
      <c r="D6738" s="2" t="s">
        <v>4501</v>
      </c>
      <c r="E6738" t="s">
        <v>467</v>
      </c>
      <c r="F6738" t="s">
        <v>20</v>
      </c>
      <c r="G6738" t="s">
        <v>21</v>
      </c>
      <c r="H6738" t="s">
        <v>171</v>
      </c>
      <c r="I6738" t="s">
        <v>23</v>
      </c>
      <c r="J6738" t="s">
        <v>40</v>
      </c>
      <c r="K6738" s="2" t="s">
        <v>1853</v>
      </c>
      <c r="L6738" t="s">
        <v>26</v>
      </c>
      <c r="M6738">
        <v>353575</v>
      </c>
      <c r="N6738">
        <v>1</v>
      </c>
      <c r="O6738" s="3">
        <v>59990</v>
      </c>
      <c r="P6738" s="3">
        <v>29948</v>
      </c>
      <c r="Q6738" s="5">
        <f t="shared" si="315"/>
        <v>50411.764705882357</v>
      </c>
      <c r="R6738" s="5">
        <f t="shared" si="316"/>
        <v>29948</v>
      </c>
      <c r="S6738" s="5">
        <f t="shared" si="317"/>
        <v>20463.764705882357</v>
      </c>
    </row>
    <row r="6739" spans="1:19" hidden="1" x14ac:dyDescent="0.3">
      <c r="A6739">
        <v>210</v>
      </c>
      <c r="B6739" t="s">
        <v>6520</v>
      </c>
      <c r="C6739" t="s">
        <v>4516</v>
      </c>
      <c r="D6739" s="2" t="s">
        <v>4517</v>
      </c>
      <c r="E6739" t="s">
        <v>1443</v>
      </c>
      <c r="F6739" t="s">
        <v>20</v>
      </c>
      <c r="G6739" t="s">
        <v>338</v>
      </c>
      <c r="H6739">
        <v>25301</v>
      </c>
      <c r="I6739" t="s">
        <v>23</v>
      </c>
      <c r="J6739" t="s">
        <v>35</v>
      </c>
      <c r="K6739" s="2" t="s">
        <v>1853</v>
      </c>
      <c r="L6739" t="s">
        <v>26</v>
      </c>
      <c r="M6739">
        <v>353576</v>
      </c>
      <c r="N6739">
        <v>1</v>
      </c>
      <c r="O6739" s="3">
        <v>99951</v>
      </c>
      <c r="P6739" s="3">
        <v>34157</v>
      </c>
      <c r="Q6739" s="5">
        <f t="shared" si="315"/>
        <v>83992.436974789918</v>
      </c>
      <c r="R6739" s="5">
        <f t="shared" si="316"/>
        <v>34157</v>
      </c>
      <c r="S6739" s="5">
        <f t="shared" si="317"/>
        <v>49835.436974789918</v>
      </c>
    </row>
    <row r="6740" spans="1:19" hidden="1" x14ac:dyDescent="0.3">
      <c r="A6740">
        <v>210</v>
      </c>
      <c r="B6740" t="s">
        <v>6520</v>
      </c>
      <c r="C6740" t="s">
        <v>4512</v>
      </c>
      <c r="D6740" s="2" t="s">
        <v>4513</v>
      </c>
      <c r="E6740" t="s">
        <v>2208</v>
      </c>
      <c r="F6740" t="s">
        <v>20</v>
      </c>
      <c r="G6740" t="s">
        <v>338</v>
      </c>
      <c r="H6740">
        <v>25823</v>
      </c>
      <c r="I6740" t="s">
        <v>23</v>
      </c>
      <c r="J6740" t="s">
        <v>35</v>
      </c>
      <c r="K6740" s="2" t="s">
        <v>1853</v>
      </c>
      <c r="L6740" t="s">
        <v>26</v>
      </c>
      <c r="M6740">
        <v>353576</v>
      </c>
      <c r="N6740">
        <v>-1</v>
      </c>
      <c r="O6740" s="3">
        <v>-99950</v>
      </c>
      <c r="P6740" s="3">
        <v>33748</v>
      </c>
      <c r="Q6740" s="5">
        <f t="shared" si="315"/>
        <v>-83991.596638655465</v>
      </c>
      <c r="R6740" s="5">
        <f t="shared" si="316"/>
        <v>-33748</v>
      </c>
      <c r="S6740" s="5">
        <f t="shared" si="317"/>
        <v>-50243.596638655465</v>
      </c>
    </row>
    <row r="6741" spans="1:19" hidden="1" x14ac:dyDescent="0.3">
      <c r="A6741">
        <v>210</v>
      </c>
      <c r="B6741" t="s">
        <v>6520</v>
      </c>
      <c r="C6741" t="s">
        <v>3912</v>
      </c>
      <c r="D6741" s="2" t="s">
        <v>3913</v>
      </c>
      <c r="E6741" t="s">
        <v>3914</v>
      </c>
      <c r="F6741" t="s">
        <v>20</v>
      </c>
      <c r="G6741" t="s">
        <v>338</v>
      </c>
      <c r="H6741">
        <v>24316</v>
      </c>
      <c r="I6741" t="s">
        <v>23</v>
      </c>
      <c r="J6741" t="s">
        <v>49</v>
      </c>
      <c r="K6741" s="2" t="s">
        <v>1853</v>
      </c>
      <c r="L6741" t="s">
        <v>26</v>
      </c>
      <c r="M6741">
        <v>353577</v>
      </c>
      <c r="N6741">
        <v>-1</v>
      </c>
      <c r="O6741" s="3">
        <v>-63700</v>
      </c>
      <c r="P6741" s="3">
        <v>23473</v>
      </c>
      <c r="Q6741" s="5">
        <f t="shared" si="315"/>
        <v>-53529.411764705888</v>
      </c>
      <c r="R6741" s="5">
        <f t="shared" si="316"/>
        <v>-23473</v>
      </c>
      <c r="S6741" s="5">
        <f t="shared" si="317"/>
        <v>-30056.411764705888</v>
      </c>
    </row>
    <row r="6742" spans="1:19" hidden="1" x14ac:dyDescent="0.3">
      <c r="A6742">
        <v>210</v>
      </c>
      <c r="B6742" t="s">
        <v>6520</v>
      </c>
      <c r="C6742" t="s">
        <v>6525</v>
      </c>
      <c r="D6742" s="2" t="s">
        <v>6526</v>
      </c>
      <c r="E6742" t="s">
        <v>2076</v>
      </c>
      <c r="F6742" t="s">
        <v>20</v>
      </c>
      <c r="G6742" t="s">
        <v>338</v>
      </c>
      <c r="H6742">
        <v>83726</v>
      </c>
      <c r="I6742" t="s">
        <v>23</v>
      </c>
      <c r="J6742" t="s">
        <v>40</v>
      </c>
      <c r="K6742" s="2" t="s">
        <v>1853</v>
      </c>
      <c r="L6742" t="s">
        <v>26</v>
      </c>
      <c r="M6742">
        <v>353577</v>
      </c>
      <c r="N6742">
        <v>1</v>
      </c>
      <c r="O6742" s="3">
        <v>69990</v>
      </c>
      <c r="P6742" s="3">
        <v>30263</v>
      </c>
      <c r="Q6742" s="5">
        <f t="shared" si="315"/>
        <v>58815.126050420171</v>
      </c>
      <c r="R6742" s="5">
        <f t="shared" si="316"/>
        <v>30263</v>
      </c>
      <c r="S6742" s="5">
        <f t="shared" si="317"/>
        <v>28552.126050420171</v>
      </c>
    </row>
    <row r="6743" spans="1:19" hidden="1" x14ac:dyDescent="0.3">
      <c r="A6743">
        <v>210</v>
      </c>
      <c r="B6743" t="s">
        <v>6520</v>
      </c>
      <c r="C6743" t="s">
        <v>483</v>
      </c>
      <c r="D6743" s="2" t="s">
        <v>484</v>
      </c>
      <c r="E6743" t="s">
        <v>485</v>
      </c>
      <c r="F6743" t="s">
        <v>20</v>
      </c>
      <c r="G6743" t="s">
        <v>21</v>
      </c>
      <c r="H6743" t="s">
        <v>247</v>
      </c>
      <c r="I6743" t="s">
        <v>23</v>
      </c>
      <c r="J6743" t="s">
        <v>40</v>
      </c>
      <c r="K6743" s="2" t="s">
        <v>1853</v>
      </c>
      <c r="L6743" t="s">
        <v>26</v>
      </c>
      <c r="M6743">
        <v>353578</v>
      </c>
      <c r="N6743">
        <v>-1</v>
      </c>
      <c r="O6743" s="3">
        <v>-34990</v>
      </c>
      <c r="P6743" s="3">
        <v>17221</v>
      </c>
      <c r="Q6743" s="5">
        <f t="shared" si="315"/>
        <v>-29403.361344537818</v>
      </c>
      <c r="R6743" s="5">
        <f t="shared" si="316"/>
        <v>-17221</v>
      </c>
      <c r="S6743" s="5">
        <f t="shared" si="317"/>
        <v>-12182.361344537818</v>
      </c>
    </row>
    <row r="6744" spans="1:19" hidden="1" x14ac:dyDescent="0.3">
      <c r="A6744">
        <v>210</v>
      </c>
      <c r="B6744" t="s">
        <v>6520</v>
      </c>
      <c r="C6744" t="s">
        <v>6653</v>
      </c>
      <c r="D6744" s="2" t="s">
        <v>6654</v>
      </c>
      <c r="E6744" t="s">
        <v>1436</v>
      </c>
      <c r="F6744" t="s">
        <v>20</v>
      </c>
      <c r="G6744" t="s">
        <v>21</v>
      </c>
      <c r="H6744" t="s">
        <v>500</v>
      </c>
      <c r="I6744" t="s">
        <v>23</v>
      </c>
      <c r="J6744" t="s">
        <v>40</v>
      </c>
      <c r="K6744" s="2" t="s">
        <v>1853</v>
      </c>
      <c r="L6744" t="s">
        <v>26</v>
      </c>
      <c r="M6744">
        <v>353578</v>
      </c>
      <c r="N6744">
        <v>1</v>
      </c>
      <c r="O6744" s="3">
        <v>59950</v>
      </c>
      <c r="P6744" s="3">
        <v>17591</v>
      </c>
      <c r="Q6744" s="5">
        <f t="shared" si="315"/>
        <v>50378.151260504201</v>
      </c>
      <c r="R6744" s="5">
        <f t="shared" si="316"/>
        <v>17591</v>
      </c>
      <c r="S6744" s="5">
        <f t="shared" si="317"/>
        <v>32787.151260504201</v>
      </c>
    </row>
    <row r="6745" spans="1:19" hidden="1" x14ac:dyDescent="0.3">
      <c r="A6745">
        <v>210</v>
      </c>
      <c r="B6745" t="s">
        <v>6520</v>
      </c>
      <c r="C6745">
        <v>1687976791</v>
      </c>
      <c r="D6745" s="2" t="s">
        <v>200</v>
      </c>
      <c r="E6745" t="s">
        <v>201</v>
      </c>
      <c r="F6745" t="s">
        <v>201</v>
      </c>
      <c r="G6745" t="s">
        <v>202</v>
      </c>
      <c r="H6745" t="s">
        <v>202</v>
      </c>
      <c r="I6745" t="s">
        <v>23</v>
      </c>
      <c r="J6745" t="s">
        <v>202</v>
      </c>
      <c r="K6745" s="2" t="s">
        <v>1853</v>
      </c>
      <c r="L6745" t="s">
        <v>26</v>
      </c>
      <c r="M6745">
        <v>353579</v>
      </c>
      <c r="N6745">
        <v>1</v>
      </c>
      <c r="O6745">
        <v>1</v>
      </c>
      <c r="P6745">
        <v>1</v>
      </c>
      <c r="Q6745" s="5">
        <f t="shared" si="315"/>
        <v>0.84033613445378152</v>
      </c>
      <c r="R6745" s="5">
        <f t="shared" si="316"/>
        <v>1</v>
      </c>
      <c r="S6745" s="5">
        <f t="shared" si="317"/>
        <v>-0.15966386554621848</v>
      </c>
    </row>
    <row r="6746" spans="1:19" hidden="1" x14ac:dyDescent="0.3">
      <c r="A6746">
        <v>210</v>
      </c>
      <c r="B6746" t="s">
        <v>6520</v>
      </c>
      <c r="C6746" t="s">
        <v>5103</v>
      </c>
      <c r="D6746" s="2" t="s">
        <v>5104</v>
      </c>
      <c r="E6746" t="s">
        <v>117</v>
      </c>
      <c r="F6746" t="s">
        <v>20</v>
      </c>
      <c r="G6746" t="s">
        <v>21</v>
      </c>
      <c r="H6746" t="s">
        <v>118</v>
      </c>
      <c r="I6746" t="s">
        <v>23</v>
      </c>
      <c r="J6746" t="s">
        <v>49</v>
      </c>
      <c r="K6746" s="2" t="s">
        <v>1853</v>
      </c>
      <c r="L6746" t="s">
        <v>26</v>
      </c>
      <c r="M6746">
        <v>353579</v>
      </c>
      <c r="N6746">
        <v>1</v>
      </c>
      <c r="O6746" s="3">
        <v>39990</v>
      </c>
      <c r="P6746" s="3">
        <v>26836</v>
      </c>
      <c r="Q6746" s="5">
        <f t="shared" si="315"/>
        <v>33605.042016806721</v>
      </c>
      <c r="R6746" s="5">
        <f t="shared" si="316"/>
        <v>26836</v>
      </c>
      <c r="S6746" s="5">
        <f t="shared" si="317"/>
        <v>6769.0420168067212</v>
      </c>
    </row>
    <row r="6747" spans="1:19" hidden="1" x14ac:dyDescent="0.3">
      <c r="A6747">
        <v>210</v>
      </c>
      <c r="B6747" t="s">
        <v>6520</v>
      </c>
      <c r="C6747" t="s">
        <v>936</v>
      </c>
      <c r="D6747" s="2" t="s">
        <v>937</v>
      </c>
      <c r="E6747" t="s">
        <v>938</v>
      </c>
      <c r="F6747" t="s">
        <v>20</v>
      </c>
      <c r="G6747" t="s">
        <v>21</v>
      </c>
      <c r="H6747" t="s">
        <v>317</v>
      </c>
      <c r="I6747" t="s">
        <v>23</v>
      </c>
      <c r="J6747" t="s">
        <v>35</v>
      </c>
      <c r="K6747" s="2" t="s">
        <v>1910</v>
      </c>
      <c r="L6747" t="s">
        <v>26</v>
      </c>
      <c r="M6747">
        <v>353580</v>
      </c>
      <c r="N6747">
        <v>1</v>
      </c>
      <c r="O6747" s="3">
        <v>69950</v>
      </c>
      <c r="P6747" s="3">
        <v>25640</v>
      </c>
      <c r="Q6747" s="5">
        <f t="shared" si="315"/>
        <v>58781.512605042022</v>
      </c>
      <c r="R6747" s="5">
        <f t="shared" si="316"/>
        <v>25640</v>
      </c>
      <c r="S6747" s="5">
        <f t="shared" si="317"/>
        <v>33141.512605042022</v>
      </c>
    </row>
    <row r="6748" spans="1:19" hidden="1" x14ac:dyDescent="0.3">
      <c r="A6748">
        <v>210</v>
      </c>
      <c r="B6748" t="s">
        <v>6520</v>
      </c>
      <c r="C6748" t="s">
        <v>6245</v>
      </c>
      <c r="D6748" s="2" t="s">
        <v>6246</v>
      </c>
      <c r="E6748" t="s">
        <v>3148</v>
      </c>
      <c r="F6748" t="s">
        <v>20</v>
      </c>
      <c r="G6748" t="s">
        <v>338</v>
      </c>
      <c r="H6748">
        <v>23313</v>
      </c>
      <c r="I6748" t="s">
        <v>23</v>
      </c>
      <c r="J6748" t="s">
        <v>40</v>
      </c>
      <c r="K6748" s="2" t="s">
        <v>1910</v>
      </c>
      <c r="L6748" t="s">
        <v>26</v>
      </c>
      <c r="M6748">
        <v>353581</v>
      </c>
      <c r="N6748">
        <v>1</v>
      </c>
      <c r="O6748" s="3">
        <v>49990</v>
      </c>
      <c r="P6748" s="3">
        <v>23466</v>
      </c>
      <c r="Q6748" s="5">
        <f t="shared" si="315"/>
        <v>42008.403361344543</v>
      </c>
      <c r="R6748" s="5">
        <f t="shared" si="316"/>
        <v>23466</v>
      </c>
      <c r="S6748" s="5">
        <f t="shared" si="317"/>
        <v>18542.403361344543</v>
      </c>
    </row>
    <row r="6749" spans="1:19" hidden="1" x14ac:dyDescent="0.3">
      <c r="A6749">
        <v>210</v>
      </c>
      <c r="B6749" t="s">
        <v>6520</v>
      </c>
      <c r="C6749" t="s">
        <v>6655</v>
      </c>
      <c r="D6749" s="2" t="s">
        <v>6656</v>
      </c>
      <c r="E6749" t="s">
        <v>6461</v>
      </c>
      <c r="F6749" t="s">
        <v>20</v>
      </c>
      <c r="G6749" t="s">
        <v>21</v>
      </c>
      <c r="H6749" t="s">
        <v>614</v>
      </c>
      <c r="I6749" t="s">
        <v>23</v>
      </c>
      <c r="J6749" t="s">
        <v>40</v>
      </c>
      <c r="K6749" s="2" t="s">
        <v>1910</v>
      </c>
      <c r="L6749" t="s">
        <v>26</v>
      </c>
      <c r="M6749">
        <v>353582</v>
      </c>
      <c r="N6749">
        <v>1</v>
      </c>
      <c r="O6749" s="3">
        <v>29990</v>
      </c>
      <c r="P6749" s="3">
        <v>14717</v>
      </c>
      <c r="Q6749" s="5">
        <f t="shared" si="315"/>
        <v>25201.680672268907</v>
      </c>
      <c r="R6749" s="5">
        <f t="shared" si="316"/>
        <v>14717</v>
      </c>
      <c r="S6749" s="5">
        <f t="shared" si="317"/>
        <v>10484.680672268907</v>
      </c>
    </row>
    <row r="6750" spans="1:19" hidden="1" x14ac:dyDescent="0.3">
      <c r="A6750">
        <v>210</v>
      </c>
      <c r="B6750" t="s">
        <v>6520</v>
      </c>
      <c r="C6750">
        <v>1687976791</v>
      </c>
      <c r="D6750" s="2" t="s">
        <v>200</v>
      </c>
      <c r="E6750" t="s">
        <v>201</v>
      </c>
      <c r="F6750" t="s">
        <v>201</v>
      </c>
      <c r="G6750" t="s">
        <v>202</v>
      </c>
      <c r="H6750" t="s">
        <v>202</v>
      </c>
      <c r="I6750" t="s">
        <v>23</v>
      </c>
      <c r="J6750" t="s">
        <v>202</v>
      </c>
      <c r="K6750" s="2" t="s">
        <v>1910</v>
      </c>
      <c r="L6750" t="s">
        <v>26</v>
      </c>
      <c r="M6750">
        <v>353582</v>
      </c>
      <c r="N6750">
        <v>1</v>
      </c>
      <c r="O6750" s="3">
        <v>3200</v>
      </c>
      <c r="P6750">
        <v>1</v>
      </c>
      <c r="Q6750" s="5">
        <f t="shared" si="315"/>
        <v>2689.0756302521008</v>
      </c>
      <c r="R6750" s="5">
        <f t="shared" si="316"/>
        <v>1</v>
      </c>
      <c r="S6750" s="5">
        <f t="shared" si="317"/>
        <v>2688.0756302521008</v>
      </c>
    </row>
    <row r="6751" spans="1:19" hidden="1" x14ac:dyDescent="0.3">
      <c r="A6751">
        <v>210</v>
      </c>
      <c r="B6751" t="s">
        <v>6520</v>
      </c>
      <c r="C6751" t="s">
        <v>4698</v>
      </c>
      <c r="D6751" s="2" t="s">
        <v>4699</v>
      </c>
      <c r="E6751" t="s">
        <v>3783</v>
      </c>
      <c r="F6751" t="s">
        <v>20</v>
      </c>
      <c r="G6751" t="s">
        <v>21</v>
      </c>
      <c r="H6751" t="s">
        <v>295</v>
      </c>
      <c r="I6751" t="s">
        <v>23</v>
      </c>
      <c r="J6751" t="s">
        <v>40</v>
      </c>
      <c r="K6751" s="2" t="s">
        <v>1910</v>
      </c>
      <c r="L6751" t="s">
        <v>26</v>
      </c>
      <c r="M6751">
        <v>353583</v>
      </c>
      <c r="N6751">
        <v>1</v>
      </c>
      <c r="O6751" s="3">
        <v>59990</v>
      </c>
      <c r="P6751" s="3">
        <v>25057</v>
      </c>
      <c r="Q6751" s="5">
        <f t="shared" si="315"/>
        <v>50411.764705882357</v>
      </c>
      <c r="R6751" s="5">
        <f t="shared" si="316"/>
        <v>25057</v>
      </c>
      <c r="S6751" s="5">
        <f t="shared" si="317"/>
        <v>25354.764705882357</v>
      </c>
    </row>
    <row r="6752" spans="1:19" hidden="1" x14ac:dyDescent="0.3">
      <c r="A6752">
        <v>210</v>
      </c>
      <c r="B6752" t="s">
        <v>6520</v>
      </c>
      <c r="C6752">
        <v>1687976791</v>
      </c>
      <c r="D6752" s="2" t="s">
        <v>200</v>
      </c>
      <c r="E6752" t="s">
        <v>201</v>
      </c>
      <c r="F6752" t="s">
        <v>201</v>
      </c>
      <c r="G6752" t="s">
        <v>202</v>
      </c>
      <c r="H6752" t="s">
        <v>202</v>
      </c>
      <c r="I6752" t="s">
        <v>23</v>
      </c>
      <c r="J6752" t="s">
        <v>202</v>
      </c>
      <c r="K6752" s="2" t="s">
        <v>1910</v>
      </c>
      <c r="L6752" t="s">
        <v>26</v>
      </c>
      <c r="M6752">
        <v>353583</v>
      </c>
      <c r="N6752">
        <v>1</v>
      </c>
      <c r="O6752" s="3">
        <v>3200</v>
      </c>
      <c r="P6752">
        <v>1</v>
      </c>
      <c r="Q6752" s="5">
        <f t="shared" si="315"/>
        <v>2689.0756302521008</v>
      </c>
      <c r="R6752" s="5">
        <f t="shared" si="316"/>
        <v>1</v>
      </c>
      <c r="S6752" s="5">
        <f t="shared" si="317"/>
        <v>2688.0756302521008</v>
      </c>
    </row>
    <row r="6753" spans="1:19" hidden="1" x14ac:dyDescent="0.3">
      <c r="A6753">
        <v>210</v>
      </c>
      <c r="B6753" t="s">
        <v>6520</v>
      </c>
      <c r="C6753" t="s">
        <v>1275</v>
      </c>
      <c r="D6753" s="2" t="s">
        <v>1276</v>
      </c>
      <c r="E6753" t="s">
        <v>741</v>
      </c>
      <c r="F6753" t="s">
        <v>20</v>
      </c>
      <c r="G6753" t="s">
        <v>21</v>
      </c>
      <c r="H6753" t="s">
        <v>742</v>
      </c>
      <c r="I6753" t="s">
        <v>23</v>
      </c>
      <c r="J6753" t="s">
        <v>40</v>
      </c>
      <c r="K6753" s="2" t="s">
        <v>1910</v>
      </c>
      <c r="L6753" t="s">
        <v>26</v>
      </c>
      <c r="M6753">
        <v>353584</v>
      </c>
      <c r="N6753">
        <v>1</v>
      </c>
      <c r="O6753" s="3">
        <v>74950</v>
      </c>
      <c r="P6753" s="3">
        <v>24228</v>
      </c>
      <c r="Q6753" s="5">
        <f t="shared" si="315"/>
        <v>62983.193277310929</v>
      </c>
      <c r="R6753" s="5">
        <f t="shared" si="316"/>
        <v>24228</v>
      </c>
      <c r="S6753" s="5">
        <f t="shared" si="317"/>
        <v>38755.193277310929</v>
      </c>
    </row>
    <row r="6754" spans="1:19" hidden="1" x14ac:dyDescent="0.3">
      <c r="A6754">
        <v>210</v>
      </c>
      <c r="B6754" t="s">
        <v>6520</v>
      </c>
      <c r="C6754" t="s">
        <v>4239</v>
      </c>
      <c r="D6754" s="2" t="s">
        <v>4240</v>
      </c>
      <c r="E6754" t="s">
        <v>2539</v>
      </c>
      <c r="F6754" t="s">
        <v>20</v>
      </c>
      <c r="G6754" t="s">
        <v>21</v>
      </c>
      <c r="H6754" t="s">
        <v>966</v>
      </c>
      <c r="I6754" t="s">
        <v>23</v>
      </c>
      <c r="J6754" t="s">
        <v>35</v>
      </c>
      <c r="K6754" s="2" t="s">
        <v>1910</v>
      </c>
      <c r="L6754" t="s">
        <v>26</v>
      </c>
      <c r="M6754">
        <v>353585</v>
      </c>
      <c r="N6754">
        <v>1</v>
      </c>
      <c r="O6754" s="3">
        <v>74950</v>
      </c>
      <c r="P6754" s="3">
        <v>26729</v>
      </c>
      <c r="Q6754" s="5">
        <f t="shared" si="315"/>
        <v>62983.193277310929</v>
      </c>
      <c r="R6754" s="5">
        <f t="shared" si="316"/>
        <v>26729</v>
      </c>
      <c r="S6754" s="5">
        <f t="shared" si="317"/>
        <v>36254.193277310929</v>
      </c>
    </row>
    <row r="6755" spans="1:19" hidden="1" x14ac:dyDescent="0.3">
      <c r="A6755">
        <v>210</v>
      </c>
      <c r="B6755" t="s">
        <v>6520</v>
      </c>
      <c r="C6755" t="s">
        <v>6657</v>
      </c>
      <c r="D6755" s="2" t="s">
        <v>6658</v>
      </c>
      <c r="E6755" t="s">
        <v>3036</v>
      </c>
      <c r="F6755" t="s">
        <v>20</v>
      </c>
      <c r="G6755" t="s">
        <v>338</v>
      </c>
      <c r="H6755">
        <v>25273</v>
      </c>
      <c r="I6755" t="s">
        <v>23</v>
      </c>
      <c r="J6755" t="s">
        <v>35</v>
      </c>
      <c r="K6755" s="2" t="s">
        <v>1910</v>
      </c>
      <c r="L6755" t="s">
        <v>26</v>
      </c>
      <c r="M6755">
        <v>353586</v>
      </c>
      <c r="N6755">
        <v>1</v>
      </c>
      <c r="O6755" s="3">
        <v>99950</v>
      </c>
      <c r="P6755" s="3">
        <v>32658</v>
      </c>
      <c r="Q6755" s="5">
        <f t="shared" si="315"/>
        <v>83991.596638655465</v>
      </c>
      <c r="R6755" s="5">
        <f t="shared" si="316"/>
        <v>32658</v>
      </c>
      <c r="S6755" s="5">
        <f t="shared" si="317"/>
        <v>51333.596638655465</v>
      </c>
    </row>
    <row r="6756" spans="1:19" hidden="1" x14ac:dyDescent="0.3">
      <c r="A6756">
        <v>210</v>
      </c>
      <c r="B6756" t="s">
        <v>6520</v>
      </c>
      <c r="C6756" t="s">
        <v>6659</v>
      </c>
      <c r="D6756" s="2" t="s">
        <v>6660</v>
      </c>
      <c r="E6756" t="s">
        <v>1075</v>
      </c>
      <c r="F6756" t="s">
        <v>20</v>
      </c>
      <c r="G6756" t="s">
        <v>338</v>
      </c>
      <c r="H6756">
        <v>25097</v>
      </c>
      <c r="I6756" t="s">
        <v>23</v>
      </c>
      <c r="J6756" t="s">
        <v>24</v>
      </c>
      <c r="K6756" s="2" t="s">
        <v>3310</v>
      </c>
      <c r="L6756" t="s">
        <v>26</v>
      </c>
      <c r="M6756">
        <v>353587</v>
      </c>
      <c r="N6756">
        <v>1</v>
      </c>
      <c r="O6756" s="3">
        <v>59990</v>
      </c>
      <c r="P6756" s="3">
        <v>23242</v>
      </c>
      <c r="Q6756" s="5">
        <f t="shared" si="315"/>
        <v>50411.764705882357</v>
      </c>
      <c r="R6756" s="5">
        <f t="shared" si="316"/>
        <v>23242</v>
      </c>
      <c r="S6756" s="5">
        <f t="shared" si="317"/>
        <v>27169.764705882357</v>
      </c>
    </row>
    <row r="6757" spans="1:19" hidden="1" x14ac:dyDescent="0.3">
      <c r="A6757">
        <v>210</v>
      </c>
      <c r="B6757" t="s">
        <v>6520</v>
      </c>
      <c r="C6757" t="s">
        <v>492</v>
      </c>
      <c r="D6757" s="2" t="s">
        <v>493</v>
      </c>
      <c r="E6757" t="s">
        <v>494</v>
      </c>
      <c r="F6757" t="s">
        <v>20</v>
      </c>
      <c r="G6757" t="s">
        <v>21</v>
      </c>
      <c r="H6757" t="s">
        <v>317</v>
      </c>
      <c r="I6757" t="s">
        <v>23</v>
      </c>
      <c r="J6757" t="s">
        <v>35</v>
      </c>
      <c r="K6757" s="2" t="s">
        <v>3310</v>
      </c>
      <c r="L6757" t="s">
        <v>26</v>
      </c>
      <c r="M6757">
        <v>353588</v>
      </c>
      <c r="N6757">
        <v>1</v>
      </c>
      <c r="O6757" s="3">
        <v>69950</v>
      </c>
      <c r="P6757" s="3">
        <v>23619</v>
      </c>
      <c r="Q6757" s="5">
        <f t="shared" si="315"/>
        <v>58781.512605042022</v>
      </c>
      <c r="R6757" s="5">
        <f t="shared" si="316"/>
        <v>23619</v>
      </c>
      <c r="S6757" s="5">
        <f t="shared" si="317"/>
        <v>35162.512605042022</v>
      </c>
    </row>
    <row r="6758" spans="1:19" hidden="1" x14ac:dyDescent="0.3">
      <c r="A6758">
        <v>210</v>
      </c>
      <c r="B6758" t="s">
        <v>6520</v>
      </c>
      <c r="C6758" t="s">
        <v>4461</v>
      </c>
      <c r="D6758" s="2" t="s">
        <v>4462</v>
      </c>
      <c r="E6758" t="s">
        <v>425</v>
      </c>
      <c r="F6758" t="s">
        <v>20</v>
      </c>
      <c r="G6758" t="s">
        <v>21</v>
      </c>
      <c r="H6758" t="s">
        <v>22</v>
      </c>
      <c r="I6758" t="s">
        <v>23</v>
      </c>
      <c r="J6758" t="s">
        <v>24</v>
      </c>
      <c r="K6758" s="2" t="s">
        <v>3310</v>
      </c>
      <c r="L6758" t="s">
        <v>26</v>
      </c>
      <c r="M6758">
        <v>353589</v>
      </c>
      <c r="N6758">
        <v>1</v>
      </c>
      <c r="O6758" s="3">
        <v>79950</v>
      </c>
      <c r="P6758" s="3">
        <v>27806</v>
      </c>
      <c r="Q6758" s="5">
        <f t="shared" si="315"/>
        <v>67184.873949579836</v>
      </c>
      <c r="R6758" s="5">
        <f t="shared" si="316"/>
        <v>27806</v>
      </c>
      <c r="S6758" s="5">
        <f t="shared" si="317"/>
        <v>39378.873949579836</v>
      </c>
    </row>
    <row r="6759" spans="1:19" hidden="1" x14ac:dyDescent="0.3">
      <c r="A6759">
        <v>210</v>
      </c>
      <c r="B6759" t="s">
        <v>6520</v>
      </c>
      <c r="C6759" t="s">
        <v>4350</v>
      </c>
      <c r="D6759" s="2" t="s">
        <v>4351</v>
      </c>
      <c r="E6759" t="s">
        <v>3406</v>
      </c>
      <c r="F6759" t="s">
        <v>20</v>
      </c>
      <c r="G6759" t="s">
        <v>338</v>
      </c>
      <c r="H6759">
        <v>26825</v>
      </c>
      <c r="I6759" t="s">
        <v>23</v>
      </c>
      <c r="J6759" t="s">
        <v>35</v>
      </c>
      <c r="K6759" s="2" t="s">
        <v>3310</v>
      </c>
      <c r="L6759" t="s">
        <v>26</v>
      </c>
      <c r="M6759">
        <v>353589</v>
      </c>
      <c r="N6759">
        <v>1</v>
      </c>
      <c r="O6759" s="3">
        <v>79950</v>
      </c>
      <c r="P6759" s="3">
        <v>23119</v>
      </c>
      <c r="Q6759" s="5">
        <f t="shared" si="315"/>
        <v>67184.873949579836</v>
      </c>
      <c r="R6759" s="5">
        <f t="shared" si="316"/>
        <v>23119</v>
      </c>
      <c r="S6759" s="5">
        <f t="shared" si="317"/>
        <v>44065.873949579836</v>
      </c>
    </row>
    <row r="6760" spans="1:19" hidden="1" x14ac:dyDescent="0.3">
      <c r="A6760">
        <v>210</v>
      </c>
      <c r="B6760" t="s">
        <v>6520</v>
      </c>
      <c r="C6760" t="s">
        <v>3787</v>
      </c>
      <c r="D6760" s="2" t="s">
        <v>3788</v>
      </c>
      <c r="E6760" t="s">
        <v>2748</v>
      </c>
      <c r="F6760" t="s">
        <v>20</v>
      </c>
      <c r="G6760" t="s">
        <v>338</v>
      </c>
      <c r="H6760">
        <v>26266</v>
      </c>
      <c r="I6760" t="s">
        <v>23</v>
      </c>
      <c r="J6760" t="s">
        <v>35</v>
      </c>
      <c r="K6760" s="2" t="s">
        <v>3310</v>
      </c>
      <c r="L6760" t="s">
        <v>26</v>
      </c>
      <c r="M6760">
        <v>353590</v>
      </c>
      <c r="N6760">
        <v>1</v>
      </c>
      <c r="O6760" s="3">
        <v>79950</v>
      </c>
      <c r="P6760" s="3">
        <v>25300</v>
      </c>
      <c r="Q6760" s="5">
        <f t="shared" si="315"/>
        <v>67184.873949579836</v>
      </c>
      <c r="R6760" s="5">
        <f t="shared" si="316"/>
        <v>25300</v>
      </c>
      <c r="S6760" s="5">
        <f t="shared" si="317"/>
        <v>41884.873949579836</v>
      </c>
    </row>
    <row r="6761" spans="1:19" hidden="1" x14ac:dyDescent="0.3">
      <c r="A6761">
        <v>210</v>
      </c>
      <c r="B6761" t="s">
        <v>6520</v>
      </c>
      <c r="C6761" t="s">
        <v>5529</v>
      </c>
      <c r="D6761" s="2" t="s">
        <v>5530</v>
      </c>
      <c r="E6761" t="s">
        <v>3175</v>
      </c>
      <c r="F6761" t="s">
        <v>20</v>
      </c>
      <c r="G6761" t="s">
        <v>21</v>
      </c>
      <c r="H6761" t="s">
        <v>625</v>
      </c>
      <c r="I6761" t="s">
        <v>23</v>
      </c>
      <c r="J6761" t="s">
        <v>35</v>
      </c>
      <c r="K6761" s="2" t="s">
        <v>3310</v>
      </c>
      <c r="L6761" t="s">
        <v>26</v>
      </c>
      <c r="M6761">
        <v>353591</v>
      </c>
      <c r="N6761">
        <v>1</v>
      </c>
      <c r="O6761" s="3">
        <v>49990</v>
      </c>
      <c r="P6761" s="3">
        <v>24956</v>
      </c>
      <c r="Q6761" s="5">
        <f t="shared" si="315"/>
        <v>42008.403361344543</v>
      </c>
      <c r="R6761" s="5">
        <f t="shared" si="316"/>
        <v>24956</v>
      </c>
      <c r="S6761" s="5">
        <f t="shared" si="317"/>
        <v>17052.403361344543</v>
      </c>
    </row>
    <row r="6762" spans="1:19" hidden="1" x14ac:dyDescent="0.3">
      <c r="A6762">
        <v>210</v>
      </c>
      <c r="B6762" t="s">
        <v>6520</v>
      </c>
      <c r="C6762" t="s">
        <v>4660</v>
      </c>
      <c r="D6762" s="2" t="s">
        <v>4661</v>
      </c>
      <c r="E6762" t="s">
        <v>4662</v>
      </c>
      <c r="F6762" t="s">
        <v>20</v>
      </c>
      <c r="G6762" t="s">
        <v>21</v>
      </c>
      <c r="H6762" t="s">
        <v>2745</v>
      </c>
      <c r="I6762" t="s">
        <v>23</v>
      </c>
      <c r="J6762" t="s">
        <v>35</v>
      </c>
      <c r="K6762" s="2" t="s">
        <v>3310</v>
      </c>
      <c r="L6762" t="s">
        <v>26</v>
      </c>
      <c r="M6762">
        <v>353592</v>
      </c>
      <c r="N6762">
        <v>1</v>
      </c>
      <c r="O6762" s="3">
        <v>99950</v>
      </c>
      <c r="P6762" s="3">
        <v>33200</v>
      </c>
      <c r="Q6762" s="5">
        <f t="shared" si="315"/>
        <v>83991.596638655465</v>
      </c>
      <c r="R6762" s="5">
        <f t="shared" si="316"/>
        <v>33200</v>
      </c>
      <c r="S6762" s="5">
        <f t="shared" si="317"/>
        <v>50791.596638655465</v>
      </c>
    </row>
    <row r="6763" spans="1:19" hidden="1" x14ac:dyDescent="0.3">
      <c r="A6763">
        <v>210</v>
      </c>
      <c r="B6763" t="s">
        <v>6520</v>
      </c>
      <c r="C6763" t="s">
        <v>3381</v>
      </c>
      <c r="D6763" s="2" t="s">
        <v>3382</v>
      </c>
      <c r="E6763" t="s">
        <v>2002</v>
      </c>
      <c r="F6763" t="s">
        <v>20</v>
      </c>
      <c r="G6763" t="s">
        <v>338</v>
      </c>
      <c r="H6763">
        <v>25026</v>
      </c>
      <c r="I6763" t="s">
        <v>23</v>
      </c>
      <c r="J6763" t="s">
        <v>35</v>
      </c>
      <c r="K6763" s="2" t="s">
        <v>3310</v>
      </c>
      <c r="L6763" t="s">
        <v>26</v>
      </c>
      <c r="M6763">
        <v>353592</v>
      </c>
      <c r="N6763">
        <v>-1</v>
      </c>
      <c r="O6763" s="3">
        <v>-89950</v>
      </c>
      <c r="P6763" s="3">
        <v>28454</v>
      </c>
      <c r="Q6763" s="5">
        <f t="shared" si="315"/>
        <v>-75588.23529411765</v>
      </c>
      <c r="R6763" s="5">
        <f t="shared" si="316"/>
        <v>-28454</v>
      </c>
      <c r="S6763" s="5">
        <f t="shared" si="317"/>
        <v>-47134.23529411765</v>
      </c>
    </row>
    <row r="6764" spans="1:19" hidden="1" x14ac:dyDescent="0.3">
      <c r="A6764">
        <v>210</v>
      </c>
      <c r="B6764" t="s">
        <v>6520</v>
      </c>
      <c r="C6764" t="s">
        <v>3447</v>
      </c>
      <c r="D6764" s="2" t="s">
        <v>3448</v>
      </c>
      <c r="E6764" t="s">
        <v>3449</v>
      </c>
      <c r="F6764" t="s">
        <v>20</v>
      </c>
      <c r="G6764" t="s">
        <v>338</v>
      </c>
      <c r="H6764">
        <v>25366</v>
      </c>
      <c r="I6764" t="s">
        <v>23</v>
      </c>
      <c r="J6764" t="s">
        <v>35</v>
      </c>
      <c r="K6764" s="2" t="s">
        <v>3310</v>
      </c>
      <c r="L6764" t="s">
        <v>26</v>
      </c>
      <c r="M6764">
        <v>353592</v>
      </c>
      <c r="N6764">
        <v>1</v>
      </c>
      <c r="O6764" s="3">
        <v>99950</v>
      </c>
      <c r="P6764" s="3">
        <v>33157</v>
      </c>
      <c r="Q6764" s="5">
        <f t="shared" si="315"/>
        <v>83991.596638655465</v>
      </c>
      <c r="R6764" s="5">
        <f t="shared" si="316"/>
        <v>33157</v>
      </c>
      <c r="S6764" s="5">
        <f t="shared" si="317"/>
        <v>50834.596638655465</v>
      </c>
    </row>
    <row r="6765" spans="1:19" hidden="1" x14ac:dyDescent="0.3">
      <c r="A6765">
        <v>210</v>
      </c>
      <c r="B6765" t="s">
        <v>6520</v>
      </c>
      <c r="C6765" t="s">
        <v>4660</v>
      </c>
      <c r="D6765" s="2" t="s">
        <v>4661</v>
      </c>
      <c r="E6765" t="s">
        <v>4662</v>
      </c>
      <c r="F6765" t="s">
        <v>20</v>
      </c>
      <c r="G6765" t="s">
        <v>21</v>
      </c>
      <c r="H6765" t="s">
        <v>2745</v>
      </c>
      <c r="I6765" t="s">
        <v>23</v>
      </c>
      <c r="J6765" t="s">
        <v>35</v>
      </c>
      <c r="K6765" s="2" t="s">
        <v>3310</v>
      </c>
      <c r="L6765" t="s">
        <v>26</v>
      </c>
      <c r="M6765">
        <v>353593</v>
      </c>
      <c r="N6765">
        <v>-1</v>
      </c>
      <c r="O6765" s="3">
        <v>-99950</v>
      </c>
      <c r="P6765" s="3">
        <v>33200</v>
      </c>
      <c r="Q6765" s="5">
        <f t="shared" si="315"/>
        <v>-83991.596638655465</v>
      </c>
      <c r="R6765" s="5">
        <f t="shared" si="316"/>
        <v>-33200</v>
      </c>
      <c r="S6765" s="5">
        <f t="shared" si="317"/>
        <v>-50791.596638655465</v>
      </c>
    </row>
    <row r="6766" spans="1:19" hidden="1" x14ac:dyDescent="0.3">
      <c r="A6766">
        <v>210</v>
      </c>
      <c r="B6766" t="s">
        <v>6520</v>
      </c>
      <c r="C6766" t="s">
        <v>6661</v>
      </c>
      <c r="D6766" s="2" t="s">
        <v>6662</v>
      </c>
      <c r="E6766" t="s">
        <v>3113</v>
      </c>
      <c r="F6766" t="s">
        <v>20</v>
      </c>
      <c r="G6766" t="s">
        <v>338</v>
      </c>
      <c r="H6766">
        <v>25702</v>
      </c>
      <c r="I6766" t="s">
        <v>23</v>
      </c>
      <c r="J6766" t="s">
        <v>35</v>
      </c>
      <c r="K6766" s="2" t="s">
        <v>3310</v>
      </c>
      <c r="L6766" t="s">
        <v>26</v>
      </c>
      <c r="M6766">
        <v>353593</v>
      </c>
      <c r="N6766">
        <v>1</v>
      </c>
      <c r="O6766" s="3">
        <v>109950</v>
      </c>
      <c r="P6766" s="3">
        <v>34974</v>
      </c>
      <c r="Q6766" s="5">
        <f t="shared" si="315"/>
        <v>92394.957983193279</v>
      </c>
      <c r="R6766" s="5">
        <f t="shared" si="316"/>
        <v>34974</v>
      </c>
      <c r="S6766" s="5">
        <f t="shared" si="317"/>
        <v>57420.957983193279</v>
      </c>
    </row>
    <row r="6767" spans="1:19" hidden="1" x14ac:dyDescent="0.3">
      <c r="A6767">
        <v>210</v>
      </c>
      <c r="B6767" t="s">
        <v>6520</v>
      </c>
      <c r="C6767" t="s">
        <v>1684</v>
      </c>
      <c r="D6767" s="2" t="s">
        <v>1685</v>
      </c>
      <c r="E6767" t="s">
        <v>316</v>
      </c>
      <c r="F6767" t="s">
        <v>20</v>
      </c>
      <c r="G6767" t="s">
        <v>21</v>
      </c>
      <c r="H6767" t="s">
        <v>317</v>
      </c>
      <c r="I6767" t="s">
        <v>23</v>
      </c>
      <c r="J6767" t="s">
        <v>35</v>
      </c>
      <c r="K6767" s="2" t="s">
        <v>3310</v>
      </c>
      <c r="L6767" t="s">
        <v>26</v>
      </c>
      <c r="M6767">
        <v>353594</v>
      </c>
      <c r="N6767">
        <v>1</v>
      </c>
      <c r="O6767" s="3">
        <v>69950</v>
      </c>
      <c r="P6767" s="3">
        <v>23738</v>
      </c>
      <c r="Q6767" s="5">
        <f t="shared" si="315"/>
        <v>58781.512605042022</v>
      </c>
      <c r="R6767" s="5">
        <f t="shared" si="316"/>
        <v>23738</v>
      </c>
      <c r="S6767" s="5">
        <f t="shared" si="317"/>
        <v>35043.512605042022</v>
      </c>
    </row>
    <row r="6768" spans="1:19" hidden="1" x14ac:dyDescent="0.3">
      <c r="A6768">
        <v>210</v>
      </c>
      <c r="B6768" t="s">
        <v>6520</v>
      </c>
      <c r="C6768" t="s">
        <v>2575</v>
      </c>
      <c r="D6768" s="2" t="s">
        <v>2576</v>
      </c>
      <c r="E6768" t="s">
        <v>2577</v>
      </c>
      <c r="F6768" t="s">
        <v>377</v>
      </c>
      <c r="G6768" t="s">
        <v>21</v>
      </c>
      <c r="H6768" t="s">
        <v>378</v>
      </c>
      <c r="I6768" t="s">
        <v>23</v>
      </c>
      <c r="J6768" t="s">
        <v>379</v>
      </c>
      <c r="K6768" s="2" t="s">
        <v>3310</v>
      </c>
      <c r="L6768" t="s">
        <v>26</v>
      </c>
      <c r="M6768">
        <v>353595</v>
      </c>
      <c r="N6768">
        <v>1</v>
      </c>
      <c r="O6768" s="3">
        <v>5950</v>
      </c>
      <c r="P6768" s="3">
        <v>3307</v>
      </c>
      <c r="Q6768" s="5">
        <f t="shared" si="315"/>
        <v>5000</v>
      </c>
      <c r="R6768" s="5">
        <f t="shared" si="316"/>
        <v>3307</v>
      </c>
      <c r="S6768" s="5">
        <f t="shared" si="317"/>
        <v>1693</v>
      </c>
    </row>
    <row r="6769" spans="1:19" hidden="1" x14ac:dyDescent="0.3">
      <c r="A6769">
        <v>210</v>
      </c>
      <c r="B6769" t="s">
        <v>6520</v>
      </c>
      <c r="C6769" t="s">
        <v>3396</v>
      </c>
      <c r="D6769" s="2" t="s">
        <v>3397</v>
      </c>
      <c r="E6769" t="s">
        <v>494</v>
      </c>
      <c r="F6769" t="s">
        <v>20</v>
      </c>
      <c r="G6769" t="s">
        <v>21</v>
      </c>
      <c r="H6769" t="s">
        <v>317</v>
      </c>
      <c r="I6769" t="s">
        <v>23</v>
      </c>
      <c r="J6769" t="s">
        <v>35</v>
      </c>
      <c r="K6769" s="2" t="s">
        <v>3310</v>
      </c>
      <c r="L6769" t="s">
        <v>26</v>
      </c>
      <c r="M6769">
        <v>353596</v>
      </c>
      <c r="N6769">
        <v>1</v>
      </c>
      <c r="O6769" s="3">
        <v>69951</v>
      </c>
      <c r="P6769" s="3">
        <v>23619</v>
      </c>
      <c r="Q6769" s="5">
        <f t="shared" si="315"/>
        <v>58782.352941176476</v>
      </c>
      <c r="R6769" s="5">
        <f t="shared" si="316"/>
        <v>23619</v>
      </c>
      <c r="S6769" s="5">
        <f t="shared" si="317"/>
        <v>35163.352941176476</v>
      </c>
    </row>
    <row r="6770" spans="1:19" hidden="1" x14ac:dyDescent="0.3">
      <c r="A6770">
        <v>210</v>
      </c>
      <c r="B6770" t="s">
        <v>6520</v>
      </c>
      <c r="C6770" t="s">
        <v>1684</v>
      </c>
      <c r="D6770" s="2" t="s">
        <v>1685</v>
      </c>
      <c r="E6770" t="s">
        <v>316</v>
      </c>
      <c r="F6770" t="s">
        <v>20</v>
      </c>
      <c r="G6770" t="s">
        <v>21</v>
      </c>
      <c r="H6770" t="s">
        <v>317</v>
      </c>
      <c r="I6770" t="s">
        <v>23</v>
      </c>
      <c r="J6770" t="s">
        <v>35</v>
      </c>
      <c r="K6770" s="2" t="s">
        <v>3310</v>
      </c>
      <c r="L6770" t="s">
        <v>26</v>
      </c>
      <c r="M6770">
        <v>353596</v>
      </c>
      <c r="N6770">
        <v>-1</v>
      </c>
      <c r="O6770" s="3">
        <v>-69950</v>
      </c>
      <c r="P6770" s="3">
        <v>23738</v>
      </c>
      <c r="Q6770" s="5">
        <f t="shared" si="315"/>
        <v>-58781.512605042022</v>
      </c>
      <c r="R6770" s="5">
        <f t="shared" si="316"/>
        <v>-23738</v>
      </c>
      <c r="S6770" s="5">
        <f t="shared" si="317"/>
        <v>-35043.512605042022</v>
      </c>
    </row>
    <row r="6771" spans="1:19" hidden="1" x14ac:dyDescent="0.3">
      <c r="A6771">
        <v>210</v>
      </c>
      <c r="B6771" t="s">
        <v>6520</v>
      </c>
      <c r="C6771" t="s">
        <v>5718</v>
      </c>
      <c r="D6771" s="2" t="s">
        <v>5719</v>
      </c>
      <c r="E6771" t="s">
        <v>5505</v>
      </c>
      <c r="F6771" t="s">
        <v>20</v>
      </c>
      <c r="G6771" t="s">
        <v>338</v>
      </c>
      <c r="H6771">
        <v>86422</v>
      </c>
      <c r="I6771" t="s">
        <v>23</v>
      </c>
      <c r="J6771" t="s">
        <v>35</v>
      </c>
      <c r="K6771" s="2" t="s">
        <v>3310</v>
      </c>
      <c r="L6771" t="s">
        <v>26</v>
      </c>
      <c r="M6771">
        <v>353597</v>
      </c>
      <c r="N6771">
        <v>1</v>
      </c>
      <c r="O6771" s="3">
        <v>109950</v>
      </c>
      <c r="P6771" s="3">
        <v>33793</v>
      </c>
      <c r="Q6771" s="5">
        <f t="shared" si="315"/>
        <v>92394.957983193279</v>
      </c>
      <c r="R6771" s="5">
        <f t="shared" si="316"/>
        <v>33793</v>
      </c>
      <c r="S6771" s="5">
        <f t="shared" si="317"/>
        <v>58601.957983193279</v>
      </c>
    </row>
    <row r="6772" spans="1:19" hidden="1" x14ac:dyDescent="0.3">
      <c r="A6772">
        <v>210</v>
      </c>
      <c r="B6772" t="s">
        <v>6520</v>
      </c>
      <c r="C6772" t="s">
        <v>2772</v>
      </c>
      <c r="D6772" s="2" t="s">
        <v>2773</v>
      </c>
      <c r="E6772" t="s">
        <v>2771</v>
      </c>
      <c r="F6772" t="s">
        <v>20</v>
      </c>
      <c r="G6772" t="s">
        <v>21</v>
      </c>
      <c r="H6772" t="s">
        <v>57</v>
      </c>
      <c r="I6772" t="s">
        <v>23</v>
      </c>
      <c r="J6772" t="s">
        <v>35</v>
      </c>
      <c r="K6772" s="2" t="s">
        <v>3310</v>
      </c>
      <c r="L6772" t="s">
        <v>26</v>
      </c>
      <c r="M6772">
        <v>353598</v>
      </c>
      <c r="N6772">
        <v>1</v>
      </c>
      <c r="O6772" s="3">
        <v>79990</v>
      </c>
      <c r="P6772" s="3">
        <v>29189</v>
      </c>
      <c r="Q6772" s="5">
        <f t="shared" si="315"/>
        <v>67218.487394957992</v>
      </c>
      <c r="R6772" s="5">
        <f t="shared" si="316"/>
        <v>29189</v>
      </c>
      <c r="S6772" s="5">
        <f t="shared" si="317"/>
        <v>38029.487394957992</v>
      </c>
    </row>
    <row r="6773" spans="1:19" hidden="1" x14ac:dyDescent="0.3">
      <c r="A6773">
        <v>210</v>
      </c>
      <c r="B6773" t="s">
        <v>6520</v>
      </c>
      <c r="C6773" t="s">
        <v>3255</v>
      </c>
      <c r="D6773" s="2" t="s">
        <v>3256</v>
      </c>
      <c r="E6773" t="s">
        <v>2653</v>
      </c>
      <c r="F6773" t="s">
        <v>20</v>
      </c>
      <c r="G6773" t="s">
        <v>21</v>
      </c>
      <c r="H6773" t="s">
        <v>2315</v>
      </c>
      <c r="I6773" t="s">
        <v>23</v>
      </c>
      <c r="J6773" t="s">
        <v>35</v>
      </c>
      <c r="K6773" s="2" t="s">
        <v>3310</v>
      </c>
      <c r="L6773" t="s">
        <v>26</v>
      </c>
      <c r="M6773">
        <v>353599</v>
      </c>
      <c r="N6773">
        <v>1</v>
      </c>
      <c r="O6773" s="3">
        <v>89950</v>
      </c>
      <c r="P6773" s="3">
        <v>30749</v>
      </c>
      <c r="Q6773" s="5">
        <f t="shared" si="315"/>
        <v>75588.23529411765</v>
      </c>
      <c r="R6773" s="5">
        <f t="shared" si="316"/>
        <v>30749</v>
      </c>
      <c r="S6773" s="5">
        <f t="shared" si="317"/>
        <v>44839.23529411765</v>
      </c>
    </row>
    <row r="6774" spans="1:19" hidden="1" x14ac:dyDescent="0.3">
      <c r="A6774">
        <v>210</v>
      </c>
      <c r="B6774" t="s">
        <v>6520</v>
      </c>
      <c r="C6774" t="s">
        <v>3808</v>
      </c>
      <c r="D6774" s="2" t="s">
        <v>3809</v>
      </c>
      <c r="E6774" t="s">
        <v>3810</v>
      </c>
      <c r="F6774" t="s">
        <v>20</v>
      </c>
      <c r="G6774" t="s">
        <v>21</v>
      </c>
      <c r="H6774" t="s">
        <v>3811</v>
      </c>
      <c r="I6774" t="s">
        <v>23</v>
      </c>
      <c r="J6774" t="s">
        <v>40</v>
      </c>
      <c r="K6774" s="2" t="s">
        <v>3310</v>
      </c>
      <c r="L6774" t="s">
        <v>26</v>
      </c>
      <c r="M6774">
        <v>353600</v>
      </c>
      <c r="N6774">
        <v>1</v>
      </c>
      <c r="O6774" s="3">
        <v>49990</v>
      </c>
      <c r="P6774" s="3">
        <v>21722</v>
      </c>
      <c r="Q6774" s="5">
        <f t="shared" si="315"/>
        <v>42008.403361344543</v>
      </c>
      <c r="R6774" s="5">
        <f t="shared" si="316"/>
        <v>21722</v>
      </c>
      <c r="S6774" s="5">
        <f t="shared" si="317"/>
        <v>20286.403361344543</v>
      </c>
    </row>
    <row r="6775" spans="1:19" hidden="1" x14ac:dyDescent="0.3">
      <c r="A6775">
        <v>210</v>
      </c>
      <c r="B6775" t="s">
        <v>6520</v>
      </c>
      <c r="C6775" t="s">
        <v>3885</v>
      </c>
      <c r="D6775" s="2" t="s">
        <v>3886</v>
      </c>
      <c r="E6775" t="s">
        <v>2986</v>
      </c>
      <c r="F6775" t="s">
        <v>20</v>
      </c>
      <c r="G6775" t="s">
        <v>21</v>
      </c>
      <c r="H6775" t="s">
        <v>267</v>
      </c>
      <c r="I6775" t="s">
        <v>23</v>
      </c>
      <c r="J6775" t="s">
        <v>35</v>
      </c>
      <c r="K6775" s="2" t="s">
        <v>3310</v>
      </c>
      <c r="L6775" t="s">
        <v>26</v>
      </c>
      <c r="M6775">
        <v>353601</v>
      </c>
      <c r="N6775">
        <v>1</v>
      </c>
      <c r="O6775" s="3">
        <v>59990</v>
      </c>
      <c r="P6775" s="3">
        <v>24733</v>
      </c>
      <c r="Q6775" s="5">
        <f t="shared" si="315"/>
        <v>50411.764705882357</v>
      </c>
      <c r="R6775" s="5">
        <f t="shared" si="316"/>
        <v>24733</v>
      </c>
      <c r="S6775" s="5">
        <f t="shared" si="317"/>
        <v>25678.764705882357</v>
      </c>
    </row>
    <row r="6776" spans="1:19" hidden="1" x14ac:dyDescent="0.3">
      <c r="A6776">
        <v>210</v>
      </c>
      <c r="B6776" t="s">
        <v>6520</v>
      </c>
      <c r="C6776" t="s">
        <v>6663</v>
      </c>
      <c r="D6776" s="2" t="s">
        <v>6664</v>
      </c>
      <c r="E6776" t="s">
        <v>5323</v>
      </c>
      <c r="F6776" t="s">
        <v>20</v>
      </c>
      <c r="G6776" t="s">
        <v>338</v>
      </c>
      <c r="H6776">
        <v>25908</v>
      </c>
      <c r="I6776" t="s">
        <v>23</v>
      </c>
      <c r="J6776" t="s">
        <v>35</v>
      </c>
      <c r="K6776" s="2" t="s">
        <v>3310</v>
      </c>
      <c r="L6776" t="s">
        <v>26</v>
      </c>
      <c r="M6776">
        <v>353602</v>
      </c>
      <c r="N6776">
        <v>1</v>
      </c>
      <c r="O6776" s="3">
        <v>89950</v>
      </c>
      <c r="P6776" s="3">
        <v>27207</v>
      </c>
      <c r="Q6776" s="5">
        <f t="shared" si="315"/>
        <v>75588.23529411765</v>
      </c>
      <c r="R6776" s="5">
        <f t="shared" si="316"/>
        <v>27207</v>
      </c>
      <c r="S6776" s="5">
        <f t="shared" si="317"/>
        <v>48381.23529411765</v>
      </c>
    </row>
    <row r="6777" spans="1:19" hidden="1" x14ac:dyDescent="0.3">
      <c r="A6777">
        <v>210</v>
      </c>
      <c r="B6777" t="s">
        <v>6520</v>
      </c>
      <c r="C6777" t="s">
        <v>2336</v>
      </c>
      <c r="D6777" s="2" t="s">
        <v>2337</v>
      </c>
      <c r="E6777" t="s">
        <v>2002</v>
      </c>
      <c r="F6777" t="s">
        <v>20</v>
      </c>
      <c r="G6777" t="s">
        <v>338</v>
      </c>
      <c r="H6777">
        <v>25026</v>
      </c>
      <c r="I6777" t="s">
        <v>23</v>
      </c>
      <c r="J6777" t="s">
        <v>35</v>
      </c>
      <c r="K6777" s="2" t="s">
        <v>3310</v>
      </c>
      <c r="L6777" t="s">
        <v>26</v>
      </c>
      <c r="M6777">
        <v>353603</v>
      </c>
      <c r="N6777">
        <v>1</v>
      </c>
      <c r="O6777" s="3">
        <v>89950</v>
      </c>
      <c r="P6777" s="3">
        <v>28454</v>
      </c>
      <c r="Q6777" s="5">
        <f t="shared" si="315"/>
        <v>75588.23529411765</v>
      </c>
      <c r="R6777" s="5">
        <f t="shared" si="316"/>
        <v>28454</v>
      </c>
      <c r="S6777" s="5">
        <f t="shared" si="317"/>
        <v>47134.23529411765</v>
      </c>
    </row>
    <row r="6778" spans="1:19" hidden="1" x14ac:dyDescent="0.3">
      <c r="A6778">
        <v>210</v>
      </c>
      <c r="B6778" t="s">
        <v>6520</v>
      </c>
      <c r="C6778" t="s">
        <v>3475</v>
      </c>
      <c r="D6778" s="2" t="s">
        <v>3476</v>
      </c>
      <c r="E6778" t="s">
        <v>2952</v>
      </c>
      <c r="F6778" t="s">
        <v>20</v>
      </c>
      <c r="G6778" t="s">
        <v>21</v>
      </c>
      <c r="H6778" t="s">
        <v>2484</v>
      </c>
      <c r="I6778" t="s">
        <v>23</v>
      </c>
      <c r="J6778" t="s">
        <v>40</v>
      </c>
      <c r="K6778" s="2" t="s">
        <v>3310</v>
      </c>
      <c r="L6778" t="s">
        <v>26</v>
      </c>
      <c r="M6778">
        <v>353604</v>
      </c>
      <c r="N6778">
        <v>1</v>
      </c>
      <c r="O6778" s="3">
        <v>59950</v>
      </c>
      <c r="P6778" s="3">
        <v>18378</v>
      </c>
      <c r="Q6778" s="5">
        <f t="shared" si="315"/>
        <v>50378.151260504201</v>
      </c>
      <c r="R6778" s="5">
        <f t="shared" si="316"/>
        <v>18378</v>
      </c>
      <c r="S6778" s="5">
        <f t="shared" si="317"/>
        <v>32000.151260504201</v>
      </c>
    </row>
    <row r="6779" spans="1:19" hidden="1" x14ac:dyDescent="0.3">
      <c r="A6779">
        <v>210</v>
      </c>
      <c r="B6779" t="s">
        <v>6520</v>
      </c>
      <c r="C6779" t="s">
        <v>6034</v>
      </c>
      <c r="D6779" s="2" t="s">
        <v>6035</v>
      </c>
      <c r="E6779" t="s">
        <v>2252</v>
      </c>
      <c r="F6779" t="s">
        <v>20</v>
      </c>
      <c r="G6779" t="s">
        <v>21</v>
      </c>
      <c r="H6779" t="s">
        <v>970</v>
      </c>
      <c r="I6779" t="s">
        <v>23</v>
      </c>
      <c r="J6779" t="s">
        <v>40</v>
      </c>
      <c r="K6779" s="2" t="s">
        <v>3310</v>
      </c>
      <c r="L6779" t="s">
        <v>26</v>
      </c>
      <c r="M6779">
        <v>353605</v>
      </c>
      <c r="N6779">
        <v>1</v>
      </c>
      <c r="O6779" s="3">
        <v>59950</v>
      </c>
      <c r="P6779" s="3">
        <v>15928</v>
      </c>
      <c r="Q6779" s="5">
        <f t="shared" si="315"/>
        <v>50378.151260504201</v>
      </c>
      <c r="R6779" s="5">
        <f t="shared" si="316"/>
        <v>15928</v>
      </c>
      <c r="S6779" s="5">
        <f t="shared" si="317"/>
        <v>34450.151260504201</v>
      </c>
    </row>
    <row r="6780" spans="1:19" hidden="1" x14ac:dyDescent="0.3">
      <c r="A6780">
        <v>210</v>
      </c>
      <c r="B6780" t="s">
        <v>6520</v>
      </c>
      <c r="C6780" t="s">
        <v>6665</v>
      </c>
      <c r="D6780" s="2" t="s">
        <v>6666</v>
      </c>
      <c r="E6780" t="s">
        <v>2803</v>
      </c>
      <c r="F6780" t="s">
        <v>20</v>
      </c>
      <c r="G6780" t="s">
        <v>338</v>
      </c>
      <c r="H6780">
        <v>23726</v>
      </c>
      <c r="I6780" t="s">
        <v>23</v>
      </c>
      <c r="J6780" t="s">
        <v>40</v>
      </c>
      <c r="K6780" s="2" t="s">
        <v>3310</v>
      </c>
      <c r="L6780" t="s">
        <v>26</v>
      </c>
      <c r="M6780">
        <v>353606</v>
      </c>
      <c r="N6780">
        <v>1</v>
      </c>
      <c r="O6780" s="3">
        <v>89950</v>
      </c>
      <c r="P6780" s="3">
        <v>29798</v>
      </c>
      <c r="Q6780" s="5">
        <f t="shared" si="315"/>
        <v>75588.23529411765</v>
      </c>
      <c r="R6780" s="5">
        <f t="shared" si="316"/>
        <v>29798</v>
      </c>
      <c r="S6780" s="5">
        <f t="shared" si="317"/>
        <v>45790.23529411765</v>
      </c>
    </row>
    <row r="6781" spans="1:19" hidden="1" x14ac:dyDescent="0.3">
      <c r="A6781">
        <v>210</v>
      </c>
      <c r="B6781" t="s">
        <v>6520</v>
      </c>
      <c r="C6781" t="s">
        <v>6667</v>
      </c>
      <c r="D6781" s="2" t="s">
        <v>6668</v>
      </c>
      <c r="E6781" t="s">
        <v>2318</v>
      </c>
      <c r="F6781" t="s">
        <v>20</v>
      </c>
      <c r="G6781" t="s">
        <v>21</v>
      </c>
      <c r="H6781" t="s">
        <v>573</v>
      </c>
      <c r="I6781" t="s">
        <v>23</v>
      </c>
      <c r="J6781" t="s">
        <v>49</v>
      </c>
      <c r="K6781" s="2" t="s">
        <v>3310</v>
      </c>
      <c r="L6781" t="s">
        <v>26</v>
      </c>
      <c r="M6781">
        <v>353607</v>
      </c>
      <c r="N6781">
        <v>-1</v>
      </c>
      <c r="O6781" s="3">
        <v>-44990</v>
      </c>
      <c r="P6781" s="3">
        <v>21507</v>
      </c>
      <c r="Q6781" s="5">
        <f t="shared" si="315"/>
        <v>-37806.722689075636</v>
      </c>
      <c r="R6781" s="5">
        <f t="shared" si="316"/>
        <v>-21507</v>
      </c>
      <c r="S6781" s="5">
        <f t="shared" si="317"/>
        <v>-16299.722689075636</v>
      </c>
    </row>
    <row r="6782" spans="1:19" hidden="1" x14ac:dyDescent="0.3">
      <c r="A6782">
        <v>210</v>
      </c>
      <c r="B6782" t="s">
        <v>6520</v>
      </c>
      <c r="C6782" t="s">
        <v>6262</v>
      </c>
      <c r="D6782" s="2" t="s">
        <v>6263</v>
      </c>
      <c r="E6782" t="s">
        <v>3433</v>
      </c>
      <c r="F6782" t="s">
        <v>20</v>
      </c>
      <c r="G6782" t="s">
        <v>338</v>
      </c>
      <c r="H6782">
        <v>23732</v>
      </c>
      <c r="I6782" t="s">
        <v>23</v>
      </c>
      <c r="J6782" t="s">
        <v>40</v>
      </c>
      <c r="K6782" s="2" t="s">
        <v>3310</v>
      </c>
      <c r="L6782" t="s">
        <v>26</v>
      </c>
      <c r="M6782">
        <v>353607</v>
      </c>
      <c r="N6782">
        <v>1</v>
      </c>
      <c r="O6782" s="3">
        <v>59990</v>
      </c>
      <c r="P6782" s="3">
        <v>26539</v>
      </c>
      <c r="Q6782" s="5">
        <f t="shared" si="315"/>
        <v>50411.764705882357</v>
      </c>
      <c r="R6782" s="5">
        <f t="shared" si="316"/>
        <v>26539</v>
      </c>
      <c r="S6782" s="5">
        <f t="shared" si="317"/>
        <v>23872.764705882357</v>
      </c>
    </row>
    <row r="6783" spans="1:19" hidden="1" x14ac:dyDescent="0.3">
      <c r="A6783">
        <v>210</v>
      </c>
      <c r="B6783" t="s">
        <v>6520</v>
      </c>
      <c r="C6783" t="s">
        <v>5319</v>
      </c>
      <c r="D6783" s="2" t="s">
        <v>5320</v>
      </c>
      <c r="E6783" t="s">
        <v>3472</v>
      </c>
      <c r="F6783" t="s">
        <v>20</v>
      </c>
      <c r="G6783" t="s">
        <v>338</v>
      </c>
      <c r="H6783">
        <v>25336</v>
      </c>
      <c r="I6783" t="s">
        <v>23</v>
      </c>
      <c r="J6783" t="s">
        <v>35</v>
      </c>
      <c r="K6783" s="2" t="s">
        <v>3310</v>
      </c>
      <c r="L6783" t="s">
        <v>26</v>
      </c>
      <c r="M6783">
        <v>353608</v>
      </c>
      <c r="N6783">
        <v>1</v>
      </c>
      <c r="O6783" s="3">
        <v>99950</v>
      </c>
      <c r="P6783" s="3">
        <v>31886</v>
      </c>
      <c r="Q6783" s="5">
        <f t="shared" si="315"/>
        <v>83991.596638655465</v>
      </c>
      <c r="R6783" s="5">
        <f t="shared" si="316"/>
        <v>31886</v>
      </c>
      <c r="S6783" s="5">
        <f t="shared" si="317"/>
        <v>52105.596638655465</v>
      </c>
    </row>
    <row r="6784" spans="1:19" hidden="1" x14ac:dyDescent="0.3">
      <c r="A6784">
        <v>210</v>
      </c>
      <c r="B6784" t="s">
        <v>6520</v>
      </c>
      <c r="C6784" t="s">
        <v>2410</v>
      </c>
      <c r="D6784" s="2" t="s">
        <v>2411</v>
      </c>
      <c r="E6784" t="s">
        <v>1714</v>
      </c>
      <c r="F6784" t="s">
        <v>20</v>
      </c>
      <c r="G6784" t="s">
        <v>338</v>
      </c>
      <c r="H6784">
        <v>23727</v>
      </c>
      <c r="I6784" t="s">
        <v>23</v>
      </c>
      <c r="J6784" t="s">
        <v>40</v>
      </c>
      <c r="K6784" s="2" t="s">
        <v>3310</v>
      </c>
      <c r="L6784" t="s">
        <v>26</v>
      </c>
      <c r="M6784">
        <v>353609</v>
      </c>
      <c r="N6784">
        <v>1</v>
      </c>
      <c r="O6784" s="3">
        <v>49990</v>
      </c>
      <c r="P6784" s="3">
        <v>26539</v>
      </c>
      <c r="Q6784" s="5">
        <f t="shared" si="315"/>
        <v>42008.403361344543</v>
      </c>
      <c r="R6784" s="5">
        <f t="shared" si="316"/>
        <v>26539</v>
      </c>
      <c r="S6784" s="5">
        <f t="shared" si="317"/>
        <v>15469.403361344543</v>
      </c>
    </row>
    <row r="6785" spans="1:19" hidden="1" x14ac:dyDescent="0.3">
      <c r="A6785">
        <v>210</v>
      </c>
      <c r="B6785" t="s">
        <v>6520</v>
      </c>
      <c r="C6785" t="s">
        <v>6669</v>
      </c>
      <c r="D6785" s="2" t="s">
        <v>6670</v>
      </c>
      <c r="E6785" t="s">
        <v>2333</v>
      </c>
      <c r="F6785" t="s">
        <v>20</v>
      </c>
      <c r="G6785" t="s">
        <v>21</v>
      </c>
      <c r="H6785" t="s">
        <v>1282</v>
      </c>
      <c r="I6785" t="s">
        <v>23</v>
      </c>
      <c r="J6785" t="s">
        <v>40</v>
      </c>
      <c r="K6785" s="2" t="s">
        <v>3310</v>
      </c>
      <c r="L6785" t="s">
        <v>26</v>
      </c>
      <c r="M6785">
        <v>353610</v>
      </c>
      <c r="N6785">
        <v>1</v>
      </c>
      <c r="O6785" s="3">
        <v>49950</v>
      </c>
      <c r="P6785" s="3">
        <v>13922</v>
      </c>
      <c r="Q6785" s="5">
        <f t="shared" si="315"/>
        <v>41974.789915966387</v>
      </c>
      <c r="R6785" s="5">
        <f t="shared" si="316"/>
        <v>13922</v>
      </c>
      <c r="S6785" s="5">
        <f t="shared" si="317"/>
        <v>28052.789915966387</v>
      </c>
    </row>
    <row r="6786" spans="1:19" hidden="1" x14ac:dyDescent="0.3">
      <c r="A6786">
        <v>210</v>
      </c>
      <c r="B6786" t="s">
        <v>6520</v>
      </c>
      <c r="C6786" t="s">
        <v>1507</v>
      </c>
      <c r="D6786" s="2" t="s">
        <v>1508</v>
      </c>
      <c r="E6786" t="s">
        <v>425</v>
      </c>
      <c r="F6786" t="s">
        <v>20</v>
      </c>
      <c r="G6786" t="s">
        <v>21</v>
      </c>
      <c r="H6786" t="s">
        <v>22</v>
      </c>
      <c r="I6786" t="s">
        <v>23</v>
      </c>
      <c r="J6786" t="s">
        <v>24</v>
      </c>
      <c r="K6786" s="2" t="s">
        <v>3310</v>
      </c>
      <c r="L6786" t="s">
        <v>26</v>
      </c>
      <c r="M6786">
        <v>353610</v>
      </c>
      <c r="N6786">
        <v>1</v>
      </c>
      <c r="O6786" s="3">
        <v>79950</v>
      </c>
      <c r="P6786" s="3">
        <v>27778</v>
      </c>
      <c r="Q6786" s="5">
        <f t="shared" si="315"/>
        <v>67184.873949579836</v>
      </c>
      <c r="R6786" s="5">
        <f t="shared" si="316"/>
        <v>27778</v>
      </c>
      <c r="S6786" s="5">
        <f t="shared" si="317"/>
        <v>39406.873949579836</v>
      </c>
    </row>
    <row r="6787" spans="1:19" hidden="1" x14ac:dyDescent="0.3">
      <c r="A6787">
        <v>210</v>
      </c>
      <c r="B6787" t="s">
        <v>6520</v>
      </c>
      <c r="C6787" t="s">
        <v>4022</v>
      </c>
      <c r="D6787" s="2" t="s">
        <v>4023</v>
      </c>
      <c r="E6787" t="s">
        <v>1075</v>
      </c>
      <c r="F6787" t="s">
        <v>20</v>
      </c>
      <c r="G6787" t="s">
        <v>338</v>
      </c>
      <c r="H6787">
        <v>25097</v>
      </c>
      <c r="I6787" t="s">
        <v>23</v>
      </c>
      <c r="J6787" t="s">
        <v>24</v>
      </c>
      <c r="K6787" s="2" t="s">
        <v>3310</v>
      </c>
      <c r="L6787" t="s">
        <v>26</v>
      </c>
      <c r="M6787">
        <v>353610</v>
      </c>
      <c r="N6787">
        <v>1</v>
      </c>
      <c r="O6787" s="3">
        <v>59990</v>
      </c>
      <c r="P6787" s="3">
        <v>23242</v>
      </c>
      <c r="Q6787" s="5">
        <f t="shared" si="315"/>
        <v>50411.764705882357</v>
      </c>
      <c r="R6787" s="5">
        <f t="shared" si="316"/>
        <v>23242</v>
      </c>
      <c r="S6787" s="5">
        <f t="shared" si="317"/>
        <v>27169.764705882357</v>
      </c>
    </row>
    <row r="6788" spans="1:19" hidden="1" x14ac:dyDescent="0.3">
      <c r="A6788">
        <v>210</v>
      </c>
      <c r="B6788" t="s">
        <v>6520</v>
      </c>
      <c r="C6788" t="s">
        <v>5004</v>
      </c>
      <c r="D6788" s="2" t="s">
        <v>5005</v>
      </c>
      <c r="E6788" t="s">
        <v>2476</v>
      </c>
      <c r="F6788" t="s">
        <v>20</v>
      </c>
      <c r="G6788" t="s">
        <v>21</v>
      </c>
      <c r="H6788" t="s">
        <v>114</v>
      </c>
      <c r="I6788" t="s">
        <v>23</v>
      </c>
      <c r="J6788" t="s">
        <v>49</v>
      </c>
      <c r="K6788" s="2" t="s">
        <v>3310</v>
      </c>
      <c r="L6788" t="s">
        <v>26</v>
      </c>
      <c r="M6788">
        <v>353611</v>
      </c>
      <c r="N6788">
        <v>1</v>
      </c>
      <c r="O6788" s="3">
        <v>69950</v>
      </c>
      <c r="P6788" s="3">
        <v>22176</v>
      </c>
      <c r="Q6788" s="5">
        <f t="shared" si="315"/>
        <v>58781.512605042022</v>
      </c>
      <c r="R6788" s="5">
        <f t="shared" si="316"/>
        <v>22176</v>
      </c>
      <c r="S6788" s="5">
        <f t="shared" si="317"/>
        <v>36605.512605042022</v>
      </c>
    </row>
    <row r="6789" spans="1:19" hidden="1" x14ac:dyDescent="0.3">
      <c r="A6789">
        <v>210</v>
      </c>
      <c r="B6789" t="s">
        <v>6520</v>
      </c>
      <c r="C6789" t="s">
        <v>2960</v>
      </c>
      <c r="D6789" s="2" t="s">
        <v>2961</v>
      </c>
      <c r="E6789" t="s">
        <v>2539</v>
      </c>
      <c r="F6789" t="s">
        <v>20</v>
      </c>
      <c r="G6789" t="s">
        <v>21</v>
      </c>
      <c r="H6789" t="s">
        <v>966</v>
      </c>
      <c r="I6789" t="s">
        <v>23</v>
      </c>
      <c r="J6789" t="s">
        <v>35</v>
      </c>
      <c r="K6789" s="2" t="s">
        <v>3366</v>
      </c>
      <c r="L6789" t="s">
        <v>4085</v>
      </c>
      <c r="M6789">
        <v>772</v>
      </c>
      <c r="N6789">
        <v>1</v>
      </c>
      <c r="O6789" s="3">
        <v>74950</v>
      </c>
      <c r="P6789" s="3">
        <v>27380</v>
      </c>
      <c r="Q6789" s="5">
        <f t="shared" si="315"/>
        <v>62983.193277310929</v>
      </c>
      <c r="R6789" s="5">
        <f t="shared" si="316"/>
        <v>27380</v>
      </c>
      <c r="S6789" s="5">
        <f t="shared" si="317"/>
        <v>35603.193277310929</v>
      </c>
    </row>
    <row r="6790" spans="1:19" hidden="1" x14ac:dyDescent="0.3">
      <c r="A6790">
        <v>210</v>
      </c>
      <c r="B6790" t="s">
        <v>6520</v>
      </c>
      <c r="C6790" t="s">
        <v>3253</v>
      </c>
      <c r="D6790" s="2" t="s">
        <v>3254</v>
      </c>
      <c r="E6790" t="s">
        <v>2653</v>
      </c>
      <c r="F6790" t="s">
        <v>20</v>
      </c>
      <c r="G6790" t="s">
        <v>21</v>
      </c>
      <c r="H6790" t="s">
        <v>2315</v>
      </c>
      <c r="I6790" t="s">
        <v>23</v>
      </c>
      <c r="J6790" t="s">
        <v>35</v>
      </c>
      <c r="K6790" s="2" t="s">
        <v>3366</v>
      </c>
      <c r="L6790" t="s">
        <v>26</v>
      </c>
      <c r="M6790">
        <v>353612</v>
      </c>
      <c r="N6790">
        <v>1</v>
      </c>
      <c r="O6790" s="3">
        <v>89950</v>
      </c>
      <c r="P6790" s="3">
        <v>30749</v>
      </c>
      <c r="Q6790" s="5">
        <f t="shared" ref="Q6790:Q6853" si="318">O6790/1.19</f>
        <v>75588.23529411765</v>
      </c>
      <c r="R6790" s="5">
        <f t="shared" ref="R6790:R6853" si="319">N6790*P6790</f>
        <v>30749</v>
      </c>
      <c r="S6790" s="5">
        <f t="shared" ref="S6790:S6853" si="320">Q6790-R6790</f>
        <v>44839.23529411765</v>
      </c>
    </row>
    <row r="6791" spans="1:19" hidden="1" x14ac:dyDescent="0.3">
      <c r="A6791">
        <v>210</v>
      </c>
      <c r="B6791" t="s">
        <v>6520</v>
      </c>
      <c r="C6791" t="s">
        <v>2739</v>
      </c>
      <c r="D6791" s="2" t="s">
        <v>2740</v>
      </c>
      <c r="E6791" t="s">
        <v>2741</v>
      </c>
      <c r="F6791" t="s">
        <v>20</v>
      </c>
      <c r="G6791" t="s">
        <v>21</v>
      </c>
      <c r="H6791" t="s">
        <v>2494</v>
      </c>
      <c r="I6791" t="s">
        <v>23</v>
      </c>
      <c r="J6791" t="s">
        <v>40</v>
      </c>
      <c r="K6791" s="2" t="s">
        <v>3366</v>
      </c>
      <c r="L6791" t="s">
        <v>26</v>
      </c>
      <c r="M6791">
        <v>353613</v>
      </c>
      <c r="N6791">
        <v>1</v>
      </c>
      <c r="O6791" s="3">
        <v>69950</v>
      </c>
      <c r="P6791" s="3">
        <v>23470</v>
      </c>
      <c r="Q6791" s="5">
        <f t="shared" si="318"/>
        <v>58781.512605042022</v>
      </c>
      <c r="R6791" s="5">
        <f t="shared" si="319"/>
        <v>23470</v>
      </c>
      <c r="S6791" s="5">
        <f t="shared" si="320"/>
        <v>35311.512605042022</v>
      </c>
    </row>
    <row r="6792" spans="1:19" hidden="1" x14ac:dyDescent="0.3">
      <c r="A6792">
        <v>210</v>
      </c>
      <c r="B6792" t="s">
        <v>6520</v>
      </c>
      <c r="C6792" t="s">
        <v>3203</v>
      </c>
      <c r="D6792" s="2" t="s">
        <v>3204</v>
      </c>
      <c r="E6792" t="s">
        <v>2465</v>
      </c>
      <c r="F6792" t="s">
        <v>20</v>
      </c>
      <c r="G6792" t="s">
        <v>21</v>
      </c>
      <c r="H6792" t="s">
        <v>30</v>
      </c>
      <c r="I6792" t="s">
        <v>23</v>
      </c>
      <c r="J6792" t="s">
        <v>35</v>
      </c>
      <c r="K6792" s="2" t="s">
        <v>3366</v>
      </c>
      <c r="L6792" t="s">
        <v>26</v>
      </c>
      <c r="M6792">
        <v>353614</v>
      </c>
      <c r="N6792">
        <v>1</v>
      </c>
      <c r="O6792" s="3">
        <v>79950</v>
      </c>
      <c r="P6792" s="3">
        <v>30749</v>
      </c>
      <c r="Q6792" s="5">
        <f t="shared" si="318"/>
        <v>67184.873949579836</v>
      </c>
      <c r="R6792" s="5">
        <f t="shared" si="319"/>
        <v>30749</v>
      </c>
      <c r="S6792" s="5">
        <f t="shared" si="320"/>
        <v>36435.873949579836</v>
      </c>
    </row>
    <row r="6793" spans="1:19" hidden="1" x14ac:dyDescent="0.3">
      <c r="A6793">
        <v>210</v>
      </c>
      <c r="B6793" t="s">
        <v>6520</v>
      </c>
      <c r="C6793" t="s">
        <v>3862</v>
      </c>
      <c r="D6793" s="2" t="s">
        <v>3863</v>
      </c>
      <c r="E6793" t="s">
        <v>3283</v>
      </c>
      <c r="F6793" t="s">
        <v>20</v>
      </c>
      <c r="G6793" t="s">
        <v>21</v>
      </c>
      <c r="H6793" t="s">
        <v>2494</v>
      </c>
      <c r="I6793" t="s">
        <v>23</v>
      </c>
      <c r="J6793" t="s">
        <v>40</v>
      </c>
      <c r="K6793" s="2" t="s">
        <v>3366</v>
      </c>
      <c r="L6793" t="s">
        <v>26</v>
      </c>
      <c r="M6793">
        <v>353615</v>
      </c>
      <c r="N6793">
        <v>1</v>
      </c>
      <c r="O6793" s="3">
        <v>69950</v>
      </c>
      <c r="P6793" s="3">
        <v>23470</v>
      </c>
      <c r="Q6793" s="5">
        <f t="shared" si="318"/>
        <v>58781.512605042022</v>
      </c>
      <c r="R6793" s="5">
        <f t="shared" si="319"/>
        <v>23470</v>
      </c>
      <c r="S6793" s="5">
        <f t="shared" si="320"/>
        <v>35311.512605042022</v>
      </c>
    </row>
    <row r="6794" spans="1:19" hidden="1" x14ac:dyDescent="0.3">
      <c r="A6794">
        <v>210</v>
      </c>
      <c r="B6794" t="s">
        <v>6520</v>
      </c>
      <c r="C6794" t="s">
        <v>6445</v>
      </c>
      <c r="D6794" s="2" t="s">
        <v>6446</v>
      </c>
      <c r="E6794" t="s">
        <v>3449</v>
      </c>
      <c r="F6794" t="s">
        <v>20</v>
      </c>
      <c r="G6794" t="s">
        <v>338</v>
      </c>
      <c r="H6794">
        <v>25366</v>
      </c>
      <c r="I6794" t="s">
        <v>23</v>
      </c>
      <c r="J6794" t="s">
        <v>35</v>
      </c>
      <c r="K6794" s="2" t="s">
        <v>3366</v>
      </c>
      <c r="L6794" t="s">
        <v>26</v>
      </c>
      <c r="M6794">
        <v>353615</v>
      </c>
      <c r="N6794">
        <v>1</v>
      </c>
      <c r="O6794" s="3">
        <v>99950</v>
      </c>
      <c r="P6794" s="3">
        <v>33157</v>
      </c>
      <c r="Q6794" s="5">
        <f t="shared" si="318"/>
        <v>83991.596638655465</v>
      </c>
      <c r="R6794" s="5">
        <f t="shared" si="319"/>
        <v>33157</v>
      </c>
      <c r="S6794" s="5">
        <f t="shared" si="320"/>
        <v>50834.596638655465</v>
      </c>
    </row>
    <row r="6795" spans="1:19" hidden="1" x14ac:dyDescent="0.3">
      <c r="A6795">
        <v>210</v>
      </c>
      <c r="B6795" t="s">
        <v>6520</v>
      </c>
      <c r="C6795" t="s">
        <v>3120</v>
      </c>
      <c r="D6795" s="2" t="s">
        <v>3121</v>
      </c>
      <c r="E6795" t="s">
        <v>3122</v>
      </c>
      <c r="F6795" t="s">
        <v>20</v>
      </c>
      <c r="G6795" t="s">
        <v>21</v>
      </c>
      <c r="H6795" t="s">
        <v>718</v>
      </c>
      <c r="I6795" t="s">
        <v>23</v>
      </c>
      <c r="J6795" t="s">
        <v>49</v>
      </c>
      <c r="K6795" s="2" t="s">
        <v>3366</v>
      </c>
      <c r="L6795" t="s">
        <v>26</v>
      </c>
      <c r="M6795">
        <v>353616</v>
      </c>
      <c r="N6795">
        <v>1</v>
      </c>
      <c r="O6795" s="3">
        <v>39990</v>
      </c>
      <c r="P6795" s="3">
        <v>26647</v>
      </c>
      <c r="Q6795" s="5">
        <f t="shared" si="318"/>
        <v>33605.042016806721</v>
      </c>
      <c r="R6795" s="5">
        <f t="shared" si="319"/>
        <v>26647</v>
      </c>
      <c r="S6795" s="5">
        <f t="shared" si="320"/>
        <v>6958.0420168067212</v>
      </c>
    </row>
    <row r="6796" spans="1:19" hidden="1" x14ac:dyDescent="0.3">
      <c r="A6796">
        <v>210</v>
      </c>
      <c r="B6796" t="s">
        <v>6520</v>
      </c>
      <c r="C6796" t="s">
        <v>492</v>
      </c>
      <c r="D6796" s="2" t="s">
        <v>493</v>
      </c>
      <c r="E6796" t="s">
        <v>494</v>
      </c>
      <c r="F6796" t="s">
        <v>20</v>
      </c>
      <c r="G6796" t="s">
        <v>21</v>
      </c>
      <c r="H6796" t="s">
        <v>317</v>
      </c>
      <c r="I6796" t="s">
        <v>23</v>
      </c>
      <c r="J6796" t="s">
        <v>35</v>
      </c>
      <c r="K6796" s="2" t="s">
        <v>3366</v>
      </c>
      <c r="L6796" t="s">
        <v>26</v>
      </c>
      <c r="M6796">
        <v>353617</v>
      </c>
      <c r="N6796">
        <v>1</v>
      </c>
      <c r="O6796" s="3">
        <v>69950</v>
      </c>
      <c r="P6796" s="3">
        <v>23619</v>
      </c>
      <c r="Q6796" s="5">
        <f t="shared" si="318"/>
        <v>58781.512605042022</v>
      </c>
      <c r="R6796" s="5">
        <f t="shared" si="319"/>
        <v>23619</v>
      </c>
      <c r="S6796" s="5">
        <f t="shared" si="320"/>
        <v>35162.512605042022</v>
      </c>
    </row>
    <row r="6797" spans="1:19" hidden="1" x14ac:dyDescent="0.3">
      <c r="A6797">
        <v>210</v>
      </c>
      <c r="B6797" t="s">
        <v>6520</v>
      </c>
      <c r="C6797" t="s">
        <v>3477</v>
      </c>
      <c r="D6797" s="2" t="s">
        <v>3478</v>
      </c>
      <c r="E6797" t="s">
        <v>3479</v>
      </c>
      <c r="F6797" t="s">
        <v>377</v>
      </c>
      <c r="G6797" t="s">
        <v>21</v>
      </c>
      <c r="H6797" t="s">
        <v>378</v>
      </c>
      <c r="I6797" t="s">
        <v>23</v>
      </c>
      <c r="J6797" t="s">
        <v>379</v>
      </c>
      <c r="K6797" s="2" t="s">
        <v>3366</v>
      </c>
      <c r="L6797" t="s">
        <v>26</v>
      </c>
      <c r="M6797">
        <v>353617</v>
      </c>
      <c r="N6797">
        <v>1</v>
      </c>
      <c r="O6797" s="3">
        <v>5950</v>
      </c>
      <c r="P6797" s="3">
        <v>3311</v>
      </c>
      <c r="Q6797" s="5">
        <f t="shared" si="318"/>
        <v>5000</v>
      </c>
      <c r="R6797" s="5">
        <f t="shared" si="319"/>
        <v>3311</v>
      </c>
      <c r="S6797" s="5">
        <f t="shared" si="320"/>
        <v>1689</v>
      </c>
    </row>
    <row r="6798" spans="1:19" hidden="1" x14ac:dyDescent="0.3">
      <c r="A6798">
        <v>210</v>
      </c>
      <c r="B6798" t="s">
        <v>6520</v>
      </c>
      <c r="C6798" t="s">
        <v>3547</v>
      </c>
      <c r="D6798" s="2" t="s">
        <v>3548</v>
      </c>
      <c r="E6798" t="s">
        <v>3549</v>
      </c>
      <c r="F6798" t="s">
        <v>377</v>
      </c>
      <c r="G6798" t="s">
        <v>21</v>
      </c>
      <c r="H6798" t="s">
        <v>378</v>
      </c>
      <c r="I6798" t="s">
        <v>23</v>
      </c>
      <c r="J6798" t="s">
        <v>379</v>
      </c>
      <c r="K6798" s="2" t="s">
        <v>3366</v>
      </c>
      <c r="L6798" t="s">
        <v>26</v>
      </c>
      <c r="M6798">
        <v>353618</v>
      </c>
      <c r="N6798">
        <v>1</v>
      </c>
      <c r="O6798" s="3">
        <v>5950</v>
      </c>
      <c r="P6798" s="3">
        <v>3184</v>
      </c>
      <c r="Q6798" s="5">
        <f t="shared" si="318"/>
        <v>5000</v>
      </c>
      <c r="R6798" s="5">
        <f t="shared" si="319"/>
        <v>3184</v>
      </c>
      <c r="S6798" s="5">
        <f t="shared" si="320"/>
        <v>1816</v>
      </c>
    </row>
    <row r="6799" spans="1:19" hidden="1" x14ac:dyDescent="0.3">
      <c r="A6799">
        <v>210</v>
      </c>
      <c r="B6799" t="s">
        <v>6520</v>
      </c>
      <c r="C6799" t="s">
        <v>5617</v>
      </c>
      <c r="D6799" s="2" t="s">
        <v>5618</v>
      </c>
      <c r="E6799" t="s">
        <v>2493</v>
      </c>
      <c r="F6799" t="s">
        <v>20</v>
      </c>
      <c r="G6799" t="s">
        <v>21</v>
      </c>
      <c r="H6799" t="s">
        <v>2494</v>
      </c>
      <c r="I6799" t="s">
        <v>23</v>
      </c>
      <c r="J6799" t="s">
        <v>40</v>
      </c>
      <c r="K6799" s="2" t="s">
        <v>3366</v>
      </c>
      <c r="L6799" t="s">
        <v>26</v>
      </c>
      <c r="M6799">
        <v>353619</v>
      </c>
      <c r="N6799">
        <v>1</v>
      </c>
      <c r="O6799" s="3">
        <v>69950</v>
      </c>
      <c r="P6799" s="3">
        <v>22206</v>
      </c>
      <c r="Q6799" s="5">
        <f t="shared" si="318"/>
        <v>58781.512605042022</v>
      </c>
      <c r="R6799" s="5">
        <f t="shared" si="319"/>
        <v>22206</v>
      </c>
      <c r="S6799" s="5">
        <f t="shared" si="320"/>
        <v>36575.512605042022</v>
      </c>
    </row>
    <row r="6800" spans="1:19" hidden="1" x14ac:dyDescent="0.3">
      <c r="A6800">
        <v>210</v>
      </c>
      <c r="B6800" t="s">
        <v>6520</v>
      </c>
      <c r="C6800" t="s">
        <v>1426</v>
      </c>
      <c r="D6800" s="2" t="s">
        <v>1427</v>
      </c>
      <c r="E6800" t="s">
        <v>1428</v>
      </c>
      <c r="F6800" t="s">
        <v>20</v>
      </c>
      <c r="G6800" t="s">
        <v>21</v>
      </c>
      <c r="H6800" t="s">
        <v>57</v>
      </c>
      <c r="I6800" t="s">
        <v>23</v>
      </c>
      <c r="J6800" t="s">
        <v>35</v>
      </c>
      <c r="K6800" s="2" t="s">
        <v>3366</v>
      </c>
      <c r="L6800" t="s">
        <v>26</v>
      </c>
      <c r="M6800">
        <v>353619</v>
      </c>
      <c r="N6800">
        <v>1</v>
      </c>
      <c r="O6800" s="3">
        <v>89950</v>
      </c>
      <c r="P6800" s="3">
        <v>31397</v>
      </c>
      <c r="Q6800" s="5">
        <f t="shared" si="318"/>
        <v>75588.23529411765</v>
      </c>
      <c r="R6800" s="5">
        <f t="shared" si="319"/>
        <v>31397</v>
      </c>
      <c r="S6800" s="5">
        <f t="shared" si="320"/>
        <v>44191.23529411765</v>
      </c>
    </row>
    <row r="6801" spans="1:19" hidden="1" x14ac:dyDescent="0.3">
      <c r="A6801">
        <v>210</v>
      </c>
      <c r="B6801" t="s">
        <v>6520</v>
      </c>
      <c r="C6801" t="s">
        <v>4375</v>
      </c>
      <c r="D6801" s="2" t="s">
        <v>4376</v>
      </c>
      <c r="E6801" t="s">
        <v>4377</v>
      </c>
      <c r="F6801" t="s">
        <v>377</v>
      </c>
      <c r="G6801" t="s">
        <v>21</v>
      </c>
      <c r="H6801" t="s">
        <v>378</v>
      </c>
      <c r="I6801" t="s">
        <v>23</v>
      </c>
      <c r="J6801" t="s">
        <v>2459</v>
      </c>
      <c r="K6801" s="2" t="s">
        <v>3366</v>
      </c>
      <c r="L6801" t="s">
        <v>26</v>
      </c>
      <c r="M6801">
        <v>353619</v>
      </c>
      <c r="N6801">
        <v>1</v>
      </c>
      <c r="O6801">
        <v>0</v>
      </c>
      <c r="P6801" s="3">
        <v>3701</v>
      </c>
      <c r="Q6801" s="5">
        <f t="shared" si="318"/>
        <v>0</v>
      </c>
      <c r="R6801" s="5">
        <f t="shared" si="319"/>
        <v>3701</v>
      </c>
      <c r="S6801" s="5">
        <f t="shared" si="320"/>
        <v>-3701</v>
      </c>
    </row>
    <row r="6802" spans="1:19" hidden="1" x14ac:dyDescent="0.3">
      <c r="A6802">
        <v>210</v>
      </c>
      <c r="B6802" t="s">
        <v>6520</v>
      </c>
      <c r="C6802" t="s">
        <v>2924</v>
      </c>
      <c r="D6802" s="2" t="s">
        <v>2925</v>
      </c>
      <c r="E6802" t="s">
        <v>2493</v>
      </c>
      <c r="F6802" t="s">
        <v>20</v>
      </c>
      <c r="G6802" t="s">
        <v>21</v>
      </c>
      <c r="H6802" t="s">
        <v>2494</v>
      </c>
      <c r="I6802" t="s">
        <v>23</v>
      </c>
      <c r="J6802" t="s">
        <v>40</v>
      </c>
      <c r="K6802" s="2" t="s">
        <v>3366</v>
      </c>
      <c r="L6802" t="s">
        <v>26</v>
      </c>
      <c r="M6802">
        <v>353620</v>
      </c>
      <c r="N6802">
        <v>1</v>
      </c>
      <c r="O6802" s="3">
        <v>69950</v>
      </c>
      <c r="P6802" s="3">
        <v>22206</v>
      </c>
      <c r="Q6802" s="5">
        <f t="shared" si="318"/>
        <v>58781.512605042022</v>
      </c>
      <c r="R6802" s="5">
        <f t="shared" si="319"/>
        <v>22206</v>
      </c>
      <c r="S6802" s="5">
        <f t="shared" si="320"/>
        <v>36575.512605042022</v>
      </c>
    </row>
    <row r="6803" spans="1:19" hidden="1" x14ac:dyDescent="0.3">
      <c r="A6803">
        <v>210</v>
      </c>
      <c r="B6803" t="s">
        <v>6520</v>
      </c>
      <c r="C6803" t="s">
        <v>5199</v>
      </c>
      <c r="D6803" s="2" t="s">
        <v>5200</v>
      </c>
      <c r="E6803" t="s">
        <v>4109</v>
      </c>
      <c r="F6803" t="s">
        <v>20</v>
      </c>
      <c r="G6803" t="s">
        <v>21</v>
      </c>
      <c r="H6803" t="s">
        <v>818</v>
      </c>
      <c r="I6803" t="s">
        <v>23</v>
      </c>
      <c r="J6803" t="s">
        <v>35</v>
      </c>
      <c r="K6803" s="2" t="s">
        <v>3366</v>
      </c>
      <c r="L6803" t="s">
        <v>26</v>
      </c>
      <c r="M6803">
        <v>353621</v>
      </c>
      <c r="N6803">
        <v>1</v>
      </c>
      <c r="O6803" s="3">
        <v>89950</v>
      </c>
      <c r="P6803" s="3">
        <v>32745</v>
      </c>
      <c r="Q6803" s="5">
        <f t="shared" si="318"/>
        <v>75588.23529411765</v>
      </c>
      <c r="R6803" s="5">
        <f t="shared" si="319"/>
        <v>32745</v>
      </c>
      <c r="S6803" s="5">
        <f t="shared" si="320"/>
        <v>42843.23529411765</v>
      </c>
    </row>
    <row r="6804" spans="1:19" hidden="1" x14ac:dyDescent="0.3">
      <c r="A6804">
        <v>210</v>
      </c>
      <c r="B6804" t="s">
        <v>6520</v>
      </c>
      <c r="C6804" t="s">
        <v>1756</v>
      </c>
      <c r="D6804" s="2" t="s">
        <v>1757</v>
      </c>
      <c r="E6804" t="s">
        <v>1758</v>
      </c>
      <c r="F6804" t="s">
        <v>20</v>
      </c>
      <c r="G6804" t="s">
        <v>338</v>
      </c>
      <c r="H6804">
        <v>25133</v>
      </c>
      <c r="I6804" t="s">
        <v>23</v>
      </c>
      <c r="J6804" t="s">
        <v>35</v>
      </c>
      <c r="K6804" s="2" t="s">
        <v>3366</v>
      </c>
      <c r="L6804" t="s">
        <v>26</v>
      </c>
      <c r="M6804">
        <v>353622</v>
      </c>
      <c r="N6804">
        <v>1</v>
      </c>
      <c r="O6804" s="3">
        <v>74950</v>
      </c>
      <c r="P6804" s="3">
        <v>21167</v>
      </c>
      <c r="Q6804" s="5">
        <f t="shared" si="318"/>
        <v>62983.193277310929</v>
      </c>
      <c r="R6804" s="5">
        <f t="shared" si="319"/>
        <v>21167</v>
      </c>
      <c r="S6804" s="5">
        <f t="shared" si="320"/>
        <v>41816.193277310929</v>
      </c>
    </row>
    <row r="6805" spans="1:19" hidden="1" x14ac:dyDescent="0.3">
      <c r="A6805">
        <v>210</v>
      </c>
      <c r="B6805" t="s">
        <v>6520</v>
      </c>
      <c r="C6805" t="s">
        <v>5010</v>
      </c>
      <c r="D6805" s="2" t="s">
        <v>5011</v>
      </c>
      <c r="E6805" t="s">
        <v>1075</v>
      </c>
      <c r="F6805" t="s">
        <v>20</v>
      </c>
      <c r="G6805" t="s">
        <v>338</v>
      </c>
      <c r="H6805">
        <v>25097</v>
      </c>
      <c r="I6805" t="s">
        <v>23</v>
      </c>
      <c r="J6805" t="s">
        <v>24</v>
      </c>
      <c r="K6805" s="2" t="s">
        <v>3366</v>
      </c>
      <c r="L6805" t="s">
        <v>26</v>
      </c>
      <c r="M6805">
        <v>353623</v>
      </c>
      <c r="N6805">
        <v>1</v>
      </c>
      <c r="O6805" s="3">
        <v>59990</v>
      </c>
      <c r="P6805" s="3">
        <v>23242</v>
      </c>
      <c r="Q6805" s="5">
        <f t="shared" si="318"/>
        <v>50411.764705882357</v>
      </c>
      <c r="R6805" s="5">
        <f t="shared" si="319"/>
        <v>23242</v>
      </c>
      <c r="S6805" s="5">
        <f t="shared" si="320"/>
        <v>27169.764705882357</v>
      </c>
    </row>
    <row r="6806" spans="1:19" hidden="1" x14ac:dyDescent="0.3">
      <c r="A6806">
        <v>210</v>
      </c>
      <c r="B6806" t="s">
        <v>6520</v>
      </c>
      <c r="C6806" t="s">
        <v>4502</v>
      </c>
      <c r="D6806" s="2" t="s">
        <v>4503</v>
      </c>
      <c r="E6806" t="s">
        <v>3914</v>
      </c>
      <c r="F6806" t="s">
        <v>20</v>
      </c>
      <c r="G6806" t="s">
        <v>338</v>
      </c>
      <c r="H6806">
        <v>24316</v>
      </c>
      <c r="I6806" t="s">
        <v>23</v>
      </c>
      <c r="J6806" t="s">
        <v>49</v>
      </c>
      <c r="K6806" s="2" t="s">
        <v>3366</v>
      </c>
      <c r="L6806" t="s">
        <v>26</v>
      </c>
      <c r="M6806">
        <v>353624</v>
      </c>
      <c r="N6806">
        <v>1</v>
      </c>
      <c r="O6806" s="3">
        <v>74950</v>
      </c>
      <c r="P6806" s="3">
        <v>23473</v>
      </c>
      <c r="Q6806" s="5">
        <f t="shared" si="318"/>
        <v>62983.193277310929</v>
      </c>
      <c r="R6806" s="5">
        <f t="shared" si="319"/>
        <v>23473</v>
      </c>
      <c r="S6806" s="5">
        <f t="shared" si="320"/>
        <v>39510.193277310929</v>
      </c>
    </row>
    <row r="6807" spans="1:19" hidden="1" x14ac:dyDescent="0.3">
      <c r="A6807">
        <v>210</v>
      </c>
      <c r="B6807" t="s">
        <v>6520</v>
      </c>
      <c r="C6807" t="s">
        <v>3014</v>
      </c>
      <c r="D6807" s="2" t="s">
        <v>3015</v>
      </c>
      <c r="E6807" t="s">
        <v>3016</v>
      </c>
      <c r="F6807" t="s">
        <v>20</v>
      </c>
      <c r="G6807" t="s">
        <v>338</v>
      </c>
      <c r="H6807">
        <v>25301</v>
      </c>
      <c r="I6807" t="s">
        <v>23</v>
      </c>
      <c r="J6807" t="s">
        <v>35</v>
      </c>
      <c r="K6807" s="2" t="s">
        <v>3366</v>
      </c>
      <c r="L6807" t="s">
        <v>26</v>
      </c>
      <c r="M6807">
        <v>353625</v>
      </c>
      <c r="N6807">
        <v>1</v>
      </c>
      <c r="O6807" s="3">
        <v>99950</v>
      </c>
      <c r="P6807" s="3">
        <v>34679</v>
      </c>
      <c r="Q6807" s="5">
        <f t="shared" si="318"/>
        <v>83991.596638655465</v>
      </c>
      <c r="R6807" s="5">
        <f t="shared" si="319"/>
        <v>34679</v>
      </c>
      <c r="S6807" s="5">
        <f t="shared" si="320"/>
        <v>49312.596638655465</v>
      </c>
    </row>
    <row r="6808" spans="1:19" hidden="1" x14ac:dyDescent="0.3">
      <c r="A6808">
        <v>210</v>
      </c>
      <c r="B6808" t="s">
        <v>6520</v>
      </c>
      <c r="C6808" t="s">
        <v>5542</v>
      </c>
      <c r="D6808" s="2" t="s">
        <v>5543</v>
      </c>
      <c r="E6808" t="s">
        <v>5544</v>
      </c>
      <c r="F6808" t="s">
        <v>20</v>
      </c>
      <c r="G6808" t="s">
        <v>338</v>
      </c>
      <c r="H6808">
        <v>86422</v>
      </c>
      <c r="I6808" t="s">
        <v>23</v>
      </c>
      <c r="J6808" t="s">
        <v>35</v>
      </c>
      <c r="K6808" s="2" t="s">
        <v>3366</v>
      </c>
      <c r="L6808" t="s">
        <v>26</v>
      </c>
      <c r="M6808">
        <v>353625</v>
      </c>
      <c r="N6808">
        <v>1</v>
      </c>
      <c r="O6808" s="3">
        <v>109950</v>
      </c>
      <c r="P6808" s="3">
        <v>33793</v>
      </c>
      <c r="Q6808" s="5">
        <f t="shared" si="318"/>
        <v>92394.957983193279</v>
      </c>
      <c r="R6808" s="5">
        <f t="shared" si="319"/>
        <v>33793</v>
      </c>
      <c r="S6808" s="5">
        <f t="shared" si="320"/>
        <v>58601.957983193279</v>
      </c>
    </row>
    <row r="6809" spans="1:19" hidden="1" x14ac:dyDescent="0.3">
      <c r="A6809">
        <v>210</v>
      </c>
      <c r="B6809" t="s">
        <v>6520</v>
      </c>
      <c r="C6809" t="s">
        <v>3032</v>
      </c>
      <c r="D6809" s="2" t="s">
        <v>3033</v>
      </c>
      <c r="E6809" t="s">
        <v>2653</v>
      </c>
      <c r="F6809" t="s">
        <v>20</v>
      </c>
      <c r="G6809" t="s">
        <v>21</v>
      </c>
      <c r="H6809" t="s">
        <v>2315</v>
      </c>
      <c r="I6809" t="s">
        <v>23</v>
      </c>
      <c r="J6809" t="s">
        <v>35</v>
      </c>
      <c r="K6809" s="2" t="s">
        <v>3366</v>
      </c>
      <c r="L6809" t="s">
        <v>26</v>
      </c>
      <c r="M6809">
        <v>353626</v>
      </c>
      <c r="N6809">
        <v>1</v>
      </c>
      <c r="O6809" s="3">
        <v>89950</v>
      </c>
      <c r="P6809" s="3">
        <v>30749</v>
      </c>
      <c r="Q6809" s="5">
        <f t="shared" si="318"/>
        <v>75588.23529411765</v>
      </c>
      <c r="R6809" s="5">
        <f t="shared" si="319"/>
        <v>30749</v>
      </c>
      <c r="S6809" s="5">
        <f t="shared" si="320"/>
        <v>44839.23529411765</v>
      </c>
    </row>
    <row r="6810" spans="1:19" hidden="1" x14ac:dyDescent="0.3">
      <c r="A6810">
        <v>210</v>
      </c>
      <c r="B6810" t="s">
        <v>6520</v>
      </c>
      <c r="C6810">
        <v>1687976791</v>
      </c>
      <c r="D6810" s="2" t="s">
        <v>200</v>
      </c>
      <c r="E6810" t="s">
        <v>201</v>
      </c>
      <c r="F6810" t="s">
        <v>201</v>
      </c>
      <c r="G6810" t="s">
        <v>202</v>
      </c>
      <c r="H6810" t="s">
        <v>202</v>
      </c>
      <c r="I6810" t="s">
        <v>23</v>
      </c>
      <c r="J6810" t="s">
        <v>202</v>
      </c>
      <c r="K6810" s="2" t="s">
        <v>3366</v>
      </c>
      <c r="L6810" t="s">
        <v>26</v>
      </c>
      <c r="M6810">
        <v>353627</v>
      </c>
      <c r="N6810">
        <v>1</v>
      </c>
      <c r="O6810" s="3">
        <v>3200</v>
      </c>
      <c r="P6810">
        <v>1</v>
      </c>
      <c r="Q6810" s="5">
        <f t="shared" si="318"/>
        <v>2689.0756302521008</v>
      </c>
      <c r="R6810" s="5">
        <f t="shared" si="319"/>
        <v>1</v>
      </c>
      <c r="S6810" s="5">
        <f t="shared" si="320"/>
        <v>2688.0756302521008</v>
      </c>
    </row>
    <row r="6811" spans="1:19" hidden="1" x14ac:dyDescent="0.3">
      <c r="A6811">
        <v>210</v>
      </c>
      <c r="B6811" t="s">
        <v>6520</v>
      </c>
      <c r="C6811" t="s">
        <v>6260</v>
      </c>
      <c r="D6811" s="2" t="s">
        <v>6261</v>
      </c>
      <c r="E6811" t="s">
        <v>1111</v>
      </c>
      <c r="F6811" t="s">
        <v>20</v>
      </c>
      <c r="G6811" t="s">
        <v>21</v>
      </c>
      <c r="H6811" t="s">
        <v>199</v>
      </c>
      <c r="I6811" t="s">
        <v>23</v>
      </c>
      <c r="J6811" t="s">
        <v>35</v>
      </c>
      <c r="K6811" s="2" t="s">
        <v>3366</v>
      </c>
      <c r="L6811" t="s">
        <v>26</v>
      </c>
      <c r="M6811">
        <v>353627</v>
      </c>
      <c r="N6811">
        <v>1</v>
      </c>
      <c r="O6811" s="3">
        <v>49990</v>
      </c>
      <c r="P6811" s="3">
        <v>31396</v>
      </c>
      <c r="Q6811" s="5">
        <f t="shared" si="318"/>
        <v>42008.403361344543</v>
      </c>
      <c r="R6811" s="5">
        <f t="shared" si="319"/>
        <v>31396</v>
      </c>
      <c r="S6811" s="5">
        <f t="shared" si="320"/>
        <v>10612.403361344543</v>
      </c>
    </row>
    <row r="6812" spans="1:19" hidden="1" x14ac:dyDescent="0.3">
      <c r="A6812">
        <v>210</v>
      </c>
      <c r="B6812" t="s">
        <v>6520</v>
      </c>
      <c r="C6812" t="s">
        <v>5309</v>
      </c>
      <c r="D6812" s="2" t="s">
        <v>5310</v>
      </c>
      <c r="E6812" t="s">
        <v>2936</v>
      </c>
      <c r="F6812" t="s">
        <v>20</v>
      </c>
      <c r="G6812" t="s">
        <v>338</v>
      </c>
      <c r="H6812">
        <v>25357</v>
      </c>
      <c r="I6812" t="s">
        <v>23</v>
      </c>
      <c r="J6812" t="s">
        <v>35</v>
      </c>
      <c r="K6812" s="2" t="s">
        <v>3366</v>
      </c>
      <c r="L6812" t="s">
        <v>26</v>
      </c>
      <c r="M6812">
        <v>353628</v>
      </c>
      <c r="N6812">
        <v>1</v>
      </c>
      <c r="O6812" s="3">
        <v>79950</v>
      </c>
      <c r="P6812" s="3">
        <v>24482</v>
      </c>
      <c r="Q6812" s="5">
        <f t="shared" si="318"/>
        <v>67184.873949579836</v>
      </c>
      <c r="R6812" s="5">
        <f t="shared" si="319"/>
        <v>24482</v>
      </c>
      <c r="S6812" s="5">
        <f t="shared" si="320"/>
        <v>42702.873949579836</v>
      </c>
    </row>
    <row r="6813" spans="1:19" hidden="1" x14ac:dyDescent="0.3">
      <c r="A6813">
        <v>210</v>
      </c>
      <c r="B6813" t="s">
        <v>6520</v>
      </c>
      <c r="C6813" t="s">
        <v>5887</v>
      </c>
      <c r="D6813" s="2" t="s">
        <v>5888</v>
      </c>
      <c r="E6813" t="s">
        <v>2298</v>
      </c>
      <c r="F6813" t="s">
        <v>20</v>
      </c>
      <c r="G6813" t="s">
        <v>21</v>
      </c>
      <c r="H6813" t="s">
        <v>2189</v>
      </c>
      <c r="I6813" t="s">
        <v>23</v>
      </c>
      <c r="J6813" t="s">
        <v>40</v>
      </c>
      <c r="K6813" s="2" t="s">
        <v>3366</v>
      </c>
      <c r="L6813" t="s">
        <v>26</v>
      </c>
      <c r="M6813">
        <v>353629</v>
      </c>
      <c r="N6813">
        <v>1</v>
      </c>
      <c r="O6813" s="3">
        <v>48710</v>
      </c>
      <c r="P6813" s="3">
        <v>20786</v>
      </c>
      <c r="Q6813" s="5">
        <f t="shared" si="318"/>
        <v>40932.773109243702</v>
      </c>
      <c r="R6813" s="5">
        <f t="shared" si="319"/>
        <v>20786</v>
      </c>
      <c r="S6813" s="5">
        <f t="shared" si="320"/>
        <v>20146.773109243702</v>
      </c>
    </row>
    <row r="6814" spans="1:19" hidden="1" x14ac:dyDescent="0.3">
      <c r="A6814">
        <v>210</v>
      </c>
      <c r="B6814" t="s">
        <v>6520</v>
      </c>
      <c r="C6814" t="s">
        <v>3054</v>
      </c>
      <c r="D6814" s="2" t="s">
        <v>3055</v>
      </c>
      <c r="E6814" t="s">
        <v>2870</v>
      </c>
      <c r="F6814" t="s">
        <v>20</v>
      </c>
      <c r="G6814" t="s">
        <v>21</v>
      </c>
      <c r="H6814" t="s">
        <v>30</v>
      </c>
      <c r="I6814" t="s">
        <v>23</v>
      </c>
      <c r="J6814" t="s">
        <v>35</v>
      </c>
      <c r="K6814" s="2" t="s">
        <v>3366</v>
      </c>
      <c r="L6814" t="s">
        <v>26</v>
      </c>
      <c r="M6814">
        <v>353630</v>
      </c>
      <c r="N6814">
        <v>1</v>
      </c>
      <c r="O6814" s="3">
        <v>79950</v>
      </c>
      <c r="P6814" s="3">
        <v>30749</v>
      </c>
      <c r="Q6814" s="5">
        <f t="shared" si="318"/>
        <v>67184.873949579836</v>
      </c>
      <c r="R6814" s="5">
        <f t="shared" si="319"/>
        <v>30749</v>
      </c>
      <c r="S6814" s="5">
        <f t="shared" si="320"/>
        <v>36435.873949579836</v>
      </c>
    </row>
    <row r="6815" spans="1:19" hidden="1" x14ac:dyDescent="0.3">
      <c r="A6815">
        <v>210</v>
      </c>
      <c r="B6815" t="s">
        <v>6520</v>
      </c>
      <c r="C6815" t="s">
        <v>423</v>
      </c>
      <c r="D6815" s="2" t="s">
        <v>424</v>
      </c>
      <c r="E6815" t="s">
        <v>425</v>
      </c>
      <c r="F6815" t="s">
        <v>20</v>
      </c>
      <c r="G6815" t="s">
        <v>21</v>
      </c>
      <c r="H6815" t="s">
        <v>22</v>
      </c>
      <c r="I6815" t="s">
        <v>23</v>
      </c>
      <c r="J6815" t="s">
        <v>24</v>
      </c>
      <c r="K6815" s="2" t="s">
        <v>3366</v>
      </c>
      <c r="L6815" t="s">
        <v>26</v>
      </c>
      <c r="M6815">
        <v>353631</v>
      </c>
      <c r="N6815">
        <v>1</v>
      </c>
      <c r="O6815" s="3">
        <v>79950</v>
      </c>
      <c r="P6815" s="3">
        <v>27848</v>
      </c>
      <c r="Q6815" s="5">
        <f t="shared" si="318"/>
        <v>67184.873949579836</v>
      </c>
      <c r="R6815" s="5">
        <f t="shared" si="319"/>
        <v>27848</v>
      </c>
      <c r="S6815" s="5">
        <f t="shared" si="320"/>
        <v>39336.873949579836</v>
      </c>
    </row>
    <row r="6816" spans="1:19" hidden="1" x14ac:dyDescent="0.3">
      <c r="A6816">
        <v>210</v>
      </c>
      <c r="B6816" t="s">
        <v>6520</v>
      </c>
      <c r="C6816" t="s">
        <v>4504</v>
      </c>
      <c r="D6816" s="2" t="s">
        <v>4505</v>
      </c>
      <c r="E6816" t="s">
        <v>3651</v>
      </c>
      <c r="F6816" t="s">
        <v>20</v>
      </c>
      <c r="G6816" t="s">
        <v>21</v>
      </c>
      <c r="H6816" t="s">
        <v>970</v>
      </c>
      <c r="I6816" t="s">
        <v>23</v>
      </c>
      <c r="J6816" t="s">
        <v>40</v>
      </c>
      <c r="K6816" s="2" t="s">
        <v>3366</v>
      </c>
      <c r="L6816" t="s">
        <v>26</v>
      </c>
      <c r="M6816">
        <v>353631</v>
      </c>
      <c r="N6816">
        <v>1</v>
      </c>
      <c r="O6816" s="3">
        <v>59950</v>
      </c>
      <c r="P6816" s="3">
        <v>18805</v>
      </c>
      <c r="Q6816" s="5">
        <f t="shared" si="318"/>
        <v>50378.151260504201</v>
      </c>
      <c r="R6816" s="5">
        <f t="shared" si="319"/>
        <v>18805</v>
      </c>
      <c r="S6816" s="5">
        <f t="shared" si="320"/>
        <v>31573.151260504201</v>
      </c>
    </row>
    <row r="6817" spans="1:19" hidden="1" x14ac:dyDescent="0.3">
      <c r="A6817">
        <v>210</v>
      </c>
      <c r="B6817" t="s">
        <v>6520</v>
      </c>
      <c r="C6817" t="s">
        <v>3416</v>
      </c>
      <c r="D6817" s="2" t="s">
        <v>3417</v>
      </c>
      <c r="E6817" t="s">
        <v>3418</v>
      </c>
      <c r="F6817" t="s">
        <v>20</v>
      </c>
      <c r="G6817" t="s">
        <v>21</v>
      </c>
      <c r="H6817" t="s">
        <v>1418</v>
      </c>
      <c r="I6817" t="s">
        <v>23</v>
      </c>
      <c r="J6817" t="s">
        <v>35</v>
      </c>
      <c r="K6817" s="2" t="s">
        <v>3366</v>
      </c>
      <c r="L6817" t="s">
        <v>26</v>
      </c>
      <c r="M6817">
        <v>353632</v>
      </c>
      <c r="N6817">
        <v>1</v>
      </c>
      <c r="O6817" s="3">
        <v>94950</v>
      </c>
      <c r="P6817" s="3">
        <v>30749</v>
      </c>
      <c r="Q6817" s="5">
        <f t="shared" si="318"/>
        <v>79789.915966386558</v>
      </c>
      <c r="R6817" s="5">
        <f t="shared" si="319"/>
        <v>30749</v>
      </c>
      <c r="S6817" s="5">
        <f t="shared" si="320"/>
        <v>49040.915966386558</v>
      </c>
    </row>
    <row r="6818" spans="1:19" hidden="1" x14ac:dyDescent="0.3">
      <c r="A6818">
        <v>210</v>
      </c>
      <c r="B6818" t="s">
        <v>6520</v>
      </c>
      <c r="C6818" t="s">
        <v>6439</v>
      </c>
      <c r="D6818" s="2" t="s">
        <v>6440</v>
      </c>
      <c r="E6818" t="s">
        <v>2993</v>
      </c>
      <c r="F6818" t="s">
        <v>20</v>
      </c>
      <c r="G6818" t="s">
        <v>21</v>
      </c>
      <c r="H6818" t="s">
        <v>1887</v>
      </c>
      <c r="I6818" t="s">
        <v>23</v>
      </c>
      <c r="J6818" t="s">
        <v>40</v>
      </c>
      <c r="K6818" s="2" t="s">
        <v>3366</v>
      </c>
      <c r="L6818" t="s">
        <v>26</v>
      </c>
      <c r="M6818">
        <v>353633</v>
      </c>
      <c r="N6818">
        <v>1</v>
      </c>
      <c r="O6818" s="3">
        <v>69950</v>
      </c>
      <c r="P6818" s="3">
        <v>22018</v>
      </c>
      <c r="Q6818" s="5">
        <f t="shared" si="318"/>
        <v>58781.512605042022</v>
      </c>
      <c r="R6818" s="5">
        <f t="shared" si="319"/>
        <v>22018</v>
      </c>
      <c r="S6818" s="5">
        <f t="shared" si="320"/>
        <v>36763.512605042022</v>
      </c>
    </row>
    <row r="6819" spans="1:19" hidden="1" x14ac:dyDescent="0.3">
      <c r="A6819">
        <v>210</v>
      </c>
      <c r="B6819" t="s">
        <v>6520</v>
      </c>
      <c r="C6819" t="s">
        <v>3034</v>
      </c>
      <c r="D6819" s="2" t="s">
        <v>3035</v>
      </c>
      <c r="E6819" t="s">
        <v>3036</v>
      </c>
      <c r="F6819" t="s">
        <v>20</v>
      </c>
      <c r="G6819" t="s">
        <v>338</v>
      </c>
      <c r="H6819">
        <v>25273</v>
      </c>
      <c r="I6819" t="s">
        <v>23</v>
      </c>
      <c r="J6819" t="s">
        <v>35</v>
      </c>
      <c r="K6819" s="2" t="s">
        <v>3366</v>
      </c>
      <c r="L6819" t="s">
        <v>26</v>
      </c>
      <c r="M6819">
        <v>353634</v>
      </c>
      <c r="N6819">
        <v>1</v>
      </c>
      <c r="O6819" s="3">
        <v>99950</v>
      </c>
      <c r="P6819" s="3">
        <v>32658</v>
      </c>
      <c r="Q6819" s="5">
        <f t="shared" si="318"/>
        <v>83991.596638655465</v>
      </c>
      <c r="R6819" s="5">
        <f t="shared" si="319"/>
        <v>32658</v>
      </c>
      <c r="S6819" s="5">
        <f t="shared" si="320"/>
        <v>51333.596638655465</v>
      </c>
    </row>
    <row r="6820" spans="1:19" hidden="1" x14ac:dyDescent="0.3">
      <c r="A6820">
        <v>210</v>
      </c>
      <c r="B6820" t="s">
        <v>6520</v>
      </c>
      <c r="C6820" t="s">
        <v>3133</v>
      </c>
      <c r="D6820" s="2" t="s">
        <v>3134</v>
      </c>
      <c r="E6820" t="s">
        <v>3135</v>
      </c>
      <c r="F6820" t="s">
        <v>377</v>
      </c>
      <c r="G6820" t="s">
        <v>21</v>
      </c>
      <c r="H6820" t="s">
        <v>378</v>
      </c>
      <c r="I6820" t="s">
        <v>23</v>
      </c>
      <c r="J6820" t="s">
        <v>2638</v>
      </c>
      <c r="K6820" s="2" t="s">
        <v>3366</v>
      </c>
      <c r="L6820" t="s">
        <v>26</v>
      </c>
      <c r="M6820">
        <v>353635</v>
      </c>
      <c r="N6820">
        <v>1</v>
      </c>
      <c r="O6820" s="3">
        <v>3450</v>
      </c>
      <c r="P6820" s="3">
        <v>1410</v>
      </c>
      <c r="Q6820" s="5">
        <f t="shared" si="318"/>
        <v>2899.1596638655465</v>
      </c>
      <c r="R6820" s="5">
        <f t="shared" si="319"/>
        <v>1410</v>
      </c>
      <c r="S6820" s="5">
        <f t="shared" si="320"/>
        <v>1489.1596638655465</v>
      </c>
    </row>
    <row r="6821" spans="1:19" hidden="1" x14ac:dyDescent="0.3">
      <c r="A6821">
        <v>210</v>
      </c>
      <c r="B6821" t="s">
        <v>6520</v>
      </c>
      <c r="C6821" t="s">
        <v>2321</v>
      </c>
      <c r="D6821" s="2" t="s">
        <v>2322</v>
      </c>
      <c r="E6821" t="s">
        <v>2323</v>
      </c>
      <c r="F6821" t="s">
        <v>20</v>
      </c>
      <c r="G6821" t="s">
        <v>21</v>
      </c>
      <c r="H6821" t="s">
        <v>1887</v>
      </c>
      <c r="I6821" t="s">
        <v>23</v>
      </c>
      <c r="J6821" t="s">
        <v>40</v>
      </c>
      <c r="K6821" s="2" t="s">
        <v>3366</v>
      </c>
      <c r="L6821" t="s">
        <v>26</v>
      </c>
      <c r="M6821">
        <v>353636</v>
      </c>
      <c r="N6821">
        <v>1</v>
      </c>
      <c r="O6821" s="3">
        <v>69950</v>
      </c>
      <c r="P6821" s="3">
        <v>21623</v>
      </c>
      <c r="Q6821" s="5">
        <f t="shared" si="318"/>
        <v>58781.512605042022</v>
      </c>
      <c r="R6821" s="5">
        <f t="shared" si="319"/>
        <v>21623</v>
      </c>
      <c r="S6821" s="5">
        <f t="shared" si="320"/>
        <v>37158.512605042022</v>
      </c>
    </row>
    <row r="6822" spans="1:19" hidden="1" x14ac:dyDescent="0.3">
      <c r="A6822">
        <v>210</v>
      </c>
      <c r="B6822" t="s">
        <v>6520</v>
      </c>
      <c r="C6822" t="s">
        <v>3854</v>
      </c>
      <c r="D6822" s="2" t="s">
        <v>3855</v>
      </c>
      <c r="E6822" t="s">
        <v>3091</v>
      </c>
      <c r="F6822" t="s">
        <v>20</v>
      </c>
      <c r="G6822" t="s">
        <v>338</v>
      </c>
      <c r="H6822">
        <v>26266</v>
      </c>
      <c r="I6822" t="s">
        <v>23</v>
      </c>
      <c r="J6822" t="s">
        <v>35</v>
      </c>
      <c r="K6822" s="2" t="s">
        <v>3366</v>
      </c>
      <c r="L6822" t="s">
        <v>26</v>
      </c>
      <c r="M6822">
        <v>353636</v>
      </c>
      <c r="N6822">
        <v>1</v>
      </c>
      <c r="O6822" s="3">
        <v>79950</v>
      </c>
      <c r="P6822" s="3">
        <v>25300</v>
      </c>
      <c r="Q6822" s="5">
        <f t="shared" si="318"/>
        <v>67184.873949579836</v>
      </c>
      <c r="R6822" s="5">
        <f t="shared" si="319"/>
        <v>25300</v>
      </c>
      <c r="S6822" s="5">
        <f t="shared" si="320"/>
        <v>41884.873949579836</v>
      </c>
    </row>
    <row r="6823" spans="1:19" hidden="1" x14ac:dyDescent="0.3">
      <c r="A6823">
        <v>210</v>
      </c>
      <c r="B6823" t="s">
        <v>6520</v>
      </c>
      <c r="C6823" t="s">
        <v>2948</v>
      </c>
      <c r="D6823" s="2" t="s">
        <v>2949</v>
      </c>
      <c r="E6823" t="s">
        <v>2226</v>
      </c>
      <c r="F6823" t="s">
        <v>20</v>
      </c>
      <c r="G6823" t="s">
        <v>21</v>
      </c>
      <c r="H6823" t="s">
        <v>53</v>
      </c>
      <c r="I6823" t="s">
        <v>23</v>
      </c>
      <c r="J6823" t="s">
        <v>49</v>
      </c>
      <c r="K6823" s="2" t="s">
        <v>1958</v>
      </c>
      <c r="L6823" t="s">
        <v>26</v>
      </c>
      <c r="M6823">
        <v>353637</v>
      </c>
      <c r="N6823">
        <v>1</v>
      </c>
      <c r="O6823" s="3">
        <v>69950</v>
      </c>
      <c r="P6823" s="3">
        <v>21044</v>
      </c>
      <c r="Q6823" s="5">
        <f t="shared" si="318"/>
        <v>58781.512605042022</v>
      </c>
      <c r="R6823" s="5">
        <f t="shared" si="319"/>
        <v>21044</v>
      </c>
      <c r="S6823" s="5">
        <f t="shared" si="320"/>
        <v>37737.512605042022</v>
      </c>
    </row>
    <row r="6824" spans="1:19" hidden="1" x14ac:dyDescent="0.3">
      <c r="A6824">
        <v>210</v>
      </c>
      <c r="B6824" t="s">
        <v>6520</v>
      </c>
      <c r="C6824" t="s">
        <v>6003</v>
      </c>
      <c r="D6824" s="2" t="s">
        <v>6004</v>
      </c>
      <c r="E6824" t="s">
        <v>4038</v>
      </c>
      <c r="F6824" t="s">
        <v>20</v>
      </c>
      <c r="G6824" t="s">
        <v>21</v>
      </c>
      <c r="H6824" t="s">
        <v>2469</v>
      </c>
      <c r="I6824" t="s">
        <v>23</v>
      </c>
      <c r="J6824" t="s">
        <v>35</v>
      </c>
      <c r="K6824" s="2" t="s">
        <v>1958</v>
      </c>
      <c r="L6824" t="s">
        <v>26</v>
      </c>
      <c r="M6824">
        <v>353638</v>
      </c>
      <c r="N6824">
        <v>1</v>
      </c>
      <c r="O6824" s="3">
        <v>69990</v>
      </c>
      <c r="P6824" s="3">
        <v>29635</v>
      </c>
      <c r="Q6824" s="5">
        <f t="shared" si="318"/>
        <v>58815.126050420171</v>
      </c>
      <c r="R6824" s="5">
        <f t="shared" si="319"/>
        <v>29635</v>
      </c>
      <c r="S6824" s="5">
        <f t="shared" si="320"/>
        <v>29180.126050420171</v>
      </c>
    </row>
    <row r="6825" spans="1:19" hidden="1" x14ac:dyDescent="0.3">
      <c r="A6825">
        <v>210</v>
      </c>
      <c r="B6825" t="s">
        <v>6520</v>
      </c>
      <c r="C6825" t="s">
        <v>6059</v>
      </c>
      <c r="D6825" s="2" t="s">
        <v>6060</v>
      </c>
      <c r="E6825" t="s">
        <v>3083</v>
      </c>
      <c r="F6825" t="s">
        <v>20</v>
      </c>
      <c r="G6825" t="s">
        <v>21</v>
      </c>
      <c r="H6825" t="s">
        <v>2469</v>
      </c>
      <c r="I6825" t="s">
        <v>23</v>
      </c>
      <c r="J6825" t="s">
        <v>35</v>
      </c>
      <c r="K6825" s="2" t="s">
        <v>1958</v>
      </c>
      <c r="L6825" t="s">
        <v>26</v>
      </c>
      <c r="M6825">
        <v>353638</v>
      </c>
      <c r="N6825">
        <v>1</v>
      </c>
      <c r="O6825" s="3">
        <v>69990</v>
      </c>
      <c r="P6825" s="3">
        <v>29635</v>
      </c>
      <c r="Q6825" s="5">
        <f t="shared" si="318"/>
        <v>58815.126050420171</v>
      </c>
      <c r="R6825" s="5">
        <f t="shared" si="319"/>
        <v>29635</v>
      </c>
      <c r="S6825" s="5">
        <f t="shared" si="320"/>
        <v>29180.126050420171</v>
      </c>
    </row>
    <row r="6826" spans="1:19" hidden="1" x14ac:dyDescent="0.3">
      <c r="A6826">
        <v>210</v>
      </c>
      <c r="B6826" t="s">
        <v>6520</v>
      </c>
      <c r="C6826" t="s">
        <v>1761</v>
      </c>
      <c r="D6826" s="2" t="s">
        <v>1762</v>
      </c>
      <c r="E6826" t="s">
        <v>1763</v>
      </c>
      <c r="F6826" t="s">
        <v>377</v>
      </c>
      <c r="G6826" t="s">
        <v>21</v>
      </c>
      <c r="H6826" t="s">
        <v>378</v>
      </c>
      <c r="I6826" t="s">
        <v>23</v>
      </c>
      <c r="J6826" t="s">
        <v>379</v>
      </c>
      <c r="K6826" s="2" t="s">
        <v>1958</v>
      </c>
      <c r="L6826" t="s">
        <v>26</v>
      </c>
      <c r="M6826">
        <v>353638</v>
      </c>
      <c r="N6826">
        <v>1</v>
      </c>
      <c r="O6826" s="3">
        <v>5950</v>
      </c>
      <c r="P6826" s="3">
        <v>3279</v>
      </c>
      <c r="Q6826" s="5">
        <f t="shared" si="318"/>
        <v>5000</v>
      </c>
      <c r="R6826" s="5">
        <f t="shared" si="319"/>
        <v>3279</v>
      </c>
      <c r="S6826" s="5">
        <f t="shared" si="320"/>
        <v>1721</v>
      </c>
    </row>
    <row r="6827" spans="1:19" hidden="1" x14ac:dyDescent="0.3">
      <c r="A6827">
        <v>210</v>
      </c>
      <c r="B6827" t="s">
        <v>6520</v>
      </c>
      <c r="C6827" t="s">
        <v>3251</v>
      </c>
      <c r="D6827" s="2" t="s">
        <v>3252</v>
      </c>
      <c r="E6827" t="s">
        <v>2226</v>
      </c>
      <c r="F6827" t="s">
        <v>20</v>
      </c>
      <c r="G6827" t="s">
        <v>21</v>
      </c>
      <c r="H6827" t="s">
        <v>53</v>
      </c>
      <c r="I6827" t="s">
        <v>23</v>
      </c>
      <c r="J6827" t="s">
        <v>49</v>
      </c>
      <c r="K6827" s="2" t="s">
        <v>1958</v>
      </c>
      <c r="L6827" t="s">
        <v>26</v>
      </c>
      <c r="M6827">
        <v>353639</v>
      </c>
      <c r="N6827">
        <v>1</v>
      </c>
      <c r="O6827" s="3">
        <v>69950</v>
      </c>
      <c r="P6827" s="3">
        <v>20749</v>
      </c>
      <c r="Q6827" s="5">
        <f t="shared" si="318"/>
        <v>58781.512605042022</v>
      </c>
      <c r="R6827" s="5">
        <f t="shared" si="319"/>
        <v>20749</v>
      </c>
      <c r="S6827" s="5">
        <f t="shared" si="320"/>
        <v>38032.512605042022</v>
      </c>
    </row>
    <row r="6828" spans="1:19" hidden="1" x14ac:dyDescent="0.3">
      <c r="A6828">
        <v>210</v>
      </c>
      <c r="B6828" t="s">
        <v>6520</v>
      </c>
      <c r="C6828" t="s">
        <v>5499</v>
      </c>
      <c r="D6828" s="2" t="s">
        <v>5500</v>
      </c>
      <c r="E6828" t="s">
        <v>3175</v>
      </c>
      <c r="F6828" t="s">
        <v>20</v>
      </c>
      <c r="G6828" t="s">
        <v>21</v>
      </c>
      <c r="H6828" t="s">
        <v>625</v>
      </c>
      <c r="I6828" t="s">
        <v>23</v>
      </c>
      <c r="J6828" t="s">
        <v>35</v>
      </c>
      <c r="K6828" s="2" t="s">
        <v>1958</v>
      </c>
      <c r="L6828" t="s">
        <v>26</v>
      </c>
      <c r="M6828">
        <v>353640</v>
      </c>
      <c r="N6828">
        <v>1</v>
      </c>
      <c r="O6828" s="3">
        <v>49990</v>
      </c>
      <c r="P6828" s="3">
        <v>24956</v>
      </c>
      <c r="Q6828" s="5">
        <f t="shared" si="318"/>
        <v>42008.403361344543</v>
      </c>
      <c r="R6828" s="5">
        <f t="shared" si="319"/>
        <v>24956</v>
      </c>
      <c r="S6828" s="5">
        <f t="shared" si="320"/>
        <v>17052.403361344543</v>
      </c>
    </row>
    <row r="6829" spans="1:19" hidden="1" x14ac:dyDescent="0.3">
      <c r="A6829">
        <v>210</v>
      </c>
      <c r="B6829" t="s">
        <v>6520</v>
      </c>
      <c r="C6829" t="s">
        <v>5664</v>
      </c>
      <c r="D6829" s="2" t="s">
        <v>5665</v>
      </c>
      <c r="E6829" t="s">
        <v>3656</v>
      </c>
      <c r="F6829" t="s">
        <v>20</v>
      </c>
      <c r="G6829" t="s">
        <v>21</v>
      </c>
      <c r="H6829" t="s">
        <v>614</v>
      </c>
      <c r="I6829" t="s">
        <v>23</v>
      </c>
      <c r="J6829" t="s">
        <v>40</v>
      </c>
      <c r="K6829" s="2" t="s">
        <v>1958</v>
      </c>
      <c r="L6829" t="s">
        <v>26</v>
      </c>
      <c r="M6829">
        <v>353641</v>
      </c>
      <c r="N6829">
        <v>1</v>
      </c>
      <c r="O6829" s="3">
        <v>44990</v>
      </c>
      <c r="P6829" s="3">
        <v>14265</v>
      </c>
      <c r="Q6829" s="5">
        <f t="shared" si="318"/>
        <v>37806.722689075636</v>
      </c>
      <c r="R6829" s="5">
        <f t="shared" si="319"/>
        <v>14265</v>
      </c>
      <c r="S6829" s="5">
        <f t="shared" si="320"/>
        <v>23541.722689075636</v>
      </c>
    </row>
    <row r="6830" spans="1:19" hidden="1" x14ac:dyDescent="0.3">
      <c r="A6830">
        <v>210</v>
      </c>
      <c r="B6830" t="s">
        <v>6520</v>
      </c>
      <c r="C6830" t="s">
        <v>3396</v>
      </c>
      <c r="D6830" s="2" t="s">
        <v>3397</v>
      </c>
      <c r="E6830" t="s">
        <v>494</v>
      </c>
      <c r="F6830" t="s">
        <v>20</v>
      </c>
      <c r="G6830" t="s">
        <v>21</v>
      </c>
      <c r="H6830" t="s">
        <v>317</v>
      </c>
      <c r="I6830" t="s">
        <v>23</v>
      </c>
      <c r="J6830" t="s">
        <v>35</v>
      </c>
      <c r="K6830" s="2" t="s">
        <v>1958</v>
      </c>
      <c r="L6830" t="s">
        <v>26</v>
      </c>
      <c r="M6830">
        <v>353641</v>
      </c>
      <c r="N6830">
        <v>-1</v>
      </c>
      <c r="O6830" s="3">
        <v>-69950</v>
      </c>
      <c r="P6830" s="3">
        <v>23619</v>
      </c>
      <c r="Q6830" s="5">
        <f t="shared" si="318"/>
        <v>-58781.512605042022</v>
      </c>
      <c r="R6830" s="5">
        <f t="shared" si="319"/>
        <v>-23619</v>
      </c>
      <c r="S6830" s="5">
        <f t="shared" si="320"/>
        <v>-35162.512605042022</v>
      </c>
    </row>
    <row r="6831" spans="1:19" hidden="1" x14ac:dyDescent="0.3">
      <c r="A6831">
        <v>210</v>
      </c>
      <c r="B6831" t="s">
        <v>6520</v>
      </c>
      <c r="C6831" t="s">
        <v>3401</v>
      </c>
      <c r="D6831" s="2" t="s">
        <v>3402</v>
      </c>
      <c r="E6831" t="s">
        <v>3403</v>
      </c>
      <c r="F6831" t="s">
        <v>377</v>
      </c>
      <c r="G6831" t="s">
        <v>21</v>
      </c>
      <c r="H6831" t="s">
        <v>378</v>
      </c>
      <c r="I6831" t="s">
        <v>23</v>
      </c>
      <c r="J6831" t="s">
        <v>3297</v>
      </c>
      <c r="K6831" s="2" t="s">
        <v>1958</v>
      </c>
      <c r="L6831" t="s">
        <v>26</v>
      </c>
      <c r="M6831">
        <v>353641</v>
      </c>
      <c r="N6831">
        <v>1</v>
      </c>
      <c r="O6831">
        <v>500</v>
      </c>
      <c r="P6831">
        <v>418</v>
      </c>
      <c r="Q6831" s="5">
        <f t="shared" si="318"/>
        <v>420.1680672268908</v>
      </c>
      <c r="R6831" s="5">
        <f t="shared" si="319"/>
        <v>418</v>
      </c>
      <c r="S6831" s="5">
        <f t="shared" si="320"/>
        <v>2.1680672268907983</v>
      </c>
    </row>
    <row r="6832" spans="1:19" hidden="1" x14ac:dyDescent="0.3">
      <c r="A6832">
        <v>210</v>
      </c>
      <c r="B6832" t="s">
        <v>6520</v>
      </c>
      <c r="C6832" t="s">
        <v>5619</v>
      </c>
      <c r="D6832" s="2" t="s">
        <v>5620</v>
      </c>
      <c r="E6832" t="s">
        <v>5621</v>
      </c>
      <c r="F6832" t="s">
        <v>377</v>
      </c>
      <c r="G6832" t="s">
        <v>21</v>
      </c>
      <c r="H6832" t="s">
        <v>378</v>
      </c>
      <c r="I6832" t="s">
        <v>23</v>
      </c>
      <c r="J6832" t="s">
        <v>2620</v>
      </c>
      <c r="K6832" s="2" t="s">
        <v>1958</v>
      </c>
      <c r="L6832" t="s">
        <v>26</v>
      </c>
      <c r="M6832">
        <v>353641</v>
      </c>
      <c r="N6832">
        <v>1</v>
      </c>
      <c r="O6832" s="3">
        <v>24950</v>
      </c>
      <c r="P6832" s="3">
        <v>12110</v>
      </c>
      <c r="Q6832" s="5">
        <f t="shared" si="318"/>
        <v>20966.386554621851</v>
      </c>
      <c r="R6832" s="5">
        <f t="shared" si="319"/>
        <v>12110</v>
      </c>
      <c r="S6832" s="5">
        <f t="shared" si="320"/>
        <v>8856.3865546218512</v>
      </c>
    </row>
    <row r="6833" spans="1:19" hidden="1" x14ac:dyDescent="0.3">
      <c r="A6833">
        <v>210</v>
      </c>
      <c r="B6833" t="s">
        <v>6520</v>
      </c>
      <c r="C6833" t="s">
        <v>3989</v>
      </c>
      <c r="D6833" s="2" t="s">
        <v>3990</v>
      </c>
      <c r="E6833" t="s">
        <v>2298</v>
      </c>
      <c r="F6833" t="s">
        <v>20</v>
      </c>
      <c r="G6833" t="s">
        <v>21</v>
      </c>
      <c r="H6833" t="s">
        <v>2189</v>
      </c>
      <c r="I6833" t="s">
        <v>23</v>
      </c>
      <c r="J6833" t="s">
        <v>40</v>
      </c>
      <c r="K6833" s="2" t="s">
        <v>1958</v>
      </c>
      <c r="L6833" t="s">
        <v>26</v>
      </c>
      <c r="M6833">
        <v>353642</v>
      </c>
      <c r="N6833">
        <v>1</v>
      </c>
      <c r="O6833" s="3">
        <v>64950</v>
      </c>
      <c r="P6833" s="3">
        <v>20787</v>
      </c>
      <c r="Q6833" s="5">
        <f t="shared" si="318"/>
        <v>54579.831932773115</v>
      </c>
      <c r="R6833" s="5">
        <f t="shared" si="319"/>
        <v>20787</v>
      </c>
      <c r="S6833" s="5">
        <f t="shared" si="320"/>
        <v>33792.831932773115</v>
      </c>
    </row>
    <row r="6834" spans="1:19" hidden="1" x14ac:dyDescent="0.3">
      <c r="A6834">
        <v>210</v>
      </c>
      <c r="B6834" t="s">
        <v>6520</v>
      </c>
      <c r="C6834" t="s">
        <v>4294</v>
      </c>
      <c r="D6834" s="2" t="s">
        <v>4295</v>
      </c>
      <c r="E6834" t="s">
        <v>4296</v>
      </c>
      <c r="F6834" t="s">
        <v>20</v>
      </c>
      <c r="G6834" t="s">
        <v>338</v>
      </c>
      <c r="H6834">
        <v>25321</v>
      </c>
      <c r="I6834" t="s">
        <v>23</v>
      </c>
      <c r="J6834" t="s">
        <v>35</v>
      </c>
      <c r="K6834" s="2" t="s">
        <v>1958</v>
      </c>
      <c r="L6834" t="s">
        <v>26</v>
      </c>
      <c r="M6834">
        <v>353643</v>
      </c>
      <c r="N6834">
        <v>1</v>
      </c>
      <c r="O6834" s="3">
        <v>109950</v>
      </c>
      <c r="P6834" s="3">
        <v>33748</v>
      </c>
      <c r="Q6834" s="5">
        <f t="shared" si="318"/>
        <v>92394.957983193279</v>
      </c>
      <c r="R6834" s="5">
        <f t="shared" si="319"/>
        <v>33748</v>
      </c>
      <c r="S6834" s="5">
        <f t="shared" si="320"/>
        <v>58646.957983193279</v>
      </c>
    </row>
    <row r="6835" spans="1:19" hidden="1" x14ac:dyDescent="0.3">
      <c r="A6835">
        <v>210</v>
      </c>
      <c r="B6835" t="s">
        <v>6520</v>
      </c>
      <c r="C6835" t="s">
        <v>6671</v>
      </c>
      <c r="D6835" s="2" t="s">
        <v>6672</v>
      </c>
      <c r="E6835" t="s">
        <v>1151</v>
      </c>
      <c r="F6835" t="s">
        <v>20</v>
      </c>
      <c r="G6835" t="s">
        <v>338</v>
      </c>
      <c r="H6835">
        <v>25362</v>
      </c>
      <c r="I6835" t="s">
        <v>23</v>
      </c>
      <c r="J6835" t="s">
        <v>35</v>
      </c>
      <c r="K6835" s="2" t="s">
        <v>1958</v>
      </c>
      <c r="L6835" t="s">
        <v>26</v>
      </c>
      <c r="M6835">
        <v>353644</v>
      </c>
      <c r="N6835">
        <v>1</v>
      </c>
      <c r="O6835" s="3">
        <v>59990</v>
      </c>
      <c r="P6835" s="3">
        <v>23473</v>
      </c>
      <c r="Q6835" s="5">
        <f t="shared" si="318"/>
        <v>50411.764705882357</v>
      </c>
      <c r="R6835" s="5">
        <f t="shared" si="319"/>
        <v>23473</v>
      </c>
      <c r="S6835" s="5">
        <f t="shared" si="320"/>
        <v>26938.764705882357</v>
      </c>
    </row>
    <row r="6836" spans="1:19" hidden="1" x14ac:dyDescent="0.3">
      <c r="A6836">
        <v>210</v>
      </c>
      <c r="B6836" t="s">
        <v>6520</v>
      </c>
      <c r="C6836" t="s">
        <v>3329</v>
      </c>
      <c r="D6836" s="2" t="s">
        <v>3330</v>
      </c>
      <c r="E6836" t="s">
        <v>2449</v>
      </c>
      <c r="F6836" t="s">
        <v>20</v>
      </c>
      <c r="G6836" t="s">
        <v>21</v>
      </c>
      <c r="H6836" t="s">
        <v>1703</v>
      </c>
      <c r="I6836" t="s">
        <v>23</v>
      </c>
      <c r="J6836" t="s">
        <v>49</v>
      </c>
      <c r="K6836" s="2" t="s">
        <v>2093</v>
      </c>
      <c r="L6836" t="s">
        <v>26</v>
      </c>
      <c r="M6836">
        <v>353645</v>
      </c>
      <c r="N6836">
        <v>1</v>
      </c>
      <c r="O6836" s="3">
        <v>74950</v>
      </c>
      <c r="P6836" s="3">
        <v>26457</v>
      </c>
      <c r="Q6836" s="5">
        <f t="shared" si="318"/>
        <v>62983.193277310929</v>
      </c>
      <c r="R6836" s="5">
        <f t="shared" si="319"/>
        <v>26457</v>
      </c>
      <c r="S6836" s="5">
        <f t="shared" si="320"/>
        <v>36526.193277310929</v>
      </c>
    </row>
    <row r="6837" spans="1:19" hidden="1" x14ac:dyDescent="0.3">
      <c r="A6837">
        <v>210</v>
      </c>
      <c r="B6837" t="s">
        <v>6520</v>
      </c>
      <c r="C6837" t="s">
        <v>2511</v>
      </c>
      <c r="D6837" s="2" t="s">
        <v>2512</v>
      </c>
      <c r="E6837" t="s">
        <v>2389</v>
      </c>
      <c r="F6837" t="s">
        <v>20</v>
      </c>
      <c r="G6837" t="s">
        <v>21</v>
      </c>
      <c r="H6837" t="s">
        <v>65</v>
      </c>
      <c r="I6837" t="s">
        <v>23</v>
      </c>
      <c r="J6837" t="s">
        <v>49</v>
      </c>
      <c r="K6837" s="2" t="s">
        <v>2093</v>
      </c>
      <c r="L6837" t="s">
        <v>26</v>
      </c>
      <c r="M6837">
        <v>353646</v>
      </c>
      <c r="N6837">
        <v>1</v>
      </c>
      <c r="O6837" s="3">
        <v>49990</v>
      </c>
      <c r="P6837" s="3">
        <v>23718</v>
      </c>
      <c r="Q6837" s="5">
        <f t="shared" si="318"/>
        <v>42008.403361344543</v>
      </c>
      <c r="R6837" s="5">
        <f t="shared" si="319"/>
        <v>23718</v>
      </c>
      <c r="S6837" s="5">
        <f t="shared" si="320"/>
        <v>18290.403361344543</v>
      </c>
    </row>
    <row r="6838" spans="1:19" hidden="1" x14ac:dyDescent="0.3">
      <c r="A6838">
        <v>210</v>
      </c>
      <c r="B6838" t="s">
        <v>6520</v>
      </c>
      <c r="C6838" t="s">
        <v>4028</v>
      </c>
      <c r="D6838" s="2" t="s">
        <v>4029</v>
      </c>
      <c r="E6838" t="s">
        <v>2160</v>
      </c>
      <c r="F6838" t="s">
        <v>20</v>
      </c>
      <c r="G6838" t="s">
        <v>21</v>
      </c>
      <c r="H6838" t="s">
        <v>970</v>
      </c>
      <c r="I6838" t="s">
        <v>23</v>
      </c>
      <c r="J6838" t="s">
        <v>40</v>
      </c>
      <c r="K6838" s="2" t="s">
        <v>2093</v>
      </c>
      <c r="L6838" t="s">
        <v>26</v>
      </c>
      <c r="M6838">
        <v>353647</v>
      </c>
      <c r="N6838">
        <v>1</v>
      </c>
      <c r="O6838" s="3">
        <v>49990</v>
      </c>
      <c r="P6838" s="3">
        <v>18249</v>
      </c>
      <c r="Q6838" s="5">
        <f t="shared" si="318"/>
        <v>42008.403361344543</v>
      </c>
      <c r="R6838" s="5">
        <f t="shared" si="319"/>
        <v>18249</v>
      </c>
      <c r="S6838" s="5">
        <f t="shared" si="320"/>
        <v>23759.403361344543</v>
      </c>
    </row>
    <row r="6839" spans="1:19" hidden="1" x14ac:dyDescent="0.3">
      <c r="A6839">
        <v>210</v>
      </c>
      <c r="B6839" t="s">
        <v>6520</v>
      </c>
      <c r="C6839" t="s">
        <v>6673</v>
      </c>
      <c r="D6839" s="2" t="s">
        <v>6674</v>
      </c>
      <c r="E6839" t="s">
        <v>5984</v>
      </c>
      <c r="F6839" t="s">
        <v>20</v>
      </c>
      <c r="G6839" t="s">
        <v>21</v>
      </c>
      <c r="H6839" t="s">
        <v>30</v>
      </c>
      <c r="I6839" t="s">
        <v>23</v>
      </c>
      <c r="J6839" t="s">
        <v>49</v>
      </c>
      <c r="K6839" s="2" t="s">
        <v>2093</v>
      </c>
      <c r="L6839" t="s">
        <v>26</v>
      </c>
      <c r="M6839">
        <v>353648</v>
      </c>
      <c r="N6839">
        <v>1</v>
      </c>
      <c r="O6839" s="3">
        <v>69950</v>
      </c>
      <c r="P6839" s="3">
        <v>21973</v>
      </c>
      <c r="Q6839" s="5">
        <f t="shared" si="318"/>
        <v>58781.512605042022</v>
      </c>
      <c r="R6839" s="5">
        <f t="shared" si="319"/>
        <v>21973</v>
      </c>
      <c r="S6839" s="5">
        <f t="shared" si="320"/>
        <v>36808.512605042022</v>
      </c>
    </row>
    <row r="6840" spans="1:19" hidden="1" x14ac:dyDescent="0.3">
      <c r="A6840">
        <v>210</v>
      </c>
      <c r="B6840" t="s">
        <v>6520</v>
      </c>
      <c r="C6840" t="s">
        <v>6665</v>
      </c>
      <c r="D6840" s="2" t="s">
        <v>6666</v>
      </c>
      <c r="E6840" t="s">
        <v>2803</v>
      </c>
      <c r="F6840" t="s">
        <v>20</v>
      </c>
      <c r="G6840" t="s">
        <v>338</v>
      </c>
      <c r="H6840">
        <v>23726</v>
      </c>
      <c r="I6840" t="s">
        <v>23</v>
      </c>
      <c r="J6840" t="s">
        <v>40</v>
      </c>
      <c r="K6840" s="2" t="s">
        <v>2093</v>
      </c>
      <c r="L6840" t="s">
        <v>26</v>
      </c>
      <c r="M6840">
        <v>353649</v>
      </c>
      <c r="N6840">
        <v>-1</v>
      </c>
      <c r="O6840" s="3">
        <v>-89950</v>
      </c>
      <c r="P6840" s="3">
        <v>29798</v>
      </c>
      <c r="Q6840" s="5">
        <f t="shared" si="318"/>
        <v>-75588.23529411765</v>
      </c>
      <c r="R6840" s="5">
        <f t="shared" si="319"/>
        <v>-29798</v>
      </c>
      <c r="S6840" s="5">
        <f t="shared" si="320"/>
        <v>-45790.23529411765</v>
      </c>
    </row>
    <row r="6841" spans="1:19" hidden="1" x14ac:dyDescent="0.3">
      <c r="A6841">
        <v>210</v>
      </c>
      <c r="B6841" t="s">
        <v>6520</v>
      </c>
      <c r="C6841" t="s">
        <v>1441</v>
      </c>
      <c r="D6841" s="2" t="s">
        <v>1442</v>
      </c>
      <c r="E6841" t="s">
        <v>1443</v>
      </c>
      <c r="F6841" t="s">
        <v>20</v>
      </c>
      <c r="G6841" t="s">
        <v>338</v>
      </c>
      <c r="H6841">
        <v>25301</v>
      </c>
      <c r="I6841" t="s">
        <v>23</v>
      </c>
      <c r="J6841" t="s">
        <v>35</v>
      </c>
      <c r="K6841" s="2" t="s">
        <v>2093</v>
      </c>
      <c r="L6841" t="s">
        <v>26</v>
      </c>
      <c r="M6841">
        <v>353649</v>
      </c>
      <c r="N6841">
        <v>1</v>
      </c>
      <c r="O6841" s="3">
        <v>99950</v>
      </c>
      <c r="P6841" s="3">
        <v>34157</v>
      </c>
      <c r="Q6841" s="5">
        <f t="shared" si="318"/>
        <v>83991.596638655465</v>
      </c>
      <c r="R6841" s="5">
        <f t="shared" si="319"/>
        <v>34157</v>
      </c>
      <c r="S6841" s="5">
        <f t="shared" si="320"/>
        <v>49834.596638655465</v>
      </c>
    </row>
    <row r="6842" spans="1:19" hidden="1" x14ac:dyDescent="0.3">
      <c r="A6842">
        <v>210</v>
      </c>
      <c r="B6842" t="s">
        <v>6520</v>
      </c>
      <c r="C6842" t="s">
        <v>6675</v>
      </c>
      <c r="D6842" s="2" t="s">
        <v>6676</v>
      </c>
      <c r="E6842" t="s">
        <v>2385</v>
      </c>
      <c r="F6842" t="s">
        <v>20</v>
      </c>
      <c r="G6842" t="s">
        <v>21</v>
      </c>
      <c r="H6842" t="s">
        <v>65</v>
      </c>
      <c r="I6842" t="s">
        <v>23</v>
      </c>
      <c r="J6842" t="s">
        <v>49</v>
      </c>
      <c r="K6842" s="2" t="s">
        <v>2093</v>
      </c>
      <c r="L6842" t="s">
        <v>26</v>
      </c>
      <c r="M6842">
        <v>353650</v>
      </c>
      <c r="N6842">
        <v>1</v>
      </c>
      <c r="O6842" s="3">
        <v>49990</v>
      </c>
      <c r="P6842" s="3">
        <v>23715</v>
      </c>
      <c r="Q6842" s="5">
        <f t="shared" si="318"/>
        <v>42008.403361344543</v>
      </c>
      <c r="R6842" s="5">
        <f t="shared" si="319"/>
        <v>23715</v>
      </c>
      <c r="S6842" s="5">
        <f t="shared" si="320"/>
        <v>18293.403361344543</v>
      </c>
    </row>
    <row r="6843" spans="1:19" hidden="1" x14ac:dyDescent="0.3">
      <c r="A6843">
        <v>210</v>
      </c>
      <c r="B6843" t="s">
        <v>6520</v>
      </c>
      <c r="C6843" t="s">
        <v>867</v>
      </c>
      <c r="D6843" s="2" t="s">
        <v>868</v>
      </c>
      <c r="E6843" t="s">
        <v>869</v>
      </c>
      <c r="F6843" t="s">
        <v>20</v>
      </c>
      <c r="G6843" t="s">
        <v>21</v>
      </c>
      <c r="H6843" t="s">
        <v>870</v>
      </c>
      <c r="I6843" t="s">
        <v>23</v>
      </c>
      <c r="J6843" t="s">
        <v>35</v>
      </c>
      <c r="K6843" s="2" t="s">
        <v>2093</v>
      </c>
      <c r="L6843" t="s">
        <v>26</v>
      </c>
      <c r="M6843">
        <v>353651</v>
      </c>
      <c r="N6843">
        <v>1</v>
      </c>
      <c r="O6843" s="3">
        <v>69950</v>
      </c>
      <c r="P6843" s="3">
        <v>25434</v>
      </c>
      <c r="Q6843" s="5">
        <f t="shared" si="318"/>
        <v>58781.512605042022</v>
      </c>
      <c r="R6843" s="5">
        <f t="shared" si="319"/>
        <v>25434</v>
      </c>
      <c r="S6843" s="5">
        <f t="shared" si="320"/>
        <v>33347.512605042022</v>
      </c>
    </row>
    <row r="6844" spans="1:19" hidden="1" x14ac:dyDescent="0.3">
      <c r="A6844">
        <v>210</v>
      </c>
      <c r="B6844" t="s">
        <v>6520</v>
      </c>
      <c r="C6844" t="s">
        <v>3054</v>
      </c>
      <c r="D6844" s="2" t="s">
        <v>3055</v>
      </c>
      <c r="E6844" t="s">
        <v>2870</v>
      </c>
      <c r="F6844" t="s">
        <v>20</v>
      </c>
      <c r="G6844" t="s">
        <v>21</v>
      </c>
      <c r="H6844" t="s">
        <v>30</v>
      </c>
      <c r="I6844" t="s">
        <v>23</v>
      </c>
      <c r="J6844" t="s">
        <v>35</v>
      </c>
      <c r="K6844" s="2" t="s">
        <v>2093</v>
      </c>
      <c r="L6844" t="s">
        <v>26</v>
      </c>
      <c r="M6844">
        <v>353652</v>
      </c>
      <c r="N6844">
        <v>1</v>
      </c>
      <c r="O6844" s="3">
        <v>79950</v>
      </c>
      <c r="P6844" s="3">
        <v>30749</v>
      </c>
      <c r="Q6844" s="5">
        <f t="shared" si="318"/>
        <v>67184.873949579836</v>
      </c>
      <c r="R6844" s="5">
        <f t="shared" si="319"/>
        <v>30749</v>
      </c>
      <c r="S6844" s="5">
        <f t="shared" si="320"/>
        <v>36435.873949579836</v>
      </c>
    </row>
    <row r="6845" spans="1:19" hidden="1" x14ac:dyDescent="0.3">
      <c r="A6845">
        <v>210</v>
      </c>
      <c r="B6845" t="s">
        <v>6520</v>
      </c>
      <c r="C6845" t="s">
        <v>3840</v>
      </c>
      <c r="D6845" s="2" t="s">
        <v>3841</v>
      </c>
      <c r="E6845" t="s">
        <v>2810</v>
      </c>
      <c r="F6845" t="s">
        <v>20</v>
      </c>
      <c r="G6845" t="s">
        <v>21</v>
      </c>
      <c r="H6845" t="s">
        <v>1987</v>
      </c>
      <c r="I6845" t="s">
        <v>23</v>
      </c>
      <c r="J6845" t="s">
        <v>35</v>
      </c>
      <c r="K6845" s="2" t="s">
        <v>2093</v>
      </c>
      <c r="L6845" t="s">
        <v>26</v>
      </c>
      <c r="M6845">
        <v>353653</v>
      </c>
      <c r="N6845">
        <v>1</v>
      </c>
      <c r="O6845" s="3">
        <v>89950</v>
      </c>
      <c r="P6845" s="3">
        <v>29858</v>
      </c>
      <c r="Q6845" s="5">
        <f t="shared" si="318"/>
        <v>75588.23529411765</v>
      </c>
      <c r="R6845" s="5">
        <f t="shared" si="319"/>
        <v>29858</v>
      </c>
      <c r="S6845" s="5">
        <f t="shared" si="320"/>
        <v>45730.23529411765</v>
      </c>
    </row>
    <row r="6846" spans="1:19" hidden="1" x14ac:dyDescent="0.3">
      <c r="A6846">
        <v>210</v>
      </c>
      <c r="B6846" t="s">
        <v>6520</v>
      </c>
      <c r="C6846" t="s">
        <v>4220</v>
      </c>
      <c r="D6846" s="2" t="s">
        <v>4221</v>
      </c>
      <c r="E6846" t="s">
        <v>2933</v>
      </c>
      <c r="F6846" t="s">
        <v>20</v>
      </c>
      <c r="G6846" t="s">
        <v>338</v>
      </c>
      <c r="H6846">
        <v>25539</v>
      </c>
      <c r="I6846" t="s">
        <v>23</v>
      </c>
      <c r="J6846" t="s">
        <v>31</v>
      </c>
      <c r="K6846" s="2" t="s">
        <v>2093</v>
      </c>
      <c r="L6846" t="s">
        <v>26</v>
      </c>
      <c r="M6846">
        <v>353654</v>
      </c>
      <c r="N6846">
        <v>1</v>
      </c>
      <c r="O6846" s="3">
        <v>139950</v>
      </c>
      <c r="P6846" s="3">
        <v>46011</v>
      </c>
      <c r="Q6846" s="5">
        <f t="shared" si="318"/>
        <v>117605.04201680672</v>
      </c>
      <c r="R6846" s="5">
        <f t="shared" si="319"/>
        <v>46011</v>
      </c>
      <c r="S6846" s="5">
        <f t="shared" si="320"/>
        <v>71594.042016806721</v>
      </c>
    </row>
    <row r="6847" spans="1:19" hidden="1" x14ac:dyDescent="0.3">
      <c r="A6847">
        <v>210</v>
      </c>
      <c r="B6847" t="s">
        <v>6520</v>
      </c>
      <c r="C6847" t="s">
        <v>3659</v>
      </c>
      <c r="D6847" s="2" t="s">
        <v>3660</v>
      </c>
      <c r="E6847" t="s">
        <v>1466</v>
      </c>
      <c r="F6847" t="s">
        <v>20</v>
      </c>
      <c r="G6847" t="s">
        <v>21</v>
      </c>
      <c r="H6847" t="s">
        <v>65</v>
      </c>
      <c r="I6847" t="s">
        <v>23</v>
      </c>
      <c r="J6847" t="s">
        <v>49</v>
      </c>
      <c r="K6847" s="2" t="s">
        <v>2093</v>
      </c>
      <c r="L6847" t="s">
        <v>26</v>
      </c>
      <c r="M6847">
        <v>353655</v>
      </c>
      <c r="N6847">
        <v>1</v>
      </c>
      <c r="O6847" s="3">
        <v>64950</v>
      </c>
      <c r="P6847" s="3">
        <v>18660</v>
      </c>
      <c r="Q6847" s="5">
        <f t="shared" si="318"/>
        <v>54579.831932773115</v>
      </c>
      <c r="R6847" s="5">
        <f t="shared" si="319"/>
        <v>18660</v>
      </c>
      <c r="S6847" s="5">
        <f t="shared" si="320"/>
        <v>35919.831932773115</v>
      </c>
    </row>
    <row r="6848" spans="1:19" hidden="1" x14ac:dyDescent="0.3">
      <c r="A6848">
        <v>210</v>
      </c>
      <c r="B6848" t="s">
        <v>6520</v>
      </c>
      <c r="C6848" t="s">
        <v>2485</v>
      </c>
      <c r="D6848" s="2" t="s">
        <v>2486</v>
      </c>
      <c r="E6848" t="s">
        <v>2487</v>
      </c>
      <c r="F6848" t="s">
        <v>377</v>
      </c>
      <c r="G6848" t="s">
        <v>21</v>
      </c>
      <c r="H6848" t="s">
        <v>378</v>
      </c>
      <c r="I6848" t="s">
        <v>23</v>
      </c>
      <c r="J6848" t="s">
        <v>379</v>
      </c>
      <c r="K6848" s="2" t="s">
        <v>2093</v>
      </c>
      <c r="L6848" t="s">
        <v>26</v>
      </c>
      <c r="M6848">
        <v>353656</v>
      </c>
      <c r="N6848">
        <v>1</v>
      </c>
      <c r="O6848" s="3">
        <v>5950</v>
      </c>
      <c r="P6848" s="3">
        <v>2243</v>
      </c>
      <c r="Q6848" s="5">
        <f t="shared" si="318"/>
        <v>5000</v>
      </c>
      <c r="R6848" s="5">
        <f t="shared" si="319"/>
        <v>2243</v>
      </c>
      <c r="S6848" s="5">
        <f t="shared" si="320"/>
        <v>2757</v>
      </c>
    </row>
    <row r="6849" spans="1:19" hidden="1" x14ac:dyDescent="0.3">
      <c r="A6849">
        <v>210</v>
      </c>
      <c r="B6849" t="s">
        <v>6520</v>
      </c>
      <c r="C6849" t="s">
        <v>3647</v>
      </c>
      <c r="D6849" s="2" t="s">
        <v>3648</v>
      </c>
      <c r="E6849" t="s">
        <v>316</v>
      </c>
      <c r="F6849" t="s">
        <v>20</v>
      </c>
      <c r="G6849" t="s">
        <v>21</v>
      </c>
      <c r="H6849" t="s">
        <v>317</v>
      </c>
      <c r="I6849" t="s">
        <v>23</v>
      </c>
      <c r="J6849" t="s">
        <v>35</v>
      </c>
      <c r="K6849" s="2" t="s">
        <v>2093</v>
      </c>
      <c r="L6849" t="s">
        <v>26</v>
      </c>
      <c r="M6849">
        <v>353657</v>
      </c>
      <c r="N6849">
        <v>1</v>
      </c>
      <c r="O6849" s="3">
        <v>69950</v>
      </c>
      <c r="P6849" s="3">
        <v>24893</v>
      </c>
      <c r="Q6849" s="5">
        <f t="shared" si="318"/>
        <v>58781.512605042022</v>
      </c>
      <c r="R6849" s="5">
        <f t="shared" si="319"/>
        <v>24893</v>
      </c>
      <c r="S6849" s="5">
        <f t="shared" si="320"/>
        <v>33888.512605042022</v>
      </c>
    </row>
    <row r="6850" spans="1:19" hidden="1" x14ac:dyDescent="0.3">
      <c r="A6850">
        <v>210</v>
      </c>
      <c r="B6850" t="s">
        <v>6520</v>
      </c>
      <c r="C6850" t="s">
        <v>2942</v>
      </c>
      <c r="D6850" s="2" t="s">
        <v>2943</v>
      </c>
      <c r="E6850" t="s">
        <v>2870</v>
      </c>
      <c r="F6850" t="s">
        <v>20</v>
      </c>
      <c r="G6850" t="s">
        <v>21</v>
      </c>
      <c r="H6850" t="s">
        <v>30</v>
      </c>
      <c r="I6850" t="s">
        <v>23</v>
      </c>
      <c r="J6850" t="s">
        <v>35</v>
      </c>
      <c r="K6850" s="2" t="s">
        <v>2093</v>
      </c>
      <c r="L6850" t="s">
        <v>26</v>
      </c>
      <c r="M6850">
        <v>353658</v>
      </c>
      <c r="N6850">
        <v>1</v>
      </c>
      <c r="O6850" s="3">
        <v>79950</v>
      </c>
      <c r="P6850" s="3">
        <v>30749</v>
      </c>
      <c r="Q6850" s="5">
        <f t="shared" si="318"/>
        <v>67184.873949579836</v>
      </c>
      <c r="R6850" s="5">
        <f t="shared" si="319"/>
        <v>30749</v>
      </c>
      <c r="S6850" s="5">
        <f t="shared" si="320"/>
        <v>36435.873949579836</v>
      </c>
    </row>
    <row r="6851" spans="1:19" hidden="1" x14ac:dyDescent="0.3">
      <c r="A6851">
        <v>210</v>
      </c>
      <c r="B6851" t="s">
        <v>6520</v>
      </c>
      <c r="C6851" t="s">
        <v>5861</v>
      </c>
      <c r="D6851" s="2" t="s">
        <v>5862</v>
      </c>
      <c r="E6851" t="s">
        <v>4830</v>
      </c>
      <c r="F6851" t="s">
        <v>20</v>
      </c>
      <c r="G6851" t="s">
        <v>338</v>
      </c>
      <c r="H6851">
        <v>24239</v>
      </c>
      <c r="I6851" t="s">
        <v>23</v>
      </c>
      <c r="J6851" t="s">
        <v>95</v>
      </c>
      <c r="K6851" s="2" t="s">
        <v>2093</v>
      </c>
      <c r="L6851" t="s">
        <v>26</v>
      </c>
      <c r="M6851">
        <v>353658</v>
      </c>
      <c r="N6851">
        <v>1</v>
      </c>
      <c r="O6851" s="3">
        <v>59950</v>
      </c>
      <c r="P6851" s="3">
        <v>18677</v>
      </c>
      <c r="Q6851" s="5">
        <f t="shared" si="318"/>
        <v>50378.151260504201</v>
      </c>
      <c r="R6851" s="5">
        <f t="shared" si="319"/>
        <v>18677</v>
      </c>
      <c r="S6851" s="5">
        <f t="shared" si="320"/>
        <v>31701.151260504201</v>
      </c>
    </row>
    <row r="6852" spans="1:19" hidden="1" x14ac:dyDescent="0.3">
      <c r="A6852">
        <v>210</v>
      </c>
      <c r="B6852" t="s">
        <v>6520</v>
      </c>
      <c r="C6852" t="s">
        <v>2108</v>
      </c>
      <c r="D6852" s="2" t="s">
        <v>2109</v>
      </c>
      <c r="E6852" t="s">
        <v>2110</v>
      </c>
      <c r="F6852" t="s">
        <v>20</v>
      </c>
      <c r="G6852" t="s">
        <v>21</v>
      </c>
      <c r="H6852" t="s">
        <v>22</v>
      </c>
      <c r="I6852" t="s">
        <v>23</v>
      </c>
      <c r="J6852" t="s">
        <v>24</v>
      </c>
      <c r="K6852" s="2" t="s">
        <v>2093</v>
      </c>
      <c r="L6852" t="s">
        <v>26</v>
      </c>
      <c r="M6852">
        <v>353659</v>
      </c>
      <c r="N6852">
        <v>1</v>
      </c>
      <c r="O6852" s="3">
        <v>79950</v>
      </c>
      <c r="P6852" s="3">
        <v>27757</v>
      </c>
      <c r="Q6852" s="5">
        <f t="shared" si="318"/>
        <v>67184.873949579836</v>
      </c>
      <c r="R6852" s="5">
        <f t="shared" si="319"/>
        <v>27757</v>
      </c>
      <c r="S6852" s="5">
        <f t="shared" si="320"/>
        <v>39427.873949579836</v>
      </c>
    </row>
    <row r="6853" spans="1:19" hidden="1" x14ac:dyDescent="0.3">
      <c r="A6853">
        <v>210</v>
      </c>
      <c r="B6853" t="s">
        <v>6520</v>
      </c>
      <c r="C6853" t="s">
        <v>3912</v>
      </c>
      <c r="D6853" s="2" t="s">
        <v>3913</v>
      </c>
      <c r="E6853" t="s">
        <v>3914</v>
      </c>
      <c r="F6853" t="s">
        <v>20</v>
      </c>
      <c r="G6853" t="s">
        <v>338</v>
      </c>
      <c r="H6853">
        <v>24316</v>
      </c>
      <c r="I6853" t="s">
        <v>23</v>
      </c>
      <c r="J6853" t="s">
        <v>49</v>
      </c>
      <c r="K6853" s="2" t="s">
        <v>2093</v>
      </c>
      <c r="L6853" t="s">
        <v>26</v>
      </c>
      <c r="M6853">
        <v>353660</v>
      </c>
      <c r="N6853">
        <v>1</v>
      </c>
      <c r="O6853" s="3">
        <v>74950</v>
      </c>
      <c r="P6853" s="3">
        <v>23473</v>
      </c>
      <c r="Q6853" s="5">
        <f t="shared" si="318"/>
        <v>62983.193277310929</v>
      </c>
      <c r="R6853" s="5">
        <f t="shared" si="319"/>
        <v>23473</v>
      </c>
      <c r="S6853" s="5">
        <f t="shared" si="320"/>
        <v>39510.193277310929</v>
      </c>
    </row>
    <row r="6854" spans="1:19" hidden="1" x14ac:dyDescent="0.3">
      <c r="A6854">
        <v>210</v>
      </c>
      <c r="B6854" t="s">
        <v>6520</v>
      </c>
      <c r="C6854" t="s">
        <v>2067</v>
      </c>
      <c r="D6854" s="2" t="s">
        <v>2068</v>
      </c>
      <c r="E6854" t="s">
        <v>2069</v>
      </c>
      <c r="F6854" t="s">
        <v>20</v>
      </c>
      <c r="G6854" t="s">
        <v>21</v>
      </c>
      <c r="H6854" t="s">
        <v>2070</v>
      </c>
      <c r="I6854" t="s">
        <v>23</v>
      </c>
      <c r="J6854" t="s">
        <v>35</v>
      </c>
      <c r="K6854" s="2" t="s">
        <v>2093</v>
      </c>
      <c r="L6854" t="s">
        <v>26</v>
      </c>
      <c r="M6854">
        <v>353661</v>
      </c>
      <c r="N6854">
        <v>1</v>
      </c>
      <c r="O6854" s="3">
        <v>89950</v>
      </c>
      <c r="P6854" s="3">
        <v>29635</v>
      </c>
      <c r="Q6854" s="5">
        <f t="shared" ref="Q6854:Q6901" si="321">O6854/1.19</f>
        <v>75588.23529411765</v>
      </c>
      <c r="R6854" s="5">
        <f t="shared" ref="R6854:R6901" si="322">N6854*P6854</f>
        <v>29635</v>
      </c>
      <c r="S6854" s="5">
        <f t="shared" ref="S6854:S6901" si="323">Q6854-R6854</f>
        <v>45953.23529411765</v>
      </c>
    </row>
    <row r="6855" spans="1:19" hidden="1" x14ac:dyDescent="0.3">
      <c r="A6855">
        <v>210</v>
      </c>
      <c r="B6855" t="s">
        <v>6520</v>
      </c>
      <c r="C6855" t="s">
        <v>2276</v>
      </c>
      <c r="D6855" s="2" t="s">
        <v>2277</v>
      </c>
      <c r="E6855" t="s">
        <v>2278</v>
      </c>
      <c r="F6855" t="s">
        <v>20</v>
      </c>
      <c r="G6855" t="s">
        <v>21</v>
      </c>
      <c r="H6855" t="s">
        <v>346</v>
      </c>
      <c r="I6855" t="s">
        <v>23</v>
      </c>
      <c r="J6855" t="s">
        <v>49</v>
      </c>
      <c r="K6855" s="2" t="s">
        <v>2149</v>
      </c>
      <c r="L6855" t="s">
        <v>26</v>
      </c>
      <c r="M6855">
        <v>353662</v>
      </c>
      <c r="N6855">
        <v>1</v>
      </c>
      <c r="O6855" s="3">
        <v>49990</v>
      </c>
      <c r="P6855" s="3">
        <v>23224</v>
      </c>
      <c r="Q6855" s="5">
        <f t="shared" si="321"/>
        <v>42008.403361344543</v>
      </c>
      <c r="R6855" s="5">
        <f t="shared" si="322"/>
        <v>23224</v>
      </c>
      <c r="S6855" s="5">
        <f t="shared" si="323"/>
        <v>18784.403361344543</v>
      </c>
    </row>
    <row r="6856" spans="1:19" hidden="1" x14ac:dyDescent="0.3">
      <c r="A6856">
        <v>210</v>
      </c>
      <c r="B6856" t="s">
        <v>6520</v>
      </c>
      <c r="C6856">
        <v>1687976791</v>
      </c>
      <c r="D6856" s="2" t="s">
        <v>200</v>
      </c>
      <c r="E6856" t="s">
        <v>201</v>
      </c>
      <c r="F6856" t="s">
        <v>201</v>
      </c>
      <c r="G6856" t="s">
        <v>202</v>
      </c>
      <c r="H6856" t="s">
        <v>202</v>
      </c>
      <c r="I6856" t="s">
        <v>23</v>
      </c>
      <c r="J6856" t="s">
        <v>202</v>
      </c>
      <c r="K6856" s="2" t="s">
        <v>2149</v>
      </c>
      <c r="L6856" t="s">
        <v>26</v>
      </c>
      <c r="M6856">
        <v>353663</v>
      </c>
      <c r="N6856">
        <v>1</v>
      </c>
      <c r="O6856">
        <v>1</v>
      </c>
      <c r="P6856">
        <v>1</v>
      </c>
      <c r="Q6856" s="5">
        <f t="shared" si="321"/>
        <v>0.84033613445378152</v>
      </c>
      <c r="R6856" s="5">
        <f t="shared" si="322"/>
        <v>1</v>
      </c>
      <c r="S6856" s="5">
        <f t="shared" si="323"/>
        <v>-0.15966386554621848</v>
      </c>
    </row>
    <row r="6857" spans="1:19" hidden="1" x14ac:dyDescent="0.3">
      <c r="A6857">
        <v>210</v>
      </c>
      <c r="B6857" t="s">
        <v>6520</v>
      </c>
      <c r="C6857" t="s">
        <v>6677</v>
      </c>
      <c r="D6857" s="2" t="s">
        <v>6678</v>
      </c>
      <c r="E6857" t="s">
        <v>6679</v>
      </c>
      <c r="F6857" t="s">
        <v>20</v>
      </c>
      <c r="G6857" t="s">
        <v>21</v>
      </c>
      <c r="H6857" t="s">
        <v>3996</v>
      </c>
      <c r="I6857" t="s">
        <v>23</v>
      </c>
      <c r="J6857" t="s">
        <v>40</v>
      </c>
      <c r="K6857" s="2" t="s">
        <v>2149</v>
      </c>
      <c r="L6857" t="s">
        <v>26</v>
      </c>
      <c r="M6857">
        <v>353663</v>
      </c>
      <c r="N6857">
        <v>1</v>
      </c>
      <c r="O6857" s="3">
        <v>39990</v>
      </c>
      <c r="P6857" s="3">
        <v>16134</v>
      </c>
      <c r="Q6857" s="5">
        <f t="shared" si="321"/>
        <v>33605.042016806721</v>
      </c>
      <c r="R6857" s="5">
        <f t="shared" si="322"/>
        <v>16134</v>
      </c>
      <c r="S6857" s="5">
        <f t="shared" si="323"/>
        <v>17471.042016806721</v>
      </c>
    </row>
    <row r="6858" spans="1:19" hidden="1" x14ac:dyDescent="0.3">
      <c r="A6858">
        <v>210</v>
      </c>
      <c r="B6858" t="s">
        <v>6520</v>
      </c>
      <c r="C6858" t="s">
        <v>6680</v>
      </c>
      <c r="D6858" s="2" t="s">
        <v>6681</v>
      </c>
      <c r="E6858" t="s">
        <v>6296</v>
      </c>
      <c r="F6858" t="s">
        <v>20</v>
      </c>
      <c r="G6858" t="s">
        <v>338</v>
      </c>
      <c r="H6858">
        <v>85200</v>
      </c>
      <c r="I6858" t="s">
        <v>23</v>
      </c>
      <c r="J6858" t="s">
        <v>35</v>
      </c>
      <c r="K6858" s="2" t="s">
        <v>2149</v>
      </c>
      <c r="L6858" t="s">
        <v>26</v>
      </c>
      <c r="M6858">
        <v>353664</v>
      </c>
      <c r="N6858">
        <v>1</v>
      </c>
      <c r="O6858" s="3">
        <v>89950</v>
      </c>
      <c r="P6858" s="3">
        <v>27253</v>
      </c>
      <c r="Q6858" s="5">
        <f t="shared" si="321"/>
        <v>75588.23529411765</v>
      </c>
      <c r="R6858" s="5">
        <f t="shared" si="322"/>
        <v>27253</v>
      </c>
      <c r="S6858" s="5">
        <f t="shared" si="323"/>
        <v>48335.23529411765</v>
      </c>
    </row>
    <row r="6859" spans="1:19" hidden="1" x14ac:dyDescent="0.3">
      <c r="A6859">
        <v>210</v>
      </c>
      <c r="B6859" t="s">
        <v>6520</v>
      </c>
      <c r="C6859" t="s">
        <v>5640</v>
      </c>
      <c r="D6859" s="2" t="s">
        <v>5641</v>
      </c>
      <c r="E6859" t="s">
        <v>5642</v>
      </c>
      <c r="F6859" t="s">
        <v>20</v>
      </c>
      <c r="G6859" t="s">
        <v>21</v>
      </c>
      <c r="H6859" t="s">
        <v>2189</v>
      </c>
      <c r="I6859" t="s">
        <v>23</v>
      </c>
      <c r="J6859" t="s">
        <v>40</v>
      </c>
      <c r="K6859" s="2" t="s">
        <v>2149</v>
      </c>
      <c r="L6859" t="s">
        <v>26</v>
      </c>
      <c r="M6859">
        <v>353665</v>
      </c>
      <c r="N6859">
        <v>1</v>
      </c>
      <c r="O6859" s="3">
        <v>64950</v>
      </c>
      <c r="P6859" s="3">
        <v>20803</v>
      </c>
      <c r="Q6859" s="5">
        <f t="shared" si="321"/>
        <v>54579.831932773115</v>
      </c>
      <c r="R6859" s="5">
        <f t="shared" si="322"/>
        <v>20803</v>
      </c>
      <c r="S6859" s="5">
        <f t="shared" si="323"/>
        <v>33776.831932773115</v>
      </c>
    </row>
    <row r="6860" spans="1:19" hidden="1" x14ac:dyDescent="0.3">
      <c r="A6860">
        <v>210</v>
      </c>
      <c r="B6860" t="s">
        <v>6520</v>
      </c>
      <c r="C6860" t="s">
        <v>2537</v>
      </c>
      <c r="D6860" s="2" t="s">
        <v>2538</v>
      </c>
      <c r="E6860" t="s">
        <v>2539</v>
      </c>
      <c r="F6860" t="s">
        <v>20</v>
      </c>
      <c r="G6860" t="s">
        <v>21</v>
      </c>
      <c r="H6860" t="s">
        <v>966</v>
      </c>
      <c r="I6860" t="s">
        <v>23</v>
      </c>
      <c r="J6860" t="s">
        <v>35</v>
      </c>
      <c r="K6860" s="2" t="s">
        <v>2149</v>
      </c>
      <c r="L6860" t="s">
        <v>26</v>
      </c>
      <c r="M6860">
        <v>353666</v>
      </c>
      <c r="N6860">
        <v>1</v>
      </c>
      <c r="O6860" s="3">
        <v>74950</v>
      </c>
      <c r="P6860" s="3">
        <v>27299</v>
      </c>
      <c r="Q6860" s="5">
        <f t="shared" si="321"/>
        <v>62983.193277310929</v>
      </c>
      <c r="R6860" s="5">
        <f t="shared" si="322"/>
        <v>27299</v>
      </c>
      <c r="S6860" s="5">
        <f t="shared" si="323"/>
        <v>35684.193277310929</v>
      </c>
    </row>
    <row r="6861" spans="1:19" hidden="1" x14ac:dyDescent="0.3">
      <c r="A6861">
        <v>210</v>
      </c>
      <c r="B6861" t="s">
        <v>6520</v>
      </c>
      <c r="C6861" t="s">
        <v>6682</v>
      </c>
      <c r="D6861" s="2" t="s">
        <v>6683</v>
      </c>
      <c r="E6861" t="s">
        <v>3424</v>
      </c>
      <c r="F6861" t="s">
        <v>20</v>
      </c>
      <c r="G6861" t="s">
        <v>338</v>
      </c>
      <c r="H6861">
        <v>23709</v>
      </c>
      <c r="I6861" t="s">
        <v>23</v>
      </c>
      <c r="J6861" t="s">
        <v>40</v>
      </c>
      <c r="K6861" s="2" t="s">
        <v>2149</v>
      </c>
      <c r="L6861" t="s">
        <v>26</v>
      </c>
      <c r="M6861">
        <v>353666</v>
      </c>
      <c r="N6861">
        <v>1</v>
      </c>
      <c r="O6861" s="3">
        <v>79950</v>
      </c>
      <c r="P6861" s="3">
        <v>27728</v>
      </c>
      <c r="Q6861" s="5">
        <f t="shared" si="321"/>
        <v>67184.873949579836</v>
      </c>
      <c r="R6861" s="5">
        <f t="shared" si="322"/>
        <v>27728</v>
      </c>
      <c r="S6861" s="5">
        <f t="shared" si="323"/>
        <v>39456.873949579836</v>
      </c>
    </row>
    <row r="6862" spans="1:19" hidden="1" x14ac:dyDescent="0.3">
      <c r="A6862">
        <v>210</v>
      </c>
      <c r="B6862" t="s">
        <v>6520</v>
      </c>
      <c r="C6862" t="s">
        <v>3487</v>
      </c>
      <c r="D6862" s="2" t="s">
        <v>3488</v>
      </c>
      <c r="E6862" t="s">
        <v>2795</v>
      </c>
      <c r="F6862" t="s">
        <v>20</v>
      </c>
      <c r="G6862" t="s">
        <v>21</v>
      </c>
      <c r="H6862" t="s">
        <v>57</v>
      </c>
      <c r="I6862" t="s">
        <v>23</v>
      </c>
      <c r="J6862" t="s">
        <v>35</v>
      </c>
      <c r="K6862" s="2" t="s">
        <v>2149</v>
      </c>
      <c r="L6862" t="s">
        <v>26</v>
      </c>
      <c r="M6862">
        <v>353667</v>
      </c>
      <c r="N6862">
        <v>1</v>
      </c>
      <c r="O6862" s="3">
        <v>89950</v>
      </c>
      <c r="P6862" s="3">
        <v>31783</v>
      </c>
      <c r="Q6862" s="5">
        <f t="shared" si="321"/>
        <v>75588.23529411765</v>
      </c>
      <c r="R6862" s="5">
        <f t="shared" si="322"/>
        <v>31783</v>
      </c>
      <c r="S6862" s="5">
        <f t="shared" si="323"/>
        <v>43805.23529411765</v>
      </c>
    </row>
    <row r="6863" spans="1:19" hidden="1" x14ac:dyDescent="0.3">
      <c r="A6863">
        <v>210</v>
      </c>
      <c r="B6863" t="s">
        <v>6520</v>
      </c>
      <c r="C6863" t="s">
        <v>3470</v>
      </c>
      <c r="D6863" s="2" t="s">
        <v>3471</v>
      </c>
      <c r="E6863" t="s">
        <v>3472</v>
      </c>
      <c r="F6863" t="s">
        <v>20</v>
      </c>
      <c r="G6863" t="s">
        <v>338</v>
      </c>
      <c r="H6863">
        <v>25336</v>
      </c>
      <c r="I6863" t="s">
        <v>23</v>
      </c>
      <c r="J6863" t="s">
        <v>35</v>
      </c>
      <c r="K6863" s="2" t="s">
        <v>2149</v>
      </c>
      <c r="L6863" t="s">
        <v>26</v>
      </c>
      <c r="M6863">
        <v>353668</v>
      </c>
      <c r="N6863">
        <v>1</v>
      </c>
      <c r="O6863" s="3">
        <v>99950</v>
      </c>
      <c r="P6863" s="3">
        <v>31886</v>
      </c>
      <c r="Q6863" s="5">
        <f t="shared" si="321"/>
        <v>83991.596638655465</v>
      </c>
      <c r="R6863" s="5">
        <f t="shared" si="322"/>
        <v>31886</v>
      </c>
      <c r="S6863" s="5">
        <f t="shared" si="323"/>
        <v>52105.596638655465</v>
      </c>
    </row>
    <row r="6864" spans="1:19" hidden="1" x14ac:dyDescent="0.3">
      <c r="A6864">
        <v>210</v>
      </c>
      <c r="B6864" t="s">
        <v>6520</v>
      </c>
      <c r="C6864" t="s">
        <v>2575</v>
      </c>
      <c r="D6864" s="2" t="s">
        <v>2576</v>
      </c>
      <c r="E6864" t="s">
        <v>2577</v>
      </c>
      <c r="F6864" t="s">
        <v>377</v>
      </c>
      <c r="G6864" t="s">
        <v>21</v>
      </c>
      <c r="H6864" t="s">
        <v>378</v>
      </c>
      <c r="I6864" t="s">
        <v>23</v>
      </c>
      <c r="J6864" t="s">
        <v>379</v>
      </c>
      <c r="K6864" s="2" t="s">
        <v>2149</v>
      </c>
      <c r="L6864" t="s">
        <v>26</v>
      </c>
      <c r="M6864">
        <v>353668</v>
      </c>
      <c r="N6864">
        <v>1</v>
      </c>
      <c r="O6864" s="3">
        <v>5950</v>
      </c>
      <c r="P6864" s="3">
        <v>3307</v>
      </c>
      <c r="Q6864" s="5">
        <f t="shared" si="321"/>
        <v>5000</v>
      </c>
      <c r="R6864" s="5">
        <f t="shared" si="322"/>
        <v>3307</v>
      </c>
      <c r="S6864" s="5">
        <f t="shared" si="323"/>
        <v>1693</v>
      </c>
    </row>
    <row r="6865" spans="1:19" hidden="1" x14ac:dyDescent="0.3">
      <c r="A6865">
        <v>210</v>
      </c>
      <c r="B6865" t="s">
        <v>6520</v>
      </c>
      <c r="C6865" t="s">
        <v>4780</v>
      </c>
      <c r="D6865" s="2" t="s">
        <v>4781</v>
      </c>
      <c r="E6865" t="s">
        <v>2295</v>
      </c>
      <c r="F6865" t="s">
        <v>20</v>
      </c>
      <c r="G6865" t="s">
        <v>338</v>
      </c>
      <c r="H6865">
        <v>25026</v>
      </c>
      <c r="I6865" t="s">
        <v>23</v>
      </c>
      <c r="J6865" t="s">
        <v>35</v>
      </c>
      <c r="K6865" s="2" t="s">
        <v>2149</v>
      </c>
      <c r="L6865" t="s">
        <v>26</v>
      </c>
      <c r="M6865">
        <v>353669</v>
      </c>
      <c r="N6865">
        <v>1</v>
      </c>
      <c r="O6865" s="3">
        <v>69990</v>
      </c>
      <c r="P6865" s="3">
        <v>28454</v>
      </c>
      <c r="Q6865" s="5">
        <f t="shared" si="321"/>
        <v>58815.126050420171</v>
      </c>
      <c r="R6865" s="5">
        <f t="shared" si="322"/>
        <v>28454</v>
      </c>
      <c r="S6865" s="5">
        <f t="shared" si="323"/>
        <v>30361.126050420171</v>
      </c>
    </row>
    <row r="6866" spans="1:19" hidden="1" x14ac:dyDescent="0.3">
      <c r="A6866">
        <v>210</v>
      </c>
      <c r="B6866" t="s">
        <v>6520</v>
      </c>
      <c r="C6866" t="s">
        <v>1267</v>
      </c>
      <c r="D6866" s="2" t="s">
        <v>1268</v>
      </c>
      <c r="E6866" t="s">
        <v>1269</v>
      </c>
      <c r="F6866" t="s">
        <v>377</v>
      </c>
      <c r="G6866" t="s">
        <v>21</v>
      </c>
      <c r="H6866" t="s">
        <v>378</v>
      </c>
      <c r="I6866" t="s">
        <v>23</v>
      </c>
      <c r="J6866" t="s">
        <v>379</v>
      </c>
      <c r="K6866" s="2" t="s">
        <v>2149</v>
      </c>
      <c r="L6866" t="s">
        <v>26</v>
      </c>
      <c r="M6866">
        <v>353669</v>
      </c>
      <c r="N6866">
        <v>1</v>
      </c>
      <c r="O6866" s="3">
        <v>5950</v>
      </c>
      <c r="P6866" s="3">
        <v>1850</v>
      </c>
      <c r="Q6866" s="5">
        <f t="shared" si="321"/>
        <v>5000</v>
      </c>
      <c r="R6866" s="5">
        <f t="shared" si="322"/>
        <v>1850</v>
      </c>
      <c r="S6866" s="5">
        <f t="shared" si="323"/>
        <v>3150</v>
      </c>
    </row>
    <row r="6867" spans="1:19" hidden="1" x14ac:dyDescent="0.3">
      <c r="A6867">
        <v>210</v>
      </c>
      <c r="B6867" t="s">
        <v>6520</v>
      </c>
      <c r="C6867" t="s">
        <v>4189</v>
      </c>
      <c r="D6867" s="2" t="s">
        <v>4190</v>
      </c>
      <c r="E6867" t="s">
        <v>3472</v>
      </c>
      <c r="F6867" t="s">
        <v>20</v>
      </c>
      <c r="G6867" t="s">
        <v>338</v>
      </c>
      <c r="H6867">
        <v>25336</v>
      </c>
      <c r="I6867" t="s">
        <v>23</v>
      </c>
      <c r="J6867" t="s">
        <v>35</v>
      </c>
      <c r="K6867" s="2" t="s">
        <v>2149</v>
      </c>
      <c r="L6867" t="s">
        <v>26</v>
      </c>
      <c r="M6867">
        <v>353670</v>
      </c>
      <c r="N6867">
        <v>1</v>
      </c>
      <c r="O6867" s="3">
        <v>99950</v>
      </c>
      <c r="P6867" s="3">
        <v>31886</v>
      </c>
      <c r="Q6867" s="5">
        <f t="shared" si="321"/>
        <v>83991.596638655465</v>
      </c>
      <c r="R6867" s="5">
        <f t="shared" si="322"/>
        <v>31886</v>
      </c>
      <c r="S6867" s="5">
        <f t="shared" si="323"/>
        <v>52105.596638655465</v>
      </c>
    </row>
    <row r="6868" spans="1:19" hidden="1" x14ac:dyDescent="0.3">
      <c r="A6868">
        <v>210</v>
      </c>
      <c r="B6868" t="s">
        <v>6520</v>
      </c>
      <c r="C6868" t="s">
        <v>6684</v>
      </c>
      <c r="D6868" s="2" t="s">
        <v>6685</v>
      </c>
      <c r="E6868" t="s">
        <v>628</v>
      </c>
      <c r="F6868" t="s">
        <v>20</v>
      </c>
      <c r="G6868" t="s">
        <v>21</v>
      </c>
      <c r="H6868" t="s">
        <v>39</v>
      </c>
      <c r="I6868" t="s">
        <v>23</v>
      </c>
      <c r="J6868" t="s">
        <v>40</v>
      </c>
      <c r="K6868" s="2" t="s">
        <v>2149</v>
      </c>
      <c r="L6868" t="s">
        <v>26</v>
      </c>
      <c r="M6868">
        <v>353671</v>
      </c>
      <c r="N6868">
        <v>1</v>
      </c>
      <c r="O6868" s="3">
        <v>39990</v>
      </c>
      <c r="P6868" s="3">
        <v>25010</v>
      </c>
      <c r="Q6868" s="5">
        <f t="shared" si="321"/>
        <v>33605.042016806721</v>
      </c>
      <c r="R6868" s="5">
        <f t="shared" si="322"/>
        <v>25010</v>
      </c>
      <c r="S6868" s="5">
        <f t="shared" si="323"/>
        <v>8595.0420168067212</v>
      </c>
    </row>
    <row r="6869" spans="1:19" hidden="1" x14ac:dyDescent="0.3">
      <c r="A6869">
        <v>210</v>
      </c>
      <c r="B6869" t="s">
        <v>6520</v>
      </c>
      <c r="C6869">
        <v>1687976791</v>
      </c>
      <c r="D6869" s="2" t="s">
        <v>200</v>
      </c>
      <c r="E6869" t="s">
        <v>201</v>
      </c>
      <c r="F6869" t="s">
        <v>201</v>
      </c>
      <c r="G6869" t="s">
        <v>202</v>
      </c>
      <c r="H6869" t="s">
        <v>202</v>
      </c>
      <c r="I6869" t="s">
        <v>23</v>
      </c>
      <c r="J6869" t="s">
        <v>202</v>
      </c>
      <c r="K6869" s="2" t="s">
        <v>2149</v>
      </c>
      <c r="L6869" t="s">
        <v>26</v>
      </c>
      <c r="M6869">
        <v>353671</v>
      </c>
      <c r="N6869">
        <v>1</v>
      </c>
      <c r="O6869" s="3">
        <v>3400</v>
      </c>
      <c r="P6869">
        <v>1</v>
      </c>
      <c r="Q6869" s="5">
        <f t="shared" si="321"/>
        <v>2857.1428571428573</v>
      </c>
      <c r="R6869" s="5">
        <f t="shared" si="322"/>
        <v>1</v>
      </c>
      <c r="S6869" s="5">
        <f t="shared" si="323"/>
        <v>2856.1428571428573</v>
      </c>
    </row>
    <row r="6870" spans="1:19" hidden="1" x14ac:dyDescent="0.3">
      <c r="A6870">
        <v>210</v>
      </c>
      <c r="B6870" t="s">
        <v>6520</v>
      </c>
      <c r="C6870" t="s">
        <v>6686</v>
      </c>
      <c r="D6870" s="2" t="s">
        <v>6687</v>
      </c>
      <c r="E6870" t="s">
        <v>3219</v>
      </c>
      <c r="F6870" t="s">
        <v>20</v>
      </c>
      <c r="G6870" t="s">
        <v>21</v>
      </c>
      <c r="H6870" t="s">
        <v>1296</v>
      </c>
      <c r="I6870" t="s">
        <v>23</v>
      </c>
      <c r="J6870" t="s">
        <v>35</v>
      </c>
      <c r="K6870" s="2" t="s">
        <v>2149</v>
      </c>
      <c r="L6870" t="s">
        <v>26</v>
      </c>
      <c r="M6870">
        <v>353672</v>
      </c>
      <c r="N6870">
        <v>1</v>
      </c>
      <c r="O6870" s="3">
        <v>69990</v>
      </c>
      <c r="P6870" s="3">
        <v>34091</v>
      </c>
      <c r="Q6870" s="5">
        <f t="shared" si="321"/>
        <v>58815.126050420171</v>
      </c>
      <c r="R6870" s="5">
        <f t="shared" si="322"/>
        <v>34091</v>
      </c>
      <c r="S6870" s="5">
        <f t="shared" si="323"/>
        <v>24724.126050420171</v>
      </c>
    </row>
    <row r="6871" spans="1:19" hidden="1" x14ac:dyDescent="0.3">
      <c r="A6871">
        <v>210</v>
      </c>
      <c r="B6871" t="s">
        <v>6520</v>
      </c>
      <c r="C6871" t="s">
        <v>5082</v>
      </c>
      <c r="D6871" s="2" t="s">
        <v>5083</v>
      </c>
      <c r="E6871" t="s">
        <v>2208</v>
      </c>
      <c r="F6871" t="s">
        <v>20</v>
      </c>
      <c r="G6871" t="s">
        <v>338</v>
      </c>
      <c r="H6871">
        <v>25823</v>
      </c>
      <c r="I6871" t="s">
        <v>23</v>
      </c>
      <c r="J6871" t="s">
        <v>35</v>
      </c>
      <c r="K6871" s="2" t="s">
        <v>2149</v>
      </c>
      <c r="L6871" t="s">
        <v>26</v>
      </c>
      <c r="M6871">
        <v>353672</v>
      </c>
      <c r="N6871">
        <v>1</v>
      </c>
      <c r="O6871" s="3">
        <v>99950</v>
      </c>
      <c r="P6871" s="3">
        <v>33748</v>
      </c>
      <c r="Q6871" s="5">
        <f t="shared" si="321"/>
        <v>83991.596638655465</v>
      </c>
      <c r="R6871" s="5">
        <f t="shared" si="322"/>
        <v>33748</v>
      </c>
      <c r="S6871" s="5">
        <f t="shared" si="323"/>
        <v>50243.596638655465</v>
      </c>
    </row>
    <row r="6872" spans="1:19" hidden="1" x14ac:dyDescent="0.3">
      <c r="A6872">
        <v>210</v>
      </c>
      <c r="B6872" t="s">
        <v>6520</v>
      </c>
      <c r="C6872" t="s">
        <v>1840</v>
      </c>
      <c r="D6872" s="2" t="s">
        <v>1841</v>
      </c>
      <c r="E6872" t="s">
        <v>1842</v>
      </c>
      <c r="F6872" t="s">
        <v>20</v>
      </c>
      <c r="G6872" t="s">
        <v>21</v>
      </c>
      <c r="H6872" t="s">
        <v>625</v>
      </c>
      <c r="I6872" t="s">
        <v>23</v>
      </c>
      <c r="J6872" t="s">
        <v>35</v>
      </c>
      <c r="K6872" s="2" t="s">
        <v>2149</v>
      </c>
      <c r="L6872" t="s">
        <v>26</v>
      </c>
      <c r="M6872">
        <v>353673</v>
      </c>
      <c r="N6872">
        <v>1</v>
      </c>
      <c r="O6872" s="3">
        <v>69950</v>
      </c>
      <c r="P6872" s="3">
        <v>27745</v>
      </c>
      <c r="Q6872" s="5">
        <f t="shared" si="321"/>
        <v>58781.512605042022</v>
      </c>
      <c r="R6872" s="5">
        <f t="shared" si="322"/>
        <v>27745</v>
      </c>
      <c r="S6872" s="5">
        <f t="shared" si="323"/>
        <v>31036.512605042022</v>
      </c>
    </row>
    <row r="6873" spans="1:19" hidden="1" x14ac:dyDescent="0.3">
      <c r="A6873">
        <v>210</v>
      </c>
      <c r="B6873" t="s">
        <v>6520</v>
      </c>
      <c r="C6873" t="s">
        <v>6040</v>
      </c>
      <c r="D6873" s="2" t="s">
        <v>6041</v>
      </c>
      <c r="E6873" t="s">
        <v>5984</v>
      </c>
      <c r="F6873" t="s">
        <v>20</v>
      </c>
      <c r="G6873" t="s">
        <v>21</v>
      </c>
      <c r="H6873" t="s">
        <v>30</v>
      </c>
      <c r="I6873" t="s">
        <v>23</v>
      </c>
      <c r="J6873" t="s">
        <v>49</v>
      </c>
      <c r="K6873" s="2" t="s">
        <v>2149</v>
      </c>
      <c r="L6873" t="s">
        <v>26</v>
      </c>
      <c r="M6873">
        <v>353674</v>
      </c>
      <c r="N6873">
        <v>1</v>
      </c>
      <c r="O6873" s="3">
        <v>69950</v>
      </c>
      <c r="P6873" s="3">
        <v>22007</v>
      </c>
      <c r="Q6873" s="5">
        <f t="shared" si="321"/>
        <v>58781.512605042022</v>
      </c>
      <c r="R6873" s="5">
        <f t="shared" si="322"/>
        <v>22007</v>
      </c>
      <c r="S6873" s="5">
        <f t="shared" si="323"/>
        <v>36774.512605042022</v>
      </c>
    </row>
    <row r="6874" spans="1:19" hidden="1" x14ac:dyDescent="0.3">
      <c r="A6874">
        <v>210</v>
      </c>
      <c r="B6874" t="s">
        <v>6520</v>
      </c>
      <c r="C6874" t="s">
        <v>1212</v>
      </c>
      <c r="D6874" s="2" t="s">
        <v>1213</v>
      </c>
      <c r="E6874" t="s">
        <v>1214</v>
      </c>
      <c r="F6874" t="s">
        <v>20</v>
      </c>
      <c r="G6874" t="s">
        <v>21</v>
      </c>
      <c r="H6874" t="s">
        <v>224</v>
      </c>
      <c r="I6874" t="s">
        <v>23</v>
      </c>
      <c r="J6874" t="s">
        <v>49</v>
      </c>
      <c r="K6874" s="2" t="s">
        <v>2149</v>
      </c>
      <c r="L6874" t="s">
        <v>26</v>
      </c>
      <c r="M6874">
        <v>353674</v>
      </c>
      <c r="N6874">
        <v>1</v>
      </c>
      <c r="O6874" s="3">
        <v>49990</v>
      </c>
      <c r="P6874" s="3">
        <v>25245</v>
      </c>
      <c r="Q6874" s="5">
        <f t="shared" si="321"/>
        <v>42008.403361344543</v>
      </c>
      <c r="R6874" s="5">
        <f t="shared" si="322"/>
        <v>25245</v>
      </c>
      <c r="S6874" s="5">
        <f t="shared" si="323"/>
        <v>16763.403361344543</v>
      </c>
    </row>
    <row r="6875" spans="1:19" hidden="1" x14ac:dyDescent="0.3">
      <c r="A6875">
        <v>210</v>
      </c>
      <c r="B6875" t="s">
        <v>6520</v>
      </c>
      <c r="C6875" t="s">
        <v>1279</v>
      </c>
      <c r="D6875" s="2" t="s">
        <v>1280</v>
      </c>
      <c r="E6875" t="s">
        <v>1281</v>
      </c>
      <c r="F6875" t="s">
        <v>20</v>
      </c>
      <c r="G6875" t="s">
        <v>21</v>
      </c>
      <c r="H6875" t="s">
        <v>1282</v>
      </c>
      <c r="I6875" t="s">
        <v>23</v>
      </c>
      <c r="J6875" t="s">
        <v>40</v>
      </c>
      <c r="K6875" s="2" t="s">
        <v>2149</v>
      </c>
      <c r="L6875" t="s">
        <v>26</v>
      </c>
      <c r="M6875">
        <v>353675</v>
      </c>
      <c r="N6875">
        <v>1</v>
      </c>
      <c r="O6875" s="3">
        <v>49950</v>
      </c>
      <c r="P6875" s="3">
        <v>13922</v>
      </c>
      <c r="Q6875" s="5">
        <f t="shared" si="321"/>
        <v>41974.789915966387</v>
      </c>
      <c r="R6875" s="5">
        <f t="shared" si="322"/>
        <v>13922</v>
      </c>
      <c r="S6875" s="5">
        <f t="shared" si="323"/>
        <v>28052.789915966387</v>
      </c>
    </row>
    <row r="6876" spans="1:19" hidden="1" x14ac:dyDescent="0.3">
      <c r="A6876">
        <v>210</v>
      </c>
      <c r="B6876" t="s">
        <v>6520</v>
      </c>
      <c r="C6876" t="s">
        <v>5489</v>
      </c>
      <c r="D6876" s="2" t="s">
        <v>5490</v>
      </c>
      <c r="E6876" t="s">
        <v>3764</v>
      </c>
      <c r="F6876" t="s">
        <v>20</v>
      </c>
      <c r="G6876" t="s">
        <v>21</v>
      </c>
      <c r="H6876" t="s">
        <v>1282</v>
      </c>
      <c r="I6876" t="s">
        <v>23</v>
      </c>
      <c r="J6876" t="s">
        <v>40</v>
      </c>
      <c r="K6876" s="2" t="s">
        <v>2149</v>
      </c>
      <c r="L6876" t="s">
        <v>26</v>
      </c>
      <c r="M6876">
        <v>353675</v>
      </c>
      <c r="N6876">
        <v>1</v>
      </c>
      <c r="O6876" s="3">
        <v>49950</v>
      </c>
      <c r="P6876" s="3">
        <v>13922</v>
      </c>
      <c r="Q6876" s="5">
        <f t="shared" si="321"/>
        <v>41974.789915966387</v>
      </c>
      <c r="R6876" s="5">
        <f t="shared" si="322"/>
        <v>13922</v>
      </c>
      <c r="S6876" s="5">
        <f t="shared" si="323"/>
        <v>28052.789915966387</v>
      </c>
    </row>
    <row r="6877" spans="1:19" hidden="1" x14ac:dyDescent="0.3">
      <c r="A6877">
        <v>210</v>
      </c>
      <c r="B6877" t="s">
        <v>6520</v>
      </c>
      <c r="C6877" t="s">
        <v>4002</v>
      </c>
      <c r="D6877" s="2" t="s">
        <v>4003</v>
      </c>
      <c r="E6877" t="s">
        <v>2373</v>
      </c>
      <c r="F6877" t="s">
        <v>20</v>
      </c>
      <c r="G6877" t="s">
        <v>338</v>
      </c>
      <c r="H6877">
        <v>24239</v>
      </c>
      <c r="I6877" t="s">
        <v>23</v>
      </c>
      <c r="J6877" t="s">
        <v>95</v>
      </c>
      <c r="K6877" s="2" t="s">
        <v>2149</v>
      </c>
      <c r="L6877" t="s">
        <v>26</v>
      </c>
      <c r="M6877">
        <v>353675</v>
      </c>
      <c r="N6877">
        <v>1</v>
      </c>
      <c r="O6877" s="3">
        <v>59950</v>
      </c>
      <c r="P6877" s="3">
        <v>18677</v>
      </c>
      <c r="Q6877" s="5">
        <f t="shared" si="321"/>
        <v>50378.151260504201</v>
      </c>
      <c r="R6877" s="5">
        <f t="shared" si="322"/>
        <v>18677</v>
      </c>
      <c r="S6877" s="5">
        <f t="shared" si="323"/>
        <v>31701.151260504201</v>
      </c>
    </row>
    <row r="6878" spans="1:19" hidden="1" x14ac:dyDescent="0.3">
      <c r="A6878">
        <v>210</v>
      </c>
      <c r="B6878" t="s">
        <v>6520</v>
      </c>
      <c r="C6878" t="s">
        <v>6671</v>
      </c>
      <c r="D6878" s="2" t="s">
        <v>6672</v>
      </c>
      <c r="E6878" t="s">
        <v>1151</v>
      </c>
      <c r="F6878" t="s">
        <v>20</v>
      </c>
      <c r="G6878" t="s">
        <v>338</v>
      </c>
      <c r="H6878">
        <v>25362</v>
      </c>
      <c r="I6878" t="s">
        <v>23</v>
      </c>
      <c r="J6878" t="s">
        <v>35</v>
      </c>
      <c r="K6878" s="2" t="s">
        <v>2149</v>
      </c>
      <c r="L6878" t="s">
        <v>26</v>
      </c>
      <c r="M6878">
        <v>353676</v>
      </c>
      <c r="N6878">
        <v>0</v>
      </c>
      <c r="O6878">
        <v>1</v>
      </c>
      <c r="P6878" s="3">
        <v>23473</v>
      </c>
      <c r="Q6878" s="5">
        <f t="shared" si="321"/>
        <v>0.84033613445378152</v>
      </c>
      <c r="R6878" s="5">
        <f t="shared" si="322"/>
        <v>0</v>
      </c>
      <c r="S6878" s="5">
        <f t="shared" si="323"/>
        <v>0.84033613445378152</v>
      </c>
    </row>
    <row r="6879" spans="1:19" hidden="1" x14ac:dyDescent="0.3">
      <c r="A6879">
        <v>210</v>
      </c>
      <c r="B6879" t="s">
        <v>6520</v>
      </c>
      <c r="C6879" t="s">
        <v>2796</v>
      </c>
      <c r="D6879" s="2" t="s">
        <v>2797</v>
      </c>
      <c r="E6879" t="s">
        <v>1453</v>
      </c>
      <c r="F6879" t="s">
        <v>20</v>
      </c>
      <c r="G6879" t="s">
        <v>338</v>
      </c>
      <c r="H6879">
        <v>22410</v>
      </c>
      <c r="I6879" t="s">
        <v>23</v>
      </c>
      <c r="J6879" t="s">
        <v>49</v>
      </c>
      <c r="K6879" s="2" t="s">
        <v>2192</v>
      </c>
      <c r="L6879" t="s">
        <v>26</v>
      </c>
      <c r="M6879">
        <v>353677</v>
      </c>
      <c r="N6879">
        <v>1</v>
      </c>
      <c r="O6879" s="3">
        <v>69950</v>
      </c>
      <c r="P6879" s="3">
        <v>20848</v>
      </c>
      <c r="Q6879" s="5">
        <f t="shared" si="321"/>
        <v>58781.512605042022</v>
      </c>
      <c r="R6879" s="5">
        <f t="shared" si="322"/>
        <v>20848</v>
      </c>
      <c r="S6879" s="5">
        <f t="shared" si="323"/>
        <v>37933.512605042022</v>
      </c>
    </row>
    <row r="6880" spans="1:19" hidden="1" x14ac:dyDescent="0.3">
      <c r="A6880">
        <v>210</v>
      </c>
      <c r="B6880" t="s">
        <v>6520</v>
      </c>
      <c r="C6880" t="s">
        <v>1267</v>
      </c>
      <c r="D6880" s="2" t="s">
        <v>1268</v>
      </c>
      <c r="E6880" t="s">
        <v>1269</v>
      </c>
      <c r="F6880" t="s">
        <v>377</v>
      </c>
      <c r="G6880" t="s">
        <v>21</v>
      </c>
      <c r="H6880" t="s">
        <v>378</v>
      </c>
      <c r="I6880" t="s">
        <v>23</v>
      </c>
      <c r="J6880" t="s">
        <v>379</v>
      </c>
      <c r="K6880" s="2" t="s">
        <v>2192</v>
      </c>
      <c r="L6880" t="s">
        <v>26</v>
      </c>
      <c r="M6880">
        <v>353678</v>
      </c>
      <c r="N6880">
        <v>1</v>
      </c>
      <c r="O6880" s="3">
        <v>5950</v>
      </c>
      <c r="P6880" s="3">
        <v>1850</v>
      </c>
      <c r="Q6880" s="5">
        <f t="shared" si="321"/>
        <v>5000</v>
      </c>
      <c r="R6880" s="5">
        <f t="shared" si="322"/>
        <v>1850</v>
      </c>
      <c r="S6880" s="5">
        <f t="shared" si="323"/>
        <v>3150</v>
      </c>
    </row>
    <row r="6881" spans="1:19" hidden="1" x14ac:dyDescent="0.3">
      <c r="A6881">
        <v>210</v>
      </c>
      <c r="B6881" t="s">
        <v>6520</v>
      </c>
      <c r="C6881" t="s">
        <v>2884</v>
      </c>
      <c r="D6881" s="2" t="s">
        <v>2885</v>
      </c>
      <c r="E6881" t="s">
        <v>1330</v>
      </c>
      <c r="F6881" t="s">
        <v>20</v>
      </c>
      <c r="G6881" t="s">
        <v>338</v>
      </c>
      <c r="H6881">
        <v>25133</v>
      </c>
      <c r="I6881" t="s">
        <v>23</v>
      </c>
      <c r="J6881" t="s">
        <v>35</v>
      </c>
      <c r="K6881" s="2" t="s">
        <v>2192</v>
      </c>
      <c r="L6881" t="s">
        <v>26</v>
      </c>
      <c r="M6881">
        <v>353679</v>
      </c>
      <c r="N6881">
        <v>1</v>
      </c>
      <c r="O6881" s="3">
        <v>74950</v>
      </c>
      <c r="P6881" s="3">
        <v>21167</v>
      </c>
      <c r="Q6881" s="5">
        <f t="shared" si="321"/>
        <v>62983.193277310929</v>
      </c>
      <c r="R6881" s="5">
        <f t="shared" si="322"/>
        <v>21167</v>
      </c>
      <c r="S6881" s="5">
        <f t="shared" si="323"/>
        <v>41816.193277310929</v>
      </c>
    </row>
    <row r="6882" spans="1:19" hidden="1" x14ac:dyDescent="0.3">
      <c r="A6882">
        <v>210</v>
      </c>
      <c r="B6882" t="s">
        <v>6520</v>
      </c>
      <c r="C6882" t="s">
        <v>5113</v>
      </c>
      <c r="D6882" s="2" t="s">
        <v>5114</v>
      </c>
      <c r="E6882" t="s">
        <v>3036</v>
      </c>
      <c r="F6882" t="s">
        <v>20</v>
      </c>
      <c r="G6882" t="s">
        <v>338</v>
      </c>
      <c r="H6882">
        <v>25273</v>
      </c>
      <c r="I6882" t="s">
        <v>23</v>
      </c>
      <c r="J6882" t="s">
        <v>35</v>
      </c>
      <c r="K6882" s="2" t="s">
        <v>2192</v>
      </c>
      <c r="L6882" t="s">
        <v>26</v>
      </c>
      <c r="M6882">
        <v>353680</v>
      </c>
      <c r="N6882">
        <v>1</v>
      </c>
      <c r="O6882" s="3">
        <v>99950</v>
      </c>
      <c r="P6882" s="3">
        <v>32658</v>
      </c>
      <c r="Q6882" s="5">
        <f t="shared" si="321"/>
        <v>83991.596638655465</v>
      </c>
      <c r="R6882" s="5">
        <f t="shared" si="322"/>
        <v>32658</v>
      </c>
      <c r="S6882" s="5">
        <f t="shared" si="323"/>
        <v>51333.596638655465</v>
      </c>
    </row>
    <row r="6883" spans="1:19" hidden="1" x14ac:dyDescent="0.3">
      <c r="A6883">
        <v>210</v>
      </c>
      <c r="B6883" t="s">
        <v>6520</v>
      </c>
      <c r="C6883" t="s">
        <v>6688</v>
      </c>
      <c r="D6883" s="2" t="s">
        <v>6689</v>
      </c>
      <c r="E6883" t="s">
        <v>5323</v>
      </c>
      <c r="F6883" t="s">
        <v>20</v>
      </c>
      <c r="G6883" t="s">
        <v>338</v>
      </c>
      <c r="H6883">
        <v>25908</v>
      </c>
      <c r="I6883" t="s">
        <v>23</v>
      </c>
      <c r="J6883" t="s">
        <v>35</v>
      </c>
      <c r="K6883" s="2" t="s">
        <v>2192</v>
      </c>
      <c r="L6883" t="s">
        <v>26</v>
      </c>
      <c r="M6883">
        <v>353681</v>
      </c>
      <c r="N6883">
        <v>1</v>
      </c>
      <c r="O6883" s="3">
        <v>89950</v>
      </c>
      <c r="P6883" s="3">
        <v>27207</v>
      </c>
      <c r="Q6883" s="5">
        <f t="shared" si="321"/>
        <v>75588.23529411765</v>
      </c>
      <c r="R6883" s="5">
        <f t="shared" si="322"/>
        <v>27207</v>
      </c>
      <c r="S6883" s="5">
        <f t="shared" si="323"/>
        <v>48381.23529411765</v>
      </c>
    </row>
    <row r="6884" spans="1:19" hidden="1" x14ac:dyDescent="0.3">
      <c r="A6884">
        <v>210</v>
      </c>
      <c r="B6884" t="s">
        <v>6520</v>
      </c>
      <c r="C6884" t="s">
        <v>6690</v>
      </c>
      <c r="D6884" s="2" t="s">
        <v>6691</v>
      </c>
      <c r="E6884" t="s">
        <v>3406</v>
      </c>
      <c r="F6884" t="s">
        <v>20</v>
      </c>
      <c r="G6884" t="s">
        <v>338</v>
      </c>
      <c r="H6884">
        <v>26825</v>
      </c>
      <c r="I6884" t="s">
        <v>23</v>
      </c>
      <c r="J6884" t="s">
        <v>35</v>
      </c>
      <c r="K6884" s="2" t="s">
        <v>2192</v>
      </c>
      <c r="L6884" t="s">
        <v>26</v>
      </c>
      <c r="M6884">
        <v>353681</v>
      </c>
      <c r="N6884">
        <v>1</v>
      </c>
      <c r="O6884" s="3">
        <v>79950</v>
      </c>
      <c r="P6884" s="3">
        <v>23119</v>
      </c>
      <c r="Q6884" s="5">
        <f t="shared" si="321"/>
        <v>67184.873949579836</v>
      </c>
      <c r="R6884" s="5">
        <f t="shared" si="322"/>
        <v>23119</v>
      </c>
      <c r="S6884" s="5">
        <f t="shared" si="323"/>
        <v>44065.873949579836</v>
      </c>
    </row>
    <row r="6885" spans="1:19" hidden="1" x14ac:dyDescent="0.3">
      <c r="A6885">
        <v>210</v>
      </c>
      <c r="B6885" t="s">
        <v>6520</v>
      </c>
      <c r="C6885" t="s">
        <v>6692</v>
      </c>
      <c r="D6885" s="2" t="s">
        <v>6693</v>
      </c>
      <c r="E6885" t="s">
        <v>3036</v>
      </c>
      <c r="F6885" t="s">
        <v>20</v>
      </c>
      <c r="G6885" t="s">
        <v>338</v>
      </c>
      <c r="H6885">
        <v>25273</v>
      </c>
      <c r="I6885" t="s">
        <v>23</v>
      </c>
      <c r="J6885" t="s">
        <v>35</v>
      </c>
      <c r="K6885" s="2" t="s">
        <v>2192</v>
      </c>
      <c r="L6885" t="s">
        <v>26</v>
      </c>
      <c r="M6885">
        <v>353682</v>
      </c>
      <c r="N6885">
        <v>1</v>
      </c>
      <c r="O6885" s="3">
        <v>99950</v>
      </c>
      <c r="P6885" s="3">
        <v>32658</v>
      </c>
      <c r="Q6885" s="5">
        <f t="shared" si="321"/>
        <v>83991.596638655465</v>
      </c>
      <c r="R6885" s="5">
        <f t="shared" si="322"/>
        <v>32658</v>
      </c>
      <c r="S6885" s="5">
        <f t="shared" si="323"/>
        <v>51333.596638655465</v>
      </c>
    </row>
    <row r="6886" spans="1:19" hidden="1" x14ac:dyDescent="0.3">
      <c r="A6886">
        <v>210</v>
      </c>
      <c r="B6886" t="s">
        <v>6520</v>
      </c>
      <c r="C6886" t="s">
        <v>5037</v>
      </c>
      <c r="D6886" s="2" t="s">
        <v>5038</v>
      </c>
      <c r="E6886" t="s">
        <v>4346</v>
      </c>
      <c r="F6886" t="s">
        <v>20</v>
      </c>
      <c r="G6886" t="s">
        <v>21</v>
      </c>
      <c r="H6886" t="s">
        <v>1755</v>
      </c>
      <c r="I6886" t="s">
        <v>23</v>
      </c>
      <c r="J6886" t="s">
        <v>35</v>
      </c>
      <c r="K6886" s="2" t="s">
        <v>2192</v>
      </c>
      <c r="L6886" t="s">
        <v>26</v>
      </c>
      <c r="M6886">
        <v>353683</v>
      </c>
      <c r="N6886">
        <v>1</v>
      </c>
      <c r="O6886" s="3">
        <v>59990</v>
      </c>
      <c r="P6886" s="3">
        <v>28298</v>
      </c>
      <c r="Q6886" s="5">
        <f t="shared" si="321"/>
        <v>50411.764705882357</v>
      </c>
      <c r="R6886" s="5">
        <f t="shared" si="322"/>
        <v>28298</v>
      </c>
      <c r="S6886" s="5">
        <f t="shared" si="323"/>
        <v>22113.764705882357</v>
      </c>
    </row>
    <row r="6887" spans="1:19" hidden="1" x14ac:dyDescent="0.3">
      <c r="A6887">
        <v>210</v>
      </c>
      <c r="B6887" t="s">
        <v>6520</v>
      </c>
      <c r="C6887" t="s">
        <v>5392</v>
      </c>
      <c r="D6887" s="2" t="s">
        <v>5393</v>
      </c>
      <c r="E6887" t="s">
        <v>5088</v>
      </c>
      <c r="F6887" t="s">
        <v>20</v>
      </c>
      <c r="G6887" t="s">
        <v>338</v>
      </c>
      <c r="H6887">
        <v>25327</v>
      </c>
      <c r="I6887" t="s">
        <v>23</v>
      </c>
      <c r="J6887" t="s">
        <v>35</v>
      </c>
      <c r="K6887" s="2" t="s">
        <v>2192</v>
      </c>
      <c r="L6887" t="s">
        <v>26</v>
      </c>
      <c r="M6887">
        <v>353683</v>
      </c>
      <c r="N6887">
        <v>1</v>
      </c>
      <c r="O6887" s="3">
        <v>74950</v>
      </c>
      <c r="P6887" s="3">
        <v>23119</v>
      </c>
      <c r="Q6887" s="5">
        <f t="shared" si="321"/>
        <v>62983.193277310929</v>
      </c>
      <c r="R6887" s="5">
        <f t="shared" si="322"/>
        <v>23119</v>
      </c>
      <c r="S6887" s="5">
        <f t="shared" si="323"/>
        <v>39864.193277310929</v>
      </c>
    </row>
    <row r="6888" spans="1:19" hidden="1" x14ac:dyDescent="0.3">
      <c r="A6888">
        <v>210</v>
      </c>
      <c r="B6888" t="s">
        <v>6520</v>
      </c>
      <c r="C6888" t="s">
        <v>4665</v>
      </c>
      <c r="D6888" s="2" t="s">
        <v>4666</v>
      </c>
      <c r="E6888" t="s">
        <v>4132</v>
      </c>
      <c r="F6888" t="s">
        <v>20</v>
      </c>
      <c r="G6888" t="s">
        <v>21</v>
      </c>
      <c r="H6888" t="s">
        <v>1914</v>
      </c>
      <c r="I6888" t="s">
        <v>23</v>
      </c>
      <c r="J6888" t="s">
        <v>49</v>
      </c>
      <c r="K6888" s="2" t="s">
        <v>2192</v>
      </c>
      <c r="L6888" t="s">
        <v>26</v>
      </c>
      <c r="M6888">
        <v>353684</v>
      </c>
      <c r="N6888">
        <v>1</v>
      </c>
      <c r="O6888" s="3">
        <v>74950</v>
      </c>
      <c r="P6888" s="3">
        <v>24732</v>
      </c>
      <c r="Q6888" s="5">
        <f t="shared" si="321"/>
        <v>62983.193277310929</v>
      </c>
      <c r="R6888" s="5">
        <f t="shared" si="322"/>
        <v>24732</v>
      </c>
      <c r="S6888" s="5">
        <f t="shared" si="323"/>
        <v>38251.193277310929</v>
      </c>
    </row>
    <row r="6889" spans="1:19" hidden="1" x14ac:dyDescent="0.3">
      <c r="A6889">
        <v>210</v>
      </c>
      <c r="B6889" t="s">
        <v>6520</v>
      </c>
      <c r="C6889" t="s">
        <v>3294</v>
      </c>
      <c r="D6889" s="2" t="s">
        <v>3295</v>
      </c>
      <c r="E6889" t="s">
        <v>3296</v>
      </c>
      <c r="F6889" t="s">
        <v>377</v>
      </c>
      <c r="G6889" t="s">
        <v>21</v>
      </c>
      <c r="H6889" t="s">
        <v>378</v>
      </c>
      <c r="I6889" t="s">
        <v>23</v>
      </c>
      <c r="J6889" t="s">
        <v>3297</v>
      </c>
      <c r="K6889" s="2" t="s">
        <v>2192</v>
      </c>
      <c r="L6889" t="s">
        <v>26</v>
      </c>
      <c r="M6889">
        <v>353685</v>
      </c>
      <c r="N6889">
        <v>1</v>
      </c>
      <c r="O6889">
        <v>500</v>
      </c>
      <c r="P6889">
        <v>358</v>
      </c>
      <c r="Q6889" s="5">
        <f t="shared" si="321"/>
        <v>420.1680672268908</v>
      </c>
      <c r="R6889" s="5">
        <f t="shared" si="322"/>
        <v>358</v>
      </c>
      <c r="S6889" s="5">
        <f t="shared" si="323"/>
        <v>62.168067226890798</v>
      </c>
    </row>
    <row r="6890" spans="1:19" hidden="1" x14ac:dyDescent="0.3">
      <c r="A6890">
        <v>210</v>
      </c>
      <c r="B6890" t="s">
        <v>6520</v>
      </c>
      <c r="C6890" t="s">
        <v>1434</v>
      </c>
      <c r="D6890" s="2" t="s">
        <v>1435</v>
      </c>
      <c r="E6890" t="s">
        <v>1436</v>
      </c>
      <c r="F6890" t="s">
        <v>20</v>
      </c>
      <c r="G6890" t="s">
        <v>21</v>
      </c>
      <c r="H6890" t="s">
        <v>500</v>
      </c>
      <c r="I6890" t="s">
        <v>23</v>
      </c>
      <c r="J6890" t="s">
        <v>40</v>
      </c>
      <c r="K6890" s="2" t="s">
        <v>2192</v>
      </c>
      <c r="L6890" t="s">
        <v>26</v>
      </c>
      <c r="M6890">
        <v>353686</v>
      </c>
      <c r="N6890">
        <v>1</v>
      </c>
      <c r="O6890" s="3">
        <v>59950</v>
      </c>
      <c r="P6890" s="3">
        <v>17591</v>
      </c>
      <c r="Q6890" s="5">
        <f t="shared" si="321"/>
        <v>50378.151260504201</v>
      </c>
      <c r="R6890" s="5">
        <f t="shared" si="322"/>
        <v>17591</v>
      </c>
      <c r="S6890" s="5">
        <f t="shared" si="323"/>
        <v>32787.151260504201</v>
      </c>
    </row>
    <row r="6891" spans="1:19" hidden="1" x14ac:dyDescent="0.3">
      <c r="A6891">
        <v>210</v>
      </c>
      <c r="B6891" t="s">
        <v>6520</v>
      </c>
      <c r="C6891" t="s">
        <v>4120</v>
      </c>
      <c r="D6891" s="2" t="s">
        <v>4121</v>
      </c>
      <c r="E6891" t="s">
        <v>1439</v>
      </c>
      <c r="F6891" t="s">
        <v>20</v>
      </c>
      <c r="G6891" t="s">
        <v>21</v>
      </c>
      <c r="H6891" t="s">
        <v>1440</v>
      </c>
      <c r="I6891" t="s">
        <v>23</v>
      </c>
      <c r="J6891" t="s">
        <v>40</v>
      </c>
      <c r="K6891" s="2" t="s">
        <v>2192</v>
      </c>
      <c r="L6891" t="s">
        <v>26</v>
      </c>
      <c r="M6891">
        <v>353687</v>
      </c>
      <c r="N6891">
        <v>1</v>
      </c>
      <c r="O6891" s="3">
        <v>64950</v>
      </c>
      <c r="P6891" s="3">
        <v>17328</v>
      </c>
      <c r="Q6891" s="5">
        <f t="shared" si="321"/>
        <v>54579.831932773115</v>
      </c>
      <c r="R6891" s="5">
        <f t="shared" si="322"/>
        <v>17328</v>
      </c>
      <c r="S6891" s="5">
        <f t="shared" si="323"/>
        <v>37251.831932773115</v>
      </c>
    </row>
    <row r="6892" spans="1:19" hidden="1" x14ac:dyDescent="0.3">
      <c r="A6892">
        <v>210</v>
      </c>
      <c r="B6892" t="s">
        <v>6520</v>
      </c>
      <c r="C6892" t="s">
        <v>3294</v>
      </c>
      <c r="D6892" s="2" t="s">
        <v>3295</v>
      </c>
      <c r="E6892" t="s">
        <v>3296</v>
      </c>
      <c r="F6892" t="s">
        <v>377</v>
      </c>
      <c r="G6892" t="s">
        <v>21</v>
      </c>
      <c r="H6892" t="s">
        <v>378</v>
      </c>
      <c r="I6892" t="s">
        <v>23</v>
      </c>
      <c r="J6892" t="s">
        <v>3297</v>
      </c>
      <c r="K6892" s="2" t="s">
        <v>2192</v>
      </c>
      <c r="L6892" t="s">
        <v>26</v>
      </c>
      <c r="M6892">
        <v>353687</v>
      </c>
      <c r="N6892">
        <v>1</v>
      </c>
      <c r="O6892">
        <v>500</v>
      </c>
      <c r="P6892">
        <v>358</v>
      </c>
      <c r="Q6892" s="5">
        <f t="shared" si="321"/>
        <v>420.1680672268908</v>
      </c>
      <c r="R6892" s="5">
        <f t="shared" si="322"/>
        <v>358</v>
      </c>
      <c r="S6892" s="5">
        <f t="shared" si="323"/>
        <v>62.168067226890798</v>
      </c>
    </row>
    <row r="6893" spans="1:19" hidden="1" x14ac:dyDescent="0.3">
      <c r="A6893">
        <v>210</v>
      </c>
      <c r="B6893" t="s">
        <v>6520</v>
      </c>
      <c r="C6893" t="s">
        <v>6694</v>
      </c>
      <c r="D6893" s="2" t="s">
        <v>6695</v>
      </c>
      <c r="E6893" t="s">
        <v>3180</v>
      </c>
      <c r="F6893" t="s">
        <v>20</v>
      </c>
      <c r="G6893" t="s">
        <v>338</v>
      </c>
      <c r="H6893">
        <v>23313</v>
      </c>
      <c r="I6893" t="s">
        <v>23</v>
      </c>
      <c r="J6893" t="s">
        <v>40</v>
      </c>
      <c r="K6893" s="2" t="s">
        <v>2192</v>
      </c>
      <c r="L6893" t="s">
        <v>26</v>
      </c>
      <c r="M6893">
        <v>353688</v>
      </c>
      <c r="N6893">
        <v>1</v>
      </c>
      <c r="O6893" s="3">
        <v>69950</v>
      </c>
      <c r="P6893" s="3">
        <v>23534</v>
      </c>
      <c r="Q6893" s="5">
        <f t="shared" si="321"/>
        <v>58781.512605042022</v>
      </c>
      <c r="R6893" s="5">
        <f t="shared" si="322"/>
        <v>23534</v>
      </c>
      <c r="S6893" s="5">
        <f t="shared" si="323"/>
        <v>35247.512605042022</v>
      </c>
    </row>
    <row r="6894" spans="1:19" hidden="1" x14ac:dyDescent="0.3">
      <c r="A6894">
        <v>210</v>
      </c>
      <c r="B6894" t="s">
        <v>6520</v>
      </c>
      <c r="C6894" t="s">
        <v>1464</v>
      </c>
      <c r="D6894" s="2" t="s">
        <v>1465</v>
      </c>
      <c r="E6894" t="s">
        <v>1466</v>
      </c>
      <c r="F6894" t="s">
        <v>20</v>
      </c>
      <c r="G6894" t="s">
        <v>21</v>
      </c>
      <c r="H6894" t="s">
        <v>65</v>
      </c>
      <c r="I6894" t="s">
        <v>23</v>
      </c>
      <c r="J6894" t="s">
        <v>49</v>
      </c>
      <c r="K6894" s="2" t="s">
        <v>2192</v>
      </c>
      <c r="L6894" t="s">
        <v>26</v>
      </c>
      <c r="M6894">
        <v>353689</v>
      </c>
      <c r="N6894">
        <v>1</v>
      </c>
      <c r="O6894" s="3">
        <v>64950</v>
      </c>
      <c r="P6894" s="3">
        <v>18663</v>
      </c>
      <c r="Q6894" s="5">
        <f t="shared" si="321"/>
        <v>54579.831932773115</v>
      </c>
      <c r="R6894" s="5">
        <f t="shared" si="322"/>
        <v>18663</v>
      </c>
      <c r="S6894" s="5">
        <f t="shared" si="323"/>
        <v>35916.831932773115</v>
      </c>
    </row>
    <row r="6895" spans="1:19" hidden="1" x14ac:dyDescent="0.3">
      <c r="A6895">
        <v>210</v>
      </c>
      <c r="B6895" t="s">
        <v>6520</v>
      </c>
      <c r="C6895" t="s">
        <v>4891</v>
      </c>
      <c r="D6895" s="2" t="s">
        <v>4892</v>
      </c>
      <c r="E6895" t="s">
        <v>2493</v>
      </c>
      <c r="F6895" t="s">
        <v>20</v>
      </c>
      <c r="G6895" t="s">
        <v>21</v>
      </c>
      <c r="H6895" t="s">
        <v>2494</v>
      </c>
      <c r="I6895" t="s">
        <v>23</v>
      </c>
      <c r="J6895" t="s">
        <v>40</v>
      </c>
      <c r="K6895" s="2" t="s">
        <v>2192</v>
      </c>
      <c r="L6895" t="s">
        <v>26</v>
      </c>
      <c r="M6895">
        <v>353690</v>
      </c>
      <c r="N6895">
        <v>1</v>
      </c>
      <c r="O6895" s="3">
        <v>69950</v>
      </c>
      <c r="P6895" s="3">
        <v>22206</v>
      </c>
      <c r="Q6895" s="5">
        <f t="shared" si="321"/>
        <v>58781.512605042022</v>
      </c>
      <c r="R6895" s="5">
        <f t="shared" si="322"/>
        <v>22206</v>
      </c>
      <c r="S6895" s="5">
        <f t="shared" si="323"/>
        <v>36575.512605042022</v>
      </c>
    </row>
    <row r="6896" spans="1:19" hidden="1" x14ac:dyDescent="0.3">
      <c r="A6896">
        <v>210</v>
      </c>
      <c r="B6896" t="s">
        <v>6520</v>
      </c>
      <c r="C6896" t="s">
        <v>2691</v>
      </c>
      <c r="D6896" s="2" t="s">
        <v>2692</v>
      </c>
      <c r="E6896" t="s">
        <v>2436</v>
      </c>
      <c r="F6896" t="s">
        <v>20</v>
      </c>
      <c r="G6896" t="s">
        <v>338</v>
      </c>
      <c r="H6896">
        <v>22318</v>
      </c>
      <c r="I6896" t="s">
        <v>23</v>
      </c>
      <c r="J6896" t="s">
        <v>49</v>
      </c>
      <c r="K6896" s="2" t="s">
        <v>2192</v>
      </c>
      <c r="L6896" t="s">
        <v>26</v>
      </c>
      <c r="M6896">
        <v>353690</v>
      </c>
      <c r="N6896">
        <v>-1</v>
      </c>
      <c r="O6896" s="3">
        <v>-74950</v>
      </c>
      <c r="P6896" s="3">
        <v>23473</v>
      </c>
      <c r="Q6896" s="5">
        <f t="shared" si="321"/>
        <v>-62983.193277310929</v>
      </c>
      <c r="R6896" s="5">
        <f t="shared" si="322"/>
        <v>-23473</v>
      </c>
      <c r="S6896" s="5">
        <f t="shared" si="323"/>
        <v>-39510.193277310929</v>
      </c>
    </row>
    <row r="6897" spans="1:19" hidden="1" x14ac:dyDescent="0.3">
      <c r="A6897">
        <v>210</v>
      </c>
      <c r="B6897" t="s">
        <v>6520</v>
      </c>
      <c r="C6897" t="s">
        <v>2485</v>
      </c>
      <c r="D6897" s="2" t="s">
        <v>2486</v>
      </c>
      <c r="E6897" t="s">
        <v>2487</v>
      </c>
      <c r="F6897" t="s">
        <v>377</v>
      </c>
      <c r="G6897" t="s">
        <v>21</v>
      </c>
      <c r="H6897" t="s">
        <v>378</v>
      </c>
      <c r="I6897" t="s">
        <v>23</v>
      </c>
      <c r="J6897" t="s">
        <v>379</v>
      </c>
      <c r="K6897" s="2" t="s">
        <v>2192</v>
      </c>
      <c r="L6897" t="s">
        <v>26</v>
      </c>
      <c r="M6897">
        <v>353690</v>
      </c>
      <c r="N6897">
        <v>1</v>
      </c>
      <c r="O6897" s="3">
        <v>5950</v>
      </c>
      <c r="P6897" s="3">
        <v>2243</v>
      </c>
      <c r="Q6897" s="5">
        <f t="shared" si="321"/>
        <v>5000</v>
      </c>
      <c r="R6897" s="5">
        <f t="shared" si="322"/>
        <v>2243</v>
      </c>
      <c r="S6897" s="5">
        <f t="shared" si="323"/>
        <v>2757</v>
      </c>
    </row>
    <row r="6898" spans="1:19" hidden="1" x14ac:dyDescent="0.3">
      <c r="A6898">
        <v>210</v>
      </c>
      <c r="B6898" t="s">
        <v>6520</v>
      </c>
      <c r="C6898" t="s">
        <v>6696</v>
      </c>
      <c r="D6898" s="2" t="s">
        <v>6697</v>
      </c>
      <c r="E6898" t="s">
        <v>6698</v>
      </c>
      <c r="F6898" t="s">
        <v>20</v>
      </c>
      <c r="G6898" t="s">
        <v>338</v>
      </c>
      <c r="H6898">
        <v>85603</v>
      </c>
      <c r="I6898" t="s">
        <v>23</v>
      </c>
      <c r="J6898" t="s">
        <v>31</v>
      </c>
      <c r="K6898" s="2" t="s">
        <v>2192</v>
      </c>
      <c r="L6898" t="s">
        <v>26</v>
      </c>
      <c r="M6898">
        <v>353691</v>
      </c>
      <c r="N6898">
        <v>1</v>
      </c>
      <c r="O6898" s="3">
        <v>149950</v>
      </c>
      <c r="P6898" s="3">
        <v>50145</v>
      </c>
      <c r="Q6898" s="5">
        <f t="shared" si="321"/>
        <v>126008.40336134455</v>
      </c>
      <c r="R6898" s="5">
        <f t="shared" si="322"/>
        <v>50145</v>
      </c>
      <c r="S6898" s="5">
        <f t="shared" si="323"/>
        <v>75863.40336134455</v>
      </c>
    </row>
    <row r="6899" spans="1:19" hidden="1" x14ac:dyDescent="0.3">
      <c r="A6899">
        <v>210</v>
      </c>
      <c r="B6899" t="s">
        <v>6520</v>
      </c>
      <c r="C6899" t="s">
        <v>4665</v>
      </c>
      <c r="D6899" s="2" t="s">
        <v>4666</v>
      </c>
      <c r="E6899" t="s">
        <v>4132</v>
      </c>
      <c r="F6899" t="s">
        <v>20</v>
      </c>
      <c r="G6899" t="s">
        <v>21</v>
      </c>
      <c r="H6899" t="s">
        <v>1914</v>
      </c>
      <c r="I6899" t="s">
        <v>23</v>
      </c>
      <c r="J6899" t="s">
        <v>49</v>
      </c>
      <c r="K6899" s="2" t="s">
        <v>2192</v>
      </c>
      <c r="L6899" t="s">
        <v>26</v>
      </c>
      <c r="M6899">
        <v>353692</v>
      </c>
      <c r="N6899">
        <v>-1</v>
      </c>
      <c r="O6899" s="3">
        <v>-74950</v>
      </c>
      <c r="P6899" s="3">
        <v>24732</v>
      </c>
      <c r="Q6899" s="5">
        <f t="shared" si="321"/>
        <v>-62983.193277310929</v>
      </c>
      <c r="R6899" s="5">
        <f t="shared" si="322"/>
        <v>-24732</v>
      </c>
      <c r="S6899" s="5">
        <f t="shared" si="323"/>
        <v>-38251.193277310929</v>
      </c>
    </row>
    <row r="6900" spans="1:19" hidden="1" x14ac:dyDescent="0.3">
      <c r="A6900">
        <v>210</v>
      </c>
      <c r="B6900" t="s">
        <v>6520</v>
      </c>
      <c r="C6900" t="s">
        <v>5109</v>
      </c>
      <c r="D6900" s="2" t="s">
        <v>5110</v>
      </c>
      <c r="E6900" t="s">
        <v>4736</v>
      </c>
      <c r="F6900" t="s">
        <v>20</v>
      </c>
      <c r="G6900" t="s">
        <v>21</v>
      </c>
      <c r="H6900" t="s">
        <v>1914</v>
      </c>
      <c r="I6900" t="s">
        <v>23</v>
      </c>
      <c r="J6900" t="s">
        <v>49</v>
      </c>
      <c r="K6900" s="2" t="s">
        <v>2192</v>
      </c>
      <c r="L6900" t="s">
        <v>26</v>
      </c>
      <c r="M6900">
        <v>353692</v>
      </c>
      <c r="N6900">
        <v>1</v>
      </c>
      <c r="O6900" s="3">
        <v>74951</v>
      </c>
      <c r="P6900" s="3">
        <v>24728</v>
      </c>
      <c r="Q6900" s="5">
        <f t="shared" si="321"/>
        <v>62984.033613445383</v>
      </c>
      <c r="R6900" s="5">
        <f t="shared" si="322"/>
        <v>24728</v>
      </c>
      <c r="S6900" s="5">
        <f t="shared" si="323"/>
        <v>38256.033613445383</v>
      </c>
    </row>
    <row r="6901" spans="1:19" hidden="1" x14ac:dyDescent="0.3">
      <c r="A6901">
        <v>210</v>
      </c>
      <c r="B6901" t="s">
        <v>6520</v>
      </c>
      <c r="C6901" t="s">
        <v>3338</v>
      </c>
      <c r="D6901" s="2" t="s">
        <v>3339</v>
      </c>
      <c r="E6901" t="s">
        <v>3340</v>
      </c>
      <c r="F6901" t="s">
        <v>20</v>
      </c>
      <c r="G6901" t="s">
        <v>338</v>
      </c>
      <c r="H6901">
        <v>25097</v>
      </c>
      <c r="I6901" t="s">
        <v>23</v>
      </c>
      <c r="J6901" t="s">
        <v>24</v>
      </c>
      <c r="K6901" s="2" t="s">
        <v>2192</v>
      </c>
      <c r="L6901" t="s">
        <v>26</v>
      </c>
      <c r="M6901">
        <v>353693</v>
      </c>
      <c r="N6901">
        <v>1</v>
      </c>
      <c r="O6901" s="3">
        <v>59990</v>
      </c>
      <c r="P6901" s="3">
        <v>23242</v>
      </c>
      <c r="Q6901" s="5">
        <f t="shared" si="321"/>
        <v>50411.764705882357</v>
      </c>
      <c r="R6901" s="5">
        <f t="shared" si="322"/>
        <v>23242</v>
      </c>
      <c r="S6901" s="5">
        <f t="shared" si="323"/>
        <v>27169.764705882357</v>
      </c>
    </row>
  </sheetData>
  <autoFilter ref="A4:S6901" xr:uid="{CE1B260C-3139-4862-A2B7-337259BE0E97}">
    <filterColumn colId="1">
      <filters>
        <filter val="FLEXI TALCA"/>
      </filters>
    </filterColumn>
  </autoFilter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0C36A-885E-487B-8CDC-7777EA9C3D86}">
  <dimension ref="A1:H439"/>
  <sheetViews>
    <sheetView tabSelected="1" zoomScale="80" zoomScaleNormal="80" workbookViewId="0">
      <pane ySplit="1" topLeftCell="A409" activePane="bottomLeft" state="frozen"/>
      <selection pane="bottomLeft" sqref="A1:H440"/>
    </sheetView>
  </sheetViews>
  <sheetFormatPr baseColWidth="10" defaultRowHeight="14" x14ac:dyDescent="0.3"/>
  <sheetData>
    <row r="1" spans="1:8" x14ac:dyDescent="0.3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7" t="s">
        <v>6699</v>
      </c>
      <c r="G1" s="10" t="s">
        <v>6702</v>
      </c>
      <c r="H1" s="10" t="s">
        <v>6703</v>
      </c>
    </row>
    <row r="2" spans="1:8" x14ac:dyDescent="0.3">
      <c r="A2">
        <v>195</v>
      </c>
      <c r="B2" t="s">
        <v>6142</v>
      </c>
      <c r="C2" s="2" t="s">
        <v>25</v>
      </c>
      <c r="D2" t="s">
        <v>26</v>
      </c>
      <c r="E2">
        <v>307547</v>
      </c>
      <c r="F2" s="5">
        <v>67184.873949579836</v>
      </c>
      <c r="G2" s="11">
        <f>F2*19%</f>
        <v>12765.126050420169</v>
      </c>
      <c r="H2" s="11">
        <f>+G2+F2</f>
        <v>79950</v>
      </c>
    </row>
    <row r="3" spans="1:8" x14ac:dyDescent="0.3">
      <c r="A3">
        <v>195</v>
      </c>
      <c r="B3" t="s">
        <v>6142</v>
      </c>
      <c r="C3" s="2" t="s">
        <v>25</v>
      </c>
      <c r="D3" t="s">
        <v>26</v>
      </c>
      <c r="E3">
        <v>307548</v>
      </c>
      <c r="F3" s="5">
        <v>420.1680672268908</v>
      </c>
      <c r="G3" s="11">
        <f t="shared" ref="G3:G66" si="0">F3*19%</f>
        <v>79.831932773109259</v>
      </c>
      <c r="H3" s="11">
        <f t="shared" ref="H3:H66" si="1">+G3+F3</f>
        <v>500.00000000000006</v>
      </c>
    </row>
    <row r="4" spans="1:8" x14ac:dyDescent="0.3">
      <c r="A4">
        <v>195</v>
      </c>
      <c r="B4" t="s">
        <v>6142</v>
      </c>
      <c r="C4" s="2" t="s">
        <v>25</v>
      </c>
      <c r="D4" t="s">
        <v>26</v>
      </c>
      <c r="E4">
        <v>307549</v>
      </c>
      <c r="F4" s="5">
        <v>42008.403361344543</v>
      </c>
      <c r="G4" s="11">
        <f t="shared" si="0"/>
        <v>7981.5966386554628</v>
      </c>
      <c r="H4" s="11">
        <f t="shared" si="1"/>
        <v>49990.000000000007</v>
      </c>
    </row>
    <row r="5" spans="1:8" x14ac:dyDescent="0.3">
      <c r="A5">
        <v>195</v>
      </c>
      <c r="B5" t="s">
        <v>6142</v>
      </c>
      <c r="C5" s="2" t="s">
        <v>25</v>
      </c>
      <c r="D5" t="s">
        <v>26</v>
      </c>
      <c r="E5">
        <v>307549</v>
      </c>
      <c r="F5" s="5">
        <v>-33605.042016806721</v>
      </c>
      <c r="G5" s="11">
        <f t="shared" si="0"/>
        <v>-6384.957983193277</v>
      </c>
      <c r="H5" s="11">
        <f t="shared" si="1"/>
        <v>-39990</v>
      </c>
    </row>
    <row r="6" spans="1:8" x14ac:dyDescent="0.3">
      <c r="A6">
        <v>195</v>
      </c>
      <c r="B6" t="s">
        <v>6142</v>
      </c>
      <c r="C6" s="2" t="s">
        <v>25</v>
      </c>
      <c r="D6" t="s">
        <v>26</v>
      </c>
      <c r="E6">
        <v>307550</v>
      </c>
      <c r="F6" s="5">
        <v>33605.042016806721</v>
      </c>
      <c r="G6" s="11">
        <f t="shared" si="0"/>
        <v>6384.957983193277</v>
      </c>
      <c r="H6" s="11">
        <f t="shared" si="1"/>
        <v>39990</v>
      </c>
    </row>
    <row r="7" spans="1:8" x14ac:dyDescent="0.3">
      <c r="A7">
        <v>195</v>
      </c>
      <c r="B7" t="s">
        <v>6142</v>
      </c>
      <c r="C7" s="2" t="s">
        <v>25</v>
      </c>
      <c r="D7" t="s">
        <v>26</v>
      </c>
      <c r="E7">
        <v>307551</v>
      </c>
      <c r="F7" s="5">
        <v>67184.873949579836</v>
      </c>
      <c r="G7" s="11">
        <f t="shared" si="0"/>
        <v>12765.126050420169</v>
      </c>
      <c r="H7" s="11">
        <f t="shared" si="1"/>
        <v>79950</v>
      </c>
    </row>
    <row r="8" spans="1:8" x14ac:dyDescent="0.3">
      <c r="A8">
        <v>195</v>
      </c>
      <c r="B8" t="s">
        <v>6142</v>
      </c>
      <c r="C8" s="2" t="s">
        <v>25</v>
      </c>
      <c r="D8" t="s">
        <v>26</v>
      </c>
      <c r="E8">
        <v>307552</v>
      </c>
      <c r="F8" s="5">
        <v>420.1680672268908</v>
      </c>
      <c r="G8" s="11">
        <f t="shared" si="0"/>
        <v>79.831932773109259</v>
      </c>
      <c r="H8" s="11">
        <f t="shared" si="1"/>
        <v>500.00000000000006</v>
      </c>
    </row>
    <row r="9" spans="1:8" x14ac:dyDescent="0.3">
      <c r="A9">
        <v>195</v>
      </c>
      <c r="B9" t="s">
        <v>6142</v>
      </c>
      <c r="C9" s="2" t="s">
        <v>25</v>
      </c>
      <c r="D9" t="s">
        <v>26</v>
      </c>
      <c r="E9">
        <v>307553</v>
      </c>
      <c r="F9" s="5">
        <v>1680.6722689075632</v>
      </c>
      <c r="G9" s="11">
        <f t="shared" si="0"/>
        <v>319.32773109243703</v>
      </c>
      <c r="H9" s="11">
        <f t="shared" si="1"/>
        <v>2000.0000000000002</v>
      </c>
    </row>
    <row r="10" spans="1:8" x14ac:dyDescent="0.3">
      <c r="A10">
        <v>195</v>
      </c>
      <c r="B10" t="s">
        <v>6142</v>
      </c>
      <c r="C10" s="2" t="s">
        <v>25</v>
      </c>
      <c r="D10" t="s">
        <v>26</v>
      </c>
      <c r="E10">
        <v>307553</v>
      </c>
      <c r="F10" s="5">
        <v>50378.151260504201</v>
      </c>
      <c r="G10" s="11">
        <f t="shared" si="0"/>
        <v>9571.8487394957974</v>
      </c>
      <c r="H10" s="11">
        <f t="shared" si="1"/>
        <v>59950</v>
      </c>
    </row>
    <row r="11" spans="1:8" x14ac:dyDescent="0.3">
      <c r="A11">
        <v>195</v>
      </c>
      <c r="B11" t="s">
        <v>6142</v>
      </c>
      <c r="C11" s="2" t="s">
        <v>25</v>
      </c>
      <c r="D11" t="s">
        <v>26</v>
      </c>
      <c r="E11">
        <v>307554</v>
      </c>
      <c r="F11" s="5">
        <v>37806.722689075636</v>
      </c>
      <c r="G11" s="11">
        <f t="shared" si="0"/>
        <v>7183.2773109243708</v>
      </c>
      <c r="H11" s="11">
        <f t="shared" si="1"/>
        <v>44990.000000000007</v>
      </c>
    </row>
    <row r="12" spans="1:8" x14ac:dyDescent="0.3">
      <c r="A12">
        <v>195</v>
      </c>
      <c r="B12" t="s">
        <v>6142</v>
      </c>
      <c r="C12" s="2" t="s">
        <v>25</v>
      </c>
      <c r="D12" t="s">
        <v>26</v>
      </c>
      <c r="E12">
        <v>307555</v>
      </c>
      <c r="F12" s="5">
        <v>67184.873949579836</v>
      </c>
      <c r="G12" s="11">
        <f t="shared" si="0"/>
        <v>12765.126050420169</v>
      </c>
      <c r="H12" s="11">
        <f t="shared" si="1"/>
        <v>79950</v>
      </c>
    </row>
    <row r="13" spans="1:8" x14ac:dyDescent="0.3">
      <c r="A13">
        <v>195</v>
      </c>
      <c r="B13" t="s">
        <v>6142</v>
      </c>
      <c r="C13" s="2" t="s">
        <v>25</v>
      </c>
      <c r="D13" t="s">
        <v>26</v>
      </c>
      <c r="E13">
        <v>307556</v>
      </c>
      <c r="F13" s="5">
        <v>42008.403361344543</v>
      </c>
      <c r="G13" s="11">
        <f t="shared" si="0"/>
        <v>7981.5966386554628</v>
      </c>
      <c r="H13" s="11">
        <f t="shared" si="1"/>
        <v>49990.000000000007</v>
      </c>
    </row>
    <row r="14" spans="1:8" x14ac:dyDescent="0.3">
      <c r="A14">
        <v>195</v>
      </c>
      <c r="B14" t="s">
        <v>6142</v>
      </c>
      <c r="C14" s="2" t="s">
        <v>25</v>
      </c>
      <c r="D14" t="s">
        <v>26</v>
      </c>
      <c r="E14">
        <v>307557</v>
      </c>
      <c r="F14" s="5">
        <v>420.1680672268908</v>
      </c>
      <c r="G14" s="11">
        <f t="shared" si="0"/>
        <v>79.831932773109259</v>
      </c>
      <c r="H14" s="11">
        <f t="shared" si="1"/>
        <v>500.00000000000006</v>
      </c>
    </row>
    <row r="15" spans="1:8" x14ac:dyDescent="0.3">
      <c r="A15">
        <v>195</v>
      </c>
      <c r="B15" t="s">
        <v>6142</v>
      </c>
      <c r="C15" s="2" t="s">
        <v>268</v>
      </c>
      <c r="D15" t="s">
        <v>26</v>
      </c>
      <c r="E15">
        <v>307558</v>
      </c>
      <c r="F15" s="5">
        <v>50411.764705882357</v>
      </c>
      <c r="G15" s="11">
        <f t="shared" si="0"/>
        <v>9578.2352941176487</v>
      </c>
      <c r="H15" s="11">
        <f t="shared" si="1"/>
        <v>59990.000000000007</v>
      </c>
    </row>
    <row r="16" spans="1:8" x14ac:dyDescent="0.3">
      <c r="A16">
        <v>195</v>
      </c>
      <c r="B16" t="s">
        <v>6142</v>
      </c>
      <c r="C16" s="2" t="s">
        <v>268</v>
      </c>
      <c r="D16" t="s">
        <v>26</v>
      </c>
      <c r="E16">
        <v>307559</v>
      </c>
      <c r="F16" s="5">
        <v>5000</v>
      </c>
      <c r="G16" s="11">
        <f t="shared" si="0"/>
        <v>950</v>
      </c>
      <c r="H16" s="11">
        <f t="shared" si="1"/>
        <v>5950</v>
      </c>
    </row>
    <row r="17" spans="1:8" x14ac:dyDescent="0.3">
      <c r="A17">
        <v>195</v>
      </c>
      <c r="B17" t="s">
        <v>6142</v>
      </c>
      <c r="C17" s="2" t="s">
        <v>268</v>
      </c>
      <c r="D17" t="s">
        <v>26</v>
      </c>
      <c r="E17">
        <v>307560</v>
      </c>
      <c r="F17" s="5">
        <v>64243.697478991598</v>
      </c>
      <c r="G17" s="11">
        <f t="shared" si="0"/>
        <v>12206.302521008403</v>
      </c>
      <c r="H17" s="11">
        <f t="shared" si="1"/>
        <v>76450</v>
      </c>
    </row>
    <row r="18" spans="1:8" x14ac:dyDescent="0.3">
      <c r="A18">
        <v>195</v>
      </c>
      <c r="B18" t="s">
        <v>6142</v>
      </c>
      <c r="C18" s="2" t="s">
        <v>268</v>
      </c>
      <c r="D18" t="s">
        <v>26</v>
      </c>
      <c r="E18">
        <v>307560</v>
      </c>
      <c r="F18" s="5">
        <v>75588.23529411765</v>
      </c>
      <c r="G18" s="11">
        <f t="shared" si="0"/>
        <v>14361.764705882353</v>
      </c>
      <c r="H18" s="11">
        <f t="shared" si="1"/>
        <v>89950</v>
      </c>
    </row>
    <row r="19" spans="1:8" x14ac:dyDescent="0.3">
      <c r="A19">
        <v>195</v>
      </c>
      <c r="B19" t="s">
        <v>6142</v>
      </c>
      <c r="C19" s="2" t="s">
        <v>268</v>
      </c>
      <c r="D19" t="s">
        <v>26</v>
      </c>
      <c r="E19">
        <v>307560</v>
      </c>
      <c r="F19" s="5">
        <v>62983.193277310929</v>
      </c>
      <c r="G19" s="11">
        <f t="shared" si="0"/>
        <v>11966.806722689076</v>
      </c>
      <c r="H19" s="11">
        <f t="shared" si="1"/>
        <v>74950</v>
      </c>
    </row>
    <row r="20" spans="1:8" x14ac:dyDescent="0.3">
      <c r="A20">
        <v>195</v>
      </c>
      <c r="B20" t="s">
        <v>6142</v>
      </c>
      <c r="C20" s="2" t="s">
        <v>268</v>
      </c>
      <c r="D20" t="s">
        <v>26</v>
      </c>
      <c r="E20">
        <v>307561</v>
      </c>
      <c r="F20" s="5">
        <v>-33605.042016806721</v>
      </c>
      <c r="G20" s="11">
        <f t="shared" si="0"/>
        <v>-6384.957983193277</v>
      </c>
      <c r="H20" s="11">
        <f t="shared" si="1"/>
        <v>-39990</v>
      </c>
    </row>
    <row r="21" spans="1:8" x14ac:dyDescent="0.3">
      <c r="A21">
        <v>195</v>
      </c>
      <c r="B21" t="s">
        <v>6142</v>
      </c>
      <c r="C21" s="2" t="s">
        <v>268</v>
      </c>
      <c r="D21" t="s">
        <v>26</v>
      </c>
      <c r="E21">
        <v>307561</v>
      </c>
      <c r="F21" s="5">
        <v>33605.882352941175</v>
      </c>
      <c r="G21" s="11">
        <f t="shared" si="0"/>
        <v>6385.1176470588234</v>
      </c>
      <c r="H21" s="11">
        <f t="shared" si="1"/>
        <v>39991</v>
      </c>
    </row>
    <row r="22" spans="1:8" x14ac:dyDescent="0.3">
      <c r="A22">
        <v>195</v>
      </c>
      <c r="B22" t="s">
        <v>6142</v>
      </c>
      <c r="C22" s="2" t="s">
        <v>268</v>
      </c>
      <c r="D22" t="s">
        <v>26</v>
      </c>
      <c r="E22">
        <v>307562</v>
      </c>
      <c r="F22" s="5">
        <v>34630.252100840335</v>
      </c>
      <c r="G22" s="11">
        <f t="shared" si="0"/>
        <v>6579.7478991596636</v>
      </c>
      <c r="H22" s="11">
        <f t="shared" si="1"/>
        <v>41210</v>
      </c>
    </row>
    <row r="23" spans="1:8" x14ac:dyDescent="0.3">
      <c r="A23">
        <v>195</v>
      </c>
      <c r="B23" t="s">
        <v>6142</v>
      </c>
      <c r="C23" s="2" t="s">
        <v>268</v>
      </c>
      <c r="D23" t="s">
        <v>26</v>
      </c>
      <c r="E23">
        <v>307563</v>
      </c>
      <c r="F23" s="5">
        <v>71394.957983193279</v>
      </c>
      <c r="G23" s="11">
        <f t="shared" si="0"/>
        <v>13565.042016806723</v>
      </c>
      <c r="H23" s="11">
        <f t="shared" si="1"/>
        <v>84960</v>
      </c>
    </row>
    <row r="24" spans="1:8" x14ac:dyDescent="0.3">
      <c r="A24">
        <v>195</v>
      </c>
      <c r="B24" t="s">
        <v>6142</v>
      </c>
      <c r="C24" s="2" t="s">
        <v>268</v>
      </c>
      <c r="D24" t="s">
        <v>26</v>
      </c>
      <c r="E24">
        <v>307563</v>
      </c>
      <c r="F24" s="5">
        <v>-71386.554621848743</v>
      </c>
      <c r="G24" s="11">
        <f t="shared" si="0"/>
        <v>-13563.445378151262</v>
      </c>
      <c r="H24" s="11">
        <f t="shared" si="1"/>
        <v>-84950</v>
      </c>
    </row>
    <row r="25" spans="1:8" x14ac:dyDescent="0.3">
      <c r="A25">
        <v>195</v>
      </c>
      <c r="B25" t="s">
        <v>6142</v>
      </c>
      <c r="C25" s="2" t="s">
        <v>268</v>
      </c>
      <c r="D25" t="s">
        <v>26</v>
      </c>
      <c r="E25">
        <v>307564</v>
      </c>
      <c r="F25" s="5">
        <v>37781.512605042015</v>
      </c>
      <c r="G25" s="11">
        <f t="shared" si="0"/>
        <v>7178.4873949579833</v>
      </c>
      <c r="H25" s="11">
        <f t="shared" si="1"/>
        <v>44960</v>
      </c>
    </row>
    <row r="26" spans="1:8" x14ac:dyDescent="0.3">
      <c r="A26">
        <v>195</v>
      </c>
      <c r="B26" t="s">
        <v>6142</v>
      </c>
      <c r="C26" s="2" t="s">
        <v>268</v>
      </c>
      <c r="D26" t="s">
        <v>26</v>
      </c>
      <c r="E26">
        <v>307564</v>
      </c>
      <c r="F26" s="5">
        <v>33605.042016806721</v>
      </c>
      <c r="G26" s="11">
        <f t="shared" si="0"/>
        <v>6384.957983193277</v>
      </c>
      <c r="H26" s="11">
        <f t="shared" si="1"/>
        <v>39990</v>
      </c>
    </row>
    <row r="27" spans="1:8" x14ac:dyDescent="0.3">
      <c r="A27">
        <v>195</v>
      </c>
      <c r="B27" t="s">
        <v>6142</v>
      </c>
      <c r="C27" s="2" t="s">
        <v>268</v>
      </c>
      <c r="D27" t="s">
        <v>26</v>
      </c>
      <c r="E27">
        <v>307565</v>
      </c>
      <c r="F27" s="5">
        <v>420.1680672268908</v>
      </c>
      <c r="G27" s="11">
        <f t="shared" si="0"/>
        <v>79.831932773109259</v>
      </c>
      <c r="H27" s="11">
        <f t="shared" si="1"/>
        <v>500.00000000000006</v>
      </c>
    </row>
    <row r="28" spans="1:8" x14ac:dyDescent="0.3">
      <c r="A28">
        <v>195</v>
      </c>
      <c r="B28" t="s">
        <v>6142</v>
      </c>
      <c r="C28" s="2" t="s">
        <v>2344</v>
      </c>
      <c r="D28" t="s">
        <v>26</v>
      </c>
      <c r="E28">
        <v>307566</v>
      </c>
      <c r="F28" s="5">
        <v>42008.403361344543</v>
      </c>
      <c r="G28" s="11">
        <f t="shared" si="0"/>
        <v>7981.5966386554628</v>
      </c>
      <c r="H28" s="11">
        <f t="shared" si="1"/>
        <v>49990.000000000007</v>
      </c>
    </row>
    <row r="29" spans="1:8" x14ac:dyDescent="0.3">
      <c r="A29">
        <v>195</v>
      </c>
      <c r="B29" t="s">
        <v>6142</v>
      </c>
      <c r="C29" s="2" t="s">
        <v>2344</v>
      </c>
      <c r="D29" t="s">
        <v>26</v>
      </c>
      <c r="E29">
        <v>307566</v>
      </c>
      <c r="F29" s="5">
        <v>33605.042016806721</v>
      </c>
      <c r="G29" s="11">
        <f t="shared" si="0"/>
        <v>6384.957983193277</v>
      </c>
      <c r="H29" s="11">
        <f t="shared" si="1"/>
        <v>39990</v>
      </c>
    </row>
    <row r="30" spans="1:8" x14ac:dyDescent="0.3">
      <c r="A30">
        <v>195</v>
      </c>
      <c r="B30" t="s">
        <v>6142</v>
      </c>
      <c r="C30" s="2" t="s">
        <v>2344</v>
      </c>
      <c r="D30" t="s">
        <v>26</v>
      </c>
      <c r="E30">
        <v>307567</v>
      </c>
      <c r="F30" s="5">
        <v>67184.873949579836</v>
      </c>
      <c r="G30" s="11">
        <f t="shared" si="0"/>
        <v>12765.126050420169</v>
      </c>
      <c r="H30" s="11">
        <f t="shared" si="1"/>
        <v>79950</v>
      </c>
    </row>
    <row r="31" spans="1:8" x14ac:dyDescent="0.3">
      <c r="A31">
        <v>195</v>
      </c>
      <c r="B31" t="s">
        <v>6142</v>
      </c>
      <c r="C31" s="2" t="s">
        <v>2344</v>
      </c>
      <c r="D31" t="s">
        <v>26</v>
      </c>
      <c r="E31">
        <v>307568</v>
      </c>
      <c r="F31" s="5">
        <v>42008.403361344543</v>
      </c>
      <c r="G31" s="11">
        <f t="shared" si="0"/>
        <v>7981.5966386554628</v>
      </c>
      <c r="H31" s="11">
        <f t="shared" si="1"/>
        <v>49990.000000000007</v>
      </c>
    </row>
    <row r="32" spans="1:8" x14ac:dyDescent="0.3">
      <c r="A32">
        <v>195</v>
      </c>
      <c r="B32" t="s">
        <v>6142</v>
      </c>
      <c r="C32" s="2" t="s">
        <v>2344</v>
      </c>
      <c r="D32" t="s">
        <v>26</v>
      </c>
      <c r="E32">
        <v>307568</v>
      </c>
      <c r="F32" s="5">
        <v>29403.361344537818</v>
      </c>
      <c r="G32" s="11">
        <f t="shared" si="0"/>
        <v>5586.6386554621859</v>
      </c>
      <c r="H32" s="11">
        <f t="shared" si="1"/>
        <v>34990</v>
      </c>
    </row>
    <row r="33" spans="1:8" x14ac:dyDescent="0.3">
      <c r="A33">
        <v>195</v>
      </c>
      <c r="B33" t="s">
        <v>6142</v>
      </c>
      <c r="C33" s="2" t="s">
        <v>2344</v>
      </c>
      <c r="D33" t="s">
        <v>26</v>
      </c>
      <c r="E33">
        <v>307569</v>
      </c>
      <c r="F33" s="5">
        <v>3319.3277310924373</v>
      </c>
      <c r="G33" s="11">
        <f t="shared" si="0"/>
        <v>630.67226890756308</v>
      </c>
      <c r="H33" s="11">
        <f t="shared" si="1"/>
        <v>3950.0000000000005</v>
      </c>
    </row>
    <row r="34" spans="1:8" x14ac:dyDescent="0.3">
      <c r="A34">
        <v>195</v>
      </c>
      <c r="B34" t="s">
        <v>6142</v>
      </c>
      <c r="C34" s="2" t="s">
        <v>2344</v>
      </c>
      <c r="D34" t="s">
        <v>26</v>
      </c>
      <c r="E34">
        <v>307570</v>
      </c>
      <c r="F34" s="5">
        <v>83991.596638655465</v>
      </c>
      <c r="G34" s="11">
        <f t="shared" si="0"/>
        <v>15958.403361344539</v>
      </c>
      <c r="H34" s="11">
        <f t="shared" si="1"/>
        <v>99950</v>
      </c>
    </row>
    <row r="35" spans="1:8" x14ac:dyDescent="0.3">
      <c r="A35">
        <v>195</v>
      </c>
      <c r="B35" t="s">
        <v>6142</v>
      </c>
      <c r="C35" s="2" t="s">
        <v>2344</v>
      </c>
      <c r="D35" t="s">
        <v>26</v>
      </c>
      <c r="E35">
        <v>307571</v>
      </c>
      <c r="F35" s="5">
        <v>42009.243697478996</v>
      </c>
      <c r="G35" s="11">
        <f t="shared" si="0"/>
        <v>7981.7563025210093</v>
      </c>
      <c r="H35" s="11">
        <f t="shared" si="1"/>
        <v>49991.000000000007</v>
      </c>
    </row>
    <row r="36" spans="1:8" x14ac:dyDescent="0.3">
      <c r="A36">
        <v>195</v>
      </c>
      <c r="B36" t="s">
        <v>6142</v>
      </c>
      <c r="C36" s="2" t="s">
        <v>2344</v>
      </c>
      <c r="D36" t="s">
        <v>26</v>
      </c>
      <c r="E36">
        <v>307571</v>
      </c>
      <c r="F36" s="5">
        <v>-42008.403361344543</v>
      </c>
      <c r="G36" s="11">
        <f t="shared" si="0"/>
        <v>-7981.5966386554628</v>
      </c>
      <c r="H36" s="11">
        <f t="shared" si="1"/>
        <v>-49990.000000000007</v>
      </c>
    </row>
    <row r="37" spans="1:8" x14ac:dyDescent="0.3">
      <c r="A37">
        <v>195</v>
      </c>
      <c r="B37" t="s">
        <v>6142</v>
      </c>
      <c r="C37" s="2" t="s">
        <v>2344</v>
      </c>
      <c r="D37" t="s">
        <v>26</v>
      </c>
      <c r="E37">
        <v>307572</v>
      </c>
      <c r="F37" s="5">
        <v>71386.554621848743</v>
      </c>
      <c r="G37" s="11">
        <f t="shared" si="0"/>
        <v>13563.445378151262</v>
      </c>
      <c r="H37" s="11">
        <f t="shared" si="1"/>
        <v>84950</v>
      </c>
    </row>
    <row r="38" spans="1:8" x14ac:dyDescent="0.3">
      <c r="A38">
        <v>195</v>
      </c>
      <c r="B38" t="s">
        <v>6142</v>
      </c>
      <c r="C38" s="2" t="s">
        <v>2344</v>
      </c>
      <c r="D38" t="s">
        <v>26</v>
      </c>
      <c r="E38">
        <v>307572</v>
      </c>
      <c r="F38" s="5">
        <v>75588.23529411765</v>
      </c>
      <c r="G38" s="11">
        <f t="shared" si="0"/>
        <v>14361.764705882353</v>
      </c>
      <c r="H38" s="11">
        <f t="shared" si="1"/>
        <v>89950</v>
      </c>
    </row>
    <row r="39" spans="1:8" x14ac:dyDescent="0.3">
      <c r="A39">
        <v>195</v>
      </c>
      <c r="B39" t="s">
        <v>6142</v>
      </c>
      <c r="C39" s="2" t="s">
        <v>2344</v>
      </c>
      <c r="D39" t="s">
        <v>26</v>
      </c>
      <c r="E39">
        <v>307573</v>
      </c>
      <c r="F39" s="5">
        <v>62983.193277310929</v>
      </c>
      <c r="G39" s="11">
        <f t="shared" si="0"/>
        <v>11966.806722689076</v>
      </c>
      <c r="H39" s="11">
        <f t="shared" si="1"/>
        <v>74950</v>
      </c>
    </row>
    <row r="40" spans="1:8" x14ac:dyDescent="0.3">
      <c r="A40">
        <v>195</v>
      </c>
      <c r="B40" t="s">
        <v>6142</v>
      </c>
      <c r="C40" s="2" t="s">
        <v>2344</v>
      </c>
      <c r="D40" t="s">
        <v>26</v>
      </c>
      <c r="E40">
        <v>307573</v>
      </c>
      <c r="F40" s="5">
        <v>-42008.403361344543</v>
      </c>
      <c r="G40" s="11">
        <f t="shared" si="0"/>
        <v>-7981.5966386554628</v>
      </c>
      <c r="H40" s="11">
        <f t="shared" si="1"/>
        <v>-49990.000000000007</v>
      </c>
    </row>
    <row r="41" spans="1:8" x14ac:dyDescent="0.3">
      <c r="A41">
        <v>195</v>
      </c>
      <c r="B41" t="s">
        <v>6142</v>
      </c>
      <c r="C41" s="2" t="s">
        <v>2386</v>
      </c>
      <c r="D41" t="s">
        <v>26</v>
      </c>
      <c r="E41">
        <v>307574</v>
      </c>
      <c r="F41" s="5">
        <v>50411.764705882357</v>
      </c>
      <c r="G41" s="11">
        <f t="shared" si="0"/>
        <v>9578.2352941176487</v>
      </c>
      <c r="H41" s="11">
        <f t="shared" si="1"/>
        <v>59990.000000000007</v>
      </c>
    </row>
    <row r="42" spans="1:8" x14ac:dyDescent="0.3">
      <c r="A42">
        <v>195</v>
      </c>
      <c r="B42" t="s">
        <v>6142</v>
      </c>
      <c r="C42" s="2" t="s">
        <v>2386</v>
      </c>
      <c r="D42" t="s">
        <v>26</v>
      </c>
      <c r="E42">
        <v>307575</v>
      </c>
      <c r="F42" s="5">
        <v>62983.193277310929</v>
      </c>
      <c r="G42" s="11">
        <f t="shared" si="0"/>
        <v>11966.806722689076</v>
      </c>
      <c r="H42" s="11">
        <f t="shared" si="1"/>
        <v>74950</v>
      </c>
    </row>
    <row r="43" spans="1:8" x14ac:dyDescent="0.3">
      <c r="A43">
        <v>195</v>
      </c>
      <c r="B43" t="s">
        <v>6142</v>
      </c>
      <c r="C43" s="2" t="s">
        <v>2386</v>
      </c>
      <c r="D43" t="s">
        <v>26</v>
      </c>
      <c r="E43">
        <v>307576</v>
      </c>
      <c r="F43" s="5">
        <v>420.1680672268908</v>
      </c>
      <c r="G43" s="11">
        <f t="shared" si="0"/>
        <v>79.831932773109259</v>
      </c>
      <c r="H43" s="11">
        <f t="shared" si="1"/>
        <v>500.00000000000006</v>
      </c>
    </row>
    <row r="44" spans="1:8" x14ac:dyDescent="0.3">
      <c r="A44">
        <v>195</v>
      </c>
      <c r="B44" t="s">
        <v>6142</v>
      </c>
      <c r="C44" s="2" t="s">
        <v>2386</v>
      </c>
      <c r="D44" t="s">
        <v>26</v>
      </c>
      <c r="E44">
        <v>307577</v>
      </c>
      <c r="F44" s="5">
        <v>75588.23529411765</v>
      </c>
      <c r="G44" s="11">
        <f t="shared" si="0"/>
        <v>14361.764705882353</v>
      </c>
      <c r="H44" s="11">
        <f t="shared" si="1"/>
        <v>89950</v>
      </c>
    </row>
    <row r="45" spans="1:8" x14ac:dyDescent="0.3">
      <c r="A45">
        <v>195</v>
      </c>
      <c r="B45" t="s">
        <v>6142</v>
      </c>
      <c r="C45" s="2" t="s">
        <v>2386</v>
      </c>
      <c r="D45" t="s">
        <v>26</v>
      </c>
      <c r="E45">
        <v>307578</v>
      </c>
      <c r="F45" s="5">
        <v>50411.764705882357</v>
      </c>
      <c r="G45" s="11">
        <f t="shared" si="0"/>
        <v>9578.2352941176487</v>
      </c>
      <c r="H45" s="11">
        <f t="shared" si="1"/>
        <v>59990.000000000007</v>
      </c>
    </row>
    <row r="46" spans="1:8" x14ac:dyDescent="0.3">
      <c r="A46">
        <v>195</v>
      </c>
      <c r="B46" t="s">
        <v>6142</v>
      </c>
      <c r="C46" s="2" t="s">
        <v>2386</v>
      </c>
      <c r="D46" t="s">
        <v>26</v>
      </c>
      <c r="E46">
        <v>307579</v>
      </c>
      <c r="F46" s="5">
        <v>42008.403361344543</v>
      </c>
      <c r="G46" s="11">
        <f t="shared" si="0"/>
        <v>7981.5966386554628</v>
      </c>
      <c r="H46" s="11">
        <f t="shared" si="1"/>
        <v>49990.000000000007</v>
      </c>
    </row>
    <row r="47" spans="1:8" x14ac:dyDescent="0.3">
      <c r="A47">
        <v>195</v>
      </c>
      <c r="B47" t="s">
        <v>6142</v>
      </c>
      <c r="C47" s="2" t="s">
        <v>2386</v>
      </c>
      <c r="D47" t="s">
        <v>26</v>
      </c>
      <c r="E47">
        <v>307580</v>
      </c>
      <c r="F47" s="5">
        <v>42008.403361344543</v>
      </c>
      <c r="G47" s="11">
        <f t="shared" si="0"/>
        <v>7981.5966386554628</v>
      </c>
      <c r="H47" s="11">
        <f t="shared" si="1"/>
        <v>49990.000000000007</v>
      </c>
    </row>
    <row r="48" spans="1:8" x14ac:dyDescent="0.3">
      <c r="A48">
        <v>195</v>
      </c>
      <c r="B48" t="s">
        <v>6142</v>
      </c>
      <c r="C48" s="2" t="s">
        <v>2386</v>
      </c>
      <c r="D48" t="s">
        <v>26</v>
      </c>
      <c r="E48">
        <v>307580</v>
      </c>
      <c r="F48" s="5">
        <v>1680.6722689075632</v>
      </c>
      <c r="G48" s="11">
        <f t="shared" si="0"/>
        <v>319.32773109243703</v>
      </c>
      <c r="H48" s="11">
        <f t="shared" si="1"/>
        <v>2000.0000000000002</v>
      </c>
    </row>
    <row r="49" spans="1:8" x14ac:dyDescent="0.3">
      <c r="A49">
        <v>195</v>
      </c>
      <c r="B49" t="s">
        <v>6142</v>
      </c>
      <c r="C49" s="2" t="s">
        <v>2386</v>
      </c>
      <c r="D49" t="s">
        <v>26</v>
      </c>
      <c r="E49">
        <v>307581</v>
      </c>
      <c r="F49" s="5">
        <v>62983.193277310929</v>
      </c>
      <c r="G49" s="11">
        <f t="shared" si="0"/>
        <v>11966.806722689076</v>
      </c>
      <c r="H49" s="11">
        <f t="shared" si="1"/>
        <v>74950</v>
      </c>
    </row>
    <row r="50" spans="1:8" x14ac:dyDescent="0.3">
      <c r="A50">
        <v>195</v>
      </c>
      <c r="B50" t="s">
        <v>6142</v>
      </c>
      <c r="C50" s="2" t="s">
        <v>2386</v>
      </c>
      <c r="D50" t="s">
        <v>26</v>
      </c>
      <c r="E50">
        <v>307582</v>
      </c>
      <c r="F50" s="5">
        <v>41974.789915966387</v>
      </c>
      <c r="G50" s="11">
        <f t="shared" si="0"/>
        <v>7975.2100840336134</v>
      </c>
      <c r="H50" s="11">
        <f t="shared" si="1"/>
        <v>49950</v>
      </c>
    </row>
    <row r="51" spans="1:8" x14ac:dyDescent="0.3">
      <c r="A51">
        <v>195</v>
      </c>
      <c r="B51" t="s">
        <v>6142</v>
      </c>
      <c r="C51" s="2" t="s">
        <v>2386</v>
      </c>
      <c r="D51" t="s">
        <v>26</v>
      </c>
      <c r="E51">
        <v>307583</v>
      </c>
      <c r="F51" s="5">
        <v>420.1680672268908</v>
      </c>
      <c r="G51" s="11">
        <f t="shared" si="0"/>
        <v>79.831932773109259</v>
      </c>
      <c r="H51" s="11">
        <f t="shared" si="1"/>
        <v>500.00000000000006</v>
      </c>
    </row>
    <row r="52" spans="1:8" x14ac:dyDescent="0.3">
      <c r="A52">
        <v>195</v>
      </c>
      <c r="B52" t="s">
        <v>6142</v>
      </c>
      <c r="C52" s="2" t="s">
        <v>2470</v>
      </c>
      <c r="D52" t="s">
        <v>26</v>
      </c>
      <c r="E52">
        <v>307584</v>
      </c>
      <c r="F52" s="5">
        <v>0.84033613445378152</v>
      </c>
      <c r="G52" s="11">
        <f t="shared" si="0"/>
        <v>0.1596638655462185</v>
      </c>
      <c r="H52" s="11">
        <f t="shared" si="1"/>
        <v>1</v>
      </c>
    </row>
    <row r="53" spans="1:8" x14ac:dyDescent="0.3">
      <c r="A53">
        <v>195</v>
      </c>
      <c r="B53" t="s">
        <v>6142</v>
      </c>
      <c r="C53" s="2" t="s">
        <v>2470</v>
      </c>
      <c r="D53" t="s">
        <v>26</v>
      </c>
      <c r="E53">
        <v>307585</v>
      </c>
      <c r="F53" s="5">
        <v>5840.3361344537816</v>
      </c>
      <c r="G53" s="11">
        <f t="shared" si="0"/>
        <v>1109.6638655462184</v>
      </c>
      <c r="H53" s="11">
        <f t="shared" si="1"/>
        <v>6950</v>
      </c>
    </row>
    <row r="54" spans="1:8" x14ac:dyDescent="0.3">
      <c r="A54">
        <v>195</v>
      </c>
      <c r="B54" t="s">
        <v>6142</v>
      </c>
      <c r="C54" s="2" t="s">
        <v>2470</v>
      </c>
      <c r="D54" t="s">
        <v>26</v>
      </c>
      <c r="E54">
        <v>307586</v>
      </c>
      <c r="F54" s="5">
        <v>29403.361344537818</v>
      </c>
      <c r="G54" s="11">
        <f t="shared" si="0"/>
        <v>5586.6386554621859</v>
      </c>
      <c r="H54" s="11">
        <f t="shared" si="1"/>
        <v>34990</v>
      </c>
    </row>
    <row r="55" spans="1:8" x14ac:dyDescent="0.3">
      <c r="A55">
        <v>195</v>
      </c>
      <c r="B55" t="s">
        <v>6142</v>
      </c>
      <c r="C55" s="2" t="s">
        <v>2470</v>
      </c>
      <c r="D55" t="s">
        <v>26</v>
      </c>
      <c r="E55">
        <v>307586</v>
      </c>
      <c r="F55" s="5">
        <v>420.1680672268908</v>
      </c>
      <c r="G55" s="11">
        <f t="shared" si="0"/>
        <v>79.831932773109259</v>
      </c>
      <c r="H55" s="11">
        <f t="shared" si="1"/>
        <v>500.00000000000006</v>
      </c>
    </row>
    <row r="56" spans="1:8" x14ac:dyDescent="0.3">
      <c r="A56">
        <v>195</v>
      </c>
      <c r="B56" t="s">
        <v>6142</v>
      </c>
      <c r="C56" s="2" t="s">
        <v>2470</v>
      </c>
      <c r="D56" t="s">
        <v>26</v>
      </c>
      <c r="E56">
        <v>307587</v>
      </c>
      <c r="F56" s="5">
        <v>33605.042016806721</v>
      </c>
      <c r="G56" s="11">
        <f t="shared" si="0"/>
        <v>6384.957983193277</v>
      </c>
      <c r="H56" s="11">
        <f t="shared" si="1"/>
        <v>39990</v>
      </c>
    </row>
    <row r="57" spans="1:8" x14ac:dyDescent="0.3">
      <c r="A57">
        <v>195</v>
      </c>
      <c r="B57" t="s">
        <v>6142</v>
      </c>
      <c r="C57" s="2" t="s">
        <v>2470</v>
      </c>
      <c r="D57" t="s">
        <v>26</v>
      </c>
      <c r="E57">
        <v>307587</v>
      </c>
      <c r="F57" s="5">
        <v>420.1680672268908</v>
      </c>
      <c r="G57" s="11">
        <f t="shared" si="0"/>
        <v>79.831932773109259</v>
      </c>
      <c r="H57" s="11">
        <f t="shared" si="1"/>
        <v>500.00000000000006</v>
      </c>
    </row>
    <row r="58" spans="1:8" x14ac:dyDescent="0.3">
      <c r="A58">
        <v>195</v>
      </c>
      <c r="B58" t="s">
        <v>6142</v>
      </c>
      <c r="C58" s="2" t="s">
        <v>2470</v>
      </c>
      <c r="D58" t="s">
        <v>26</v>
      </c>
      <c r="E58">
        <v>307588</v>
      </c>
      <c r="F58" s="5">
        <v>71386.554621848743</v>
      </c>
      <c r="G58" s="11">
        <f t="shared" si="0"/>
        <v>13563.445378151262</v>
      </c>
      <c r="H58" s="11">
        <f t="shared" si="1"/>
        <v>84950</v>
      </c>
    </row>
    <row r="59" spans="1:8" x14ac:dyDescent="0.3">
      <c r="A59">
        <v>195</v>
      </c>
      <c r="B59" t="s">
        <v>6142</v>
      </c>
      <c r="C59" s="2" t="s">
        <v>2470</v>
      </c>
      <c r="D59" t="s">
        <v>26</v>
      </c>
      <c r="E59">
        <v>307589</v>
      </c>
      <c r="F59" s="5">
        <v>29403.361344537818</v>
      </c>
      <c r="G59" s="11">
        <f t="shared" si="0"/>
        <v>5586.6386554621859</v>
      </c>
      <c r="H59" s="11">
        <f t="shared" si="1"/>
        <v>34990</v>
      </c>
    </row>
    <row r="60" spans="1:8" x14ac:dyDescent="0.3">
      <c r="A60">
        <v>195</v>
      </c>
      <c r="B60" t="s">
        <v>6142</v>
      </c>
      <c r="C60" s="2" t="s">
        <v>2470</v>
      </c>
      <c r="D60" t="s">
        <v>26</v>
      </c>
      <c r="E60">
        <v>307590</v>
      </c>
      <c r="F60" s="5">
        <v>58781.512605042022</v>
      </c>
      <c r="G60" s="11">
        <f t="shared" si="0"/>
        <v>11168.487394957985</v>
      </c>
      <c r="H60" s="11">
        <f t="shared" si="1"/>
        <v>69950</v>
      </c>
    </row>
    <row r="61" spans="1:8" x14ac:dyDescent="0.3">
      <c r="A61">
        <v>195</v>
      </c>
      <c r="B61" t="s">
        <v>6142</v>
      </c>
      <c r="C61" s="2" t="s">
        <v>2470</v>
      </c>
      <c r="D61" t="s">
        <v>26</v>
      </c>
      <c r="E61">
        <v>307591</v>
      </c>
      <c r="F61" s="5">
        <v>420.1680672268908</v>
      </c>
      <c r="G61" s="11">
        <f t="shared" si="0"/>
        <v>79.831932773109259</v>
      </c>
      <c r="H61" s="11">
        <f t="shared" si="1"/>
        <v>500.00000000000006</v>
      </c>
    </row>
    <row r="62" spans="1:8" x14ac:dyDescent="0.3">
      <c r="A62">
        <v>195</v>
      </c>
      <c r="B62" t="s">
        <v>6142</v>
      </c>
      <c r="C62" s="2" t="s">
        <v>2470</v>
      </c>
      <c r="D62" t="s">
        <v>26</v>
      </c>
      <c r="E62">
        <v>307592</v>
      </c>
      <c r="F62" s="5">
        <v>83991.596638655465</v>
      </c>
      <c r="G62" s="11">
        <f t="shared" si="0"/>
        <v>15958.403361344539</v>
      </c>
      <c r="H62" s="11">
        <f t="shared" si="1"/>
        <v>99950</v>
      </c>
    </row>
    <row r="63" spans="1:8" x14ac:dyDescent="0.3">
      <c r="A63">
        <v>195</v>
      </c>
      <c r="B63" t="s">
        <v>6142</v>
      </c>
      <c r="C63" s="2" t="s">
        <v>2470</v>
      </c>
      <c r="D63" t="s">
        <v>26</v>
      </c>
      <c r="E63">
        <v>307593</v>
      </c>
      <c r="F63" s="5">
        <v>5000</v>
      </c>
      <c r="G63" s="11">
        <f t="shared" si="0"/>
        <v>950</v>
      </c>
      <c r="H63" s="11">
        <f t="shared" si="1"/>
        <v>5950</v>
      </c>
    </row>
    <row r="64" spans="1:8" x14ac:dyDescent="0.3">
      <c r="A64">
        <v>195</v>
      </c>
      <c r="B64" t="s">
        <v>6142</v>
      </c>
      <c r="C64" s="2" t="s">
        <v>2470</v>
      </c>
      <c r="D64" t="s">
        <v>26</v>
      </c>
      <c r="E64">
        <v>307594</v>
      </c>
      <c r="F64" s="5">
        <v>50378.151260504201</v>
      </c>
      <c r="G64" s="11">
        <f t="shared" si="0"/>
        <v>9571.8487394957974</v>
      </c>
      <c r="H64" s="11">
        <f t="shared" si="1"/>
        <v>59950</v>
      </c>
    </row>
    <row r="65" spans="1:8" x14ac:dyDescent="0.3">
      <c r="A65">
        <v>195</v>
      </c>
      <c r="B65" t="s">
        <v>6142</v>
      </c>
      <c r="C65" s="2" t="s">
        <v>2470</v>
      </c>
      <c r="D65" t="s">
        <v>26</v>
      </c>
      <c r="E65">
        <v>307595</v>
      </c>
      <c r="F65" s="5">
        <v>420.1680672268908</v>
      </c>
      <c r="G65" s="11">
        <f t="shared" si="0"/>
        <v>79.831932773109259</v>
      </c>
      <c r="H65" s="11">
        <f t="shared" si="1"/>
        <v>500.00000000000006</v>
      </c>
    </row>
    <row r="66" spans="1:8" x14ac:dyDescent="0.3">
      <c r="A66">
        <v>195</v>
      </c>
      <c r="B66" t="s">
        <v>6142</v>
      </c>
      <c r="C66" s="2" t="s">
        <v>2470</v>
      </c>
      <c r="D66" t="s">
        <v>26</v>
      </c>
      <c r="E66">
        <v>307596</v>
      </c>
      <c r="F66" s="5">
        <v>42008.403361344543</v>
      </c>
      <c r="G66" s="11">
        <f t="shared" si="0"/>
        <v>7981.5966386554628</v>
      </c>
      <c r="H66" s="11">
        <f t="shared" si="1"/>
        <v>49990.000000000007</v>
      </c>
    </row>
    <row r="67" spans="1:8" x14ac:dyDescent="0.3">
      <c r="A67">
        <v>195</v>
      </c>
      <c r="B67" t="s">
        <v>6142</v>
      </c>
      <c r="C67" s="2" t="s">
        <v>2470</v>
      </c>
      <c r="D67" t="s">
        <v>26</v>
      </c>
      <c r="E67">
        <v>307596</v>
      </c>
      <c r="F67" s="5">
        <v>49957.983193277316</v>
      </c>
      <c r="G67" s="11">
        <f t="shared" ref="G67:G130" si="2">F67*19%</f>
        <v>9492.0168067226896</v>
      </c>
      <c r="H67" s="11">
        <f t="shared" ref="H67:H130" si="3">+G67+F67</f>
        <v>59450.000000000007</v>
      </c>
    </row>
    <row r="68" spans="1:8" x14ac:dyDescent="0.3">
      <c r="A68">
        <v>195</v>
      </c>
      <c r="B68" t="s">
        <v>6142</v>
      </c>
      <c r="C68" s="2" t="s">
        <v>2470</v>
      </c>
      <c r="D68" t="s">
        <v>26</v>
      </c>
      <c r="E68">
        <v>307597</v>
      </c>
      <c r="F68" s="5">
        <v>29403.361344537818</v>
      </c>
      <c r="G68" s="11">
        <f t="shared" si="2"/>
        <v>5586.6386554621859</v>
      </c>
      <c r="H68" s="11">
        <f t="shared" si="3"/>
        <v>34990</v>
      </c>
    </row>
    <row r="69" spans="1:8" x14ac:dyDescent="0.3">
      <c r="A69">
        <v>195</v>
      </c>
      <c r="B69" t="s">
        <v>6142</v>
      </c>
      <c r="C69" s="2" t="s">
        <v>2470</v>
      </c>
      <c r="D69" t="s">
        <v>26</v>
      </c>
      <c r="E69">
        <v>307597</v>
      </c>
      <c r="F69" s="5">
        <v>53529.411764705888</v>
      </c>
      <c r="G69" s="11">
        <f t="shared" si="2"/>
        <v>10170.588235294119</v>
      </c>
      <c r="H69" s="11">
        <f t="shared" si="3"/>
        <v>63700.000000000007</v>
      </c>
    </row>
    <row r="70" spans="1:8" x14ac:dyDescent="0.3">
      <c r="A70">
        <v>195</v>
      </c>
      <c r="B70" t="s">
        <v>6142</v>
      </c>
      <c r="C70" s="2" t="s">
        <v>2470</v>
      </c>
      <c r="D70" t="s">
        <v>26</v>
      </c>
      <c r="E70">
        <v>307598</v>
      </c>
      <c r="F70" s="5">
        <v>47235.294117647063</v>
      </c>
      <c r="G70" s="11">
        <f t="shared" si="2"/>
        <v>8974.7058823529424</v>
      </c>
      <c r="H70" s="11">
        <f t="shared" si="3"/>
        <v>56210.000000000007</v>
      </c>
    </row>
    <row r="71" spans="1:8" x14ac:dyDescent="0.3">
      <c r="A71">
        <v>195</v>
      </c>
      <c r="B71" t="s">
        <v>6142</v>
      </c>
      <c r="C71" s="2" t="s">
        <v>422</v>
      </c>
      <c r="D71" t="s">
        <v>26</v>
      </c>
      <c r="E71">
        <v>307599</v>
      </c>
      <c r="F71" s="5">
        <v>58781.512605042022</v>
      </c>
      <c r="G71" s="11">
        <f t="shared" si="2"/>
        <v>11168.487394957985</v>
      </c>
      <c r="H71" s="11">
        <f t="shared" si="3"/>
        <v>69950</v>
      </c>
    </row>
    <row r="72" spans="1:8" x14ac:dyDescent="0.3">
      <c r="A72">
        <v>195</v>
      </c>
      <c r="B72" t="s">
        <v>6142</v>
      </c>
      <c r="C72" s="2" t="s">
        <v>422</v>
      </c>
      <c r="D72" t="s">
        <v>26</v>
      </c>
      <c r="E72">
        <v>307600</v>
      </c>
      <c r="F72" s="5">
        <v>420.1680672268908</v>
      </c>
      <c r="G72" s="11">
        <f t="shared" si="2"/>
        <v>79.831932773109259</v>
      </c>
      <c r="H72" s="11">
        <f t="shared" si="3"/>
        <v>500.00000000000006</v>
      </c>
    </row>
    <row r="73" spans="1:8" x14ac:dyDescent="0.3">
      <c r="A73">
        <v>195</v>
      </c>
      <c r="B73" t="s">
        <v>6142</v>
      </c>
      <c r="C73" s="2" t="s">
        <v>422</v>
      </c>
      <c r="D73" t="s">
        <v>26</v>
      </c>
      <c r="E73">
        <v>307601</v>
      </c>
      <c r="F73" s="5">
        <v>5840.3361344537816</v>
      </c>
      <c r="G73" s="11">
        <f t="shared" si="2"/>
        <v>1109.6638655462184</v>
      </c>
      <c r="H73" s="11">
        <f t="shared" si="3"/>
        <v>6950</v>
      </c>
    </row>
    <row r="74" spans="1:8" x14ac:dyDescent="0.3">
      <c r="A74">
        <v>195</v>
      </c>
      <c r="B74" t="s">
        <v>6142</v>
      </c>
      <c r="C74" s="2" t="s">
        <v>422</v>
      </c>
      <c r="D74" t="s">
        <v>26</v>
      </c>
      <c r="E74">
        <v>307602</v>
      </c>
      <c r="F74" s="5">
        <v>58815.126050420171</v>
      </c>
      <c r="G74" s="11">
        <f t="shared" si="2"/>
        <v>11174.873949579833</v>
      </c>
      <c r="H74" s="11">
        <f t="shared" si="3"/>
        <v>69990</v>
      </c>
    </row>
    <row r="75" spans="1:8" x14ac:dyDescent="0.3">
      <c r="A75">
        <v>195</v>
      </c>
      <c r="B75" t="s">
        <v>6142</v>
      </c>
      <c r="C75" s="2" t="s">
        <v>422</v>
      </c>
      <c r="D75" t="s">
        <v>26</v>
      </c>
      <c r="E75">
        <v>307602</v>
      </c>
      <c r="F75" s="5">
        <v>42008.403361344543</v>
      </c>
      <c r="G75" s="11">
        <f t="shared" si="2"/>
        <v>7981.5966386554628</v>
      </c>
      <c r="H75" s="11">
        <f t="shared" si="3"/>
        <v>49990.000000000007</v>
      </c>
    </row>
    <row r="76" spans="1:8" x14ac:dyDescent="0.3">
      <c r="A76">
        <v>195</v>
      </c>
      <c r="B76" t="s">
        <v>6142</v>
      </c>
      <c r="C76" s="2" t="s">
        <v>422</v>
      </c>
      <c r="D76" t="s">
        <v>26</v>
      </c>
      <c r="E76">
        <v>307603</v>
      </c>
      <c r="F76" s="5">
        <v>54579.831932773115</v>
      </c>
      <c r="G76" s="11">
        <f t="shared" si="2"/>
        <v>10370.168067226892</v>
      </c>
      <c r="H76" s="11">
        <f t="shared" si="3"/>
        <v>64950.000000000007</v>
      </c>
    </row>
    <row r="77" spans="1:8" x14ac:dyDescent="0.3">
      <c r="A77">
        <v>195</v>
      </c>
      <c r="B77" t="s">
        <v>6142</v>
      </c>
      <c r="C77" s="2" t="s">
        <v>422</v>
      </c>
      <c r="D77" t="s">
        <v>26</v>
      </c>
      <c r="E77">
        <v>307604</v>
      </c>
      <c r="F77" s="5">
        <v>5000</v>
      </c>
      <c r="G77" s="11">
        <f t="shared" si="2"/>
        <v>950</v>
      </c>
      <c r="H77" s="11">
        <f t="shared" si="3"/>
        <v>5950</v>
      </c>
    </row>
    <row r="78" spans="1:8" x14ac:dyDescent="0.3">
      <c r="A78">
        <v>195</v>
      </c>
      <c r="B78" t="s">
        <v>6142</v>
      </c>
      <c r="C78" s="2" t="s">
        <v>422</v>
      </c>
      <c r="D78" t="s">
        <v>26</v>
      </c>
      <c r="E78">
        <v>307605</v>
      </c>
      <c r="F78" s="5">
        <v>29403.361344537818</v>
      </c>
      <c r="G78" s="11">
        <f t="shared" si="2"/>
        <v>5586.6386554621859</v>
      </c>
      <c r="H78" s="11">
        <f t="shared" si="3"/>
        <v>34990</v>
      </c>
    </row>
    <row r="79" spans="1:8" x14ac:dyDescent="0.3">
      <c r="A79">
        <v>195</v>
      </c>
      <c r="B79" t="s">
        <v>6142</v>
      </c>
      <c r="C79" s="2" t="s">
        <v>422</v>
      </c>
      <c r="D79" t="s">
        <v>26</v>
      </c>
      <c r="E79">
        <v>307606</v>
      </c>
      <c r="F79" s="5">
        <v>29403.361344537818</v>
      </c>
      <c r="G79" s="11">
        <f t="shared" si="2"/>
        <v>5586.6386554621859</v>
      </c>
      <c r="H79" s="11">
        <f t="shared" si="3"/>
        <v>34990</v>
      </c>
    </row>
    <row r="80" spans="1:8" x14ac:dyDescent="0.3">
      <c r="A80">
        <v>195</v>
      </c>
      <c r="B80" t="s">
        <v>6142</v>
      </c>
      <c r="C80" s="2" t="s">
        <v>422</v>
      </c>
      <c r="D80" t="s">
        <v>26</v>
      </c>
      <c r="E80">
        <v>307607</v>
      </c>
      <c r="F80" s="5">
        <v>75588.23529411765</v>
      </c>
      <c r="G80" s="11">
        <f t="shared" si="2"/>
        <v>14361.764705882353</v>
      </c>
      <c r="H80" s="11">
        <f t="shared" si="3"/>
        <v>89950</v>
      </c>
    </row>
    <row r="81" spans="1:8" x14ac:dyDescent="0.3">
      <c r="A81">
        <v>195</v>
      </c>
      <c r="B81" t="s">
        <v>6142</v>
      </c>
      <c r="C81" s="2" t="s">
        <v>422</v>
      </c>
      <c r="D81" t="s">
        <v>26</v>
      </c>
      <c r="E81">
        <v>307608</v>
      </c>
      <c r="F81" s="5">
        <v>44084.033613445383</v>
      </c>
      <c r="G81" s="11">
        <f t="shared" si="2"/>
        <v>8375.9663865546227</v>
      </c>
      <c r="H81" s="11">
        <f t="shared" si="3"/>
        <v>52460.000000000007</v>
      </c>
    </row>
    <row r="82" spans="1:8" x14ac:dyDescent="0.3">
      <c r="A82">
        <v>195</v>
      </c>
      <c r="B82" t="s">
        <v>6142</v>
      </c>
      <c r="C82" s="2" t="s">
        <v>422</v>
      </c>
      <c r="D82" t="s">
        <v>26</v>
      </c>
      <c r="E82">
        <v>307609</v>
      </c>
      <c r="F82" s="5">
        <v>42008.403361344543</v>
      </c>
      <c r="G82" s="11">
        <f t="shared" si="2"/>
        <v>7981.5966386554628</v>
      </c>
      <c r="H82" s="11">
        <f t="shared" si="3"/>
        <v>49990.000000000007</v>
      </c>
    </row>
    <row r="83" spans="1:8" x14ac:dyDescent="0.3">
      <c r="A83">
        <v>195</v>
      </c>
      <c r="B83" t="s">
        <v>6142</v>
      </c>
      <c r="C83" s="2" t="s">
        <v>422</v>
      </c>
      <c r="D83" t="s">
        <v>26</v>
      </c>
      <c r="E83">
        <v>307610</v>
      </c>
      <c r="F83" s="5">
        <v>50378.151260504201</v>
      </c>
      <c r="G83" s="11">
        <f t="shared" si="2"/>
        <v>9571.8487394957974</v>
      </c>
      <c r="H83" s="11">
        <f t="shared" si="3"/>
        <v>59950</v>
      </c>
    </row>
    <row r="84" spans="1:8" x14ac:dyDescent="0.3">
      <c r="A84">
        <v>195</v>
      </c>
      <c r="B84" t="s">
        <v>6142</v>
      </c>
      <c r="C84" s="2" t="s">
        <v>422</v>
      </c>
      <c r="D84" t="s">
        <v>26</v>
      </c>
      <c r="E84">
        <v>307611</v>
      </c>
      <c r="F84" s="5">
        <v>50411.764705882357</v>
      </c>
      <c r="G84" s="11">
        <f t="shared" si="2"/>
        <v>9578.2352941176487</v>
      </c>
      <c r="H84" s="11">
        <f t="shared" si="3"/>
        <v>59990.000000000007</v>
      </c>
    </row>
    <row r="85" spans="1:8" x14ac:dyDescent="0.3">
      <c r="A85">
        <v>195</v>
      </c>
      <c r="B85" t="s">
        <v>6142</v>
      </c>
      <c r="C85" s="2" t="s">
        <v>422</v>
      </c>
      <c r="D85" t="s">
        <v>26</v>
      </c>
      <c r="E85">
        <v>307611</v>
      </c>
      <c r="F85" s="5">
        <v>-42008.403361344543</v>
      </c>
      <c r="G85" s="11">
        <f t="shared" si="2"/>
        <v>-7981.5966386554628</v>
      </c>
      <c r="H85" s="11">
        <f t="shared" si="3"/>
        <v>-49990.000000000007</v>
      </c>
    </row>
    <row r="86" spans="1:8" x14ac:dyDescent="0.3">
      <c r="A86">
        <v>195</v>
      </c>
      <c r="B86" t="s">
        <v>6142</v>
      </c>
      <c r="C86" s="2" t="s">
        <v>814</v>
      </c>
      <c r="D86" t="s">
        <v>2249</v>
      </c>
      <c r="E86">
        <v>25380</v>
      </c>
      <c r="F86" s="5">
        <v>-71386.554621848743</v>
      </c>
      <c r="G86" s="11">
        <f t="shared" si="2"/>
        <v>-13563.445378151262</v>
      </c>
      <c r="H86" s="11">
        <f t="shared" si="3"/>
        <v>-84950</v>
      </c>
    </row>
    <row r="87" spans="1:8" x14ac:dyDescent="0.3">
      <c r="A87">
        <v>195</v>
      </c>
      <c r="B87" t="s">
        <v>6142</v>
      </c>
      <c r="C87" s="2" t="s">
        <v>814</v>
      </c>
      <c r="D87" t="s">
        <v>26</v>
      </c>
      <c r="E87">
        <v>307612</v>
      </c>
      <c r="F87" s="5">
        <v>25201.680672268907</v>
      </c>
      <c r="G87" s="11">
        <f t="shared" si="2"/>
        <v>4788.319327731092</v>
      </c>
      <c r="H87" s="11">
        <f t="shared" si="3"/>
        <v>29990</v>
      </c>
    </row>
    <row r="88" spans="1:8" x14ac:dyDescent="0.3">
      <c r="A88">
        <v>195</v>
      </c>
      <c r="B88" t="s">
        <v>6142</v>
      </c>
      <c r="C88" s="2" t="s">
        <v>814</v>
      </c>
      <c r="D88" t="s">
        <v>26</v>
      </c>
      <c r="E88">
        <v>307612</v>
      </c>
      <c r="F88" s="5">
        <v>4568.0672268907565</v>
      </c>
      <c r="G88" s="11">
        <f t="shared" si="2"/>
        <v>867.93277310924373</v>
      </c>
      <c r="H88" s="11">
        <f t="shared" si="3"/>
        <v>5436</v>
      </c>
    </row>
    <row r="89" spans="1:8" x14ac:dyDescent="0.3">
      <c r="A89">
        <v>195</v>
      </c>
      <c r="B89" t="s">
        <v>6142</v>
      </c>
      <c r="C89" s="2" t="s">
        <v>814</v>
      </c>
      <c r="D89" t="s">
        <v>26</v>
      </c>
      <c r="E89">
        <v>307613</v>
      </c>
      <c r="F89" s="5">
        <v>50411.764705882357</v>
      </c>
      <c r="G89" s="11">
        <f t="shared" si="2"/>
        <v>9578.2352941176487</v>
      </c>
      <c r="H89" s="11">
        <f t="shared" si="3"/>
        <v>59990.000000000007</v>
      </c>
    </row>
    <row r="90" spans="1:8" x14ac:dyDescent="0.3">
      <c r="A90">
        <v>195</v>
      </c>
      <c r="B90" t="s">
        <v>6142</v>
      </c>
      <c r="C90" s="2" t="s">
        <v>814</v>
      </c>
      <c r="D90" t="s">
        <v>26</v>
      </c>
      <c r="E90">
        <v>307614</v>
      </c>
      <c r="F90" s="5">
        <v>5840.3361344537816</v>
      </c>
      <c r="G90" s="11">
        <f t="shared" si="2"/>
        <v>1109.6638655462184</v>
      </c>
      <c r="H90" s="11">
        <f t="shared" si="3"/>
        <v>6950</v>
      </c>
    </row>
    <row r="91" spans="1:8" x14ac:dyDescent="0.3">
      <c r="A91">
        <v>195</v>
      </c>
      <c r="B91" t="s">
        <v>6142</v>
      </c>
      <c r="C91" s="2" t="s">
        <v>814</v>
      </c>
      <c r="D91" t="s">
        <v>26</v>
      </c>
      <c r="E91">
        <v>307615</v>
      </c>
      <c r="F91" s="5">
        <v>58781.512605042022</v>
      </c>
      <c r="G91" s="11">
        <f t="shared" si="2"/>
        <v>11168.487394957985</v>
      </c>
      <c r="H91" s="11">
        <f t="shared" si="3"/>
        <v>69950</v>
      </c>
    </row>
    <row r="92" spans="1:8" x14ac:dyDescent="0.3">
      <c r="A92">
        <v>195</v>
      </c>
      <c r="B92" t="s">
        <v>6142</v>
      </c>
      <c r="C92" s="2" t="s">
        <v>814</v>
      </c>
      <c r="D92" t="s">
        <v>26</v>
      </c>
      <c r="E92">
        <v>307616</v>
      </c>
      <c r="F92" s="5">
        <v>50378.151260504201</v>
      </c>
      <c r="G92" s="11">
        <f t="shared" si="2"/>
        <v>9571.8487394957974</v>
      </c>
      <c r="H92" s="11">
        <f t="shared" si="3"/>
        <v>59950</v>
      </c>
    </row>
    <row r="93" spans="1:8" x14ac:dyDescent="0.3">
      <c r="A93">
        <v>195</v>
      </c>
      <c r="B93" t="s">
        <v>6142</v>
      </c>
      <c r="C93" s="2" t="s">
        <v>814</v>
      </c>
      <c r="D93" t="s">
        <v>26</v>
      </c>
      <c r="E93">
        <v>307616</v>
      </c>
      <c r="F93" s="5">
        <v>64243.697478991598</v>
      </c>
      <c r="G93" s="11">
        <f t="shared" si="2"/>
        <v>12206.302521008403</v>
      </c>
      <c r="H93" s="11">
        <f t="shared" si="3"/>
        <v>76450</v>
      </c>
    </row>
    <row r="94" spans="1:8" x14ac:dyDescent="0.3">
      <c r="A94">
        <v>195</v>
      </c>
      <c r="B94" t="s">
        <v>6142</v>
      </c>
      <c r="C94" s="2" t="s">
        <v>814</v>
      </c>
      <c r="D94" t="s">
        <v>26</v>
      </c>
      <c r="E94">
        <v>307617</v>
      </c>
      <c r="F94" s="5">
        <v>58781.512605042022</v>
      </c>
      <c r="G94" s="11">
        <f t="shared" si="2"/>
        <v>11168.487394957985</v>
      </c>
      <c r="H94" s="11">
        <f t="shared" si="3"/>
        <v>69950</v>
      </c>
    </row>
    <row r="95" spans="1:8" x14ac:dyDescent="0.3">
      <c r="A95">
        <v>195</v>
      </c>
      <c r="B95" t="s">
        <v>6142</v>
      </c>
      <c r="C95" s="2" t="s">
        <v>814</v>
      </c>
      <c r="D95" t="s">
        <v>26</v>
      </c>
      <c r="E95">
        <v>307618</v>
      </c>
      <c r="F95" s="5">
        <v>50411.764705882357</v>
      </c>
      <c r="G95" s="11">
        <f t="shared" si="2"/>
        <v>9578.2352941176487</v>
      </c>
      <c r="H95" s="11">
        <f t="shared" si="3"/>
        <v>59990.000000000007</v>
      </c>
    </row>
    <row r="96" spans="1:8" x14ac:dyDescent="0.3">
      <c r="A96">
        <v>195</v>
      </c>
      <c r="B96" t="s">
        <v>6142</v>
      </c>
      <c r="C96" s="2" t="s">
        <v>814</v>
      </c>
      <c r="D96" t="s">
        <v>26</v>
      </c>
      <c r="E96">
        <v>307619</v>
      </c>
      <c r="F96" s="5">
        <v>420.1680672268908</v>
      </c>
      <c r="G96" s="11">
        <f t="shared" si="2"/>
        <v>79.831932773109259</v>
      </c>
      <c r="H96" s="11">
        <f t="shared" si="3"/>
        <v>500.00000000000006</v>
      </c>
    </row>
    <row r="97" spans="1:8" x14ac:dyDescent="0.3">
      <c r="A97">
        <v>195</v>
      </c>
      <c r="B97" t="s">
        <v>6142</v>
      </c>
      <c r="C97" s="2" t="s">
        <v>814</v>
      </c>
      <c r="D97" t="s">
        <v>26</v>
      </c>
      <c r="E97">
        <v>307620</v>
      </c>
      <c r="F97" s="5">
        <v>42008.403361344543</v>
      </c>
      <c r="G97" s="11">
        <f t="shared" si="2"/>
        <v>7981.5966386554628</v>
      </c>
      <c r="H97" s="11">
        <f t="shared" si="3"/>
        <v>49990.000000000007</v>
      </c>
    </row>
    <row r="98" spans="1:8" x14ac:dyDescent="0.3">
      <c r="A98">
        <v>195</v>
      </c>
      <c r="B98" t="s">
        <v>6142</v>
      </c>
      <c r="C98" s="2" t="s">
        <v>814</v>
      </c>
      <c r="D98" t="s">
        <v>26</v>
      </c>
      <c r="E98">
        <v>307621</v>
      </c>
      <c r="F98" s="5">
        <v>420.1680672268908</v>
      </c>
      <c r="G98" s="11">
        <f t="shared" si="2"/>
        <v>79.831932773109259</v>
      </c>
      <c r="H98" s="11">
        <f t="shared" si="3"/>
        <v>500.00000000000006</v>
      </c>
    </row>
    <row r="99" spans="1:8" x14ac:dyDescent="0.3">
      <c r="A99">
        <v>195</v>
      </c>
      <c r="B99" t="s">
        <v>6142</v>
      </c>
      <c r="C99" s="2" t="s">
        <v>902</v>
      </c>
      <c r="D99" t="s">
        <v>26</v>
      </c>
      <c r="E99">
        <v>307622</v>
      </c>
      <c r="F99" s="5">
        <v>3708.4033613445381</v>
      </c>
      <c r="G99" s="11">
        <f t="shared" si="2"/>
        <v>704.59663865546224</v>
      </c>
      <c r="H99" s="11">
        <f t="shared" si="3"/>
        <v>4413</v>
      </c>
    </row>
    <row r="100" spans="1:8" x14ac:dyDescent="0.3">
      <c r="A100">
        <v>195</v>
      </c>
      <c r="B100" t="s">
        <v>6142</v>
      </c>
      <c r="C100" s="2" t="s">
        <v>902</v>
      </c>
      <c r="D100" t="s">
        <v>26</v>
      </c>
      <c r="E100">
        <v>307622</v>
      </c>
      <c r="F100" s="5">
        <v>11680.672268907563</v>
      </c>
      <c r="G100" s="11">
        <f t="shared" si="2"/>
        <v>2219.3277310924368</v>
      </c>
      <c r="H100" s="11">
        <f t="shared" si="3"/>
        <v>13900</v>
      </c>
    </row>
    <row r="101" spans="1:8" x14ac:dyDescent="0.3">
      <c r="A101">
        <v>195</v>
      </c>
      <c r="B101" t="s">
        <v>6142</v>
      </c>
      <c r="C101" s="2" t="s">
        <v>902</v>
      </c>
      <c r="D101" t="s">
        <v>26</v>
      </c>
      <c r="E101">
        <v>307623</v>
      </c>
      <c r="F101" s="5">
        <v>-75588.23529411765</v>
      </c>
      <c r="G101" s="11">
        <f t="shared" si="2"/>
        <v>-14361.764705882353</v>
      </c>
      <c r="H101" s="11">
        <f t="shared" si="3"/>
        <v>-89950</v>
      </c>
    </row>
    <row r="102" spans="1:8" x14ac:dyDescent="0.3">
      <c r="A102">
        <v>195</v>
      </c>
      <c r="B102" t="s">
        <v>6142</v>
      </c>
      <c r="C102" s="2" t="s">
        <v>902</v>
      </c>
      <c r="D102" t="s">
        <v>26</v>
      </c>
      <c r="E102">
        <v>307623</v>
      </c>
      <c r="F102" s="5">
        <v>75589.075630252104</v>
      </c>
      <c r="G102" s="11">
        <f t="shared" si="2"/>
        <v>14361.9243697479</v>
      </c>
      <c r="H102" s="11">
        <f t="shared" si="3"/>
        <v>89951</v>
      </c>
    </row>
    <row r="103" spans="1:8" x14ac:dyDescent="0.3">
      <c r="A103">
        <v>195</v>
      </c>
      <c r="B103" t="s">
        <v>6142</v>
      </c>
      <c r="C103" s="2" t="s">
        <v>902</v>
      </c>
      <c r="D103" t="s">
        <v>26</v>
      </c>
      <c r="E103">
        <v>307624</v>
      </c>
      <c r="F103" s="5">
        <v>71386.554621848743</v>
      </c>
      <c r="G103" s="11">
        <f t="shared" si="2"/>
        <v>13563.445378151262</v>
      </c>
      <c r="H103" s="11">
        <f t="shared" si="3"/>
        <v>84950</v>
      </c>
    </row>
    <row r="104" spans="1:8" x14ac:dyDescent="0.3">
      <c r="A104">
        <v>195</v>
      </c>
      <c r="B104" t="s">
        <v>6142</v>
      </c>
      <c r="C104" s="2" t="s">
        <v>902</v>
      </c>
      <c r="D104" t="s">
        <v>26</v>
      </c>
      <c r="E104">
        <v>307625</v>
      </c>
      <c r="F104" s="5">
        <v>4579.8319327731097</v>
      </c>
      <c r="G104" s="11">
        <f t="shared" si="2"/>
        <v>870.1680672268908</v>
      </c>
      <c r="H104" s="11">
        <f t="shared" si="3"/>
        <v>5450</v>
      </c>
    </row>
    <row r="105" spans="1:8" x14ac:dyDescent="0.3">
      <c r="A105">
        <v>195</v>
      </c>
      <c r="B105" t="s">
        <v>6142</v>
      </c>
      <c r="C105" s="2" t="s">
        <v>902</v>
      </c>
      <c r="D105" t="s">
        <v>26</v>
      </c>
      <c r="E105">
        <v>307626</v>
      </c>
      <c r="F105" s="5">
        <v>42009.243697478996</v>
      </c>
      <c r="G105" s="11">
        <f t="shared" si="2"/>
        <v>7981.7563025210093</v>
      </c>
      <c r="H105" s="11">
        <f t="shared" si="3"/>
        <v>49991.000000000007</v>
      </c>
    </row>
    <row r="106" spans="1:8" x14ac:dyDescent="0.3">
      <c r="A106">
        <v>195</v>
      </c>
      <c r="B106" t="s">
        <v>6142</v>
      </c>
      <c r="C106" s="2" t="s">
        <v>902</v>
      </c>
      <c r="D106" t="s">
        <v>26</v>
      </c>
      <c r="E106">
        <v>307626</v>
      </c>
      <c r="F106" s="5">
        <v>-42008.403361344543</v>
      </c>
      <c r="G106" s="11">
        <f t="shared" si="2"/>
        <v>-7981.5966386554628</v>
      </c>
      <c r="H106" s="11">
        <f t="shared" si="3"/>
        <v>-49990.000000000007</v>
      </c>
    </row>
    <row r="107" spans="1:8" x14ac:dyDescent="0.3">
      <c r="A107">
        <v>195</v>
      </c>
      <c r="B107" t="s">
        <v>6142</v>
      </c>
      <c r="C107" s="2" t="s">
        <v>902</v>
      </c>
      <c r="D107" t="s">
        <v>26</v>
      </c>
      <c r="E107">
        <v>307627</v>
      </c>
      <c r="F107" s="5">
        <v>-67184.873949579836</v>
      </c>
      <c r="G107" s="11">
        <f t="shared" si="2"/>
        <v>-12765.126050420169</v>
      </c>
      <c r="H107" s="11">
        <f t="shared" si="3"/>
        <v>-79950</v>
      </c>
    </row>
    <row r="108" spans="1:8" x14ac:dyDescent="0.3">
      <c r="A108">
        <v>195</v>
      </c>
      <c r="B108" t="s">
        <v>6142</v>
      </c>
      <c r="C108" s="2" t="s">
        <v>902</v>
      </c>
      <c r="D108" t="s">
        <v>26</v>
      </c>
      <c r="E108">
        <v>307627</v>
      </c>
      <c r="F108" s="5">
        <v>67185.71428571429</v>
      </c>
      <c r="G108" s="11">
        <f t="shared" si="2"/>
        <v>12765.285714285716</v>
      </c>
      <c r="H108" s="11">
        <f t="shared" si="3"/>
        <v>79951</v>
      </c>
    </row>
    <row r="109" spans="1:8" x14ac:dyDescent="0.3">
      <c r="A109">
        <v>195</v>
      </c>
      <c r="B109" t="s">
        <v>6142</v>
      </c>
      <c r="C109" s="2" t="s">
        <v>902</v>
      </c>
      <c r="D109" t="s">
        <v>26</v>
      </c>
      <c r="E109">
        <v>307628</v>
      </c>
      <c r="F109" s="5">
        <v>420.1680672268908</v>
      </c>
      <c r="G109" s="11">
        <f t="shared" si="2"/>
        <v>79.831932773109259</v>
      </c>
      <c r="H109" s="11">
        <f t="shared" si="3"/>
        <v>500.00000000000006</v>
      </c>
    </row>
    <row r="110" spans="1:8" x14ac:dyDescent="0.3">
      <c r="A110">
        <v>195</v>
      </c>
      <c r="B110" t="s">
        <v>6142</v>
      </c>
      <c r="C110" s="2" t="s">
        <v>902</v>
      </c>
      <c r="D110" t="s">
        <v>26</v>
      </c>
      <c r="E110">
        <v>307629</v>
      </c>
      <c r="F110" s="5">
        <v>42008.403361344543</v>
      </c>
      <c r="G110" s="11">
        <f t="shared" si="2"/>
        <v>7981.5966386554628</v>
      </c>
      <c r="H110" s="11">
        <f t="shared" si="3"/>
        <v>49990.000000000007</v>
      </c>
    </row>
    <row r="111" spans="1:8" x14ac:dyDescent="0.3">
      <c r="A111">
        <v>195</v>
      </c>
      <c r="B111" t="s">
        <v>6142</v>
      </c>
      <c r="C111" s="2" t="s">
        <v>902</v>
      </c>
      <c r="D111" t="s">
        <v>26</v>
      </c>
      <c r="E111">
        <v>307630</v>
      </c>
      <c r="F111" s="5">
        <v>29403.361344537818</v>
      </c>
      <c r="G111" s="11">
        <f t="shared" si="2"/>
        <v>5586.6386554621859</v>
      </c>
      <c r="H111" s="11">
        <f t="shared" si="3"/>
        <v>34990</v>
      </c>
    </row>
    <row r="112" spans="1:8" x14ac:dyDescent="0.3">
      <c r="A112">
        <v>195</v>
      </c>
      <c r="B112" t="s">
        <v>6142</v>
      </c>
      <c r="C112" s="2" t="s">
        <v>902</v>
      </c>
      <c r="D112" t="s">
        <v>26</v>
      </c>
      <c r="E112">
        <v>307631</v>
      </c>
      <c r="F112" s="5">
        <v>71386.554621848743</v>
      </c>
      <c r="G112" s="11">
        <f t="shared" si="2"/>
        <v>13563.445378151262</v>
      </c>
      <c r="H112" s="11">
        <f t="shared" si="3"/>
        <v>84950</v>
      </c>
    </row>
    <row r="113" spans="1:8" x14ac:dyDescent="0.3">
      <c r="A113">
        <v>195</v>
      </c>
      <c r="B113" t="s">
        <v>6142</v>
      </c>
      <c r="C113" s="2" t="s">
        <v>902</v>
      </c>
      <c r="D113" t="s">
        <v>26</v>
      </c>
      <c r="E113">
        <v>307632</v>
      </c>
      <c r="F113" s="5">
        <v>41974.789915966387</v>
      </c>
      <c r="G113" s="11">
        <f t="shared" si="2"/>
        <v>7975.2100840336134</v>
      </c>
      <c r="H113" s="11">
        <f t="shared" si="3"/>
        <v>49950</v>
      </c>
    </row>
    <row r="114" spans="1:8" x14ac:dyDescent="0.3">
      <c r="A114">
        <v>195</v>
      </c>
      <c r="B114" t="s">
        <v>6142</v>
      </c>
      <c r="C114" s="2" t="s">
        <v>999</v>
      </c>
      <c r="D114" t="s">
        <v>26</v>
      </c>
      <c r="E114">
        <v>307633</v>
      </c>
      <c r="F114" s="5">
        <v>75588.23529411765</v>
      </c>
      <c r="G114" s="11">
        <f t="shared" si="2"/>
        <v>14361.764705882353</v>
      </c>
      <c r="H114" s="11">
        <f t="shared" si="3"/>
        <v>89950</v>
      </c>
    </row>
    <row r="115" spans="1:8" x14ac:dyDescent="0.3">
      <c r="A115">
        <v>195</v>
      </c>
      <c r="B115" t="s">
        <v>6142</v>
      </c>
      <c r="C115" s="2" t="s">
        <v>999</v>
      </c>
      <c r="D115" t="s">
        <v>26</v>
      </c>
      <c r="E115">
        <v>307634</v>
      </c>
      <c r="F115" s="5">
        <v>840.3361344537816</v>
      </c>
      <c r="G115" s="11">
        <f t="shared" si="2"/>
        <v>159.66386554621852</v>
      </c>
      <c r="H115" s="11">
        <f t="shared" si="3"/>
        <v>1000.0000000000001</v>
      </c>
    </row>
    <row r="116" spans="1:8" x14ac:dyDescent="0.3">
      <c r="A116">
        <v>195</v>
      </c>
      <c r="B116" t="s">
        <v>6142</v>
      </c>
      <c r="C116" s="2" t="s">
        <v>999</v>
      </c>
      <c r="D116" t="s">
        <v>26</v>
      </c>
      <c r="E116">
        <v>307635</v>
      </c>
      <c r="F116" s="5">
        <v>5840.3361344537816</v>
      </c>
      <c r="G116" s="11">
        <f t="shared" si="2"/>
        <v>1109.6638655462184</v>
      </c>
      <c r="H116" s="11">
        <f t="shared" si="3"/>
        <v>6950</v>
      </c>
    </row>
    <row r="117" spans="1:8" x14ac:dyDescent="0.3">
      <c r="A117">
        <v>195</v>
      </c>
      <c r="B117" t="s">
        <v>6142</v>
      </c>
      <c r="C117" s="2" t="s">
        <v>999</v>
      </c>
      <c r="D117" t="s">
        <v>26</v>
      </c>
      <c r="E117">
        <v>307636</v>
      </c>
      <c r="F117" s="5">
        <v>5840.3361344537816</v>
      </c>
      <c r="G117" s="11">
        <f t="shared" si="2"/>
        <v>1109.6638655462184</v>
      </c>
      <c r="H117" s="11">
        <f t="shared" si="3"/>
        <v>6950</v>
      </c>
    </row>
    <row r="118" spans="1:8" x14ac:dyDescent="0.3">
      <c r="A118">
        <v>195</v>
      </c>
      <c r="B118" t="s">
        <v>6142</v>
      </c>
      <c r="C118" s="2" t="s">
        <v>999</v>
      </c>
      <c r="D118" t="s">
        <v>26</v>
      </c>
      <c r="E118">
        <v>307637</v>
      </c>
      <c r="F118" s="5">
        <v>33605.042016806721</v>
      </c>
      <c r="G118" s="11">
        <f t="shared" si="2"/>
        <v>6384.957983193277</v>
      </c>
      <c r="H118" s="11">
        <f t="shared" si="3"/>
        <v>39990</v>
      </c>
    </row>
    <row r="119" spans="1:8" x14ac:dyDescent="0.3">
      <c r="A119">
        <v>195</v>
      </c>
      <c r="B119" t="s">
        <v>6142</v>
      </c>
      <c r="C119" s="2" t="s">
        <v>999</v>
      </c>
      <c r="D119" t="s">
        <v>26</v>
      </c>
      <c r="E119">
        <v>307637</v>
      </c>
      <c r="F119" s="5">
        <v>49957.983193277316</v>
      </c>
      <c r="G119" s="11">
        <f t="shared" si="2"/>
        <v>9492.0168067226896</v>
      </c>
      <c r="H119" s="11">
        <f t="shared" si="3"/>
        <v>59450.000000000007</v>
      </c>
    </row>
    <row r="120" spans="1:8" x14ac:dyDescent="0.3">
      <c r="A120">
        <v>195</v>
      </c>
      <c r="B120" t="s">
        <v>6142</v>
      </c>
      <c r="C120" s="2" t="s">
        <v>999</v>
      </c>
      <c r="D120" t="s">
        <v>26</v>
      </c>
      <c r="E120">
        <v>307638</v>
      </c>
      <c r="F120" s="5">
        <v>25201.680672268907</v>
      </c>
      <c r="G120" s="11">
        <f t="shared" si="2"/>
        <v>4788.319327731092</v>
      </c>
      <c r="H120" s="11">
        <f t="shared" si="3"/>
        <v>29990</v>
      </c>
    </row>
    <row r="121" spans="1:8" x14ac:dyDescent="0.3">
      <c r="A121">
        <v>195</v>
      </c>
      <c r="B121" t="s">
        <v>6142</v>
      </c>
      <c r="C121" s="2" t="s">
        <v>999</v>
      </c>
      <c r="D121" t="s">
        <v>26</v>
      </c>
      <c r="E121">
        <v>307639</v>
      </c>
      <c r="F121" s="5">
        <v>5000</v>
      </c>
      <c r="G121" s="11">
        <f t="shared" si="2"/>
        <v>950</v>
      </c>
      <c r="H121" s="11">
        <f t="shared" si="3"/>
        <v>5950</v>
      </c>
    </row>
    <row r="122" spans="1:8" x14ac:dyDescent="0.3">
      <c r="A122">
        <v>195</v>
      </c>
      <c r="B122" t="s">
        <v>6142</v>
      </c>
      <c r="C122" s="2" t="s">
        <v>999</v>
      </c>
      <c r="D122" t="s">
        <v>26</v>
      </c>
      <c r="E122">
        <v>307640</v>
      </c>
      <c r="F122" s="5">
        <v>5000</v>
      </c>
      <c r="G122" s="11">
        <f t="shared" si="2"/>
        <v>950</v>
      </c>
      <c r="H122" s="11">
        <f t="shared" si="3"/>
        <v>5950</v>
      </c>
    </row>
    <row r="123" spans="1:8" x14ac:dyDescent="0.3">
      <c r="A123">
        <v>195</v>
      </c>
      <c r="B123" t="s">
        <v>6142</v>
      </c>
      <c r="C123" s="2" t="s">
        <v>999</v>
      </c>
      <c r="D123" t="s">
        <v>26</v>
      </c>
      <c r="E123">
        <v>307641</v>
      </c>
      <c r="F123" s="5">
        <v>4579.8319327731097</v>
      </c>
      <c r="G123" s="11">
        <f t="shared" si="2"/>
        <v>870.1680672268908</v>
      </c>
      <c r="H123" s="11">
        <f t="shared" si="3"/>
        <v>5450</v>
      </c>
    </row>
    <row r="124" spans="1:8" x14ac:dyDescent="0.3">
      <c r="A124">
        <v>195</v>
      </c>
      <c r="B124" t="s">
        <v>6142</v>
      </c>
      <c r="C124" s="2" t="s">
        <v>999</v>
      </c>
      <c r="D124" t="s">
        <v>26</v>
      </c>
      <c r="E124">
        <v>307642</v>
      </c>
      <c r="F124" s="5">
        <v>57100.840336134454</v>
      </c>
      <c r="G124" s="11">
        <f t="shared" si="2"/>
        <v>10849.159663865546</v>
      </c>
      <c r="H124" s="11">
        <f t="shared" si="3"/>
        <v>67950</v>
      </c>
    </row>
    <row r="125" spans="1:8" x14ac:dyDescent="0.3">
      <c r="A125">
        <v>195</v>
      </c>
      <c r="B125" t="s">
        <v>6142</v>
      </c>
      <c r="C125" s="2" t="s">
        <v>999</v>
      </c>
      <c r="D125" t="s">
        <v>26</v>
      </c>
      <c r="E125">
        <v>307642</v>
      </c>
      <c r="F125" s="5">
        <v>67184.873949579836</v>
      </c>
      <c r="G125" s="11">
        <f t="shared" si="2"/>
        <v>12765.126050420169</v>
      </c>
      <c r="H125" s="11">
        <f t="shared" si="3"/>
        <v>79950</v>
      </c>
    </row>
    <row r="126" spans="1:8" x14ac:dyDescent="0.3">
      <c r="A126">
        <v>195</v>
      </c>
      <c r="B126" t="s">
        <v>6142</v>
      </c>
      <c r="C126" s="2" t="s">
        <v>999</v>
      </c>
      <c r="D126" t="s">
        <v>26</v>
      </c>
      <c r="E126">
        <v>307643</v>
      </c>
      <c r="F126" s="5">
        <v>5840.3361344537816</v>
      </c>
      <c r="G126" s="11">
        <f t="shared" si="2"/>
        <v>1109.6638655462184</v>
      </c>
      <c r="H126" s="11">
        <f t="shared" si="3"/>
        <v>6950</v>
      </c>
    </row>
    <row r="127" spans="1:8" x14ac:dyDescent="0.3">
      <c r="A127">
        <v>195</v>
      </c>
      <c r="B127" t="s">
        <v>6142</v>
      </c>
      <c r="C127" s="2" t="s">
        <v>999</v>
      </c>
      <c r="D127" t="s">
        <v>26</v>
      </c>
      <c r="E127">
        <v>307644</v>
      </c>
      <c r="F127" s="5">
        <v>50411.764705882357</v>
      </c>
      <c r="G127" s="11">
        <f t="shared" si="2"/>
        <v>9578.2352941176487</v>
      </c>
      <c r="H127" s="11">
        <f t="shared" si="3"/>
        <v>59990.000000000007</v>
      </c>
    </row>
    <row r="128" spans="1:8" x14ac:dyDescent="0.3">
      <c r="A128">
        <v>195</v>
      </c>
      <c r="B128" t="s">
        <v>6142</v>
      </c>
      <c r="C128" s="2" t="s">
        <v>999</v>
      </c>
      <c r="D128" t="s">
        <v>26</v>
      </c>
      <c r="E128">
        <v>307645</v>
      </c>
      <c r="F128" s="5">
        <v>67184.873949579836</v>
      </c>
      <c r="G128" s="11">
        <f t="shared" si="2"/>
        <v>12765.126050420169</v>
      </c>
      <c r="H128" s="11">
        <f t="shared" si="3"/>
        <v>79950</v>
      </c>
    </row>
    <row r="129" spans="1:8" x14ac:dyDescent="0.3">
      <c r="A129">
        <v>195</v>
      </c>
      <c r="B129" t="s">
        <v>6142</v>
      </c>
      <c r="C129" s="2" t="s">
        <v>1072</v>
      </c>
      <c r="D129" t="s">
        <v>2249</v>
      </c>
      <c r="E129">
        <v>25381</v>
      </c>
      <c r="F129" s="5">
        <v>-3319.3277310924373</v>
      </c>
      <c r="G129" s="11">
        <f t="shared" si="2"/>
        <v>-630.67226890756308</v>
      </c>
      <c r="H129" s="11">
        <f t="shared" si="3"/>
        <v>-3950.0000000000005</v>
      </c>
    </row>
    <row r="130" spans="1:8" x14ac:dyDescent="0.3">
      <c r="A130">
        <v>195</v>
      </c>
      <c r="B130" t="s">
        <v>6142</v>
      </c>
      <c r="C130" s="2" t="s">
        <v>1072</v>
      </c>
      <c r="D130" t="s">
        <v>26</v>
      </c>
      <c r="E130">
        <v>307646</v>
      </c>
      <c r="F130" s="5">
        <v>83991.596638655465</v>
      </c>
      <c r="G130" s="11">
        <f t="shared" si="2"/>
        <v>15958.403361344539</v>
      </c>
      <c r="H130" s="11">
        <f t="shared" si="3"/>
        <v>99950</v>
      </c>
    </row>
    <row r="131" spans="1:8" x14ac:dyDescent="0.3">
      <c r="A131">
        <v>195</v>
      </c>
      <c r="B131" t="s">
        <v>6142</v>
      </c>
      <c r="C131" s="2" t="s">
        <v>1072</v>
      </c>
      <c r="D131" t="s">
        <v>26</v>
      </c>
      <c r="E131">
        <v>307646</v>
      </c>
      <c r="F131" s="5">
        <v>5000</v>
      </c>
      <c r="G131" s="11">
        <f t="shared" ref="G131:G194" si="4">F131*19%</f>
        <v>950</v>
      </c>
      <c r="H131" s="11">
        <f t="shared" ref="H131:H194" si="5">+G131+F131</f>
        <v>5950</v>
      </c>
    </row>
    <row r="132" spans="1:8" x14ac:dyDescent="0.3">
      <c r="A132">
        <v>195</v>
      </c>
      <c r="B132" t="s">
        <v>6142</v>
      </c>
      <c r="C132" s="2" t="s">
        <v>1072</v>
      </c>
      <c r="D132" t="s">
        <v>26</v>
      </c>
      <c r="E132">
        <v>307647</v>
      </c>
      <c r="F132" s="5">
        <v>67184.873949579836</v>
      </c>
      <c r="G132" s="11">
        <f t="shared" si="4"/>
        <v>12765.126050420169</v>
      </c>
      <c r="H132" s="11">
        <f t="shared" si="5"/>
        <v>79950</v>
      </c>
    </row>
    <row r="133" spans="1:8" x14ac:dyDescent="0.3">
      <c r="A133">
        <v>195</v>
      </c>
      <c r="B133" t="s">
        <v>6142</v>
      </c>
      <c r="C133" s="2" t="s">
        <v>1072</v>
      </c>
      <c r="D133" t="s">
        <v>26</v>
      </c>
      <c r="E133">
        <v>307647</v>
      </c>
      <c r="F133" s="5">
        <v>5000</v>
      </c>
      <c r="G133" s="11">
        <f t="shared" si="4"/>
        <v>950</v>
      </c>
      <c r="H133" s="11">
        <f t="shared" si="5"/>
        <v>5950</v>
      </c>
    </row>
    <row r="134" spans="1:8" x14ac:dyDescent="0.3">
      <c r="A134">
        <v>195</v>
      </c>
      <c r="B134" t="s">
        <v>6142</v>
      </c>
      <c r="C134" s="2" t="s">
        <v>1072</v>
      </c>
      <c r="D134" t="s">
        <v>26</v>
      </c>
      <c r="E134">
        <v>307648</v>
      </c>
      <c r="F134" s="5">
        <v>67184.873949579836</v>
      </c>
      <c r="G134" s="11">
        <f t="shared" si="4"/>
        <v>12765.126050420169</v>
      </c>
      <c r="H134" s="11">
        <f t="shared" si="5"/>
        <v>79950</v>
      </c>
    </row>
    <row r="135" spans="1:8" x14ac:dyDescent="0.3">
      <c r="A135">
        <v>195</v>
      </c>
      <c r="B135" t="s">
        <v>6142</v>
      </c>
      <c r="C135" s="2" t="s">
        <v>1072</v>
      </c>
      <c r="D135" t="s">
        <v>26</v>
      </c>
      <c r="E135">
        <v>307649</v>
      </c>
      <c r="F135" s="5">
        <v>58781.512605042022</v>
      </c>
      <c r="G135" s="11">
        <f t="shared" si="4"/>
        <v>11168.487394957985</v>
      </c>
      <c r="H135" s="11">
        <f t="shared" si="5"/>
        <v>69950</v>
      </c>
    </row>
    <row r="136" spans="1:8" x14ac:dyDescent="0.3">
      <c r="A136">
        <v>195</v>
      </c>
      <c r="B136" t="s">
        <v>6142</v>
      </c>
      <c r="C136" s="2" t="s">
        <v>1072</v>
      </c>
      <c r="D136" t="s">
        <v>26</v>
      </c>
      <c r="E136">
        <v>307650</v>
      </c>
      <c r="F136" s="5">
        <v>83991.596638655465</v>
      </c>
      <c r="G136" s="11">
        <f t="shared" si="4"/>
        <v>15958.403361344539</v>
      </c>
      <c r="H136" s="11">
        <f t="shared" si="5"/>
        <v>99950</v>
      </c>
    </row>
    <row r="137" spans="1:8" x14ac:dyDescent="0.3">
      <c r="A137">
        <v>195</v>
      </c>
      <c r="B137" t="s">
        <v>6142</v>
      </c>
      <c r="C137" s="2" t="s">
        <v>1072</v>
      </c>
      <c r="D137" t="s">
        <v>26</v>
      </c>
      <c r="E137">
        <v>307651</v>
      </c>
      <c r="F137" s="5">
        <v>37806.722689075636</v>
      </c>
      <c r="G137" s="11">
        <f t="shared" si="4"/>
        <v>7183.2773109243708</v>
      </c>
      <c r="H137" s="11">
        <f t="shared" si="5"/>
        <v>44990.000000000007</v>
      </c>
    </row>
    <row r="138" spans="1:8" x14ac:dyDescent="0.3">
      <c r="A138">
        <v>195</v>
      </c>
      <c r="B138" t="s">
        <v>6142</v>
      </c>
      <c r="C138" s="2" t="s">
        <v>1072</v>
      </c>
      <c r="D138" t="s">
        <v>26</v>
      </c>
      <c r="E138">
        <v>307652</v>
      </c>
      <c r="F138" s="5">
        <v>5000</v>
      </c>
      <c r="G138" s="11">
        <f t="shared" si="4"/>
        <v>950</v>
      </c>
      <c r="H138" s="11">
        <f t="shared" si="5"/>
        <v>5950</v>
      </c>
    </row>
    <row r="139" spans="1:8" x14ac:dyDescent="0.3">
      <c r="A139">
        <v>195</v>
      </c>
      <c r="B139" t="s">
        <v>6142</v>
      </c>
      <c r="C139" s="2" t="s">
        <v>1072</v>
      </c>
      <c r="D139" t="s">
        <v>26</v>
      </c>
      <c r="E139">
        <v>307653</v>
      </c>
      <c r="F139" s="5">
        <v>5000</v>
      </c>
      <c r="G139" s="11">
        <f t="shared" si="4"/>
        <v>950</v>
      </c>
      <c r="H139" s="11">
        <f t="shared" si="5"/>
        <v>5950</v>
      </c>
    </row>
    <row r="140" spans="1:8" x14ac:dyDescent="0.3">
      <c r="A140">
        <v>195</v>
      </c>
      <c r="B140" t="s">
        <v>6142</v>
      </c>
      <c r="C140" s="2" t="s">
        <v>1072</v>
      </c>
      <c r="D140" t="s">
        <v>26</v>
      </c>
      <c r="E140">
        <v>307654</v>
      </c>
      <c r="F140" s="5">
        <v>29403.361344537818</v>
      </c>
      <c r="G140" s="11">
        <f t="shared" si="4"/>
        <v>5586.6386554621859</v>
      </c>
      <c r="H140" s="11">
        <f t="shared" si="5"/>
        <v>34990</v>
      </c>
    </row>
    <row r="141" spans="1:8" x14ac:dyDescent="0.3">
      <c r="A141">
        <v>195</v>
      </c>
      <c r="B141" t="s">
        <v>6142</v>
      </c>
      <c r="C141" s="2" t="s">
        <v>1072</v>
      </c>
      <c r="D141" t="s">
        <v>26</v>
      </c>
      <c r="E141">
        <v>307654</v>
      </c>
      <c r="F141" s="5">
        <v>33605.042016806721</v>
      </c>
      <c r="G141" s="11">
        <f t="shared" si="4"/>
        <v>6384.957983193277</v>
      </c>
      <c r="H141" s="11">
        <f t="shared" si="5"/>
        <v>39990</v>
      </c>
    </row>
    <row r="142" spans="1:8" x14ac:dyDescent="0.3">
      <c r="A142">
        <v>195</v>
      </c>
      <c r="B142" t="s">
        <v>6142</v>
      </c>
      <c r="C142" s="2" t="s">
        <v>1072</v>
      </c>
      <c r="D142" t="s">
        <v>26</v>
      </c>
      <c r="E142">
        <v>307655</v>
      </c>
      <c r="F142" s="5">
        <v>58781.512605042022</v>
      </c>
      <c r="G142" s="11">
        <f t="shared" si="4"/>
        <v>11168.487394957985</v>
      </c>
      <c r="H142" s="11">
        <f t="shared" si="5"/>
        <v>69950</v>
      </c>
    </row>
    <row r="143" spans="1:8" x14ac:dyDescent="0.3">
      <c r="A143">
        <v>195</v>
      </c>
      <c r="B143" t="s">
        <v>6142</v>
      </c>
      <c r="C143" s="2" t="s">
        <v>1072</v>
      </c>
      <c r="D143" t="s">
        <v>26</v>
      </c>
      <c r="E143">
        <v>307655</v>
      </c>
      <c r="F143" s="5">
        <v>71386.554621848743</v>
      </c>
      <c r="G143" s="11">
        <f t="shared" si="4"/>
        <v>13563.445378151262</v>
      </c>
      <c r="H143" s="11">
        <f t="shared" si="5"/>
        <v>84950</v>
      </c>
    </row>
    <row r="144" spans="1:8" x14ac:dyDescent="0.3">
      <c r="A144">
        <v>195</v>
      </c>
      <c r="B144" t="s">
        <v>6142</v>
      </c>
      <c r="C144" s="2" t="s">
        <v>1072</v>
      </c>
      <c r="D144" t="s">
        <v>26</v>
      </c>
      <c r="E144">
        <v>307656</v>
      </c>
      <c r="F144" s="5">
        <v>41974.789915966387</v>
      </c>
      <c r="G144" s="11">
        <f t="shared" si="4"/>
        <v>7975.2100840336134</v>
      </c>
      <c r="H144" s="11">
        <f t="shared" si="5"/>
        <v>49950</v>
      </c>
    </row>
    <row r="145" spans="1:8" x14ac:dyDescent="0.3">
      <c r="A145">
        <v>195</v>
      </c>
      <c r="B145" t="s">
        <v>6142</v>
      </c>
      <c r="C145" s="2" t="s">
        <v>1072</v>
      </c>
      <c r="D145" t="s">
        <v>26</v>
      </c>
      <c r="E145">
        <v>307657</v>
      </c>
      <c r="F145" s="5">
        <v>37806.722689075636</v>
      </c>
      <c r="G145" s="11">
        <f t="shared" si="4"/>
        <v>7183.2773109243708</v>
      </c>
      <c r="H145" s="11">
        <f t="shared" si="5"/>
        <v>44990.000000000007</v>
      </c>
    </row>
    <row r="146" spans="1:8" x14ac:dyDescent="0.3">
      <c r="A146">
        <v>195</v>
      </c>
      <c r="B146" t="s">
        <v>6142</v>
      </c>
      <c r="C146" s="2" t="s">
        <v>1072</v>
      </c>
      <c r="D146" t="s">
        <v>26</v>
      </c>
      <c r="E146">
        <v>307658</v>
      </c>
      <c r="F146" s="5">
        <v>50411.764705882357</v>
      </c>
      <c r="G146" s="11">
        <f t="shared" si="4"/>
        <v>9578.2352941176487</v>
      </c>
      <c r="H146" s="11">
        <f t="shared" si="5"/>
        <v>59990.000000000007</v>
      </c>
    </row>
    <row r="147" spans="1:8" x14ac:dyDescent="0.3">
      <c r="A147">
        <v>195</v>
      </c>
      <c r="B147" t="s">
        <v>6142</v>
      </c>
      <c r="C147" s="2" t="s">
        <v>1072</v>
      </c>
      <c r="D147" t="s">
        <v>26</v>
      </c>
      <c r="E147">
        <v>307658</v>
      </c>
      <c r="F147" s="5">
        <v>1672.2689075630253</v>
      </c>
      <c r="G147" s="11">
        <f t="shared" si="4"/>
        <v>317.73109243697479</v>
      </c>
      <c r="H147" s="11">
        <f t="shared" si="5"/>
        <v>1990</v>
      </c>
    </row>
    <row r="148" spans="1:8" x14ac:dyDescent="0.3">
      <c r="A148">
        <v>195</v>
      </c>
      <c r="B148" t="s">
        <v>6142</v>
      </c>
      <c r="C148" s="2" t="s">
        <v>1072</v>
      </c>
      <c r="D148" t="s">
        <v>26</v>
      </c>
      <c r="E148">
        <v>307659</v>
      </c>
      <c r="F148" s="5">
        <v>3319.3277310924373</v>
      </c>
      <c r="G148" s="11">
        <f t="shared" si="4"/>
        <v>630.67226890756308</v>
      </c>
      <c r="H148" s="11">
        <f t="shared" si="5"/>
        <v>3950.0000000000005</v>
      </c>
    </row>
    <row r="149" spans="1:8" x14ac:dyDescent="0.3">
      <c r="A149">
        <v>195</v>
      </c>
      <c r="B149" t="s">
        <v>6142</v>
      </c>
      <c r="C149" s="2" t="s">
        <v>1072</v>
      </c>
      <c r="D149" t="s">
        <v>26</v>
      </c>
      <c r="E149">
        <v>307660</v>
      </c>
      <c r="F149" s="5">
        <v>5000</v>
      </c>
      <c r="G149" s="11">
        <f t="shared" si="4"/>
        <v>950</v>
      </c>
      <c r="H149" s="11">
        <f t="shared" si="5"/>
        <v>5950</v>
      </c>
    </row>
    <row r="150" spans="1:8" x14ac:dyDescent="0.3">
      <c r="A150">
        <v>195</v>
      </c>
      <c r="B150" t="s">
        <v>6142</v>
      </c>
      <c r="C150" s="2" t="s">
        <v>2693</v>
      </c>
      <c r="D150" t="s">
        <v>26</v>
      </c>
      <c r="E150">
        <v>307661</v>
      </c>
      <c r="F150" s="5">
        <v>0.84033613445378152</v>
      </c>
      <c r="G150" s="11">
        <f t="shared" si="4"/>
        <v>0.1596638655462185</v>
      </c>
      <c r="H150" s="11">
        <f t="shared" si="5"/>
        <v>1</v>
      </c>
    </row>
    <row r="151" spans="1:8" x14ac:dyDescent="0.3">
      <c r="A151">
        <v>195</v>
      </c>
      <c r="B151" t="s">
        <v>6142</v>
      </c>
      <c r="C151" s="2" t="s">
        <v>2693</v>
      </c>
      <c r="D151" t="s">
        <v>26</v>
      </c>
      <c r="E151">
        <v>307661</v>
      </c>
      <c r="F151" s="5">
        <v>5840.3361344537816</v>
      </c>
      <c r="G151" s="11">
        <f t="shared" si="4"/>
        <v>1109.6638655462184</v>
      </c>
      <c r="H151" s="11">
        <f t="shared" si="5"/>
        <v>6950</v>
      </c>
    </row>
    <row r="152" spans="1:8" x14ac:dyDescent="0.3">
      <c r="A152">
        <v>195</v>
      </c>
      <c r="B152" t="s">
        <v>6142</v>
      </c>
      <c r="C152" s="2" t="s">
        <v>2693</v>
      </c>
      <c r="D152" t="s">
        <v>26</v>
      </c>
      <c r="E152">
        <v>307662</v>
      </c>
      <c r="F152" s="5">
        <v>42008.403361344543</v>
      </c>
      <c r="G152" s="11">
        <f t="shared" si="4"/>
        <v>7981.5966386554628</v>
      </c>
      <c r="H152" s="11">
        <f t="shared" si="5"/>
        <v>49990.000000000007</v>
      </c>
    </row>
    <row r="153" spans="1:8" x14ac:dyDescent="0.3">
      <c r="A153">
        <v>195</v>
      </c>
      <c r="B153" t="s">
        <v>6142</v>
      </c>
      <c r="C153" s="2" t="s">
        <v>2693</v>
      </c>
      <c r="D153" t="s">
        <v>26</v>
      </c>
      <c r="E153">
        <v>307663</v>
      </c>
      <c r="F153" s="5">
        <v>1672.2689075630253</v>
      </c>
      <c r="G153" s="11">
        <f t="shared" si="4"/>
        <v>317.73109243697479</v>
      </c>
      <c r="H153" s="11">
        <f t="shared" si="5"/>
        <v>1990</v>
      </c>
    </row>
    <row r="154" spans="1:8" x14ac:dyDescent="0.3">
      <c r="A154">
        <v>195</v>
      </c>
      <c r="B154" t="s">
        <v>6142</v>
      </c>
      <c r="C154" s="2" t="s">
        <v>2693</v>
      </c>
      <c r="D154" t="s">
        <v>26</v>
      </c>
      <c r="E154">
        <v>307663</v>
      </c>
      <c r="F154" s="5">
        <v>29403.361344537818</v>
      </c>
      <c r="G154" s="11">
        <f t="shared" si="4"/>
        <v>5586.6386554621859</v>
      </c>
      <c r="H154" s="11">
        <f t="shared" si="5"/>
        <v>34990</v>
      </c>
    </row>
    <row r="155" spans="1:8" x14ac:dyDescent="0.3">
      <c r="A155">
        <v>195</v>
      </c>
      <c r="B155" t="s">
        <v>6142</v>
      </c>
      <c r="C155" s="2" t="s">
        <v>2693</v>
      </c>
      <c r="D155" t="s">
        <v>26</v>
      </c>
      <c r="E155">
        <v>307664</v>
      </c>
      <c r="F155" s="5">
        <v>-75588.23529411765</v>
      </c>
      <c r="G155" s="11">
        <f t="shared" si="4"/>
        <v>-14361.764705882353</v>
      </c>
      <c r="H155" s="11">
        <f t="shared" si="5"/>
        <v>-89950</v>
      </c>
    </row>
    <row r="156" spans="1:8" x14ac:dyDescent="0.3">
      <c r="A156">
        <v>195</v>
      </c>
      <c r="B156" t="s">
        <v>6142</v>
      </c>
      <c r="C156" s="2" t="s">
        <v>2693</v>
      </c>
      <c r="D156" t="s">
        <v>26</v>
      </c>
      <c r="E156">
        <v>307664</v>
      </c>
      <c r="F156" s="5">
        <v>75589.075630252104</v>
      </c>
      <c r="G156" s="11">
        <f t="shared" si="4"/>
        <v>14361.9243697479</v>
      </c>
      <c r="H156" s="11">
        <f t="shared" si="5"/>
        <v>89951</v>
      </c>
    </row>
    <row r="157" spans="1:8" x14ac:dyDescent="0.3">
      <c r="A157">
        <v>195</v>
      </c>
      <c r="B157" t="s">
        <v>6142</v>
      </c>
      <c r="C157" s="2" t="s">
        <v>2693</v>
      </c>
      <c r="D157" t="s">
        <v>26</v>
      </c>
      <c r="E157">
        <v>307665</v>
      </c>
      <c r="F157" s="5">
        <v>71386.554621848743</v>
      </c>
      <c r="G157" s="11">
        <f t="shared" si="4"/>
        <v>13563.445378151262</v>
      </c>
      <c r="H157" s="11">
        <f t="shared" si="5"/>
        <v>84950</v>
      </c>
    </row>
    <row r="158" spans="1:8" x14ac:dyDescent="0.3">
      <c r="A158">
        <v>195</v>
      </c>
      <c r="B158" t="s">
        <v>6142</v>
      </c>
      <c r="C158" s="2" t="s">
        <v>2693</v>
      </c>
      <c r="D158" t="s">
        <v>26</v>
      </c>
      <c r="E158">
        <v>307666</v>
      </c>
      <c r="F158" s="5">
        <v>83991.596638655465</v>
      </c>
      <c r="G158" s="11">
        <f t="shared" si="4"/>
        <v>15958.403361344539</v>
      </c>
      <c r="H158" s="11">
        <f t="shared" si="5"/>
        <v>99950</v>
      </c>
    </row>
    <row r="159" spans="1:8" x14ac:dyDescent="0.3">
      <c r="A159">
        <v>195</v>
      </c>
      <c r="B159" t="s">
        <v>6142</v>
      </c>
      <c r="C159" s="2" t="s">
        <v>2693</v>
      </c>
      <c r="D159" t="s">
        <v>26</v>
      </c>
      <c r="E159">
        <v>307667</v>
      </c>
      <c r="F159" s="5">
        <v>62983.193277310929</v>
      </c>
      <c r="G159" s="11">
        <f t="shared" si="4"/>
        <v>11966.806722689076</v>
      </c>
      <c r="H159" s="11">
        <f t="shared" si="5"/>
        <v>74950</v>
      </c>
    </row>
    <row r="160" spans="1:8" x14ac:dyDescent="0.3">
      <c r="A160">
        <v>195</v>
      </c>
      <c r="B160" t="s">
        <v>6142</v>
      </c>
      <c r="C160" s="2" t="s">
        <v>2693</v>
      </c>
      <c r="D160" t="s">
        <v>26</v>
      </c>
      <c r="E160">
        <v>307668</v>
      </c>
      <c r="F160" s="5">
        <v>420.1680672268908</v>
      </c>
      <c r="G160" s="11">
        <f t="shared" si="4"/>
        <v>79.831932773109259</v>
      </c>
      <c r="H160" s="11">
        <f t="shared" si="5"/>
        <v>500.00000000000006</v>
      </c>
    </row>
    <row r="161" spans="1:8" x14ac:dyDescent="0.3">
      <c r="A161">
        <v>195</v>
      </c>
      <c r="B161" t="s">
        <v>6142</v>
      </c>
      <c r="C161" s="2" t="s">
        <v>2693</v>
      </c>
      <c r="D161" t="s">
        <v>26</v>
      </c>
      <c r="E161">
        <v>307669</v>
      </c>
      <c r="F161" s="5">
        <v>5840.3361344537816</v>
      </c>
      <c r="G161" s="11">
        <f t="shared" si="4"/>
        <v>1109.6638655462184</v>
      </c>
      <c r="H161" s="11">
        <f t="shared" si="5"/>
        <v>6950</v>
      </c>
    </row>
    <row r="162" spans="1:8" x14ac:dyDescent="0.3">
      <c r="A162">
        <v>195</v>
      </c>
      <c r="B162" t="s">
        <v>6142</v>
      </c>
      <c r="C162" s="2" t="s">
        <v>2693</v>
      </c>
      <c r="D162" t="s">
        <v>26</v>
      </c>
      <c r="E162">
        <v>307670</v>
      </c>
      <c r="F162" s="5">
        <v>71386.554621848743</v>
      </c>
      <c r="G162" s="11">
        <f t="shared" si="4"/>
        <v>13563.445378151262</v>
      </c>
      <c r="H162" s="11">
        <f t="shared" si="5"/>
        <v>84950</v>
      </c>
    </row>
    <row r="163" spans="1:8" x14ac:dyDescent="0.3">
      <c r="A163">
        <v>195</v>
      </c>
      <c r="B163" t="s">
        <v>6142</v>
      </c>
      <c r="C163" s="2" t="s">
        <v>2693</v>
      </c>
      <c r="D163" t="s">
        <v>26</v>
      </c>
      <c r="E163">
        <v>307670</v>
      </c>
      <c r="F163" s="5">
        <v>78529.411764705888</v>
      </c>
      <c r="G163" s="11">
        <f t="shared" si="4"/>
        <v>14920.588235294119</v>
      </c>
      <c r="H163" s="11">
        <f t="shared" si="5"/>
        <v>93450</v>
      </c>
    </row>
    <row r="164" spans="1:8" x14ac:dyDescent="0.3">
      <c r="A164">
        <v>195</v>
      </c>
      <c r="B164" t="s">
        <v>6142</v>
      </c>
      <c r="C164" s="2" t="s">
        <v>2693</v>
      </c>
      <c r="D164" t="s">
        <v>26</v>
      </c>
      <c r="E164">
        <v>307671</v>
      </c>
      <c r="F164" s="5">
        <v>42008.403361344543</v>
      </c>
      <c r="G164" s="11">
        <f t="shared" si="4"/>
        <v>7981.5966386554628</v>
      </c>
      <c r="H164" s="11">
        <f t="shared" si="5"/>
        <v>49990.000000000007</v>
      </c>
    </row>
    <row r="165" spans="1:8" x14ac:dyDescent="0.3">
      <c r="A165">
        <v>195</v>
      </c>
      <c r="B165" t="s">
        <v>6142</v>
      </c>
      <c r="C165" s="2" t="s">
        <v>2693</v>
      </c>
      <c r="D165" t="s">
        <v>26</v>
      </c>
      <c r="E165">
        <v>307671</v>
      </c>
      <c r="F165" s="5">
        <v>57100.840336134454</v>
      </c>
      <c r="G165" s="11">
        <f t="shared" si="4"/>
        <v>10849.159663865546</v>
      </c>
      <c r="H165" s="11">
        <f t="shared" si="5"/>
        <v>67950</v>
      </c>
    </row>
    <row r="166" spans="1:8" x14ac:dyDescent="0.3">
      <c r="A166">
        <v>195</v>
      </c>
      <c r="B166" t="s">
        <v>6142</v>
      </c>
      <c r="C166" s="2" t="s">
        <v>2693</v>
      </c>
      <c r="D166" t="s">
        <v>26</v>
      </c>
      <c r="E166">
        <v>307672</v>
      </c>
      <c r="F166" s="5">
        <v>58781.512605042022</v>
      </c>
      <c r="G166" s="11">
        <f t="shared" si="4"/>
        <v>11168.487394957985</v>
      </c>
      <c r="H166" s="11">
        <f t="shared" si="5"/>
        <v>69950</v>
      </c>
    </row>
    <row r="167" spans="1:8" x14ac:dyDescent="0.3">
      <c r="A167">
        <v>195</v>
      </c>
      <c r="B167" t="s">
        <v>6142</v>
      </c>
      <c r="C167" s="2" t="s">
        <v>2693</v>
      </c>
      <c r="D167" t="s">
        <v>26</v>
      </c>
      <c r="E167">
        <v>307673</v>
      </c>
      <c r="F167" s="5">
        <v>33605.042016806721</v>
      </c>
      <c r="G167" s="11">
        <f t="shared" si="4"/>
        <v>6384.957983193277</v>
      </c>
      <c r="H167" s="11">
        <f t="shared" si="5"/>
        <v>39990</v>
      </c>
    </row>
    <row r="168" spans="1:8" x14ac:dyDescent="0.3">
      <c r="A168">
        <v>195</v>
      </c>
      <c r="B168" t="s">
        <v>6142</v>
      </c>
      <c r="C168" s="2" t="s">
        <v>2751</v>
      </c>
      <c r="D168" t="s">
        <v>26</v>
      </c>
      <c r="E168">
        <v>307674</v>
      </c>
      <c r="F168" s="5">
        <v>33605.042016806721</v>
      </c>
      <c r="G168" s="11">
        <f t="shared" si="4"/>
        <v>6384.957983193277</v>
      </c>
      <c r="H168" s="11">
        <f t="shared" si="5"/>
        <v>39990</v>
      </c>
    </row>
    <row r="169" spans="1:8" x14ac:dyDescent="0.3">
      <c r="A169">
        <v>195</v>
      </c>
      <c r="B169" t="s">
        <v>6142</v>
      </c>
      <c r="C169" s="2" t="s">
        <v>2751</v>
      </c>
      <c r="D169" t="s">
        <v>26</v>
      </c>
      <c r="E169">
        <v>307675</v>
      </c>
      <c r="F169" s="5">
        <v>67184.873949579836</v>
      </c>
      <c r="G169" s="11">
        <f t="shared" si="4"/>
        <v>12765.126050420169</v>
      </c>
      <c r="H169" s="11">
        <f t="shared" si="5"/>
        <v>79950</v>
      </c>
    </row>
    <row r="170" spans="1:8" x14ac:dyDescent="0.3">
      <c r="A170">
        <v>195</v>
      </c>
      <c r="B170" t="s">
        <v>6142</v>
      </c>
      <c r="C170" s="2" t="s">
        <v>2751</v>
      </c>
      <c r="D170" t="s">
        <v>26</v>
      </c>
      <c r="E170">
        <v>307675</v>
      </c>
      <c r="F170" s="5">
        <v>67184.873949579836</v>
      </c>
      <c r="G170" s="11">
        <f t="shared" si="4"/>
        <v>12765.126050420169</v>
      </c>
      <c r="H170" s="11">
        <f t="shared" si="5"/>
        <v>79950</v>
      </c>
    </row>
    <row r="171" spans="1:8" x14ac:dyDescent="0.3">
      <c r="A171">
        <v>195</v>
      </c>
      <c r="B171" t="s">
        <v>6142</v>
      </c>
      <c r="C171" s="2" t="s">
        <v>2751</v>
      </c>
      <c r="D171" t="s">
        <v>26</v>
      </c>
      <c r="E171">
        <v>307675</v>
      </c>
      <c r="F171" s="5">
        <v>5000</v>
      </c>
      <c r="G171" s="11">
        <f t="shared" si="4"/>
        <v>950</v>
      </c>
      <c r="H171" s="11">
        <f t="shared" si="5"/>
        <v>5950</v>
      </c>
    </row>
    <row r="172" spans="1:8" x14ac:dyDescent="0.3">
      <c r="A172">
        <v>195</v>
      </c>
      <c r="B172" t="s">
        <v>6142</v>
      </c>
      <c r="C172" s="2" t="s">
        <v>2751</v>
      </c>
      <c r="D172" t="s">
        <v>26</v>
      </c>
      <c r="E172">
        <v>307676</v>
      </c>
      <c r="F172" s="5">
        <v>33605.042016806721</v>
      </c>
      <c r="G172" s="11">
        <f t="shared" si="4"/>
        <v>6384.957983193277</v>
      </c>
      <c r="H172" s="11">
        <f t="shared" si="5"/>
        <v>39990</v>
      </c>
    </row>
    <row r="173" spans="1:8" x14ac:dyDescent="0.3">
      <c r="A173">
        <v>195</v>
      </c>
      <c r="B173" t="s">
        <v>6142</v>
      </c>
      <c r="C173" s="2" t="s">
        <v>2751</v>
      </c>
      <c r="D173" t="s">
        <v>26</v>
      </c>
      <c r="E173">
        <v>307677</v>
      </c>
      <c r="F173" s="5">
        <v>5840.3361344537816</v>
      </c>
      <c r="G173" s="11">
        <f t="shared" si="4"/>
        <v>1109.6638655462184</v>
      </c>
      <c r="H173" s="11">
        <f t="shared" si="5"/>
        <v>6950</v>
      </c>
    </row>
    <row r="174" spans="1:8" x14ac:dyDescent="0.3">
      <c r="A174">
        <v>195</v>
      </c>
      <c r="B174" t="s">
        <v>6142</v>
      </c>
      <c r="C174" s="2" t="s">
        <v>2751</v>
      </c>
      <c r="D174" t="s">
        <v>26</v>
      </c>
      <c r="E174">
        <v>307678</v>
      </c>
      <c r="F174" s="5">
        <v>420.1680672268908</v>
      </c>
      <c r="G174" s="11">
        <f t="shared" si="4"/>
        <v>79.831932773109259</v>
      </c>
      <c r="H174" s="11">
        <f t="shared" si="5"/>
        <v>500.00000000000006</v>
      </c>
    </row>
    <row r="175" spans="1:8" x14ac:dyDescent="0.3">
      <c r="A175">
        <v>195</v>
      </c>
      <c r="B175" t="s">
        <v>6142</v>
      </c>
      <c r="C175" s="2" t="s">
        <v>2751</v>
      </c>
      <c r="D175" t="s">
        <v>26</v>
      </c>
      <c r="E175">
        <v>307679</v>
      </c>
      <c r="F175" s="5">
        <v>58781.512605042022</v>
      </c>
      <c r="G175" s="11">
        <f t="shared" si="4"/>
        <v>11168.487394957985</v>
      </c>
      <c r="H175" s="11">
        <f t="shared" si="5"/>
        <v>69950</v>
      </c>
    </row>
    <row r="176" spans="1:8" x14ac:dyDescent="0.3">
      <c r="A176">
        <v>195</v>
      </c>
      <c r="B176" t="s">
        <v>6142</v>
      </c>
      <c r="C176" s="2" t="s">
        <v>2751</v>
      </c>
      <c r="D176" t="s">
        <v>26</v>
      </c>
      <c r="E176">
        <v>307680</v>
      </c>
      <c r="F176" s="5">
        <v>33605.042016806721</v>
      </c>
      <c r="G176" s="11">
        <f t="shared" si="4"/>
        <v>6384.957983193277</v>
      </c>
      <c r="H176" s="11">
        <f t="shared" si="5"/>
        <v>39990</v>
      </c>
    </row>
    <row r="177" spans="1:8" x14ac:dyDescent="0.3">
      <c r="A177">
        <v>195</v>
      </c>
      <c r="B177" t="s">
        <v>6142</v>
      </c>
      <c r="C177" s="2" t="s">
        <v>2751</v>
      </c>
      <c r="D177" t="s">
        <v>26</v>
      </c>
      <c r="E177">
        <v>307680</v>
      </c>
      <c r="F177" s="5">
        <v>33605.042016806721</v>
      </c>
      <c r="G177" s="11">
        <f t="shared" si="4"/>
        <v>6384.957983193277</v>
      </c>
      <c r="H177" s="11">
        <f t="shared" si="5"/>
        <v>39990</v>
      </c>
    </row>
    <row r="178" spans="1:8" x14ac:dyDescent="0.3">
      <c r="A178">
        <v>195</v>
      </c>
      <c r="B178" t="s">
        <v>6142</v>
      </c>
      <c r="C178" s="2" t="s">
        <v>1152</v>
      </c>
      <c r="D178" t="s">
        <v>2249</v>
      </c>
      <c r="E178">
        <v>25382</v>
      </c>
      <c r="F178" s="5">
        <v>-58781.512605042022</v>
      </c>
      <c r="G178" s="11">
        <f t="shared" si="4"/>
        <v>-11168.487394957985</v>
      </c>
      <c r="H178" s="11">
        <f t="shared" si="5"/>
        <v>-69950</v>
      </c>
    </row>
    <row r="179" spans="1:8" x14ac:dyDescent="0.3">
      <c r="A179">
        <v>195</v>
      </c>
      <c r="B179" t="s">
        <v>6142</v>
      </c>
      <c r="C179" s="2" t="s">
        <v>1152</v>
      </c>
      <c r="D179" t="s">
        <v>2249</v>
      </c>
      <c r="E179">
        <v>25382</v>
      </c>
      <c r="F179" s="5">
        <v>-33605.042016806721</v>
      </c>
      <c r="G179" s="11">
        <f t="shared" si="4"/>
        <v>-6384.957983193277</v>
      </c>
      <c r="H179" s="11">
        <f t="shared" si="5"/>
        <v>-39990</v>
      </c>
    </row>
    <row r="180" spans="1:8" x14ac:dyDescent="0.3">
      <c r="A180">
        <v>195</v>
      </c>
      <c r="B180" t="s">
        <v>6142</v>
      </c>
      <c r="C180" s="2" t="s">
        <v>1152</v>
      </c>
      <c r="D180" t="s">
        <v>26</v>
      </c>
      <c r="E180">
        <v>307681</v>
      </c>
      <c r="F180" s="5">
        <v>50411.764705882357</v>
      </c>
      <c r="G180" s="11">
        <f t="shared" si="4"/>
        <v>9578.2352941176487</v>
      </c>
      <c r="H180" s="11">
        <f t="shared" si="5"/>
        <v>59990.000000000007</v>
      </c>
    </row>
    <row r="181" spans="1:8" x14ac:dyDescent="0.3">
      <c r="A181">
        <v>195</v>
      </c>
      <c r="B181" t="s">
        <v>6142</v>
      </c>
      <c r="C181" s="2" t="s">
        <v>1152</v>
      </c>
      <c r="D181" t="s">
        <v>26</v>
      </c>
      <c r="E181">
        <v>307682</v>
      </c>
      <c r="F181" s="5">
        <v>420.1680672268908</v>
      </c>
      <c r="G181" s="11">
        <f t="shared" si="4"/>
        <v>79.831932773109259</v>
      </c>
      <c r="H181" s="11">
        <f t="shared" si="5"/>
        <v>500.00000000000006</v>
      </c>
    </row>
    <row r="182" spans="1:8" x14ac:dyDescent="0.3">
      <c r="A182">
        <v>195</v>
      </c>
      <c r="B182" t="s">
        <v>6142</v>
      </c>
      <c r="C182" s="2" t="s">
        <v>1152</v>
      </c>
      <c r="D182" t="s">
        <v>26</v>
      </c>
      <c r="E182">
        <v>307683</v>
      </c>
      <c r="F182" s="5">
        <v>50378.151260504201</v>
      </c>
      <c r="G182" s="11">
        <f t="shared" si="4"/>
        <v>9571.8487394957974</v>
      </c>
      <c r="H182" s="11">
        <f t="shared" si="5"/>
        <v>59950</v>
      </c>
    </row>
    <row r="183" spans="1:8" x14ac:dyDescent="0.3">
      <c r="A183">
        <v>195</v>
      </c>
      <c r="B183" t="s">
        <v>6142</v>
      </c>
      <c r="C183" s="2" t="s">
        <v>1152</v>
      </c>
      <c r="D183" t="s">
        <v>26</v>
      </c>
      <c r="E183">
        <v>307684</v>
      </c>
      <c r="F183" s="5">
        <v>58781.512605042022</v>
      </c>
      <c r="G183" s="11">
        <f t="shared" si="4"/>
        <v>11168.487394957985</v>
      </c>
      <c r="H183" s="11">
        <f t="shared" si="5"/>
        <v>69950</v>
      </c>
    </row>
    <row r="184" spans="1:8" x14ac:dyDescent="0.3">
      <c r="A184">
        <v>195</v>
      </c>
      <c r="B184" t="s">
        <v>6142</v>
      </c>
      <c r="C184" s="2" t="s">
        <v>1152</v>
      </c>
      <c r="D184" t="s">
        <v>26</v>
      </c>
      <c r="E184">
        <v>307684</v>
      </c>
      <c r="F184" s="5">
        <v>-42008.403361344543</v>
      </c>
      <c r="G184" s="11">
        <f t="shared" si="4"/>
        <v>-7981.5966386554628</v>
      </c>
      <c r="H184" s="11">
        <f t="shared" si="5"/>
        <v>-49990.000000000007</v>
      </c>
    </row>
    <row r="185" spans="1:8" x14ac:dyDescent="0.3">
      <c r="A185">
        <v>195</v>
      </c>
      <c r="B185" t="s">
        <v>6142</v>
      </c>
      <c r="C185" s="2" t="s">
        <v>1152</v>
      </c>
      <c r="D185" t="s">
        <v>26</v>
      </c>
      <c r="E185">
        <v>307684</v>
      </c>
      <c r="F185" s="5">
        <v>33605.042016806721</v>
      </c>
      <c r="G185" s="11">
        <f t="shared" si="4"/>
        <v>6384.957983193277</v>
      </c>
      <c r="H185" s="11">
        <f t="shared" si="5"/>
        <v>39990</v>
      </c>
    </row>
    <row r="186" spans="1:8" x14ac:dyDescent="0.3">
      <c r="A186">
        <v>195</v>
      </c>
      <c r="B186" t="s">
        <v>6142</v>
      </c>
      <c r="C186" s="2" t="s">
        <v>1152</v>
      </c>
      <c r="D186" t="s">
        <v>26</v>
      </c>
      <c r="E186">
        <v>307685</v>
      </c>
      <c r="F186" s="5">
        <v>33605.042016806721</v>
      </c>
      <c r="G186" s="11">
        <f t="shared" si="4"/>
        <v>6384.957983193277</v>
      </c>
      <c r="H186" s="11">
        <f t="shared" si="5"/>
        <v>39990</v>
      </c>
    </row>
    <row r="187" spans="1:8" x14ac:dyDescent="0.3">
      <c r="A187">
        <v>195</v>
      </c>
      <c r="B187" t="s">
        <v>6142</v>
      </c>
      <c r="C187" s="2" t="s">
        <v>1152</v>
      </c>
      <c r="D187" t="s">
        <v>26</v>
      </c>
      <c r="E187">
        <v>307686</v>
      </c>
      <c r="F187" s="5">
        <v>420.1680672268908</v>
      </c>
      <c r="G187" s="11">
        <f t="shared" si="4"/>
        <v>79.831932773109259</v>
      </c>
      <c r="H187" s="11">
        <f t="shared" si="5"/>
        <v>500.00000000000006</v>
      </c>
    </row>
    <row r="188" spans="1:8" x14ac:dyDescent="0.3">
      <c r="A188">
        <v>195</v>
      </c>
      <c r="B188" t="s">
        <v>6142</v>
      </c>
      <c r="C188" s="2" t="s">
        <v>1152</v>
      </c>
      <c r="D188" t="s">
        <v>26</v>
      </c>
      <c r="E188">
        <v>307687</v>
      </c>
      <c r="F188" s="5">
        <v>58781.512605042022</v>
      </c>
      <c r="G188" s="11">
        <f t="shared" si="4"/>
        <v>11168.487394957985</v>
      </c>
      <c r="H188" s="11">
        <f t="shared" si="5"/>
        <v>69950</v>
      </c>
    </row>
    <row r="189" spans="1:8" x14ac:dyDescent="0.3">
      <c r="A189">
        <v>195</v>
      </c>
      <c r="B189" t="s">
        <v>6142</v>
      </c>
      <c r="C189" s="2" t="s">
        <v>1152</v>
      </c>
      <c r="D189" t="s">
        <v>26</v>
      </c>
      <c r="E189">
        <v>307687</v>
      </c>
      <c r="F189" s="5">
        <v>-42008.403361344543</v>
      </c>
      <c r="G189" s="11">
        <f t="shared" si="4"/>
        <v>-7981.5966386554628</v>
      </c>
      <c r="H189" s="11">
        <f t="shared" si="5"/>
        <v>-49990.000000000007</v>
      </c>
    </row>
    <row r="190" spans="1:8" x14ac:dyDescent="0.3">
      <c r="A190">
        <v>195</v>
      </c>
      <c r="B190" t="s">
        <v>6142</v>
      </c>
      <c r="C190" s="2" t="s">
        <v>1152</v>
      </c>
      <c r="D190" t="s">
        <v>26</v>
      </c>
      <c r="E190">
        <v>307688</v>
      </c>
      <c r="F190" s="5">
        <v>42008.403361344543</v>
      </c>
      <c r="G190" s="11">
        <f t="shared" si="4"/>
        <v>7981.5966386554628</v>
      </c>
      <c r="H190" s="11">
        <f t="shared" si="5"/>
        <v>49990.000000000007</v>
      </c>
    </row>
    <row r="191" spans="1:8" x14ac:dyDescent="0.3">
      <c r="A191">
        <v>195</v>
      </c>
      <c r="B191" t="s">
        <v>6142</v>
      </c>
      <c r="C191" s="2" t="s">
        <v>1152</v>
      </c>
      <c r="D191" t="s">
        <v>26</v>
      </c>
      <c r="E191">
        <v>307689</v>
      </c>
      <c r="F191" s="5">
        <v>420.1680672268908</v>
      </c>
      <c r="G191" s="11">
        <f t="shared" si="4"/>
        <v>79.831932773109259</v>
      </c>
      <c r="H191" s="11">
        <f t="shared" si="5"/>
        <v>500.00000000000006</v>
      </c>
    </row>
    <row r="192" spans="1:8" x14ac:dyDescent="0.3">
      <c r="A192">
        <v>195</v>
      </c>
      <c r="B192" t="s">
        <v>6142</v>
      </c>
      <c r="C192" s="2" t="s">
        <v>1309</v>
      </c>
      <c r="D192" t="s">
        <v>26</v>
      </c>
      <c r="E192">
        <v>307690</v>
      </c>
      <c r="F192" s="5">
        <v>50411.764705882357</v>
      </c>
      <c r="G192" s="11">
        <f t="shared" si="4"/>
        <v>9578.2352941176487</v>
      </c>
      <c r="H192" s="11">
        <f t="shared" si="5"/>
        <v>59990.000000000007</v>
      </c>
    </row>
    <row r="193" spans="1:8" x14ac:dyDescent="0.3">
      <c r="A193">
        <v>195</v>
      </c>
      <c r="B193" t="s">
        <v>6142</v>
      </c>
      <c r="C193" s="2" t="s">
        <v>1309</v>
      </c>
      <c r="D193" t="s">
        <v>26</v>
      </c>
      <c r="E193">
        <v>307691</v>
      </c>
      <c r="F193" s="5">
        <v>42008.403361344543</v>
      </c>
      <c r="G193" s="11">
        <f t="shared" si="4"/>
        <v>7981.5966386554628</v>
      </c>
      <c r="H193" s="11">
        <f t="shared" si="5"/>
        <v>49990.000000000007</v>
      </c>
    </row>
    <row r="194" spans="1:8" x14ac:dyDescent="0.3">
      <c r="A194">
        <v>195</v>
      </c>
      <c r="B194" t="s">
        <v>6142</v>
      </c>
      <c r="C194" s="2" t="s">
        <v>1309</v>
      </c>
      <c r="D194" t="s">
        <v>26</v>
      </c>
      <c r="E194">
        <v>307692</v>
      </c>
      <c r="F194" s="5">
        <v>50411.764705882357</v>
      </c>
      <c r="G194" s="11">
        <f t="shared" si="4"/>
        <v>9578.2352941176487</v>
      </c>
      <c r="H194" s="11">
        <f t="shared" si="5"/>
        <v>59990.000000000007</v>
      </c>
    </row>
    <row r="195" spans="1:8" x14ac:dyDescent="0.3">
      <c r="A195">
        <v>195</v>
      </c>
      <c r="B195" t="s">
        <v>6142</v>
      </c>
      <c r="C195" s="2" t="s">
        <v>1309</v>
      </c>
      <c r="D195" t="s">
        <v>26</v>
      </c>
      <c r="E195">
        <v>307693</v>
      </c>
      <c r="F195" s="5">
        <v>56689.075630252104</v>
      </c>
      <c r="G195" s="11">
        <f t="shared" ref="G195:G258" si="6">F195*19%</f>
        <v>10770.9243697479</v>
      </c>
      <c r="H195" s="11">
        <f t="shared" ref="H195:H258" si="7">+G195+F195</f>
        <v>67460</v>
      </c>
    </row>
    <row r="196" spans="1:8" x14ac:dyDescent="0.3">
      <c r="A196">
        <v>195</v>
      </c>
      <c r="B196" t="s">
        <v>6142</v>
      </c>
      <c r="C196" s="2" t="s">
        <v>1309</v>
      </c>
      <c r="D196" t="s">
        <v>26</v>
      </c>
      <c r="E196">
        <v>307694</v>
      </c>
      <c r="F196" s="5">
        <v>420.1680672268908</v>
      </c>
      <c r="G196" s="11">
        <f t="shared" si="6"/>
        <v>79.831932773109259</v>
      </c>
      <c r="H196" s="11">
        <f t="shared" si="7"/>
        <v>500.00000000000006</v>
      </c>
    </row>
    <row r="197" spans="1:8" x14ac:dyDescent="0.3">
      <c r="A197">
        <v>195</v>
      </c>
      <c r="B197" t="s">
        <v>6142</v>
      </c>
      <c r="C197" s="2" t="s">
        <v>1309</v>
      </c>
      <c r="D197" t="s">
        <v>26</v>
      </c>
      <c r="E197">
        <v>307695</v>
      </c>
      <c r="F197" s="5">
        <v>62983.193277310929</v>
      </c>
      <c r="G197" s="11">
        <f t="shared" si="6"/>
        <v>11966.806722689076</v>
      </c>
      <c r="H197" s="11">
        <f t="shared" si="7"/>
        <v>74950</v>
      </c>
    </row>
    <row r="198" spans="1:8" x14ac:dyDescent="0.3">
      <c r="A198">
        <v>195</v>
      </c>
      <c r="B198" t="s">
        <v>6142</v>
      </c>
      <c r="C198" s="2" t="s">
        <v>1309</v>
      </c>
      <c r="D198" t="s">
        <v>26</v>
      </c>
      <c r="E198">
        <v>307696</v>
      </c>
      <c r="F198" s="5">
        <v>50378.151260504201</v>
      </c>
      <c r="G198" s="11">
        <f t="shared" si="6"/>
        <v>9571.8487394957974</v>
      </c>
      <c r="H198" s="11">
        <f t="shared" si="7"/>
        <v>59950</v>
      </c>
    </row>
    <row r="199" spans="1:8" x14ac:dyDescent="0.3">
      <c r="A199">
        <v>195</v>
      </c>
      <c r="B199" t="s">
        <v>6142</v>
      </c>
      <c r="C199" s="2" t="s">
        <v>1309</v>
      </c>
      <c r="D199" t="s">
        <v>26</v>
      </c>
      <c r="E199">
        <v>307696</v>
      </c>
      <c r="F199" s="5">
        <v>33605.042016806721</v>
      </c>
      <c r="G199" s="11">
        <f t="shared" si="6"/>
        <v>6384.957983193277</v>
      </c>
      <c r="H199" s="11">
        <f t="shared" si="7"/>
        <v>39990</v>
      </c>
    </row>
    <row r="200" spans="1:8" x14ac:dyDescent="0.3">
      <c r="A200">
        <v>195</v>
      </c>
      <c r="B200" t="s">
        <v>6142</v>
      </c>
      <c r="C200" s="2" t="s">
        <v>1365</v>
      </c>
      <c r="D200" t="s">
        <v>26</v>
      </c>
      <c r="E200">
        <v>307697</v>
      </c>
      <c r="F200" s="5">
        <v>-42008.403361344543</v>
      </c>
      <c r="G200" s="11">
        <f t="shared" si="6"/>
        <v>-7981.5966386554628</v>
      </c>
      <c r="H200" s="11">
        <f t="shared" si="7"/>
        <v>-49990.000000000007</v>
      </c>
    </row>
    <row r="201" spans="1:8" x14ac:dyDescent="0.3">
      <c r="A201">
        <v>195</v>
      </c>
      <c r="B201" t="s">
        <v>6142</v>
      </c>
      <c r="C201" s="2" t="s">
        <v>1365</v>
      </c>
      <c r="D201" t="s">
        <v>26</v>
      </c>
      <c r="E201">
        <v>307697</v>
      </c>
      <c r="F201" s="5">
        <v>42009.243697478996</v>
      </c>
      <c r="G201" s="11">
        <f t="shared" si="6"/>
        <v>7981.7563025210093</v>
      </c>
      <c r="H201" s="11">
        <f t="shared" si="7"/>
        <v>49991.000000000007</v>
      </c>
    </row>
    <row r="202" spans="1:8" x14ac:dyDescent="0.3">
      <c r="A202">
        <v>195</v>
      </c>
      <c r="B202" t="s">
        <v>6142</v>
      </c>
      <c r="C202" s="2" t="s">
        <v>1365</v>
      </c>
      <c r="D202" t="s">
        <v>26</v>
      </c>
      <c r="E202">
        <v>307698</v>
      </c>
      <c r="F202" s="5">
        <v>62983.193277310929</v>
      </c>
      <c r="G202" s="11">
        <f t="shared" si="6"/>
        <v>11966.806722689076</v>
      </c>
      <c r="H202" s="11">
        <f t="shared" si="7"/>
        <v>74950</v>
      </c>
    </row>
    <row r="203" spans="1:8" x14ac:dyDescent="0.3">
      <c r="A203">
        <v>195</v>
      </c>
      <c r="B203" t="s">
        <v>6142</v>
      </c>
      <c r="C203" s="2" t="s">
        <v>1365</v>
      </c>
      <c r="D203" t="s">
        <v>26</v>
      </c>
      <c r="E203">
        <v>307699</v>
      </c>
      <c r="F203" s="5">
        <v>33605.042016806721</v>
      </c>
      <c r="G203" s="11">
        <f t="shared" si="6"/>
        <v>6384.957983193277</v>
      </c>
      <c r="H203" s="11">
        <f t="shared" si="7"/>
        <v>39990</v>
      </c>
    </row>
    <row r="204" spans="1:8" x14ac:dyDescent="0.3">
      <c r="A204">
        <v>195</v>
      </c>
      <c r="B204" t="s">
        <v>6142</v>
      </c>
      <c r="C204" s="2" t="s">
        <v>1365</v>
      </c>
      <c r="D204" t="s">
        <v>26</v>
      </c>
      <c r="E204">
        <v>307700</v>
      </c>
      <c r="F204" s="5">
        <v>92394.957983193279</v>
      </c>
      <c r="G204" s="11">
        <f t="shared" si="6"/>
        <v>17555.042016806725</v>
      </c>
      <c r="H204" s="11">
        <f t="shared" si="7"/>
        <v>109950</v>
      </c>
    </row>
    <row r="205" spans="1:8" x14ac:dyDescent="0.3">
      <c r="A205">
        <v>195</v>
      </c>
      <c r="B205" t="s">
        <v>6142</v>
      </c>
      <c r="C205" s="2" t="s">
        <v>1365</v>
      </c>
      <c r="D205" t="s">
        <v>26</v>
      </c>
      <c r="E205">
        <v>307701</v>
      </c>
      <c r="F205" s="5">
        <v>50378.151260504201</v>
      </c>
      <c r="G205" s="11">
        <f t="shared" si="6"/>
        <v>9571.8487394957974</v>
      </c>
      <c r="H205" s="11">
        <f t="shared" si="7"/>
        <v>59950</v>
      </c>
    </row>
    <row r="206" spans="1:8" x14ac:dyDescent="0.3">
      <c r="A206">
        <v>195</v>
      </c>
      <c r="B206" t="s">
        <v>6142</v>
      </c>
      <c r="C206" s="2" t="s">
        <v>1365</v>
      </c>
      <c r="D206" t="s">
        <v>26</v>
      </c>
      <c r="E206">
        <v>307702</v>
      </c>
      <c r="F206" s="5">
        <v>58781.512605042022</v>
      </c>
      <c r="G206" s="11">
        <f t="shared" si="6"/>
        <v>11168.487394957985</v>
      </c>
      <c r="H206" s="11">
        <f t="shared" si="7"/>
        <v>69950</v>
      </c>
    </row>
    <row r="207" spans="1:8" x14ac:dyDescent="0.3">
      <c r="A207">
        <v>195</v>
      </c>
      <c r="B207" t="s">
        <v>6142</v>
      </c>
      <c r="C207" s="2" t="s">
        <v>1450</v>
      </c>
      <c r="D207" t="s">
        <v>26</v>
      </c>
      <c r="E207">
        <v>307703</v>
      </c>
      <c r="F207" s="5">
        <v>29403.361344537818</v>
      </c>
      <c r="G207" s="11">
        <f t="shared" si="6"/>
        <v>5586.6386554621859</v>
      </c>
      <c r="H207" s="11">
        <f t="shared" si="7"/>
        <v>34990</v>
      </c>
    </row>
    <row r="208" spans="1:8" x14ac:dyDescent="0.3">
      <c r="A208">
        <v>195</v>
      </c>
      <c r="B208" t="s">
        <v>6142</v>
      </c>
      <c r="C208" s="2" t="s">
        <v>1450</v>
      </c>
      <c r="D208" t="s">
        <v>26</v>
      </c>
      <c r="E208">
        <v>307704</v>
      </c>
      <c r="F208" s="5">
        <v>58781.512605042022</v>
      </c>
      <c r="G208" s="11">
        <f t="shared" si="6"/>
        <v>11168.487394957985</v>
      </c>
      <c r="H208" s="11">
        <f t="shared" si="7"/>
        <v>69950</v>
      </c>
    </row>
    <row r="209" spans="1:8" x14ac:dyDescent="0.3">
      <c r="A209">
        <v>195</v>
      </c>
      <c r="B209" t="s">
        <v>6142</v>
      </c>
      <c r="C209" s="2" t="s">
        <v>1450</v>
      </c>
      <c r="D209" t="s">
        <v>26</v>
      </c>
      <c r="E209">
        <v>307705</v>
      </c>
      <c r="F209" s="5">
        <v>67184.873949579836</v>
      </c>
      <c r="G209" s="11">
        <f t="shared" si="6"/>
        <v>12765.126050420169</v>
      </c>
      <c r="H209" s="11">
        <f t="shared" si="7"/>
        <v>79950</v>
      </c>
    </row>
    <row r="210" spans="1:8" x14ac:dyDescent="0.3">
      <c r="A210">
        <v>195</v>
      </c>
      <c r="B210" t="s">
        <v>6142</v>
      </c>
      <c r="C210" s="2" t="s">
        <v>1450</v>
      </c>
      <c r="D210" t="s">
        <v>26</v>
      </c>
      <c r="E210">
        <v>307706</v>
      </c>
      <c r="F210" s="5">
        <v>54579.831932773115</v>
      </c>
      <c r="G210" s="11">
        <f t="shared" si="6"/>
        <v>10370.168067226892</v>
      </c>
      <c r="H210" s="11">
        <f t="shared" si="7"/>
        <v>64950.000000000007</v>
      </c>
    </row>
    <row r="211" spans="1:8" x14ac:dyDescent="0.3">
      <c r="A211">
        <v>195</v>
      </c>
      <c r="B211" t="s">
        <v>6142</v>
      </c>
      <c r="C211" s="2" t="s">
        <v>1450</v>
      </c>
      <c r="D211" t="s">
        <v>26</v>
      </c>
      <c r="E211">
        <v>307707</v>
      </c>
      <c r="F211" s="5">
        <v>126008.40336134455</v>
      </c>
      <c r="G211" s="11">
        <f t="shared" si="6"/>
        <v>23941.596638655465</v>
      </c>
      <c r="H211" s="11">
        <f t="shared" si="7"/>
        <v>149950</v>
      </c>
    </row>
    <row r="212" spans="1:8" x14ac:dyDescent="0.3">
      <c r="A212">
        <v>195</v>
      </c>
      <c r="B212" t="s">
        <v>6142</v>
      </c>
      <c r="C212" s="2" t="s">
        <v>1450</v>
      </c>
      <c r="D212" t="s">
        <v>26</v>
      </c>
      <c r="E212">
        <v>307708</v>
      </c>
      <c r="F212" s="5">
        <v>62983.193277310929</v>
      </c>
      <c r="G212" s="11">
        <f t="shared" si="6"/>
        <v>11966.806722689076</v>
      </c>
      <c r="H212" s="11">
        <f t="shared" si="7"/>
        <v>74950</v>
      </c>
    </row>
    <row r="213" spans="1:8" x14ac:dyDescent="0.3">
      <c r="A213">
        <v>195</v>
      </c>
      <c r="B213" t="s">
        <v>6142</v>
      </c>
      <c r="C213" s="2" t="s">
        <v>1450</v>
      </c>
      <c r="D213" t="s">
        <v>26</v>
      </c>
      <c r="E213">
        <v>307709</v>
      </c>
      <c r="F213" s="5">
        <v>-67184.873949579836</v>
      </c>
      <c r="G213" s="11">
        <f t="shared" si="6"/>
        <v>-12765.126050420169</v>
      </c>
      <c r="H213" s="11">
        <f t="shared" si="7"/>
        <v>-79950</v>
      </c>
    </row>
    <row r="214" spans="1:8" x14ac:dyDescent="0.3">
      <c r="A214">
        <v>195</v>
      </c>
      <c r="B214" t="s">
        <v>6142</v>
      </c>
      <c r="C214" s="2" t="s">
        <v>1450</v>
      </c>
      <c r="D214" t="s">
        <v>26</v>
      </c>
      <c r="E214">
        <v>307709</v>
      </c>
      <c r="F214" s="5">
        <v>67185.71428571429</v>
      </c>
      <c r="G214" s="11">
        <f t="shared" si="6"/>
        <v>12765.285714285716</v>
      </c>
      <c r="H214" s="11">
        <f t="shared" si="7"/>
        <v>79951</v>
      </c>
    </row>
    <row r="215" spans="1:8" x14ac:dyDescent="0.3">
      <c r="A215">
        <v>195</v>
      </c>
      <c r="B215" t="s">
        <v>6142</v>
      </c>
      <c r="C215" s="2" t="s">
        <v>1450</v>
      </c>
      <c r="D215" t="s">
        <v>26</v>
      </c>
      <c r="E215">
        <v>307710</v>
      </c>
      <c r="F215" s="5">
        <v>58781.512605042022</v>
      </c>
      <c r="G215" s="11">
        <f t="shared" si="6"/>
        <v>11168.487394957985</v>
      </c>
      <c r="H215" s="11">
        <f t="shared" si="7"/>
        <v>69950</v>
      </c>
    </row>
    <row r="216" spans="1:8" x14ac:dyDescent="0.3">
      <c r="A216">
        <v>195</v>
      </c>
      <c r="B216" t="s">
        <v>6142</v>
      </c>
      <c r="C216" s="2" t="s">
        <v>1525</v>
      </c>
      <c r="D216" t="s">
        <v>26</v>
      </c>
      <c r="E216">
        <v>307711</v>
      </c>
      <c r="F216" s="5">
        <v>75588.23529411765</v>
      </c>
      <c r="G216" s="11">
        <f t="shared" si="6"/>
        <v>14361.764705882353</v>
      </c>
      <c r="H216" s="11">
        <f t="shared" si="7"/>
        <v>89950</v>
      </c>
    </row>
    <row r="217" spans="1:8" x14ac:dyDescent="0.3">
      <c r="A217">
        <v>195</v>
      </c>
      <c r="B217" t="s">
        <v>6142</v>
      </c>
      <c r="C217" s="2" t="s">
        <v>1525</v>
      </c>
      <c r="D217" t="s">
        <v>26</v>
      </c>
      <c r="E217">
        <v>307712</v>
      </c>
      <c r="F217" s="5">
        <v>49957.983193277316</v>
      </c>
      <c r="G217" s="11">
        <f t="shared" si="6"/>
        <v>9492.0168067226896</v>
      </c>
      <c r="H217" s="11">
        <f t="shared" si="7"/>
        <v>59450.000000000007</v>
      </c>
    </row>
    <row r="218" spans="1:8" x14ac:dyDescent="0.3">
      <c r="A218">
        <v>195</v>
      </c>
      <c r="B218" t="s">
        <v>6142</v>
      </c>
      <c r="C218" s="2" t="s">
        <v>1525</v>
      </c>
      <c r="D218" t="s">
        <v>26</v>
      </c>
      <c r="E218">
        <v>307712</v>
      </c>
      <c r="F218" s="5">
        <v>50378.151260504201</v>
      </c>
      <c r="G218" s="11">
        <f t="shared" si="6"/>
        <v>9571.8487394957974</v>
      </c>
      <c r="H218" s="11">
        <f t="shared" si="7"/>
        <v>59950</v>
      </c>
    </row>
    <row r="219" spans="1:8" x14ac:dyDescent="0.3">
      <c r="A219">
        <v>195</v>
      </c>
      <c r="B219" t="s">
        <v>6142</v>
      </c>
      <c r="C219" s="2" t="s">
        <v>1525</v>
      </c>
      <c r="D219" t="s">
        <v>26</v>
      </c>
      <c r="E219">
        <v>307713</v>
      </c>
      <c r="F219" s="5">
        <v>42008.403361344543</v>
      </c>
      <c r="G219" s="11">
        <f t="shared" si="6"/>
        <v>7981.5966386554628</v>
      </c>
      <c r="H219" s="11">
        <f t="shared" si="7"/>
        <v>49990.000000000007</v>
      </c>
    </row>
    <row r="220" spans="1:8" x14ac:dyDescent="0.3">
      <c r="A220">
        <v>195</v>
      </c>
      <c r="B220" t="s">
        <v>6142</v>
      </c>
      <c r="C220" s="2" t="s">
        <v>1525</v>
      </c>
      <c r="D220" t="s">
        <v>26</v>
      </c>
      <c r="E220">
        <v>307714</v>
      </c>
      <c r="F220" s="5">
        <v>33605.042016806721</v>
      </c>
      <c r="G220" s="11">
        <f t="shared" si="6"/>
        <v>6384.957983193277</v>
      </c>
      <c r="H220" s="11">
        <f t="shared" si="7"/>
        <v>39990</v>
      </c>
    </row>
    <row r="221" spans="1:8" x14ac:dyDescent="0.3">
      <c r="A221">
        <v>195</v>
      </c>
      <c r="B221" t="s">
        <v>6142</v>
      </c>
      <c r="C221" s="2" t="s">
        <v>1525</v>
      </c>
      <c r="D221" t="s">
        <v>26</v>
      </c>
      <c r="E221">
        <v>307714</v>
      </c>
      <c r="F221" s="5">
        <v>4661.3445378151264</v>
      </c>
      <c r="G221" s="11">
        <f t="shared" si="6"/>
        <v>885.65546218487407</v>
      </c>
      <c r="H221" s="11">
        <f t="shared" si="7"/>
        <v>5547</v>
      </c>
    </row>
    <row r="222" spans="1:8" x14ac:dyDescent="0.3">
      <c r="A222">
        <v>195</v>
      </c>
      <c r="B222" t="s">
        <v>6142</v>
      </c>
      <c r="C222" s="2" t="s">
        <v>1525</v>
      </c>
      <c r="D222" t="s">
        <v>26</v>
      </c>
      <c r="E222">
        <v>307715</v>
      </c>
      <c r="F222" s="5">
        <v>58781.512605042022</v>
      </c>
      <c r="G222" s="11">
        <f t="shared" si="6"/>
        <v>11168.487394957985</v>
      </c>
      <c r="H222" s="11">
        <f t="shared" si="7"/>
        <v>69950</v>
      </c>
    </row>
    <row r="223" spans="1:8" x14ac:dyDescent="0.3">
      <c r="A223">
        <v>195</v>
      </c>
      <c r="B223" t="s">
        <v>6142</v>
      </c>
      <c r="C223" s="2" t="s">
        <v>1525</v>
      </c>
      <c r="D223" t="s">
        <v>26</v>
      </c>
      <c r="E223">
        <v>307716</v>
      </c>
      <c r="F223" s="5">
        <v>1680.6722689075632</v>
      </c>
      <c r="G223" s="11">
        <f t="shared" si="6"/>
        <v>319.32773109243703</v>
      </c>
      <c r="H223" s="11">
        <f t="shared" si="7"/>
        <v>2000.0000000000002</v>
      </c>
    </row>
    <row r="224" spans="1:8" x14ac:dyDescent="0.3">
      <c r="A224">
        <v>195</v>
      </c>
      <c r="B224" t="s">
        <v>6142</v>
      </c>
      <c r="C224" s="2" t="s">
        <v>1525</v>
      </c>
      <c r="D224" t="s">
        <v>26</v>
      </c>
      <c r="E224">
        <v>307716</v>
      </c>
      <c r="F224" s="5">
        <v>46210.08403361345</v>
      </c>
      <c r="G224" s="11">
        <f t="shared" si="6"/>
        <v>8779.9159663865557</v>
      </c>
      <c r="H224" s="11">
        <f t="shared" si="7"/>
        <v>54990.000000000007</v>
      </c>
    </row>
    <row r="225" spans="1:8" x14ac:dyDescent="0.3">
      <c r="A225">
        <v>195</v>
      </c>
      <c r="B225" t="s">
        <v>6142</v>
      </c>
      <c r="C225" s="2" t="s">
        <v>1525</v>
      </c>
      <c r="D225" t="s">
        <v>26</v>
      </c>
      <c r="E225">
        <v>307717</v>
      </c>
      <c r="F225" s="5">
        <v>33605.042016806721</v>
      </c>
      <c r="G225" s="11">
        <f t="shared" si="6"/>
        <v>6384.957983193277</v>
      </c>
      <c r="H225" s="11">
        <f t="shared" si="7"/>
        <v>39990</v>
      </c>
    </row>
    <row r="226" spans="1:8" x14ac:dyDescent="0.3">
      <c r="A226">
        <v>195</v>
      </c>
      <c r="B226" t="s">
        <v>6142</v>
      </c>
      <c r="C226" s="2" t="s">
        <v>1525</v>
      </c>
      <c r="D226" t="s">
        <v>26</v>
      </c>
      <c r="E226">
        <v>307718</v>
      </c>
      <c r="F226" s="5">
        <v>42008.403361344543</v>
      </c>
      <c r="G226" s="11">
        <f t="shared" si="6"/>
        <v>7981.5966386554628</v>
      </c>
      <c r="H226" s="11">
        <f t="shared" si="7"/>
        <v>49990.000000000007</v>
      </c>
    </row>
    <row r="227" spans="1:8" x14ac:dyDescent="0.3">
      <c r="A227">
        <v>195</v>
      </c>
      <c r="B227" t="s">
        <v>6142</v>
      </c>
      <c r="C227" s="2" t="s">
        <v>1525</v>
      </c>
      <c r="D227" t="s">
        <v>26</v>
      </c>
      <c r="E227">
        <v>307718</v>
      </c>
      <c r="F227" s="5">
        <v>49957.983193277316</v>
      </c>
      <c r="G227" s="11">
        <f t="shared" si="6"/>
        <v>9492.0168067226896</v>
      </c>
      <c r="H227" s="11">
        <f t="shared" si="7"/>
        <v>59450.000000000007</v>
      </c>
    </row>
    <row r="228" spans="1:8" x14ac:dyDescent="0.3">
      <c r="A228">
        <v>195</v>
      </c>
      <c r="B228" t="s">
        <v>6142</v>
      </c>
      <c r="C228" s="2" t="s">
        <v>1525</v>
      </c>
      <c r="D228" t="s">
        <v>26</v>
      </c>
      <c r="E228">
        <v>307719</v>
      </c>
      <c r="F228" s="5">
        <v>3747.8991596638657</v>
      </c>
      <c r="G228" s="11">
        <f t="shared" si="6"/>
        <v>712.10084033613452</v>
      </c>
      <c r="H228" s="11">
        <f t="shared" si="7"/>
        <v>4460</v>
      </c>
    </row>
    <row r="229" spans="1:8" x14ac:dyDescent="0.3">
      <c r="A229">
        <v>195</v>
      </c>
      <c r="B229" t="s">
        <v>6142</v>
      </c>
      <c r="C229" s="2" t="s">
        <v>1525</v>
      </c>
      <c r="D229" t="s">
        <v>26</v>
      </c>
      <c r="E229">
        <v>307720</v>
      </c>
      <c r="F229" s="5">
        <v>33605.042016806721</v>
      </c>
      <c r="G229" s="11">
        <f t="shared" si="6"/>
        <v>6384.957983193277</v>
      </c>
      <c r="H229" s="11">
        <f t="shared" si="7"/>
        <v>39990</v>
      </c>
    </row>
    <row r="230" spans="1:8" x14ac:dyDescent="0.3">
      <c r="A230">
        <v>195</v>
      </c>
      <c r="B230" t="s">
        <v>6142</v>
      </c>
      <c r="C230" s="2" t="s">
        <v>1525</v>
      </c>
      <c r="D230" t="s">
        <v>26</v>
      </c>
      <c r="E230">
        <v>307720</v>
      </c>
      <c r="F230" s="5">
        <v>33605.042016806721</v>
      </c>
      <c r="G230" s="11">
        <f t="shared" si="6"/>
        <v>6384.957983193277</v>
      </c>
      <c r="H230" s="11">
        <f t="shared" si="7"/>
        <v>39990</v>
      </c>
    </row>
    <row r="231" spans="1:8" x14ac:dyDescent="0.3">
      <c r="A231">
        <v>195</v>
      </c>
      <c r="B231" t="s">
        <v>6142</v>
      </c>
      <c r="C231" s="2" t="s">
        <v>1525</v>
      </c>
      <c r="D231" t="s">
        <v>26</v>
      </c>
      <c r="E231">
        <v>307721</v>
      </c>
      <c r="F231" s="5">
        <v>58815.126050420171</v>
      </c>
      <c r="G231" s="11">
        <f t="shared" si="6"/>
        <v>11174.873949579833</v>
      </c>
      <c r="H231" s="11">
        <f t="shared" si="7"/>
        <v>69990</v>
      </c>
    </row>
    <row r="232" spans="1:8" x14ac:dyDescent="0.3">
      <c r="A232">
        <v>195</v>
      </c>
      <c r="B232" t="s">
        <v>6142</v>
      </c>
      <c r="C232" s="2" t="s">
        <v>2983</v>
      </c>
      <c r="D232" t="s">
        <v>26</v>
      </c>
      <c r="E232">
        <v>307722</v>
      </c>
      <c r="F232" s="5">
        <v>58781.512605042022</v>
      </c>
      <c r="G232" s="11">
        <f t="shared" si="6"/>
        <v>11168.487394957985</v>
      </c>
      <c r="H232" s="11">
        <f t="shared" si="7"/>
        <v>69950</v>
      </c>
    </row>
    <row r="233" spans="1:8" x14ac:dyDescent="0.3">
      <c r="A233">
        <v>195</v>
      </c>
      <c r="B233" t="s">
        <v>6142</v>
      </c>
      <c r="C233" s="2" t="s">
        <v>2983</v>
      </c>
      <c r="D233" t="s">
        <v>26</v>
      </c>
      <c r="E233">
        <v>307723</v>
      </c>
      <c r="F233" s="5">
        <v>75588.23529411765</v>
      </c>
      <c r="G233" s="11">
        <f t="shared" si="6"/>
        <v>14361.764705882353</v>
      </c>
      <c r="H233" s="11">
        <f t="shared" si="7"/>
        <v>89950</v>
      </c>
    </row>
    <row r="234" spans="1:8" x14ac:dyDescent="0.3">
      <c r="A234">
        <v>195</v>
      </c>
      <c r="B234" t="s">
        <v>6142</v>
      </c>
      <c r="C234" s="2" t="s">
        <v>2983</v>
      </c>
      <c r="D234" t="s">
        <v>26</v>
      </c>
      <c r="E234">
        <v>307723</v>
      </c>
      <c r="F234" s="5">
        <v>-83991.596638655465</v>
      </c>
      <c r="G234" s="11">
        <f t="shared" si="6"/>
        <v>-15958.403361344539</v>
      </c>
      <c r="H234" s="11">
        <f t="shared" si="7"/>
        <v>-99950</v>
      </c>
    </row>
    <row r="235" spans="1:8" x14ac:dyDescent="0.3">
      <c r="A235">
        <v>195</v>
      </c>
      <c r="B235" t="s">
        <v>6142</v>
      </c>
      <c r="C235" s="2" t="s">
        <v>2983</v>
      </c>
      <c r="D235" t="s">
        <v>26</v>
      </c>
      <c r="E235">
        <v>307723</v>
      </c>
      <c r="F235" s="5">
        <v>92.436974789915965</v>
      </c>
      <c r="G235" s="11">
        <f t="shared" si="6"/>
        <v>17.563025210084035</v>
      </c>
      <c r="H235" s="11">
        <f t="shared" si="7"/>
        <v>110</v>
      </c>
    </row>
    <row r="236" spans="1:8" x14ac:dyDescent="0.3">
      <c r="A236">
        <v>195</v>
      </c>
      <c r="B236" t="s">
        <v>6142</v>
      </c>
      <c r="C236" s="2" t="s">
        <v>2983</v>
      </c>
      <c r="D236" t="s">
        <v>26</v>
      </c>
      <c r="E236">
        <v>307723</v>
      </c>
      <c r="F236" s="5">
        <v>5000</v>
      </c>
      <c r="G236" s="11">
        <f t="shared" si="6"/>
        <v>950</v>
      </c>
      <c r="H236" s="11">
        <f t="shared" si="7"/>
        <v>5950</v>
      </c>
    </row>
    <row r="237" spans="1:8" x14ac:dyDescent="0.3">
      <c r="A237">
        <v>195</v>
      </c>
      <c r="B237" t="s">
        <v>6142</v>
      </c>
      <c r="C237" s="2" t="s">
        <v>2983</v>
      </c>
      <c r="D237" t="s">
        <v>26</v>
      </c>
      <c r="E237">
        <v>307723</v>
      </c>
      <c r="F237" s="5">
        <v>3319.3277310924373</v>
      </c>
      <c r="G237" s="11">
        <f t="shared" si="6"/>
        <v>630.67226890756308</v>
      </c>
      <c r="H237" s="11">
        <f t="shared" si="7"/>
        <v>3950.0000000000005</v>
      </c>
    </row>
    <row r="238" spans="1:8" x14ac:dyDescent="0.3">
      <c r="A238">
        <v>195</v>
      </c>
      <c r="B238" t="s">
        <v>6142</v>
      </c>
      <c r="C238" s="2" t="s">
        <v>2983</v>
      </c>
      <c r="D238" t="s">
        <v>26</v>
      </c>
      <c r="E238">
        <v>307724</v>
      </c>
      <c r="F238" s="5">
        <v>54579.831932773115</v>
      </c>
      <c r="G238" s="11">
        <f t="shared" si="6"/>
        <v>10370.168067226892</v>
      </c>
      <c r="H238" s="11">
        <f t="shared" si="7"/>
        <v>64950.000000000007</v>
      </c>
    </row>
    <row r="239" spans="1:8" x14ac:dyDescent="0.3">
      <c r="A239">
        <v>195</v>
      </c>
      <c r="B239" t="s">
        <v>6142</v>
      </c>
      <c r="C239" s="2" t="s">
        <v>2983</v>
      </c>
      <c r="D239" t="s">
        <v>26</v>
      </c>
      <c r="E239">
        <v>307724</v>
      </c>
      <c r="F239" s="5">
        <v>57100.840336134454</v>
      </c>
      <c r="G239" s="11">
        <f t="shared" si="6"/>
        <v>10849.159663865546</v>
      </c>
      <c r="H239" s="11">
        <f t="shared" si="7"/>
        <v>67950</v>
      </c>
    </row>
    <row r="240" spans="1:8" x14ac:dyDescent="0.3">
      <c r="A240">
        <v>195</v>
      </c>
      <c r="B240" t="s">
        <v>6142</v>
      </c>
      <c r="C240" s="2" t="s">
        <v>2983</v>
      </c>
      <c r="D240" t="s">
        <v>26</v>
      </c>
      <c r="E240">
        <v>307725</v>
      </c>
      <c r="F240" s="5">
        <v>58815.126050420171</v>
      </c>
      <c r="G240" s="11">
        <f t="shared" si="6"/>
        <v>11174.873949579833</v>
      </c>
      <c r="H240" s="11">
        <f t="shared" si="7"/>
        <v>69990</v>
      </c>
    </row>
    <row r="241" spans="1:8" x14ac:dyDescent="0.3">
      <c r="A241">
        <v>195</v>
      </c>
      <c r="B241" t="s">
        <v>6142</v>
      </c>
      <c r="C241" s="2" t="s">
        <v>2983</v>
      </c>
      <c r="D241" t="s">
        <v>26</v>
      </c>
      <c r="E241">
        <v>307726</v>
      </c>
      <c r="F241" s="5">
        <v>50411.764705882357</v>
      </c>
      <c r="G241" s="11">
        <f t="shared" si="6"/>
        <v>9578.2352941176487</v>
      </c>
      <c r="H241" s="11">
        <f t="shared" si="7"/>
        <v>59990.000000000007</v>
      </c>
    </row>
    <row r="242" spans="1:8" x14ac:dyDescent="0.3">
      <c r="A242">
        <v>195</v>
      </c>
      <c r="B242" t="s">
        <v>6142</v>
      </c>
      <c r="C242" s="2" t="s">
        <v>2983</v>
      </c>
      <c r="D242" t="s">
        <v>26</v>
      </c>
      <c r="E242">
        <v>307726</v>
      </c>
      <c r="F242" s="5">
        <v>-42008.403361344543</v>
      </c>
      <c r="G242" s="11">
        <f t="shared" si="6"/>
        <v>-7981.5966386554628</v>
      </c>
      <c r="H242" s="11">
        <f t="shared" si="7"/>
        <v>-49990.000000000007</v>
      </c>
    </row>
    <row r="243" spans="1:8" x14ac:dyDescent="0.3">
      <c r="A243">
        <v>195</v>
      </c>
      <c r="B243" t="s">
        <v>6142</v>
      </c>
      <c r="C243" s="2" t="s">
        <v>2983</v>
      </c>
      <c r="D243" t="s">
        <v>26</v>
      </c>
      <c r="E243">
        <v>307727</v>
      </c>
      <c r="F243" s="5">
        <v>58781.512605042022</v>
      </c>
      <c r="G243" s="11">
        <f t="shared" si="6"/>
        <v>11168.487394957985</v>
      </c>
      <c r="H243" s="11">
        <f t="shared" si="7"/>
        <v>69950</v>
      </c>
    </row>
    <row r="244" spans="1:8" x14ac:dyDescent="0.3">
      <c r="A244">
        <v>195</v>
      </c>
      <c r="B244" t="s">
        <v>6142</v>
      </c>
      <c r="C244" s="2" t="s">
        <v>2983</v>
      </c>
      <c r="D244" t="s">
        <v>26</v>
      </c>
      <c r="E244">
        <v>307727</v>
      </c>
      <c r="F244" s="5">
        <v>-42008.403361344543</v>
      </c>
      <c r="G244" s="11">
        <f t="shared" si="6"/>
        <v>-7981.5966386554628</v>
      </c>
      <c r="H244" s="11">
        <f t="shared" si="7"/>
        <v>-49990.000000000007</v>
      </c>
    </row>
    <row r="245" spans="1:8" x14ac:dyDescent="0.3">
      <c r="A245">
        <v>195</v>
      </c>
      <c r="B245" t="s">
        <v>6142</v>
      </c>
      <c r="C245" s="2" t="s">
        <v>2983</v>
      </c>
      <c r="D245" t="s">
        <v>26</v>
      </c>
      <c r="E245">
        <v>307728</v>
      </c>
      <c r="F245" s="5">
        <v>41974.789915966387</v>
      </c>
      <c r="G245" s="11">
        <f t="shared" si="6"/>
        <v>7975.2100840336134</v>
      </c>
      <c r="H245" s="11">
        <f t="shared" si="7"/>
        <v>49950</v>
      </c>
    </row>
    <row r="246" spans="1:8" x14ac:dyDescent="0.3">
      <c r="A246">
        <v>195</v>
      </c>
      <c r="B246" t="s">
        <v>6142</v>
      </c>
      <c r="C246" s="2" t="s">
        <v>2983</v>
      </c>
      <c r="D246" t="s">
        <v>26</v>
      </c>
      <c r="E246">
        <v>307729</v>
      </c>
      <c r="F246" s="5">
        <v>50411.764705882357</v>
      </c>
      <c r="G246" s="11">
        <f t="shared" si="6"/>
        <v>9578.2352941176487</v>
      </c>
      <c r="H246" s="11">
        <f t="shared" si="7"/>
        <v>59990.000000000007</v>
      </c>
    </row>
    <row r="247" spans="1:8" x14ac:dyDescent="0.3">
      <c r="A247">
        <v>195</v>
      </c>
      <c r="B247" t="s">
        <v>6142</v>
      </c>
      <c r="C247" s="2" t="s">
        <v>2983</v>
      </c>
      <c r="D247" t="s">
        <v>26</v>
      </c>
      <c r="E247">
        <v>307730</v>
      </c>
      <c r="F247" s="5">
        <v>62983.193277310929</v>
      </c>
      <c r="G247" s="11">
        <f t="shared" si="6"/>
        <v>11966.806722689076</v>
      </c>
      <c r="H247" s="11">
        <f t="shared" si="7"/>
        <v>74950</v>
      </c>
    </row>
    <row r="248" spans="1:8" x14ac:dyDescent="0.3">
      <c r="A248">
        <v>195</v>
      </c>
      <c r="B248" t="s">
        <v>6142</v>
      </c>
      <c r="C248" s="2" t="s">
        <v>2983</v>
      </c>
      <c r="D248" t="s">
        <v>26</v>
      </c>
      <c r="E248">
        <v>307731</v>
      </c>
      <c r="F248" s="5">
        <v>42008.403361344543</v>
      </c>
      <c r="G248" s="11">
        <f t="shared" si="6"/>
        <v>7981.5966386554628</v>
      </c>
      <c r="H248" s="11">
        <f t="shared" si="7"/>
        <v>49990.000000000007</v>
      </c>
    </row>
    <row r="249" spans="1:8" x14ac:dyDescent="0.3">
      <c r="A249">
        <v>195</v>
      </c>
      <c r="B249" t="s">
        <v>6142</v>
      </c>
      <c r="C249" s="2" t="s">
        <v>2983</v>
      </c>
      <c r="D249" t="s">
        <v>26</v>
      </c>
      <c r="E249">
        <v>307731</v>
      </c>
      <c r="F249" s="5">
        <v>49957.983193277316</v>
      </c>
      <c r="G249" s="11">
        <f t="shared" si="6"/>
        <v>9492.0168067226896</v>
      </c>
      <c r="H249" s="11">
        <f t="shared" si="7"/>
        <v>59450.000000000007</v>
      </c>
    </row>
    <row r="250" spans="1:8" x14ac:dyDescent="0.3">
      <c r="A250">
        <v>195</v>
      </c>
      <c r="B250" t="s">
        <v>6142</v>
      </c>
      <c r="C250" s="2" t="s">
        <v>2983</v>
      </c>
      <c r="D250" t="s">
        <v>26</v>
      </c>
      <c r="E250">
        <v>307732</v>
      </c>
      <c r="F250" s="5">
        <v>50411.764705882357</v>
      </c>
      <c r="G250" s="11">
        <f t="shared" si="6"/>
        <v>9578.2352941176487</v>
      </c>
      <c r="H250" s="11">
        <f t="shared" si="7"/>
        <v>59990.000000000007</v>
      </c>
    </row>
    <row r="251" spans="1:8" x14ac:dyDescent="0.3">
      <c r="A251">
        <v>195</v>
      </c>
      <c r="B251" t="s">
        <v>6142</v>
      </c>
      <c r="C251" s="2" t="s">
        <v>2983</v>
      </c>
      <c r="D251" t="s">
        <v>26</v>
      </c>
      <c r="E251">
        <v>307733</v>
      </c>
      <c r="F251" s="5">
        <v>58781.512605042022</v>
      </c>
      <c r="G251" s="11">
        <f t="shared" si="6"/>
        <v>11168.487394957985</v>
      </c>
      <c r="H251" s="11">
        <f t="shared" si="7"/>
        <v>69950</v>
      </c>
    </row>
    <row r="252" spans="1:8" x14ac:dyDescent="0.3">
      <c r="A252">
        <v>195</v>
      </c>
      <c r="B252" t="s">
        <v>6142</v>
      </c>
      <c r="C252" s="2" t="s">
        <v>2983</v>
      </c>
      <c r="D252" t="s">
        <v>26</v>
      </c>
      <c r="E252">
        <v>307734</v>
      </c>
      <c r="F252" s="5">
        <v>53529.411764705888</v>
      </c>
      <c r="G252" s="11">
        <f t="shared" si="6"/>
        <v>10170.588235294119</v>
      </c>
      <c r="H252" s="11">
        <f t="shared" si="7"/>
        <v>63700.000000000007</v>
      </c>
    </row>
    <row r="253" spans="1:8" x14ac:dyDescent="0.3">
      <c r="A253">
        <v>195</v>
      </c>
      <c r="B253" t="s">
        <v>6142</v>
      </c>
      <c r="C253" s="2" t="s">
        <v>2983</v>
      </c>
      <c r="D253" t="s">
        <v>26</v>
      </c>
      <c r="E253">
        <v>307734</v>
      </c>
      <c r="F253" s="5">
        <v>58781.512605042022</v>
      </c>
      <c r="G253" s="11">
        <f t="shared" si="6"/>
        <v>11168.487394957985</v>
      </c>
      <c r="H253" s="11">
        <f t="shared" si="7"/>
        <v>69950</v>
      </c>
    </row>
    <row r="254" spans="1:8" x14ac:dyDescent="0.3">
      <c r="A254">
        <v>195</v>
      </c>
      <c r="B254" t="s">
        <v>6142</v>
      </c>
      <c r="C254" s="2" t="s">
        <v>2983</v>
      </c>
      <c r="D254" t="s">
        <v>26</v>
      </c>
      <c r="E254">
        <v>307735</v>
      </c>
      <c r="F254" s="5">
        <v>5000</v>
      </c>
      <c r="G254" s="11">
        <f t="shared" si="6"/>
        <v>950</v>
      </c>
      <c r="H254" s="11">
        <f t="shared" si="7"/>
        <v>5950</v>
      </c>
    </row>
    <row r="255" spans="1:8" x14ac:dyDescent="0.3">
      <c r="A255">
        <v>195</v>
      </c>
      <c r="B255" t="s">
        <v>6142</v>
      </c>
      <c r="C255" s="2" t="s">
        <v>2983</v>
      </c>
      <c r="D255" t="s">
        <v>26</v>
      </c>
      <c r="E255">
        <v>307736</v>
      </c>
      <c r="F255" s="5">
        <v>58781.512605042022</v>
      </c>
      <c r="G255" s="11">
        <f t="shared" si="6"/>
        <v>11168.487394957985</v>
      </c>
      <c r="H255" s="11">
        <f t="shared" si="7"/>
        <v>69950</v>
      </c>
    </row>
    <row r="256" spans="1:8" x14ac:dyDescent="0.3">
      <c r="A256">
        <v>195</v>
      </c>
      <c r="B256" t="s">
        <v>6142</v>
      </c>
      <c r="C256" s="2" t="s">
        <v>2983</v>
      </c>
      <c r="D256" t="s">
        <v>26</v>
      </c>
      <c r="E256">
        <v>307736</v>
      </c>
      <c r="F256" s="5">
        <v>4159.6638655462184</v>
      </c>
      <c r="G256" s="11">
        <f t="shared" si="6"/>
        <v>790.33613445378148</v>
      </c>
      <c r="H256" s="11">
        <f t="shared" si="7"/>
        <v>4950</v>
      </c>
    </row>
    <row r="257" spans="1:8" x14ac:dyDescent="0.3">
      <c r="A257">
        <v>195</v>
      </c>
      <c r="B257" t="s">
        <v>6142</v>
      </c>
      <c r="C257" s="2" t="s">
        <v>3074</v>
      </c>
      <c r="D257" t="s">
        <v>26</v>
      </c>
      <c r="E257">
        <v>307737</v>
      </c>
      <c r="F257" s="5">
        <v>3431.09243697479</v>
      </c>
      <c r="G257" s="11">
        <f t="shared" si="6"/>
        <v>651.90756302521015</v>
      </c>
      <c r="H257" s="11">
        <f t="shared" si="7"/>
        <v>4083</v>
      </c>
    </row>
    <row r="258" spans="1:8" x14ac:dyDescent="0.3">
      <c r="A258">
        <v>195</v>
      </c>
      <c r="B258" t="s">
        <v>6142</v>
      </c>
      <c r="C258" s="2" t="s">
        <v>3074</v>
      </c>
      <c r="D258" t="s">
        <v>26</v>
      </c>
      <c r="E258">
        <v>307737</v>
      </c>
      <c r="F258" s="5">
        <v>4159.6638655462184</v>
      </c>
      <c r="G258" s="11">
        <f t="shared" si="6"/>
        <v>790.33613445378148</v>
      </c>
      <c r="H258" s="11">
        <f t="shared" si="7"/>
        <v>4950</v>
      </c>
    </row>
    <row r="259" spans="1:8" x14ac:dyDescent="0.3">
      <c r="A259">
        <v>195</v>
      </c>
      <c r="B259" t="s">
        <v>6142</v>
      </c>
      <c r="C259" s="2" t="s">
        <v>3074</v>
      </c>
      <c r="D259" t="s">
        <v>26</v>
      </c>
      <c r="E259">
        <v>307738</v>
      </c>
      <c r="F259" s="5">
        <v>92394.957983193279</v>
      </c>
      <c r="G259" s="11">
        <f t="shared" ref="G259:G322" si="8">F259*19%</f>
        <v>17555.042016806725</v>
      </c>
      <c r="H259" s="11">
        <f t="shared" ref="H259:H322" si="9">+G259+F259</f>
        <v>109950</v>
      </c>
    </row>
    <row r="260" spans="1:8" x14ac:dyDescent="0.3">
      <c r="A260">
        <v>195</v>
      </c>
      <c r="B260" t="s">
        <v>6142</v>
      </c>
      <c r="C260" s="2" t="s">
        <v>3074</v>
      </c>
      <c r="D260" t="s">
        <v>26</v>
      </c>
      <c r="E260">
        <v>307739</v>
      </c>
      <c r="F260" s="5">
        <v>62983.193277310929</v>
      </c>
      <c r="G260" s="11">
        <f t="shared" si="8"/>
        <v>11966.806722689076</v>
      </c>
      <c r="H260" s="11">
        <f t="shared" si="9"/>
        <v>74950</v>
      </c>
    </row>
    <row r="261" spans="1:8" x14ac:dyDescent="0.3">
      <c r="A261">
        <v>195</v>
      </c>
      <c r="B261" t="s">
        <v>6142</v>
      </c>
      <c r="C261" s="2" t="s">
        <v>3074</v>
      </c>
      <c r="D261" t="s">
        <v>26</v>
      </c>
      <c r="E261">
        <v>307740</v>
      </c>
      <c r="F261" s="5">
        <v>83991.596638655465</v>
      </c>
      <c r="G261" s="11">
        <f t="shared" si="8"/>
        <v>15958.403361344539</v>
      </c>
      <c r="H261" s="11">
        <f t="shared" si="9"/>
        <v>99950</v>
      </c>
    </row>
    <row r="262" spans="1:8" x14ac:dyDescent="0.3">
      <c r="A262">
        <v>195</v>
      </c>
      <c r="B262" t="s">
        <v>6142</v>
      </c>
      <c r="C262" s="2" t="s">
        <v>3074</v>
      </c>
      <c r="D262" t="s">
        <v>26</v>
      </c>
      <c r="E262">
        <v>307741</v>
      </c>
      <c r="F262" s="5">
        <v>75588.23529411765</v>
      </c>
      <c r="G262" s="11">
        <f t="shared" si="8"/>
        <v>14361.764705882353</v>
      </c>
      <c r="H262" s="11">
        <f t="shared" si="9"/>
        <v>89950</v>
      </c>
    </row>
    <row r="263" spans="1:8" x14ac:dyDescent="0.3">
      <c r="A263">
        <v>195</v>
      </c>
      <c r="B263" t="s">
        <v>6142</v>
      </c>
      <c r="C263" s="2" t="s">
        <v>3074</v>
      </c>
      <c r="D263" t="s">
        <v>26</v>
      </c>
      <c r="E263">
        <v>307742</v>
      </c>
      <c r="F263" s="5">
        <v>25201.680672268907</v>
      </c>
      <c r="G263" s="11">
        <f t="shared" si="8"/>
        <v>4788.319327731092</v>
      </c>
      <c r="H263" s="11">
        <f t="shared" si="9"/>
        <v>29990</v>
      </c>
    </row>
    <row r="264" spans="1:8" x14ac:dyDescent="0.3">
      <c r="A264">
        <v>195</v>
      </c>
      <c r="B264" t="s">
        <v>6142</v>
      </c>
      <c r="C264" s="2" t="s">
        <v>3074</v>
      </c>
      <c r="D264" t="s">
        <v>26</v>
      </c>
      <c r="E264">
        <v>307742</v>
      </c>
      <c r="F264" s="5">
        <v>4661.3445378151264</v>
      </c>
      <c r="G264" s="11">
        <f t="shared" si="8"/>
        <v>885.65546218487407</v>
      </c>
      <c r="H264" s="11">
        <f t="shared" si="9"/>
        <v>5547</v>
      </c>
    </row>
    <row r="265" spans="1:8" x14ac:dyDescent="0.3">
      <c r="A265">
        <v>195</v>
      </c>
      <c r="B265" t="s">
        <v>6142</v>
      </c>
      <c r="C265" s="2" t="s">
        <v>3074</v>
      </c>
      <c r="D265" t="s">
        <v>26</v>
      </c>
      <c r="E265">
        <v>307743</v>
      </c>
      <c r="F265" s="5">
        <v>-33605.042016806721</v>
      </c>
      <c r="G265" s="11">
        <f t="shared" si="8"/>
        <v>-6384.957983193277</v>
      </c>
      <c r="H265" s="11">
        <f t="shared" si="9"/>
        <v>-39990</v>
      </c>
    </row>
    <row r="266" spans="1:8" x14ac:dyDescent="0.3">
      <c r="A266">
        <v>195</v>
      </c>
      <c r="B266" t="s">
        <v>6142</v>
      </c>
      <c r="C266" s="2" t="s">
        <v>3074</v>
      </c>
      <c r="D266" t="s">
        <v>26</v>
      </c>
      <c r="E266">
        <v>307743</v>
      </c>
      <c r="F266" s="5">
        <v>62983.193277310929</v>
      </c>
      <c r="G266" s="11">
        <f t="shared" si="8"/>
        <v>11966.806722689076</v>
      </c>
      <c r="H266" s="11">
        <f t="shared" si="9"/>
        <v>74950</v>
      </c>
    </row>
    <row r="267" spans="1:8" x14ac:dyDescent="0.3">
      <c r="A267">
        <v>195</v>
      </c>
      <c r="B267" t="s">
        <v>6142</v>
      </c>
      <c r="C267" s="2" t="s">
        <v>3074</v>
      </c>
      <c r="D267" t="s">
        <v>26</v>
      </c>
      <c r="E267">
        <v>307744</v>
      </c>
      <c r="F267" s="5">
        <v>75588.23529411765</v>
      </c>
      <c r="G267" s="11">
        <f t="shared" si="8"/>
        <v>14361.764705882353</v>
      </c>
      <c r="H267" s="11">
        <f t="shared" si="9"/>
        <v>89950</v>
      </c>
    </row>
    <row r="268" spans="1:8" x14ac:dyDescent="0.3">
      <c r="A268">
        <v>195</v>
      </c>
      <c r="B268" t="s">
        <v>6142</v>
      </c>
      <c r="C268" s="2" t="s">
        <v>3074</v>
      </c>
      <c r="D268" t="s">
        <v>26</v>
      </c>
      <c r="E268">
        <v>307745</v>
      </c>
      <c r="F268" s="5">
        <v>75588.23529411765</v>
      </c>
      <c r="G268" s="11">
        <f t="shared" si="8"/>
        <v>14361.764705882353</v>
      </c>
      <c r="H268" s="11">
        <f t="shared" si="9"/>
        <v>89950</v>
      </c>
    </row>
    <row r="269" spans="1:8" x14ac:dyDescent="0.3">
      <c r="A269">
        <v>195</v>
      </c>
      <c r="B269" t="s">
        <v>6142</v>
      </c>
      <c r="C269" s="2" t="s">
        <v>3074</v>
      </c>
      <c r="D269" t="s">
        <v>26</v>
      </c>
      <c r="E269">
        <v>307746</v>
      </c>
      <c r="F269" s="5">
        <v>83991.596638655465</v>
      </c>
      <c r="G269" s="11">
        <f t="shared" si="8"/>
        <v>15958.403361344539</v>
      </c>
      <c r="H269" s="11">
        <f t="shared" si="9"/>
        <v>99950</v>
      </c>
    </row>
    <row r="270" spans="1:8" x14ac:dyDescent="0.3">
      <c r="A270">
        <v>195</v>
      </c>
      <c r="B270" t="s">
        <v>6142</v>
      </c>
      <c r="C270" s="2" t="s">
        <v>3074</v>
      </c>
      <c r="D270" t="s">
        <v>26</v>
      </c>
      <c r="E270">
        <v>307747</v>
      </c>
      <c r="F270" s="5">
        <v>42008.403361344543</v>
      </c>
      <c r="G270" s="11">
        <f t="shared" si="8"/>
        <v>7981.5966386554628</v>
      </c>
      <c r="H270" s="11">
        <f t="shared" si="9"/>
        <v>49990.000000000007</v>
      </c>
    </row>
    <row r="271" spans="1:8" x14ac:dyDescent="0.3">
      <c r="A271">
        <v>195</v>
      </c>
      <c r="B271" t="s">
        <v>6142</v>
      </c>
      <c r="C271" s="2" t="s">
        <v>3074</v>
      </c>
      <c r="D271" t="s">
        <v>26</v>
      </c>
      <c r="E271">
        <v>307748</v>
      </c>
      <c r="F271" s="5">
        <v>75588.23529411765</v>
      </c>
      <c r="G271" s="11">
        <f t="shared" si="8"/>
        <v>14361.764705882353</v>
      </c>
      <c r="H271" s="11">
        <f t="shared" si="9"/>
        <v>89950</v>
      </c>
    </row>
    <row r="272" spans="1:8" x14ac:dyDescent="0.3">
      <c r="A272">
        <v>195</v>
      </c>
      <c r="B272" t="s">
        <v>6142</v>
      </c>
      <c r="C272" s="2" t="s">
        <v>3074</v>
      </c>
      <c r="D272" t="s">
        <v>26</v>
      </c>
      <c r="E272">
        <v>307749</v>
      </c>
      <c r="F272" s="5">
        <v>62983.193277310929</v>
      </c>
      <c r="G272" s="11">
        <f t="shared" si="8"/>
        <v>11966.806722689076</v>
      </c>
      <c r="H272" s="11">
        <f t="shared" si="9"/>
        <v>74950</v>
      </c>
    </row>
    <row r="273" spans="1:8" x14ac:dyDescent="0.3">
      <c r="A273">
        <v>195</v>
      </c>
      <c r="B273" t="s">
        <v>6142</v>
      </c>
      <c r="C273" s="2" t="s">
        <v>1569</v>
      </c>
      <c r="D273" t="s">
        <v>26</v>
      </c>
      <c r="E273">
        <v>307750</v>
      </c>
      <c r="F273" s="5">
        <v>33605.042016806721</v>
      </c>
      <c r="G273" s="11">
        <f t="shared" si="8"/>
        <v>6384.957983193277</v>
      </c>
      <c r="H273" s="11">
        <f t="shared" si="9"/>
        <v>39990</v>
      </c>
    </row>
    <row r="274" spans="1:8" x14ac:dyDescent="0.3">
      <c r="A274">
        <v>195</v>
      </c>
      <c r="B274" t="s">
        <v>6142</v>
      </c>
      <c r="C274" s="2" t="s">
        <v>1569</v>
      </c>
      <c r="D274" t="s">
        <v>26</v>
      </c>
      <c r="E274">
        <v>307750</v>
      </c>
      <c r="F274" s="5">
        <v>4884.8739495798318</v>
      </c>
      <c r="G274" s="11">
        <f t="shared" si="8"/>
        <v>928.1260504201681</v>
      </c>
      <c r="H274" s="11">
        <f t="shared" si="9"/>
        <v>5813</v>
      </c>
    </row>
    <row r="275" spans="1:8" x14ac:dyDescent="0.3">
      <c r="A275">
        <v>195</v>
      </c>
      <c r="B275" t="s">
        <v>6142</v>
      </c>
      <c r="C275" s="2" t="s">
        <v>1569</v>
      </c>
      <c r="D275" t="s">
        <v>26</v>
      </c>
      <c r="E275">
        <v>307751</v>
      </c>
      <c r="F275" s="5">
        <v>33605.042016806721</v>
      </c>
      <c r="G275" s="11">
        <f t="shared" si="8"/>
        <v>6384.957983193277</v>
      </c>
      <c r="H275" s="11">
        <f t="shared" si="9"/>
        <v>39990</v>
      </c>
    </row>
    <row r="276" spans="1:8" x14ac:dyDescent="0.3">
      <c r="A276">
        <v>195</v>
      </c>
      <c r="B276" t="s">
        <v>6142</v>
      </c>
      <c r="C276" s="2" t="s">
        <v>1569</v>
      </c>
      <c r="D276" t="s">
        <v>26</v>
      </c>
      <c r="E276">
        <v>307751</v>
      </c>
      <c r="F276" s="5">
        <v>50411.764705882357</v>
      </c>
      <c r="G276" s="11">
        <f t="shared" si="8"/>
        <v>9578.2352941176487</v>
      </c>
      <c r="H276" s="11">
        <f t="shared" si="9"/>
        <v>59990.000000000007</v>
      </c>
    </row>
    <row r="277" spans="1:8" x14ac:dyDescent="0.3">
      <c r="A277">
        <v>195</v>
      </c>
      <c r="B277" t="s">
        <v>6142</v>
      </c>
      <c r="C277" s="2" t="s">
        <v>1569</v>
      </c>
      <c r="D277" t="s">
        <v>26</v>
      </c>
      <c r="E277">
        <v>307752</v>
      </c>
      <c r="F277" s="5">
        <v>75588.23529411765</v>
      </c>
      <c r="G277" s="11">
        <f t="shared" si="8"/>
        <v>14361.764705882353</v>
      </c>
      <c r="H277" s="11">
        <f t="shared" si="9"/>
        <v>89950</v>
      </c>
    </row>
    <row r="278" spans="1:8" x14ac:dyDescent="0.3">
      <c r="A278">
        <v>195</v>
      </c>
      <c r="B278" t="s">
        <v>6142</v>
      </c>
      <c r="C278" s="2" t="s">
        <v>1569</v>
      </c>
      <c r="D278" t="s">
        <v>26</v>
      </c>
      <c r="E278">
        <v>307753</v>
      </c>
      <c r="F278" s="5">
        <v>62983.193277310929</v>
      </c>
      <c r="G278" s="11">
        <f t="shared" si="8"/>
        <v>11966.806722689076</v>
      </c>
      <c r="H278" s="11">
        <f t="shared" si="9"/>
        <v>74950</v>
      </c>
    </row>
    <row r="279" spans="1:8" x14ac:dyDescent="0.3">
      <c r="A279">
        <v>195</v>
      </c>
      <c r="B279" t="s">
        <v>6142</v>
      </c>
      <c r="C279" s="2" t="s">
        <v>1569</v>
      </c>
      <c r="D279" t="s">
        <v>26</v>
      </c>
      <c r="E279">
        <v>307754</v>
      </c>
      <c r="F279" s="5">
        <v>54579.831932773115</v>
      </c>
      <c r="G279" s="11">
        <f t="shared" si="8"/>
        <v>10370.168067226892</v>
      </c>
      <c r="H279" s="11">
        <f t="shared" si="9"/>
        <v>64950.000000000007</v>
      </c>
    </row>
    <row r="280" spans="1:8" x14ac:dyDescent="0.3">
      <c r="A280">
        <v>195</v>
      </c>
      <c r="B280" t="s">
        <v>6142</v>
      </c>
      <c r="C280" s="2" t="s">
        <v>1569</v>
      </c>
      <c r="D280" t="s">
        <v>26</v>
      </c>
      <c r="E280">
        <v>307755</v>
      </c>
      <c r="F280" s="5">
        <v>58781.512605042022</v>
      </c>
      <c r="G280" s="11">
        <f t="shared" si="8"/>
        <v>11168.487394957985</v>
      </c>
      <c r="H280" s="11">
        <f t="shared" si="9"/>
        <v>69950</v>
      </c>
    </row>
    <row r="281" spans="1:8" x14ac:dyDescent="0.3">
      <c r="A281">
        <v>195</v>
      </c>
      <c r="B281" t="s">
        <v>6142</v>
      </c>
      <c r="C281" s="2" t="s">
        <v>1569</v>
      </c>
      <c r="D281" t="s">
        <v>26</v>
      </c>
      <c r="E281">
        <v>307756</v>
      </c>
      <c r="F281" s="5">
        <v>46176.470588235294</v>
      </c>
      <c r="G281" s="11">
        <f t="shared" si="8"/>
        <v>8773.5294117647063</v>
      </c>
      <c r="H281" s="11">
        <f t="shared" si="9"/>
        <v>54950</v>
      </c>
    </row>
    <row r="282" spans="1:8" x14ac:dyDescent="0.3">
      <c r="A282">
        <v>195</v>
      </c>
      <c r="B282" t="s">
        <v>6142</v>
      </c>
      <c r="C282" s="2" t="s">
        <v>1569</v>
      </c>
      <c r="D282" t="s">
        <v>26</v>
      </c>
      <c r="E282">
        <v>307757</v>
      </c>
      <c r="F282" s="5">
        <v>1638.6554621848741</v>
      </c>
      <c r="G282" s="11">
        <f t="shared" si="8"/>
        <v>311.3445378151261</v>
      </c>
      <c r="H282" s="11">
        <f t="shared" si="9"/>
        <v>1950.0000000000002</v>
      </c>
    </row>
    <row r="283" spans="1:8" x14ac:dyDescent="0.3">
      <c r="A283">
        <v>195</v>
      </c>
      <c r="B283" t="s">
        <v>6142</v>
      </c>
      <c r="C283" s="2" t="s">
        <v>1569</v>
      </c>
      <c r="D283" t="s">
        <v>26</v>
      </c>
      <c r="E283">
        <v>307758</v>
      </c>
      <c r="F283" s="5">
        <v>62983.193277310929</v>
      </c>
      <c r="G283" s="11">
        <f t="shared" si="8"/>
        <v>11966.806722689076</v>
      </c>
      <c r="H283" s="11">
        <f t="shared" si="9"/>
        <v>74950</v>
      </c>
    </row>
    <row r="284" spans="1:8" x14ac:dyDescent="0.3">
      <c r="A284">
        <v>195</v>
      </c>
      <c r="B284" t="s">
        <v>6142</v>
      </c>
      <c r="C284" s="2" t="s">
        <v>1569</v>
      </c>
      <c r="D284" t="s">
        <v>26</v>
      </c>
      <c r="E284">
        <v>307759</v>
      </c>
      <c r="F284" s="5">
        <v>75588.23529411765</v>
      </c>
      <c r="G284" s="11">
        <f t="shared" si="8"/>
        <v>14361.764705882353</v>
      </c>
      <c r="H284" s="11">
        <f t="shared" si="9"/>
        <v>89950</v>
      </c>
    </row>
    <row r="285" spans="1:8" x14ac:dyDescent="0.3">
      <c r="A285">
        <v>195</v>
      </c>
      <c r="B285" t="s">
        <v>6142</v>
      </c>
      <c r="C285" s="2" t="s">
        <v>1744</v>
      </c>
      <c r="D285" t="s">
        <v>26</v>
      </c>
      <c r="E285">
        <v>307760</v>
      </c>
      <c r="F285" s="5">
        <v>42008.403361344543</v>
      </c>
      <c r="G285" s="11">
        <f t="shared" si="8"/>
        <v>7981.5966386554628</v>
      </c>
      <c r="H285" s="11">
        <f t="shared" si="9"/>
        <v>49990.000000000007</v>
      </c>
    </row>
    <row r="286" spans="1:8" x14ac:dyDescent="0.3">
      <c r="A286">
        <v>195</v>
      </c>
      <c r="B286" t="s">
        <v>6142</v>
      </c>
      <c r="C286" s="2" t="s">
        <v>1744</v>
      </c>
      <c r="D286" t="s">
        <v>26</v>
      </c>
      <c r="E286">
        <v>307760</v>
      </c>
      <c r="F286" s="5">
        <v>46210.08403361345</v>
      </c>
      <c r="G286" s="11">
        <f t="shared" si="8"/>
        <v>8779.9159663865557</v>
      </c>
      <c r="H286" s="11">
        <f t="shared" si="9"/>
        <v>54990.000000000007</v>
      </c>
    </row>
    <row r="287" spans="1:8" x14ac:dyDescent="0.3">
      <c r="A287">
        <v>195</v>
      </c>
      <c r="B287" t="s">
        <v>6142</v>
      </c>
      <c r="C287" s="2" t="s">
        <v>1744</v>
      </c>
      <c r="D287" t="s">
        <v>26</v>
      </c>
      <c r="E287">
        <v>307761</v>
      </c>
      <c r="F287" s="5">
        <v>4884.8739495798318</v>
      </c>
      <c r="G287" s="11">
        <f t="shared" si="8"/>
        <v>928.1260504201681</v>
      </c>
      <c r="H287" s="11">
        <f t="shared" si="9"/>
        <v>5813</v>
      </c>
    </row>
    <row r="288" spans="1:8" x14ac:dyDescent="0.3">
      <c r="A288">
        <v>195</v>
      </c>
      <c r="B288" t="s">
        <v>6142</v>
      </c>
      <c r="C288" s="2" t="s">
        <v>1744</v>
      </c>
      <c r="D288" t="s">
        <v>26</v>
      </c>
      <c r="E288">
        <v>307761</v>
      </c>
      <c r="F288" s="5">
        <v>58815.126050420171</v>
      </c>
      <c r="G288" s="11">
        <f t="shared" si="8"/>
        <v>11174.873949579833</v>
      </c>
      <c r="H288" s="11">
        <f t="shared" si="9"/>
        <v>69990</v>
      </c>
    </row>
    <row r="289" spans="1:8" x14ac:dyDescent="0.3">
      <c r="A289">
        <v>195</v>
      </c>
      <c r="B289" t="s">
        <v>6142</v>
      </c>
      <c r="C289" s="2" t="s">
        <v>1744</v>
      </c>
      <c r="D289" t="s">
        <v>26</v>
      </c>
      <c r="E289">
        <v>307762</v>
      </c>
      <c r="F289" s="5">
        <v>83991.596638655465</v>
      </c>
      <c r="G289" s="11">
        <f t="shared" si="8"/>
        <v>15958.403361344539</v>
      </c>
      <c r="H289" s="11">
        <f t="shared" si="9"/>
        <v>99950</v>
      </c>
    </row>
    <row r="290" spans="1:8" x14ac:dyDescent="0.3">
      <c r="A290">
        <v>195</v>
      </c>
      <c r="B290" t="s">
        <v>6142</v>
      </c>
      <c r="C290" s="2" t="s">
        <v>1744</v>
      </c>
      <c r="D290" t="s">
        <v>26</v>
      </c>
      <c r="E290">
        <v>307763</v>
      </c>
      <c r="F290" s="5">
        <v>67218.487394957992</v>
      </c>
      <c r="G290" s="11">
        <f t="shared" si="8"/>
        <v>12771.512605042019</v>
      </c>
      <c r="H290" s="11">
        <f t="shared" si="9"/>
        <v>79990.000000000015</v>
      </c>
    </row>
    <row r="291" spans="1:8" x14ac:dyDescent="0.3">
      <c r="A291">
        <v>195</v>
      </c>
      <c r="B291" t="s">
        <v>6142</v>
      </c>
      <c r="C291" s="2" t="s">
        <v>1744</v>
      </c>
      <c r="D291" t="s">
        <v>26</v>
      </c>
      <c r="E291">
        <v>307764</v>
      </c>
      <c r="F291" s="5">
        <v>5840.3361344537816</v>
      </c>
      <c r="G291" s="11">
        <f t="shared" si="8"/>
        <v>1109.6638655462184</v>
      </c>
      <c r="H291" s="11">
        <f t="shared" si="9"/>
        <v>6950</v>
      </c>
    </row>
    <row r="292" spans="1:8" x14ac:dyDescent="0.3">
      <c r="A292">
        <v>195</v>
      </c>
      <c r="B292" t="s">
        <v>6142</v>
      </c>
      <c r="C292" s="2" t="s">
        <v>1744</v>
      </c>
      <c r="D292" t="s">
        <v>26</v>
      </c>
      <c r="E292">
        <v>307765</v>
      </c>
      <c r="F292" s="5">
        <v>50411.764705882357</v>
      </c>
      <c r="G292" s="11">
        <f t="shared" si="8"/>
        <v>9578.2352941176487</v>
      </c>
      <c r="H292" s="11">
        <f t="shared" si="9"/>
        <v>59990.000000000007</v>
      </c>
    </row>
    <row r="293" spans="1:8" x14ac:dyDescent="0.3">
      <c r="A293">
        <v>195</v>
      </c>
      <c r="B293" t="s">
        <v>6142</v>
      </c>
      <c r="C293" s="2" t="s">
        <v>1744</v>
      </c>
      <c r="D293" t="s">
        <v>26</v>
      </c>
      <c r="E293">
        <v>307765</v>
      </c>
      <c r="F293" s="5">
        <v>79789.915966386558</v>
      </c>
      <c r="G293" s="11">
        <f t="shared" si="8"/>
        <v>15160.084033613446</v>
      </c>
      <c r="H293" s="11">
        <f t="shared" si="9"/>
        <v>94950</v>
      </c>
    </row>
    <row r="294" spans="1:8" x14ac:dyDescent="0.3">
      <c r="A294">
        <v>195</v>
      </c>
      <c r="B294" t="s">
        <v>6142</v>
      </c>
      <c r="C294" s="2" t="s">
        <v>1744</v>
      </c>
      <c r="D294" t="s">
        <v>26</v>
      </c>
      <c r="E294">
        <v>307765</v>
      </c>
      <c r="F294" s="5">
        <v>75588.23529411765</v>
      </c>
      <c r="G294" s="11">
        <f t="shared" si="8"/>
        <v>14361.764705882353</v>
      </c>
      <c r="H294" s="11">
        <f t="shared" si="9"/>
        <v>89950</v>
      </c>
    </row>
    <row r="295" spans="1:8" x14ac:dyDescent="0.3">
      <c r="A295">
        <v>195</v>
      </c>
      <c r="B295" t="s">
        <v>6142</v>
      </c>
      <c r="C295" s="2" t="s">
        <v>1744</v>
      </c>
      <c r="D295" t="s">
        <v>26</v>
      </c>
      <c r="E295">
        <v>307766</v>
      </c>
      <c r="F295" s="5">
        <v>58781.512605042022</v>
      </c>
      <c r="G295" s="11">
        <f t="shared" si="8"/>
        <v>11168.487394957985</v>
      </c>
      <c r="H295" s="11">
        <f t="shared" si="9"/>
        <v>69950</v>
      </c>
    </row>
    <row r="296" spans="1:8" x14ac:dyDescent="0.3">
      <c r="A296">
        <v>195</v>
      </c>
      <c r="B296" t="s">
        <v>6142</v>
      </c>
      <c r="C296" s="2" t="s">
        <v>1744</v>
      </c>
      <c r="D296" t="s">
        <v>26</v>
      </c>
      <c r="E296">
        <v>307767</v>
      </c>
      <c r="F296" s="5">
        <v>67184.873949579836</v>
      </c>
      <c r="G296" s="11">
        <f t="shared" si="8"/>
        <v>12765.126050420169</v>
      </c>
      <c r="H296" s="11">
        <f t="shared" si="9"/>
        <v>79950</v>
      </c>
    </row>
    <row r="297" spans="1:8" x14ac:dyDescent="0.3">
      <c r="A297">
        <v>195</v>
      </c>
      <c r="B297" t="s">
        <v>6142</v>
      </c>
      <c r="C297" s="2" t="s">
        <v>1744</v>
      </c>
      <c r="D297" t="s">
        <v>26</v>
      </c>
      <c r="E297">
        <v>307768</v>
      </c>
      <c r="F297" s="5">
        <v>5000</v>
      </c>
      <c r="G297" s="11">
        <f t="shared" si="8"/>
        <v>950</v>
      </c>
      <c r="H297" s="11">
        <f t="shared" si="9"/>
        <v>5950</v>
      </c>
    </row>
    <row r="298" spans="1:8" x14ac:dyDescent="0.3">
      <c r="A298">
        <v>195</v>
      </c>
      <c r="B298" t="s">
        <v>6142</v>
      </c>
      <c r="C298" s="2" t="s">
        <v>1744</v>
      </c>
      <c r="D298" t="s">
        <v>26</v>
      </c>
      <c r="E298">
        <v>307769</v>
      </c>
      <c r="F298" s="5">
        <v>50411.764705882357</v>
      </c>
      <c r="G298" s="11">
        <f t="shared" si="8"/>
        <v>9578.2352941176487</v>
      </c>
      <c r="H298" s="11">
        <f t="shared" si="9"/>
        <v>59990.000000000007</v>
      </c>
    </row>
    <row r="299" spans="1:8" x14ac:dyDescent="0.3">
      <c r="A299">
        <v>195</v>
      </c>
      <c r="B299" t="s">
        <v>6142</v>
      </c>
      <c r="C299" s="2" t="s">
        <v>1744</v>
      </c>
      <c r="D299" t="s">
        <v>26</v>
      </c>
      <c r="E299">
        <v>307770</v>
      </c>
      <c r="F299" s="5">
        <v>-49957.983193277316</v>
      </c>
      <c r="G299" s="11">
        <f t="shared" si="8"/>
        <v>-9492.0168067226896</v>
      </c>
      <c r="H299" s="11">
        <f t="shared" si="9"/>
        <v>-59450.000000000007</v>
      </c>
    </row>
    <row r="300" spans="1:8" x14ac:dyDescent="0.3">
      <c r="A300">
        <v>195</v>
      </c>
      <c r="B300" t="s">
        <v>6142</v>
      </c>
      <c r="C300" s="2" t="s">
        <v>1744</v>
      </c>
      <c r="D300" t="s">
        <v>26</v>
      </c>
      <c r="E300">
        <v>307770</v>
      </c>
      <c r="F300" s="5">
        <v>75588.23529411765</v>
      </c>
      <c r="G300" s="11">
        <f t="shared" si="8"/>
        <v>14361.764705882353</v>
      </c>
      <c r="H300" s="11">
        <f t="shared" si="9"/>
        <v>89950</v>
      </c>
    </row>
    <row r="301" spans="1:8" x14ac:dyDescent="0.3">
      <c r="A301">
        <v>195</v>
      </c>
      <c r="B301" t="s">
        <v>6142</v>
      </c>
      <c r="C301" s="2" t="s">
        <v>1744</v>
      </c>
      <c r="D301" t="s">
        <v>26</v>
      </c>
      <c r="E301">
        <v>307771</v>
      </c>
      <c r="F301" s="5">
        <v>58782.352941176476</v>
      </c>
      <c r="G301" s="11">
        <f t="shared" si="8"/>
        <v>11168.64705882353</v>
      </c>
      <c r="H301" s="11">
        <f t="shared" si="9"/>
        <v>69951</v>
      </c>
    </row>
    <row r="302" spans="1:8" x14ac:dyDescent="0.3">
      <c r="A302">
        <v>195</v>
      </c>
      <c r="B302" t="s">
        <v>6142</v>
      </c>
      <c r="C302" s="2" t="s">
        <v>1744</v>
      </c>
      <c r="D302" t="s">
        <v>26</v>
      </c>
      <c r="E302">
        <v>307771</v>
      </c>
      <c r="F302" s="5">
        <v>-58781.512605042022</v>
      </c>
      <c r="G302" s="11">
        <f t="shared" si="8"/>
        <v>-11168.487394957985</v>
      </c>
      <c r="H302" s="11">
        <f t="shared" si="9"/>
        <v>-69950</v>
      </c>
    </row>
    <row r="303" spans="1:8" x14ac:dyDescent="0.3">
      <c r="A303">
        <v>195</v>
      </c>
      <c r="B303" t="s">
        <v>6142</v>
      </c>
      <c r="C303" s="2" t="s">
        <v>1744</v>
      </c>
      <c r="D303" t="s">
        <v>26</v>
      </c>
      <c r="E303">
        <v>307772</v>
      </c>
      <c r="F303" s="5">
        <v>50378.151260504201</v>
      </c>
      <c r="G303" s="11">
        <f t="shared" si="8"/>
        <v>9571.8487394957974</v>
      </c>
      <c r="H303" s="11">
        <f t="shared" si="9"/>
        <v>59950</v>
      </c>
    </row>
    <row r="304" spans="1:8" x14ac:dyDescent="0.3">
      <c r="A304">
        <v>195</v>
      </c>
      <c r="B304" t="s">
        <v>6142</v>
      </c>
      <c r="C304" s="2" t="s">
        <v>1797</v>
      </c>
      <c r="D304" t="s">
        <v>26</v>
      </c>
      <c r="E304">
        <v>307773</v>
      </c>
      <c r="F304" s="5">
        <v>-46210.08403361345</v>
      </c>
      <c r="G304" s="11">
        <f t="shared" si="8"/>
        <v>-8779.9159663865557</v>
      </c>
      <c r="H304" s="11">
        <f t="shared" si="9"/>
        <v>-54990.000000000007</v>
      </c>
    </row>
    <row r="305" spans="1:8" x14ac:dyDescent="0.3">
      <c r="A305">
        <v>195</v>
      </c>
      <c r="B305" t="s">
        <v>6142</v>
      </c>
      <c r="C305" s="2" t="s">
        <v>1797</v>
      </c>
      <c r="D305" t="s">
        <v>26</v>
      </c>
      <c r="E305">
        <v>307773</v>
      </c>
      <c r="F305" s="5">
        <v>58781.512605042022</v>
      </c>
      <c r="G305" s="11">
        <f t="shared" si="8"/>
        <v>11168.487394957985</v>
      </c>
      <c r="H305" s="11">
        <f t="shared" si="9"/>
        <v>69950</v>
      </c>
    </row>
    <row r="306" spans="1:8" x14ac:dyDescent="0.3">
      <c r="A306">
        <v>195</v>
      </c>
      <c r="B306" t="s">
        <v>6142</v>
      </c>
      <c r="C306" s="2" t="s">
        <v>1797</v>
      </c>
      <c r="D306" t="s">
        <v>26</v>
      </c>
      <c r="E306">
        <v>307774</v>
      </c>
      <c r="F306" s="5">
        <v>83991.596638655465</v>
      </c>
      <c r="G306" s="11">
        <f t="shared" si="8"/>
        <v>15958.403361344539</v>
      </c>
      <c r="H306" s="11">
        <f t="shared" si="9"/>
        <v>99950</v>
      </c>
    </row>
    <row r="307" spans="1:8" x14ac:dyDescent="0.3">
      <c r="A307">
        <v>195</v>
      </c>
      <c r="B307" t="s">
        <v>6142</v>
      </c>
      <c r="C307" s="2" t="s">
        <v>1797</v>
      </c>
      <c r="D307" t="s">
        <v>26</v>
      </c>
      <c r="E307">
        <v>307775</v>
      </c>
      <c r="F307" s="5">
        <v>42008.403361344543</v>
      </c>
      <c r="G307" s="11">
        <f t="shared" si="8"/>
        <v>7981.5966386554628</v>
      </c>
      <c r="H307" s="11">
        <f t="shared" si="9"/>
        <v>49990.000000000007</v>
      </c>
    </row>
    <row r="308" spans="1:8" x14ac:dyDescent="0.3">
      <c r="A308">
        <v>195</v>
      </c>
      <c r="B308" t="s">
        <v>6142</v>
      </c>
      <c r="C308" s="2" t="s">
        <v>1797</v>
      </c>
      <c r="D308" t="s">
        <v>26</v>
      </c>
      <c r="E308">
        <v>307776</v>
      </c>
      <c r="F308" s="5">
        <v>58781.512605042022</v>
      </c>
      <c r="G308" s="11">
        <f t="shared" si="8"/>
        <v>11168.487394957985</v>
      </c>
      <c r="H308" s="11">
        <f t="shared" si="9"/>
        <v>69950</v>
      </c>
    </row>
    <row r="309" spans="1:8" x14ac:dyDescent="0.3">
      <c r="A309">
        <v>195</v>
      </c>
      <c r="B309" t="s">
        <v>6142</v>
      </c>
      <c r="C309" s="2" t="s">
        <v>1797</v>
      </c>
      <c r="D309" t="s">
        <v>26</v>
      </c>
      <c r="E309">
        <v>307777</v>
      </c>
      <c r="F309" s="5">
        <v>58815.126050420171</v>
      </c>
      <c r="G309" s="11">
        <f t="shared" si="8"/>
        <v>11174.873949579833</v>
      </c>
      <c r="H309" s="11">
        <f t="shared" si="9"/>
        <v>69990</v>
      </c>
    </row>
    <row r="310" spans="1:8" x14ac:dyDescent="0.3">
      <c r="A310">
        <v>195</v>
      </c>
      <c r="B310" t="s">
        <v>6142</v>
      </c>
      <c r="C310" s="2" t="s">
        <v>1797</v>
      </c>
      <c r="D310" t="s">
        <v>26</v>
      </c>
      <c r="E310">
        <v>307777</v>
      </c>
      <c r="F310" s="5">
        <v>-59705.882352941182</v>
      </c>
      <c r="G310" s="11">
        <f t="shared" si="8"/>
        <v>-11344.117647058825</v>
      </c>
      <c r="H310" s="11">
        <f t="shared" si="9"/>
        <v>-71050</v>
      </c>
    </row>
    <row r="311" spans="1:8" x14ac:dyDescent="0.3">
      <c r="A311">
        <v>195</v>
      </c>
      <c r="B311" t="s">
        <v>6142</v>
      </c>
      <c r="C311" s="2" t="s">
        <v>1797</v>
      </c>
      <c r="D311" t="s">
        <v>26</v>
      </c>
      <c r="E311">
        <v>307777</v>
      </c>
      <c r="F311" s="5">
        <v>2899.1596638655465</v>
      </c>
      <c r="G311" s="11">
        <f t="shared" si="8"/>
        <v>550.84033613445388</v>
      </c>
      <c r="H311" s="11">
        <f t="shared" si="9"/>
        <v>3450.0000000000005</v>
      </c>
    </row>
    <row r="312" spans="1:8" x14ac:dyDescent="0.3">
      <c r="A312">
        <v>195</v>
      </c>
      <c r="B312" t="s">
        <v>6142</v>
      </c>
      <c r="C312" s="2" t="s">
        <v>1853</v>
      </c>
      <c r="D312" t="s">
        <v>26</v>
      </c>
      <c r="E312">
        <v>307778</v>
      </c>
      <c r="F312" s="5">
        <v>25201.680672268907</v>
      </c>
      <c r="G312" s="11">
        <f t="shared" si="8"/>
        <v>4788.319327731092</v>
      </c>
      <c r="H312" s="11">
        <f t="shared" si="9"/>
        <v>29990</v>
      </c>
    </row>
    <row r="313" spans="1:8" x14ac:dyDescent="0.3">
      <c r="A313">
        <v>195</v>
      </c>
      <c r="B313" t="s">
        <v>6142</v>
      </c>
      <c r="C313" s="2" t="s">
        <v>1853</v>
      </c>
      <c r="D313" t="s">
        <v>26</v>
      </c>
      <c r="E313">
        <v>307779</v>
      </c>
      <c r="F313" s="5">
        <v>50411.764705882357</v>
      </c>
      <c r="G313" s="11">
        <f t="shared" si="8"/>
        <v>9578.2352941176487</v>
      </c>
      <c r="H313" s="11">
        <f t="shared" si="9"/>
        <v>59990.000000000007</v>
      </c>
    </row>
    <row r="314" spans="1:8" x14ac:dyDescent="0.3">
      <c r="A314">
        <v>195</v>
      </c>
      <c r="B314" t="s">
        <v>6142</v>
      </c>
      <c r="C314" s="2" t="s">
        <v>1853</v>
      </c>
      <c r="D314" t="s">
        <v>26</v>
      </c>
      <c r="E314">
        <v>307779</v>
      </c>
      <c r="F314" s="5">
        <v>0.84033613445378152</v>
      </c>
      <c r="G314" s="11">
        <f t="shared" si="8"/>
        <v>0.1596638655462185</v>
      </c>
      <c r="H314" s="11">
        <f t="shared" si="9"/>
        <v>1</v>
      </c>
    </row>
    <row r="315" spans="1:8" x14ac:dyDescent="0.3">
      <c r="A315">
        <v>195</v>
      </c>
      <c r="B315" t="s">
        <v>6142</v>
      </c>
      <c r="C315" s="2" t="s">
        <v>1853</v>
      </c>
      <c r="D315" t="s">
        <v>26</v>
      </c>
      <c r="E315">
        <v>307780</v>
      </c>
      <c r="F315" s="5">
        <v>57100.840336134454</v>
      </c>
      <c r="G315" s="11">
        <f t="shared" si="8"/>
        <v>10849.159663865546</v>
      </c>
      <c r="H315" s="11">
        <f t="shared" si="9"/>
        <v>67950</v>
      </c>
    </row>
    <row r="316" spans="1:8" x14ac:dyDescent="0.3">
      <c r="A316">
        <v>195</v>
      </c>
      <c r="B316" t="s">
        <v>6142</v>
      </c>
      <c r="C316" s="2" t="s">
        <v>1853</v>
      </c>
      <c r="D316" t="s">
        <v>26</v>
      </c>
      <c r="E316">
        <v>307780</v>
      </c>
      <c r="F316" s="5">
        <v>67184.873949579836</v>
      </c>
      <c r="G316" s="11">
        <f t="shared" si="8"/>
        <v>12765.126050420169</v>
      </c>
      <c r="H316" s="11">
        <f t="shared" si="9"/>
        <v>79950</v>
      </c>
    </row>
    <row r="317" spans="1:8" x14ac:dyDescent="0.3">
      <c r="A317">
        <v>195</v>
      </c>
      <c r="B317" t="s">
        <v>6142</v>
      </c>
      <c r="C317" s="2" t="s">
        <v>1853</v>
      </c>
      <c r="D317" t="s">
        <v>26</v>
      </c>
      <c r="E317">
        <v>307781</v>
      </c>
      <c r="F317" s="5">
        <v>83991.596638655465</v>
      </c>
      <c r="G317" s="11">
        <f t="shared" si="8"/>
        <v>15958.403361344539</v>
      </c>
      <c r="H317" s="11">
        <f t="shared" si="9"/>
        <v>99950</v>
      </c>
    </row>
    <row r="318" spans="1:8" x14ac:dyDescent="0.3">
      <c r="A318">
        <v>195</v>
      </c>
      <c r="B318" t="s">
        <v>6142</v>
      </c>
      <c r="C318" s="2" t="s">
        <v>1853</v>
      </c>
      <c r="D318" t="s">
        <v>26</v>
      </c>
      <c r="E318">
        <v>307782</v>
      </c>
      <c r="F318" s="5">
        <v>58782.352941176476</v>
      </c>
      <c r="G318" s="11">
        <f t="shared" si="8"/>
        <v>11168.64705882353</v>
      </c>
      <c r="H318" s="11">
        <f t="shared" si="9"/>
        <v>69951</v>
      </c>
    </row>
    <row r="319" spans="1:8" x14ac:dyDescent="0.3">
      <c r="A319">
        <v>195</v>
      </c>
      <c r="B319" t="s">
        <v>6142</v>
      </c>
      <c r="C319" s="2" t="s">
        <v>1853</v>
      </c>
      <c r="D319" t="s">
        <v>26</v>
      </c>
      <c r="E319">
        <v>307782</v>
      </c>
      <c r="F319" s="5">
        <v>-58781.512605042022</v>
      </c>
      <c r="G319" s="11">
        <f t="shared" si="8"/>
        <v>-11168.487394957985</v>
      </c>
      <c r="H319" s="11">
        <f t="shared" si="9"/>
        <v>-69950</v>
      </c>
    </row>
    <row r="320" spans="1:8" x14ac:dyDescent="0.3">
      <c r="A320">
        <v>195</v>
      </c>
      <c r="B320" t="s">
        <v>6142</v>
      </c>
      <c r="C320" s="2" t="s">
        <v>1853</v>
      </c>
      <c r="D320" t="s">
        <v>26</v>
      </c>
      <c r="E320">
        <v>307783</v>
      </c>
      <c r="F320" s="5">
        <v>58781.512605042022</v>
      </c>
      <c r="G320" s="11">
        <f t="shared" si="8"/>
        <v>11168.487394957985</v>
      </c>
      <c r="H320" s="11">
        <f t="shared" si="9"/>
        <v>69950</v>
      </c>
    </row>
    <row r="321" spans="1:8" x14ac:dyDescent="0.3">
      <c r="A321">
        <v>195</v>
      </c>
      <c r="B321" t="s">
        <v>6142</v>
      </c>
      <c r="C321" s="2" t="s">
        <v>1853</v>
      </c>
      <c r="D321" t="s">
        <v>26</v>
      </c>
      <c r="E321">
        <v>307784</v>
      </c>
      <c r="F321" s="5">
        <v>58781.512605042022</v>
      </c>
      <c r="G321" s="11">
        <f t="shared" si="8"/>
        <v>11168.487394957985</v>
      </c>
      <c r="H321" s="11">
        <f t="shared" si="9"/>
        <v>69950</v>
      </c>
    </row>
    <row r="322" spans="1:8" x14ac:dyDescent="0.3">
      <c r="A322">
        <v>195</v>
      </c>
      <c r="B322" t="s">
        <v>6142</v>
      </c>
      <c r="C322" s="2" t="s">
        <v>1853</v>
      </c>
      <c r="D322" t="s">
        <v>26</v>
      </c>
      <c r="E322">
        <v>307784</v>
      </c>
      <c r="F322" s="5">
        <v>58781.512605042022</v>
      </c>
      <c r="G322" s="11">
        <f t="shared" si="8"/>
        <v>11168.487394957985</v>
      </c>
      <c r="H322" s="11">
        <f t="shared" si="9"/>
        <v>69950</v>
      </c>
    </row>
    <row r="323" spans="1:8" x14ac:dyDescent="0.3">
      <c r="A323">
        <v>195</v>
      </c>
      <c r="B323" t="s">
        <v>6142</v>
      </c>
      <c r="C323" s="2" t="s">
        <v>1910</v>
      </c>
      <c r="D323" t="s">
        <v>26</v>
      </c>
      <c r="E323">
        <v>307785</v>
      </c>
      <c r="F323" s="5">
        <v>62983.193277310929</v>
      </c>
      <c r="G323" s="11">
        <f t="shared" ref="G323:G386" si="10">F323*19%</f>
        <v>11966.806722689076</v>
      </c>
      <c r="H323" s="11">
        <f t="shared" ref="H323:H386" si="11">+G323+F323</f>
        <v>74950</v>
      </c>
    </row>
    <row r="324" spans="1:8" x14ac:dyDescent="0.3">
      <c r="A324">
        <v>195</v>
      </c>
      <c r="B324" t="s">
        <v>6142</v>
      </c>
      <c r="C324" s="2" t="s">
        <v>1910</v>
      </c>
      <c r="D324" t="s">
        <v>26</v>
      </c>
      <c r="E324">
        <v>307786</v>
      </c>
      <c r="F324" s="5">
        <v>58781.512605042022</v>
      </c>
      <c r="G324" s="11">
        <f t="shared" si="10"/>
        <v>11168.487394957985</v>
      </c>
      <c r="H324" s="11">
        <f t="shared" si="11"/>
        <v>69950</v>
      </c>
    </row>
    <row r="325" spans="1:8" x14ac:dyDescent="0.3">
      <c r="A325">
        <v>195</v>
      </c>
      <c r="B325" t="s">
        <v>6142</v>
      </c>
      <c r="C325" s="2" t="s">
        <v>1910</v>
      </c>
      <c r="D325" t="s">
        <v>26</v>
      </c>
      <c r="E325">
        <v>307787</v>
      </c>
      <c r="F325" s="5">
        <v>33605.042016806721</v>
      </c>
      <c r="G325" s="11">
        <f t="shared" si="10"/>
        <v>6384.957983193277</v>
      </c>
      <c r="H325" s="11">
        <f t="shared" si="11"/>
        <v>39990</v>
      </c>
    </row>
    <row r="326" spans="1:8" x14ac:dyDescent="0.3">
      <c r="A326">
        <v>195</v>
      </c>
      <c r="B326" t="s">
        <v>6142</v>
      </c>
      <c r="C326" s="2" t="s">
        <v>1910</v>
      </c>
      <c r="D326" t="s">
        <v>26</v>
      </c>
      <c r="E326">
        <v>307788</v>
      </c>
      <c r="F326" s="5">
        <v>58781.512605042022</v>
      </c>
      <c r="G326" s="11">
        <f t="shared" si="10"/>
        <v>11168.487394957985</v>
      </c>
      <c r="H326" s="11">
        <f t="shared" si="11"/>
        <v>69950</v>
      </c>
    </row>
    <row r="327" spans="1:8" x14ac:dyDescent="0.3">
      <c r="A327">
        <v>195</v>
      </c>
      <c r="B327" t="s">
        <v>6142</v>
      </c>
      <c r="C327" s="2" t="s">
        <v>1910</v>
      </c>
      <c r="D327" t="s">
        <v>26</v>
      </c>
      <c r="E327">
        <v>307789</v>
      </c>
      <c r="F327" s="5">
        <v>58815.126050420171</v>
      </c>
      <c r="G327" s="11">
        <f t="shared" si="10"/>
        <v>11174.873949579833</v>
      </c>
      <c r="H327" s="11">
        <f t="shared" si="11"/>
        <v>69990</v>
      </c>
    </row>
    <row r="328" spans="1:8" x14ac:dyDescent="0.3">
      <c r="A328">
        <v>195</v>
      </c>
      <c r="B328" t="s">
        <v>6142</v>
      </c>
      <c r="C328" s="2" t="s">
        <v>1910</v>
      </c>
      <c r="D328" t="s">
        <v>26</v>
      </c>
      <c r="E328">
        <v>307790</v>
      </c>
      <c r="F328" s="5">
        <v>67184.873949579836</v>
      </c>
      <c r="G328" s="11">
        <f t="shared" si="10"/>
        <v>12765.126050420169</v>
      </c>
      <c r="H328" s="11">
        <f t="shared" si="11"/>
        <v>79950</v>
      </c>
    </row>
    <row r="329" spans="1:8" x14ac:dyDescent="0.3">
      <c r="A329">
        <v>195</v>
      </c>
      <c r="B329" t="s">
        <v>6142</v>
      </c>
      <c r="C329" s="2" t="s">
        <v>1910</v>
      </c>
      <c r="D329" t="s">
        <v>26</v>
      </c>
      <c r="E329">
        <v>307790</v>
      </c>
      <c r="F329" s="5">
        <v>78529.411764705888</v>
      </c>
      <c r="G329" s="11">
        <f t="shared" si="10"/>
        <v>14920.588235294119</v>
      </c>
      <c r="H329" s="11">
        <f t="shared" si="11"/>
        <v>93450</v>
      </c>
    </row>
    <row r="330" spans="1:8" x14ac:dyDescent="0.3">
      <c r="A330">
        <v>195</v>
      </c>
      <c r="B330" t="s">
        <v>6142</v>
      </c>
      <c r="C330" s="2" t="s">
        <v>1910</v>
      </c>
      <c r="D330" t="s">
        <v>26</v>
      </c>
      <c r="E330">
        <v>307791</v>
      </c>
      <c r="F330" s="5">
        <v>50378.151260504201</v>
      </c>
      <c r="G330" s="11">
        <f t="shared" si="10"/>
        <v>9571.8487394957974</v>
      </c>
      <c r="H330" s="11">
        <f t="shared" si="11"/>
        <v>59950</v>
      </c>
    </row>
    <row r="331" spans="1:8" x14ac:dyDescent="0.3">
      <c r="A331">
        <v>195</v>
      </c>
      <c r="B331" t="s">
        <v>6142</v>
      </c>
      <c r="C331" s="2" t="s">
        <v>1910</v>
      </c>
      <c r="D331" t="s">
        <v>26</v>
      </c>
      <c r="E331">
        <v>307792</v>
      </c>
      <c r="F331" s="5">
        <v>5000</v>
      </c>
      <c r="G331" s="11">
        <f t="shared" si="10"/>
        <v>950</v>
      </c>
      <c r="H331" s="11">
        <f t="shared" si="11"/>
        <v>5950</v>
      </c>
    </row>
    <row r="332" spans="1:8" x14ac:dyDescent="0.3">
      <c r="A332">
        <v>195</v>
      </c>
      <c r="B332" t="s">
        <v>6142</v>
      </c>
      <c r="C332" s="2" t="s">
        <v>1910</v>
      </c>
      <c r="D332" t="s">
        <v>26</v>
      </c>
      <c r="E332">
        <v>307793</v>
      </c>
      <c r="F332" s="5">
        <v>75588.23529411765</v>
      </c>
      <c r="G332" s="11">
        <f t="shared" si="10"/>
        <v>14361.764705882353</v>
      </c>
      <c r="H332" s="11">
        <f t="shared" si="11"/>
        <v>89950</v>
      </c>
    </row>
    <row r="333" spans="1:8" x14ac:dyDescent="0.3">
      <c r="A333">
        <v>195</v>
      </c>
      <c r="B333" t="s">
        <v>6142</v>
      </c>
      <c r="C333" s="2" t="s">
        <v>3310</v>
      </c>
      <c r="D333" t="s">
        <v>26</v>
      </c>
      <c r="E333">
        <v>307794</v>
      </c>
      <c r="F333" s="5">
        <v>49957.983193277316</v>
      </c>
      <c r="G333" s="11">
        <f t="shared" si="10"/>
        <v>9492.0168067226896</v>
      </c>
      <c r="H333" s="11">
        <f t="shared" si="11"/>
        <v>59450.000000000007</v>
      </c>
    </row>
    <row r="334" spans="1:8" x14ac:dyDescent="0.3">
      <c r="A334">
        <v>195</v>
      </c>
      <c r="B334" t="s">
        <v>6142</v>
      </c>
      <c r="C334" s="2" t="s">
        <v>3310</v>
      </c>
      <c r="D334" t="s">
        <v>26</v>
      </c>
      <c r="E334">
        <v>307794</v>
      </c>
      <c r="F334" s="5">
        <v>54579.831932773115</v>
      </c>
      <c r="G334" s="11">
        <f t="shared" si="10"/>
        <v>10370.168067226892</v>
      </c>
      <c r="H334" s="11">
        <f t="shared" si="11"/>
        <v>64950.000000000007</v>
      </c>
    </row>
    <row r="335" spans="1:8" x14ac:dyDescent="0.3">
      <c r="A335">
        <v>195</v>
      </c>
      <c r="B335" t="s">
        <v>6142</v>
      </c>
      <c r="C335" s="2" t="s">
        <v>3310</v>
      </c>
      <c r="D335" t="s">
        <v>26</v>
      </c>
      <c r="E335">
        <v>307795</v>
      </c>
      <c r="F335" s="5">
        <v>50378.151260504201</v>
      </c>
      <c r="G335" s="11">
        <f t="shared" si="10"/>
        <v>9571.8487394957974</v>
      </c>
      <c r="H335" s="11">
        <f t="shared" si="11"/>
        <v>59950</v>
      </c>
    </row>
    <row r="336" spans="1:8" x14ac:dyDescent="0.3">
      <c r="A336">
        <v>195</v>
      </c>
      <c r="B336" t="s">
        <v>6142</v>
      </c>
      <c r="C336" s="2" t="s">
        <v>3310</v>
      </c>
      <c r="D336" t="s">
        <v>26</v>
      </c>
      <c r="E336">
        <v>307796</v>
      </c>
      <c r="F336" s="5">
        <v>75588.23529411765</v>
      </c>
      <c r="G336" s="11">
        <f t="shared" si="10"/>
        <v>14361.764705882353</v>
      </c>
      <c r="H336" s="11">
        <f t="shared" si="11"/>
        <v>89950</v>
      </c>
    </row>
    <row r="337" spans="1:8" x14ac:dyDescent="0.3">
      <c r="A337">
        <v>195</v>
      </c>
      <c r="B337" t="s">
        <v>6142</v>
      </c>
      <c r="C337" s="2" t="s">
        <v>3310</v>
      </c>
      <c r="D337" t="s">
        <v>26</v>
      </c>
      <c r="E337">
        <v>307797</v>
      </c>
      <c r="F337" s="5">
        <v>3739.4957983193281</v>
      </c>
      <c r="G337" s="11">
        <f t="shared" si="10"/>
        <v>710.5042016806724</v>
      </c>
      <c r="H337" s="11">
        <f t="shared" si="11"/>
        <v>4450</v>
      </c>
    </row>
    <row r="338" spans="1:8" x14ac:dyDescent="0.3">
      <c r="A338">
        <v>195</v>
      </c>
      <c r="B338" t="s">
        <v>6142</v>
      </c>
      <c r="C338" s="2" t="s">
        <v>3310</v>
      </c>
      <c r="D338" t="s">
        <v>26</v>
      </c>
      <c r="E338">
        <v>307798</v>
      </c>
      <c r="F338" s="5">
        <v>46210.08403361345</v>
      </c>
      <c r="G338" s="11">
        <f t="shared" si="10"/>
        <v>8779.9159663865557</v>
      </c>
      <c r="H338" s="11">
        <f t="shared" si="11"/>
        <v>54990.000000000007</v>
      </c>
    </row>
    <row r="339" spans="1:8" x14ac:dyDescent="0.3">
      <c r="A339">
        <v>195</v>
      </c>
      <c r="B339" t="s">
        <v>6142</v>
      </c>
      <c r="C339" s="2" t="s">
        <v>3310</v>
      </c>
      <c r="D339" t="s">
        <v>26</v>
      </c>
      <c r="E339">
        <v>307799</v>
      </c>
      <c r="F339" s="5">
        <v>54579.831932773115</v>
      </c>
      <c r="G339" s="11">
        <f t="shared" si="10"/>
        <v>10370.168067226892</v>
      </c>
      <c r="H339" s="11">
        <f t="shared" si="11"/>
        <v>64950.000000000007</v>
      </c>
    </row>
    <row r="340" spans="1:8" x14ac:dyDescent="0.3">
      <c r="A340">
        <v>195</v>
      </c>
      <c r="B340" t="s">
        <v>6142</v>
      </c>
      <c r="C340" s="2" t="s">
        <v>3310</v>
      </c>
      <c r="D340" t="s">
        <v>26</v>
      </c>
      <c r="E340">
        <v>307800</v>
      </c>
      <c r="F340" s="5">
        <v>-42008.403361344543</v>
      </c>
      <c r="G340" s="11">
        <f t="shared" si="10"/>
        <v>-7981.5966386554628</v>
      </c>
      <c r="H340" s="11">
        <f t="shared" si="11"/>
        <v>-49990.000000000007</v>
      </c>
    </row>
    <row r="341" spans="1:8" x14ac:dyDescent="0.3">
      <c r="A341">
        <v>195</v>
      </c>
      <c r="B341" t="s">
        <v>6142</v>
      </c>
      <c r="C341" s="2" t="s">
        <v>3310</v>
      </c>
      <c r="D341" t="s">
        <v>26</v>
      </c>
      <c r="E341">
        <v>307800</v>
      </c>
      <c r="F341" s="5">
        <v>42009.243697478996</v>
      </c>
      <c r="G341" s="11">
        <f t="shared" si="10"/>
        <v>7981.7563025210093</v>
      </c>
      <c r="H341" s="11">
        <f t="shared" si="11"/>
        <v>49991.000000000007</v>
      </c>
    </row>
    <row r="342" spans="1:8" x14ac:dyDescent="0.3">
      <c r="A342">
        <v>195</v>
      </c>
      <c r="B342" t="s">
        <v>6142</v>
      </c>
      <c r="C342" s="2" t="s">
        <v>3310</v>
      </c>
      <c r="D342" t="s">
        <v>26</v>
      </c>
      <c r="E342">
        <v>307801</v>
      </c>
      <c r="F342" s="5">
        <v>50411.764705882357</v>
      </c>
      <c r="G342" s="11">
        <f t="shared" si="10"/>
        <v>9578.2352941176487</v>
      </c>
      <c r="H342" s="11">
        <f t="shared" si="11"/>
        <v>59990.000000000007</v>
      </c>
    </row>
    <row r="343" spans="1:8" x14ac:dyDescent="0.3">
      <c r="A343">
        <v>195</v>
      </c>
      <c r="B343" t="s">
        <v>6142</v>
      </c>
      <c r="C343" s="2" t="s">
        <v>3310</v>
      </c>
      <c r="D343" t="s">
        <v>26</v>
      </c>
      <c r="E343">
        <v>307802</v>
      </c>
      <c r="F343" s="5">
        <v>50378.151260504201</v>
      </c>
      <c r="G343" s="11">
        <f t="shared" si="10"/>
        <v>9571.8487394957974</v>
      </c>
      <c r="H343" s="11">
        <f t="shared" si="11"/>
        <v>59950</v>
      </c>
    </row>
    <row r="344" spans="1:8" x14ac:dyDescent="0.3">
      <c r="A344">
        <v>195</v>
      </c>
      <c r="B344" t="s">
        <v>6142</v>
      </c>
      <c r="C344" s="2" t="s">
        <v>3310</v>
      </c>
      <c r="D344" t="s">
        <v>26</v>
      </c>
      <c r="E344">
        <v>307803</v>
      </c>
      <c r="F344" s="5">
        <v>42008.403361344543</v>
      </c>
      <c r="G344" s="11">
        <f t="shared" si="10"/>
        <v>7981.5966386554628</v>
      </c>
      <c r="H344" s="11">
        <f t="shared" si="11"/>
        <v>49990.000000000007</v>
      </c>
    </row>
    <row r="345" spans="1:8" x14ac:dyDescent="0.3">
      <c r="A345">
        <v>195</v>
      </c>
      <c r="B345" t="s">
        <v>6142</v>
      </c>
      <c r="C345" s="2" t="s">
        <v>3310</v>
      </c>
      <c r="D345" t="s">
        <v>26</v>
      </c>
      <c r="E345">
        <v>307803</v>
      </c>
      <c r="F345" s="5">
        <v>42008.403361344543</v>
      </c>
      <c r="G345" s="11">
        <f t="shared" si="10"/>
        <v>7981.5966386554628</v>
      </c>
      <c r="H345" s="11">
        <f t="shared" si="11"/>
        <v>49990.000000000007</v>
      </c>
    </row>
    <row r="346" spans="1:8" x14ac:dyDescent="0.3">
      <c r="A346">
        <v>195</v>
      </c>
      <c r="B346" t="s">
        <v>6142</v>
      </c>
      <c r="C346" s="2" t="s">
        <v>3310</v>
      </c>
      <c r="D346" t="s">
        <v>26</v>
      </c>
      <c r="E346">
        <v>307804</v>
      </c>
      <c r="F346" s="5">
        <v>33605.042016806721</v>
      </c>
      <c r="G346" s="11">
        <f t="shared" si="10"/>
        <v>6384.957983193277</v>
      </c>
      <c r="H346" s="11">
        <f t="shared" si="11"/>
        <v>39990</v>
      </c>
    </row>
    <row r="347" spans="1:8" x14ac:dyDescent="0.3">
      <c r="A347">
        <v>195</v>
      </c>
      <c r="B347" t="s">
        <v>6142</v>
      </c>
      <c r="C347" s="2" t="s">
        <v>3310</v>
      </c>
      <c r="D347" t="s">
        <v>26</v>
      </c>
      <c r="E347">
        <v>307805</v>
      </c>
      <c r="F347" s="5">
        <v>50378.151260504201</v>
      </c>
      <c r="G347" s="11">
        <f t="shared" si="10"/>
        <v>9571.8487394957974</v>
      </c>
      <c r="H347" s="11">
        <f t="shared" si="11"/>
        <v>59950</v>
      </c>
    </row>
    <row r="348" spans="1:8" x14ac:dyDescent="0.3">
      <c r="A348">
        <v>195</v>
      </c>
      <c r="B348" t="s">
        <v>6142</v>
      </c>
      <c r="C348" s="2" t="s">
        <v>3310</v>
      </c>
      <c r="D348" t="s">
        <v>26</v>
      </c>
      <c r="E348">
        <v>307806</v>
      </c>
      <c r="F348" s="5">
        <v>71386.554621848743</v>
      </c>
      <c r="G348" s="11">
        <f t="shared" si="10"/>
        <v>13563.445378151262</v>
      </c>
      <c r="H348" s="11">
        <f t="shared" si="11"/>
        <v>84950</v>
      </c>
    </row>
    <row r="349" spans="1:8" x14ac:dyDescent="0.3">
      <c r="A349">
        <v>195</v>
      </c>
      <c r="B349" t="s">
        <v>6142</v>
      </c>
      <c r="C349" s="2" t="s">
        <v>3310</v>
      </c>
      <c r="D349" t="s">
        <v>26</v>
      </c>
      <c r="E349">
        <v>307807</v>
      </c>
      <c r="F349" s="5">
        <v>67184.873949579836</v>
      </c>
      <c r="G349" s="11">
        <f t="shared" si="10"/>
        <v>12765.126050420169</v>
      </c>
      <c r="H349" s="11">
        <f t="shared" si="11"/>
        <v>79950</v>
      </c>
    </row>
    <row r="350" spans="1:8" x14ac:dyDescent="0.3">
      <c r="A350">
        <v>195</v>
      </c>
      <c r="B350" t="s">
        <v>6142</v>
      </c>
      <c r="C350" s="2" t="s">
        <v>3310</v>
      </c>
      <c r="D350" t="s">
        <v>26</v>
      </c>
      <c r="E350">
        <v>307808</v>
      </c>
      <c r="F350" s="5">
        <v>62983.193277310929</v>
      </c>
      <c r="G350" s="11">
        <f t="shared" si="10"/>
        <v>11966.806722689076</v>
      </c>
      <c r="H350" s="11">
        <f t="shared" si="11"/>
        <v>74950</v>
      </c>
    </row>
    <row r="351" spans="1:8" x14ac:dyDescent="0.3">
      <c r="A351">
        <v>195</v>
      </c>
      <c r="B351" t="s">
        <v>6142</v>
      </c>
      <c r="C351" s="2" t="s">
        <v>3310</v>
      </c>
      <c r="D351" t="s">
        <v>26</v>
      </c>
      <c r="E351">
        <v>307809</v>
      </c>
      <c r="F351" s="5">
        <v>58781.512605042022</v>
      </c>
      <c r="G351" s="11">
        <f t="shared" si="10"/>
        <v>11168.487394957985</v>
      </c>
      <c r="H351" s="11">
        <f t="shared" si="11"/>
        <v>69950</v>
      </c>
    </row>
    <row r="352" spans="1:8" x14ac:dyDescent="0.3">
      <c r="A352">
        <v>195</v>
      </c>
      <c r="B352" t="s">
        <v>6142</v>
      </c>
      <c r="C352" s="2" t="s">
        <v>3310</v>
      </c>
      <c r="D352" t="s">
        <v>26</v>
      </c>
      <c r="E352">
        <v>307810</v>
      </c>
      <c r="F352" s="5">
        <v>67184.873949579836</v>
      </c>
      <c r="G352" s="11">
        <f t="shared" si="10"/>
        <v>12765.126050420169</v>
      </c>
      <c r="H352" s="11">
        <f t="shared" si="11"/>
        <v>79950</v>
      </c>
    </row>
    <row r="353" spans="1:8" x14ac:dyDescent="0.3">
      <c r="A353">
        <v>195</v>
      </c>
      <c r="B353" t="s">
        <v>6142</v>
      </c>
      <c r="C353" s="2" t="s">
        <v>3310</v>
      </c>
      <c r="D353" t="s">
        <v>26</v>
      </c>
      <c r="E353">
        <v>307811</v>
      </c>
      <c r="F353" s="5">
        <v>50411.764705882357</v>
      </c>
      <c r="G353" s="11">
        <f t="shared" si="10"/>
        <v>9578.2352941176487</v>
      </c>
      <c r="H353" s="11">
        <f t="shared" si="11"/>
        <v>59990.000000000007</v>
      </c>
    </row>
    <row r="354" spans="1:8" x14ac:dyDescent="0.3">
      <c r="A354">
        <v>195</v>
      </c>
      <c r="B354" t="s">
        <v>6142</v>
      </c>
      <c r="C354" s="2" t="s">
        <v>3310</v>
      </c>
      <c r="D354" t="s">
        <v>26</v>
      </c>
      <c r="E354">
        <v>307811</v>
      </c>
      <c r="F354" s="5">
        <v>1672.2689075630253</v>
      </c>
      <c r="G354" s="11">
        <f t="shared" si="10"/>
        <v>317.73109243697479</v>
      </c>
      <c r="H354" s="11">
        <f t="shared" si="11"/>
        <v>1990</v>
      </c>
    </row>
    <row r="355" spans="1:8" x14ac:dyDescent="0.3">
      <c r="A355">
        <v>195</v>
      </c>
      <c r="B355" t="s">
        <v>6142</v>
      </c>
      <c r="C355" s="2" t="s">
        <v>3310</v>
      </c>
      <c r="D355" t="s">
        <v>26</v>
      </c>
      <c r="E355">
        <v>307812</v>
      </c>
      <c r="F355" s="5">
        <v>46386.554621848743</v>
      </c>
      <c r="G355" s="11">
        <f t="shared" si="10"/>
        <v>8813.445378151262</v>
      </c>
      <c r="H355" s="11">
        <f t="shared" si="11"/>
        <v>55200.000000000007</v>
      </c>
    </row>
    <row r="356" spans="1:8" x14ac:dyDescent="0.3">
      <c r="A356">
        <v>195</v>
      </c>
      <c r="B356" t="s">
        <v>6142</v>
      </c>
      <c r="C356" s="2" t="s">
        <v>3310</v>
      </c>
      <c r="D356" t="s">
        <v>26</v>
      </c>
      <c r="E356">
        <v>307812</v>
      </c>
      <c r="F356" s="5">
        <v>67218.487394957992</v>
      </c>
      <c r="G356" s="11">
        <f t="shared" si="10"/>
        <v>12771.512605042019</v>
      </c>
      <c r="H356" s="11">
        <f t="shared" si="11"/>
        <v>79990.000000000015</v>
      </c>
    </row>
    <row r="357" spans="1:8" x14ac:dyDescent="0.3">
      <c r="A357">
        <v>195</v>
      </c>
      <c r="B357" t="s">
        <v>6142</v>
      </c>
      <c r="C357" s="2" t="s">
        <v>3366</v>
      </c>
      <c r="D357" t="s">
        <v>2249</v>
      </c>
      <c r="E357">
        <v>25458</v>
      </c>
      <c r="F357" s="5">
        <v>-62983.193277310929</v>
      </c>
      <c r="G357" s="11">
        <f t="shared" si="10"/>
        <v>-11966.806722689076</v>
      </c>
      <c r="H357" s="11">
        <f t="shared" si="11"/>
        <v>-74950</v>
      </c>
    </row>
    <row r="358" spans="1:8" x14ac:dyDescent="0.3">
      <c r="A358">
        <v>195</v>
      </c>
      <c r="B358" t="s">
        <v>6142</v>
      </c>
      <c r="C358" s="2" t="s">
        <v>3366</v>
      </c>
      <c r="D358" t="s">
        <v>26</v>
      </c>
      <c r="E358">
        <v>307813</v>
      </c>
      <c r="F358" s="5">
        <v>50378.151260504201</v>
      </c>
      <c r="G358" s="11">
        <f t="shared" si="10"/>
        <v>9571.8487394957974</v>
      </c>
      <c r="H358" s="11">
        <f t="shared" si="11"/>
        <v>59950</v>
      </c>
    </row>
    <row r="359" spans="1:8" x14ac:dyDescent="0.3">
      <c r="A359">
        <v>195</v>
      </c>
      <c r="B359" t="s">
        <v>6142</v>
      </c>
      <c r="C359" s="2" t="s">
        <v>3366</v>
      </c>
      <c r="D359" t="s">
        <v>26</v>
      </c>
      <c r="E359">
        <v>307813</v>
      </c>
      <c r="F359" s="5">
        <v>4661.3445378151264</v>
      </c>
      <c r="G359" s="11">
        <f t="shared" si="10"/>
        <v>885.65546218487407</v>
      </c>
      <c r="H359" s="11">
        <f t="shared" si="11"/>
        <v>5547</v>
      </c>
    </row>
    <row r="360" spans="1:8" x14ac:dyDescent="0.3">
      <c r="A360">
        <v>195</v>
      </c>
      <c r="B360" t="s">
        <v>6142</v>
      </c>
      <c r="C360" s="2" t="s">
        <v>3366</v>
      </c>
      <c r="D360" t="s">
        <v>26</v>
      </c>
      <c r="E360">
        <v>307814</v>
      </c>
      <c r="F360" s="5">
        <v>78529.411764705888</v>
      </c>
      <c r="G360" s="11">
        <f t="shared" si="10"/>
        <v>14920.588235294119</v>
      </c>
      <c r="H360" s="11">
        <f t="shared" si="11"/>
        <v>93450</v>
      </c>
    </row>
    <row r="361" spans="1:8" x14ac:dyDescent="0.3">
      <c r="A361">
        <v>195</v>
      </c>
      <c r="B361" t="s">
        <v>6142</v>
      </c>
      <c r="C361" s="2" t="s">
        <v>3366</v>
      </c>
      <c r="D361" t="s">
        <v>26</v>
      </c>
      <c r="E361">
        <v>307814</v>
      </c>
      <c r="F361" s="5">
        <v>67218.487394957992</v>
      </c>
      <c r="G361" s="11">
        <f t="shared" si="10"/>
        <v>12771.512605042019</v>
      </c>
      <c r="H361" s="11">
        <f t="shared" si="11"/>
        <v>79990.000000000015</v>
      </c>
    </row>
    <row r="362" spans="1:8" x14ac:dyDescent="0.3">
      <c r="A362">
        <v>195</v>
      </c>
      <c r="B362" t="s">
        <v>6142</v>
      </c>
      <c r="C362" s="2" t="s">
        <v>3366</v>
      </c>
      <c r="D362" t="s">
        <v>26</v>
      </c>
      <c r="E362">
        <v>307815</v>
      </c>
      <c r="F362" s="5">
        <v>50378.151260504201</v>
      </c>
      <c r="G362" s="11">
        <f t="shared" si="10"/>
        <v>9571.8487394957974</v>
      </c>
      <c r="H362" s="11">
        <f t="shared" si="11"/>
        <v>59950</v>
      </c>
    </row>
    <row r="363" spans="1:8" x14ac:dyDescent="0.3">
      <c r="A363">
        <v>195</v>
      </c>
      <c r="B363" t="s">
        <v>6142</v>
      </c>
      <c r="C363" s="2" t="s">
        <v>3366</v>
      </c>
      <c r="D363" t="s">
        <v>26</v>
      </c>
      <c r="E363">
        <v>307816</v>
      </c>
      <c r="F363" s="5">
        <v>33605.042016806721</v>
      </c>
      <c r="G363" s="11">
        <f t="shared" si="10"/>
        <v>6384.957983193277</v>
      </c>
      <c r="H363" s="11">
        <f t="shared" si="11"/>
        <v>39990</v>
      </c>
    </row>
    <row r="364" spans="1:8" x14ac:dyDescent="0.3">
      <c r="A364">
        <v>195</v>
      </c>
      <c r="B364" t="s">
        <v>6142</v>
      </c>
      <c r="C364" s="2" t="s">
        <v>3366</v>
      </c>
      <c r="D364" t="s">
        <v>26</v>
      </c>
      <c r="E364">
        <v>307816</v>
      </c>
      <c r="F364" s="5">
        <v>58781.512605042022</v>
      </c>
      <c r="G364" s="11">
        <f t="shared" si="10"/>
        <v>11168.487394957985</v>
      </c>
      <c r="H364" s="11">
        <f t="shared" si="11"/>
        <v>69950</v>
      </c>
    </row>
    <row r="365" spans="1:8" x14ac:dyDescent="0.3">
      <c r="A365">
        <v>195</v>
      </c>
      <c r="B365" t="s">
        <v>6142</v>
      </c>
      <c r="C365" s="2" t="s">
        <v>3366</v>
      </c>
      <c r="D365" t="s">
        <v>26</v>
      </c>
      <c r="E365">
        <v>307817</v>
      </c>
      <c r="F365" s="5">
        <v>67184.873949579836</v>
      </c>
      <c r="G365" s="11">
        <f t="shared" si="10"/>
        <v>12765.126050420169</v>
      </c>
      <c r="H365" s="11">
        <f t="shared" si="11"/>
        <v>79950</v>
      </c>
    </row>
    <row r="366" spans="1:8" x14ac:dyDescent="0.3">
      <c r="A366">
        <v>195</v>
      </c>
      <c r="B366" t="s">
        <v>6142</v>
      </c>
      <c r="C366" s="2" t="s">
        <v>3366</v>
      </c>
      <c r="D366" t="s">
        <v>26</v>
      </c>
      <c r="E366">
        <v>307818</v>
      </c>
      <c r="F366" s="5">
        <v>42008.403361344543</v>
      </c>
      <c r="G366" s="11">
        <f t="shared" si="10"/>
        <v>7981.5966386554628</v>
      </c>
      <c r="H366" s="11">
        <f t="shared" si="11"/>
        <v>49990.000000000007</v>
      </c>
    </row>
    <row r="367" spans="1:8" x14ac:dyDescent="0.3">
      <c r="A367">
        <v>195</v>
      </c>
      <c r="B367" t="s">
        <v>6142</v>
      </c>
      <c r="C367" s="2" t="s">
        <v>3366</v>
      </c>
      <c r="D367" t="s">
        <v>26</v>
      </c>
      <c r="E367">
        <v>307819</v>
      </c>
      <c r="F367" s="5">
        <v>58815.126050420171</v>
      </c>
      <c r="G367" s="11">
        <f t="shared" si="10"/>
        <v>11174.873949579833</v>
      </c>
      <c r="H367" s="11">
        <f t="shared" si="11"/>
        <v>69990</v>
      </c>
    </row>
    <row r="368" spans="1:8" x14ac:dyDescent="0.3">
      <c r="A368">
        <v>195</v>
      </c>
      <c r="B368" t="s">
        <v>6142</v>
      </c>
      <c r="C368" s="2" t="s">
        <v>3366</v>
      </c>
      <c r="D368" t="s">
        <v>26</v>
      </c>
      <c r="E368">
        <v>307819</v>
      </c>
      <c r="F368" s="5">
        <v>67218.487394957992</v>
      </c>
      <c r="G368" s="11">
        <f t="shared" si="10"/>
        <v>12771.512605042019</v>
      </c>
      <c r="H368" s="11">
        <f t="shared" si="11"/>
        <v>79990.000000000015</v>
      </c>
    </row>
    <row r="369" spans="1:8" x14ac:dyDescent="0.3">
      <c r="A369">
        <v>195</v>
      </c>
      <c r="B369" t="s">
        <v>6142</v>
      </c>
      <c r="C369" s="2" t="s">
        <v>3366</v>
      </c>
      <c r="D369" t="s">
        <v>26</v>
      </c>
      <c r="E369">
        <v>307820</v>
      </c>
      <c r="F369" s="5">
        <v>62983.193277310929</v>
      </c>
      <c r="G369" s="11">
        <f t="shared" si="10"/>
        <v>11966.806722689076</v>
      </c>
      <c r="H369" s="11">
        <f t="shared" si="11"/>
        <v>74950</v>
      </c>
    </row>
    <row r="370" spans="1:8" x14ac:dyDescent="0.3">
      <c r="A370">
        <v>195</v>
      </c>
      <c r="B370" t="s">
        <v>6142</v>
      </c>
      <c r="C370" s="2" t="s">
        <v>3366</v>
      </c>
      <c r="D370" t="s">
        <v>26</v>
      </c>
      <c r="E370">
        <v>307821</v>
      </c>
      <c r="F370" s="5">
        <v>58815.126050420171</v>
      </c>
      <c r="G370" s="11">
        <f t="shared" si="10"/>
        <v>11174.873949579833</v>
      </c>
      <c r="H370" s="11">
        <f t="shared" si="11"/>
        <v>69990</v>
      </c>
    </row>
    <row r="371" spans="1:8" x14ac:dyDescent="0.3">
      <c r="A371">
        <v>195</v>
      </c>
      <c r="B371" t="s">
        <v>6142</v>
      </c>
      <c r="C371" s="2" t="s">
        <v>3366</v>
      </c>
      <c r="D371" t="s">
        <v>26</v>
      </c>
      <c r="E371">
        <v>307821</v>
      </c>
      <c r="F371" s="5">
        <v>57100.840336134454</v>
      </c>
      <c r="G371" s="11">
        <f t="shared" si="10"/>
        <v>10849.159663865546</v>
      </c>
      <c r="H371" s="11">
        <f t="shared" si="11"/>
        <v>67950</v>
      </c>
    </row>
    <row r="372" spans="1:8" x14ac:dyDescent="0.3">
      <c r="A372">
        <v>195</v>
      </c>
      <c r="B372" t="s">
        <v>6142</v>
      </c>
      <c r="C372" s="2" t="s">
        <v>1958</v>
      </c>
      <c r="D372" t="s">
        <v>26</v>
      </c>
      <c r="E372">
        <v>307822</v>
      </c>
      <c r="F372" s="5">
        <v>29403.361344537818</v>
      </c>
      <c r="G372" s="11">
        <f t="shared" si="10"/>
        <v>5586.6386554621859</v>
      </c>
      <c r="H372" s="11">
        <f t="shared" si="11"/>
        <v>34990</v>
      </c>
    </row>
    <row r="373" spans="1:8" x14ac:dyDescent="0.3">
      <c r="A373">
        <v>195</v>
      </c>
      <c r="B373" t="s">
        <v>6142</v>
      </c>
      <c r="C373" s="2" t="s">
        <v>1958</v>
      </c>
      <c r="D373" t="s">
        <v>26</v>
      </c>
      <c r="E373">
        <v>307823</v>
      </c>
      <c r="F373" s="5">
        <v>67184.873949579836</v>
      </c>
      <c r="G373" s="11">
        <f t="shared" si="10"/>
        <v>12765.126050420169</v>
      </c>
      <c r="H373" s="11">
        <f t="shared" si="11"/>
        <v>79950</v>
      </c>
    </row>
    <row r="374" spans="1:8" x14ac:dyDescent="0.3">
      <c r="A374">
        <v>195</v>
      </c>
      <c r="B374" t="s">
        <v>6142</v>
      </c>
      <c r="C374" s="2" t="s">
        <v>1958</v>
      </c>
      <c r="D374" t="s">
        <v>26</v>
      </c>
      <c r="E374">
        <v>307824</v>
      </c>
      <c r="F374" s="5">
        <v>58781.512605042022</v>
      </c>
      <c r="G374" s="11">
        <f t="shared" si="10"/>
        <v>11168.487394957985</v>
      </c>
      <c r="H374" s="11">
        <f t="shared" si="11"/>
        <v>69950</v>
      </c>
    </row>
    <row r="375" spans="1:8" x14ac:dyDescent="0.3">
      <c r="A375">
        <v>195</v>
      </c>
      <c r="B375" t="s">
        <v>6142</v>
      </c>
      <c r="C375" s="2" t="s">
        <v>1958</v>
      </c>
      <c r="D375" t="s">
        <v>26</v>
      </c>
      <c r="E375">
        <v>307825</v>
      </c>
      <c r="F375" s="5">
        <v>58781.512605042022</v>
      </c>
      <c r="G375" s="11">
        <f t="shared" si="10"/>
        <v>11168.487394957985</v>
      </c>
      <c r="H375" s="11">
        <f t="shared" si="11"/>
        <v>69950</v>
      </c>
    </row>
    <row r="376" spans="1:8" x14ac:dyDescent="0.3">
      <c r="A376">
        <v>195</v>
      </c>
      <c r="B376" t="s">
        <v>6142</v>
      </c>
      <c r="C376" s="2" t="s">
        <v>1958</v>
      </c>
      <c r="D376" t="s">
        <v>26</v>
      </c>
      <c r="E376">
        <v>307826</v>
      </c>
      <c r="F376" s="5">
        <v>67184.873949579836</v>
      </c>
      <c r="G376" s="11">
        <f t="shared" si="10"/>
        <v>12765.126050420169</v>
      </c>
      <c r="H376" s="11">
        <f t="shared" si="11"/>
        <v>79950</v>
      </c>
    </row>
    <row r="377" spans="1:8" x14ac:dyDescent="0.3">
      <c r="A377">
        <v>195</v>
      </c>
      <c r="B377" t="s">
        <v>6142</v>
      </c>
      <c r="C377" s="2" t="s">
        <v>1958</v>
      </c>
      <c r="D377" t="s">
        <v>26</v>
      </c>
      <c r="E377">
        <v>307827</v>
      </c>
      <c r="F377" s="5">
        <v>42008.403361344543</v>
      </c>
      <c r="G377" s="11">
        <f t="shared" si="10"/>
        <v>7981.5966386554628</v>
      </c>
      <c r="H377" s="11">
        <f t="shared" si="11"/>
        <v>49990.000000000007</v>
      </c>
    </row>
    <row r="378" spans="1:8" x14ac:dyDescent="0.3">
      <c r="A378">
        <v>195</v>
      </c>
      <c r="B378" t="s">
        <v>6142</v>
      </c>
      <c r="C378" s="2" t="s">
        <v>1958</v>
      </c>
      <c r="D378" t="s">
        <v>26</v>
      </c>
      <c r="E378">
        <v>307827</v>
      </c>
      <c r="F378" s="5">
        <v>1680.6722689075632</v>
      </c>
      <c r="G378" s="11">
        <f t="shared" si="10"/>
        <v>319.32773109243703</v>
      </c>
      <c r="H378" s="11">
        <f t="shared" si="11"/>
        <v>2000.0000000000002</v>
      </c>
    </row>
    <row r="379" spans="1:8" x14ac:dyDescent="0.3">
      <c r="A379">
        <v>195</v>
      </c>
      <c r="B379" t="s">
        <v>6142</v>
      </c>
      <c r="C379" s="2" t="s">
        <v>1958</v>
      </c>
      <c r="D379" t="s">
        <v>26</v>
      </c>
      <c r="E379">
        <v>307828</v>
      </c>
      <c r="F379" s="5">
        <v>58781.512605042022</v>
      </c>
      <c r="G379" s="11">
        <f t="shared" si="10"/>
        <v>11168.487394957985</v>
      </c>
      <c r="H379" s="11">
        <f t="shared" si="11"/>
        <v>69950</v>
      </c>
    </row>
    <row r="380" spans="1:8" x14ac:dyDescent="0.3">
      <c r="A380">
        <v>195</v>
      </c>
      <c r="B380" t="s">
        <v>6142</v>
      </c>
      <c r="C380" s="2" t="s">
        <v>1958</v>
      </c>
      <c r="D380" t="s">
        <v>26</v>
      </c>
      <c r="E380">
        <v>307829</v>
      </c>
      <c r="F380" s="5">
        <v>75588.23529411765</v>
      </c>
      <c r="G380" s="11">
        <f t="shared" si="10"/>
        <v>14361.764705882353</v>
      </c>
      <c r="H380" s="11">
        <f t="shared" si="11"/>
        <v>89950</v>
      </c>
    </row>
    <row r="381" spans="1:8" x14ac:dyDescent="0.3">
      <c r="A381">
        <v>195</v>
      </c>
      <c r="B381" t="s">
        <v>6142</v>
      </c>
      <c r="C381" s="2" t="s">
        <v>2093</v>
      </c>
      <c r="D381" t="s">
        <v>26</v>
      </c>
      <c r="E381">
        <v>307830</v>
      </c>
      <c r="F381" s="5">
        <v>4579.8319327731097</v>
      </c>
      <c r="G381" s="11">
        <f t="shared" si="10"/>
        <v>870.1680672268908</v>
      </c>
      <c r="H381" s="11">
        <f t="shared" si="11"/>
        <v>5450</v>
      </c>
    </row>
    <row r="382" spans="1:8" x14ac:dyDescent="0.3">
      <c r="A382">
        <v>195</v>
      </c>
      <c r="B382" t="s">
        <v>6142</v>
      </c>
      <c r="C382" s="2" t="s">
        <v>2093</v>
      </c>
      <c r="D382" t="s">
        <v>26</v>
      </c>
      <c r="E382">
        <v>307831</v>
      </c>
      <c r="F382" s="5">
        <v>54579.831932773115</v>
      </c>
      <c r="G382" s="11">
        <f t="shared" si="10"/>
        <v>10370.168067226892</v>
      </c>
      <c r="H382" s="11">
        <f t="shared" si="11"/>
        <v>64950.000000000007</v>
      </c>
    </row>
    <row r="383" spans="1:8" x14ac:dyDescent="0.3">
      <c r="A383">
        <v>195</v>
      </c>
      <c r="B383" t="s">
        <v>6142</v>
      </c>
      <c r="C383" s="2" t="s">
        <v>2093</v>
      </c>
      <c r="D383" t="s">
        <v>26</v>
      </c>
      <c r="E383">
        <v>307832</v>
      </c>
      <c r="F383" s="5">
        <v>67185.71428571429</v>
      </c>
      <c r="G383" s="11">
        <f t="shared" si="10"/>
        <v>12765.285714285716</v>
      </c>
      <c r="H383" s="11">
        <f t="shared" si="11"/>
        <v>79951</v>
      </c>
    </row>
    <row r="384" spans="1:8" x14ac:dyDescent="0.3">
      <c r="A384">
        <v>195</v>
      </c>
      <c r="B384" t="s">
        <v>6142</v>
      </c>
      <c r="C384" s="2" t="s">
        <v>2093</v>
      </c>
      <c r="D384" t="s">
        <v>26</v>
      </c>
      <c r="E384">
        <v>307832</v>
      </c>
      <c r="F384" s="5">
        <v>-67184.873949579836</v>
      </c>
      <c r="G384" s="11">
        <f t="shared" si="10"/>
        <v>-12765.126050420169</v>
      </c>
      <c r="H384" s="11">
        <f t="shared" si="11"/>
        <v>-79950</v>
      </c>
    </row>
    <row r="385" spans="1:8" x14ac:dyDescent="0.3">
      <c r="A385">
        <v>195</v>
      </c>
      <c r="B385" t="s">
        <v>6142</v>
      </c>
      <c r="C385" s="2" t="s">
        <v>2093</v>
      </c>
      <c r="D385" t="s">
        <v>26</v>
      </c>
      <c r="E385">
        <v>307833</v>
      </c>
      <c r="F385" s="5">
        <v>75588.23529411765</v>
      </c>
      <c r="G385" s="11">
        <f t="shared" si="10"/>
        <v>14361.764705882353</v>
      </c>
      <c r="H385" s="11">
        <f t="shared" si="11"/>
        <v>89950</v>
      </c>
    </row>
    <row r="386" spans="1:8" x14ac:dyDescent="0.3">
      <c r="A386">
        <v>195</v>
      </c>
      <c r="B386" t="s">
        <v>6142</v>
      </c>
      <c r="C386" s="2" t="s">
        <v>2093</v>
      </c>
      <c r="D386" t="s">
        <v>26</v>
      </c>
      <c r="E386">
        <v>307834</v>
      </c>
      <c r="F386" s="5">
        <v>5000</v>
      </c>
      <c r="G386" s="11">
        <f t="shared" si="10"/>
        <v>950</v>
      </c>
      <c r="H386" s="11">
        <f t="shared" si="11"/>
        <v>5950</v>
      </c>
    </row>
    <row r="387" spans="1:8" x14ac:dyDescent="0.3">
      <c r="A387">
        <v>195</v>
      </c>
      <c r="B387" t="s">
        <v>6142</v>
      </c>
      <c r="C387" s="2" t="s">
        <v>2093</v>
      </c>
      <c r="D387" t="s">
        <v>26</v>
      </c>
      <c r="E387">
        <v>307835</v>
      </c>
      <c r="F387" s="5">
        <v>75588.23529411765</v>
      </c>
      <c r="G387" s="11">
        <f t="shared" ref="G387:G438" si="12">F387*19%</f>
        <v>14361.764705882353</v>
      </c>
      <c r="H387" s="11">
        <f t="shared" ref="H387:H438" si="13">+G387+F387</f>
        <v>89950</v>
      </c>
    </row>
    <row r="388" spans="1:8" x14ac:dyDescent="0.3">
      <c r="A388">
        <v>195</v>
      </c>
      <c r="B388" t="s">
        <v>6142</v>
      </c>
      <c r="C388" s="2" t="s">
        <v>2093</v>
      </c>
      <c r="D388" t="s">
        <v>26</v>
      </c>
      <c r="E388">
        <v>307836</v>
      </c>
      <c r="F388" s="5">
        <v>5000</v>
      </c>
      <c r="G388" s="11">
        <f t="shared" si="12"/>
        <v>950</v>
      </c>
      <c r="H388" s="11">
        <f t="shared" si="13"/>
        <v>5950</v>
      </c>
    </row>
    <row r="389" spans="1:8" x14ac:dyDescent="0.3">
      <c r="A389">
        <v>195</v>
      </c>
      <c r="B389" t="s">
        <v>6142</v>
      </c>
      <c r="C389" s="2" t="s">
        <v>2093</v>
      </c>
      <c r="D389" t="s">
        <v>26</v>
      </c>
      <c r="E389">
        <v>307837</v>
      </c>
      <c r="F389" s="5">
        <v>62983.193277310929</v>
      </c>
      <c r="G389" s="11">
        <f t="shared" si="12"/>
        <v>11966.806722689076</v>
      </c>
      <c r="H389" s="11">
        <f t="shared" si="13"/>
        <v>74950</v>
      </c>
    </row>
    <row r="390" spans="1:8" x14ac:dyDescent="0.3">
      <c r="A390">
        <v>195</v>
      </c>
      <c r="B390" t="s">
        <v>6142</v>
      </c>
      <c r="C390" s="2" t="s">
        <v>2093</v>
      </c>
      <c r="D390" t="s">
        <v>26</v>
      </c>
      <c r="E390">
        <v>307838</v>
      </c>
      <c r="F390" s="5">
        <v>83991.596638655465</v>
      </c>
      <c r="G390" s="11">
        <f t="shared" si="12"/>
        <v>15958.403361344539</v>
      </c>
      <c r="H390" s="11">
        <f t="shared" si="13"/>
        <v>99950</v>
      </c>
    </row>
    <row r="391" spans="1:8" x14ac:dyDescent="0.3">
      <c r="A391">
        <v>195</v>
      </c>
      <c r="B391" t="s">
        <v>6142</v>
      </c>
      <c r="C391" s="2" t="s">
        <v>2093</v>
      </c>
      <c r="D391" t="s">
        <v>26</v>
      </c>
      <c r="E391">
        <v>307839</v>
      </c>
      <c r="F391" s="5">
        <v>42008.403361344543</v>
      </c>
      <c r="G391" s="11">
        <f t="shared" si="12"/>
        <v>7981.5966386554628</v>
      </c>
      <c r="H391" s="11">
        <f t="shared" si="13"/>
        <v>49990.000000000007</v>
      </c>
    </row>
    <row r="392" spans="1:8" x14ac:dyDescent="0.3">
      <c r="A392">
        <v>195</v>
      </c>
      <c r="B392" t="s">
        <v>6142</v>
      </c>
      <c r="C392" s="2" t="s">
        <v>2093</v>
      </c>
      <c r="D392" t="s">
        <v>26</v>
      </c>
      <c r="E392">
        <v>307839</v>
      </c>
      <c r="F392" s="5">
        <v>0.84033613445378152</v>
      </c>
      <c r="G392" s="11">
        <f t="shared" si="12"/>
        <v>0.1596638655462185</v>
      </c>
      <c r="H392" s="11">
        <f t="shared" si="13"/>
        <v>1</v>
      </c>
    </row>
    <row r="393" spans="1:8" x14ac:dyDescent="0.3">
      <c r="A393">
        <v>195</v>
      </c>
      <c r="B393" t="s">
        <v>6142</v>
      </c>
      <c r="C393" s="2" t="s">
        <v>2093</v>
      </c>
      <c r="D393" t="s">
        <v>26</v>
      </c>
      <c r="E393">
        <v>307840</v>
      </c>
      <c r="F393" s="5">
        <v>83991.596638655465</v>
      </c>
      <c r="G393" s="11">
        <f t="shared" si="12"/>
        <v>15958.403361344539</v>
      </c>
      <c r="H393" s="11">
        <f t="shared" si="13"/>
        <v>99950</v>
      </c>
    </row>
    <row r="394" spans="1:8" x14ac:dyDescent="0.3">
      <c r="A394">
        <v>195</v>
      </c>
      <c r="B394" t="s">
        <v>6142</v>
      </c>
      <c r="C394" s="2" t="s">
        <v>2149</v>
      </c>
      <c r="D394" t="s">
        <v>26</v>
      </c>
      <c r="E394">
        <v>307841</v>
      </c>
      <c r="F394" s="5">
        <v>4579.8319327731097</v>
      </c>
      <c r="G394" s="11">
        <f t="shared" si="12"/>
        <v>870.1680672268908</v>
      </c>
      <c r="H394" s="11">
        <f t="shared" si="13"/>
        <v>5450</v>
      </c>
    </row>
    <row r="395" spans="1:8" x14ac:dyDescent="0.3">
      <c r="A395">
        <v>195</v>
      </c>
      <c r="B395" t="s">
        <v>6142</v>
      </c>
      <c r="C395" s="2" t="s">
        <v>2149</v>
      </c>
      <c r="D395" t="s">
        <v>26</v>
      </c>
      <c r="E395">
        <v>307842</v>
      </c>
      <c r="F395" s="5">
        <v>67184.873949579836</v>
      </c>
      <c r="G395" s="11">
        <f t="shared" si="12"/>
        <v>12765.126050420169</v>
      </c>
      <c r="H395" s="11">
        <f t="shared" si="13"/>
        <v>79950</v>
      </c>
    </row>
    <row r="396" spans="1:8" x14ac:dyDescent="0.3">
      <c r="A396">
        <v>195</v>
      </c>
      <c r="B396" t="s">
        <v>6142</v>
      </c>
      <c r="C396" s="2" t="s">
        <v>2149</v>
      </c>
      <c r="D396" t="s">
        <v>26</v>
      </c>
      <c r="E396">
        <v>307842</v>
      </c>
      <c r="F396" s="5">
        <v>3319.3277310924373</v>
      </c>
      <c r="G396" s="11">
        <f t="shared" si="12"/>
        <v>630.67226890756308</v>
      </c>
      <c r="H396" s="11">
        <f t="shared" si="13"/>
        <v>3950.0000000000005</v>
      </c>
    </row>
    <row r="397" spans="1:8" x14ac:dyDescent="0.3">
      <c r="A397">
        <v>195</v>
      </c>
      <c r="B397" t="s">
        <v>6142</v>
      </c>
      <c r="C397" s="2" t="s">
        <v>2149</v>
      </c>
      <c r="D397" t="s">
        <v>26</v>
      </c>
      <c r="E397">
        <v>307842</v>
      </c>
      <c r="F397" s="5">
        <v>5840.3361344537816</v>
      </c>
      <c r="G397" s="11">
        <f t="shared" si="12"/>
        <v>1109.6638655462184</v>
      </c>
      <c r="H397" s="11">
        <f t="shared" si="13"/>
        <v>6950</v>
      </c>
    </row>
    <row r="398" spans="1:8" x14ac:dyDescent="0.3">
      <c r="A398">
        <v>195</v>
      </c>
      <c r="B398" t="s">
        <v>6142</v>
      </c>
      <c r="C398" s="2" t="s">
        <v>2149</v>
      </c>
      <c r="D398" t="s">
        <v>26</v>
      </c>
      <c r="E398">
        <v>307843</v>
      </c>
      <c r="F398" s="5">
        <v>4884.8739495798318</v>
      </c>
      <c r="G398" s="11">
        <f t="shared" si="12"/>
        <v>928.1260504201681</v>
      </c>
      <c r="H398" s="11">
        <f t="shared" si="13"/>
        <v>5813</v>
      </c>
    </row>
    <row r="399" spans="1:8" x14ac:dyDescent="0.3">
      <c r="A399">
        <v>195</v>
      </c>
      <c r="B399" t="s">
        <v>6142</v>
      </c>
      <c r="C399" s="2" t="s">
        <v>2149</v>
      </c>
      <c r="D399" t="s">
        <v>26</v>
      </c>
      <c r="E399">
        <v>307843</v>
      </c>
      <c r="F399" s="5">
        <v>42008.403361344543</v>
      </c>
      <c r="G399" s="11">
        <f t="shared" si="12"/>
        <v>7981.5966386554628</v>
      </c>
      <c r="H399" s="11">
        <f t="shared" si="13"/>
        <v>49990.000000000007</v>
      </c>
    </row>
    <row r="400" spans="1:8" x14ac:dyDescent="0.3">
      <c r="A400">
        <v>195</v>
      </c>
      <c r="B400" t="s">
        <v>6142</v>
      </c>
      <c r="C400" s="2" t="s">
        <v>2149</v>
      </c>
      <c r="D400" t="s">
        <v>26</v>
      </c>
      <c r="E400">
        <v>307844</v>
      </c>
      <c r="F400" s="5">
        <v>54579.831932773115</v>
      </c>
      <c r="G400" s="11">
        <f t="shared" si="12"/>
        <v>10370.168067226892</v>
      </c>
      <c r="H400" s="11">
        <f t="shared" si="13"/>
        <v>64950.000000000007</v>
      </c>
    </row>
    <row r="401" spans="1:8" x14ac:dyDescent="0.3">
      <c r="A401">
        <v>195</v>
      </c>
      <c r="B401" t="s">
        <v>6142</v>
      </c>
      <c r="C401" s="2" t="s">
        <v>2149</v>
      </c>
      <c r="D401" t="s">
        <v>26</v>
      </c>
      <c r="E401">
        <v>307845</v>
      </c>
      <c r="F401" s="5">
        <v>58815.126050420171</v>
      </c>
      <c r="G401" s="11">
        <f t="shared" si="12"/>
        <v>11174.873949579833</v>
      </c>
      <c r="H401" s="11">
        <f t="shared" si="13"/>
        <v>69990</v>
      </c>
    </row>
    <row r="402" spans="1:8" x14ac:dyDescent="0.3">
      <c r="A402">
        <v>195</v>
      </c>
      <c r="B402" t="s">
        <v>6142</v>
      </c>
      <c r="C402" s="2" t="s">
        <v>2149</v>
      </c>
      <c r="D402" t="s">
        <v>26</v>
      </c>
      <c r="E402">
        <v>307846</v>
      </c>
      <c r="F402" s="5">
        <v>42009.243697478996</v>
      </c>
      <c r="G402" s="11">
        <f t="shared" si="12"/>
        <v>7981.7563025210093</v>
      </c>
      <c r="H402" s="11">
        <f t="shared" si="13"/>
        <v>49991.000000000007</v>
      </c>
    </row>
    <row r="403" spans="1:8" x14ac:dyDescent="0.3">
      <c r="A403">
        <v>195</v>
      </c>
      <c r="B403" t="s">
        <v>6142</v>
      </c>
      <c r="C403" s="2" t="s">
        <v>2149</v>
      </c>
      <c r="D403" t="s">
        <v>26</v>
      </c>
      <c r="E403">
        <v>307846</v>
      </c>
      <c r="F403" s="5">
        <v>-42008.403361344543</v>
      </c>
      <c r="G403" s="11">
        <f t="shared" si="12"/>
        <v>-7981.5966386554628</v>
      </c>
      <c r="H403" s="11">
        <f t="shared" si="13"/>
        <v>-49990.000000000007</v>
      </c>
    </row>
    <row r="404" spans="1:8" x14ac:dyDescent="0.3">
      <c r="A404">
        <v>195</v>
      </c>
      <c r="B404" t="s">
        <v>6142</v>
      </c>
      <c r="C404" s="2" t="s">
        <v>2149</v>
      </c>
      <c r="D404" t="s">
        <v>26</v>
      </c>
      <c r="E404">
        <v>307847</v>
      </c>
      <c r="F404" s="5">
        <v>100798.31932773109</v>
      </c>
      <c r="G404" s="11">
        <f t="shared" si="12"/>
        <v>19151.680672268907</v>
      </c>
      <c r="H404" s="11">
        <f t="shared" si="13"/>
        <v>119950</v>
      </c>
    </row>
    <row r="405" spans="1:8" x14ac:dyDescent="0.3">
      <c r="A405">
        <v>195</v>
      </c>
      <c r="B405" t="s">
        <v>6142</v>
      </c>
      <c r="C405" s="2" t="s">
        <v>2149</v>
      </c>
      <c r="D405" t="s">
        <v>26</v>
      </c>
      <c r="E405">
        <v>307848</v>
      </c>
      <c r="F405" s="5">
        <v>5000</v>
      </c>
      <c r="G405" s="11">
        <f t="shared" si="12"/>
        <v>950</v>
      </c>
      <c r="H405" s="11">
        <f t="shared" si="13"/>
        <v>5950</v>
      </c>
    </row>
    <row r="406" spans="1:8" x14ac:dyDescent="0.3">
      <c r="A406">
        <v>195</v>
      </c>
      <c r="B406" t="s">
        <v>6142</v>
      </c>
      <c r="C406" s="2" t="s">
        <v>2149</v>
      </c>
      <c r="D406" t="s">
        <v>26</v>
      </c>
      <c r="E406">
        <v>307848</v>
      </c>
      <c r="F406" s="5">
        <v>-4579.8319327731097</v>
      </c>
      <c r="G406" s="11">
        <f t="shared" si="12"/>
        <v>-870.1680672268908</v>
      </c>
      <c r="H406" s="11">
        <f t="shared" si="13"/>
        <v>-5450</v>
      </c>
    </row>
    <row r="407" spans="1:8" x14ac:dyDescent="0.3">
      <c r="A407">
        <v>195</v>
      </c>
      <c r="B407" t="s">
        <v>6142</v>
      </c>
      <c r="C407" s="2" t="s">
        <v>2149</v>
      </c>
      <c r="D407" t="s">
        <v>26</v>
      </c>
      <c r="E407">
        <v>307849</v>
      </c>
      <c r="F407" s="5">
        <v>4579.8319327731097</v>
      </c>
      <c r="G407" s="11">
        <f t="shared" si="12"/>
        <v>870.1680672268908</v>
      </c>
      <c r="H407" s="11">
        <f t="shared" si="13"/>
        <v>5450</v>
      </c>
    </row>
    <row r="408" spans="1:8" x14ac:dyDescent="0.3">
      <c r="A408">
        <v>195</v>
      </c>
      <c r="B408" t="s">
        <v>6142</v>
      </c>
      <c r="C408" s="2" t="s">
        <v>2149</v>
      </c>
      <c r="D408" t="s">
        <v>26</v>
      </c>
      <c r="E408">
        <v>307850</v>
      </c>
      <c r="F408" s="5">
        <v>42008.403361344543</v>
      </c>
      <c r="G408" s="11">
        <f t="shared" si="12"/>
        <v>7981.5966386554628</v>
      </c>
      <c r="H408" s="11">
        <f t="shared" si="13"/>
        <v>49990.000000000007</v>
      </c>
    </row>
    <row r="409" spans="1:8" x14ac:dyDescent="0.3">
      <c r="A409">
        <v>195</v>
      </c>
      <c r="B409" t="s">
        <v>6142</v>
      </c>
      <c r="C409" s="2" t="s">
        <v>2149</v>
      </c>
      <c r="D409" t="s">
        <v>26</v>
      </c>
      <c r="E409">
        <v>307851</v>
      </c>
      <c r="F409" s="5">
        <v>50386.554621848743</v>
      </c>
      <c r="G409" s="11">
        <f t="shared" si="12"/>
        <v>9573.445378151262</v>
      </c>
      <c r="H409" s="11">
        <f t="shared" si="13"/>
        <v>59960.000000000007</v>
      </c>
    </row>
    <row r="410" spans="1:8" x14ac:dyDescent="0.3">
      <c r="A410">
        <v>195</v>
      </c>
      <c r="B410" t="s">
        <v>6142</v>
      </c>
      <c r="C410" s="2" t="s">
        <v>2149</v>
      </c>
      <c r="D410" t="s">
        <v>26</v>
      </c>
      <c r="E410">
        <v>307851</v>
      </c>
      <c r="F410" s="5">
        <v>52907.563025210089</v>
      </c>
      <c r="G410" s="11">
        <f t="shared" si="12"/>
        <v>10052.436974789916</v>
      </c>
      <c r="H410" s="11">
        <f t="shared" si="13"/>
        <v>62960.000000000007</v>
      </c>
    </row>
    <row r="411" spans="1:8" x14ac:dyDescent="0.3">
      <c r="A411">
        <v>195</v>
      </c>
      <c r="B411" t="s">
        <v>6142</v>
      </c>
      <c r="C411" s="2" t="s">
        <v>2149</v>
      </c>
      <c r="D411" t="s">
        <v>26</v>
      </c>
      <c r="E411">
        <v>307851</v>
      </c>
      <c r="F411" s="5">
        <v>41142.857142857145</v>
      </c>
      <c r="G411" s="11">
        <f t="shared" si="12"/>
        <v>7817.1428571428578</v>
      </c>
      <c r="H411" s="11">
        <f t="shared" si="13"/>
        <v>48960</v>
      </c>
    </row>
    <row r="412" spans="1:8" x14ac:dyDescent="0.3">
      <c r="A412">
        <v>195</v>
      </c>
      <c r="B412" t="s">
        <v>6142</v>
      </c>
      <c r="C412" s="2" t="s">
        <v>2149</v>
      </c>
      <c r="D412" t="s">
        <v>26</v>
      </c>
      <c r="E412">
        <v>307852</v>
      </c>
      <c r="F412" s="5">
        <v>44084.033613445383</v>
      </c>
      <c r="G412" s="11">
        <f t="shared" si="12"/>
        <v>8375.9663865546227</v>
      </c>
      <c r="H412" s="11">
        <f t="shared" si="13"/>
        <v>52460.000000000007</v>
      </c>
    </row>
    <row r="413" spans="1:8" x14ac:dyDescent="0.3">
      <c r="A413">
        <v>195</v>
      </c>
      <c r="B413" t="s">
        <v>6142</v>
      </c>
      <c r="C413" s="2" t="s">
        <v>2149</v>
      </c>
      <c r="D413" t="s">
        <v>26</v>
      </c>
      <c r="E413">
        <v>307853</v>
      </c>
      <c r="F413" s="5">
        <v>50411.764705882357</v>
      </c>
      <c r="G413" s="11">
        <f t="shared" si="12"/>
        <v>9578.2352941176487</v>
      </c>
      <c r="H413" s="11">
        <f t="shared" si="13"/>
        <v>59990.000000000007</v>
      </c>
    </row>
    <row r="414" spans="1:8" x14ac:dyDescent="0.3">
      <c r="A414">
        <v>195</v>
      </c>
      <c r="B414" t="s">
        <v>6142</v>
      </c>
      <c r="C414" s="2" t="s">
        <v>2149</v>
      </c>
      <c r="D414" t="s">
        <v>26</v>
      </c>
      <c r="E414">
        <v>307853</v>
      </c>
      <c r="F414" s="5">
        <v>58781.512605042022</v>
      </c>
      <c r="G414" s="11">
        <f t="shared" si="12"/>
        <v>11168.487394957985</v>
      </c>
      <c r="H414" s="11">
        <f t="shared" si="13"/>
        <v>69950</v>
      </c>
    </row>
    <row r="415" spans="1:8" x14ac:dyDescent="0.3">
      <c r="A415">
        <v>195</v>
      </c>
      <c r="B415" t="s">
        <v>6142</v>
      </c>
      <c r="C415" s="2" t="s">
        <v>2149</v>
      </c>
      <c r="D415" t="s">
        <v>26</v>
      </c>
      <c r="E415">
        <v>307854</v>
      </c>
      <c r="F415" s="5">
        <v>50378.151260504201</v>
      </c>
      <c r="G415" s="11">
        <f t="shared" si="12"/>
        <v>9571.8487394957974</v>
      </c>
      <c r="H415" s="11">
        <f t="shared" si="13"/>
        <v>59950</v>
      </c>
    </row>
    <row r="416" spans="1:8" x14ac:dyDescent="0.3">
      <c r="A416">
        <v>195</v>
      </c>
      <c r="B416" t="s">
        <v>6142</v>
      </c>
      <c r="C416" s="2" t="s">
        <v>2149</v>
      </c>
      <c r="D416" t="s">
        <v>26</v>
      </c>
      <c r="E416">
        <v>307855</v>
      </c>
      <c r="F416" s="5">
        <v>50378.151260504201</v>
      </c>
      <c r="G416" s="11">
        <f t="shared" si="12"/>
        <v>9571.8487394957974</v>
      </c>
      <c r="H416" s="11">
        <f t="shared" si="13"/>
        <v>59950</v>
      </c>
    </row>
    <row r="417" spans="1:8" x14ac:dyDescent="0.3">
      <c r="A417">
        <v>195</v>
      </c>
      <c r="B417" t="s">
        <v>6142</v>
      </c>
      <c r="C417" s="2" t="s">
        <v>2149</v>
      </c>
      <c r="D417" t="s">
        <v>26</v>
      </c>
      <c r="E417">
        <v>307856</v>
      </c>
      <c r="F417" s="5">
        <v>75588.23529411765</v>
      </c>
      <c r="G417" s="11">
        <f t="shared" si="12"/>
        <v>14361.764705882353</v>
      </c>
      <c r="H417" s="11">
        <f t="shared" si="13"/>
        <v>89950</v>
      </c>
    </row>
    <row r="418" spans="1:8" x14ac:dyDescent="0.3">
      <c r="A418">
        <v>195</v>
      </c>
      <c r="B418" t="s">
        <v>6142</v>
      </c>
      <c r="C418" s="2" t="s">
        <v>2149</v>
      </c>
      <c r="D418" t="s">
        <v>26</v>
      </c>
      <c r="E418">
        <v>307856</v>
      </c>
      <c r="F418" s="5">
        <v>-58781.512605042022</v>
      </c>
      <c r="G418" s="11">
        <f t="shared" si="12"/>
        <v>-11168.487394957985</v>
      </c>
      <c r="H418" s="11">
        <f t="shared" si="13"/>
        <v>-69950</v>
      </c>
    </row>
    <row r="419" spans="1:8" x14ac:dyDescent="0.3">
      <c r="A419">
        <v>195</v>
      </c>
      <c r="B419" t="s">
        <v>6142</v>
      </c>
      <c r="C419" s="2" t="s">
        <v>2192</v>
      </c>
      <c r="D419" t="s">
        <v>26</v>
      </c>
      <c r="E419">
        <v>307857</v>
      </c>
      <c r="F419" s="5">
        <v>50378.151260504201</v>
      </c>
      <c r="G419" s="11">
        <f t="shared" si="12"/>
        <v>9571.8487394957974</v>
      </c>
      <c r="H419" s="11">
        <f t="shared" si="13"/>
        <v>59950</v>
      </c>
    </row>
    <row r="420" spans="1:8" x14ac:dyDescent="0.3">
      <c r="A420">
        <v>195</v>
      </c>
      <c r="B420" t="s">
        <v>6142</v>
      </c>
      <c r="C420" s="2" t="s">
        <v>2192</v>
      </c>
      <c r="D420" t="s">
        <v>26</v>
      </c>
      <c r="E420">
        <v>307858</v>
      </c>
      <c r="F420" s="5">
        <v>62983.193277310929</v>
      </c>
      <c r="G420" s="11">
        <f t="shared" si="12"/>
        <v>11966.806722689076</v>
      </c>
      <c r="H420" s="11">
        <f t="shared" si="13"/>
        <v>74950</v>
      </c>
    </row>
    <row r="421" spans="1:8" x14ac:dyDescent="0.3">
      <c r="A421">
        <v>195</v>
      </c>
      <c r="B421" t="s">
        <v>6142</v>
      </c>
      <c r="C421" s="2" t="s">
        <v>2192</v>
      </c>
      <c r="D421" t="s">
        <v>26</v>
      </c>
      <c r="E421">
        <v>307859</v>
      </c>
      <c r="F421" s="5">
        <v>5000</v>
      </c>
      <c r="G421" s="11">
        <f t="shared" si="12"/>
        <v>950</v>
      </c>
      <c r="H421" s="11">
        <f t="shared" si="13"/>
        <v>5950</v>
      </c>
    </row>
    <row r="422" spans="1:8" x14ac:dyDescent="0.3">
      <c r="A422">
        <v>195</v>
      </c>
      <c r="B422" t="s">
        <v>6142</v>
      </c>
      <c r="C422" s="2" t="s">
        <v>2192</v>
      </c>
      <c r="D422" t="s">
        <v>26</v>
      </c>
      <c r="E422">
        <v>307859</v>
      </c>
      <c r="F422" s="5">
        <v>5000</v>
      </c>
      <c r="G422" s="11">
        <f t="shared" si="12"/>
        <v>950</v>
      </c>
      <c r="H422" s="11">
        <f t="shared" si="13"/>
        <v>5950</v>
      </c>
    </row>
    <row r="423" spans="1:8" x14ac:dyDescent="0.3">
      <c r="A423">
        <v>195</v>
      </c>
      <c r="B423" t="s">
        <v>6142</v>
      </c>
      <c r="C423" s="2" t="s">
        <v>2192</v>
      </c>
      <c r="D423" t="s">
        <v>26</v>
      </c>
      <c r="E423">
        <v>307859</v>
      </c>
      <c r="F423" s="5">
        <v>5000</v>
      </c>
      <c r="G423" s="11">
        <f t="shared" si="12"/>
        <v>950</v>
      </c>
      <c r="H423" s="11">
        <f t="shared" si="13"/>
        <v>5950</v>
      </c>
    </row>
    <row r="424" spans="1:8" x14ac:dyDescent="0.3">
      <c r="A424">
        <v>195</v>
      </c>
      <c r="B424" t="s">
        <v>6142</v>
      </c>
      <c r="C424" s="2" t="s">
        <v>2192</v>
      </c>
      <c r="D424" t="s">
        <v>26</v>
      </c>
      <c r="E424">
        <v>307860</v>
      </c>
      <c r="F424" s="5">
        <v>50378.151260504201</v>
      </c>
      <c r="G424" s="11">
        <f t="shared" si="12"/>
        <v>9571.8487394957974</v>
      </c>
      <c r="H424" s="11">
        <f t="shared" si="13"/>
        <v>59950</v>
      </c>
    </row>
    <row r="425" spans="1:8" x14ac:dyDescent="0.3">
      <c r="A425">
        <v>195</v>
      </c>
      <c r="B425" t="s">
        <v>6142</v>
      </c>
      <c r="C425" s="2" t="s">
        <v>2192</v>
      </c>
      <c r="D425" t="s">
        <v>26</v>
      </c>
      <c r="E425">
        <v>307861</v>
      </c>
      <c r="F425" s="5">
        <v>420.1680672268908</v>
      </c>
      <c r="G425" s="11">
        <f t="shared" si="12"/>
        <v>79.831932773109259</v>
      </c>
      <c r="H425" s="11">
        <f t="shared" si="13"/>
        <v>500.00000000000006</v>
      </c>
    </row>
    <row r="426" spans="1:8" x14ac:dyDescent="0.3">
      <c r="A426">
        <v>195</v>
      </c>
      <c r="B426" t="s">
        <v>6142</v>
      </c>
      <c r="C426" s="2" t="s">
        <v>2192</v>
      </c>
      <c r="D426" t="s">
        <v>26</v>
      </c>
      <c r="E426">
        <v>307862</v>
      </c>
      <c r="F426" s="5">
        <v>5840.3361344537816</v>
      </c>
      <c r="G426" s="11">
        <f t="shared" si="12"/>
        <v>1109.6638655462184</v>
      </c>
      <c r="H426" s="11">
        <f t="shared" si="13"/>
        <v>6950</v>
      </c>
    </row>
    <row r="427" spans="1:8" x14ac:dyDescent="0.3">
      <c r="A427">
        <v>195</v>
      </c>
      <c r="B427" t="s">
        <v>6142</v>
      </c>
      <c r="C427" s="2" t="s">
        <v>2192</v>
      </c>
      <c r="D427" t="s">
        <v>26</v>
      </c>
      <c r="E427">
        <v>307863</v>
      </c>
      <c r="F427" s="5">
        <v>58815.126050420171</v>
      </c>
      <c r="G427" s="11">
        <f t="shared" si="12"/>
        <v>11174.873949579833</v>
      </c>
      <c r="H427" s="11">
        <f t="shared" si="13"/>
        <v>69990</v>
      </c>
    </row>
    <row r="428" spans="1:8" x14ac:dyDescent="0.3">
      <c r="A428">
        <v>195</v>
      </c>
      <c r="B428" t="s">
        <v>6142</v>
      </c>
      <c r="C428" s="2" t="s">
        <v>2192</v>
      </c>
      <c r="D428" t="s">
        <v>26</v>
      </c>
      <c r="E428">
        <v>307864</v>
      </c>
      <c r="F428" s="5">
        <v>100806.72268907563</v>
      </c>
      <c r="G428" s="11">
        <f t="shared" si="12"/>
        <v>19153.277310924368</v>
      </c>
      <c r="H428" s="11">
        <f t="shared" si="13"/>
        <v>119960</v>
      </c>
    </row>
    <row r="429" spans="1:8" x14ac:dyDescent="0.3">
      <c r="A429">
        <v>195</v>
      </c>
      <c r="B429" t="s">
        <v>6142</v>
      </c>
      <c r="C429" s="2" t="s">
        <v>2192</v>
      </c>
      <c r="D429" t="s">
        <v>26</v>
      </c>
      <c r="E429">
        <v>307865</v>
      </c>
      <c r="F429" s="5">
        <v>50378.151260504201</v>
      </c>
      <c r="G429" s="11">
        <f t="shared" si="12"/>
        <v>9571.8487394957974</v>
      </c>
      <c r="H429" s="11">
        <f t="shared" si="13"/>
        <v>59950</v>
      </c>
    </row>
    <row r="430" spans="1:8" x14ac:dyDescent="0.3">
      <c r="A430">
        <v>195</v>
      </c>
      <c r="B430" t="s">
        <v>6142</v>
      </c>
      <c r="C430" s="2" t="s">
        <v>2192</v>
      </c>
      <c r="D430" t="s">
        <v>26</v>
      </c>
      <c r="E430">
        <v>307866</v>
      </c>
      <c r="F430" s="5">
        <v>67218.487394957992</v>
      </c>
      <c r="G430" s="11">
        <f t="shared" si="12"/>
        <v>12771.512605042019</v>
      </c>
      <c r="H430" s="11">
        <f t="shared" si="13"/>
        <v>79990.000000000015</v>
      </c>
    </row>
    <row r="431" spans="1:8" x14ac:dyDescent="0.3">
      <c r="A431">
        <v>195</v>
      </c>
      <c r="B431" t="s">
        <v>6142</v>
      </c>
      <c r="C431" s="2" t="s">
        <v>2192</v>
      </c>
      <c r="D431" t="s">
        <v>26</v>
      </c>
      <c r="E431">
        <v>307867</v>
      </c>
      <c r="F431" s="5">
        <v>58781.512605042022</v>
      </c>
      <c r="G431" s="11">
        <f t="shared" si="12"/>
        <v>11168.487394957985</v>
      </c>
      <c r="H431" s="11">
        <f t="shared" si="13"/>
        <v>69950</v>
      </c>
    </row>
    <row r="432" spans="1:8" x14ac:dyDescent="0.3">
      <c r="A432">
        <v>195</v>
      </c>
      <c r="B432" t="s">
        <v>6142</v>
      </c>
      <c r="C432" s="2" t="s">
        <v>2192</v>
      </c>
      <c r="D432" t="s">
        <v>26</v>
      </c>
      <c r="E432">
        <v>307867</v>
      </c>
      <c r="F432" s="5">
        <v>107100.84033613445</v>
      </c>
      <c r="G432" s="11">
        <f t="shared" si="12"/>
        <v>20349.159663865546</v>
      </c>
      <c r="H432" s="11">
        <f t="shared" si="13"/>
        <v>127450</v>
      </c>
    </row>
    <row r="433" spans="1:8" x14ac:dyDescent="0.3">
      <c r="A433">
        <v>195</v>
      </c>
      <c r="B433" t="s">
        <v>6142</v>
      </c>
      <c r="C433" s="2" t="s">
        <v>2192</v>
      </c>
      <c r="D433" t="s">
        <v>26</v>
      </c>
      <c r="E433">
        <v>307868</v>
      </c>
      <c r="F433" s="5">
        <v>42008.403361344543</v>
      </c>
      <c r="G433" s="11">
        <f t="shared" si="12"/>
        <v>7981.5966386554628</v>
      </c>
      <c r="H433" s="11">
        <f t="shared" si="13"/>
        <v>49990.000000000007</v>
      </c>
    </row>
    <row r="434" spans="1:8" x14ac:dyDescent="0.3">
      <c r="A434">
        <v>195</v>
      </c>
      <c r="B434" t="s">
        <v>6142</v>
      </c>
      <c r="C434" s="2" t="s">
        <v>2192</v>
      </c>
      <c r="D434" t="s">
        <v>26</v>
      </c>
      <c r="E434">
        <v>307868</v>
      </c>
      <c r="F434" s="5">
        <v>420.1680672268908</v>
      </c>
      <c r="G434" s="11">
        <f t="shared" si="12"/>
        <v>79.831932773109259</v>
      </c>
      <c r="H434" s="11">
        <f t="shared" si="13"/>
        <v>500.00000000000006</v>
      </c>
    </row>
    <row r="435" spans="1:8" x14ac:dyDescent="0.3">
      <c r="A435">
        <v>195</v>
      </c>
      <c r="B435" t="s">
        <v>6142</v>
      </c>
      <c r="C435" s="2" t="s">
        <v>2192</v>
      </c>
      <c r="D435" t="s">
        <v>26</v>
      </c>
      <c r="E435">
        <v>307869</v>
      </c>
      <c r="F435" s="5">
        <v>75588.23529411765</v>
      </c>
      <c r="G435" s="11">
        <f t="shared" si="12"/>
        <v>14361.764705882353</v>
      </c>
      <c r="H435" s="11">
        <f t="shared" si="13"/>
        <v>89950</v>
      </c>
    </row>
    <row r="436" spans="1:8" x14ac:dyDescent="0.3">
      <c r="A436">
        <v>195</v>
      </c>
      <c r="B436" t="s">
        <v>6142</v>
      </c>
      <c r="C436" s="2" t="s">
        <v>2192</v>
      </c>
      <c r="D436" t="s">
        <v>26</v>
      </c>
      <c r="E436">
        <v>307870</v>
      </c>
      <c r="F436" s="5">
        <v>-42008.403361344543</v>
      </c>
      <c r="G436" s="11">
        <f t="shared" si="12"/>
        <v>-7981.5966386554628</v>
      </c>
      <c r="H436" s="11">
        <f t="shared" si="13"/>
        <v>-49990.000000000007</v>
      </c>
    </row>
    <row r="437" spans="1:8" x14ac:dyDescent="0.3">
      <c r="A437">
        <v>195</v>
      </c>
      <c r="B437" t="s">
        <v>6142</v>
      </c>
      <c r="C437" s="2" t="s">
        <v>2192</v>
      </c>
      <c r="D437" t="s">
        <v>26</v>
      </c>
      <c r="E437">
        <v>307870</v>
      </c>
      <c r="F437" s="5">
        <v>67184.873949579836</v>
      </c>
      <c r="G437" s="11">
        <f t="shared" si="12"/>
        <v>12765.126050420169</v>
      </c>
      <c r="H437" s="11">
        <f t="shared" si="13"/>
        <v>79950</v>
      </c>
    </row>
    <row r="438" spans="1:8" x14ac:dyDescent="0.3">
      <c r="A438">
        <v>195</v>
      </c>
      <c r="B438" t="s">
        <v>6142</v>
      </c>
      <c r="C438" s="2" t="s">
        <v>2192</v>
      </c>
      <c r="D438" t="s">
        <v>26</v>
      </c>
      <c r="E438">
        <v>307871</v>
      </c>
      <c r="F438" s="5">
        <v>5000</v>
      </c>
      <c r="G438" s="11">
        <f t="shared" si="12"/>
        <v>950</v>
      </c>
      <c r="H438" s="11">
        <f t="shared" si="13"/>
        <v>5950</v>
      </c>
    </row>
    <row r="439" spans="1:8" x14ac:dyDescent="0.3">
      <c r="F439" s="12">
        <f>SUM(F2:F438)</f>
        <v>15876083.193277327</v>
      </c>
      <c r="G439" s="12">
        <f t="shared" ref="G439:H439" si="14">SUM(G2:G438)</f>
        <v>3016455.8067226922</v>
      </c>
      <c r="H439" s="12">
        <f t="shared" si="14"/>
        <v>18892539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A478C30-03FA-491B-9DE9-5B29C582F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C6548B-BF3A-4F4A-98C2-30867794CC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46E9F7-A67C-424F-A6E1-9826DEF055A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Soto Alarcon</dc:creator>
  <cp:lastModifiedBy>Carolina Cabrera</cp:lastModifiedBy>
  <dcterms:created xsi:type="dcterms:W3CDTF">2026-05-11T16:48:45Z</dcterms:created>
  <dcterms:modified xsi:type="dcterms:W3CDTF">2026-05-14T22:06:16Z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